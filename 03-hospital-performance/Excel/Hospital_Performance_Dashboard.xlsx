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CV\DataAnalyst\Freelance_Portfolio\03_Hospital_Performance\Excel\"/>
    </mc:Choice>
  </mc:AlternateContent>
  <xr:revisionPtr revIDLastSave="0" documentId="13_ncr:1_{6262AE8A-C788-4CEB-8A17-1AA8A065968A}"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s" sheetId="2" r:id="rId2"/>
    <sheet name="Data" sheetId="3" r:id="rId3"/>
    <sheet name="About" sheetId="4" r:id="rId4"/>
  </sheets>
  <definedNames>
    <definedName name="_xlnm.Print_Area" localSheetId="0">Dashboard!$A$1:$BP$49</definedName>
    <definedName name="Slicer_AgeGroup">#N/A</definedName>
    <definedName name="Slicer_Department">#N/A</definedName>
    <definedName name="Slicer_Gender">#N/A</definedName>
    <definedName name="Slicer_Insurance">#N/A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1" i="1" l="1"/>
  <c r="AP8" i="1"/>
  <c r="AF11" i="1"/>
  <c r="AF8" i="1"/>
  <c r="V11" i="1"/>
  <c r="V8" i="1"/>
  <c r="L11" i="1"/>
  <c r="L8" i="1"/>
  <c r="B11" i="1"/>
  <c r="B8" i="1"/>
</calcChain>
</file>

<file path=xl/sharedStrings.xml><?xml version="1.0" encoding="utf-8"?>
<sst xmlns="http://schemas.openxmlformats.org/spreadsheetml/2006/main" count="56183" uniqueCount="5756">
  <si>
    <t>AdmissionID</t>
  </si>
  <si>
    <t>AdmissionDate</t>
  </si>
  <si>
    <t>DischargeDate</t>
  </si>
  <si>
    <t>Year</t>
  </si>
  <si>
    <t>Quarter</t>
  </si>
  <si>
    <t>Month</t>
  </si>
  <si>
    <t>ArrivalDay</t>
  </si>
  <si>
    <t>Department</t>
  </si>
  <si>
    <t>AdmissionType</t>
  </si>
  <si>
    <t>Gender</t>
  </si>
  <si>
    <t>AgeGroup</t>
  </si>
  <si>
    <t>Insurance</t>
  </si>
  <si>
    <t>LengthOfStay</t>
  </si>
  <si>
    <t>ERWaitMinutes</t>
  </si>
  <si>
    <t>TreatmentCost</t>
  </si>
  <si>
    <t>Readmitted30</t>
  </si>
  <si>
    <t>Satisfaction</t>
  </si>
  <si>
    <t>Outcome</t>
  </si>
  <si>
    <t>Admissions</t>
  </si>
  <si>
    <t>ADM-240001</t>
  </si>
  <si>
    <t>Q1</t>
  </si>
  <si>
    <t>Jan</t>
  </si>
  <si>
    <t>Mon</t>
  </si>
  <si>
    <t>Internal Medicine</t>
  </si>
  <si>
    <t>Emergency</t>
  </si>
  <si>
    <t>Female</t>
  </si>
  <si>
    <t>65+</t>
  </si>
  <si>
    <t>Government</t>
  </si>
  <si>
    <t>Improved</t>
  </si>
  <si>
    <t>ADM-240002</t>
  </si>
  <si>
    <t>General Surgery</t>
  </si>
  <si>
    <t>Transfer</t>
  </si>
  <si>
    <t>35-49</t>
  </si>
  <si>
    <t>Recovered</t>
  </si>
  <si>
    <t>ADM-240003</t>
  </si>
  <si>
    <t>Obstetrics &amp; Gynecology</t>
  </si>
  <si>
    <t>18-34</t>
  </si>
  <si>
    <t>Self-pay</t>
  </si>
  <si>
    <t>ADM-240004</t>
  </si>
  <si>
    <t>Pediatrics</t>
  </si>
  <si>
    <t>Elective</t>
  </si>
  <si>
    <t>0-17</t>
  </si>
  <si>
    <t>ADM-240005</t>
  </si>
  <si>
    <t>Male</t>
  </si>
  <si>
    <t>Private</t>
  </si>
  <si>
    <t>ADM-240006</t>
  </si>
  <si>
    <t>ADM-240007</t>
  </si>
  <si>
    <t>ADM-240008</t>
  </si>
  <si>
    <t>ADM-240009</t>
  </si>
  <si>
    <t>ADM-240010</t>
  </si>
  <si>
    <t>Cardiology</t>
  </si>
  <si>
    <t>ADM-240011</t>
  </si>
  <si>
    <t>Orthopedics</t>
  </si>
  <si>
    <t>50-64</t>
  </si>
  <si>
    <t>ADM-240012</t>
  </si>
  <si>
    <t>ADM-240013</t>
  </si>
  <si>
    <t>Tue</t>
  </si>
  <si>
    <t>ADM-240014</t>
  </si>
  <si>
    <t>ADM-240015</t>
  </si>
  <si>
    <t>Transferred</t>
  </si>
  <si>
    <t>ADM-240016</t>
  </si>
  <si>
    <t>ADM-240017</t>
  </si>
  <si>
    <t>ADM-240018</t>
  </si>
  <si>
    <t>ADM-240019</t>
  </si>
  <si>
    <t>ADM-240020</t>
  </si>
  <si>
    <t>ADM-240021</t>
  </si>
  <si>
    <t>ADM-240022</t>
  </si>
  <si>
    <t>ADM-240023</t>
  </si>
  <si>
    <t>ADM-240024</t>
  </si>
  <si>
    <t>ADM-240025</t>
  </si>
  <si>
    <t>Wed</t>
  </si>
  <si>
    <t>ADM-240026</t>
  </si>
  <si>
    <t>ADM-240027</t>
  </si>
  <si>
    <t>ADM-240028</t>
  </si>
  <si>
    <t>ADM-240029</t>
  </si>
  <si>
    <t>ADM-240030</t>
  </si>
  <si>
    <t>ADM-240031</t>
  </si>
  <si>
    <t>ADM-240032</t>
  </si>
  <si>
    <t>Thu</t>
  </si>
  <si>
    <t>ADM-240033</t>
  </si>
  <si>
    <t>ADM-240034</t>
  </si>
  <si>
    <t>ADM-240035</t>
  </si>
  <si>
    <t>ADM-240036</t>
  </si>
  <si>
    <t>Fri</t>
  </si>
  <si>
    <t>ADM-240037</t>
  </si>
  <si>
    <t>ADM-240038</t>
  </si>
  <si>
    <t>ADM-240039</t>
  </si>
  <si>
    <t>ADM-240040</t>
  </si>
  <si>
    <t>ADM-240041</t>
  </si>
  <si>
    <t>ADM-240042</t>
  </si>
  <si>
    <t>ADM-240043</t>
  </si>
  <si>
    <t>ADM-240044</t>
  </si>
  <si>
    <t>ADM-240045</t>
  </si>
  <si>
    <t>ADM-240046</t>
  </si>
  <si>
    <t>ADM-240047</t>
  </si>
  <si>
    <t>ADM-240048</t>
  </si>
  <si>
    <t>ADM-240049</t>
  </si>
  <si>
    <t>ADM-240050</t>
  </si>
  <si>
    <t>ADM-240051</t>
  </si>
  <si>
    <t>ADM-240052</t>
  </si>
  <si>
    <t>ADM-240053</t>
  </si>
  <si>
    <t>ADM-240054</t>
  </si>
  <si>
    <t>Sat</t>
  </si>
  <si>
    <t>ADM-240055</t>
  </si>
  <si>
    <t>ADM-240056</t>
  </si>
  <si>
    <t>ADM-240057</t>
  </si>
  <si>
    <t>ADM-240058</t>
  </si>
  <si>
    <t>ADM-240059</t>
  </si>
  <si>
    <t>ADM-240060</t>
  </si>
  <si>
    <t>ADM-240061</t>
  </si>
  <si>
    <t>ADM-240062</t>
  </si>
  <si>
    <t>ADM-240063</t>
  </si>
  <si>
    <t>Sun</t>
  </si>
  <si>
    <t>ADM-240064</t>
  </si>
  <si>
    <t>ADM-240065</t>
  </si>
  <si>
    <t>ADM-240066</t>
  </si>
  <si>
    <t>ADM-240067</t>
  </si>
  <si>
    <t>ADM-240068</t>
  </si>
  <si>
    <t>ADM-240069</t>
  </si>
  <si>
    <t>ADM-240070</t>
  </si>
  <si>
    <t>ADM-240071</t>
  </si>
  <si>
    <t>ADM-240072</t>
  </si>
  <si>
    <t>ADM-240073</t>
  </si>
  <si>
    <t>ADM-240074</t>
  </si>
  <si>
    <t>ADM-240075</t>
  </si>
  <si>
    <t>ADM-240076</t>
  </si>
  <si>
    <t>ADM-240077</t>
  </si>
  <si>
    <t>ADM-240078</t>
  </si>
  <si>
    <t>ADM-240079</t>
  </si>
  <si>
    <t>ADM-240080</t>
  </si>
  <si>
    <t>ADM-240081</t>
  </si>
  <si>
    <t>ADM-240082</t>
  </si>
  <si>
    <t>ADM-240083</t>
  </si>
  <si>
    <t>ADM-240084</t>
  </si>
  <si>
    <t>ADM-240085</t>
  </si>
  <si>
    <t>ADM-240086</t>
  </si>
  <si>
    <t>ADM-240087</t>
  </si>
  <si>
    <t>ADM-240088</t>
  </si>
  <si>
    <t>ADM-240089</t>
  </si>
  <si>
    <t>ADM-240090</t>
  </si>
  <si>
    <t>ADM-240091</t>
  </si>
  <si>
    <t>ADM-240092</t>
  </si>
  <si>
    <t>ADM-240093</t>
  </si>
  <si>
    <t>ADM-240094</t>
  </si>
  <si>
    <t>ADM-240095</t>
  </si>
  <si>
    <t>ADM-240096</t>
  </si>
  <si>
    <t>ADM-240097</t>
  </si>
  <si>
    <t>ADM-240098</t>
  </si>
  <si>
    <t>ADM-240099</t>
  </si>
  <si>
    <t>ADM-240100</t>
  </si>
  <si>
    <t>ADM-240101</t>
  </si>
  <si>
    <t>ADM-240102</t>
  </si>
  <si>
    <t>ADM-240103</t>
  </si>
  <si>
    <t>ADM-240104</t>
  </si>
  <si>
    <t>ADM-240105</t>
  </si>
  <si>
    <t>ADM-240106</t>
  </si>
  <si>
    <t>ADM-240107</t>
  </si>
  <si>
    <t>ADM-240108</t>
  </si>
  <si>
    <t>ADM-240109</t>
  </si>
  <si>
    <t>ADM-240110</t>
  </si>
  <si>
    <t>ADM-240111</t>
  </si>
  <si>
    <t>ADM-240112</t>
  </si>
  <si>
    <t>ADM-240113</t>
  </si>
  <si>
    <t>ADM-240114</t>
  </si>
  <si>
    <t>ADM-240115</t>
  </si>
  <si>
    <t>Deceased</t>
  </si>
  <si>
    <t>ADM-240116</t>
  </si>
  <si>
    <t>ADM-240117</t>
  </si>
  <si>
    <t>ADM-240118</t>
  </si>
  <si>
    <t>ADM-240119</t>
  </si>
  <si>
    <t>ADM-240120</t>
  </si>
  <si>
    <t>ADM-240121</t>
  </si>
  <si>
    <t>ADM-240122</t>
  </si>
  <si>
    <t>ADM-240123</t>
  </si>
  <si>
    <t>ADM-240124</t>
  </si>
  <si>
    <t>ADM-240125</t>
  </si>
  <si>
    <t>ADM-240126</t>
  </si>
  <si>
    <t>ADM-240127</t>
  </si>
  <si>
    <t>ADM-240128</t>
  </si>
  <si>
    <t>ADM-240129</t>
  </si>
  <si>
    <t>ADM-240130</t>
  </si>
  <si>
    <t>ADM-240131</t>
  </si>
  <si>
    <t>ADM-240132</t>
  </si>
  <si>
    <t>ADM-240133</t>
  </si>
  <si>
    <t>ADM-240134</t>
  </si>
  <si>
    <t>ADM-240135</t>
  </si>
  <si>
    <t>ADM-240136</t>
  </si>
  <si>
    <t>ADM-240137</t>
  </si>
  <si>
    <t>ADM-240138</t>
  </si>
  <si>
    <t>ADM-240139</t>
  </si>
  <si>
    <t>ADM-240140</t>
  </si>
  <si>
    <t>ADM-240141</t>
  </si>
  <si>
    <t>ADM-240142</t>
  </si>
  <si>
    <t>ADM-240143</t>
  </si>
  <si>
    <t>ADM-240144</t>
  </si>
  <si>
    <t>ADM-240145</t>
  </si>
  <si>
    <t>ADM-240146</t>
  </si>
  <si>
    <t>ADM-240147</t>
  </si>
  <si>
    <t>ADM-240148</t>
  </si>
  <si>
    <t>ADM-240149</t>
  </si>
  <si>
    <t>ADM-240150</t>
  </si>
  <si>
    <t>ADM-240151</t>
  </si>
  <si>
    <t>ADM-240152</t>
  </si>
  <si>
    <t>ADM-240153</t>
  </si>
  <si>
    <t>ADM-240154</t>
  </si>
  <si>
    <t>ADM-240155</t>
  </si>
  <si>
    <t>ADM-240156</t>
  </si>
  <si>
    <t>ADM-240157</t>
  </si>
  <si>
    <t>ADM-240158</t>
  </si>
  <si>
    <t>ADM-240159</t>
  </si>
  <si>
    <t>ADM-240160</t>
  </si>
  <si>
    <t>ADM-240161</t>
  </si>
  <si>
    <t>ADM-240162</t>
  </si>
  <si>
    <t>ADM-240163</t>
  </si>
  <si>
    <t>ADM-240164</t>
  </si>
  <si>
    <t>ADM-240165</t>
  </si>
  <si>
    <t>ADM-240166</t>
  </si>
  <si>
    <t>ADM-240167</t>
  </si>
  <si>
    <t>ADM-240168</t>
  </si>
  <si>
    <t>ADM-240169</t>
  </si>
  <si>
    <t>ADM-240170</t>
  </si>
  <si>
    <t>ADM-240171</t>
  </si>
  <si>
    <t>ADM-240172</t>
  </si>
  <si>
    <t>ADM-240173</t>
  </si>
  <si>
    <t>ADM-240174</t>
  </si>
  <si>
    <t>ADM-240175</t>
  </si>
  <si>
    <t>ADM-240176</t>
  </si>
  <si>
    <t>ADM-240177</t>
  </si>
  <si>
    <t>ADM-240178</t>
  </si>
  <si>
    <t>ADM-240179</t>
  </si>
  <si>
    <t>ADM-240180</t>
  </si>
  <si>
    <t>ADM-240181</t>
  </si>
  <si>
    <t>ADM-240182</t>
  </si>
  <si>
    <t>ADM-240183</t>
  </si>
  <si>
    <t>ADM-240184</t>
  </si>
  <si>
    <t>ADM-240185</t>
  </si>
  <si>
    <t>ADM-240186</t>
  </si>
  <si>
    <t>ADM-240187</t>
  </si>
  <si>
    <t>ADM-240188</t>
  </si>
  <si>
    <t>ADM-240189</t>
  </si>
  <si>
    <t>ADM-240190</t>
  </si>
  <si>
    <t>ADM-240191</t>
  </si>
  <si>
    <t>ADM-240192</t>
  </si>
  <si>
    <t>ADM-240193</t>
  </si>
  <si>
    <t>ADM-240194</t>
  </si>
  <si>
    <t>ADM-240195</t>
  </si>
  <si>
    <t>ADM-240196</t>
  </si>
  <si>
    <t>ADM-240197</t>
  </si>
  <si>
    <t>ADM-240198</t>
  </si>
  <si>
    <t>ADM-240199</t>
  </si>
  <si>
    <t>ADM-240200</t>
  </si>
  <si>
    <t>ADM-240201</t>
  </si>
  <si>
    <t>ADM-240202</t>
  </si>
  <si>
    <t>ADM-240203</t>
  </si>
  <si>
    <t>ADM-240204</t>
  </si>
  <si>
    <t>ADM-240205</t>
  </si>
  <si>
    <t>ADM-240206</t>
  </si>
  <si>
    <t>ADM-240207</t>
  </si>
  <si>
    <t>ADM-240208</t>
  </si>
  <si>
    <t>ADM-240209</t>
  </si>
  <si>
    <t>ADM-240210</t>
  </si>
  <si>
    <t>ADM-240211</t>
  </si>
  <si>
    <t>ADM-240212</t>
  </si>
  <si>
    <t>ADM-240213</t>
  </si>
  <si>
    <t>ADM-240214</t>
  </si>
  <si>
    <t>ADM-240215</t>
  </si>
  <si>
    <t>ADM-240216</t>
  </si>
  <si>
    <t>ADM-240217</t>
  </si>
  <si>
    <t>ADM-240218</t>
  </si>
  <si>
    <t>ADM-240219</t>
  </si>
  <si>
    <t>ADM-240220</t>
  </si>
  <si>
    <t>ADM-240221</t>
  </si>
  <si>
    <t>ADM-240222</t>
  </si>
  <si>
    <t>ADM-240223</t>
  </si>
  <si>
    <t>ADM-240224</t>
  </si>
  <si>
    <t>ADM-240225</t>
  </si>
  <si>
    <t>ADM-240226</t>
  </si>
  <si>
    <t>ADM-240227</t>
  </si>
  <si>
    <t>ADM-240228</t>
  </si>
  <si>
    <t>ADM-240229</t>
  </si>
  <si>
    <t>ADM-240230</t>
  </si>
  <si>
    <t>ADM-240231</t>
  </si>
  <si>
    <t>ADM-240232</t>
  </si>
  <si>
    <t>ADM-240233</t>
  </si>
  <si>
    <t>ADM-240234</t>
  </si>
  <si>
    <t>ADM-240235</t>
  </si>
  <si>
    <t>ADM-240236</t>
  </si>
  <si>
    <t>ADM-240237</t>
  </si>
  <si>
    <t>ADM-240238</t>
  </si>
  <si>
    <t>ADM-240239</t>
  </si>
  <si>
    <t>ADM-240240</t>
  </si>
  <si>
    <t>ADM-240241</t>
  </si>
  <si>
    <t>ADM-240242</t>
  </si>
  <si>
    <t>ADM-240243</t>
  </si>
  <si>
    <t>ADM-240244</t>
  </si>
  <si>
    <t>ADM-240245</t>
  </si>
  <si>
    <t>ADM-240246</t>
  </si>
  <si>
    <t>ADM-240247</t>
  </si>
  <si>
    <t>ADM-240248</t>
  </si>
  <si>
    <t>ADM-240249</t>
  </si>
  <si>
    <t>ADM-240250</t>
  </si>
  <si>
    <t>ADM-240251</t>
  </si>
  <si>
    <t>ADM-240252</t>
  </si>
  <si>
    <t>ADM-240253</t>
  </si>
  <si>
    <t>ADM-240254</t>
  </si>
  <si>
    <t>ADM-240255</t>
  </si>
  <si>
    <t>ADM-240256</t>
  </si>
  <si>
    <t>ADM-240257</t>
  </si>
  <si>
    <t>ADM-240258</t>
  </si>
  <si>
    <t>ADM-240259</t>
  </si>
  <si>
    <t>ADM-240260</t>
  </si>
  <si>
    <t>ADM-240261</t>
  </si>
  <si>
    <t>ADM-240262</t>
  </si>
  <si>
    <t>ADM-240263</t>
  </si>
  <si>
    <t>ADM-240264</t>
  </si>
  <si>
    <t>ADM-240265</t>
  </si>
  <si>
    <t>ADM-240266</t>
  </si>
  <si>
    <t>ADM-240267</t>
  </si>
  <si>
    <t>ADM-240268</t>
  </si>
  <si>
    <t>ADM-240269</t>
  </si>
  <si>
    <t>ADM-240270</t>
  </si>
  <si>
    <t>ADM-240271</t>
  </si>
  <si>
    <t>ADM-240272</t>
  </si>
  <si>
    <t>ADM-240273</t>
  </si>
  <si>
    <t>ADM-240274</t>
  </si>
  <si>
    <t>ADM-240275</t>
  </si>
  <si>
    <t>ADM-240276</t>
  </si>
  <si>
    <t>ADM-240277</t>
  </si>
  <si>
    <t>ADM-240278</t>
  </si>
  <si>
    <t>ADM-240279</t>
  </si>
  <si>
    <t>ADM-240280</t>
  </si>
  <si>
    <t>ADM-240281</t>
  </si>
  <si>
    <t>ADM-240282</t>
  </si>
  <si>
    <t>ADM-240283</t>
  </si>
  <si>
    <t>ADM-240284</t>
  </si>
  <si>
    <t>ADM-240285</t>
  </si>
  <si>
    <t>ADM-240286</t>
  </si>
  <si>
    <t>ADM-240287</t>
  </si>
  <si>
    <t>ADM-240288</t>
  </si>
  <si>
    <t>ADM-240289</t>
  </si>
  <si>
    <t>ADM-240290</t>
  </si>
  <si>
    <t>ADM-240291</t>
  </si>
  <si>
    <t>ADM-240292</t>
  </si>
  <si>
    <t>ADM-240293</t>
  </si>
  <si>
    <t>ADM-240294</t>
  </si>
  <si>
    <t>ADM-240295</t>
  </si>
  <si>
    <t>ADM-240296</t>
  </si>
  <si>
    <t>ADM-240297</t>
  </si>
  <si>
    <t>ADM-240298</t>
  </si>
  <si>
    <t>ADM-240299</t>
  </si>
  <si>
    <t>ADM-240300</t>
  </si>
  <si>
    <t>Feb</t>
  </si>
  <si>
    <t>ADM-240301</t>
  </si>
  <si>
    <t>ADM-240302</t>
  </si>
  <si>
    <t>ADM-240303</t>
  </si>
  <si>
    <t>ADM-240304</t>
  </si>
  <si>
    <t>ADM-240305</t>
  </si>
  <si>
    <t>ADM-240306</t>
  </si>
  <si>
    <t>ADM-240307</t>
  </si>
  <si>
    <t>ADM-240308</t>
  </si>
  <si>
    <t>ADM-240309</t>
  </si>
  <si>
    <t>ADM-240310</t>
  </si>
  <si>
    <t>ADM-240311</t>
  </si>
  <si>
    <t>ADM-240312</t>
  </si>
  <si>
    <t>ADM-240313</t>
  </si>
  <si>
    <t>ADM-240314</t>
  </si>
  <si>
    <t>ADM-240315</t>
  </si>
  <si>
    <t>ADM-240316</t>
  </si>
  <si>
    <t>ADM-240317</t>
  </si>
  <si>
    <t>ADM-240318</t>
  </si>
  <si>
    <t>ADM-240319</t>
  </si>
  <si>
    <t>ADM-240320</t>
  </si>
  <si>
    <t>ADM-240321</t>
  </si>
  <si>
    <t>ADM-240322</t>
  </si>
  <si>
    <t>ADM-240323</t>
  </si>
  <si>
    <t>ADM-240324</t>
  </si>
  <si>
    <t>ADM-240325</t>
  </si>
  <si>
    <t>ADM-240326</t>
  </si>
  <si>
    <t>ADM-240327</t>
  </si>
  <si>
    <t>ADM-240328</t>
  </si>
  <si>
    <t>ADM-240329</t>
  </si>
  <si>
    <t>ADM-240330</t>
  </si>
  <si>
    <t>ADM-240331</t>
  </si>
  <si>
    <t>ADM-240332</t>
  </si>
  <si>
    <t>ADM-240333</t>
  </si>
  <si>
    <t>ADM-240334</t>
  </si>
  <si>
    <t>ADM-240335</t>
  </si>
  <si>
    <t>ADM-240336</t>
  </si>
  <si>
    <t>ADM-240337</t>
  </si>
  <si>
    <t>ADM-240338</t>
  </si>
  <si>
    <t>ADM-240339</t>
  </si>
  <si>
    <t>ADM-240340</t>
  </si>
  <si>
    <t>ADM-240341</t>
  </si>
  <si>
    <t>ADM-240342</t>
  </si>
  <si>
    <t>ADM-240343</t>
  </si>
  <si>
    <t>ADM-240344</t>
  </si>
  <si>
    <t>ADM-240345</t>
  </si>
  <si>
    <t>ADM-240346</t>
  </si>
  <si>
    <t>ADM-240347</t>
  </si>
  <si>
    <t>ADM-240348</t>
  </si>
  <si>
    <t>ADM-240349</t>
  </si>
  <si>
    <t>ADM-240350</t>
  </si>
  <si>
    <t>ADM-240351</t>
  </si>
  <si>
    <t>ADM-240352</t>
  </si>
  <si>
    <t>ADM-240353</t>
  </si>
  <si>
    <t>ADM-240354</t>
  </si>
  <si>
    <t>ADM-240355</t>
  </si>
  <si>
    <t>ADM-240356</t>
  </si>
  <si>
    <t>ADM-240357</t>
  </si>
  <si>
    <t>ADM-240358</t>
  </si>
  <si>
    <t>ADM-240359</t>
  </si>
  <si>
    <t>ADM-240360</t>
  </si>
  <si>
    <t>ADM-240361</t>
  </si>
  <si>
    <t>ADM-240362</t>
  </si>
  <si>
    <t>ADM-240363</t>
  </si>
  <si>
    <t>ADM-240364</t>
  </si>
  <si>
    <t>ADM-240365</t>
  </si>
  <si>
    <t>ADM-240366</t>
  </si>
  <si>
    <t>ADM-240367</t>
  </si>
  <si>
    <t>ADM-240368</t>
  </si>
  <si>
    <t>ADM-240369</t>
  </si>
  <si>
    <t>ADM-240370</t>
  </si>
  <si>
    <t>ADM-240371</t>
  </si>
  <si>
    <t>ADM-240372</t>
  </si>
  <si>
    <t>ADM-240373</t>
  </si>
  <si>
    <t>ADM-240374</t>
  </si>
  <si>
    <t>ADM-240375</t>
  </si>
  <si>
    <t>ADM-240376</t>
  </si>
  <si>
    <t>ADM-240377</t>
  </si>
  <si>
    <t>ADM-240378</t>
  </si>
  <si>
    <t>ADM-240379</t>
  </si>
  <si>
    <t>ADM-240380</t>
  </si>
  <si>
    <t>ADM-240381</t>
  </si>
  <si>
    <t>ADM-240382</t>
  </si>
  <si>
    <t>ADM-240383</t>
  </si>
  <si>
    <t>ADM-240384</t>
  </si>
  <si>
    <t>ADM-240385</t>
  </si>
  <si>
    <t>ADM-240386</t>
  </si>
  <si>
    <t>ADM-240387</t>
  </si>
  <si>
    <t>ADM-240388</t>
  </si>
  <si>
    <t>ADM-240389</t>
  </si>
  <si>
    <t>ADM-240390</t>
  </si>
  <si>
    <t>ADM-240391</t>
  </si>
  <si>
    <t>ADM-240392</t>
  </si>
  <si>
    <t>ADM-240393</t>
  </si>
  <si>
    <t>ADM-240394</t>
  </si>
  <si>
    <t>ADM-240395</t>
  </si>
  <si>
    <t>ADM-240396</t>
  </si>
  <si>
    <t>ADM-240397</t>
  </si>
  <si>
    <t>ADM-240398</t>
  </si>
  <si>
    <t>ADM-240399</t>
  </si>
  <si>
    <t>ADM-240400</t>
  </si>
  <si>
    <t>ADM-240401</t>
  </si>
  <si>
    <t>ADM-240402</t>
  </si>
  <si>
    <t>ADM-240403</t>
  </si>
  <si>
    <t>ADM-240404</t>
  </si>
  <si>
    <t>ADM-240405</t>
  </si>
  <si>
    <t>ADM-240406</t>
  </si>
  <si>
    <t>ADM-240407</t>
  </si>
  <si>
    <t>ADM-240408</t>
  </si>
  <si>
    <t>ADM-240409</t>
  </si>
  <si>
    <t>ADM-240410</t>
  </si>
  <si>
    <t>ADM-240411</t>
  </si>
  <si>
    <t>ADM-240412</t>
  </si>
  <si>
    <t>ADM-240413</t>
  </si>
  <si>
    <t>ADM-240414</t>
  </si>
  <si>
    <t>ADM-240415</t>
  </si>
  <si>
    <t>ADM-240416</t>
  </si>
  <si>
    <t>ADM-240417</t>
  </si>
  <si>
    <t>ADM-240418</t>
  </si>
  <si>
    <t>ADM-240419</t>
  </si>
  <si>
    <t>ADM-240420</t>
  </si>
  <si>
    <t>ADM-240421</t>
  </si>
  <si>
    <t>ADM-240422</t>
  </si>
  <si>
    <t>ADM-240423</t>
  </si>
  <si>
    <t>ADM-240424</t>
  </si>
  <si>
    <t>ADM-240425</t>
  </si>
  <si>
    <t>ADM-240426</t>
  </si>
  <si>
    <t>ADM-240427</t>
  </si>
  <si>
    <t>ADM-240428</t>
  </si>
  <si>
    <t>ADM-240429</t>
  </si>
  <si>
    <t>ADM-240430</t>
  </si>
  <si>
    <t>ADM-240431</t>
  </si>
  <si>
    <t>ADM-240432</t>
  </si>
  <si>
    <t>ADM-240433</t>
  </si>
  <si>
    <t>ADM-240434</t>
  </si>
  <si>
    <t>ADM-240435</t>
  </si>
  <si>
    <t>ADM-240436</t>
  </si>
  <si>
    <t>ADM-240437</t>
  </si>
  <si>
    <t>ADM-240438</t>
  </si>
  <si>
    <t>ADM-240439</t>
  </si>
  <si>
    <t>ADM-240440</t>
  </si>
  <si>
    <t>ADM-240441</t>
  </si>
  <si>
    <t>ADM-240442</t>
  </si>
  <si>
    <t>ADM-240443</t>
  </si>
  <si>
    <t>ADM-240444</t>
  </si>
  <si>
    <t>ADM-240445</t>
  </si>
  <si>
    <t>ADM-240446</t>
  </si>
  <si>
    <t>ADM-240447</t>
  </si>
  <si>
    <t>ADM-240448</t>
  </si>
  <si>
    <t>ADM-240449</t>
  </si>
  <si>
    <t>ADM-240450</t>
  </si>
  <si>
    <t>ADM-240451</t>
  </si>
  <si>
    <t>ADM-240452</t>
  </si>
  <si>
    <t>ADM-240453</t>
  </si>
  <si>
    <t>ADM-240454</t>
  </si>
  <si>
    <t>ADM-240455</t>
  </si>
  <si>
    <t>ADM-240456</t>
  </si>
  <si>
    <t>ADM-240457</t>
  </si>
  <si>
    <t>ADM-240458</t>
  </si>
  <si>
    <t>ADM-240459</t>
  </si>
  <si>
    <t>ADM-240460</t>
  </si>
  <si>
    <t>ADM-240461</t>
  </si>
  <si>
    <t>ADM-240462</t>
  </si>
  <si>
    <t>ADM-240463</t>
  </si>
  <si>
    <t>ADM-240464</t>
  </si>
  <si>
    <t>ADM-240465</t>
  </si>
  <si>
    <t>ADM-240466</t>
  </si>
  <si>
    <t>ADM-240467</t>
  </si>
  <si>
    <t>ADM-240468</t>
  </si>
  <si>
    <t>ADM-240469</t>
  </si>
  <si>
    <t>ADM-240470</t>
  </si>
  <si>
    <t>ADM-240471</t>
  </si>
  <si>
    <t>ADM-240472</t>
  </si>
  <si>
    <t>ADM-240473</t>
  </si>
  <si>
    <t>ADM-240474</t>
  </si>
  <si>
    <t>ADM-240475</t>
  </si>
  <si>
    <t>ADM-240476</t>
  </si>
  <si>
    <t>ADM-240477</t>
  </si>
  <si>
    <t>ADM-240478</t>
  </si>
  <si>
    <t>ADM-240479</t>
  </si>
  <si>
    <t>ADM-240480</t>
  </si>
  <si>
    <t>ADM-240481</t>
  </si>
  <si>
    <t>ADM-240482</t>
  </si>
  <si>
    <t>ADM-240483</t>
  </si>
  <si>
    <t>ADM-240484</t>
  </si>
  <si>
    <t>ADM-240485</t>
  </si>
  <si>
    <t>ADM-240486</t>
  </si>
  <si>
    <t>ADM-240487</t>
  </si>
  <si>
    <t>ADM-240488</t>
  </si>
  <si>
    <t>ADM-240489</t>
  </si>
  <si>
    <t>ADM-240490</t>
  </si>
  <si>
    <t>ADM-240491</t>
  </si>
  <si>
    <t>ADM-240492</t>
  </si>
  <si>
    <t>ADM-240493</t>
  </si>
  <si>
    <t>ADM-240494</t>
  </si>
  <si>
    <t>ADM-240495</t>
  </si>
  <si>
    <t>ADM-240496</t>
  </si>
  <si>
    <t>ADM-240497</t>
  </si>
  <si>
    <t>ADM-240498</t>
  </si>
  <si>
    <t>ADM-240499</t>
  </si>
  <si>
    <t>ADM-240500</t>
  </si>
  <si>
    <t>ADM-240501</t>
  </si>
  <si>
    <t>ADM-240502</t>
  </si>
  <si>
    <t>ADM-240503</t>
  </si>
  <si>
    <t>ADM-240504</t>
  </si>
  <si>
    <t>ADM-240505</t>
  </si>
  <si>
    <t>ADM-240506</t>
  </si>
  <si>
    <t>ADM-240507</t>
  </si>
  <si>
    <t>ADM-240508</t>
  </si>
  <si>
    <t>ADM-240509</t>
  </si>
  <si>
    <t>ADM-240510</t>
  </si>
  <si>
    <t>ADM-240511</t>
  </si>
  <si>
    <t>ADM-240512</t>
  </si>
  <si>
    <t>ADM-240513</t>
  </si>
  <si>
    <t>ADM-240514</t>
  </si>
  <si>
    <t>ADM-240515</t>
  </si>
  <si>
    <t>ADM-240516</t>
  </si>
  <si>
    <t>ADM-240517</t>
  </si>
  <si>
    <t>ADM-240518</t>
  </si>
  <si>
    <t>ADM-240519</t>
  </si>
  <si>
    <t>ADM-240520</t>
  </si>
  <si>
    <t>ADM-240521</t>
  </si>
  <si>
    <t>ADM-240522</t>
  </si>
  <si>
    <t>ADM-240523</t>
  </si>
  <si>
    <t>ADM-240524</t>
  </si>
  <si>
    <t>ADM-240525</t>
  </si>
  <si>
    <t>ADM-240526</t>
  </si>
  <si>
    <t>ADM-240527</t>
  </si>
  <si>
    <t>ADM-240528</t>
  </si>
  <si>
    <t>ADM-240529</t>
  </si>
  <si>
    <t>ADM-240530</t>
  </si>
  <si>
    <t>ADM-240531</t>
  </si>
  <si>
    <t>ADM-240532</t>
  </si>
  <si>
    <t>ADM-240533</t>
  </si>
  <si>
    <t>ADM-240534</t>
  </si>
  <si>
    <t>ADM-240535</t>
  </si>
  <si>
    <t>ADM-240536</t>
  </si>
  <si>
    <t>ADM-240537</t>
  </si>
  <si>
    <t>ADM-240538</t>
  </si>
  <si>
    <t>ADM-240539</t>
  </si>
  <si>
    <t>ADM-240540</t>
  </si>
  <si>
    <t>ADM-240541</t>
  </si>
  <si>
    <t>ADM-240542</t>
  </si>
  <si>
    <t>ADM-240543</t>
  </si>
  <si>
    <t>ADM-240544</t>
  </si>
  <si>
    <t>ADM-240545</t>
  </si>
  <si>
    <t>ADM-240546</t>
  </si>
  <si>
    <t>ADM-240547</t>
  </si>
  <si>
    <t>ADM-240548</t>
  </si>
  <si>
    <t>ADM-240549</t>
  </si>
  <si>
    <t>ADM-240550</t>
  </si>
  <si>
    <t>ADM-240551</t>
  </si>
  <si>
    <t>ADM-240552</t>
  </si>
  <si>
    <t>ADM-240553</t>
  </si>
  <si>
    <t>Mar</t>
  </si>
  <si>
    <t>ADM-240554</t>
  </si>
  <si>
    <t>ADM-240555</t>
  </si>
  <si>
    <t>ADM-240556</t>
  </si>
  <si>
    <t>ADM-240557</t>
  </si>
  <si>
    <t>ADM-240558</t>
  </si>
  <si>
    <t>ADM-240559</t>
  </si>
  <si>
    <t>ADM-240560</t>
  </si>
  <si>
    <t>ADM-240561</t>
  </si>
  <si>
    <t>ADM-240562</t>
  </si>
  <si>
    <t>ADM-240563</t>
  </si>
  <si>
    <t>ADM-240564</t>
  </si>
  <si>
    <t>ADM-240565</t>
  </si>
  <si>
    <t>ADM-240566</t>
  </si>
  <si>
    <t>ADM-240567</t>
  </si>
  <si>
    <t>ADM-240568</t>
  </si>
  <si>
    <t>ADM-240569</t>
  </si>
  <si>
    <t>ADM-240570</t>
  </si>
  <si>
    <t>ADM-240571</t>
  </si>
  <si>
    <t>ADM-240572</t>
  </si>
  <si>
    <t>ADM-240573</t>
  </si>
  <si>
    <t>ADM-240574</t>
  </si>
  <si>
    <t>ADM-240575</t>
  </si>
  <si>
    <t>ADM-240576</t>
  </si>
  <si>
    <t>ADM-240577</t>
  </si>
  <si>
    <t>ADM-240578</t>
  </si>
  <si>
    <t>ADM-240579</t>
  </si>
  <si>
    <t>ADM-240580</t>
  </si>
  <si>
    <t>ADM-240581</t>
  </si>
  <si>
    <t>ADM-240582</t>
  </si>
  <si>
    <t>ADM-240583</t>
  </si>
  <si>
    <t>ADM-240584</t>
  </si>
  <si>
    <t>ADM-240585</t>
  </si>
  <si>
    <t>ADM-240586</t>
  </si>
  <si>
    <t>ADM-240587</t>
  </si>
  <si>
    <t>ADM-240588</t>
  </si>
  <si>
    <t>ADM-240589</t>
  </si>
  <si>
    <t>ADM-240590</t>
  </si>
  <si>
    <t>ADM-240591</t>
  </si>
  <si>
    <t>ADM-240592</t>
  </si>
  <si>
    <t>ADM-240593</t>
  </si>
  <si>
    <t>ADM-240594</t>
  </si>
  <si>
    <t>ADM-240595</t>
  </si>
  <si>
    <t>ADM-240596</t>
  </si>
  <si>
    <t>ADM-240597</t>
  </si>
  <si>
    <t>ADM-240598</t>
  </si>
  <si>
    <t>ADM-240599</t>
  </si>
  <si>
    <t>ADM-240600</t>
  </si>
  <si>
    <t>ADM-240601</t>
  </si>
  <si>
    <t>ADM-240602</t>
  </si>
  <si>
    <t>ADM-240603</t>
  </si>
  <si>
    <t>ADM-240604</t>
  </si>
  <si>
    <t>ADM-240605</t>
  </si>
  <si>
    <t>ADM-240606</t>
  </si>
  <si>
    <t>ADM-240607</t>
  </si>
  <si>
    <t>ADM-240608</t>
  </si>
  <si>
    <t>ADM-240609</t>
  </si>
  <si>
    <t>ADM-240610</t>
  </si>
  <si>
    <t>ADM-240611</t>
  </si>
  <si>
    <t>ADM-240612</t>
  </si>
  <si>
    <t>ADM-240613</t>
  </si>
  <si>
    <t>ADM-240614</t>
  </si>
  <si>
    <t>ADM-240615</t>
  </si>
  <si>
    <t>ADM-240616</t>
  </si>
  <si>
    <t>ADM-240617</t>
  </si>
  <si>
    <t>ADM-240618</t>
  </si>
  <si>
    <t>ADM-240619</t>
  </si>
  <si>
    <t>ADM-240620</t>
  </si>
  <si>
    <t>ADM-240621</t>
  </si>
  <si>
    <t>ADM-240622</t>
  </si>
  <si>
    <t>ADM-240623</t>
  </si>
  <si>
    <t>ADM-240624</t>
  </si>
  <si>
    <t>ADM-240625</t>
  </si>
  <si>
    <t>ADM-240626</t>
  </si>
  <si>
    <t>ADM-240627</t>
  </si>
  <si>
    <t>ADM-240628</t>
  </si>
  <si>
    <t>ADM-240629</t>
  </si>
  <si>
    <t>ADM-240630</t>
  </si>
  <si>
    <t>ADM-240631</t>
  </si>
  <si>
    <t>ADM-240632</t>
  </si>
  <si>
    <t>ADM-240633</t>
  </si>
  <si>
    <t>ADM-240634</t>
  </si>
  <si>
    <t>ADM-240635</t>
  </si>
  <si>
    <t>ADM-240636</t>
  </si>
  <si>
    <t>ADM-240637</t>
  </si>
  <si>
    <t>ADM-240638</t>
  </si>
  <si>
    <t>ADM-240639</t>
  </si>
  <si>
    <t>ADM-240640</t>
  </si>
  <si>
    <t>ADM-240641</t>
  </si>
  <si>
    <t>ADM-240642</t>
  </si>
  <si>
    <t>ADM-240643</t>
  </si>
  <si>
    <t>ADM-240644</t>
  </si>
  <si>
    <t>ADM-240645</t>
  </si>
  <si>
    <t>ADM-240646</t>
  </si>
  <si>
    <t>ADM-240647</t>
  </si>
  <si>
    <t>ADM-240648</t>
  </si>
  <si>
    <t>ADM-240649</t>
  </si>
  <si>
    <t>ADM-240650</t>
  </si>
  <si>
    <t>ADM-240651</t>
  </si>
  <si>
    <t>ADM-240652</t>
  </si>
  <si>
    <t>ADM-240653</t>
  </si>
  <si>
    <t>ADM-240654</t>
  </si>
  <si>
    <t>ADM-240655</t>
  </si>
  <si>
    <t>ADM-240656</t>
  </si>
  <si>
    <t>ADM-240657</t>
  </si>
  <si>
    <t>ADM-240658</t>
  </si>
  <si>
    <t>ADM-240659</t>
  </si>
  <si>
    <t>ADM-240660</t>
  </si>
  <si>
    <t>ADM-240661</t>
  </si>
  <si>
    <t>ADM-240662</t>
  </si>
  <si>
    <t>ADM-240663</t>
  </si>
  <si>
    <t>ADM-240664</t>
  </si>
  <si>
    <t>ADM-240665</t>
  </si>
  <si>
    <t>ADM-240666</t>
  </si>
  <si>
    <t>ADM-240667</t>
  </si>
  <si>
    <t>ADM-240668</t>
  </si>
  <si>
    <t>ADM-240669</t>
  </si>
  <si>
    <t>ADM-240670</t>
  </si>
  <si>
    <t>ADM-240671</t>
  </si>
  <si>
    <t>ADM-240672</t>
  </si>
  <si>
    <t>ADM-240673</t>
  </si>
  <si>
    <t>ADM-240674</t>
  </si>
  <si>
    <t>ADM-240675</t>
  </si>
  <si>
    <t>ADM-240676</t>
  </si>
  <si>
    <t>ADM-240677</t>
  </si>
  <si>
    <t>ADM-240678</t>
  </si>
  <si>
    <t>ADM-240679</t>
  </si>
  <si>
    <t>ADM-240680</t>
  </si>
  <si>
    <t>ADM-240681</t>
  </si>
  <si>
    <t>ADM-240682</t>
  </si>
  <si>
    <t>ADM-240683</t>
  </si>
  <si>
    <t>ADM-240684</t>
  </si>
  <si>
    <t>ADM-240685</t>
  </si>
  <si>
    <t>ADM-240686</t>
  </si>
  <si>
    <t>ADM-240687</t>
  </si>
  <si>
    <t>ADM-240688</t>
  </si>
  <si>
    <t>ADM-240689</t>
  </si>
  <si>
    <t>ADM-240690</t>
  </si>
  <si>
    <t>ADM-240691</t>
  </si>
  <si>
    <t>ADM-240692</t>
  </si>
  <si>
    <t>ADM-240693</t>
  </si>
  <si>
    <t>ADM-240694</t>
  </si>
  <si>
    <t>ADM-240695</t>
  </si>
  <si>
    <t>ADM-240696</t>
  </si>
  <si>
    <t>ADM-240697</t>
  </si>
  <si>
    <t>ADM-240698</t>
  </si>
  <si>
    <t>ADM-240699</t>
  </si>
  <si>
    <t>ADM-240700</t>
  </si>
  <si>
    <t>ADM-240701</t>
  </si>
  <si>
    <t>ADM-240702</t>
  </si>
  <si>
    <t>ADM-240703</t>
  </si>
  <si>
    <t>ADM-240704</t>
  </si>
  <si>
    <t>ADM-240705</t>
  </si>
  <si>
    <t>ADM-240706</t>
  </si>
  <si>
    <t>ADM-240707</t>
  </si>
  <si>
    <t>ADM-240708</t>
  </si>
  <si>
    <t>ADM-240709</t>
  </si>
  <si>
    <t>ADM-240710</t>
  </si>
  <si>
    <t>ADM-240711</t>
  </si>
  <si>
    <t>ADM-240712</t>
  </si>
  <si>
    <t>ADM-240713</t>
  </si>
  <si>
    <t>ADM-240714</t>
  </si>
  <si>
    <t>ADM-240715</t>
  </si>
  <si>
    <t>ADM-240716</t>
  </si>
  <si>
    <t>ADM-240717</t>
  </si>
  <si>
    <t>ADM-240718</t>
  </si>
  <si>
    <t>ADM-240719</t>
  </si>
  <si>
    <t>ADM-240720</t>
  </si>
  <si>
    <t>ADM-240721</t>
  </si>
  <si>
    <t>ADM-240722</t>
  </si>
  <si>
    <t>ADM-240723</t>
  </si>
  <si>
    <t>ADM-240724</t>
  </si>
  <si>
    <t>ADM-240725</t>
  </si>
  <si>
    <t>ADM-240726</t>
  </si>
  <si>
    <t>ADM-240727</t>
  </si>
  <si>
    <t>ADM-240728</t>
  </si>
  <si>
    <t>ADM-240729</t>
  </si>
  <si>
    <t>ADM-240730</t>
  </si>
  <si>
    <t>ADM-240731</t>
  </si>
  <si>
    <t>ADM-240732</t>
  </si>
  <si>
    <t>ADM-240733</t>
  </si>
  <si>
    <t>ADM-240734</t>
  </si>
  <si>
    <t>ADM-240735</t>
  </si>
  <si>
    <t>ADM-240736</t>
  </si>
  <si>
    <t>ADM-240737</t>
  </si>
  <si>
    <t>ADM-240738</t>
  </si>
  <si>
    <t>ADM-240739</t>
  </si>
  <si>
    <t>ADM-240740</t>
  </si>
  <si>
    <t>ADM-240741</t>
  </si>
  <si>
    <t>ADM-240742</t>
  </si>
  <si>
    <t>ADM-240743</t>
  </si>
  <si>
    <t>ADM-240744</t>
  </si>
  <si>
    <t>ADM-240745</t>
  </si>
  <si>
    <t>ADM-240746</t>
  </si>
  <si>
    <t>ADM-240747</t>
  </si>
  <si>
    <t>ADM-240748</t>
  </si>
  <si>
    <t>ADM-240749</t>
  </si>
  <si>
    <t>ADM-240750</t>
  </si>
  <si>
    <t>ADM-240751</t>
  </si>
  <si>
    <t>ADM-240752</t>
  </si>
  <si>
    <t>ADM-240753</t>
  </si>
  <si>
    <t>ADM-240754</t>
  </si>
  <si>
    <t>ADM-240755</t>
  </si>
  <si>
    <t>ADM-240756</t>
  </si>
  <si>
    <t>ADM-240757</t>
  </si>
  <si>
    <t>ADM-240758</t>
  </si>
  <si>
    <t>ADM-240759</t>
  </si>
  <si>
    <t>ADM-240760</t>
  </si>
  <si>
    <t>ADM-240761</t>
  </si>
  <si>
    <t>ADM-240762</t>
  </si>
  <si>
    <t>ADM-240763</t>
  </si>
  <si>
    <t>ADM-240764</t>
  </si>
  <si>
    <t>ADM-240765</t>
  </si>
  <si>
    <t>ADM-240766</t>
  </si>
  <si>
    <t>ADM-240767</t>
  </si>
  <si>
    <t>ADM-240768</t>
  </si>
  <si>
    <t>ADM-240769</t>
  </si>
  <si>
    <t>ADM-240770</t>
  </si>
  <si>
    <t>ADM-240771</t>
  </si>
  <si>
    <t>ADM-240772</t>
  </si>
  <si>
    <t>ADM-240773</t>
  </si>
  <si>
    <t>ADM-240774</t>
  </si>
  <si>
    <t>ADM-240775</t>
  </si>
  <si>
    <t>ADM-240776</t>
  </si>
  <si>
    <t>ADM-240777</t>
  </si>
  <si>
    <t>ADM-240778</t>
  </si>
  <si>
    <t>ADM-240779</t>
  </si>
  <si>
    <t>ADM-240780</t>
  </si>
  <si>
    <t>ADM-240781</t>
  </si>
  <si>
    <t>ADM-240782</t>
  </si>
  <si>
    <t>ADM-240783</t>
  </si>
  <si>
    <t>Q2</t>
  </si>
  <si>
    <t>Apr</t>
  </si>
  <si>
    <t>ADM-240784</t>
  </si>
  <si>
    <t>ADM-240785</t>
  </si>
  <si>
    <t>ADM-240786</t>
  </si>
  <si>
    <t>ADM-240787</t>
  </si>
  <si>
    <t>ADM-240788</t>
  </si>
  <si>
    <t>ADM-240789</t>
  </si>
  <si>
    <t>ADM-240790</t>
  </si>
  <si>
    <t>ADM-240791</t>
  </si>
  <si>
    <t>ADM-240792</t>
  </si>
  <si>
    <t>ADM-240793</t>
  </si>
  <si>
    <t>ADM-240794</t>
  </si>
  <si>
    <t>ADM-240795</t>
  </si>
  <si>
    <t>ADM-240796</t>
  </si>
  <si>
    <t>ADM-240797</t>
  </si>
  <si>
    <t>ADM-240798</t>
  </si>
  <si>
    <t>ADM-240799</t>
  </si>
  <si>
    <t>ADM-240800</t>
  </si>
  <si>
    <t>ADM-240801</t>
  </si>
  <si>
    <t>ADM-240802</t>
  </si>
  <si>
    <t>ADM-240803</t>
  </si>
  <si>
    <t>ADM-240804</t>
  </si>
  <si>
    <t>ADM-240805</t>
  </si>
  <si>
    <t>ADM-240806</t>
  </si>
  <si>
    <t>ADM-240807</t>
  </si>
  <si>
    <t>ADM-240808</t>
  </si>
  <si>
    <t>ADM-240809</t>
  </si>
  <si>
    <t>ADM-240810</t>
  </si>
  <si>
    <t>ADM-240811</t>
  </si>
  <si>
    <t>ADM-240812</t>
  </si>
  <si>
    <t>ADM-240813</t>
  </si>
  <si>
    <t>ADM-240814</t>
  </si>
  <si>
    <t>ADM-240815</t>
  </si>
  <si>
    <t>ADM-240816</t>
  </si>
  <si>
    <t>ADM-240817</t>
  </si>
  <si>
    <t>ADM-240818</t>
  </si>
  <si>
    <t>ADM-240819</t>
  </si>
  <si>
    <t>ADM-240820</t>
  </si>
  <si>
    <t>ADM-240821</t>
  </si>
  <si>
    <t>ADM-240822</t>
  </si>
  <si>
    <t>ADM-240823</t>
  </si>
  <si>
    <t>ADM-240824</t>
  </si>
  <si>
    <t>ADM-240825</t>
  </si>
  <si>
    <t>ADM-240826</t>
  </si>
  <si>
    <t>ADM-240827</t>
  </si>
  <si>
    <t>ADM-240828</t>
  </si>
  <si>
    <t>ADM-240829</t>
  </si>
  <si>
    <t>ADM-240830</t>
  </si>
  <si>
    <t>ADM-240831</t>
  </si>
  <si>
    <t>ADM-240832</t>
  </si>
  <si>
    <t>ADM-240833</t>
  </si>
  <si>
    <t>ADM-240834</t>
  </si>
  <si>
    <t>ADM-240835</t>
  </si>
  <si>
    <t>ADM-240836</t>
  </si>
  <si>
    <t>ADM-240837</t>
  </si>
  <si>
    <t>ADM-240838</t>
  </si>
  <si>
    <t>ADM-240839</t>
  </si>
  <si>
    <t>ADM-240840</t>
  </si>
  <si>
    <t>ADM-240841</t>
  </si>
  <si>
    <t>ADM-240842</t>
  </si>
  <si>
    <t>ADM-240843</t>
  </si>
  <si>
    <t>ADM-240844</t>
  </si>
  <si>
    <t>ADM-240845</t>
  </si>
  <si>
    <t>ADM-240846</t>
  </si>
  <si>
    <t>ADM-240847</t>
  </si>
  <si>
    <t>ADM-240848</t>
  </si>
  <si>
    <t>ADM-240849</t>
  </si>
  <si>
    <t>ADM-240850</t>
  </si>
  <si>
    <t>ADM-240851</t>
  </si>
  <si>
    <t>ADM-240852</t>
  </si>
  <si>
    <t>ADM-240853</t>
  </si>
  <si>
    <t>ADM-240854</t>
  </si>
  <si>
    <t>ADM-240855</t>
  </si>
  <si>
    <t>ADM-240856</t>
  </si>
  <si>
    <t>ADM-240857</t>
  </si>
  <si>
    <t>ADM-240858</t>
  </si>
  <si>
    <t>ADM-240859</t>
  </si>
  <si>
    <t>ADM-240860</t>
  </si>
  <si>
    <t>ADM-240861</t>
  </si>
  <si>
    <t>ADM-240862</t>
  </si>
  <si>
    <t>ADM-240863</t>
  </si>
  <si>
    <t>ADM-240864</t>
  </si>
  <si>
    <t>ADM-240865</t>
  </si>
  <si>
    <t>ADM-240866</t>
  </si>
  <si>
    <t>ADM-240867</t>
  </si>
  <si>
    <t>ADM-240868</t>
  </si>
  <si>
    <t>ADM-240869</t>
  </si>
  <si>
    <t>ADM-240870</t>
  </si>
  <si>
    <t>ADM-240871</t>
  </si>
  <si>
    <t>ADM-240872</t>
  </si>
  <si>
    <t>ADM-240873</t>
  </si>
  <si>
    <t>ADM-240874</t>
  </si>
  <si>
    <t>ADM-240875</t>
  </si>
  <si>
    <t>ADM-240876</t>
  </si>
  <si>
    <t>ADM-240877</t>
  </si>
  <si>
    <t>ADM-240878</t>
  </si>
  <si>
    <t>ADM-240879</t>
  </si>
  <si>
    <t>ADM-240880</t>
  </si>
  <si>
    <t>ADM-240881</t>
  </si>
  <si>
    <t>ADM-240882</t>
  </si>
  <si>
    <t>ADM-240883</t>
  </si>
  <si>
    <t>ADM-240884</t>
  </si>
  <si>
    <t>ADM-240885</t>
  </si>
  <si>
    <t>ADM-240886</t>
  </si>
  <si>
    <t>ADM-240887</t>
  </si>
  <si>
    <t>ADM-240888</t>
  </si>
  <si>
    <t>ADM-240889</t>
  </si>
  <si>
    <t>ADM-240890</t>
  </si>
  <si>
    <t>ADM-240891</t>
  </si>
  <si>
    <t>ADM-240892</t>
  </si>
  <si>
    <t>ADM-240893</t>
  </si>
  <si>
    <t>ADM-240894</t>
  </si>
  <si>
    <t>ADM-240895</t>
  </si>
  <si>
    <t>ADM-240896</t>
  </si>
  <si>
    <t>ADM-240897</t>
  </si>
  <si>
    <t>ADM-240898</t>
  </si>
  <si>
    <t>ADM-240899</t>
  </si>
  <si>
    <t>ADM-240900</t>
  </si>
  <si>
    <t>ADM-240901</t>
  </si>
  <si>
    <t>ADM-240902</t>
  </si>
  <si>
    <t>ADM-240903</t>
  </si>
  <si>
    <t>ADM-240904</t>
  </si>
  <si>
    <t>ADM-240905</t>
  </si>
  <si>
    <t>ADM-240906</t>
  </si>
  <si>
    <t>ADM-240907</t>
  </si>
  <si>
    <t>ADM-240908</t>
  </si>
  <si>
    <t>ADM-240909</t>
  </si>
  <si>
    <t>ADM-240910</t>
  </si>
  <si>
    <t>ADM-240911</t>
  </si>
  <si>
    <t>ADM-240912</t>
  </si>
  <si>
    <t>ADM-240913</t>
  </si>
  <si>
    <t>ADM-240914</t>
  </si>
  <si>
    <t>ADM-240915</t>
  </si>
  <si>
    <t>ADM-240916</t>
  </si>
  <si>
    <t>ADM-240917</t>
  </si>
  <si>
    <t>ADM-240918</t>
  </si>
  <si>
    <t>ADM-240919</t>
  </si>
  <si>
    <t>ADM-240920</t>
  </si>
  <si>
    <t>ADM-240921</t>
  </si>
  <si>
    <t>ADM-240922</t>
  </si>
  <si>
    <t>ADM-240923</t>
  </si>
  <si>
    <t>ADM-240924</t>
  </si>
  <si>
    <t>ADM-240925</t>
  </si>
  <si>
    <t>ADM-240926</t>
  </si>
  <si>
    <t>ADM-240927</t>
  </si>
  <si>
    <t>ADM-240928</t>
  </si>
  <si>
    <t>ADM-240929</t>
  </si>
  <si>
    <t>ADM-240930</t>
  </si>
  <si>
    <t>ADM-240931</t>
  </si>
  <si>
    <t>ADM-240932</t>
  </si>
  <si>
    <t>ADM-240933</t>
  </si>
  <si>
    <t>ADM-240934</t>
  </si>
  <si>
    <t>ADM-240935</t>
  </si>
  <si>
    <t>ADM-240936</t>
  </si>
  <si>
    <t>ADM-240937</t>
  </si>
  <si>
    <t>ADM-240938</t>
  </si>
  <si>
    <t>ADM-240939</t>
  </si>
  <si>
    <t>ADM-240940</t>
  </si>
  <si>
    <t>ADM-240941</t>
  </si>
  <si>
    <t>ADM-240942</t>
  </si>
  <si>
    <t>ADM-240943</t>
  </si>
  <si>
    <t>ADM-240944</t>
  </si>
  <si>
    <t>ADM-240945</t>
  </si>
  <si>
    <t>ADM-240946</t>
  </si>
  <si>
    <t>ADM-240947</t>
  </si>
  <si>
    <t>ADM-240948</t>
  </si>
  <si>
    <t>ADM-240949</t>
  </si>
  <si>
    <t>ADM-240950</t>
  </si>
  <si>
    <t>ADM-240951</t>
  </si>
  <si>
    <t>ADM-240952</t>
  </si>
  <si>
    <t>ADM-240953</t>
  </si>
  <si>
    <t>ADM-240954</t>
  </si>
  <si>
    <t>ADM-240955</t>
  </si>
  <si>
    <t>ADM-240956</t>
  </si>
  <si>
    <t>ADM-240957</t>
  </si>
  <si>
    <t>ADM-240958</t>
  </si>
  <si>
    <t>ADM-240959</t>
  </si>
  <si>
    <t>ADM-240960</t>
  </si>
  <si>
    <t>ADM-240961</t>
  </si>
  <si>
    <t>ADM-240962</t>
  </si>
  <si>
    <t>ADM-240963</t>
  </si>
  <si>
    <t>ADM-240964</t>
  </si>
  <si>
    <t>ADM-240965</t>
  </si>
  <si>
    <t>ADM-240966</t>
  </si>
  <si>
    <t>ADM-240967</t>
  </si>
  <si>
    <t>ADM-240968</t>
  </si>
  <si>
    <t>ADM-240969</t>
  </si>
  <si>
    <t>ADM-240970</t>
  </si>
  <si>
    <t>ADM-240971</t>
  </si>
  <si>
    <t>ADM-240972</t>
  </si>
  <si>
    <t>ADM-240973</t>
  </si>
  <si>
    <t>ADM-240974</t>
  </si>
  <si>
    <t>ADM-240975</t>
  </si>
  <si>
    <t>ADM-240976</t>
  </si>
  <si>
    <t>ADM-240977</t>
  </si>
  <si>
    <t>ADM-240978</t>
  </si>
  <si>
    <t>ADM-240979</t>
  </si>
  <si>
    <t>ADM-240980</t>
  </si>
  <si>
    <t>ADM-240981</t>
  </si>
  <si>
    <t>ADM-240982</t>
  </si>
  <si>
    <t>ADM-240983</t>
  </si>
  <si>
    <t>ADM-240984</t>
  </si>
  <si>
    <t>ADM-240985</t>
  </si>
  <si>
    <t>ADM-240986</t>
  </si>
  <si>
    <t>ADM-240987</t>
  </si>
  <si>
    <t>ADM-240988</t>
  </si>
  <si>
    <t>ADM-240989</t>
  </si>
  <si>
    <t>ADM-240990</t>
  </si>
  <si>
    <t>ADM-240991</t>
  </si>
  <si>
    <t>ADM-240992</t>
  </si>
  <si>
    <t>ADM-240993</t>
  </si>
  <si>
    <t>ADM-240994</t>
  </si>
  <si>
    <t>ADM-240995</t>
  </si>
  <si>
    <t>ADM-240996</t>
  </si>
  <si>
    <t>ADM-240997</t>
  </si>
  <si>
    <t>ADM-240998</t>
  </si>
  <si>
    <t>ADM-240999</t>
  </si>
  <si>
    <t>ADM-241000</t>
  </si>
  <si>
    <t>ADM-241001</t>
  </si>
  <si>
    <t>ADM-241002</t>
  </si>
  <si>
    <t>ADM-241003</t>
  </si>
  <si>
    <t>ADM-241004</t>
  </si>
  <si>
    <t>ADM-241005</t>
  </si>
  <si>
    <t>ADM-241006</t>
  </si>
  <si>
    <t>ADM-241007</t>
  </si>
  <si>
    <t>May</t>
  </si>
  <si>
    <t>ADM-241008</t>
  </si>
  <si>
    <t>ADM-241009</t>
  </si>
  <si>
    <t>ADM-241010</t>
  </si>
  <si>
    <t>ADM-241011</t>
  </si>
  <si>
    <t>ADM-241012</t>
  </si>
  <si>
    <t>ADM-241013</t>
  </si>
  <si>
    <t>ADM-241014</t>
  </si>
  <si>
    <t>ADM-241015</t>
  </si>
  <si>
    <t>ADM-241016</t>
  </si>
  <si>
    <t>ADM-241017</t>
  </si>
  <si>
    <t>ADM-241018</t>
  </si>
  <si>
    <t>ADM-241019</t>
  </si>
  <si>
    <t>ADM-241020</t>
  </si>
  <si>
    <t>ADM-241021</t>
  </si>
  <si>
    <t>ADM-241022</t>
  </si>
  <si>
    <t>ADM-241023</t>
  </si>
  <si>
    <t>ADM-241024</t>
  </si>
  <si>
    <t>ADM-241025</t>
  </si>
  <si>
    <t>ADM-241026</t>
  </si>
  <si>
    <t>ADM-241027</t>
  </si>
  <si>
    <t>ADM-241028</t>
  </si>
  <si>
    <t>ADM-241029</t>
  </si>
  <si>
    <t>ADM-241030</t>
  </si>
  <si>
    <t>ADM-241031</t>
  </si>
  <si>
    <t>ADM-241032</t>
  </si>
  <si>
    <t>ADM-241033</t>
  </si>
  <si>
    <t>ADM-241034</t>
  </si>
  <si>
    <t>ADM-241035</t>
  </si>
  <si>
    <t>ADM-241036</t>
  </si>
  <si>
    <t>ADM-241037</t>
  </si>
  <si>
    <t>ADM-241038</t>
  </si>
  <si>
    <t>ADM-241039</t>
  </si>
  <si>
    <t>ADM-241040</t>
  </si>
  <si>
    <t>ADM-241041</t>
  </si>
  <si>
    <t>ADM-241042</t>
  </si>
  <si>
    <t>ADM-241043</t>
  </si>
  <si>
    <t>ADM-241044</t>
  </si>
  <si>
    <t>ADM-241045</t>
  </si>
  <si>
    <t>ADM-241046</t>
  </si>
  <si>
    <t>ADM-241047</t>
  </si>
  <si>
    <t>ADM-241048</t>
  </si>
  <si>
    <t>ADM-241049</t>
  </si>
  <si>
    <t>ADM-241050</t>
  </si>
  <si>
    <t>ADM-241051</t>
  </si>
  <si>
    <t>ADM-241052</t>
  </si>
  <si>
    <t>ADM-241053</t>
  </si>
  <si>
    <t>ADM-241054</t>
  </si>
  <si>
    <t>ADM-241055</t>
  </si>
  <si>
    <t>ADM-241056</t>
  </si>
  <si>
    <t>ADM-241057</t>
  </si>
  <si>
    <t>ADM-241058</t>
  </si>
  <si>
    <t>ADM-241059</t>
  </si>
  <si>
    <t>ADM-241060</t>
  </si>
  <si>
    <t>ADM-241061</t>
  </si>
  <si>
    <t>ADM-241062</t>
  </si>
  <si>
    <t>ADM-241063</t>
  </si>
  <si>
    <t>ADM-241064</t>
  </si>
  <si>
    <t>ADM-241065</t>
  </si>
  <si>
    <t>ADM-241066</t>
  </si>
  <si>
    <t>ADM-241067</t>
  </si>
  <si>
    <t>ADM-241068</t>
  </si>
  <si>
    <t>ADM-241069</t>
  </si>
  <si>
    <t>ADM-241070</t>
  </si>
  <si>
    <t>ADM-241071</t>
  </si>
  <si>
    <t>ADM-241072</t>
  </si>
  <si>
    <t>ADM-241073</t>
  </si>
  <si>
    <t>ADM-241074</t>
  </si>
  <si>
    <t>ADM-241075</t>
  </si>
  <si>
    <t>ADM-241076</t>
  </si>
  <si>
    <t>ADM-241077</t>
  </si>
  <si>
    <t>ADM-241078</t>
  </si>
  <si>
    <t>ADM-241079</t>
  </si>
  <si>
    <t>ADM-241080</t>
  </si>
  <si>
    <t>ADM-241081</t>
  </si>
  <si>
    <t>ADM-241082</t>
  </si>
  <si>
    <t>ADM-241083</t>
  </si>
  <si>
    <t>ADM-241084</t>
  </si>
  <si>
    <t>ADM-241085</t>
  </si>
  <si>
    <t>ADM-241086</t>
  </si>
  <si>
    <t>ADM-241087</t>
  </si>
  <si>
    <t>ADM-241088</t>
  </si>
  <si>
    <t>ADM-241089</t>
  </si>
  <si>
    <t>ADM-241090</t>
  </si>
  <si>
    <t>ADM-241091</t>
  </si>
  <si>
    <t>ADM-241092</t>
  </si>
  <si>
    <t>ADM-241093</t>
  </si>
  <si>
    <t>ADM-241094</t>
  </si>
  <si>
    <t>ADM-241095</t>
  </si>
  <si>
    <t>ADM-241096</t>
  </si>
  <si>
    <t>ADM-241097</t>
  </si>
  <si>
    <t>ADM-241098</t>
  </si>
  <si>
    <t>ADM-241099</t>
  </si>
  <si>
    <t>ADM-241100</t>
  </si>
  <si>
    <t>ADM-241101</t>
  </si>
  <si>
    <t>ADM-241102</t>
  </si>
  <si>
    <t>ADM-241103</t>
  </si>
  <si>
    <t>ADM-241104</t>
  </si>
  <si>
    <t>ADM-241105</t>
  </si>
  <si>
    <t>ADM-241106</t>
  </si>
  <si>
    <t>ADM-241107</t>
  </si>
  <si>
    <t>ADM-241108</t>
  </si>
  <si>
    <t>ADM-241109</t>
  </si>
  <si>
    <t>ADM-241110</t>
  </si>
  <si>
    <t>ADM-241111</t>
  </si>
  <si>
    <t>ADM-241112</t>
  </si>
  <si>
    <t>ADM-241113</t>
  </si>
  <si>
    <t>ADM-241114</t>
  </si>
  <si>
    <t>ADM-241115</t>
  </si>
  <si>
    <t>ADM-241116</t>
  </si>
  <si>
    <t>ADM-241117</t>
  </si>
  <si>
    <t>ADM-241118</t>
  </si>
  <si>
    <t>ADM-241119</t>
  </si>
  <si>
    <t>ADM-241120</t>
  </si>
  <si>
    <t>ADM-241121</t>
  </si>
  <si>
    <t>ADM-241122</t>
  </si>
  <si>
    <t>ADM-241123</t>
  </si>
  <si>
    <t>ADM-241124</t>
  </si>
  <si>
    <t>ADM-241125</t>
  </si>
  <si>
    <t>ADM-241126</t>
  </si>
  <si>
    <t>ADM-241127</t>
  </si>
  <si>
    <t>ADM-241128</t>
  </si>
  <si>
    <t>ADM-241129</t>
  </si>
  <si>
    <t>ADM-241130</t>
  </si>
  <si>
    <t>ADM-241131</t>
  </si>
  <si>
    <t>ADM-241132</t>
  </si>
  <si>
    <t>ADM-241133</t>
  </si>
  <si>
    <t>ADM-241134</t>
  </si>
  <si>
    <t>ADM-241135</t>
  </si>
  <si>
    <t>ADM-241136</t>
  </si>
  <si>
    <t>ADM-241137</t>
  </si>
  <si>
    <t>ADM-241138</t>
  </si>
  <si>
    <t>ADM-241139</t>
  </si>
  <si>
    <t>ADM-241140</t>
  </si>
  <si>
    <t>ADM-241141</t>
  </si>
  <si>
    <t>ADM-241142</t>
  </si>
  <si>
    <t>ADM-241143</t>
  </si>
  <si>
    <t>ADM-241144</t>
  </si>
  <si>
    <t>ADM-241145</t>
  </si>
  <si>
    <t>ADM-241146</t>
  </si>
  <si>
    <t>ADM-241147</t>
  </si>
  <si>
    <t>ADM-241148</t>
  </si>
  <si>
    <t>ADM-241149</t>
  </si>
  <si>
    <t>ADM-241150</t>
  </si>
  <si>
    <t>ADM-241151</t>
  </si>
  <si>
    <t>ADM-241152</t>
  </si>
  <si>
    <t>ADM-241153</t>
  </si>
  <si>
    <t>ADM-241154</t>
  </si>
  <si>
    <t>ADM-241155</t>
  </si>
  <si>
    <t>ADM-241156</t>
  </si>
  <si>
    <t>ADM-241157</t>
  </si>
  <si>
    <t>ADM-241158</t>
  </si>
  <si>
    <t>ADM-241159</t>
  </si>
  <si>
    <t>ADM-241160</t>
  </si>
  <si>
    <t>ADM-241161</t>
  </si>
  <si>
    <t>ADM-241162</t>
  </si>
  <si>
    <t>ADM-241163</t>
  </si>
  <si>
    <t>ADM-241164</t>
  </si>
  <si>
    <t>ADM-241165</t>
  </si>
  <si>
    <t>ADM-241166</t>
  </si>
  <si>
    <t>ADM-241167</t>
  </si>
  <si>
    <t>ADM-241168</t>
  </si>
  <si>
    <t>ADM-241169</t>
  </si>
  <si>
    <t>ADM-241170</t>
  </si>
  <si>
    <t>ADM-241171</t>
  </si>
  <si>
    <t>ADM-241172</t>
  </si>
  <si>
    <t>ADM-241173</t>
  </si>
  <si>
    <t>ADM-241174</t>
  </si>
  <si>
    <t>ADM-241175</t>
  </si>
  <si>
    <t>ADM-241176</t>
  </si>
  <si>
    <t>ADM-241177</t>
  </si>
  <si>
    <t>ADM-241178</t>
  </si>
  <si>
    <t>ADM-241179</t>
  </si>
  <si>
    <t>ADM-241180</t>
  </si>
  <si>
    <t>ADM-241181</t>
  </si>
  <si>
    <t>ADM-241182</t>
  </si>
  <si>
    <t>ADM-241183</t>
  </si>
  <si>
    <t>ADM-241184</t>
  </si>
  <si>
    <t>ADM-241185</t>
  </si>
  <si>
    <t>ADM-241186</t>
  </si>
  <si>
    <t>ADM-241187</t>
  </si>
  <si>
    <t>ADM-241188</t>
  </si>
  <si>
    <t>ADM-241189</t>
  </si>
  <si>
    <t>ADM-241190</t>
  </si>
  <si>
    <t>ADM-241191</t>
  </si>
  <si>
    <t>ADM-241192</t>
  </si>
  <si>
    <t>ADM-241193</t>
  </si>
  <si>
    <t>ADM-241194</t>
  </si>
  <si>
    <t>ADM-241195</t>
  </si>
  <si>
    <t>ADM-241196</t>
  </si>
  <si>
    <t>ADM-241197</t>
  </si>
  <si>
    <t>ADM-241198</t>
  </si>
  <si>
    <t>ADM-241199</t>
  </si>
  <si>
    <t>ADM-241200</t>
  </si>
  <si>
    <t>ADM-241201</t>
  </si>
  <si>
    <t>ADM-241202</t>
  </si>
  <si>
    <t>ADM-241203</t>
  </si>
  <si>
    <t>ADM-241204</t>
  </si>
  <si>
    <t>ADM-241205</t>
  </si>
  <si>
    <t>ADM-241206</t>
  </si>
  <si>
    <t>ADM-241207</t>
  </si>
  <si>
    <t>ADM-241208</t>
  </si>
  <si>
    <t>Jun</t>
  </si>
  <si>
    <t>ADM-241209</t>
  </si>
  <si>
    <t>ADM-241210</t>
  </si>
  <si>
    <t>ADM-241211</t>
  </si>
  <si>
    <t>ADM-241212</t>
  </si>
  <si>
    <t>ADM-241213</t>
  </si>
  <si>
    <t>ADM-241214</t>
  </si>
  <si>
    <t>ADM-241215</t>
  </si>
  <si>
    <t>ADM-241216</t>
  </si>
  <si>
    <t>ADM-241217</t>
  </si>
  <si>
    <t>ADM-241218</t>
  </si>
  <si>
    <t>ADM-241219</t>
  </si>
  <si>
    <t>ADM-241220</t>
  </si>
  <si>
    <t>ADM-241221</t>
  </si>
  <si>
    <t>ADM-241222</t>
  </si>
  <si>
    <t>ADM-241223</t>
  </si>
  <si>
    <t>ADM-241224</t>
  </si>
  <si>
    <t>ADM-241225</t>
  </si>
  <si>
    <t>ADM-241226</t>
  </si>
  <si>
    <t>ADM-241227</t>
  </si>
  <si>
    <t>ADM-241228</t>
  </si>
  <si>
    <t>ADM-241229</t>
  </si>
  <si>
    <t>ADM-241230</t>
  </si>
  <si>
    <t>ADM-241231</t>
  </si>
  <si>
    <t>ADM-241232</t>
  </si>
  <si>
    <t>ADM-241233</t>
  </si>
  <si>
    <t>ADM-241234</t>
  </si>
  <si>
    <t>ADM-241235</t>
  </si>
  <si>
    <t>ADM-241236</t>
  </si>
  <si>
    <t>ADM-241237</t>
  </si>
  <si>
    <t>ADM-241238</t>
  </si>
  <si>
    <t>ADM-241239</t>
  </si>
  <si>
    <t>ADM-241240</t>
  </si>
  <si>
    <t>ADM-241241</t>
  </si>
  <si>
    <t>ADM-241242</t>
  </si>
  <si>
    <t>ADM-241243</t>
  </si>
  <si>
    <t>ADM-241244</t>
  </si>
  <si>
    <t>ADM-241245</t>
  </si>
  <si>
    <t>ADM-241246</t>
  </si>
  <si>
    <t>ADM-241247</t>
  </si>
  <si>
    <t>ADM-241248</t>
  </si>
  <si>
    <t>ADM-241249</t>
  </si>
  <si>
    <t>ADM-241250</t>
  </si>
  <si>
    <t>ADM-241251</t>
  </si>
  <si>
    <t>ADM-241252</t>
  </si>
  <si>
    <t>ADM-241253</t>
  </si>
  <si>
    <t>ADM-241254</t>
  </si>
  <si>
    <t>ADM-241255</t>
  </si>
  <si>
    <t>ADM-241256</t>
  </si>
  <si>
    <t>ADM-241257</t>
  </si>
  <si>
    <t>ADM-241258</t>
  </si>
  <si>
    <t>ADM-241259</t>
  </si>
  <si>
    <t>ADM-241260</t>
  </si>
  <si>
    <t>ADM-241261</t>
  </si>
  <si>
    <t>ADM-241262</t>
  </si>
  <si>
    <t>ADM-241263</t>
  </si>
  <si>
    <t>ADM-241264</t>
  </si>
  <si>
    <t>ADM-241265</t>
  </si>
  <si>
    <t>ADM-241266</t>
  </si>
  <si>
    <t>ADM-241267</t>
  </si>
  <si>
    <t>ADM-241268</t>
  </si>
  <si>
    <t>ADM-241269</t>
  </si>
  <si>
    <t>ADM-241270</t>
  </si>
  <si>
    <t>ADM-241271</t>
  </si>
  <si>
    <t>ADM-241272</t>
  </si>
  <si>
    <t>ADM-241273</t>
  </si>
  <si>
    <t>ADM-241274</t>
  </si>
  <si>
    <t>ADM-241275</t>
  </si>
  <si>
    <t>ADM-241276</t>
  </si>
  <si>
    <t>ADM-241277</t>
  </si>
  <si>
    <t>ADM-241278</t>
  </si>
  <si>
    <t>ADM-241279</t>
  </si>
  <si>
    <t>ADM-241280</t>
  </si>
  <si>
    <t>ADM-241281</t>
  </si>
  <si>
    <t>ADM-241282</t>
  </si>
  <si>
    <t>ADM-241283</t>
  </si>
  <si>
    <t>ADM-241284</t>
  </si>
  <si>
    <t>ADM-241285</t>
  </si>
  <si>
    <t>ADM-241286</t>
  </si>
  <si>
    <t>ADM-241287</t>
  </si>
  <si>
    <t>ADM-241288</t>
  </si>
  <si>
    <t>ADM-241289</t>
  </si>
  <si>
    <t>ADM-241290</t>
  </si>
  <si>
    <t>ADM-241291</t>
  </si>
  <si>
    <t>ADM-241292</t>
  </si>
  <si>
    <t>ADM-241293</t>
  </si>
  <si>
    <t>ADM-241294</t>
  </si>
  <si>
    <t>ADM-241295</t>
  </si>
  <si>
    <t>ADM-241296</t>
  </si>
  <si>
    <t>ADM-241297</t>
  </si>
  <si>
    <t>ADM-241298</t>
  </si>
  <si>
    <t>ADM-241299</t>
  </si>
  <si>
    <t>ADM-241300</t>
  </si>
  <si>
    <t>ADM-241301</t>
  </si>
  <si>
    <t>ADM-241302</t>
  </si>
  <si>
    <t>ADM-241303</t>
  </si>
  <si>
    <t>ADM-241304</t>
  </si>
  <si>
    <t>ADM-241305</t>
  </si>
  <si>
    <t>ADM-241306</t>
  </si>
  <si>
    <t>ADM-241307</t>
  </si>
  <si>
    <t>ADM-241308</t>
  </si>
  <si>
    <t>ADM-241309</t>
  </si>
  <si>
    <t>ADM-241310</t>
  </si>
  <si>
    <t>ADM-241311</t>
  </si>
  <si>
    <t>ADM-241312</t>
  </si>
  <si>
    <t>ADM-241313</t>
  </si>
  <si>
    <t>ADM-241314</t>
  </si>
  <si>
    <t>ADM-241315</t>
  </si>
  <si>
    <t>ADM-241316</t>
  </si>
  <si>
    <t>ADM-241317</t>
  </si>
  <si>
    <t>ADM-241318</t>
  </si>
  <si>
    <t>ADM-241319</t>
  </si>
  <si>
    <t>ADM-241320</t>
  </si>
  <si>
    <t>ADM-241321</t>
  </si>
  <si>
    <t>ADM-241322</t>
  </si>
  <si>
    <t>ADM-241323</t>
  </si>
  <si>
    <t>ADM-241324</t>
  </si>
  <si>
    <t>ADM-241325</t>
  </si>
  <si>
    <t>ADM-241326</t>
  </si>
  <si>
    <t>ADM-241327</t>
  </si>
  <si>
    <t>ADM-241328</t>
  </si>
  <si>
    <t>ADM-241329</t>
  </si>
  <si>
    <t>ADM-241330</t>
  </si>
  <si>
    <t>ADM-241331</t>
  </si>
  <si>
    <t>ADM-241332</t>
  </si>
  <si>
    <t>ADM-241333</t>
  </si>
  <si>
    <t>ADM-241334</t>
  </si>
  <si>
    <t>ADM-241335</t>
  </si>
  <si>
    <t>ADM-241336</t>
  </si>
  <si>
    <t>ADM-241337</t>
  </si>
  <si>
    <t>ADM-241338</t>
  </si>
  <si>
    <t>ADM-241339</t>
  </si>
  <si>
    <t>ADM-241340</t>
  </si>
  <si>
    <t>ADM-241341</t>
  </si>
  <si>
    <t>ADM-241342</t>
  </si>
  <si>
    <t>ADM-241343</t>
  </si>
  <si>
    <t>ADM-241344</t>
  </si>
  <si>
    <t>ADM-241345</t>
  </si>
  <si>
    <t>ADM-241346</t>
  </si>
  <si>
    <t>ADM-241347</t>
  </si>
  <si>
    <t>ADM-241348</t>
  </si>
  <si>
    <t>ADM-241349</t>
  </si>
  <si>
    <t>ADM-241350</t>
  </si>
  <si>
    <t>ADM-241351</t>
  </si>
  <si>
    <t>ADM-241352</t>
  </si>
  <si>
    <t>ADM-241353</t>
  </si>
  <si>
    <t>ADM-241354</t>
  </si>
  <si>
    <t>ADM-241355</t>
  </si>
  <si>
    <t>ADM-241356</t>
  </si>
  <si>
    <t>ADM-241357</t>
  </si>
  <si>
    <t>ADM-241358</t>
  </si>
  <si>
    <t>ADM-241359</t>
  </si>
  <si>
    <t>ADM-241360</t>
  </si>
  <si>
    <t>ADM-241361</t>
  </si>
  <si>
    <t>ADM-241362</t>
  </si>
  <si>
    <t>ADM-241363</t>
  </si>
  <si>
    <t>ADM-241364</t>
  </si>
  <si>
    <t>ADM-241365</t>
  </si>
  <si>
    <t>ADM-241366</t>
  </si>
  <si>
    <t>ADM-241367</t>
  </si>
  <si>
    <t>ADM-241368</t>
  </si>
  <si>
    <t>ADM-241369</t>
  </si>
  <si>
    <t>ADM-241370</t>
  </si>
  <si>
    <t>ADM-241371</t>
  </si>
  <si>
    <t>ADM-241372</t>
  </si>
  <si>
    <t>ADM-241373</t>
  </si>
  <si>
    <t>ADM-241374</t>
  </si>
  <si>
    <t>ADM-241375</t>
  </si>
  <si>
    <t>ADM-241376</t>
  </si>
  <si>
    <t>ADM-241377</t>
  </si>
  <si>
    <t>ADM-241378</t>
  </si>
  <si>
    <t>ADM-241379</t>
  </si>
  <si>
    <t>ADM-241380</t>
  </si>
  <si>
    <t>ADM-241381</t>
  </si>
  <si>
    <t>ADM-241382</t>
  </si>
  <si>
    <t>ADM-241383</t>
  </si>
  <si>
    <t>ADM-241384</t>
  </si>
  <si>
    <t>ADM-241385</t>
  </si>
  <si>
    <t>ADM-241386</t>
  </si>
  <si>
    <t>ADM-241387</t>
  </si>
  <si>
    <t>ADM-241388</t>
  </si>
  <si>
    <t>Q3</t>
  </si>
  <si>
    <t>Jul</t>
  </si>
  <si>
    <t>ADM-241389</t>
  </si>
  <si>
    <t>ADM-241390</t>
  </si>
  <si>
    <t>ADM-241391</t>
  </si>
  <si>
    <t>ADM-241392</t>
  </si>
  <si>
    <t>ADM-241393</t>
  </si>
  <si>
    <t>ADM-241394</t>
  </si>
  <si>
    <t>ADM-241395</t>
  </si>
  <si>
    <t>ADM-241396</t>
  </si>
  <si>
    <t>ADM-241397</t>
  </si>
  <si>
    <t>ADM-241398</t>
  </si>
  <si>
    <t>ADM-241399</t>
  </si>
  <si>
    <t>ADM-241400</t>
  </si>
  <si>
    <t>ADM-241401</t>
  </si>
  <si>
    <t>ADM-241402</t>
  </si>
  <si>
    <t>ADM-241403</t>
  </si>
  <si>
    <t>ADM-241404</t>
  </si>
  <si>
    <t>ADM-241405</t>
  </si>
  <si>
    <t>ADM-241406</t>
  </si>
  <si>
    <t>ADM-241407</t>
  </si>
  <si>
    <t>ADM-241408</t>
  </si>
  <si>
    <t>ADM-241409</t>
  </si>
  <si>
    <t>ADM-241410</t>
  </si>
  <si>
    <t>ADM-241411</t>
  </si>
  <si>
    <t>ADM-241412</t>
  </si>
  <si>
    <t>ADM-241413</t>
  </si>
  <si>
    <t>ADM-241414</t>
  </si>
  <si>
    <t>ADM-241415</t>
  </si>
  <si>
    <t>ADM-241416</t>
  </si>
  <si>
    <t>ADM-241417</t>
  </si>
  <si>
    <t>ADM-241418</t>
  </si>
  <si>
    <t>ADM-241419</t>
  </si>
  <si>
    <t>ADM-241420</t>
  </si>
  <si>
    <t>ADM-241421</t>
  </si>
  <si>
    <t>ADM-241422</t>
  </si>
  <si>
    <t>ADM-241423</t>
  </si>
  <si>
    <t>ADM-241424</t>
  </si>
  <si>
    <t>ADM-241425</t>
  </si>
  <si>
    <t>ADM-241426</t>
  </si>
  <si>
    <t>ADM-241427</t>
  </si>
  <si>
    <t>ADM-241428</t>
  </si>
  <si>
    <t>ADM-241429</t>
  </si>
  <si>
    <t>ADM-241430</t>
  </si>
  <si>
    <t>ADM-241431</t>
  </si>
  <si>
    <t>ADM-241432</t>
  </si>
  <si>
    <t>ADM-241433</t>
  </si>
  <si>
    <t>ADM-241434</t>
  </si>
  <si>
    <t>ADM-241435</t>
  </si>
  <si>
    <t>ADM-241436</t>
  </si>
  <si>
    <t>ADM-241437</t>
  </si>
  <si>
    <t>ADM-241438</t>
  </si>
  <si>
    <t>ADM-241439</t>
  </si>
  <si>
    <t>ADM-241440</t>
  </si>
  <si>
    <t>ADM-241441</t>
  </si>
  <si>
    <t>ADM-241442</t>
  </si>
  <si>
    <t>ADM-241443</t>
  </si>
  <si>
    <t>ADM-241444</t>
  </si>
  <si>
    <t>ADM-241445</t>
  </si>
  <si>
    <t>ADM-241446</t>
  </si>
  <si>
    <t>ADM-241447</t>
  </si>
  <si>
    <t>ADM-241448</t>
  </si>
  <si>
    <t>ADM-241449</t>
  </si>
  <si>
    <t>ADM-241450</t>
  </si>
  <si>
    <t>ADM-241451</t>
  </si>
  <si>
    <t>ADM-241452</t>
  </si>
  <si>
    <t>ADM-241453</t>
  </si>
  <si>
    <t>ADM-241454</t>
  </si>
  <si>
    <t>ADM-241455</t>
  </si>
  <si>
    <t>ADM-241456</t>
  </si>
  <si>
    <t>ADM-241457</t>
  </si>
  <si>
    <t>ADM-241458</t>
  </si>
  <si>
    <t>ADM-241459</t>
  </si>
  <si>
    <t>ADM-241460</t>
  </si>
  <si>
    <t>ADM-241461</t>
  </si>
  <si>
    <t>ADM-241462</t>
  </si>
  <si>
    <t>ADM-241463</t>
  </si>
  <si>
    <t>ADM-241464</t>
  </si>
  <si>
    <t>ADM-241465</t>
  </si>
  <si>
    <t>ADM-241466</t>
  </si>
  <si>
    <t>ADM-241467</t>
  </si>
  <si>
    <t>ADM-241468</t>
  </si>
  <si>
    <t>ADM-241469</t>
  </si>
  <si>
    <t>ADM-241470</t>
  </si>
  <si>
    <t>ADM-241471</t>
  </si>
  <si>
    <t>ADM-241472</t>
  </si>
  <si>
    <t>ADM-241473</t>
  </si>
  <si>
    <t>ADM-241474</t>
  </si>
  <si>
    <t>ADM-241475</t>
  </si>
  <si>
    <t>ADM-241476</t>
  </si>
  <si>
    <t>ADM-241477</t>
  </si>
  <si>
    <t>ADM-241478</t>
  </si>
  <si>
    <t>ADM-241479</t>
  </si>
  <si>
    <t>ADM-241480</t>
  </si>
  <si>
    <t>ADM-241481</t>
  </si>
  <si>
    <t>ADM-241482</t>
  </si>
  <si>
    <t>ADM-241483</t>
  </si>
  <si>
    <t>ADM-241484</t>
  </si>
  <si>
    <t>ADM-241485</t>
  </si>
  <si>
    <t>ADM-241486</t>
  </si>
  <si>
    <t>ADM-241487</t>
  </si>
  <si>
    <t>ADM-241488</t>
  </si>
  <si>
    <t>ADM-241489</t>
  </si>
  <si>
    <t>ADM-241490</t>
  </si>
  <si>
    <t>ADM-241491</t>
  </si>
  <si>
    <t>ADM-241492</t>
  </si>
  <si>
    <t>ADM-241493</t>
  </si>
  <si>
    <t>ADM-241494</t>
  </si>
  <si>
    <t>ADM-241495</t>
  </si>
  <si>
    <t>ADM-241496</t>
  </si>
  <si>
    <t>ADM-241497</t>
  </si>
  <si>
    <t>ADM-241498</t>
  </si>
  <si>
    <t>ADM-241499</t>
  </si>
  <si>
    <t>ADM-241500</t>
  </si>
  <si>
    <t>ADM-241501</t>
  </si>
  <si>
    <t>ADM-241502</t>
  </si>
  <si>
    <t>ADM-241503</t>
  </si>
  <si>
    <t>ADM-241504</t>
  </si>
  <si>
    <t>ADM-241505</t>
  </si>
  <si>
    <t>ADM-241506</t>
  </si>
  <si>
    <t>ADM-241507</t>
  </si>
  <si>
    <t>ADM-241508</t>
  </si>
  <si>
    <t>ADM-241509</t>
  </si>
  <si>
    <t>ADM-241510</t>
  </si>
  <si>
    <t>ADM-241511</t>
  </si>
  <si>
    <t>ADM-241512</t>
  </si>
  <si>
    <t>ADM-241513</t>
  </si>
  <si>
    <t>ADM-241514</t>
  </si>
  <si>
    <t>ADM-241515</t>
  </si>
  <si>
    <t>ADM-241516</t>
  </si>
  <si>
    <t>ADM-241517</t>
  </si>
  <si>
    <t>ADM-241518</t>
  </si>
  <si>
    <t>ADM-241519</t>
  </si>
  <si>
    <t>ADM-241520</t>
  </si>
  <si>
    <t>ADM-241521</t>
  </si>
  <si>
    <t>ADM-241522</t>
  </si>
  <si>
    <t>ADM-241523</t>
  </si>
  <si>
    <t>ADM-241524</t>
  </si>
  <si>
    <t>ADM-241525</t>
  </si>
  <si>
    <t>ADM-241526</t>
  </si>
  <si>
    <t>ADM-241527</t>
  </si>
  <si>
    <t>ADM-241528</t>
  </si>
  <si>
    <t>ADM-241529</t>
  </si>
  <si>
    <t>ADM-241530</t>
  </si>
  <si>
    <t>ADM-241531</t>
  </si>
  <si>
    <t>ADM-241532</t>
  </si>
  <si>
    <t>ADM-241533</t>
  </si>
  <si>
    <t>ADM-241534</t>
  </si>
  <si>
    <t>ADM-241535</t>
  </si>
  <si>
    <t>ADM-241536</t>
  </si>
  <si>
    <t>ADM-241537</t>
  </si>
  <si>
    <t>ADM-241538</t>
  </si>
  <si>
    <t>ADM-241539</t>
  </si>
  <si>
    <t>ADM-241540</t>
  </si>
  <si>
    <t>ADM-241541</t>
  </si>
  <si>
    <t>ADM-241542</t>
  </si>
  <si>
    <t>ADM-241543</t>
  </si>
  <si>
    <t>ADM-241544</t>
  </si>
  <si>
    <t>ADM-241545</t>
  </si>
  <si>
    <t>ADM-241546</t>
  </si>
  <si>
    <t>ADM-241547</t>
  </si>
  <si>
    <t>ADM-241548</t>
  </si>
  <si>
    <t>ADM-241549</t>
  </si>
  <si>
    <t>ADM-241550</t>
  </si>
  <si>
    <t>ADM-241551</t>
  </si>
  <si>
    <t>ADM-241552</t>
  </si>
  <si>
    <t>ADM-241553</t>
  </si>
  <si>
    <t>ADM-241554</t>
  </si>
  <si>
    <t>ADM-241555</t>
  </si>
  <si>
    <t>ADM-241556</t>
  </si>
  <si>
    <t>ADM-241557</t>
  </si>
  <si>
    <t>ADM-241558</t>
  </si>
  <si>
    <t>ADM-241559</t>
  </si>
  <si>
    <t>ADM-241560</t>
  </si>
  <si>
    <t>ADM-241561</t>
  </si>
  <si>
    <t>ADM-241562</t>
  </si>
  <si>
    <t>ADM-241563</t>
  </si>
  <si>
    <t>ADM-241564</t>
  </si>
  <si>
    <t>ADM-241565</t>
  </si>
  <si>
    <t>ADM-241566</t>
  </si>
  <si>
    <t>ADM-241567</t>
  </si>
  <si>
    <t>ADM-241568</t>
  </si>
  <si>
    <t>ADM-241569</t>
  </si>
  <si>
    <t>ADM-241570</t>
  </si>
  <si>
    <t>ADM-241571</t>
  </si>
  <si>
    <t>ADM-241572</t>
  </si>
  <si>
    <t>ADM-241573</t>
  </si>
  <si>
    <t>ADM-241574</t>
  </si>
  <si>
    <t>ADM-241575</t>
  </si>
  <si>
    <t>ADM-241576</t>
  </si>
  <si>
    <t>ADM-241577</t>
  </si>
  <si>
    <t>ADM-241578</t>
  </si>
  <si>
    <t>ADM-241579</t>
  </si>
  <si>
    <t>ADM-241580</t>
  </si>
  <si>
    <t>ADM-241581</t>
  </si>
  <si>
    <t>ADM-241582</t>
  </si>
  <si>
    <t>ADM-241583</t>
  </si>
  <si>
    <t>ADM-241584</t>
  </si>
  <si>
    <t>ADM-241585</t>
  </si>
  <si>
    <t>ADM-241586</t>
  </si>
  <si>
    <t>ADM-241587</t>
  </si>
  <si>
    <t>ADM-241588</t>
  </si>
  <si>
    <t>ADM-241589</t>
  </si>
  <si>
    <t>ADM-241590</t>
  </si>
  <si>
    <t>ADM-241591</t>
  </si>
  <si>
    <t>ADM-241592</t>
  </si>
  <si>
    <t>Aug</t>
  </si>
  <si>
    <t>ADM-241593</t>
  </si>
  <si>
    <t>ADM-241594</t>
  </si>
  <si>
    <t>ADM-241595</t>
  </si>
  <si>
    <t>ADM-241596</t>
  </si>
  <si>
    <t>ADM-241597</t>
  </si>
  <si>
    <t>ADM-241598</t>
  </si>
  <si>
    <t>ADM-241599</t>
  </si>
  <si>
    <t>ADM-241600</t>
  </si>
  <si>
    <t>ADM-241601</t>
  </si>
  <si>
    <t>ADM-241602</t>
  </si>
  <si>
    <t>ADM-241603</t>
  </si>
  <si>
    <t>ADM-241604</t>
  </si>
  <si>
    <t>ADM-241605</t>
  </si>
  <si>
    <t>ADM-241606</t>
  </si>
  <si>
    <t>ADM-241607</t>
  </si>
  <si>
    <t>ADM-241608</t>
  </si>
  <si>
    <t>ADM-241609</t>
  </si>
  <si>
    <t>ADM-241610</t>
  </si>
  <si>
    <t>ADM-241611</t>
  </si>
  <si>
    <t>ADM-241612</t>
  </si>
  <si>
    <t>ADM-241613</t>
  </si>
  <si>
    <t>ADM-241614</t>
  </si>
  <si>
    <t>ADM-241615</t>
  </si>
  <si>
    <t>ADM-241616</t>
  </si>
  <si>
    <t>ADM-241617</t>
  </si>
  <si>
    <t>ADM-241618</t>
  </si>
  <si>
    <t>ADM-241619</t>
  </si>
  <si>
    <t>ADM-241620</t>
  </si>
  <si>
    <t>ADM-241621</t>
  </si>
  <si>
    <t>ADM-241622</t>
  </si>
  <si>
    <t>ADM-241623</t>
  </si>
  <si>
    <t>ADM-241624</t>
  </si>
  <si>
    <t>ADM-241625</t>
  </si>
  <si>
    <t>ADM-241626</t>
  </si>
  <si>
    <t>ADM-241627</t>
  </si>
  <si>
    <t>ADM-241628</t>
  </si>
  <si>
    <t>ADM-241629</t>
  </si>
  <si>
    <t>ADM-241630</t>
  </si>
  <si>
    <t>ADM-241631</t>
  </si>
  <si>
    <t>ADM-241632</t>
  </si>
  <si>
    <t>ADM-241633</t>
  </si>
  <si>
    <t>ADM-241634</t>
  </si>
  <si>
    <t>ADM-241635</t>
  </si>
  <si>
    <t>ADM-241636</t>
  </si>
  <si>
    <t>ADM-241637</t>
  </si>
  <si>
    <t>ADM-241638</t>
  </si>
  <si>
    <t>ADM-241639</t>
  </si>
  <si>
    <t>ADM-241640</t>
  </si>
  <si>
    <t>ADM-241641</t>
  </si>
  <si>
    <t>ADM-241642</t>
  </si>
  <si>
    <t>ADM-241643</t>
  </si>
  <si>
    <t>ADM-241644</t>
  </si>
  <si>
    <t>ADM-241645</t>
  </si>
  <si>
    <t>ADM-241646</t>
  </si>
  <si>
    <t>ADM-241647</t>
  </si>
  <si>
    <t>ADM-241648</t>
  </si>
  <si>
    <t>ADM-241649</t>
  </si>
  <si>
    <t>ADM-241650</t>
  </si>
  <si>
    <t>ADM-241651</t>
  </si>
  <si>
    <t>ADM-241652</t>
  </si>
  <si>
    <t>ADM-241653</t>
  </si>
  <si>
    <t>ADM-241654</t>
  </si>
  <si>
    <t>ADM-241655</t>
  </si>
  <si>
    <t>ADM-241656</t>
  </si>
  <si>
    <t>ADM-241657</t>
  </si>
  <si>
    <t>ADM-241658</t>
  </si>
  <si>
    <t>ADM-241659</t>
  </si>
  <si>
    <t>ADM-241660</t>
  </si>
  <si>
    <t>ADM-241661</t>
  </si>
  <si>
    <t>ADM-241662</t>
  </si>
  <si>
    <t>ADM-241663</t>
  </si>
  <si>
    <t>ADM-241664</t>
  </si>
  <si>
    <t>ADM-241665</t>
  </si>
  <si>
    <t>ADM-241666</t>
  </si>
  <si>
    <t>ADM-241667</t>
  </si>
  <si>
    <t>ADM-241668</t>
  </si>
  <si>
    <t>ADM-241669</t>
  </si>
  <si>
    <t>ADM-241670</t>
  </si>
  <si>
    <t>ADM-241671</t>
  </si>
  <si>
    <t>ADM-241672</t>
  </si>
  <si>
    <t>ADM-241673</t>
  </si>
  <si>
    <t>ADM-241674</t>
  </si>
  <si>
    <t>ADM-241675</t>
  </si>
  <si>
    <t>ADM-241676</t>
  </si>
  <si>
    <t>ADM-241677</t>
  </si>
  <si>
    <t>ADM-241678</t>
  </si>
  <si>
    <t>ADM-241679</t>
  </si>
  <si>
    <t>ADM-241680</t>
  </si>
  <si>
    <t>ADM-241681</t>
  </si>
  <si>
    <t>ADM-241682</t>
  </si>
  <si>
    <t>ADM-241683</t>
  </si>
  <si>
    <t>ADM-241684</t>
  </si>
  <si>
    <t>ADM-241685</t>
  </si>
  <si>
    <t>ADM-241686</t>
  </si>
  <si>
    <t>ADM-241687</t>
  </si>
  <si>
    <t>ADM-241688</t>
  </si>
  <si>
    <t>ADM-241689</t>
  </si>
  <si>
    <t>ADM-241690</t>
  </si>
  <si>
    <t>ADM-241691</t>
  </si>
  <si>
    <t>ADM-241692</t>
  </si>
  <si>
    <t>ADM-241693</t>
  </si>
  <si>
    <t>ADM-241694</t>
  </si>
  <si>
    <t>ADM-241695</t>
  </si>
  <si>
    <t>ADM-241696</t>
  </si>
  <si>
    <t>ADM-241697</t>
  </si>
  <si>
    <t>ADM-241698</t>
  </si>
  <si>
    <t>ADM-241699</t>
  </si>
  <si>
    <t>ADM-241700</t>
  </si>
  <si>
    <t>ADM-241701</t>
  </si>
  <si>
    <t>ADM-241702</t>
  </si>
  <si>
    <t>ADM-241703</t>
  </si>
  <si>
    <t>ADM-241704</t>
  </si>
  <si>
    <t>ADM-241705</t>
  </si>
  <si>
    <t>ADM-241706</t>
  </si>
  <si>
    <t>ADM-241707</t>
  </si>
  <si>
    <t>ADM-241708</t>
  </si>
  <si>
    <t>ADM-241709</t>
  </si>
  <si>
    <t>ADM-241710</t>
  </si>
  <si>
    <t>ADM-241711</t>
  </si>
  <si>
    <t>ADM-241712</t>
  </si>
  <si>
    <t>ADM-241713</t>
  </si>
  <si>
    <t>ADM-241714</t>
  </si>
  <si>
    <t>ADM-241715</t>
  </si>
  <si>
    <t>ADM-241716</t>
  </si>
  <si>
    <t>ADM-241717</t>
  </si>
  <si>
    <t>ADM-241718</t>
  </si>
  <si>
    <t>ADM-241719</t>
  </si>
  <si>
    <t>ADM-241720</t>
  </si>
  <si>
    <t>ADM-241721</t>
  </si>
  <si>
    <t>ADM-241722</t>
  </si>
  <si>
    <t>ADM-241723</t>
  </si>
  <si>
    <t>ADM-241724</t>
  </si>
  <si>
    <t>ADM-241725</t>
  </si>
  <si>
    <t>ADM-241726</t>
  </si>
  <si>
    <t>ADM-241727</t>
  </si>
  <si>
    <t>ADM-241728</t>
  </si>
  <si>
    <t>ADM-241729</t>
  </si>
  <si>
    <t>ADM-241730</t>
  </si>
  <si>
    <t>ADM-241731</t>
  </si>
  <si>
    <t>ADM-241732</t>
  </si>
  <si>
    <t>ADM-241733</t>
  </si>
  <si>
    <t>ADM-241734</t>
  </si>
  <si>
    <t>ADM-241735</t>
  </si>
  <si>
    <t>ADM-241736</t>
  </si>
  <si>
    <t>ADM-241737</t>
  </si>
  <si>
    <t>ADM-241738</t>
  </si>
  <si>
    <t>ADM-241739</t>
  </si>
  <si>
    <t>ADM-241740</t>
  </si>
  <si>
    <t>ADM-241741</t>
  </si>
  <si>
    <t>ADM-241742</t>
  </si>
  <si>
    <t>ADM-241743</t>
  </si>
  <si>
    <t>ADM-241744</t>
  </si>
  <si>
    <t>ADM-241745</t>
  </si>
  <si>
    <t>ADM-241746</t>
  </si>
  <si>
    <t>ADM-241747</t>
  </si>
  <si>
    <t>ADM-241748</t>
  </si>
  <si>
    <t>ADM-241749</t>
  </si>
  <si>
    <t>ADM-241750</t>
  </si>
  <si>
    <t>ADM-241751</t>
  </si>
  <si>
    <t>ADM-241752</t>
  </si>
  <si>
    <t>ADM-241753</t>
  </si>
  <si>
    <t>ADM-241754</t>
  </si>
  <si>
    <t>ADM-241755</t>
  </si>
  <si>
    <t>ADM-241756</t>
  </si>
  <si>
    <t>ADM-241757</t>
  </si>
  <si>
    <t>ADM-241758</t>
  </si>
  <si>
    <t>ADM-241759</t>
  </si>
  <si>
    <t>ADM-241760</t>
  </si>
  <si>
    <t>ADM-241761</t>
  </si>
  <si>
    <t>Sep</t>
  </si>
  <si>
    <t>ADM-241762</t>
  </si>
  <si>
    <t>ADM-241763</t>
  </si>
  <si>
    <t>ADM-241764</t>
  </si>
  <si>
    <t>ADM-241765</t>
  </si>
  <si>
    <t>ADM-241766</t>
  </si>
  <si>
    <t>ADM-241767</t>
  </si>
  <si>
    <t>ADM-241768</t>
  </si>
  <si>
    <t>ADM-241769</t>
  </si>
  <si>
    <t>ADM-241770</t>
  </si>
  <si>
    <t>ADM-241771</t>
  </si>
  <si>
    <t>ADM-241772</t>
  </si>
  <si>
    <t>ADM-241773</t>
  </si>
  <si>
    <t>ADM-241774</t>
  </si>
  <si>
    <t>ADM-241775</t>
  </si>
  <si>
    <t>ADM-241776</t>
  </si>
  <si>
    <t>ADM-241777</t>
  </si>
  <si>
    <t>ADM-241778</t>
  </si>
  <si>
    <t>ADM-241779</t>
  </si>
  <si>
    <t>ADM-241780</t>
  </si>
  <si>
    <t>ADM-241781</t>
  </si>
  <si>
    <t>ADM-241782</t>
  </si>
  <si>
    <t>ADM-241783</t>
  </si>
  <si>
    <t>ADM-241784</t>
  </si>
  <si>
    <t>ADM-241785</t>
  </si>
  <si>
    <t>ADM-241786</t>
  </si>
  <si>
    <t>ADM-241787</t>
  </si>
  <si>
    <t>ADM-241788</t>
  </si>
  <si>
    <t>ADM-241789</t>
  </si>
  <si>
    <t>ADM-241790</t>
  </si>
  <si>
    <t>ADM-241791</t>
  </si>
  <si>
    <t>ADM-241792</t>
  </si>
  <si>
    <t>ADM-241793</t>
  </si>
  <si>
    <t>ADM-241794</t>
  </si>
  <si>
    <t>ADM-241795</t>
  </si>
  <si>
    <t>ADM-241796</t>
  </si>
  <si>
    <t>ADM-241797</t>
  </si>
  <si>
    <t>ADM-241798</t>
  </si>
  <si>
    <t>ADM-241799</t>
  </si>
  <si>
    <t>ADM-241800</t>
  </si>
  <si>
    <t>ADM-241801</t>
  </si>
  <si>
    <t>ADM-241802</t>
  </si>
  <si>
    <t>ADM-241803</t>
  </si>
  <si>
    <t>ADM-241804</t>
  </si>
  <si>
    <t>ADM-241805</t>
  </si>
  <si>
    <t>ADM-241806</t>
  </si>
  <si>
    <t>ADM-241807</t>
  </si>
  <si>
    <t>ADM-241808</t>
  </si>
  <si>
    <t>ADM-241809</t>
  </si>
  <si>
    <t>ADM-241810</t>
  </si>
  <si>
    <t>ADM-241811</t>
  </si>
  <si>
    <t>ADM-241812</t>
  </si>
  <si>
    <t>ADM-241813</t>
  </si>
  <si>
    <t>ADM-241814</t>
  </si>
  <si>
    <t>ADM-241815</t>
  </si>
  <si>
    <t>ADM-241816</t>
  </si>
  <si>
    <t>ADM-241817</t>
  </si>
  <si>
    <t>ADM-241818</t>
  </si>
  <si>
    <t>ADM-241819</t>
  </si>
  <si>
    <t>ADM-241820</t>
  </si>
  <si>
    <t>ADM-241821</t>
  </si>
  <si>
    <t>ADM-241822</t>
  </si>
  <si>
    <t>ADM-241823</t>
  </si>
  <si>
    <t>ADM-241824</t>
  </si>
  <si>
    <t>ADM-241825</t>
  </si>
  <si>
    <t>ADM-241826</t>
  </si>
  <si>
    <t>ADM-241827</t>
  </si>
  <si>
    <t>ADM-241828</t>
  </si>
  <si>
    <t>ADM-241829</t>
  </si>
  <si>
    <t>ADM-241830</t>
  </si>
  <si>
    <t>ADM-241831</t>
  </si>
  <si>
    <t>ADM-241832</t>
  </si>
  <si>
    <t>ADM-241833</t>
  </si>
  <si>
    <t>ADM-241834</t>
  </si>
  <si>
    <t>ADM-241835</t>
  </si>
  <si>
    <t>ADM-241836</t>
  </si>
  <si>
    <t>ADM-241837</t>
  </si>
  <si>
    <t>ADM-241838</t>
  </si>
  <si>
    <t>ADM-241839</t>
  </si>
  <si>
    <t>ADM-241840</t>
  </si>
  <si>
    <t>ADM-241841</t>
  </si>
  <si>
    <t>ADM-241842</t>
  </si>
  <si>
    <t>ADM-241843</t>
  </si>
  <si>
    <t>ADM-241844</t>
  </si>
  <si>
    <t>ADM-241845</t>
  </si>
  <si>
    <t>ADM-241846</t>
  </si>
  <si>
    <t>ADM-241847</t>
  </si>
  <si>
    <t>ADM-241848</t>
  </si>
  <si>
    <t>ADM-241849</t>
  </si>
  <si>
    <t>ADM-241850</t>
  </si>
  <si>
    <t>ADM-241851</t>
  </si>
  <si>
    <t>ADM-241852</t>
  </si>
  <si>
    <t>ADM-241853</t>
  </si>
  <si>
    <t>ADM-241854</t>
  </si>
  <si>
    <t>ADM-241855</t>
  </si>
  <si>
    <t>ADM-241856</t>
  </si>
  <si>
    <t>ADM-241857</t>
  </si>
  <si>
    <t>ADM-241858</t>
  </si>
  <si>
    <t>ADM-241859</t>
  </si>
  <si>
    <t>ADM-241860</t>
  </si>
  <si>
    <t>ADM-241861</t>
  </si>
  <si>
    <t>ADM-241862</t>
  </si>
  <si>
    <t>ADM-241863</t>
  </si>
  <si>
    <t>ADM-241864</t>
  </si>
  <si>
    <t>ADM-241865</t>
  </si>
  <si>
    <t>ADM-241866</t>
  </si>
  <si>
    <t>ADM-241867</t>
  </si>
  <si>
    <t>ADM-241868</t>
  </si>
  <si>
    <t>ADM-241869</t>
  </si>
  <si>
    <t>ADM-241870</t>
  </si>
  <si>
    <t>ADM-241871</t>
  </si>
  <si>
    <t>ADM-241872</t>
  </si>
  <si>
    <t>ADM-241873</t>
  </si>
  <si>
    <t>ADM-241874</t>
  </si>
  <si>
    <t>ADM-241875</t>
  </si>
  <si>
    <t>ADM-241876</t>
  </si>
  <si>
    <t>ADM-241877</t>
  </si>
  <si>
    <t>ADM-241878</t>
  </si>
  <si>
    <t>ADM-241879</t>
  </si>
  <si>
    <t>ADM-241880</t>
  </si>
  <si>
    <t>ADM-241881</t>
  </si>
  <si>
    <t>ADM-241882</t>
  </si>
  <si>
    <t>ADM-241883</t>
  </si>
  <si>
    <t>ADM-241884</t>
  </si>
  <si>
    <t>ADM-241885</t>
  </si>
  <si>
    <t>ADM-241886</t>
  </si>
  <si>
    <t>ADM-241887</t>
  </si>
  <si>
    <t>ADM-241888</t>
  </si>
  <si>
    <t>ADM-241889</t>
  </si>
  <si>
    <t>ADM-241890</t>
  </si>
  <si>
    <t>ADM-241891</t>
  </si>
  <si>
    <t>ADM-241892</t>
  </si>
  <si>
    <t>ADM-241893</t>
  </si>
  <si>
    <t>ADM-241894</t>
  </si>
  <si>
    <t>ADM-241895</t>
  </si>
  <si>
    <t>ADM-241896</t>
  </si>
  <si>
    <t>ADM-241897</t>
  </si>
  <si>
    <t>ADM-241898</t>
  </si>
  <si>
    <t>ADM-241899</t>
  </si>
  <si>
    <t>ADM-241900</t>
  </si>
  <si>
    <t>ADM-241901</t>
  </si>
  <si>
    <t>ADM-241902</t>
  </si>
  <si>
    <t>ADM-241903</t>
  </si>
  <si>
    <t>ADM-241904</t>
  </si>
  <si>
    <t>ADM-241905</t>
  </si>
  <si>
    <t>ADM-241906</t>
  </si>
  <si>
    <t>ADM-241907</t>
  </si>
  <si>
    <t>ADM-241908</t>
  </si>
  <si>
    <t>ADM-241909</t>
  </si>
  <si>
    <t>ADM-241910</t>
  </si>
  <si>
    <t>ADM-241911</t>
  </si>
  <si>
    <t>ADM-241912</t>
  </si>
  <si>
    <t>ADM-241913</t>
  </si>
  <si>
    <t>ADM-241914</t>
  </si>
  <si>
    <t>ADM-241915</t>
  </si>
  <si>
    <t>ADM-241916</t>
  </si>
  <si>
    <t>ADM-241917</t>
  </si>
  <si>
    <t>ADM-241918</t>
  </si>
  <si>
    <t>ADM-241919</t>
  </si>
  <si>
    <t>ADM-241920</t>
  </si>
  <si>
    <t>ADM-241921</t>
  </si>
  <si>
    <t>ADM-241922</t>
  </si>
  <si>
    <t>ADM-241923</t>
  </si>
  <si>
    <t>ADM-241924</t>
  </si>
  <si>
    <t>ADM-241925</t>
  </si>
  <si>
    <t>ADM-241926</t>
  </si>
  <si>
    <t>ADM-241927</t>
  </si>
  <si>
    <t>ADM-241928</t>
  </si>
  <si>
    <t>ADM-241929</t>
  </si>
  <si>
    <t>ADM-241930</t>
  </si>
  <si>
    <t>ADM-241931</t>
  </si>
  <si>
    <t>ADM-241932</t>
  </si>
  <si>
    <t>ADM-241933</t>
  </si>
  <si>
    <t>ADM-241934</t>
  </si>
  <si>
    <t>ADM-241935</t>
  </si>
  <si>
    <t>ADM-241936</t>
  </si>
  <si>
    <t>ADM-241937</t>
  </si>
  <si>
    <t>ADM-241938</t>
  </si>
  <si>
    <t>ADM-241939</t>
  </si>
  <si>
    <t>ADM-241940</t>
  </si>
  <si>
    <t>ADM-241941</t>
  </si>
  <si>
    <t>ADM-241942</t>
  </si>
  <si>
    <t>ADM-241943</t>
  </si>
  <si>
    <t>ADM-241944</t>
  </si>
  <si>
    <t>ADM-241945</t>
  </si>
  <si>
    <t>ADM-241946</t>
  </si>
  <si>
    <t>ADM-241947</t>
  </si>
  <si>
    <t>ADM-241948</t>
  </si>
  <si>
    <t>ADM-241949</t>
  </si>
  <si>
    <t>ADM-241950</t>
  </si>
  <si>
    <t>ADM-241951</t>
  </si>
  <si>
    <t>ADM-241952</t>
  </si>
  <si>
    <t>ADM-241953</t>
  </si>
  <si>
    <t>ADM-241954</t>
  </si>
  <si>
    <t>ADM-241955</t>
  </si>
  <si>
    <t>ADM-241956</t>
  </si>
  <si>
    <t>ADM-241957</t>
  </si>
  <si>
    <t>ADM-241958</t>
  </si>
  <si>
    <t>ADM-241959</t>
  </si>
  <si>
    <t>ADM-241960</t>
  </si>
  <si>
    <t>ADM-241961</t>
  </si>
  <si>
    <t>ADM-241962</t>
  </si>
  <si>
    <t>ADM-241963</t>
  </si>
  <si>
    <t>ADM-241964</t>
  </si>
  <si>
    <t>ADM-241965</t>
  </si>
  <si>
    <t>Q4</t>
  </si>
  <si>
    <t>Oct</t>
  </si>
  <si>
    <t>ADM-241966</t>
  </si>
  <si>
    <t>ADM-241967</t>
  </si>
  <si>
    <t>ADM-241968</t>
  </si>
  <si>
    <t>ADM-241969</t>
  </si>
  <si>
    <t>ADM-241970</t>
  </si>
  <si>
    <t>ADM-241971</t>
  </si>
  <si>
    <t>ADM-241972</t>
  </si>
  <si>
    <t>ADM-241973</t>
  </si>
  <si>
    <t>ADM-241974</t>
  </si>
  <si>
    <t>ADM-241975</t>
  </si>
  <si>
    <t>ADM-241976</t>
  </si>
  <si>
    <t>ADM-241977</t>
  </si>
  <si>
    <t>ADM-241978</t>
  </si>
  <si>
    <t>ADM-241979</t>
  </si>
  <si>
    <t>ADM-241980</t>
  </si>
  <si>
    <t>ADM-241981</t>
  </si>
  <si>
    <t>ADM-241982</t>
  </si>
  <si>
    <t>ADM-241983</t>
  </si>
  <si>
    <t>ADM-241984</t>
  </si>
  <si>
    <t>ADM-241985</t>
  </si>
  <si>
    <t>ADM-241986</t>
  </si>
  <si>
    <t>ADM-241987</t>
  </si>
  <si>
    <t>ADM-241988</t>
  </si>
  <si>
    <t>ADM-241989</t>
  </si>
  <si>
    <t>ADM-241990</t>
  </si>
  <si>
    <t>ADM-241991</t>
  </si>
  <si>
    <t>ADM-241992</t>
  </si>
  <si>
    <t>ADM-241993</t>
  </si>
  <si>
    <t>ADM-241994</t>
  </si>
  <si>
    <t>ADM-241995</t>
  </si>
  <si>
    <t>ADM-241996</t>
  </si>
  <si>
    <t>ADM-241997</t>
  </si>
  <si>
    <t>ADM-241998</t>
  </si>
  <si>
    <t>ADM-241999</t>
  </si>
  <si>
    <t>ADM-242000</t>
  </si>
  <si>
    <t>ADM-242001</t>
  </si>
  <si>
    <t>ADM-242002</t>
  </si>
  <si>
    <t>ADM-242003</t>
  </si>
  <si>
    <t>ADM-242004</t>
  </si>
  <si>
    <t>ADM-242005</t>
  </si>
  <si>
    <t>ADM-242006</t>
  </si>
  <si>
    <t>ADM-242007</t>
  </si>
  <si>
    <t>ADM-242008</t>
  </si>
  <si>
    <t>ADM-242009</t>
  </si>
  <si>
    <t>ADM-242010</t>
  </si>
  <si>
    <t>ADM-242011</t>
  </si>
  <si>
    <t>ADM-242012</t>
  </si>
  <si>
    <t>ADM-242013</t>
  </si>
  <si>
    <t>ADM-242014</t>
  </si>
  <si>
    <t>ADM-242015</t>
  </si>
  <si>
    <t>ADM-242016</t>
  </si>
  <si>
    <t>ADM-242017</t>
  </si>
  <si>
    <t>ADM-242018</t>
  </si>
  <si>
    <t>ADM-242019</t>
  </si>
  <si>
    <t>ADM-242020</t>
  </si>
  <si>
    <t>ADM-242021</t>
  </si>
  <si>
    <t>ADM-242022</t>
  </si>
  <si>
    <t>ADM-242023</t>
  </si>
  <si>
    <t>ADM-242024</t>
  </si>
  <si>
    <t>ADM-242025</t>
  </si>
  <si>
    <t>ADM-242026</t>
  </si>
  <si>
    <t>ADM-242027</t>
  </si>
  <si>
    <t>ADM-242028</t>
  </si>
  <si>
    <t>ADM-242029</t>
  </si>
  <si>
    <t>ADM-242030</t>
  </si>
  <si>
    <t>ADM-242031</t>
  </si>
  <si>
    <t>ADM-242032</t>
  </si>
  <si>
    <t>ADM-242033</t>
  </si>
  <si>
    <t>ADM-242034</t>
  </si>
  <si>
    <t>ADM-242035</t>
  </si>
  <si>
    <t>ADM-242036</t>
  </si>
  <si>
    <t>ADM-242037</t>
  </si>
  <si>
    <t>ADM-242038</t>
  </si>
  <si>
    <t>ADM-242039</t>
  </si>
  <si>
    <t>ADM-242040</t>
  </si>
  <si>
    <t>ADM-242041</t>
  </si>
  <si>
    <t>ADM-242042</t>
  </si>
  <si>
    <t>ADM-242043</t>
  </si>
  <si>
    <t>ADM-242044</t>
  </si>
  <si>
    <t>ADM-242045</t>
  </si>
  <si>
    <t>ADM-242046</t>
  </si>
  <si>
    <t>ADM-242047</t>
  </si>
  <si>
    <t>ADM-242048</t>
  </si>
  <si>
    <t>ADM-242049</t>
  </si>
  <si>
    <t>ADM-242050</t>
  </si>
  <si>
    <t>ADM-242051</t>
  </si>
  <si>
    <t>ADM-242052</t>
  </si>
  <si>
    <t>ADM-242053</t>
  </si>
  <si>
    <t>ADM-242054</t>
  </si>
  <si>
    <t>ADM-242055</t>
  </si>
  <si>
    <t>ADM-242056</t>
  </si>
  <si>
    <t>ADM-242057</t>
  </si>
  <si>
    <t>ADM-242058</t>
  </si>
  <si>
    <t>ADM-242059</t>
  </si>
  <si>
    <t>ADM-242060</t>
  </si>
  <si>
    <t>ADM-242061</t>
  </si>
  <si>
    <t>ADM-242062</t>
  </si>
  <si>
    <t>ADM-242063</t>
  </si>
  <si>
    <t>ADM-242064</t>
  </si>
  <si>
    <t>ADM-242065</t>
  </si>
  <si>
    <t>ADM-242066</t>
  </si>
  <si>
    <t>ADM-242067</t>
  </si>
  <si>
    <t>ADM-242068</t>
  </si>
  <si>
    <t>ADM-242069</t>
  </si>
  <si>
    <t>ADM-242070</t>
  </si>
  <si>
    <t>ADM-242071</t>
  </si>
  <si>
    <t>ADM-242072</t>
  </si>
  <si>
    <t>ADM-242073</t>
  </si>
  <si>
    <t>ADM-242074</t>
  </si>
  <si>
    <t>ADM-242075</t>
  </si>
  <si>
    <t>ADM-242076</t>
  </si>
  <si>
    <t>ADM-242077</t>
  </si>
  <si>
    <t>ADM-242078</t>
  </si>
  <si>
    <t>ADM-242079</t>
  </si>
  <si>
    <t>ADM-242080</t>
  </si>
  <si>
    <t>ADM-242081</t>
  </si>
  <si>
    <t>ADM-242082</t>
  </si>
  <si>
    <t>ADM-242083</t>
  </si>
  <si>
    <t>ADM-242084</t>
  </si>
  <si>
    <t>ADM-242085</t>
  </si>
  <si>
    <t>ADM-242086</t>
  </si>
  <si>
    <t>ADM-242087</t>
  </si>
  <si>
    <t>ADM-242088</t>
  </si>
  <si>
    <t>ADM-242089</t>
  </si>
  <si>
    <t>ADM-242090</t>
  </si>
  <si>
    <t>ADM-242091</t>
  </si>
  <si>
    <t>ADM-242092</t>
  </si>
  <si>
    <t>ADM-242093</t>
  </si>
  <si>
    <t>ADM-242094</t>
  </si>
  <si>
    <t>ADM-242095</t>
  </si>
  <si>
    <t>ADM-242096</t>
  </si>
  <si>
    <t>ADM-242097</t>
  </si>
  <si>
    <t>ADM-242098</t>
  </si>
  <si>
    <t>ADM-242099</t>
  </si>
  <si>
    <t>ADM-242100</t>
  </si>
  <si>
    <t>ADM-242101</t>
  </si>
  <si>
    <t>ADM-242102</t>
  </si>
  <si>
    <t>ADM-242103</t>
  </si>
  <si>
    <t>ADM-242104</t>
  </si>
  <si>
    <t>ADM-242105</t>
  </si>
  <si>
    <t>ADM-242106</t>
  </si>
  <si>
    <t>ADM-242107</t>
  </si>
  <si>
    <t>ADM-242108</t>
  </si>
  <si>
    <t>ADM-242109</t>
  </si>
  <si>
    <t>ADM-242110</t>
  </si>
  <si>
    <t>ADM-242111</t>
  </si>
  <si>
    <t>ADM-242112</t>
  </si>
  <si>
    <t>ADM-242113</t>
  </si>
  <si>
    <t>ADM-242114</t>
  </si>
  <si>
    <t>ADM-242115</t>
  </si>
  <si>
    <t>ADM-242116</t>
  </si>
  <si>
    <t>ADM-242117</t>
  </si>
  <si>
    <t>ADM-242118</t>
  </si>
  <si>
    <t>ADM-242119</t>
  </si>
  <si>
    <t>ADM-242120</t>
  </si>
  <si>
    <t>ADM-242121</t>
  </si>
  <si>
    <t>ADM-242122</t>
  </si>
  <si>
    <t>ADM-242123</t>
  </si>
  <si>
    <t>ADM-242124</t>
  </si>
  <si>
    <t>ADM-242125</t>
  </si>
  <si>
    <t>ADM-242126</t>
  </si>
  <si>
    <t>ADM-242127</t>
  </si>
  <si>
    <t>ADM-242128</t>
  </si>
  <si>
    <t>ADM-242129</t>
  </si>
  <si>
    <t>ADM-242130</t>
  </si>
  <si>
    <t>ADM-242131</t>
  </si>
  <si>
    <t>ADM-242132</t>
  </si>
  <si>
    <t>ADM-242133</t>
  </si>
  <si>
    <t>ADM-242134</t>
  </si>
  <si>
    <t>ADM-242135</t>
  </si>
  <si>
    <t>ADM-242136</t>
  </si>
  <si>
    <t>ADM-242137</t>
  </si>
  <si>
    <t>ADM-242138</t>
  </si>
  <si>
    <t>ADM-242139</t>
  </si>
  <si>
    <t>ADM-242140</t>
  </si>
  <si>
    <t>ADM-242141</t>
  </si>
  <si>
    <t>ADM-242142</t>
  </si>
  <si>
    <t>ADM-242143</t>
  </si>
  <si>
    <t>ADM-242144</t>
  </si>
  <si>
    <t>ADM-242145</t>
  </si>
  <si>
    <t>ADM-242146</t>
  </si>
  <si>
    <t>ADM-242147</t>
  </si>
  <si>
    <t>ADM-242148</t>
  </si>
  <si>
    <t>ADM-242149</t>
  </si>
  <si>
    <t>ADM-242150</t>
  </si>
  <si>
    <t>ADM-242151</t>
  </si>
  <si>
    <t>ADM-242152</t>
  </si>
  <si>
    <t>ADM-242153</t>
  </si>
  <si>
    <t>ADM-242154</t>
  </si>
  <si>
    <t>ADM-242155</t>
  </si>
  <si>
    <t>ADM-242156</t>
  </si>
  <si>
    <t>ADM-242157</t>
  </si>
  <si>
    <t>ADM-242158</t>
  </si>
  <si>
    <t>ADM-242159</t>
  </si>
  <si>
    <t>ADM-242160</t>
  </si>
  <si>
    <t>ADM-242161</t>
  </si>
  <si>
    <t>ADM-242162</t>
  </si>
  <si>
    <t>ADM-242163</t>
  </si>
  <si>
    <t>ADM-242164</t>
  </si>
  <si>
    <t>ADM-242165</t>
  </si>
  <si>
    <t>ADM-242166</t>
  </si>
  <si>
    <t>ADM-242167</t>
  </si>
  <si>
    <t>ADM-242168</t>
  </si>
  <si>
    <t>ADM-242169</t>
  </si>
  <si>
    <t>ADM-242170</t>
  </si>
  <si>
    <t>ADM-242171</t>
  </si>
  <si>
    <t>ADM-242172</t>
  </si>
  <si>
    <t>ADM-242173</t>
  </si>
  <si>
    <t>ADM-242174</t>
  </si>
  <si>
    <t>ADM-242175</t>
  </si>
  <si>
    <t>ADM-242176</t>
  </si>
  <si>
    <t>ADM-242177</t>
  </si>
  <si>
    <t>ADM-242178</t>
  </si>
  <si>
    <t>ADM-242179</t>
  </si>
  <si>
    <t>ADM-242180</t>
  </si>
  <si>
    <t>ADM-242181</t>
  </si>
  <si>
    <t>ADM-242182</t>
  </si>
  <si>
    <t>ADM-242183</t>
  </si>
  <si>
    <t>ADM-242184</t>
  </si>
  <si>
    <t>ADM-242185</t>
  </si>
  <si>
    <t>ADM-242186</t>
  </si>
  <si>
    <t>ADM-242187</t>
  </si>
  <si>
    <t>ADM-242188</t>
  </si>
  <si>
    <t>ADM-242189</t>
  </si>
  <si>
    <t>ADM-242190</t>
  </si>
  <si>
    <t>ADM-242191</t>
  </si>
  <si>
    <t>ADM-242192</t>
  </si>
  <si>
    <t>ADM-242193</t>
  </si>
  <si>
    <t>ADM-242194</t>
  </si>
  <si>
    <t>ADM-242195</t>
  </si>
  <si>
    <t>ADM-242196</t>
  </si>
  <si>
    <t>ADM-242197</t>
  </si>
  <si>
    <t>Nov</t>
  </si>
  <si>
    <t>ADM-242198</t>
  </si>
  <si>
    <t>ADM-242199</t>
  </si>
  <si>
    <t>ADM-242200</t>
  </si>
  <si>
    <t>ADM-242201</t>
  </si>
  <si>
    <t>ADM-242202</t>
  </si>
  <si>
    <t>ADM-242203</t>
  </si>
  <si>
    <t>ADM-242204</t>
  </si>
  <si>
    <t>ADM-242205</t>
  </si>
  <si>
    <t>ADM-242206</t>
  </si>
  <si>
    <t>ADM-242207</t>
  </si>
  <si>
    <t>ADM-242208</t>
  </si>
  <si>
    <t>ADM-242209</t>
  </si>
  <si>
    <t>ADM-242210</t>
  </si>
  <si>
    <t>ADM-242211</t>
  </si>
  <si>
    <t>ADM-242212</t>
  </si>
  <si>
    <t>ADM-242213</t>
  </si>
  <si>
    <t>ADM-242214</t>
  </si>
  <si>
    <t>ADM-242215</t>
  </si>
  <si>
    <t>ADM-242216</t>
  </si>
  <si>
    <t>ADM-242217</t>
  </si>
  <si>
    <t>ADM-242218</t>
  </si>
  <si>
    <t>ADM-242219</t>
  </si>
  <si>
    <t>ADM-242220</t>
  </si>
  <si>
    <t>ADM-242221</t>
  </si>
  <si>
    <t>ADM-242222</t>
  </si>
  <si>
    <t>ADM-242223</t>
  </si>
  <si>
    <t>ADM-242224</t>
  </si>
  <si>
    <t>ADM-242225</t>
  </si>
  <si>
    <t>ADM-242226</t>
  </si>
  <si>
    <t>ADM-242227</t>
  </si>
  <si>
    <t>ADM-242228</t>
  </si>
  <si>
    <t>ADM-242229</t>
  </si>
  <si>
    <t>ADM-242230</t>
  </si>
  <si>
    <t>ADM-242231</t>
  </si>
  <si>
    <t>ADM-242232</t>
  </si>
  <si>
    <t>ADM-242233</t>
  </si>
  <si>
    <t>ADM-242234</t>
  </si>
  <si>
    <t>ADM-242235</t>
  </si>
  <si>
    <t>ADM-242236</t>
  </si>
  <si>
    <t>ADM-242237</t>
  </si>
  <si>
    <t>ADM-242238</t>
  </si>
  <si>
    <t>ADM-242239</t>
  </si>
  <si>
    <t>ADM-242240</t>
  </si>
  <si>
    <t>ADM-242241</t>
  </si>
  <si>
    <t>ADM-242242</t>
  </si>
  <si>
    <t>ADM-242243</t>
  </si>
  <si>
    <t>ADM-242244</t>
  </si>
  <si>
    <t>ADM-242245</t>
  </si>
  <si>
    <t>ADM-242246</t>
  </si>
  <si>
    <t>ADM-242247</t>
  </si>
  <si>
    <t>ADM-242248</t>
  </si>
  <si>
    <t>ADM-242249</t>
  </si>
  <si>
    <t>ADM-242250</t>
  </si>
  <si>
    <t>ADM-242251</t>
  </si>
  <si>
    <t>ADM-242252</t>
  </si>
  <si>
    <t>ADM-242253</t>
  </si>
  <si>
    <t>ADM-242254</t>
  </si>
  <si>
    <t>ADM-242255</t>
  </si>
  <si>
    <t>ADM-242256</t>
  </si>
  <si>
    <t>ADM-242257</t>
  </si>
  <si>
    <t>ADM-242258</t>
  </si>
  <si>
    <t>ADM-242259</t>
  </si>
  <si>
    <t>ADM-242260</t>
  </si>
  <si>
    <t>ADM-242261</t>
  </si>
  <si>
    <t>ADM-242262</t>
  </si>
  <si>
    <t>ADM-242263</t>
  </si>
  <si>
    <t>ADM-242264</t>
  </si>
  <si>
    <t>ADM-242265</t>
  </si>
  <si>
    <t>ADM-242266</t>
  </si>
  <si>
    <t>ADM-242267</t>
  </si>
  <si>
    <t>ADM-242268</t>
  </si>
  <si>
    <t>ADM-242269</t>
  </si>
  <si>
    <t>ADM-242270</t>
  </si>
  <si>
    <t>ADM-242271</t>
  </si>
  <si>
    <t>ADM-242272</t>
  </si>
  <si>
    <t>ADM-242273</t>
  </si>
  <si>
    <t>ADM-242274</t>
  </si>
  <si>
    <t>ADM-242275</t>
  </si>
  <si>
    <t>ADM-242276</t>
  </si>
  <si>
    <t>ADM-242277</t>
  </si>
  <si>
    <t>ADM-242278</t>
  </si>
  <si>
    <t>ADM-242279</t>
  </si>
  <si>
    <t>ADM-242280</t>
  </si>
  <si>
    <t>ADM-242281</t>
  </si>
  <si>
    <t>ADM-242282</t>
  </si>
  <si>
    <t>ADM-242283</t>
  </si>
  <si>
    <t>ADM-242284</t>
  </si>
  <si>
    <t>ADM-242285</t>
  </si>
  <si>
    <t>ADM-242286</t>
  </si>
  <si>
    <t>ADM-242287</t>
  </si>
  <si>
    <t>ADM-242288</t>
  </si>
  <si>
    <t>ADM-242289</t>
  </si>
  <si>
    <t>ADM-242290</t>
  </si>
  <si>
    <t>ADM-242291</t>
  </si>
  <si>
    <t>ADM-242292</t>
  </si>
  <si>
    <t>ADM-242293</t>
  </si>
  <si>
    <t>ADM-242294</t>
  </si>
  <si>
    <t>ADM-242295</t>
  </si>
  <si>
    <t>ADM-242296</t>
  </si>
  <si>
    <t>ADM-242297</t>
  </si>
  <si>
    <t>ADM-242298</t>
  </si>
  <si>
    <t>ADM-242299</t>
  </si>
  <si>
    <t>ADM-242300</t>
  </si>
  <si>
    <t>ADM-242301</t>
  </si>
  <si>
    <t>ADM-242302</t>
  </si>
  <si>
    <t>ADM-242303</t>
  </si>
  <si>
    <t>ADM-242304</t>
  </si>
  <si>
    <t>ADM-242305</t>
  </si>
  <si>
    <t>ADM-242306</t>
  </si>
  <si>
    <t>ADM-242307</t>
  </si>
  <si>
    <t>ADM-242308</t>
  </si>
  <si>
    <t>ADM-242309</t>
  </si>
  <si>
    <t>ADM-242310</t>
  </si>
  <si>
    <t>ADM-242311</t>
  </si>
  <si>
    <t>ADM-242312</t>
  </si>
  <si>
    <t>ADM-242313</t>
  </si>
  <si>
    <t>ADM-242314</t>
  </si>
  <si>
    <t>ADM-242315</t>
  </si>
  <si>
    <t>ADM-242316</t>
  </si>
  <si>
    <t>ADM-242317</t>
  </si>
  <si>
    <t>ADM-242318</t>
  </si>
  <si>
    <t>ADM-242319</t>
  </si>
  <si>
    <t>ADM-242320</t>
  </si>
  <si>
    <t>ADM-242321</t>
  </si>
  <si>
    <t>ADM-242322</t>
  </si>
  <si>
    <t>ADM-242323</t>
  </si>
  <si>
    <t>ADM-242324</t>
  </si>
  <si>
    <t>ADM-242325</t>
  </si>
  <si>
    <t>ADM-242326</t>
  </si>
  <si>
    <t>ADM-242327</t>
  </si>
  <si>
    <t>ADM-242328</t>
  </si>
  <si>
    <t>ADM-242329</t>
  </si>
  <si>
    <t>ADM-242330</t>
  </si>
  <si>
    <t>ADM-242331</t>
  </si>
  <si>
    <t>ADM-242332</t>
  </si>
  <si>
    <t>ADM-242333</t>
  </si>
  <si>
    <t>ADM-242334</t>
  </si>
  <si>
    <t>ADM-242335</t>
  </si>
  <si>
    <t>ADM-242336</t>
  </si>
  <si>
    <t>ADM-242337</t>
  </si>
  <si>
    <t>ADM-242338</t>
  </si>
  <si>
    <t>ADM-242339</t>
  </si>
  <si>
    <t>ADM-242340</t>
  </si>
  <si>
    <t>ADM-242341</t>
  </si>
  <si>
    <t>ADM-242342</t>
  </si>
  <si>
    <t>ADM-242343</t>
  </si>
  <si>
    <t>ADM-242344</t>
  </si>
  <si>
    <t>ADM-242345</t>
  </si>
  <si>
    <t>ADM-242346</t>
  </si>
  <si>
    <t>ADM-242347</t>
  </si>
  <si>
    <t>ADM-242348</t>
  </si>
  <si>
    <t>ADM-242349</t>
  </si>
  <si>
    <t>ADM-242350</t>
  </si>
  <si>
    <t>ADM-242351</t>
  </si>
  <si>
    <t>ADM-242352</t>
  </si>
  <si>
    <t>ADM-242353</t>
  </si>
  <si>
    <t>ADM-242354</t>
  </si>
  <si>
    <t>ADM-242355</t>
  </si>
  <si>
    <t>ADM-242356</t>
  </si>
  <si>
    <t>ADM-242357</t>
  </si>
  <si>
    <t>ADM-242358</t>
  </si>
  <si>
    <t>ADM-242359</t>
  </si>
  <si>
    <t>ADM-242360</t>
  </si>
  <si>
    <t>ADM-242361</t>
  </si>
  <si>
    <t>ADM-242362</t>
  </si>
  <si>
    <t>ADM-242363</t>
  </si>
  <si>
    <t>ADM-242364</t>
  </si>
  <si>
    <t>ADM-242365</t>
  </si>
  <si>
    <t>ADM-242366</t>
  </si>
  <si>
    <t>ADM-242367</t>
  </si>
  <si>
    <t>ADM-242368</t>
  </si>
  <si>
    <t>ADM-242369</t>
  </si>
  <si>
    <t>ADM-242370</t>
  </si>
  <si>
    <t>ADM-242371</t>
  </si>
  <si>
    <t>ADM-242372</t>
  </si>
  <si>
    <t>ADM-242373</t>
  </si>
  <si>
    <t>ADM-242374</t>
  </si>
  <si>
    <t>ADM-242375</t>
  </si>
  <si>
    <t>ADM-242376</t>
  </si>
  <si>
    <t>ADM-242377</t>
  </si>
  <si>
    <t>ADM-242378</t>
  </si>
  <si>
    <t>ADM-242379</t>
  </si>
  <si>
    <t>ADM-242380</t>
  </si>
  <si>
    <t>ADM-242381</t>
  </si>
  <si>
    <t>ADM-242382</t>
  </si>
  <si>
    <t>ADM-242383</t>
  </si>
  <si>
    <t>ADM-242384</t>
  </si>
  <si>
    <t>ADM-242385</t>
  </si>
  <si>
    <t>ADM-242386</t>
  </si>
  <si>
    <t>ADM-242387</t>
  </si>
  <si>
    <t>ADM-242388</t>
  </si>
  <si>
    <t>ADM-242389</t>
  </si>
  <si>
    <t>ADM-242390</t>
  </si>
  <si>
    <t>ADM-242391</t>
  </si>
  <si>
    <t>ADM-242392</t>
  </si>
  <si>
    <t>ADM-242393</t>
  </si>
  <si>
    <t>ADM-242394</t>
  </si>
  <si>
    <t>ADM-242395</t>
  </si>
  <si>
    <t>ADM-242396</t>
  </si>
  <si>
    <t>ADM-242397</t>
  </si>
  <si>
    <t>ADM-242398</t>
  </si>
  <si>
    <t>ADM-242399</t>
  </si>
  <si>
    <t>ADM-242400</t>
  </si>
  <si>
    <t>ADM-242401</t>
  </si>
  <si>
    <t>ADM-242402</t>
  </si>
  <si>
    <t>ADM-242403</t>
  </si>
  <si>
    <t>ADM-242404</t>
  </si>
  <si>
    <t>ADM-242405</t>
  </si>
  <si>
    <t>ADM-242406</t>
  </si>
  <si>
    <t>ADM-242407</t>
  </si>
  <si>
    <t>ADM-242408</t>
  </si>
  <si>
    <t>ADM-242409</t>
  </si>
  <si>
    <t>ADM-242410</t>
  </si>
  <si>
    <t>ADM-242411</t>
  </si>
  <si>
    <t>ADM-242412</t>
  </si>
  <si>
    <t>ADM-242413</t>
  </si>
  <si>
    <t>ADM-242414</t>
  </si>
  <si>
    <t>ADM-242415</t>
  </si>
  <si>
    <t>ADM-242416</t>
  </si>
  <si>
    <t>ADM-242417</t>
  </si>
  <si>
    <t>ADM-242418</t>
  </si>
  <si>
    <t>ADM-242419</t>
  </si>
  <si>
    <t>ADM-242420</t>
  </si>
  <si>
    <t>ADM-242421</t>
  </si>
  <si>
    <t>ADM-242422</t>
  </si>
  <si>
    <t>ADM-242423</t>
  </si>
  <si>
    <t>ADM-242424</t>
  </si>
  <si>
    <t>ADM-242425</t>
  </si>
  <si>
    <t>ADM-242426</t>
  </si>
  <si>
    <t>ADM-242427</t>
  </si>
  <si>
    <t>ADM-242428</t>
  </si>
  <si>
    <t>ADM-242429</t>
  </si>
  <si>
    <t>ADM-242430</t>
  </si>
  <si>
    <t>ADM-242431</t>
  </si>
  <si>
    <t>ADM-242432</t>
  </si>
  <si>
    <t>Dec</t>
  </si>
  <si>
    <t>ADM-242433</t>
  </si>
  <si>
    <t>ADM-242434</t>
  </si>
  <si>
    <t>ADM-242435</t>
  </si>
  <si>
    <t>ADM-242436</t>
  </si>
  <si>
    <t>ADM-242437</t>
  </si>
  <si>
    <t>ADM-242438</t>
  </si>
  <si>
    <t>ADM-242439</t>
  </si>
  <si>
    <t>ADM-242440</t>
  </si>
  <si>
    <t>ADM-242441</t>
  </si>
  <si>
    <t>ADM-242442</t>
  </si>
  <si>
    <t>ADM-242443</t>
  </si>
  <si>
    <t>ADM-242444</t>
  </si>
  <si>
    <t>ADM-242445</t>
  </si>
  <si>
    <t>ADM-242446</t>
  </si>
  <si>
    <t>ADM-242447</t>
  </si>
  <si>
    <t>ADM-242448</t>
  </si>
  <si>
    <t>ADM-242449</t>
  </si>
  <si>
    <t>ADM-242450</t>
  </si>
  <si>
    <t>ADM-242451</t>
  </si>
  <si>
    <t>ADM-242452</t>
  </si>
  <si>
    <t>ADM-242453</t>
  </si>
  <si>
    <t>ADM-242454</t>
  </si>
  <si>
    <t>ADM-242455</t>
  </si>
  <si>
    <t>ADM-242456</t>
  </si>
  <si>
    <t>ADM-242457</t>
  </si>
  <si>
    <t>ADM-242458</t>
  </si>
  <si>
    <t>ADM-242459</t>
  </si>
  <si>
    <t>ADM-242460</t>
  </si>
  <si>
    <t>ADM-242461</t>
  </si>
  <si>
    <t>ADM-242462</t>
  </si>
  <si>
    <t>ADM-242463</t>
  </si>
  <si>
    <t>ADM-242464</t>
  </si>
  <si>
    <t>ADM-242465</t>
  </si>
  <si>
    <t>ADM-242466</t>
  </si>
  <si>
    <t>ADM-242467</t>
  </si>
  <si>
    <t>ADM-242468</t>
  </si>
  <si>
    <t>ADM-242469</t>
  </si>
  <si>
    <t>ADM-242470</t>
  </si>
  <si>
    <t>ADM-242471</t>
  </si>
  <si>
    <t>ADM-242472</t>
  </si>
  <si>
    <t>ADM-242473</t>
  </si>
  <si>
    <t>ADM-242474</t>
  </si>
  <si>
    <t>ADM-242475</t>
  </si>
  <si>
    <t>ADM-242476</t>
  </si>
  <si>
    <t>ADM-242477</t>
  </si>
  <si>
    <t>ADM-242478</t>
  </si>
  <si>
    <t>ADM-242479</t>
  </si>
  <si>
    <t>ADM-242480</t>
  </si>
  <si>
    <t>ADM-242481</t>
  </si>
  <si>
    <t>ADM-242482</t>
  </si>
  <si>
    <t>ADM-242483</t>
  </si>
  <si>
    <t>ADM-242484</t>
  </si>
  <si>
    <t>ADM-242485</t>
  </si>
  <si>
    <t>ADM-242486</t>
  </si>
  <si>
    <t>ADM-242487</t>
  </si>
  <si>
    <t>ADM-242488</t>
  </si>
  <si>
    <t>ADM-242489</t>
  </si>
  <si>
    <t>ADM-242490</t>
  </si>
  <si>
    <t>ADM-242491</t>
  </si>
  <si>
    <t>ADM-242492</t>
  </si>
  <si>
    <t>ADM-242493</t>
  </si>
  <si>
    <t>ADM-242494</t>
  </si>
  <si>
    <t>ADM-242495</t>
  </si>
  <si>
    <t>ADM-242496</t>
  </si>
  <si>
    <t>ADM-242497</t>
  </si>
  <si>
    <t>ADM-242498</t>
  </si>
  <si>
    <t>ADM-242499</t>
  </si>
  <si>
    <t>ADM-242500</t>
  </si>
  <si>
    <t>ADM-242501</t>
  </si>
  <si>
    <t>ADM-242502</t>
  </si>
  <si>
    <t>ADM-242503</t>
  </si>
  <si>
    <t>ADM-242504</t>
  </si>
  <si>
    <t>ADM-242505</t>
  </si>
  <si>
    <t>ADM-242506</t>
  </si>
  <si>
    <t>ADM-242507</t>
  </si>
  <si>
    <t>ADM-242508</t>
  </si>
  <si>
    <t>ADM-242509</t>
  </si>
  <si>
    <t>ADM-242510</t>
  </si>
  <si>
    <t>ADM-242511</t>
  </si>
  <si>
    <t>ADM-242512</t>
  </si>
  <si>
    <t>ADM-242513</t>
  </si>
  <si>
    <t>ADM-242514</t>
  </si>
  <si>
    <t>ADM-242515</t>
  </si>
  <si>
    <t>ADM-242516</t>
  </si>
  <si>
    <t>ADM-242517</t>
  </si>
  <si>
    <t>ADM-242518</t>
  </si>
  <si>
    <t>ADM-242519</t>
  </si>
  <si>
    <t>ADM-242520</t>
  </si>
  <si>
    <t>ADM-242521</t>
  </si>
  <si>
    <t>ADM-242522</t>
  </si>
  <si>
    <t>ADM-242523</t>
  </si>
  <si>
    <t>ADM-242524</t>
  </si>
  <si>
    <t>ADM-242525</t>
  </si>
  <si>
    <t>ADM-242526</t>
  </si>
  <si>
    <t>ADM-242527</t>
  </si>
  <si>
    <t>ADM-242528</t>
  </si>
  <si>
    <t>ADM-242529</t>
  </si>
  <si>
    <t>ADM-242530</t>
  </si>
  <si>
    <t>ADM-242531</t>
  </si>
  <si>
    <t>ADM-242532</t>
  </si>
  <si>
    <t>ADM-242533</t>
  </si>
  <si>
    <t>ADM-242534</t>
  </si>
  <si>
    <t>ADM-242535</t>
  </si>
  <si>
    <t>ADM-242536</t>
  </si>
  <si>
    <t>ADM-242537</t>
  </si>
  <si>
    <t>ADM-242538</t>
  </si>
  <si>
    <t>ADM-242539</t>
  </si>
  <si>
    <t>ADM-242540</t>
  </si>
  <si>
    <t>ADM-242541</t>
  </si>
  <si>
    <t>ADM-242542</t>
  </si>
  <si>
    <t>ADM-242543</t>
  </si>
  <si>
    <t>ADM-242544</t>
  </si>
  <si>
    <t>ADM-242545</t>
  </si>
  <si>
    <t>ADM-242546</t>
  </si>
  <si>
    <t>ADM-242547</t>
  </si>
  <si>
    <t>ADM-242548</t>
  </si>
  <si>
    <t>ADM-242549</t>
  </si>
  <si>
    <t>ADM-242550</t>
  </si>
  <si>
    <t>ADM-242551</t>
  </si>
  <si>
    <t>ADM-242552</t>
  </si>
  <si>
    <t>ADM-242553</t>
  </si>
  <si>
    <t>ADM-242554</t>
  </si>
  <si>
    <t>ADM-242555</t>
  </si>
  <si>
    <t>ADM-242556</t>
  </si>
  <si>
    <t>ADM-242557</t>
  </si>
  <si>
    <t>ADM-242558</t>
  </si>
  <si>
    <t>ADM-242559</t>
  </si>
  <si>
    <t>ADM-242560</t>
  </si>
  <si>
    <t>ADM-242561</t>
  </si>
  <si>
    <t>ADM-242562</t>
  </si>
  <si>
    <t>ADM-242563</t>
  </si>
  <si>
    <t>ADM-242564</t>
  </si>
  <si>
    <t>ADM-242565</t>
  </si>
  <si>
    <t>ADM-242566</t>
  </si>
  <si>
    <t>ADM-242567</t>
  </si>
  <si>
    <t>ADM-242568</t>
  </si>
  <si>
    <t>ADM-242569</t>
  </si>
  <si>
    <t>ADM-242570</t>
  </si>
  <si>
    <t>ADM-242571</t>
  </si>
  <si>
    <t>ADM-242572</t>
  </si>
  <si>
    <t>ADM-242573</t>
  </si>
  <si>
    <t>ADM-242574</t>
  </si>
  <si>
    <t>ADM-242575</t>
  </si>
  <si>
    <t>ADM-242576</t>
  </si>
  <si>
    <t>ADM-242577</t>
  </si>
  <si>
    <t>ADM-242578</t>
  </si>
  <si>
    <t>ADM-242579</t>
  </si>
  <si>
    <t>ADM-242580</t>
  </si>
  <si>
    <t>ADM-242581</t>
  </si>
  <si>
    <t>ADM-242582</t>
  </si>
  <si>
    <t>ADM-242583</t>
  </si>
  <si>
    <t>ADM-242584</t>
  </si>
  <si>
    <t>ADM-242585</t>
  </si>
  <si>
    <t>ADM-242586</t>
  </si>
  <si>
    <t>ADM-242587</t>
  </si>
  <si>
    <t>ADM-242588</t>
  </si>
  <si>
    <t>ADM-242589</t>
  </si>
  <si>
    <t>ADM-242590</t>
  </si>
  <si>
    <t>ADM-242591</t>
  </si>
  <si>
    <t>ADM-242592</t>
  </si>
  <si>
    <t>ADM-242593</t>
  </si>
  <si>
    <t>ADM-242594</t>
  </si>
  <si>
    <t>ADM-242595</t>
  </si>
  <si>
    <t>ADM-242596</t>
  </si>
  <si>
    <t>ADM-242597</t>
  </si>
  <si>
    <t>ADM-242598</t>
  </si>
  <si>
    <t>ADM-242599</t>
  </si>
  <si>
    <t>ADM-242600</t>
  </si>
  <si>
    <t>ADM-242601</t>
  </si>
  <si>
    <t>ADM-242602</t>
  </si>
  <si>
    <t>ADM-242603</t>
  </si>
  <si>
    <t>ADM-242604</t>
  </si>
  <si>
    <t>ADM-242605</t>
  </si>
  <si>
    <t>ADM-242606</t>
  </si>
  <si>
    <t>ADM-242607</t>
  </si>
  <si>
    <t>ADM-242608</t>
  </si>
  <si>
    <t>ADM-242609</t>
  </si>
  <si>
    <t>ADM-242610</t>
  </si>
  <si>
    <t>ADM-242611</t>
  </si>
  <si>
    <t>ADM-242612</t>
  </si>
  <si>
    <t>ADM-242613</t>
  </si>
  <si>
    <t>ADM-242614</t>
  </si>
  <si>
    <t>ADM-242615</t>
  </si>
  <si>
    <t>ADM-242616</t>
  </si>
  <si>
    <t>ADM-242617</t>
  </si>
  <si>
    <t>ADM-242618</t>
  </si>
  <si>
    <t>ADM-242619</t>
  </si>
  <si>
    <t>ADM-242620</t>
  </si>
  <si>
    <t>ADM-242621</t>
  </si>
  <si>
    <t>ADM-242622</t>
  </si>
  <si>
    <t>ADM-242623</t>
  </si>
  <si>
    <t>ADM-242624</t>
  </si>
  <si>
    <t>ADM-242625</t>
  </si>
  <si>
    <t>ADM-242626</t>
  </si>
  <si>
    <t>ADM-242627</t>
  </si>
  <si>
    <t>ADM-242628</t>
  </si>
  <si>
    <t>ADM-242629</t>
  </si>
  <si>
    <t>ADM-242630</t>
  </si>
  <si>
    <t>ADM-242631</t>
  </si>
  <si>
    <t>ADM-242632</t>
  </si>
  <si>
    <t>ADM-242633</t>
  </si>
  <si>
    <t>ADM-242634</t>
  </si>
  <si>
    <t>ADM-242635</t>
  </si>
  <si>
    <t>ADM-242636</t>
  </si>
  <si>
    <t>ADM-242637</t>
  </si>
  <si>
    <t>ADM-242638</t>
  </si>
  <si>
    <t>ADM-242639</t>
  </si>
  <si>
    <t>ADM-242640</t>
  </si>
  <si>
    <t>ADM-242641</t>
  </si>
  <si>
    <t>ADM-242642</t>
  </si>
  <si>
    <t>ADM-242643</t>
  </si>
  <si>
    <t>ADM-242644</t>
  </si>
  <si>
    <t>ADM-242645</t>
  </si>
  <si>
    <t>ADM-242646</t>
  </si>
  <si>
    <t>ADM-242647</t>
  </si>
  <si>
    <t>ADM-242648</t>
  </si>
  <si>
    <t>ADM-242649</t>
  </si>
  <si>
    <t>ADM-242650</t>
  </si>
  <si>
    <t>ADM-242651</t>
  </si>
  <si>
    <t>ADM-242652</t>
  </si>
  <si>
    <t>ADM-242653</t>
  </si>
  <si>
    <t>ADM-242654</t>
  </si>
  <si>
    <t>ADM-242655</t>
  </si>
  <si>
    <t>ADM-242656</t>
  </si>
  <si>
    <t>ADM-242657</t>
  </si>
  <si>
    <t>ADM-242658</t>
  </si>
  <si>
    <t>ADM-242659</t>
  </si>
  <si>
    <t>ADM-242660</t>
  </si>
  <si>
    <t>ADM-242661</t>
  </si>
  <si>
    <t>ADM-242662</t>
  </si>
  <si>
    <t>ADM-242663</t>
  </si>
  <si>
    <t>ADM-242664</t>
  </si>
  <si>
    <t>ADM-242665</t>
  </si>
  <si>
    <t>ADM-242666</t>
  </si>
  <si>
    <t>ADM-242667</t>
  </si>
  <si>
    <t>ADM-242668</t>
  </si>
  <si>
    <t>ADM-242669</t>
  </si>
  <si>
    <t>ADM-242670</t>
  </si>
  <si>
    <t>ADM-242671</t>
  </si>
  <si>
    <t>ADM-242672</t>
  </si>
  <si>
    <t>ADM-242673</t>
  </si>
  <si>
    <t>ADM-242674</t>
  </si>
  <si>
    <t>ADM-242675</t>
  </si>
  <si>
    <t>ADM-242676</t>
  </si>
  <si>
    <t>ADM-242677</t>
  </si>
  <si>
    <t>ADM-242678</t>
  </si>
  <si>
    <t>ADM-242679</t>
  </si>
  <si>
    <t>ADM-242680</t>
  </si>
  <si>
    <t>ADM-242681</t>
  </si>
  <si>
    <t>ADM-242682</t>
  </si>
  <si>
    <t>ADM-242683</t>
  </si>
  <si>
    <t>ADM-242684</t>
  </si>
  <si>
    <t>ADM-242685</t>
  </si>
  <si>
    <t>ADM-242686</t>
  </si>
  <si>
    <t>ADM-242687</t>
  </si>
  <si>
    <t>ADM-242688</t>
  </si>
  <si>
    <t>ADM-242689</t>
  </si>
  <si>
    <t>ADM-242690</t>
  </si>
  <si>
    <t>ADM-242691</t>
  </si>
  <si>
    <t>ADM-242692</t>
  </si>
  <si>
    <t>ADM-242693</t>
  </si>
  <si>
    <t>ADM-242694</t>
  </si>
  <si>
    <t>ADM-242695</t>
  </si>
  <si>
    <t>ADM-242696</t>
  </si>
  <si>
    <t>ADM-242697</t>
  </si>
  <si>
    <t>ADM-242698</t>
  </si>
  <si>
    <t>ADM-242699</t>
  </si>
  <si>
    <t>ADM-242700</t>
  </si>
  <si>
    <t>ADM-242701</t>
  </si>
  <si>
    <t>ADM-242702</t>
  </si>
  <si>
    <t>ADM-242703</t>
  </si>
  <si>
    <t>ADM-242704</t>
  </si>
  <si>
    <t>ADM-242705</t>
  </si>
  <si>
    <t>ADM-242706</t>
  </si>
  <si>
    <t>ADM-242707</t>
  </si>
  <si>
    <t>ADM-242708</t>
  </si>
  <si>
    <t>ADM-242709</t>
  </si>
  <si>
    <t>ADM-242710</t>
  </si>
  <si>
    <t>ADM-242711</t>
  </si>
  <si>
    <t>ADM-242712</t>
  </si>
  <si>
    <t>ADM-242713</t>
  </si>
  <si>
    <t>ADM-242714</t>
  </si>
  <si>
    <t>ADM-242715</t>
  </si>
  <si>
    <t>ADM-242716</t>
  </si>
  <si>
    <t>ADM-242717</t>
  </si>
  <si>
    <t>ADM-242718</t>
  </si>
  <si>
    <t>ADM-242719</t>
  </si>
  <si>
    <t>ADM-242720</t>
  </si>
  <si>
    <t>ADM-242721</t>
  </si>
  <si>
    <t>ADM-242722</t>
  </si>
  <si>
    <t>ADM-242723</t>
  </si>
  <si>
    <t>ADM-242724</t>
  </si>
  <si>
    <t>ADM-242725</t>
  </si>
  <si>
    <t>ADM-242726</t>
  </si>
  <si>
    <t>ADM-242727</t>
  </si>
  <si>
    <t>ADM-242728</t>
  </si>
  <si>
    <t>ADM-242729</t>
  </si>
  <si>
    <t>ADM-242730</t>
  </si>
  <si>
    <t>ADM-242731</t>
  </si>
  <si>
    <t>ADM-242732</t>
  </si>
  <si>
    <t>ADM-242733</t>
  </si>
  <si>
    <t>ADM-242734</t>
  </si>
  <si>
    <t>ADM-242735</t>
  </si>
  <si>
    <t>ADM-242736</t>
  </si>
  <si>
    <t>ADM-242737</t>
  </si>
  <si>
    <t>ADM-242738</t>
  </si>
  <si>
    <t>ADM-242739</t>
  </si>
  <si>
    <t>ADM-242740</t>
  </si>
  <si>
    <t>ADM-242741</t>
  </si>
  <si>
    <t>ADM-242742</t>
  </si>
  <si>
    <t>ADM-242743</t>
  </si>
  <si>
    <t>ADM-242744</t>
  </si>
  <si>
    <t>ADM-242745</t>
  </si>
  <si>
    <t>ADM-242746</t>
  </si>
  <si>
    <t>ADM-242747</t>
  </si>
  <si>
    <t>ADM-242748</t>
  </si>
  <si>
    <t>ADM-242749</t>
  </si>
  <si>
    <t>ADM-242750</t>
  </si>
  <si>
    <t>ADM-242751</t>
  </si>
  <si>
    <t>ADM-242752</t>
  </si>
  <si>
    <t>ADM-242753</t>
  </si>
  <si>
    <t>ADM-242754</t>
  </si>
  <si>
    <t>ADM-242755</t>
  </si>
  <si>
    <t>ADM-242756</t>
  </si>
  <si>
    <t>ADM-242757</t>
  </si>
  <si>
    <t>ADM-242758</t>
  </si>
  <si>
    <t>ADM-242759</t>
  </si>
  <si>
    <t>ADM-242760</t>
  </si>
  <si>
    <t>ADM-242761</t>
  </si>
  <si>
    <t>ADM-242762</t>
  </si>
  <si>
    <t>ADM-242763</t>
  </si>
  <si>
    <t>ADM-242764</t>
  </si>
  <si>
    <t>ADM-242765</t>
  </si>
  <si>
    <t>ADM-242766</t>
  </si>
  <si>
    <t>ADM-242767</t>
  </si>
  <si>
    <t>ADM-242768</t>
  </si>
  <si>
    <t>ADM-242769</t>
  </si>
  <si>
    <t>ADM-242770</t>
  </si>
  <si>
    <t>ADM-242771</t>
  </si>
  <si>
    <t>ADM-242772</t>
  </si>
  <si>
    <t>ADM-242773</t>
  </si>
  <si>
    <t>ADM-242774</t>
  </si>
  <si>
    <t>ADM-242775</t>
  </si>
  <si>
    <t>ADM-242776</t>
  </si>
  <si>
    <t>ADM-242777</t>
  </si>
  <si>
    <t>ADM-242778</t>
  </si>
  <si>
    <t>ADM-242779</t>
  </si>
  <si>
    <t>ADM-242780</t>
  </si>
  <si>
    <t>ADM-242781</t>
  </si>
  <si>
    <t>ADM-242782</t>
  </si>
  <si>
    <t>ADM-242783</t>
  </si>
  <si>
    <t>ADM-242784</t>
  </si>
  <si>
    <t>ADM-242785</t>
  </si>
  <si>
    <t>ADM-242786</t>
  </si>
  <si>
    <t>ADM-242787</t>
  </si>
  <si>
    <t>ADM-242788</t>
  </si>
  <si>
    <t>ADM-242789</t>
  </si>
  <si>
    <t>ADM-242790</t>
  </si>
  <si>
    <t>ADM-242791</t>
  </si>
  <si>
    <t>ADM-242792</t>
  </si>
  <si>
    <t>ADM-242793</t>
  </si>
  <si>
    <t>ADM-242794</t>
  </si>
  <si>
    <t>ADM-242795</t>
  </si>
  <si>
    <t>ADM-242796</t>
  </si>
  <si>
    <t>ADM-242797</t>
  </si>
  <si>
    <t>ADM-242798</t>
  </si>
  <si>
    <t>ADM-242799</t>
  </si>
  <si>
    <t>ADM-242800</t>
  </si>
  <si>
    <t>ADM-242801</t>
  </si>
  <si>
    <t>ADM-242802</t>
  </si>
  <si>
    <t>ADM-242803</t>
  </si>
  <si>
    <t>ADM-242804</t>
  </si>
  <si>
    <t>ADM-242805</t>
  </si>
  <si>
    <t>ADM-242806</t>
  </si>
  <si>
    <t>ADM-242807</t>
  </si>
  <si>
    <t>ADM-242808</t>
  </si>
  <si>
    <t>ADM-242809</t>
  </si>
  <si>
    <t>ADM-242810</t>
  </si>
  <si>
    <t>ADM-242811</t>
  </si>
  <si>
    <t>ADM-242812</t>
  </si>
  <si>
    <t>ADM-242813</t>
  </si>
  <si>
    <t>ADM-242814</t>
  </si>
  <si>
    <t>ADM-242815</t>
  </si>
  <si>
    <t>ADM-242816</t>
  </si>
  <si>
    <t>ADM-242817</t>
  </si>
  <si>
    <t>ADM-242818</t>
  </si>
  <si>
    <t>ADM-242819</t>
  </si>
  <si>
    <t>ADM-242820</t>
  </si>
  <si>
    <t>ADM-242821</t>
  </si>
  <si>
    <t>ADM-242822</t>
  </si>
  <si>
    <t>ADM-242823</t>
  </si>
  <si>
    <t>ADM-242824</t>
  </si>
  <si>
    <t>ADM-242825</t>
  </si>
  <si>
    <t>ADM-242826</t>
  </si>
  <si>
    <t>ADM-242827</t>
  </si>
  <si>
    <t>ADM-242828</t>
  </si>
  <si>
    <t>ADM-242829</t>
  </si>
  <si>
    <t>ADM-242830</t>
  </si>
  <si>
    <t>ADM-242831</t>
  </si>
  <si>
    <t>ADM-242832</t>
  </si>
  <si>
    <t>ADM-242833</t>
  </si>
  <si>
    <t>ADM-242834</t>
  </si>
  <si>
    <t>ADM-242835</t>
  </si>
  <si>
    <t>ADM-242836</t>
  </si>
  <si>
    <t>ADM-242837</t>
  </si>
  <si>
    <t>ADM-242838</t>
  </si>
  <si>
    <t>ADM-242839</t>
  </si>
  <si>
    <t>ADM-242840</t>
  </si>
  <si>
    <t>ADM-242841</t>
  </si>
  <si>
    <t>ADM-242842</t>
  </si>
  <si>
    <t>ADM-242843</t>
  </si>
  <si>
    <t>ADM-242844</t>
  </si>
  <si>
    <t>ADM-242845</t>
  </si>
  <si>
    <t>ADM-242846</t>
  </si>
  <si>
    <t>ADM-242847</t>
  </si>
  <si>
    <t>ADM-242848</t>
  </si>
  <si>
    <t>ADM-242849</t>
  </si>
  <si>
    <t>ADM-242850</t>
  </si>
  <si>
    <t>ADM-242851</t>
  </si>
  <si>
    <t>ADM-242852</t>
  </si>
  <si>
    <t>ADM-242853</t>
  </si>
  <si>
    <t>ADM-242854</t>
  </si>
  <si>
    <t>ADM-242855</t>
  </si>
  <si>
    <t>ADM-242856</t>
  </si>
  <si>
    <t>ADM-242857</t>
  </si>
  <si>
    <t>ADM-242858</t>
  </si>
  <si>
    <t>ADM-242859</t>
  </si>
  <si>
    <t>ADM-242860</t>
  </si>
  <si>
    <t>ADM-242861</t>
  </si>
  <si>
    <t>ADM-242862</t>
  </si>
  <si>
    <t>ADM-242863</t>
  </si>
  <si>
    <t>ADM-242864</t>
  </si>
  <si>
    <t>ADM-242865</t>
  </si>
  <si>
    <t>ADM-242866</t>
  </si>
  <si>
    <t>ADM-242867</t>
  </si>
  <si>
    <t>ADM-242868</t>
  </si>
  <si>
    <t>ADM-242869</t>
  </si>
  <si>
    <t>ADM-242870</t>
  </si>
  <si>
    <t>ADM-242871</t>
  </si>
  <si>
    <t>ADM-242872</t>
  </si>
  <si>
    <t>ADM-242873</t>
  </si>
  <si>
    <t>ADM-242874</t>
  </si>
  <si>
    <t>ADM-242875</t>
  </si>
  <si>
    <t>ADM-242876</t>
  </si>
  <si>
    <t>ADM-242877</t>
  </si>
  <si>
    <t>ADM-242878</t>
  </si>
  <si>
    <t>ADM-242879</t>
  </si>
  <si>
    <t>ADM-242880</t>
  </si>
  <si>
    <t>ADM-242881</t>
  </si>
  <si>
    <t>ADM-242882</t>
  </si>
  <si>
    <t>ADM-242883</t>
  </si>
  <si>
    <t>ADM-242884</t>
  </si>
  <si>
    <t>ADM-242885</t>
  </si>
  <si>
    <t>ADM-242886</t>
  </si>
  <si>
    <t>ADM-242887</t>
  </si>
  <si>
    <t>ADM-242888</t>
  </si>
  <si>
    <t>ADM-242889</t>
  </si>
  <si>
    <t>ADM-242890</t>
  </si>
  <si>
    <t>ADM-242891</t>
  </si>
  <si>
    <t>ADM-242892</t>
  </si>
  <si>
    <t>ADM-242893</t>
  </si>
  <si>
    <t>ADM-242894</t>
  </si>
  <si>
    <t>ADM-242895</t>
  </si>
  <si>
    <t>ADM-242896</t>
  </si>
  <si>
    <t>ADM-242897</t>
  </si>
  <si>
    <t>ADM-242898</t>
  </si>
  <si>
    <t>ADM-242899</t>
  </si>
  <si>
    <t>ADM-242900</t>
  </si>
  <si>
    <t>ADM-242901</t>
  </si>
  <si>
    <t>ADM-242902</t>
  </si>
  <si>
    <t>ADM-242903</t>
  </si>
  <si>
    <t>ADM-242904</t>
  </si>
  <si>
    <t>ADM-242905</t>
  </si>
  <si>
    <t>ADM-242906</t>
  </si>
  <si>
    <t>ADM-242907</t>
  </si>
  <si>
    <t>ADM-242908</t>
  </si>
  <si>
    <t>ADM-242909</t>
  </si>
  <si>
    <t>ADM-242910</t>
  </si>
  <si>
    <t>ADM-242911</t>
  </si>
  <si>
    <t>ADM-242912</t>
  </si>
  <si>
    <t>ADM-242913</t>
  </si>
  <si>
    <t>ADM-242914</t>
  </si>
  <si>
    <t>ADM-242915</t>
  </si>
  <si>
    <t>ADM-242916</t>
  </si>
  <si>
    <t>ADM-242917</t>
  </si>
  <si>
    <t>ADM-242918</t>
  </si>
  <si>
    <t>ADM-242919</t>
  </si>
  <si>
    <t>ADM-242920</t>
  </si>
  <si>
    <t>ADM-242921</t>
  </si>
  <si>
    <t>ADM-242922</t>
  </si>
  <si>
    <t>ADM-242923</t>
  </si>
  <si>
    <t>ADM-242924</t>
  </si>
  <si>
    <t>ADM-242925</t>
  </si>
  <si>
    <t>ADM-242926</t>
  </si>
  <si>
    <t>ADM-242927</t>
  </si>
  <si>
    <t>ADM-242928</t>
  </si>
  <si>
    <t>ADM-242929</t>
  </si>
  <si>
    <t>ADM-242930</t>
  </si>
  <si>
    <t>ADM-242931</t>
  </si>
  <si>
    <t>ADM-242932</t>
  </si>
  <si>
    <t>ADM-242933</t>
  </si>
  <si>
    <t>ADM-242934</t>
  </si>
  <si>
    <t>ADM-242935</t>
  </si>
  <si>
    <t>ADM-242936</t>
  </si>
  <si>
    <t>ADM-242937</t>
  </si>
  <si>
    <t>ADM-242938</t>
  </si>
  <si>
    <t>ADM-242939</t>
  </si>
  <si>
    <t>ADM-242940</t>
  </si>
  <si>
    <t>ADM-242941</t>
  </si>
  <si>
    <t>ADM-242942</t>
  </si>
  <si>
    <t>ADM-242943</t>
  </si>
  <si>
    <t>ADM-242944</t>
  </si>
  <si>
    <t>ADM-242945</t>
  </si>
  <si>
    <t>ADM-242946</t>
  </si>
  <si>
    <t>ADM-242947</t>
  </si>
  <si>
    <t>ADM-242948</t>
  </si>
  <si>
    <t>ADM-242949</t>
  </si>
  <si>
    <t>ADM-242950</t>
  </si>
  <si>
    <t>ADM-242951</t>
  </si>
  <si>
    <t>ADM-242952</t>
  </si>
  <si>
    <t>ADM-242953</t>
  </si>
  <si>
    <t>ADM-242954</t>
  </si>
  <si>
    <t>ADM-242955</t>
  </si>
  <si>
    <t>ADM-242956</t>
  </si>
  <si>
    <t>ADM-242957</t>
  </si>
  <si>
    <t>ADM-242958</t>
  </si>
  <si>
    <t>ADM-242959</t>
  </si>
  <si>
    <t>ADM-242960</t>
  </si>
  <si>
    <t>ADM-242961</t>
  </si>
  <si>
    <t>ADM-242962</t>
  </si>
  <si>
    <t>ADM-242963</t>
  </si>
  <si>
    <t>ADM-242964</t>
  </si>
  <si>
    <t>ADM-242965</t>
  </si>
  <si>
    <t>ADM-242966</t>
  </si>
  <si>
    <t>ADM-242967</t>
  </si>
  <si>
    <t>ADM-242968</t>
  </si>
  <si>
    <t>ADM-242969</t>
  </si>
  <si>
    <t>ADM-242970</t>
  </si>
  <si>
    <t>ADM-242971</t>
  </si>
  <si>
    <t>ADM-242972</t>
  </si>
  <si>
    <t>ADM-242973</t>
  </si>
  <si>
    <t>ADM-242974</t>
  </si>
  <si>
    <t>ADM-242975</t>
  </si>
  <si>
    <t>ADM-242976</t>
  </si>
  <si>
    <t>ADM-242977</t>
  </si>
  <si>
    <t>ADM-242978</t>
  </si>
  <si>
    <t>ADM-242979</t>
  </si>
  <si>
    <t>ADM-242980</t>
  </si>
  <si>
    <t>ADM-242981</t>
  </si>
  <si>
    <t>ADM-242982</t>
  </si>
  <si>
    <t>ADM-242983</t>
  </si>
  <si>
    <t>ADM-242984</t>
  </si>
  <si>
    <t>ADM-242985</t>
  </si>
  <si>
    <t>ADM-242986</t>
  </si>
  <si>
    <t>ADM-242987</t>
  </si>
  <si>
    <t>ADM-242988</t>
  </si>
  <si>
    <t>ADM-242989</t>
  </si>
  <si>
    <t>ADM-242990</t>
  </si>
  <si>
    <t>ADM-242991</t>
  </si>
  <si>
    <t>ADM-242992</t>
  </si>
  <si>
    <t>ADM-242993</t>
  </si>
  <si>
    <t>ADM-242994</t>
  </si>
  <si>
    <t>ADM-242995</t>
  </si>
  <si>
    <t>ADM-242996</t>
  </si>
  <si>
    <t>ADM-242997</t>
  </si>
  <si>
    <t>ADM-242998</t>
  </si>
  <si>
    <t>ADM-242999</t>
  </si>
  <si>
    <t>ADM-243000</t>
  </si>
  <si>
    <t>ADM-243001</t>
  </si>
  <si>
    <t>ADM-243002</t>
  </si>
  <si>
    <t>ADM-243003</t>
  </si>
  <si>
    <t>ADM-243004</t>
  </si>
  <si>
    <t>ADM-243005</t>
  </si>
  <si>
    <t>ADM-243006</t>
  </si>
  <si>
    <t>ADM-243007</t>
  </si>
  <si>
    <t>ADM-243008</t>
  </si>
  <si>
    <t>ADM-243009</t>
  </si>
  <si>
    <t>ADM-243010</t>
  </si>
  <si>
    <t>ADM-243011</t>
  </si>
  <si>
    <t>ADM-243012</t>
  </si>
  <si>
    <t>ADM-243013</t>
  </si>
  <si>
    <t>ADM-243014</t>
  </si>
  <si>
    <t>ADM-243015</t>
  </si>
  <si>
    <t>ADM-243016</t>
  </si>
  <si>
    <t>ADM-243017</t>
  </si>
  <si>
    <t>ADM-243018</t>
  </si>
  <si>
    <t>ADM-243019</t>
  </si>
  <si>
    <t>ADM-243020</t>
  </si>
  <si>
    <t>ADM-243021</t>
  </si>
  <si>
    <t>ADM-243022</t>
  </si>
  <si>
    <t>ADM-243023</t>
  </si>
  <si>
    <t>ADM-243024</t>
  </si>
  <si>
    <t>ADM-243025</t>
  </si>
  <si>
    <t>ADM-243026</t>
  </si>
  <si>
    <t>ADM-243027</t>
  </si>
  <si>
    <t>ADM-243028</t>
  </si>
  <si>
    <t>ADM-243029</t>
  </si>
  <si>
    <t>ADM-243030</t>
  </si>
  <si>
    <t>ADM-243031</t>
  </si>
  <si>
    <t>ADM-243032</t>
  </si>
  <si>
    <t>ADM-243033</t>
  </si>
  <si>
    <t>ADM-243034</t>
  </si>
  <si>
    <t>ADM-243035</t>
  </si>
  <si>
    <t>ADM-243036</t>
  </si>
  <si>
    <t>ADM-243037</t>
  </si>
  <si>
    <t>ADM-243038</t>
  </si>
  <si>
    <t>ADM-243039</t>
  </si>
  <si>
    <t>ADM-243040</t>
  </si>
  <si>
    <t>ADM-243041</t>
  </si>
  <si>
    <t>ADM-243042</t>
  </si>
  <si>
    <t>ADM-243043</t>
  </si>
  <si>
    <t>ADM-243044</t>
  </si>
  <si>
    <t>ADM-243045</t>
  </si>
  <si>
    <t>ADM-243046</t>
  </si>
  <si>
    <t>ADM-243047</t>
  </si>
  <si>
    <t>ADM-243048</t>
  </si>
  <si>
    <t>ADM-243049</t>
  </si>
  <si>
    <t>ADM-243050</t>
  </si>
  <si>
    <t>ADM-243051</t>
  </si>
  <si>
    <t>ADM-243052</t>
  </si>
  <si>
    <t>ADM-243053</t>
  </si>
  <si>
    <t>ADM-243054</t>
  </si>
  <si>
    <t>ADM-243055</t>
  </si>
  <si>
    <t>ADM-243056</t>
  </si>
  <si>
    <t>ADM-243057</t>
  </si>
  <si>
    <t>ADM-243058</t>
  </si>
  <si>
    <t>ADM-243059</t>
  </si>
  <si>
    <t>ADM-243060</t>
  </si>
  <si>
    <t>ADM-243061</t>
  </si>
  <si>
    <t>ADM-243062</t>
  </si>
  <si>
    <t>ADM-243063</t>
  </si>
  <si>
    <t>ADM-243064</t>
  </si>
  <si>
    <t>ADM-243065</t>
  </si>
  <si>
    <t>ADM-243066</t>
  </si>
  <si>
    <t>ADM-243067</t>
  </si>
  <si>
    <t>ADM-243068</t>
  </si>
  <si>
    <t>ADM-243069</t>
  </si>
  <si>
    <t>ADM-243070</t>
  </si>
  <si>
    <t>ADM-243071</t>
  </si>
  <si>
    <t>ADM-243072</t>
  </si>
  <si>
    <t>ADM-243073</t>
  </si>
  <si>
    <t>ADM-243074</t>
  </si>
  <si>
    <t>ADM-243075</t>
  </si>
  <si>
    <t>ADM-243076</t>
  </si>
  <si>
    <t>ADM-243077</t>
  </si>
  <si>
    <t>ADM-243078</t>
  </si>
  <si>
    <t>ADM-243079</t>
  </si>
  <si>
    <t>ADM-243080</t>
  </si>
  <si>
    <t>ADM-243081</t>
  </si>
  <si>
    <t>ADM-243082</t>
  </si>
  <si>
    <t>ADM-243083</t>
  </si>
  <si>
    <t>ADM-243084</t>
  </si>
  <si>
    <t>ADM-243085</t>
  </si>
  <si>
    <t>ADM-243086</t>
  </si>
  <si>
    <t>ADM-243087</t>
  </si>
  <si>
    <t>ADM-243088</t>
  </si>
  <si>
    <t>ADM-243089</t>
  </si>
  <si>
    <t>ADM-243090</t>
  </si>
  <si>
    <t>ADM-243091</t>
  </si>
  <si>
    <t>ADM-243092</t>
  </si>
  <si>
    <t>ADM-243093</t>
  </si>
  <si>
    <t>ADM-243094</t>
  </si>
  <si>
    <t>ADM-243095</t>
  </si>
  <si>
    <t>ADM-243096</t>
  </si>
  <si>
    <t>ADM-243097</t>
  </si>
  <si>
    <t>ADM-243098</t>
  </si>
  <si>
    <t>ADM-243099</t>
  </si>
  <si>
    <t>ADM-243100</t>
  </si>
  <si>
    <t>ADM-243101</t>
  </si>
  <si>
    <t>ADM-243102</t>
  </si>
  <si>
    <t>ADM-243103</t>
  </si>
  <si>
    <t>ADM-243104</t>
  </si>
  <si>
    <t>ADM-243105</t>
  </si>
  <si>
    <t>ADM-243106</t>
  </si>
  <si>
    <t>ADM-243107</t>
  </si>
  <si>
    <t>ADM-243108</t>
  </si>
  <si>
    <t>ADM-243109</t>
  </si>
  <si>
    <t>ADM-243110</t>
  </si>
  <si>
    <t>ADM-243111</t>
  </si>
  <si>
    <t>ADM-243112</t>
  </si>
  <si>
    <t>ADM-243113</t>
  </si>
  <si>
    <t>ADM-243114</t>
  </si>
  <si>
    <t>ADM-243115</t>
  </si>
  <si>
    <t>ADM-243116</t>
  </si>
  <si>
    <t>ADM-243117</t>
  </si>
  <si>
    <t>ADM-243118</t>
  </si>
  <si>
    <t>ADM-243119</t>
  </si>
  <si>
    <t>ADM-243120</t>
  </si>
  <si>
    <t>ADM-243121</t>
  </si>
  <si>
    <t>ADM-243122</t>
  </si>
  <si>
    <t>ADM-243123</t>
  </si>
  <si>
    <t>ADM-243124</t>
  </si>
  <si>
    <t>ADM-243125</t>
  </si>
  <si>
    <t>ADM-243126</t>
  </si>
  <si>
    <t>ADM-243127</t>
  </si>
  <si>
    <t>ADM-243128</t>
  </si>
  <si>
    <t>ADM-243129</t>
  </si>
  <si>
    <t>ADM-243130</t>
  </si>
  <si>
    <t>ADM-243131</t>
  </si>
  <si>
    <t>ADM-243132</t>
  </si>
  <si>
    <t>ADM-243133</t>
  </si>
  <si>
    <t>ADM-243134</t>
  </si>
  <si>
    <t>ADM-243135</t>
  </si>
  <si>
    <t>ADM-243136</t>
  </si>
  <si>
    <t>ADM-243137</t>
  </si>
  <si>
    <t>ADM-243138</t>
  </si>
  <si>
    <t>ADM-243139</t>
  </si>
  <si>
    <t>ADM-243140</t>
  </si>
  <si>
    <t>ADM-243141</t>
  </si>
  <si>
    <t>ADM-243142</t>
  </si>
  <si>
    <t>ADM-243143</t>
  </si>
  <si>
    <t>ADM-243144</t>
  </si>
  <si>
    <t>ADM-243145</t>
  </si>
  <si>
    <t>ADM-243146</t>
  </si>
  <si>
    <t>ADM-243147</t>
  </si>
  <si>
    <t>ADM-243148</t>
  </si>
  <si>
    <t>ADM-243149</t>
  </si>
  <si>
    <t>ADM-243150</t>
  </si>
  <si>
    <t>ADM-243151</t>
  </si>
  <si>
    <t>ADM-243152</t>
  </si>
  <si>
    <t>ADM-243153</t>
  </si>
  <si>
    <t>ADM-243154</t>
  </si>
  <si>
    <t>ADM-243155</t>
  </si>
  <si>
    <t>ADM-243156</t>
  </si>
  <si>
    <t>ADM-243157</t>
  </si>
  <si>
    <t>ADM-243158</t>
  </si>
  <si>
    <t>ADM-243159</t>
  </si>
  <si>
    <t>ADM-243160</t>
  </si>
  <si>
    <t>ADM-243161</t>
  </si>
  <si>
    <t>ADM-243162</t>
  </si>
  <si>
    <t>ADM-243163</t>
  </si>
  <si>
    <t>ADM-243164</t>
  </si>
  <si>
    <t>ADM-243165</t>
  </si>
  <si>
    <t>ADM-243166</t>
  </si>
  <si>
    <t>ADM-243167</t>
  </si>
  <si>
    <t>ADM-243168</t>
  </si>
  <si>
    <t>ADM-243169</t>
  </si>
  <si>
    <t>ADM-243170</t>
  </si>
  <si>
    <t>ADM-243171</t>
  </si>
  <si>
    <t>ADM-243172</t>
  </si>
  <si>
    <t>ADM-243173</t>
  </si>
  <si>
    <t>ADM-243174</t>
  </si>
  <si>
    <t>ADM-243175</t>
  </si>
  <si>
    <t>ADM-243176</t>
  </si>
  <si>
    <t>ADM-243177</t>
  </si>
  <si>
    <t>ADM-243178</t>
  </si>
  <si>
    <t>ADM-243179</t>
  </si>
  <si>
    <t>ADM-243180</t>
  </si>
  <si>
    <t>ADM-243181</t>
  </si>
  <si>
    <t>ADM-243182</t>
  </si>
  <si>
    <t>ADM-243183</t>
  </si>
  <si>
    <t>ADM-243184</t>
  </si>
  <si>
    <t>ADM-243185</t>
  </si>
  <si>
    <t>ADM-243186</t>
  </si>
  <si>
    <t>ADM-243187</t>
  </si>
  <si>
    <t>ADM-243188</t>
  </si>
  <si>
    <t>ADM-243189</t>
  </si>
  <si>
    <t>ADM-243190</t>
  </si>
  <si>
    <t>ADM-243191</t>
  </si>
  <si>
    <t>ADM-243192</t>
  </si>
  <si>
    <t>ADM-243193</t>
  </si>
  <si>
    <t>ADM-243194</t>
  </si>
  <si>
    <t>ADM-243195</t>
  </si>
  <si>
    <t>ADM-243196</t>
  </si>
  <si>
    <t>ADM-243197</t>
  </si>
  <si>
    <t>ADM-243198</t>
  </si>
  <si>
    <t>ADM-243199</t>
  </si>
  <si>
    <t>ADM-243200</t>
  </si>
  <si>
    <t>ADM-243201</t>
  </si>
  <si>
    <t>ADM-243202</t>
  </si>
  <si>
    <t>ADM-243203</t>
  </si>
  <si>
    <t>ADM-243204</t>
  </si>
  <si>
    <t>ADM-243205</t>
  </si>
  <si>
    <t>ADM-243206</t>
  </si>
  <si>
    <t>ADM-243207</t>
  </si>
  <si>
    <t>ADM-243208</t>
  </si>
  <si>
    <t>ADM-243209</t>
  </si>
  <si>
    <t>ADM-243210</t>
  </si>
  <si>
    <t>ADM-243211</t>
  </si>
  <si>
    <t>ADM-243212</t>
  </si>
  <si>
    <t>ADM-243213</t>
  </si>
  <si>
    <t>ADM-243214</t>
  </si>
  <si>
    <t>ADM-243215</t>
  </si>
  <si>
    <t>ADM-243216</t>
  </si>
  <si>
    <t>ADM-243217</t>
  </si>
  <si>
    <t>ADM-243218</t>
  </si>
  <si>
    <t>ADM-243219</t>
  </si>
  <si>
    <t>ADM-243220</t>
  </si>
  <si>
    <t>ADM-243221</t>
  </si>
  <si>
    <t>ADM-243222</t>
  </si>
  <si>
    <t>ADM-243223</t>
  </si>
  <si>
    <t>ADM-243224</t>
  </si>
  <si>
    <t>ADM-243225</t>
  </si>
  <si>
    <t>ADM-243226</t>
  </si>
  <si>
    <t>ADM-243227</t>
  </si>
  <si>
    <t>ADM-243228</t>
  </si>
  <si>
    <t>ADM-243229</t>
  </si>
  <si>
    <t>ADM-243230</t>
  </si>
  <si>
    <t>ADM-243231</t>
  </si>
  <si>
    <t>ADM-243232</t>
  </si>
  <si>
    <t>ADM-243233</t>
  </si>
  <si>
    <t>ADM-243234</t>
  </si>
  <si>
    <t>ADM-243235</t>
  </si>
  <si>
    <t>ADM-243236</t>
  </si>
  <si>
    <t>ADM-243237</t>
  </si>
  <si>
    <t>ADM-243238</t>
  </si>
  <si>
    <t>ADM-243239</t>
  </si>
  <si>
    <t>ADM-243240</t>
  </si>
  <si>
    <t>ADM-243241</t>
  </si>
  <si>
    <t>ADM-243242</t>
  </si>
  <si>
    <t>ADM-243243</t>
  </si>
  <si>
    <t>ADM-243244</t>
  </si>
  <si>
    <t>ADM-243245</t>
  </si>
  <si>
    <t>ADM-243246</t>
  </si>
  <si>
    <t>ADM-243247</t>
  </si>
  <si>
    <t>ADM-243248</t>
  </si>
  <si>
    <t>ADM-243249</t>
  </si>
  <si>
    <t>ADM-243250</t>
  </si>
  <si>
    <t>ADM-243251</t>
  </si>
  <si>
    <t>ADM-243252</t>
  </si>
  <si>
    <t>ADM-243253</t>
  </si>
  <si>
    <t>ADM-243254</t>
  </si>
  <si>
    <t>ADM-243255</t>
  </si>
  <si>
    <t>ADM-243256</t>
  </si>
  <si>
    <t>ADM-243257</t>
  </si>
  <si>
    <t>ADM-243258</t>
  </si>
  <si>
    <t>ADM-243259</t>
  </si>
  <si>
    <t>ADM-243260</t>
  </si>
  <si>
    <t>ADM-243261</t>
  </si>
  <si>
    <t>ADM-243262</t>
  </si>
  <si>
    <t>ADM-243263</t>
  </si>
  <si>
    <t>ADM-243264</t>
  </si>
  <si>
    <t>ADM-243265</t>
  </si>
  <si>
    <t>ADM-243266</t>
  </si>
  <si>
    <t>ADM-243267</t>
  </si>
  <si>
    <t>ADM-243268</t>
  </si>
  <si>
    <t>ADM-243269</t>
  </si>
  <si>
    <t>ADM-243270</t>
  </si>
  <si>
    <t>ADM-243271</t>
  </si>
  <si>
    <t>ADM-243272</t>
  </si>
  <si>
    <t>ADM-243273</t>
  </si>
  <si>
    <t>ADM-243274</t>
  </si>
  <si>
    <t>ADM-243275</t>
  </si>
  <si>
    <t>ADM-243276</t>
  </si>
  <si>
    <t>ADM-243277</t>
  </si>
  <si>
    <t>ADM-243278</t>
  </si>
  <si>
    <t>ADM-243279</t>
  </si>
  <si>
    <t>ADM-243280</t>
  </si>
  <si>
    <t>ADM-243281</t>
  </si>
  <si>
    <t>ADM-243282</t>
  </si>
  <si>
    <t>ADM-243283</t>
  </si>
  <si>
    <t>ADM-243284</t>
  </si>
  <si>
    <t>ADM-243285</t>
  </si>
  <si>
    <t>ADM-243286</t>
  </si>
  <si>
    <t>ADM-243287</t>
  </si>
  <si>
    <t>ADM-243288</t>
  </si>
  <si>
    <t>ADM-243289</t>
  </si>
  <si>
    <t>ADM-243290</t>
  </si>
  <si>
    <t>ADM-243291</t>
  </si>
  <si>
    <t>ADM-243292</t>
  </si>
  <si>
    <t>ADM-243293</t>
  </si>
  <si>
    <t>ADM-243294</t>
  </si>
  <si>
    <t>ADM-243295</t>
  </si>
  <si>
    <t>ADM-243296</t>
  </si>
  <si>
    <t>ADM-243297</t>
  </si>
  <si>
    <t>ADM-243298</t>
  </si>
  <si>
    <t>ADM-243299</t>
  </si>
  <si>
    <t>ADM-243300</t>
  </si>
  <si>
    <t>ADM-243301</t>
  </si>
  <si>
    <t>ADM-243302</t>
  </si>
  <si>
    <t>ADM-243303</t>
  </si>
  <si>
    <t>ADM-243304</t>
  </si>
  <si>
    <t>ADM-243305</t>
  </si>
  <si>
    <t>ADM-243306</t>
  </si>
  <si>
    <t>ADM-243307</t>
  </si>
  <si>
    <t>ADM-243308</t>
  </si>
  <si>
    <t>ADM-243309</t>
  </si>
  <si>
    <t>ADM-243310</t>
  </si>
  <si>
    <t>ADM-243311</t>
  </si>
  <si>
    <t>ADM-243312</t>
  </si>
  <si>
    <t>ADM-243313</t>
  </si>
  <si>
    <t>ADM-243314</t>
  </si>
  <si>
    <t>ADM-243315</t>
  </si>
  <si>
    <t>ADM-243316</t>
  </si>
  <si>
    <t>ADM-243317</t>
  </si>
  <si>
    <t>ADM-243318</t>
  </si>
  <si>
    <t>ADM-243319</t>
  </si>
  <si>
    <t>ADM-243320</t>
  </si>
  <si>
    <t>ADM-243321</t>
  </si>
  <si>
    <t>ADM-243322</t>
  </si>
  <si>
    <t>ADM-243323</t>
  </si>
  <si>
    <t>ADM-243324</t>
  </si>
  <si>
    <t>ADM-243325</t>
  </si>
  <si>
    <t>ADM-243326</t>
  </si>
  <si>
    <t>ADM-243327</t>
  </si>
  <si>
    <t>ADM-243328</t>
  </si>
  <si>
    <t>ADM-243329</t>
  </si>
  <si>
    <t>ADM-243330</t>
  </si>
  <si>
    <t>ADM-243331</t>
  </si>
  <si>
    <t>ADM-243332</t>
  </si>
  <si>
    <t>ADM-243333</t>
  </si>
  <si>
    <t>ADM-243334</t>
  </si>
  <si>
    <t>ADM-243335</t>
  </si>
  <si>
    <t>ADM-243336</t>
  </si>
  <si>
    <t>ADM-243337</t>
  </si>
  <si>
    <t>ADM-243338</t>
  </si>
  <si>
    <t>ADM-243339</t>
  </si>
  <si>
    <t>ADM-243340</t>
  </si>
  <si>
    <t>ADM-243341</t>
  </si>
  <si>
    <t>ADM-243342</t>
  </si>
  <si>
    <t>ADM-243343</t>
  </si>
  <si>
    <t>ADM-243344</t>
  </si>
  <si>
    <t>ADM-243345</t>
  </si>
  <si>
    <t>ADM-243346</t>
  </si>
  <si>
    <t>ADM-243347</t>
  </si>
  <si>
    <t>ADM-243348</t>
  </si>
  <si>
    <t>ADM-243349</t>
  </si>
  <si>
    <t>ADM-243350</t>
  </si>
  <si>
    <t>ADM-243351</t>
  </si>
  <si>
    <t>ADM-243352</t>
  </si>
  <si>
    <t>ADM-243353</t>
  </si>
  <si>
    <t>ADM-243354</t>
  </si>
  <si>
    <t>ADM-243355</t>
  </si>
  <si>
    <t>ADM-243356</t>
  </si>
  <si>
    <t>ADM-243357</t>
  </si>
  <si>
    <t>ADM-243358</t>
  </si>
  <si>
    <t>ADM-243359</t>
  </si>
  <si>
    <t>ADM-243360</t>
  </si>
  <si>
    <t>ADM-243361</t>
  </si>
  <si>
    <t>ADM-243362</t>
  </si>
  <si>
    <t>ADM-243363</t>
  </si>
  <si>
    <t>ADM-243364</t>
  </si>
  <si>
    <t>ADM-243365</t>
  </si>
  <si>
    <t>ADM-243366</t>
  </si>
  <si>
    <t>ADM-243367</t>
  </si>
  <si>
    <t>ADM-243368</t>
  </si>
  <si>
    <t>ADM-243369</t>
  </si>
  <si>
    <t>ADM-243370</t>
  </si>
  <si>
    <t>ADM-243371</t>
  </si>
  <si>
    <t>ADM-243372</t>
  </si>
  <si>
    <t>ADM-243373</t>
  </si>
  <si>
    <t>ADM-243374</t>
  </si>
  <si>
    <t>ADM-243375</t>
  </si>
  <si>
    <t>ADM-243376</t>
  </si>
  <si>
    <t>ADM-243377</t>
  </si>
  <si>
    <t>ADM-243378</t>
  </si>
  <si>
    <t>ADM-243379</t>
  </si>
  <si>
    <t>ADM-243380</t>
  </si>
  <si>
    <t>ADM-243381</t>
  </si>
  <si>
    <t>ADM-243382</t>
  </si>
  <si>
    <t>ADM-243383</t>
  </si>
  <si>
    <t>ADM-243384</t>
  </si>
  <si>
    <t>ADM-243385</t>
  </si>
  <si>
    <t>ADM-243386</t>
  </si>
  <si>
    <t>ADM-243387</t>
  </si>
  <si>
    <t>ADM-243388</t>
  </si>
  <si>
    <t>ADM-243389</t>
  </si>
  <si>
    <t>ADM-243390</t>
  </si>
  <si>
    <t>ADM-243391</t>
  </si>
  <si>
    <t>ADM-243392</t>
  </si>
  <si>
    <t>ADM-243393</t>
  </si>
  <si>
    <t>ADM-243394</t>
  </si>
  <si>
    <t>ADM-243395</t>
  </si>
  <si>
    <t>ADM-243396</t>
  </si>
  <si>
    <t>ADM-243397</t>
  </si>
  <si>
    <t>ADM-243398</t>
  </si>
  <si>
    <t>ADM-243399</t>
  </si>
  <si>
    <t>ADM-243400</t>
  </si>
  <si>
    <t>ADM-243401</t>
  </si>
  <si>
    <t>ADM-243402</t>
  </si>
  <si>
    <t>ADM-243403</t>
  </si>
  <si>
    <t>ADM-243404</t>
  </si>
  <si>
    <t>ADM-243405</t>
  </si>
  <si>
    <t>ADM-243406</t>
  </si>
  <si>
    <t>ADM-243407</t>
  </si>
  <si>
    <t>ADM-243408</t>
  </si>
  <si>
    <t>ADM-243409</t>
  </si>
  <si>
    <t>ADM-243410</t>
  </si>
  <si>
    <t>ADM-243411</t>
  </si>
  <si>
    <t>ADM-243412</t>
  </si>
  <si>
    <t>ADM-243413</t>
  </si>
  <si>
    <t>ADM-243414</t>
  </si>
  <si>
    <t>ADM-243415</t>
  </si>
  <si>
    <t>ADM-243416</t>
  </si>
  <si>
    <t>ADM-243417</t>
  </si>
  <si>
    <t>ADM-243418</t>
  </si>
  <si>
    <t>ADM-243419</t>
  </si>
  <si>
    <t>ADM-243420</t>
  </si>
  <si>
    <t>ADM-243421</t>
  </si>
  <si>
    <t>ADM-243422</t>
  </si>
  <si>
    <t>ADM-243423</t>
  </si>
  <si>
    <t>ADM-243424</t>
  </si>
  <si>
    <t>ADM-243425</t>
  </si>
  <si>
    <t>ADM-243426</t>
  </si>
  <si>
    <t>ADM-243427</t>
  </si>
  <si>
    <t>ADM-243428</t>
  </si>
  <si>
    <t>ADM-243429</t>
  </si>
  <si>
    <t>ADM-243430</t>
  </si>
  <si>
    <t>ADM-243431</t>
  </si>
  <si>
    <t>ADM-243432</t>
  </si>
  <si>
    <t>ADM-243433</t>
  </si>
  <si>
    <t>ADM-243434</t>
  </si>
  <si>
    <t>ADM-243435</t>
  </si>
  <si>
    <t>ADM-243436</t>
  </si>
  <si>
    <t>ADM-243437</t>
  </si>
  <si>
    <t>ADM-243438</t>
  </si>
  <si>
    <t>ADM-243439</t>
  </si>
  <si>
    <t>ADM-243440</t>
  </si>
  <si>
    <t>ADM-243441</t>
  </si>
  <si>
    <t>ADM-243442</t>
  </si>
  <si>
    <t>ADM-243443</t>
  </si>
  <si>
    <t>ADM-243444</t>
  </si>
  <si>
    <t>ADM-243445</t>
  </si>
  <si>
    <t>ADM-243446</t>
  </si>
  <si>
    <t>ADM-243447</t>
  </si>
  <si>
    <t>ADM-243448</t>
  </si>
  <si>
    <t>ADM-243449</t>
  </si>
  <si>
    <t>ADM-243450</t>
  </si>
  <si>
    <t>ADM-243451</t>
  </si>
  <si>
    <t>ADM-243452</t>
  </si>
  <si>
    <t>ADM-243453</t>
  </si>
  <si>
    <t>ADM-243454</t>
  </si>
  <si>
    <t>ADM-243455</t>
  </si>
  <si>
    <t>ADM-243456</t>
  </si>
  <si>
    <t>ADM-243457</t>
  </si>
  <si>
    <t>ADM-243458</t>
  </si>
  <si>
    <t>ADM-243459</t>
  </si>
  <si>
    <t>ADM-243460</t>
  </si>
  <si>
    <t>ADM-243461</t>
  </si>
  <si>
    <t>ADM-243462</t>
  </si>
  <si>
    <t>ADM-243463</t>
  </si>
  <si>
    <t>ADM-243464</t>
  </si>
  <si>
    <t>ADM-243465</t>
  </si>
  <si>
    <t>ADM-243466</t>
  </si>
  <si>
    <t>ADM-243467</t>
  </si>
  <si>
    <t>ADM-243468</t>
  </si>
  <si>
    <t>ADM-243469</t>
  </si>
  <si>
    <t>ADM-243470</t>
  </si>
  <si>
    <t>ADM-243471</t>
  </si>
  <si>
    <t>ADM-243472</t>
  </si>
  <si>
    <t>ADM-243473</t>
  </si>
  <si>
    <t>ADM-243474</t>
  </si>
  <si>
    <t>ADM-243475</t>
  </si>
  <si>
    <t>ADM-243476</t>
  </si>
  <si>
    <t>ADM-243477</t>
  </si>
  <si>
    <t>ADM-243478</t>
  </si>
  <si>
    <t>ADM-243479</t>
  </si>
  <si>
    <t>ADM-243480</t>
  </si>
  <si>
    <t>ADM-243481</t>
  </si>
  <si>
    <t>ADM-243482</t>
  </si>
  <si>
    <t>ADM-243483</t>
  </si>
  <si>
    <t>ADM-243484</t>
  </si>
  <si>
    <t>ADM-243485</t>
  </si>
  <si>
    <t>ADM-243486</t>
  </si>
  <si>
    <t>ADM-243487</t>
  </si>
  <si>
    <t>ADM-243488</t>
  </si>
  <si>
    <t>ADM-243489</t>
  </si>
  <si>
    <t>ADM-243490</t>
  </si>
  <si>
    <t>ADM-243491</t>
  </si>
  <si>
    <t>ADM-243492</t>
  </si>
  <si>
    <t>ADM-243493</t>
  </si>
  <si>
    <t>ADM-243494</t>
  </si>
  <si>
    <t>ADM-243495</t>
  </si>
  <si>
    <t>ADM-243496</t>
  </si>
  <si>
    <t>ADM-243497</t>
  </si>
  <si>
    <t>ADM-243498</t>
  </si>
  <si>
    <t>ADM-243499</t>
  </si>
  <si>
    <t>ADM-243500</t>
  </si>
  <si>
    <t>ADM-243501</t>
  </si>
  <si>
    <t>ADM-243502</t>
  </si>
  <si>
    <t>ADM-243503</t>
  </si>
  <si>
    <t>ADM-243504</t>
  </si>
  <si>
    <t>ADM-243505</t>
  </si>
  <si>
    <t>ADM-243506</t>
  </si>
  <si>
    <t>ADM-243507</t>
  </si>
  <si>
    <t>ADM-243508</t>
  </si>
  <si>
    <t>ADM-243509</t>
  </si>
  <si>
    <t>ADM-243510</t>
  </si>
  <si>
    <t>ADM-243511</t>
  </si>
  <si>
    <t>ADM-243512</t>
  </si>
  <si>
    <t>ADM-243513</t>
  </si>
  <si>
    <t>ADM-243514</t>
  </si>
  <si>
    <t>ADM-243515</t>
  </si>
  <si>
    <t>ADM-243516</t>
  </si>
  <si>
    <t>ADM-243517</t>
  </si>
  <si>
    <t>ADM-243518</t>
  </si>
  <si>
    <t>ADM-243519</t>
  </si>
  <si>
    <t>ADM-243520</t>
  </si>
  <si>
    <t>ADM-243521</t>
  </si>
  <si>
    <t>ADM-243522</t>
  </si>
  <si>
    <t>ADM-243523</t>
  </si>
  <si>
    <t>ADM-243524</t>
  </si>
  <si>
    <t>ADM-243525</t>
  </si>
  <si>
    <t>ADM-243526</t>
  </si>
  <si>
    <t>ADM-243527</t>
  </si>
  <si>
    <t>ADM-243528</t>
  </si>
  <si>
    <t>ADM-243529</t>
  </si>
  <si>
    <t>ADM-243530</t>
  </si>
  <si>
    <t>ADM-243531</t>
  </si>
  <si>
    <t>ADM-243532</t>
  </si>
  <si>
    <t>ADM-243533</t>
  </si>
  <si>
    <t>ADM-243534</t>
  </si>
  <si>
    <t>ADM-243535</t>
  </si>
  <si>
    <t>ADM-243536</t>
  </si>
  <si>
    <t>ADM-243537</t>
  </si>
  <si>
    <t>ADM-243538</t>
  </si>
  <si>
    <t>ADM-243539</t>
  </si>
  <si>
    <t>ADM-243540</t>
  </si>
  <si>
    <t>ADM-243541</t>
  </si>
  <si>
    <t>ADM-243542</t>
  </si>
  <si>
    <t>ADM-243543</t>
  </si>
  <si>
    <t>ADM-243544</t>
  </si>
  <si>
    <t>ADM-243545</t>
  </si>
  <si>
    <t>ADM-243546</t>
  </si>
  <si>
    <t>ADM-243547</t>
  </si>
  <si>
    <t>ADM-243548</t>
  </si>
  <si>
    <t>ADM-243549</t>
  </si>
  <si>
    <t>ADM-243550</t>
  </si>
  <si>
    <t>ADM-243551</t>
  </si>
  <si>
    <t>ADM-243552</t>
  </si>
  <si>
    <t>ADM-243553</t>
  </si>
  <si>
    <t>ADM-243554</t>
  </si>
  <si>
    <t>ADM-243555</t>
  </si>
  <si>
    <t>ADM-243556</t>
  </si>
  <si>
    <t>ADM-243557</t>
  </si>
  <si>
    <t>ADM-243558</t>
  </si>
  <si>
    <t>ADM-243559</t>
  </si>
  <si>
    <t>ADM-243560</t>
  </si>
  <si>
    <t>ADM-243561</t>
  </si>
  <si>
    <t>ADM-243562</t>
  </si>
  <si>
    <t>ADM-243563</t>
  </si>
  <si>
    <t>ADM-243564</t>
  </si>
  <si>
    <t>ADM-243565</t>
  </si>
  <si>
    <t>ADM-243566</t>
  </si>
  <si>
    <t>ADM-243567</t>
  </si>
  <si>
    <t>ADM-243568</t>
  </si>
  <si>
    <t>ADM-243569</t>
  </si>
  <si>
    <t>ADM-243570</t>
  </si>
  <si>
    <t>ADM-243571</t>
  </si>
  <si>
    <t>ADM-243572</t>
  </si>
  <si>
    <t>ADM-243573</t>
  </si>
  <si>
    <t>ADM-243574</t>
  </si>
  <si>
    <t>ADM-243575</t>
  </si>
  <si>
    <t>ADM-243576</t>
  </si>
  <si>
    <t>ADM-243577</t>
  </si>
  <si>
    <t>ADM-243578</t>
  </si>
  <si>
    <t>ADM-243579</t>
  </si>
  <si>
    <t>ADM-243580</t>
  </si>
  <si>
    <t>ADM-243581</t>
  </si>
  <si>
    <t>ADM-243582</t>
  </si>
  <si>
    <t>ADM-243583</t>
  </si>
  <si>
    <t>ADM-243584</t>
  </si>
  <si>
    <t>ADM-243585</t>
  </si>
  <si>
    <t>ADM-243586</t>
  </si>
  <si>
    <t>ADM-243587</t>
  </si>
  <si>
    <t>ADM-243588</t>
  </si>
  <si>
    <t>ADM-243589</t>
  </si>
  <si>
    <t>ADM-243590</t>
  </si>
  <si>
    <t>ADM-243591</t>
  </si>
  <si>
    <t>ADM-243592</t>
  </si>
  <si>
    <t>ADM-243593</t>
  </si>
  <si>
    <t>ADM-243594</t>
  </si>
  <si>
    <t>ADM-243595</t>
  </si>
  <si>
    <t>ADM-243596</t>
  </si>
  <si>
    <t>ADM-243597</t>
  </si>
  <si>
    <t>ADM-243598</t>
  </si>
  <si>
    <t>ADM-243599</t>
  </si>
  <si>
    <t>ADM-243600</t>
  </si>
  <si>
    <t>ADM-243601</t>
  </si>
  <si>
    <t>ADM-243602</t>
  </si>
  <si>
    <t>ADM-243603</t>
  </si>
  <si>
    <t>ADM-243604</t>
  </si>
  <si>
    <t>ADM-243605</t>
  </si>
  <si>
    <t>ADM-243606</t>
  </si>
  <si>
    <t>ADM-243607</t>
  </si>
  <si>
    <t>ADM-243608</t>
  </si>
  <si>
    <t>ADM-243609</t>
  </si>
  <si>
    <t>ADM-243610</t>
  </si>
  <si>
    <t>ADM-243611</t>
  </si>
  <si>
    <t>ADM-243612</t>
  </si>
  <si>
    <t>ADM-243613</t>
  </si>
  <si>
    <t>ADM-243614</t>
  </si>
  <si>
    <t>ADM-243615</t>
  </si>
  <si>
    <t>ADM-243616</t>
  </si>
  <si>
    <t>ADM-243617</t>
  </si>
  <si>
    <t>ADM-243618</t>
  </si>
  <si>
    <t>ADM-243619</t>
  </si>
  <si>
    <t>ADM-243620</t>
  </si>
  <si>
    <t>ADM-243621</t>
  </si>
  <si>
    <t>ADM-243622</t>
  </si>
  <si>
    <t>ADM-243623</t>
  </si>
  <si>
    <t>ADM-243624</t>
  </si>
  <si>
    <t>ADM-243625</t>
  </si>
  <si>
    <t>ADM-243626</t>
  </si>
  <si>
    <t>ADM-243627</t>
  </si>
  <si>
    <t>ADM-243628</t>
  </si>
  <si>
    <t>ADM-243629</t>
  </si>
  <si>
    <t>ADM-243630</t>
  </si>
  <si>
    <t>ADM-243631</t>
  </si>
  <si>
    <t>ADM-243632</t>
  </si>
  <si>
    <t>ADM-243633</t>
  </si>
  <si>
    <t>ADM-243634</t>
  </si>
  <si>
    <t>ADM-243635</t>
  </si>
  <si>
    <t>ADM-243636</t>
  </si>
  <si>
    <t>ADM-243637</t>
  </si>
  <si>
    <t>ADM-243638</t>
  </si>
  <si>
    <t>ADM-243639</t>
  </si>
  <si>
    <t>ADM-243640</t>
  </si>
  <si>
    <t>ADM-243641</t>
  </si>
  <si>
    <t>ADM-243642</t>
  </si>
  <si>
    <t>ADM-243643</t>
  </si>
  <si>
    <t>ADM-243644</t>
  </si>
  <si>
    <t>ADM-243645</t>
  </si>
  <si>
    <t>ADM-243646</t>
  </si>
  <si>
    <t>ADM-243647</t>
  </si>
  <si>
    <t>ADM-243648</t>
  </si>
  <si>
    <t>ADM-243649</t>
  </si>
  <si>
    <t>ADM-243650</t>
  </si>
  <si>
    <t>ADM-243651</t>
  </si>
  <si>
    <t>ADM-243652</t>
  </si>
  <si>
    <t>ADM-243653</t>
  </si>
  <si>
    <t>ADM-243654</t>
  </si>
  <si>
    <t>ADM-243655</t>
  </si>
  <si>
    <t>ADM-243656</t>
  </si>
  <si>
    <t>ADM-243657</t>
  </si>
  <si>
    <t>ADM-243658</t>
  </si>
  <si>
    <t>ADM-243659</t>
  </si>
  <si>
    <t>ADM-243660</t>
  </si>
  <si>
    <t>ADM-243661</t>
  </si>
  <si>
    <t>ADM-243662</t>
  </si>
  <si>
    <t>ADM-243663</t>
  </si>
  <si>
    <t>ADM-243664</t>
  </si>
  <si>
    <t>ADM-243665</t>
  </si>
  <si>
    <t>ADM-243666</t>
  </si>
  <si>
    <t>ADM-243667</t>
  </si>
  <si>
    <t>ADM-243668</t>
  </si>
  <si>
    <t>ADM-243669</t>
  </si>
  <si>
    <t>ADM-243670</t>
  </si>
  <si>
    <t>ADM-243671</t>
  </si>
  <si>
    <t>ADM-243672</t>
  </si>
  <si>
    <t>ADM-243673</t>
  </si>
  <si>
    <t>ADM-243674</t>
  </si>
  <si>
    <t>ADM-243675</t>
  </si>
  <si>
    <t>ADM-243676</t>
  </si>
  <si>
    <t>ADM-243677</t>
  </si>
  <si>
    <t>ADM-243678</t>
  </si>
  <si>
    <t>ADM-243679</t>
  </si>
  <si>
    <t>ADM-243680</t>
  </si>
  <si>
    <t>ADM-243681</t>
  </si>
  <si>
    <t>ADM-243682</t>
  </si>
  <si>
    <t>ADM-243683</t>
  </si>
  <si>
    <t>ADM-243684</t>
  </si>
  <si>
    <t>ADM-243685</t>
  </si>
  <si>
    <t>ADM-243686</t>
  </si>
  <si>
    <t>ADM-243687</t>
  </si>
  <si>
    <t>ADM-243688</t>
  </si>
  <si>
    <t>ADM-243689</t>
  </si>
  <si>
    <t>ADM-243690</t>
  </si>
  <si>
    <t>ADM-243691</t>
  </si>
  <si>
    <t>ADM-243692</t>
  </si>
  <si>
    <t>ADM-243693</t>
  </si>
  <si>
    <t>ADM-243694</t>
  </si>
  <si>
    <t>ADM-243695</t>
  </si>
  <si>
    <t>ADM-243696</t>
  </si>
  <si>
    <t>ADM-243697</t>
  </si>
  <si>
    <t>ADM-243698</t>
  </si>
  <si>
    <t>ADM-243699</t>
  </si>
  <si>
    <t>ADM-243700</t>
  </si>
  <si>
    <t>ADM-243701</t>
  </si>
  <si>
    <t>ADM-243702</t>
  </si>
  <si>
    <t>ADM-243703</t>
  </si>
  <si>
    <t>ADM-243704</t>
  </si>
  <si>
    <t>ADM-243705</t>
  </si>
  <si>
    <t>ADM-243706</t>
  </si>
  <si>
    <t>ADM-243707</t>
  </si>
  <si>
    <t>ADM-243708</t>
  </si>
  <si>
    <t>ADM-243709</t>
  </si>
  <si>
    <t>ADM-243710</t>
  </si>
  <si>
    <t>ADM-243711</t>
  </si>
  <si>
    <t>ADM-243712</t>
  </si>
  <si>
    <t>ADM-243713</t>
  </si>
  <si>
    <t>ADM-243714</t>
  </si>
  <si>
    <t>ADM-243715</t>
  </si>
  <si>
    <t>ADM-243716</t>
  </si>
  <si>
    <t>ADM-243717</t>
  </si>
  <si>
    <t>ADM-243718</t>
  </si>
  <si>
    <t>ADM-243719</t>
  </si>
  <si>
    <t>ADM-243720</t>
  </si>
  <si>
    <t>ADM-243721</t>
  </si>
  <si>
    <t>ADM-243722</t>
  </si>
  <si>
    <t>ADM-243723</t>
  </si>
  <si>
    <t>ADM-243724</t>
  </si>
  <si>
    <t>ADM-243725</t>
  </si>
  <si>
    <t>ADM-243726</t>
  </si>
  <si>
    <t>ADM-243727</t>
  </si>
  <si>
    <t>ADM-243728</t>
  </si>
  <si>
    <t>ADM-243729</t>
  </si>
  <si>
    <t>ADM-243730</t>
  </si>
  <si>
    <t>ADM-243731</t>
  </si>
  <si>
    <t>ADM-243732</t>
  </si>
  <si>
    <t>ADM-243733</t>
  </si>
  <si>
    <t>ADM-243734</t>
  </si>
  <si>
    <t>ADM-243735</t>
  </si>
  <si>
    <t>ADM-243736</t>
  </si>
  <si>
    <t>ADM-243737</t>
  </si>
  <si>
    <t>ADM-243738</t>
  </si>
  <si>
    <t>ADM-243739</t>
  </si>
  <si>
    <t>ADM-243740</t>
  </si>
  <si>
    <t>ADM-243741</t>
  </si>
  <si>
    <t>ADM-243742</t>
  </si>
  <si>
    <t>ADM-243743</t>
  </si>
  <si>
    <t>ADM-243744</t>
  </si>
  <si>
    <t>ADM-243745</t>
  </si>
  <si>
    <t>ADM-243746</t>
  </si>
  <si>
    <t>ADM-243747</t>
  </si>
  <si>
    <t>ADM-243748</t>
  </si>
  <si>
    <t>ADM-243749</t>
  </si>
  <si>
    <t>ADM-243750</t>
  </si>
  <si>
    <t>ADM-243751</t>
  </si>
  <si>
    <t>ADM-243752</t>
  </si>
  <si>
    <t>ADM-243753</t>
  </si>
  <si>
    <t>ADM-243754</t>
  </si>
  <si>
    <t>ADM-243755</t>
  </si>
  <si>
    <t>ADM-243756</t>
  </si>
  <si>
    <t>ADM-243757</t>
  </si>
  <si>
    <t>ADM-243758</t>
  </si>
  <si>
    <t>ADM-243759</t>
  </si>
  <si>
    <t>ADM-243760</t>
  </si>
  <si>
    <t>ADM-243761</t>
  </si>
  <si>
    <t>ADM-243762</t>
  </si>
  <si>
    <t>ADM-243763</t>
  </si>
  <si>
    <t>ADM-243764</t>
  </si>
  <si>
    <t>ADM-243765</t>
  </si>
  <si>
    <t>ADM-243766</t>
  </si>
  <si>
    <t>ADM-243767</t>
  </si>
  <si>
    <t>ADM-243768</t>
  </si>
  <si>
    <t>ADM-243769</t>
  </si>
  <si>
    <t>ADM-243770</t>
  </si>
  <si>
    <t>ADM-243771</t>
  </si>
  <si>
    <t>ADM-243772</t>
  </si>
  <si>
    <t>ADM-243773</t>
  </si>
  <si>
    <t>ADM-243774</t>
  </si>
  <si>
    <t>ADM-243775</t>
  </si>
  <si>
    <t>ADM-243776</t>
  </si>
  <si>
    <t>ADM-243777</t>
  </si>
  <si>
    <t>ADM-243778</t>
  </si>
  <si>
    <t>ADM-243779</t>
  </si>
  <si>
    <t>ADM-243780</t>
  </si>
  <si>
    <t>ADM-243781</t>
  </si>
  <si>
    <t>ADM-243782</t>
  </si>
  <si>
    <t>ADM-243783</t>
  </si>
  <si>
    <t>ADM-243784</t>
  </si>
  <si>
    <t>ADM-243785</t>
  </si>
  <si>
    <t>ADM-243786</t>
  </si>
  <si>
    <t>ADM-243787</t>
  </si>
  <si>
    <t>ADM-243788</t>
  </si>
  <si>
    <t>ADM-243789</t>
  </si>
  <si>
    <t>ADM-243790</t>
  </si>
  <si>
    <t>ADM-243791</t>
  </si>
  <si>
    <t>ADM-243792</t>
  </si>
  <si>
    <t>ADM-243793</t>
  </si>
  <si>
    <t>ADM-243794</t>
  </si>
  <si>
    <t>ADM-243795</t>
  </si>
  <si>
    <t>ADM-243796</t>
  </si>
  <si>
    <t>ADM-243797</t>
  </si>
  <si>
    <t>ADM-243798</t>
  </si>
  <si>
    <t>ADM-243799</t>
  </si>
  <si>
    <t>ADM-243800</t>
  </si>
  <si>
    <t>ADM-243801</t>
  </si>
  <si>
    <t>ADM-243802</t>
  </si>
  <si>
    <t>ADM-243803</t>
  </si>
  <si>
    <t>ADM-243804</t>
  </si>
  <si>
    <t>ADM-243805</t>
  </si>
  <si>
    <t>ADM-243806</t>
  </si>
  <si>
    <t>ADM-243807</t>
  </si>
  <si>
    <t>ADM-243808</t>
  </si>
  <si>
    <t>ADM-243809</t>
  </si>
  <si>
    <t>ADM-243810</t>
  </si>
  <si>
    <t>ADM-243811</t>
  </si>
  <si>
    <t>ADM-243812</t>
  </si>
  <si>
    <t>ADM-243813</t>
  </si>
  <si>
    <t>ADM-243814</t>
  </si>
  <si>
    <t>ADM-243815</t>
  </si>
  <si>
    <t>ADM-243816</t>
  </si>
  <si>
    <t>ADM-243817</t>
  </si>
  <si>
    <t>ADM-243818</t>
  </si>
  <si>
    <t>ADM-243819</t>
  </si>
  <si>
    <t>ADM-243820</t>
  </si>
  <si>
    <t>ADM-243821</t>
  </si>
  <si>
    <t>ADM-243822</t>
  </si>
  <si>
    <t>ADM-243823</t>
  </si>
  <si>
    <t>ADM-243824</t>
  </si>
  <si>
    <t>ADM-243825</t>
  </si>
  <si>
    <t>ADM-243826</t>
  </si>
  <si>
    <t>ADM-243827</t>
  </si>
  <si>
    <t>ADM-243828</t>
  </si>
  <si>
    <t>ADM-243829</t>
  </si>
  <si>
    <t>ADM-243830</t>
  </si>
  <si>
    <t>ADM-243831</t>
  </si>
  <si>
    <t>ADM-243832</t>
  </si>
  <si>
    <t>ADM-243833</t>
  </si>
  <si>
    <t>ADM-243834</t>
  </si>
  <si>
    <t>ADM-243835</t>
  </si>
  <si>
    <t>ADM-243836</t>
  </si>
  <si>
    <t>ADM-243837</t>
  </si>
  <si>
    <t>ADM-243838</t>
  </si>
  <si>
    <t>ADM-243839</t>
  </si>
  <si>
    <t>ADM-243840</t>
  </si>
  <si>
    <t>ADM-243841</t>
  </si>
  <si>
    <t>ADM-243842</t>
  </si>
  <si>
    <t>ADM-243843</t>
  </si>
  <si>
    <t>ADM-243844</t>
  </si>
  <si>
    <t>ADM-243845</t>
  </si>
  <si>
    <t>ADM-243846</t>
  </si>
  <si>
    <t>ADM-243847</t>
  </si>
  <si>
    <t>ADM-243848</t>
  </si>
  <si>
    <t>ADM-243849</t>
  </si>
  <si>
    <t>ADM-243850</t>
  </si>
  <si>
    <t>ADM-243851</t>
  </si>
  <si>
    <t>ADM-243852</t>
  </si>
  <si>
    <t>ADM-243853</t>
  </si>
  <si>
    <t>ADM-243854</t>
  </si>
  <si>
    <t>ADM-243855</t>
  </si>
  <si>
    <t>ADM-243856</t>
  </si>
  <si>
    <t>ADM-243857</t>
  </si>
  <si>
    <t>ADM-243858</t>
  </si>
  <si>
    <t>ADM-243859</t>
  </si>
  <si>
    <t>ADM-243860</t>
  </si>
  <si>
    <t>ADM-243861</t>
  </si>
  <si>
    <t>ADM-243862</t>
  </si>
  <si>
    <t>ADM-243863</t>
  </si>
  <si>
    <t>ADM-243864</t>
  </si>
  <si>
    <t>ADM-243865</t>
  </si>
  <si>
    <t>ADM-243866</t>
  </si>
  <si>
    <t>ADM-243867</t>
  </si>
  <si>
    <t>ADM-243868</t>
  </si>
  <si>
    <t>ADM-243869</t>
  </si>
  <si>
    <t>ADM-243870</t>
  </si>
  <si>
    <t>ADM-243871</t>
  </si>
  <si>
    <t>ADM-243872</t>
  </si>
  <si>
    <t>ADM-243873</t>
  </si>
  <si>
    <t>ADM-243874</t>
  </si>
  <si>
    <t>ADM-243875</t>
  </si>
  <si>
    <t>ADM-243876</t>
  </si>
  <si>
    <t>ADM-243877</t>
  </si>
  <si>
    <t>ADM-243878</t>
  </si>
  <si>
    <t>ADM-243879</t>
  </si>
  <si>
    <t>ADM-243880</t>
  </si>
  <si>
    <t>ADM-243881</t>
  </si>
  <si>
    <t>ADM-243882</t>
  </si>
  <si>
    <t>ADM-243883</t>
  </si>
  <si>
    <t>ADM-243884</t>
  </si>
  <si>
    <t>ADM-243885</t>
  </si>
  <si>
    <t>ADM-243886</t>
  </si>
  <si>
    <t>ADM-243887</t>
  </si>
  <si>
    <t>ADM-243888</t>
  </si>
  <si>
    <t>ADM-243889</t>
  </si>
  <si>
    <t>ADM-243890</t>
  </si>
  <si>
    <t>ADM-243891</t>
  </si>
  <si>
    <t>ADM-243892</t>
  </si>
  <si>
    <t>ADM-243893</t>
  </si>
  <si>
    <t>ADM-243894</t>
  </si>
  <si>
    <t>ADM-243895</t>
  </si>
  <si>
    <t>ADM-243896</t>
  </si>
  <si>
    <t>ADM-243897</t>
  </si>
  <si>
    <t>ADM-243898</t>
  </si>
  <si>
    <t>ADM-243899</t>
  </si>
  <si>
    <t>ADM-243900</t>
  </si>
  <si>
    <t>ADM-243901</t>
  </si>
  <si>
    <t>ADM-243902</t>
  </si>
  <si>
    <t>ADM-243903</t>
  </si>
  <si>
    <t>ADM-243904</t>
  </si>
  <si>
    <t>ADM-243905</t>
  </si>
  <si>
    <t>ADM-243906</t>
  </si>
  <si>
    <t>ADM-243907</t>
  </si>
  <si>
    <t>ADM-243908</t>
  </si>
  <si>
    <t>ADM-243909</t>
  </si>
  <si>
    <t>ADM-243910</t>
  </si>
  <si>
    <t>ADM-243911</t>
  </si>
  <si>
    <t>ADM-243912</t>
  </si>
  <si>
    <t>ADM-243913</t>
  </si>
  <si>
    <t>ADM-243914</t>
  </si>
  <si>
    <t>ADM-243915</t>
  </si>
  <si>
    <t>ADM-243916</t>
  </si>
  <si>
    <t>ADM-243917</t>
  </si>
  <si>
    <t>ADM-243918</t>
  </si>
  <si>
    <t>ADM-243919</t>
  </si>
  <si>
    <t>ADM-243920</t>
  </si>
  <si>
    <t>ADM-243921</t>
  </si>
  <si>
    <t>ADM-243922</t>
  </si>
  <si>
    <t>ADM-243923</t>
  </si>
  <si>
    <t>ADM-243924</t>
  </si>
  <si>
    <t>ADM-243925</t>
  </si>
  <si>
    <t>ADM-243926</t>
  </si>
  <si>
    <t>ADM-243927</t>
  </si>
  <si>
    <t>ADM-243928</t>
  </si>
  <si>
    <t>ADM-243929</t>
  </si>
  <si>
    <t>ADM-243930</t>
  </si>
  <si>
    <t>ADM-243931</t>
  </si>
  <si>
    <t>ADM-243932</t>
  </si>
  <si>
    <t>ADM-243933</t>
  </si>
  <si>
    <t>ADM-243934</t>
  </si>
  <si>
    <t>ADM-243935</t>
  </si>
  <si>
    <t>ADM-243936</t>
  </si>
  <si>
    <t>ADM-243937</t>
  </si>
  <si>
    <t>ADM-243938</t>
  </si>
  <si>
    <t>ADM-243939</t>
  </si>
  <si>
    <t>ADM-243940</t>
  </si>
  <si>
    <t>ADM-243941</t>
  </si>
  <si>
    <t>ADM-243942</t>
  </si>
  <si>
    <t>ADM-243943</t>
  </si>
  <si>
    <t>ADM-243944</t>
  </si>
  <si>
    <t>ADM-243945</t>
  </si>
  <si>
    <t>ADM-243946</t>
  </si>
  <si>
    <t>ADM-243947</t>
  </si>
  <si>
    <t>ADM-243948</t>
  </si>
  <si>
    <t>ADM-243949</t>
  </si>
  <si>
    <t>ADM-243950</t>
  </si>
  <si>
    <t>ADM-243951</t>
  </si>
  <si>
    <t>ADM-243952</t>
  </si>
  <si>
    <t>ADM-243953</t>
  </si>
  <si>
    <t>ADM-243954</t>
  </si>
  <si>
    <t>ADM-243955</t>
  </si>
  <si>
    <t>ADM-243956</t>
  </si>
  <si>
    <t>ADM-243957</t>
  </si>
  <si>
    <t>ADM-243958</t>
  </si>
  <si>
    <t>ADM-243959</t>
  </si>
  <si>
    <t>ADM-243960</t>
  </si>
  <si>
    <t>ADM-243961</t>
  </si>
  <si>
    <t>ADM-243962</t>
  </si>
  <si>
    <t>ADM-243963</t>
  </si>
  <si>
    <t>ADM-243964</t>
  </si>
  <si>
    <t>ADM-243965</t>
  </si>
  <si>
    <t>ADM-243966</t>
  </si>
  <si>
    <t>ADM-243967</t>
  </si>
  <si>
    <t>ADM-243968</t>
  </si>
  <si>
    <t>ADM-243969</t>
  </si>
  <si>
    <t>ADM-243970</t>
  </si>
  <si>
    <t>ADM-243971</t>
  </si>
  <si>
    <t>ADM-243972</t>
  </si>
  <si>
    <t>ADM-243973</t>
  </si>
  <si>
    <t>ADM-243974</t>
  </si>
  <si>
    <t>ADM-243975</t>
  </si>
  <si>
    <t>ADM-243976</t>
  </si>
  <si>
    <t>ADM-243977</t>
  </si>
  <si>
    <t>ADM-243978</t>
  </si>
  <si>
    <t>ADM-243979</t>
  </si>
  <si>
    <t>ADM-243980</t>
  </si>
  <si>
    <t>ADM-243981</t>
  </si>
  <si>
    <t>ADM-243982</t>
  </si>
  <si>
    <t>ADM-243983</t>
  </si>
  <si>
    <t>ADM-243984</t>
  </si>
  <si>
    <t>ADM-243985</t>
  </si>
  <si>
    <t>ADM-243986</t>
  </si>
  <si>
    <t>ADM-243987</t>
  </si>
  <si>
    <t>ADM-243988</t>
  </si>
  <si>
    <t>ADM-243989</t>
  </si>
  <si>
    <t>ADM-243990</t>
  </si>
  <si>
    <t>ADM-243991</t>
  </si>
  <si>
    <t>ADM-243992</t>
  </si>
  <si>
    <t>ADM-243993</t>
  </si>
  <si>
    <t>ADM-243994</t>
  </si>
  <si>
    <t>ADM-243995</t>
  </si>
  <si>
    <t>ADM-243996</t>
  </si>
  <si>
    <t>ADM-243997</t>
  </si>
  <si>
    <t>ADM-243998</t>
  </si>
  <si>
    <t>ADM-243999</t>
  </si>
  <si>
    <t>ADM-244000</t>
  </si>
  <si>
    <t>ADM-244001</t>
  </si>
  <si>
    <t>ADM-244002</t>
  </si>
  <si>
    <t>ADM-244003</t>
  </si>
  <si>
    <t>ADM-244004</t>
  </si>
  <si>
    <t>ADM-244005</t>
  </si>
  <si>
    <t>ADM-244006</t>
  </si>
  <si>
    <t>ADM-244007</t>
  </si>
  <si>
    <t>ADM-244008</t>
  </si>
  <si>
    <t>ADM-244009</t>
  </si>
  <si>
    <t>ADM-244010</t>
  </si>
  <si>
    <t>ADM-244011</t>
  </si>
  <si>
    <t>ADM-244012</t>
  </si>
  <si>
    <t>ADM-244013</t>
  </si>
  <si>
    <t>ADM-244014</t>
  </si>
  <si>
    <t>ADM-244015</t>
  </si>
  <si>
    <t>ADM-244016</t>
  </si>
  <si>
    <t>ADM-244017</t>
  </si>
  <si>
    <t>ADM-244018</t>
  </si>
  <si>
    <t>ADM-244019</t>
  </si>
  <si>
    <t>ADM-244020</t>
  </si>
  <si>
    <t>ADM-244021</t>
  </si>
  <si>
    <t>ADM-244022</t>
  </si>
  <si>
    <t>ADM-244023</t>
  </si>
  <si>
    <t>ADM-244024</t>
  </si>
  <si>
    <t>ADM-244025</t>
  </si>
  <si>
    <t>ADM-244026</t>
  </si>
  <si>
    <t>ADM-244027</t>
  </si>
  <si>
    <t>ADM-244028</t>
  </si>
  <si>
    <t>ADM-244029</t>
  </si>
  <si>
    <t>ADM-244030</t>
  </si>
  <si>
    <t>ADM-244031</t>
  </si>
  <si>
    <t>ADM-244032</t>
  </si>
  <si>
    <t>ADM-244033</t>
  </si>
  <si>
    <t>ADM-244034</t>
  </si>
  <si>
    <t>ADM-244035</t>
  </si>
  <si>
    <t>ADM-244036</t>
  </si>
  <si>
    <t>ADM-244037</t>
  </si>
  <si>
    <t>ADM-244038</t>
  </si>
  <si>
    <t>ADM-244039</t>
  </si>
  <si>
    <t>ADM-244040</t>
  </si>
  <si>
    <t>ADM-244041</t>
  </si>
  <si>
    <t>ADM-244042</t>
  </si>
  <si>
    <t>ADM-244043</t>
  </si>
  <si>
    <t>ADM-244044</t>
  </si>
  <si>
    <t>ADM-244045</t>
  </si>
  <si>
    <t>ADM-244046</t>
  </si>
  <si>
    <t>ADM-244047</t>
  </si>
  <si>
    <t>ADM-244048</t>
  </si>
  <si>
    <t>ADM-244049</t>
  </si>
  <si>
    <t>ADM-244050</t>
  </si>
  <si>
    <t>ADM-244051</t>
  </si>
  <si>
    <t>ADM-244052</t>
  </si>
  <si>
    <t>ADM-244053</t>
  </si>
  <si>
    <t>ADM-244054</t>
  </si>
  <si>
    <t>ADM-244055</t>
  </si>
  <si>
    <t>ADM-244056</t>
  </si>
  <si>
    <t>ADM-244057</t>
  </si>
  <si>
    <t>ADM-244058</t>
  </si>
  <si>
    <t>ADM-244059</t>
  </si>
  <si>
    <t>ADM-244060</t>
  </si>
  <si>
    <t>ADM-244061</t>
  </si>
  <si>
    <t>ADM-244062</t>
  </si>
  <si>
    <t>ADM-244063</t>
  </si>
  <si>
    <t>ADM-244064</t>
  </si>
  <si>
    <t>ADM-244065</t>
  </si>
  <si>
    <t>ADM-244066</t>
  </si>
  <si>
    <t>ADM-244067</t>
  </si>
  <si>
    <t>ADM-244068</t>
  </si>
  <si>
    <t>ADM-244069</t>
  </si>
  <si>
    <t>ADM-244070</t>
  </si>
  <si>
    <t>ADM-244071</t>
  </si>
  <si>
    <t>ADM-244072</t>
  </si>
  <si>
    <t>ADM-244073</t>
  </si>
  <si>
    <t>ADM-244074</t>
  </si>
  <si>
    <t>ADM-244075</t>
  </si>
  <si>
    <t>ADM-244076</t>
  </si>
  <si>
    <t>ADM-244077</t>
  </si>
  <si>
    <t>ADM-244078</t>
  </si>
  <si>
    <t>ADM-244079</t>
  </si>
  <si>
    <t>ADM-244080</t>
  </si>
  <si>
    <t>ADM-244081</t>
  </si>
  <si>
    <t>ADM-244082</t>
  </si>
  <si>
    <t>ADM-244083</t>
  </si>
  <si>
    <t>ADM-244084</t>
  </si>
  <si>
    <t>ADM-244085</t>
  </si>
  <si>
    <t>ADM-244086</t>
  </si>
  <si>
    <t>ADM-244087</t>
  </si>
  <si>
    <t>ADM-244088</t>
  </si>
  <si>
    <t>ADM-244089</t>
  </si>
  <si>
    <t>ADM-244090</t>
  </si>
  <si>
    <t>ADM-244091</t>
  </si>
  <si>
    <t>ADM-244092</t>
  </si>
  <si>
    <t>ADM-244093</t>
  </si>
  <si>
    <t>ADM-244094</t>
  </si>
  <si>
    <t>ADM-244095</t>
  </si>
  <si>
    <t>ADM-244096</t>
  </si>
  <si>
    <t>ADM-244097</t>
  </si>
  <si>
    <t>ADM-244098</t>
  </si>
  <si>
    <t>ADM-244099</t>
  </si>
  <si>
    <t>ADM-244100</t>
  </si>
  <si>
    <t>ADM-244101</t>
  </si>
  <si>
    <t>ADM-244102</t>
  </si>
  <si>
    <t>ADM-244103</t>
  </si>
  <si>
    <t>ADM-244104</t>
  </si>
  <si>
    <t>ADM-244105</t>
  </si>
  <si>
    <t>ADM-244106</t>
  </si>
  <si>
    <t>ADM-244107</t>
  </si>
  <si>
    <t>ADM-244108</t>
  </si>
  <si>
    <t>ADM-244109</t>
  </si>
  <si>
    <t>ADM-244110</t>
  </si>
  <si>
    <t>ADM-244111</t>
  </si>
  <si>
    <t>ADM-244112</t>
  </si>
  <si>
    <t>ADM-244113</t>
  </si>
  <si>
    <t>ADM-244114</t>
  </si>
  <si>
    <t>ADM-244115</t>
  </si>
  <si>
    <t>ADM-244116</t>
  </si>
  <si>
    <t>ADM-244117</t>
  </si>
  <si>
    <t>ADM-244118</t>
  </si>
  <si>
    <t>ADM-244119</t>
  </si>
  <si>
    <t>ADM-244120</t>
  </si>
  <si>
    <t>ADM-244121</t>
  </si>
  <si>
    <t>ADM-244122</t>
  </si>
  <si>
    <t>ADM-244123</t>
  </si>
  <si>
    <t>ADM-244124</t>
  </si>
  <si>
    <t>ADM-244125</t>
  </si>
  <si>
    <t>ADM-244126</t>
  </si>
  <si>
    <t>ADM-244127</t>
  </si>
  <si>
    <t>ADM-244128</t>
  </si>
  <si>
    <t>ADM-244129</t>
  </si>
  <si>
    <t>ADM-244130</t>
  </si>
  <si>
    <t>ADM-244131</t>
  </si>
  <si>
    <t>ADM-244132</t>
  </si>
  <si>
    <t>ADM-244133</t>
  </si>
  <si>
    <t>ADM-244134</t>
  </si>
  <si>
    <t>ADM-244135</t>
  </si>
  <si>
    <t>ADM-244136</t>
  </si>
  <si>
    <t>ADM-244137</t>
  </si>
  <si>
    <t>ADM-244138</t>
  </si>
  <si>
    <t>ADM-244139</t>
  </si>
  <si>
    <t>ADM-244140</t>
  </si>
  <si>
    <t>ADM-244141</t>
  </si>
  <si>
    <t>ADM-244142</t>
  </si>
  <si>
    <t>ADM-244143</t>
  </si>
  <si>
    <t>ADM-244144</t>
  </si>
  <si>
    <t>ADM-244145</t>
  </si>
  <si>
    <t>ADM-244146</t>
  </si>
  <si>
    <t>ADM-244147</t>
  </si>
  <si>
    <t>ADM-244148</t>
  </si>
  <si>
    <t>ADM-244149</t>
  </si>
  <si>
    <t>ADM-244150</t>
  </si>
  <si>
    <t>ADM-244151</t>
  </si>
  <si>
    <t>ADM-244152</t>
  </si>
  <si>
    <t>ADM-244153</t>
  </si>
  <si>
    <t>ADM-244154</t>
  </si>
  <si>
    <t>ADM-244155</t>
  </si>
  <si>
    <t>ADM-244156</t>
  </si>
  <si>
    <t>ADM-244157</t>
  </si>
  <si>
    <t>ADM-244158</t>
  </si>
  <si>
    <t>ADM-244159</t>
  </si>
  <si>
    <t>ADM-244160</t>
  </si>
  <si>
    <t>ADM-244161</t>
  </si>
  <si>
    <t>ADM-244162</t>
  </si>
  <si>
    <t>ADM-244163</t>
  </si>
  <si>
    <t>ADM-244164</t>
  </si>
  <si>
    <t>ADM-244165</t>
  </si>
  <si>
    <t>ADM-244166</t>
  </si>
  <si>
    <t>ADM-244167</t>
  </si>
  <si>
    <t>ADM-244168</t>
  </si>
  <si>
    <t>ADM-244169</t>
  </si>
  <si>
    <t>ADM-244170</t>
  </si>
  <si>
    <t>ADM-244171</t>
  </si>
  <si>
    <t>ADM-244172</t>
  </si>
  <si>
    <t>ADM-244173</t>
  </si>
  <si>
    <t>ADM-244174</t>
  </si>
  <si>
    <t>ADM-244175</t>
  </si>
  <si>
    <t>ADM-244176</t>
  </si>
  <si>
    <t>ADM-244177</t>
  </si>
  <si>
    <t>ADM-244178</t>
  </si>
  <si>
    <t>ADM-244179</t>
  </si>
  <si>
    <t>ADM-244180</t>
  </si>
  <si>
    <t>ADM-244181</t>
  </si>
  <si>
    <t>ADM-244182</t>
  </si>
  <si>
    <t>ADM-244183</t>
  </si>
  <si>
    <t>ADM-244184</t>
  </si>
  <si>
    <t>ADM-244185</t>
  </si>
  <si>
    <t>ADM-244186</t>
  </si>
  <si>
    <t>ADM-244187</t>
  </si>
  <si>
    <t>ADM-244188</t>
  </si>
  <si>
    <t>ADM-244189</t>
  </si>
  <si>
    <t>ADM-244190</t>
  </si>
  <si>
    <t>ADM-244191</t>
  </si>
  <si>
    <t>ADM-244192</t>
  </si>
  <si>
    <t>ADM-244193</t>
  </si>
  <si>
    <t>ADM-244194</t>
  </si>
  <si>
    <t>ADM-244195</t>
  </si>
  <si>
    <t>ADM-244196</t>
  </si>
  <si>
    <t>ADM-244197</t>
  </si>
  <si>
    <t>ADM-244198</t>
  </si>
  <si>
    <t>ADM-244199</t>
  </si>
  <si>
    <t>ADM-244200</t>
  </si>
  <si>
    <t>ADM-244201</t>
  </si>
  <si>
    <t>ADM-244202</t>
  </si>
  <si>
    <t>ADM-244203</t>
  </si>
  <si>
    <t>ADM-244204</t>
  </si>
  <si>
    <t>ADM-244205</t>
  </si>
  <si>
    <t>ADM-244206</t>
  </si>
  <si>
    <t>ADM-244207</t>
  </si>
  <si>
    <t>ADM-244208</t>
  </si>
  <si>
    <t>ADM-244209</t>
  </si>
  <si>
    <t>ADM-244210</t>
  </si>
  <si>
    <t>ADM-244211</t>
  </si>
  <si>
    <t>ADM-244212</t>
  </si>
  <si>
    <t>ADM-244213</t>
  </si>
  <si>
    <t>ADM-244214</t>
  </si>
  <si>
    <t>ADM-244215</t>
  </si>
  <si>
    <t>ADM-244216</t>
  </si>
  <si>
    <t>ADM-244217</t>
  </si>
  <si>
    <t>ADM-244218</t>
  </si>
  <si>
    <t>ADM-244219</t>
  </si>
  <si>
    <t>ADM-244220</t>
  </si>
  <si>
    <t>ADM-244221</t>
  </si>
  <si>
    <t>ADM-244222</t>
  </si>
  <si>
    <t>ADM-244223</t>
  </si>
  <si>
    <t>ADM-244224</t>
  </si>
  <si>
    <t>ADM-244225</t>
  </si>
  <si>
    <t>ADM-244226</t>
  </si>
  <si>
    <t>ADM-244227</t>
  </si>
  <si>
    <t>ADM-244228</t>
  </si>
  <si>
    <t>ADM-244229</t>
  </si>
  <si>
    <t>ADM-244230</t>
  </si>
  <si>
    <t>ADM-244231</t>
  </si>
  <si>
    <t>ADM-244232</t>
  </si>
  <si>
    <t>ADM-244233</t>
  </si>
  <si>
    <t>ADM-244234</t>
  </si>
  <si>
    <t>ADM-244235</t>
  </si>
  <si>
    <t>ADM-244236</t>
  </si>
  <si>
    <t>ADM-244237</t>
  </si>
  <si>
    <t>ADM-244238</t>
  </si>
  <si>
    <t>ADM-244239</t>
  </si>
  <si>
    <t>ADM-244240</t>
  </si>
  <si>
    <t>ADM-244241</t>
  </si>
  <si>
    <t>ADM-244242</t>
  </si>
  <si>
    <t>ADM-244243</t>
  </si>
  <si>
    <t>ADM-244244</t>
  </si>
  <si>
    <t>ADM-244245</t>
  </si>
  <si>
    <t>ADM-244246</t>
  </si>
  <si>
    <t>ADM-244247</t>
  </si>
  <si>
    <t>ADM-244248</t>
  </si>
  <si>
    <t>ADM-244249</t>
  </si>
  <si>
    <t>ADM-244250</t>
  </si>
  <si>
    <t>ADM-244251</t>
  </si>
  <si>
    <t>ADM-244252</t>
  </si>
  <si>
    <t>ADM-244253</t>
  </si>
  <si>
    <t>ADM-244254</t>
  </si>
  <si>
    <t>ADM-244255</t>
  </si>
  <si>
    <t>ADM-244256</t>
  </si>
  <si>
    <t>ADM-244257</t>
  </si>
  <si>
    <t>ADM-244258</t>
  </si>
  <si>
    <t>ADM-244259</t>
  </si>
  <si>
    <t>ADM-244260</t>
  </si>
  <si>
    <t>ADM-244261</t>
  </si>
  <si>
    <t>ADM-244262</t>
  </si>
  <si>
    <t>ADM-244263</t>
  </si>
  <si>
    <t>ADM-244264</t>
  </si>
  <si>
    <t>ADM-244265</t>
  </si>
  <si>
    <t>ADM-244266</t>
  </si>
  <si>
    <t>ADM-244267</t>
  </si>
  <si>
    <t>ADM-244268</t>
  </si>
  <si>
    <t>ADM-244269</t>
  </si>
  <si>
    <t>ADM-244270</t>
  </si>
  <si>
    <t>ADM-244271</t>
  </si>
  <si>
    <t>ADM-244272</t>
  </si>
  <si>
    <t>ADM-244273</t>
  </si>
  <si>
    <t>ADM-244274</t>
  </si>
  <si>
    <t>ADM-244275</t>
  </si>
  <si>
    <t>ADM-244276</t>
  </si>
  <si>
    <t>ADM-244277</t>
  </si>
  <si>
    <t>ADM-244278</t>
  </si>
  <si>
    <t>ADM-244279</t>
  </si>
  <si>
    <t>ADM-244280</t>
  </si>
  <si>
    <t>ADM-244281</t>
  </si>
  <si>
    <t>ADM-244282</t>
  </si>
  <si>
    <t>ADM-244283</t>
  </si>
  <si>
    <t>ADM-244284</t>
  </si>
  <si>
    <t>ADM-244285</t>
  </si>
  <si>
    <t>ADM-244286</t>
  </si>
  <si>
    <t>ADM-244287</t>
  </si>
  <si>
    <t>ADM-244288</t>
  </si>
  <si>
    <t>ADM-244289</t>
  </si>
  <si>
    <t>ADM-244290</t>
  </si>
  <si>
    <t>ADM-244291</t>
  </si>
  <si>
    <t>ADM-244292</t>
  </si>
  <si>
    <t>ADM-244293</t>
  </si>
  <si>
    <t>ADM-244294</t>
  </si>
  <si>
    <t>ADM-244295</t>
  </si>
  <si>
    <t>ADM-244296</t>
  </si>
  <si>
    <t>ADM-244297</t>
  </si>
  <si>
    <t>ADM-244298</t>
  </si>
  <si>
    <t>ADM-244299</t>
  </si>
  <si>
    <t>ADM-244300</t>
  </si>
  <si>
    <t>ADM-244301</t>
  </si>
  <si>
    <t>ADM-244302</t>
  </si>
  <si>
    <t>ADM-244303</t>
  </si>
  <si>
    <t>ADM-244304</t>
  </si>
  <si>
    <t>ADM-244305</t>
  </si>
  <si>
    <t>ADM-244306</t>
  </si>
  <si>
    <t>ADM-244307</t>
  </si>
  <si>
    <t>ADM-244308</t>
  </si>
  <si>
    <t>ADM-244309</t>
  </si>
  <si>
    <t>ADM-244310</t>
  </si>
  <si>
    <t>ADM-244311</t>
  </si>
  <si>
    <t>ADM-244312</t>
  </si>
  <si>
    <t>ADM-244313</t>
  </si>
  <si>
    <t>ADM-244314</t>
  </si>
  <si>
    <t>ADM-244315</t>
  </si>
  <si>
    <t>ADM-244316</t>
  </si>
  <si>
    <t>ADM-244317</t>
  </si>
  <si>
    <t>ADM-244318</t>
  </si>
  <si>
    <t>ADM-244319</t>
  </si>
  <si>
    <t>ADM-244320</t>
  </si>
  <si>
    <t>ADM-244321</t>
  </si>
  <si>
    <t>ADM-244322</t>
  </si>
  <si>
    <t>ADM-244323</t>
  </si>
  <si>
    <t>ADM-244324</t>
  </si>
  <si>
    <t>ADM-244325</t>
  </si>
  <si>
    <t>ADM-244326</t>
  </si>
  <si>
    <t>ADM-244327</t>
  </si>
  <si>
    <t>ADM-244328</t>
  </si>
  <si>
    <t>ADM-244329</t>
  </si>
  <si>
    <t>ADM-244330</t>
  </si>
  <si>
    <t>ADM-244331</t>
  </si>
  <si>
    <t>ADM-244332</t>
  </si>
  <si>
    <t>ADM-244333</t>
  </si>
  <si>
    <t>ADM-244334</t>
  </si>
  <si>
    <t>ADM-244335</t>
  </si>
  <si>
    <t>ADM-244336</t>
  </si>
  <si>
    <t>ADM-244337</t>
  </si>
  <si>
    <t>ADM-244338</t>
  </si>
  <si>
    <t>ADM-244339</t>
  </si>
  <si>
    <t>ADM-244340</t>
  </si>
  <si>
    <t>ADM-244341</t>
  </si>
  <si>
    <t>ADM-244342</t>
  </si>
  <si>
    <t>ADM-244343</t>
  </si>
  <si>
    <t>ADM-244344</t>
  </si>
  <si>
    <t>ADM-244345</t>
  </si>
  <si>
    <t>ADM-244346</t>
  </si>
  <si>
    <t>ADM-244347</t>
  </si>
  <si>
    <t>ADM-244348</t>
  </si>
  <si>
    <t>ADM-244349</t>
  </si>
  <si>
    <t>ADM-244350</t>
  </si>
  <si>
    <t>ADM-244351</t>
  </si>
  <si>
    <t>ADM-244352</t>
  </si>
  <si>
    <t>ADM-244353</t>
  </si>
  <si>
    <t>ADM-244354</t>
  </si>
  <si>
    <t>ADM-244355</t>
  </si>
  <si>
    <t>ADM-244356</t>
  </si>
  <si>
    <t>ADM-244357</t>
  </si>
  <si>
    <t>ADM-244358</t>
  </si>
  <si>
    <t>ADM-244359</t>
  </si>
  <si>
    <t>ADM-244360</t>
  </si>
  <si>
    <t>ADM-244361</t>
  </si>
  <si>
    <t>ADM-244362</t>
  </si>
  <si>
    <t>ADM-244363</t>
  </si>
  <si>
    <t>ADM-244364</t>
  </si>
  <si>
    <t>ADM-244365</t>
  </si>
  <si>
    <t>ADM-244366</t>
  </si>
  <si>
    <t>ADM-244367</t>
  </si>
  <si>
    <t>ADM-244368</t>
  </si>
  <si>
    <t>ADM-244369</t>
  </si>
  <si>
    <t>ADM-244370</t>
  </si>
  <si>
    <t>ADM-244371</t>
  </si>
  <si>
    <t>ADM-244372</t>
  </si>
  <si>
    <t>ADM-244373</t>
  </si>
  <si>
    <t>ADM-244374</t>
  </si>
  <si>
    <t>ADM-244375</t>
  </si>
  <si>
    <t>ADM-244376</t>
  </si>
  <si>
    <t>ADM-244377</t>
  </si>
  <si>
    <t>ADM-244378</t>
  </si>
  <si>
    <t>ADM-244379</t>
  </si>
  <si>
    <t>ADM-244380</t>
  </si>
  <si>
    <t>ADM-244381</t>
  </si>
  <si>
    <t>ADM-244382</t>
  </si>
  <si>
    <t>ADM-244383</t>
  </si>
  <si>
    <t>ADM-244384</t>
  </si>
  <si>
    <t>ADM-244385</t>
  </si>
  <si>
    <t>ADM-244386</t>
  </si>
  <si>
    <t>ADM-244387</t>
  </si>
  <si>
    <t>ADM-244388</t>
  </si>
  <si>
    <t>ADM-244389</t>
  </si>
  <si>
    <t>ADM-244390</t>
  </si>
  <si>
    <t>ADM-244391</t>
  </si>
  <si>
    <t>ADM-244392</t>
  </si>
  <si>
    <t>ADM-244393</t>
  </si>
  <si>
    <t>ADM-244394</t>
  </si>
  <si>
    <t>ADM-244395</t>
  </si>
  <si>
    <t>ADM-244396</t>
  </si>
  <si>
    <t>ADM-244397</t>
  </si>
  <si>
    <t>ADM-244398</t>
  </si>
  <si>
    <t>ADM-244399</t>
  </si>
  <si>
    <t>ADM-244400</t>
  </si>
  <si>
    <t>ADM-244401</t>
  </si>
  <si>
    <t>ADM-244402</t>
  </si>
  <si>
    <t>ADM-244403</t>
  </si>
  <si>
    <t>ADM-244404</t>
  </si>
  <si>
    <t>ADM-244405</t>
  </si>
  <si>
    <t>ADM-244406</t>
  </si>
  <si>
    <t>ADM-244407</t>
  </si>
  <si>
    <t>ADM-244408</t>
  </si>
  <si>
    <t>ADM-244409</t>
  </si>
  <si>
    <t>ADM-244410</t>
  </si>
  <si>
    <t>ADM-244411</t>
  </si>
  <si>
    <t>ADM-244412</t>
  </si>
  <si>
    <t>ADM-244413</t>
  </si>
  <si>
    <t>ADM-244414</t>
  </si>
  <si>
    <t>ADM-244415</t>
  </si>
  <si>
    <t>ADM-244416</t>
  </si>
  <si>
    <t>ADM-244417</t>
  </si>
  <si>
    <t>ADM-244418</t>
  </si>
  <si>
    <t>ADM-244419</t>
  </si>
  <si>
    <t>ADM-244420</t>
  </si>
  <si>
    <t>ADM-244421</t>
  </si>
  <si>
    <t>ADM-244422</t>
  </si>
  <si>
    <t>ADM-244423</t>
  </si>
  <si>
    <t>ADM-244424</t>
  </si>
  <si>
    <t>ADM-244425</t>
  </si>
  <si>
    <t>ADM-244426</t>
  </si>
  <si>
    <t>ADM-244427</t>
  </si>
  <si>
    <t>ADM-244428</t>
  </si>
  <si>
    <t>ADM-244429</t>
  </si>
  <si>
    <t>ADM-244430</t>
  </si>
  <si>
    <t>ADM-244431</t>
  </si>
  <si>
    <t>ADM-244432</t>
  </si>
  <si>
    <t>ADM-244433</t>
  </si>
  <si>
    <t>ADM-244434</t>
  </si>
  <si>
    <t>ADM-244435</t>
  </si>
  <si>
    <t>ADM-244436</t>
  </si>
  <si>
    <t>ADM-244437</t>
  </si>
  <si>
    <t>ADM-244438</t>
  </si>
  <si>
    <t>ADM-244439</t>
  </si>
  <si>
    <t>ADM-244440</t>
  </si>
  <si>
    <t>ADM-244441</t>
  </si>
  <si>
    <t>ADM-244442</t>
  </si>
  <si>
    <t>ADM-244443</t>
  </si>
  <si>
    <t>ADM-244444</t>
  </si>
  <si>
    <t>ADM-244445</t>
  </si>
  <si>
    <t>ADM-244446</t>
  </si>
  <si>
    <t>ADM-244447</t>
  </si>
  <si>
    <t>ADM-244448</t>
  </si>
  <si>
    <t>ADM-244449</t>
  </si>
  <si>
    <t>ADM-244450</t>
  </si>
  <si>
    <t>ADM-244451</t>
  </si>
  <si>
    <t>ADM-244452</t>
  </si>
  <si>
    <t>ADM-244453</t>
  </si>
  <si>
    <t>ADM-244454</t>
  </si>
  <si>
    <t>ADM-244455</t>
  </si>
  <si>
    <t>ADM-244456</t>
  </si>
  <si>
    <t>ADM-244457</t>
  </si>
  <si>
    <t>ADM-244458</t>
  </si>
  <si>
    <t>ADM-244459</t>
  </si>
  <si>
    <t>ADM-244460</t>
  </si>
  <si>
    <t>ADM-244461</t>
  </si>
  <si>
    <t>ADM-244462</t>
  </si>
  <si>
    <t>ADM-244463</t>
  </si>
  <si>
    <t>ADM-244464</t>
  </si>
  <si>
    <t>ADM-244465</t>
  </si>
  <si>
    <t>ADM-244466</t>
  </si>
  <si>
    <t>ADM-244467</t>
  </si>
  <si>
    <t>ADM-244468</t>
  </si>
  <si>
    <t>ADM-244469</t>
  </si>
  <si>
    <t>ADM-244470</t>
  </si>
  <si>
    <t>ADM-244471</t>
  </si>
  <si>
    <t>ADM-244472</t>
  </si>
  <si>
    <t>ADM-244473</t>
  </si>
  <si>
    <t>ADM-244474</t>
  </si>
  <si>
    <t>ADM-244475</t>
  </si>
  <si>
    <t>ADM-244476</t>
  </si>
  <si>
    <t>ADM-244477</t>
  </si>
  <si>
    <t>ADM-244478</t>
  </si>
  <si>
    <t>ADM-244479</t>
  </si>
  <si>
    <t>ADM-244480</t>
  </si>
  <si>
    <t>ADM-244481</t>
  </si>
  <si>
    <t>ADM-244482</t>
  </si>
  <si>
    <t>ADM-244483</t>
  </si>
  <si>
    <t>ADM-244484</t>
  </si>
  <si>
    <t>ADM-244485</t>
  </si>
  <si>
    <t>ADM-244486</t>
  </si>
  <si>
    <t>ADM-244487</t>
  </si>
  <si>
    <t>ADM-244488</t>
  </si>
  <si>
    <t>ADM-244489</t>
  </si>
  <si>
    <t>ADM-244490</t>
  </si>
  <si>
    <t>ADM-244491</t>
  </si>
  <si>
    <t>ADM-244492</t>
  </si>
  <si>
    <t>ADM-244493</t>
  </si>
  <si>
    <t>ADM-244494</t>
  </si>
  <si>
    <t>ADM-244495</t>
  </si>
  <si>
    <t>ADM-244496</t>
  </si>
  <si>
    <t>ADM-244497</t>
  </si>
  <si>
    <t>ADM-244498</t>
  </si>
  <si>
    <t>ADM-244499</t>
  </si>
  <si>
    <t>ADM-244500</t>
  </si>
  <si>
    <t>ADM-244501</t>
  </si>
  <si>
    <t>ADM-244502</t>
  </si>
  <si>
    <t>ADM-244503</t>
  </si>
  <si>
    <t>ADM-244504</t>
  </si>
  <si>
    <t>ADM-244505</t>
  </si>
  <si>
    <t>ADM-244506</t>
  </si>
  <si>
    <t>ADM-244507</t>
  </si>
  <si>
    <t>ADM-244508</t>
  </si>
  <si>
    <t>ADM-244509</t>
  </si>
  <si>
    <t>ADM-244510</t>
  </si>
  <si>
    <t>ADM-244511</t>
  </si>
  <si>
    <t>ADM-244512</t>
  </si>
  <si>
    <t>ADM-244513</t>
  </si>
  <si>
    <t>ADM-244514</t>
  </si>
  <si>
    <t>ADM-244515</t>
  </si>
  <si>
    <t>ADM-244516</t>
  </si>
  <si>
    <t>ADM-244517</t>
  </si>
  <si>
    <t>ADM-244518</t>
  </si>
  <si>
    <t>ADM-244519</t>
  </si>
  <si>
    <t>ADM-244520</t>
  </si>
  <si>
    <t>ADM-244521</t>
  </si>
  <si>
    <t>ADM-244522</t>
  </si>
  <si>
    <t>ADM-244523</t>
  </si>
  <si>
    <t>ADM-244524</t>
  </si>
  <si>
    <t>ADM-244525</t>
  </si>
  <si>
    <t>ADM-244526</t>
  </si>
  <si>
    <t>ADM-244527</t>
  </si>
  <si>
    <t>ADM-244528</t>
  </si>
  <si>
    <t>ADM-244529</t>
  </si>
  <si>
    <t>ADM-244530</t>
  </si>
  <si>
    <t>ADM-244531</t>
  </si>
  <si>
    <t>ADM-244532</t>
  </si>
  <si>
    <t>ADM-244533</t>
  </si>
  <si>
    <t>ADM-244534</t>
  </si>
  <si>
    <t>ADM-244535</t>
  </si>
  <si>
    <t>ADM-244536</t>
  </si>
  <si>
    <t>ADM-244537</t>
  </si>
  <si>
    <t>ADM-244538</t>
  </si>
  <si>
    <t>ADM-244539</t>
  </si>
  <si>
    <t>ADM-244540</t>
  </si>
  <si>
    <t>ADM-244541</t>
  </si>
  <si>
    <t>ADM-244542</t>
  </si>
  <si>
    <t>ADM-244543</t>
  </si>
  <si>
    <t>ADM-244544</t>
  </si>
  <si>
    <t>ADM-244545</t>
  </si>
  <si>
    <t>ADM-244546</t>
  </si>
  <si>
    <t>ADM-244547</t>
  </si>
  <si>
    <t>ADM-244548</t>
  </si>
  <si>
    <t>ADM-244549</t>
  </si>
  <si>
    <t>ADM-244550</t>
  </si>
  <si>
    <t>ADM-244551</t>
  </si>
  <si>
    <t>ADM-244552</t>
  </si>
  <si>
    <t>ADM-244553</t>
  </si>
  <si>
    <t>ADM-244554</t>
  </si>
  <si>
    <t>ADM-244555</t>
  </si>
  <si>
    <t>ADM-244556</t>
  </si>
  <si>
    <t>ADM-244557</t>
  </si>
  <si>
    <t>ADM-244558</t>
  </si>
  <si>
    <t>ADM-244559</t>
  </si>
  <si>
    <t>ADM-244560</t>
  </si>
  <si>
    <t>ADM-244561</t>
  </si>
  <si>
    <t>ADM-244562</t>
  </si>
  <si>
    <t>ADM-244563</t>
  </si>
  <si>
    <t>ADM-244564</t>
  </si>
  <si>
    <t>ADM-244565</t>
  </si>
  <si>
    <t>ADM-244566</t>
  </si>
  <si>
    <t>ADM-244567</t>
  </si>
  <si>
    <t>ADM-244568</t>
  </si>
  <si>
    <t>ADM-244569</t>
  </si>
  <si>
    <t>ADM-244570</t>
  </si>
  <si>
    <t>ADM-244571</t>
  </si>
  <si>
    <t>ADM-244572</t>
  </si>
  <si>
    <t>ADM-244573</t>
  </si>
  <si>
    <t>ADM-244574</t>
  </si>
  <si>
    <t>ADM-244575</t>
  </si>
  <si>
    <t>ADM-244576</t>
  </si>
  <si>
    <t>ADM-244577</t>
  </si>
  <si>
    <t>ADM-244578</t>
  </si>
  <si>
    <t>ADM-244579</t>
  </si>
  <si>
    <t>ADM-244580</t>
  </si>
  <si>
    <t>ADM-244581</t>
  </si>
  <si>
    <t>ADM-244582</t>
  </si>
  <si>
    <t>ADM-244583</t>
  </si>
  <si>
    <t>ADM-244584</t>
  </si>
  <si>
    <t>ADM-244585</t>
  </si>
  <si>
    <t>ADM-244586</t>
  </si>
  <si>
    <t>ADM-244587</t>
  </si>
  <si>
    <t>ADM-244588</t>
  </si>
  <si>
    <t>ADM-244589</t>
  </si>
  <si>
    <t>ADM-244590</t>
  </si>
  <si>
    <t>ADM-244591</t>
  </si>
  <si>
    <t>ADM-244592</t>
  </si>
  <si>
    <t>ADM-244593</t>
  </si>
  <si>
    <t>ADM-244594</t>
  </si>
  <si>
    <t>ADM-244595</t>
  </si>
  <si>
    <t>ADM-244596</t>
  </si>
  <si>
    <t>ADM-244597</t>
  </si>
  <si>
    <t>ADM-244598</t>
  </si>
  <si>
    <t>ADM-244599</t>
  </si>
  <si>
    <t>ADM-244600</t>
  </si>
  <si>
    <t>ADM-244601</t>
  </si>
  <si>
    <t>ADM-244602</t>
  </si>
  <si>
    <t>ADM-244603</t>
  </si>
  <si>
    <t>ADM-244604</t>
  </si>
  <si>
    <t>ADM-244605</t>
  </si>
  <si>
    <t>ADM-244606</t>
  </si>
  <si>
    <t>ADM-244607</t>
  </si>
  <si>
    <t>ADM-244608</t>
  </si>
  <si>
    <t>ADM-244609</t>
  </si>
  <si>
    <t>ADM-244610</t>
  </si>
  <si>
    <t>ADM-244611</t>
  </si>
  <si>
    <t>ADM-244612</t>
  </si>
  <si>
    <t>ADM-244613</t>
  </si>
  <si>
    <t>ADM-244614</t>
  </si>
  <si>
    <t>ADM-244615</t>
  </si>
  <si>
    <t>ADM-244616</t>
  </si>
  <si>
    <t>ADM-244617</t>
  </si>
  <si>
    <t>ADM-244618</t>
  </si>
  <si>
    <t>ADM-244619</t>
  </si>
  <si>
    <t>ADM-244620</t>
  </si>
  <si>
    <t>ADM-244621</t>
  </si>
  <si>
    <t>ADM-244622</t>
  </si>
  <si>
    <t>ADM-244623</t>
  </si>
  <si>
    <t>ADM-244624</t>
  </si>
  <si>
    <t>ADM-244625</t>
  </si>
  <si>
    <t>ADM-244626</t>
  </si>
  <si>
    <t>ADM-244627</t>
  </si>
  <si>
    <t>ADM-244628</t>
  </si>
  <si>
    <t>ADM-244629</t>
  </si>
  <si>
    <t>ADM-244630</t>
  </si>
  <si>
    <t>ADM-244631</t>
  </si>
  <si>
    <t>ADM-244632</t>
  </si>
  <si>
    <t>ADM-244633</t>
  </si>
  <si>
    <t>ADM-244634</t>
  </si>
  <si>
    <t>ADM-244635</t>
  </si>
  <si>
    <t>ADM-244636</t>
  </si>
  <si>
    <t>ADM-244637</t>
  </si>
  <si>
    <t>ADM-244638</t>
  </si>
  <si>
    <t>ADM-244639</t>
  </si>
  <si>
    <t>ADM-244640</t>
  </si>
  <si>
    <t>ADM-244641</t>
  </si>
  <si>
    <t>ADM-244642</t>
  </si>
  <si>
    <t>ADM-244643</t>
  </si>
  <si>
    <t>ADM-244644</t>
  </si>
  <si>
    <t>ADM-244645</t>
  </si>
  <si>
    <t>ADM-244646</t>
  </si>
  <si>
    <t>ADM-244647</t>
  </si>
  <si>
    <t>ADM-244648</t>
  </si>
  <si>
    <t>ADM-244649</t>
  </si>
  <si>
    <t>ADM-244650</t>
  </si>
  <si>
    <t>ADM-244651</t>
  </si>
  <si>
    <t>ADM-244652</t>
  </si>
  <si>
    <t>ADM-244653</t>
  </si>
  <si>
    <t>ADM-244654</t>
  </si>
  <si>
    <t>ADM-244655</t>
  </si>
  <si>
    <t>ADM-244656</t>
  </si>
  <si>
    <t>ADM-244657</t>
  </si>
  <si>
    <t>ADM-244658</t>
  </si>
  <si>
    <t>ADM-244659</t>
  </si>
  <si>
    <t>ADM-244660</t>
  </si>
  <si>
    <t>ADM-244661</t>
  </si>
  <si>
    <t>ADM-244662</t>
  </si>
  <si>
    <t>ADM-244663</t>
  </si>
  <si>
    <t>ADM-244664</t>
  </si>
  <si>
    <t>ADM-244665</t>
  </si>
  <si>
    <t>ADM-244666</t>
  </si>
  <si>
    <t>ADM-244667</t>
  </si>
  <si>
    <t>ADM-244668</t>
  </si>
  <si>
    <t>ADM-244669</t>
  </si>
  <si>
    <t>ADM-244670</t>
  </si>
  <si>
    <t>ADM-244671</t>
  </si>
  <si>
    <t>ADM-244672</t>
  </si>
  <si>
    <t>ADM-244673</t>
  </si>
  <si>
    <t>ADM-244674</t>
  </si>
  <si>
    <t>ADM-244675</t>
  </si>
  <si>
    <t>ADM-244676</t>
  </si>
  <si>
    <t>ADM-244677</t>
  </si>
  <si>
    <t>ADM-244678</t>
  </si>
  <si>
    <t>ADM-244679</t>
  </si>
  <si>
    <t>ADM-244680</t>
  </si>
  <si>
    <t>ADM-244681</t>
  </si>
  <si>
    <t>ADM-244682</t>
  </si>
  <si>
    <t>ADM-244683</t>
  </si>
  <si>
    <t>ADM-244684</t>
  </si>
  <si>
    <t>ADM-244685</t>
  </si>
  <si>
    <t>ADM-244686</t>
  </si>
  <si>
    <t>ADM-244687</t>
  </si>
  <si>
    <t>ADM-244688</t>
  </si>
  <si>
    <t>ADM-244689</t>
  </si>
  <si>
    <t>ADM-244690</t>
  </si>
  <si>
    <t>ADM-244691</t>
  </si>
  <si>
    <t>ADM-244692</t>
  </si>
  <si>
    <t>ADM-244693</t>
  </si>
  <si>
    <t>ADM-244694</t>
  </si>
  <si>
    <t>ADM-244695</t>
  </si>
  <si>
    <t>ADM-244696</t>
  </si>
  <si>
    <t>ADM-244697</t>
  </si>
  <si>
    <t>ADM-244698</t>
  </si>
  <si>
    <t>ADM-244699</t>
  </si>
  <si>
    <t>ADM-244700</t>
  </si>
  <si>
    <t>ADM-244701</t>
  </si>
  <si>
    <t>ADM-244702</t>
  </si>
  <si>
    <t>ADM-244703</t>
  </si>
  <si>
    <t>ADM-244704</t>
  </si>
  <si>
    <t>ADM-244705</t>
  </si>
  <si>
    <t>ADM-244706</t>
  </si>
  <si>
    <t>ADM-244707</t>
  </si>
  <si>
    <t>ADM-244708</t>
  </si>
  <si>
    <t>ADM-244709</t>
  </si>
  <si>
    <t>ADM-244710</t>
  </si>
  <si>
    <t>ADM-244711</t>
  </si>
  <si>
    <t>ADM-244712</t>
  </si>
  <si>
    <t>ADM-244713</t>
  </si>
  <si>
    <t>ADM-244714</t>
  </si>
  <si>
    <t>ADM-244715</t>
  </si>
  <si>
    <t>ADM-244716</t>
  </si>
  <si>
    <t>ADM-244717</t>
  </si>
  <si>
    <t>ADM-244718</t>
  </si>
  <si>
    <t>ADM-244719</t>
  </si>
  <si>
    <t>ADM-244720</t>
  </si>
  <si>
    <t>ADM-244721</t>
  </si>
  <si>
    <t>ADM-244722</t>
  </si>
  <si>
    <t>ADM-244723</t>
  </si>
  <si>
    <t>ADM-244724</t>
  </si>
  <si>
    <t>ADM-244725</t>
  </si>
  <si>
    <t>ADM-244726</t>
  </si>
  <si>
    <t>ADM-244727</t>
  </si>
  <si>
    <t>ADM-244728</t>
  </si>
  <si>
    <t>ADM-244729</t>
  </si>
  <si>
    <t>ADM-244730</t>
  </si>
  <si>
    <t>ADM-244731</t>
  </si>
  <si>
    <t>ADM-244732</t>
  </si>
  <si>
    <t>ADM-244733</t>
  </si>
  <si>
    <t>ADM-244734</t>
  </si>
  <si>
    <t>ADM-244735</t>
  </si>
  <si>
    <t>ADM-244736</t>
  </si>
  <si>
    <t>ADM-244737</t>
  </si>
  <si>
    <t>ADM-244738</t>
  </si>
  <si>
    <t>ADM-244739</t>
  </si>
  <si>
    <t>ADM-244740</t>
  </si>
  <si>
    <t>ADM-244741</t>
  </si>
  <si>
    <t>ADM-244742</t>
  </si>
  <si>
    <t>ADM-244743</t>
  </si>
  <si>
    <t>ADM-244744</t>
  </si>
  <si>
    <t>ADM-244745</t>
  </si>
  <si>
    <t>ADM-244746</t>
  </si>
  <si>
    <t>ADM-244747</t>
  </si>
  <si>
    <t>ADM-244748</t>
  </si>
  <si>
    <t>ADM-244749</t>
  </si>
  <si>
    <t>ADM-244750</t>
  </si>
  <si>
    <t>ADM-244751</t>
  </si>
  <si>
    <t>ADM-244752</t>
  </si>
  <si>
    <t>ADM-244753</t>
  </si>
  <si>
    <t>ADM-244754</t>
  </si>
  <si>
    <t>ADM-244755</t>
  </si>
  <si>
    <t>ADM-244756</t>
  </si>
  <si>
    <t>ADM-244757</t>
  </si>
  <si>
    <t>ADM-244758</t>
  </si>
  <si>
    <t>ADM-244759</t>
  </si>
  <si>
    <t>ADM-244760</t>
  </si>
  <si>
    <t>ADM-244761</t>
  </si>
  <si>
    <t>ADM-244762</t>
  </si>
  <si>
    <t>ADM-244763</t>
  </si>
  <si>
    <t>ADM-244764</t>
  </si>
  <si>
    <t>ADM-244765</t>
  </si>
  <si>
    <t>ADM-244766</t>
  </si>
  <si>
    <t>ADM-244767</t>
  </si>
  <si>
    <t>ADM-244768</t>
  </si>
  <si>
    <t>ADM-244769</t>
  </si>
  <si>
    <t>ADM-244770</t>
  </si>
  <si>
    <t>ADM-244771</t>
  </si>
  <si>
    <t>ADM-244772</t>
  </si>
  <si>
    <t>ADM-244773</t>
  </si>
  <si>
    <t>ADM-244774</t>
  </si>
  <si>
    <t>ADM-244775</t>
  </si>
  <si>
    <t>ADM-244776</t>
  </si>
  <si>
    <t>ADM-244777</t>
  </si>
  <si>
    <t>ADM-244778</t>
  </si>
  <si>
    <t>ADM-244779</t>
  </si>
  <si>
    <t>ADM-244780</t>
  </si>
  <si>
    <t>ADM-244781</t>
  </si>
  <si>
    <t>ADM-244782</t>
  </si>
  <si>
    <t>ADM-244783</t>
  </si>
  <si>
    <t>ADM-244784</t>
  </si>
  <si>
    <t>ADM-244785</t>
  </si>
  <si>
    <t>ADM-244786</t>
  </si>
  <si>
    <t>ADM-244787</t>
  </si>
  <si>
    <t>ADM-244788</t>
  </si>
  <si>
    <t>ADM-244789</t>
  </si>
  <si>
    <t>ADM-244790</t>
  </si>
  <si>
    <t>ADM-244791</t>
  </si>
  <si>
    <t>ADM-244792</t>
  </si>
  <si>
    <t>ADM-244793</t>
  </si>
  <si>
    <t>ADM-244794</t>
  </si>
  <si>
    <t>ADM-244795</t>
  </si>
  <si>
    <t>ADM-244796</t>
  </si>
  <si>
    <t>ADM-244797</t>
  </si>
  <si>
    <t>ADM-244798</t>
  </si>
  <si>
    <t>ADM-244799</t>
  </si>
  <si>
    <t>ADM-244800</t>
  </si>
  <si>
    <t>ADM-244801</t>
  </si>
  <si>
    <t>ADM-244802</t>
  </si>
  <si>
    <t>ADM-244803</t>
  </si>
  <si>
    <t>ADM-244804</t>
  </si>
  <si>
    <t>ADM-244805</t>
  </si>
  <si>
    <t>ADM-244806</t>
  </si>
  <si>
    <t>ADM-244807</t>
  </si>
  <si>
    <t>ADM-244808</t>
  </si>
  <si>
    <t>ADM-244809</t>
  </si>
  <si>
    <t>ADM-244810</t>
  </si>
  <si>
    <t>ADM-244811</t>
  </si>
  <si>
    <t>ADM-244812</t>
  </si>
  <si>
    <t>ADM-244813</t>
  </si>
  <si>
    <t>ADM-244814</t>
  </si>
  <si>
    <t>ADM-244815</t>
  </si>
  <si>
    <t>ADM-244816</t>
  </si>
  <si>
    <t>ADM-244817</t>
  </si>
  <si>
    <t>ADM-244818</t>
  </si>
  <si>
    <t>ADM-244819</t>
  </si>
  <si>
    <t>ADM-244820</t>
  </si>
  <si>
    <t>ADM-244821</t>
  </si>
  <si>
    <t>ADM-244822</t>
  </si>
  <si>
    <t>ADM-244823</t>
  </si>
  <si>
    <t>ADM-244824</t>
  </si>
  <si>
    <t>ADM-244825</t>
  </si>
  <si>
    <t>ADM-244826</t>
  </si>
  <si>
    <t>ADM-244827</t>
  </si>
  <si>
    <t>ADM-244828</t>
  </si>
  <si>
    <t>ADM-244829</t>
  </si>
  <si>
    <t>ADM-244830</t>
  </si>
  <si>
    <t>ADM-244831</t>
  </si>
  <si>
    <t>ADM-244832</t>
  </si>
  <si>
    <t>ADM-244833</t>
  </si>
  <si>
    <t>ADM-244834</t>
  </si>
  <si>
    <t>ADM-244835</t>
  </si>
  <si>
    <t>ADM-244836</t>
  </si>
  <si>
    <t>ADM-244837</t>
  </si>
  <si>
    <t>ADM-244838</t>
  </si>
  <si>
    <t>ADM-244839</t>
  </si>
  <si>
    <t>ADM-244840</t>
  </si>
  <si>
    <t>ADM-244841</t>
  </si>
  <si>
    <t>ADM-244842</t>
  </si>
  <si>
    <t>ADM-244843</t>
  </si>
  <si>
    <t>ADM-244844</t>
  </si>
  <si>
    <t>ADM-244845</t>
  </si>
  <si>
    <t>ADM-244846</t>
  </si>
  <si>
    <t>ADM-244847</t>
  </si>
  <si>
    <t>ADM-244848</t>
  </si>
  <si>
    <t>ADM-244849</t>
  </si>
  <si>
    <t>ADM-244850</t>
  </si>
  <si>
    <t>ADM-244851</t>
  </si>
  <si>
    <t>ADM-244852</t>
  </si>
  <si>
    <t>ADM-244853</t>
  </si>
  <si>
    <t>ADM-244854</t>
  </si>
  <si>
    <t>ADM-244855</t>
  </si>
  <si>
    <t>ADM-244856</t>
  </si>
  <si>
    <t>ADM-244857</t>
  </si>
  <si>
    <t>ADM-244858</t>
  </si>
  <si>
    <t>ADM-244859</t>
  </si>
  <si>
    <t>ADM-244860</t>
  </si>
  <si>
    <t>ADM-244861</t>
  </si>
  <si>
    <t>ADM-244862</t>
  </si>
  <si>
    <t>ADM-244863</t>
  </si>
  <si>
    <t>ADM-244864</t>
  </si>
  <si>
    <t>ADM-244865</t>
  </si>
  <si>
    <t>ADM-244866</t>
  </si>
  <si>
    <t>ADM-244867</t>
  </si>
  <si>
    <t>ADM-244868</t>
  </si>
  <si>
    <t>ADM-244869</t>
  </si>
  <si>
    <t>ADM-244870</t>
  </si>
  <si>
    <t>ADM-244871</t>
  </si>
  <si>
    <t>ADM-244872</t>
  </si>
  <si>
    <t>ADM-244873</t>
  </si>
  <si>
    <t>ADM-244874</t>
  </si>
  <si>
    <t>ADM-244875</t>
  </si>
  <si>
    <t>ADM-244876</t>
  </si>
  <si>
    <t>ADM-244877</t>
  </si>
  <si>
    <t>ADM-244878</t>
  </si>
  <si>
    <t>ADM-244879</t>
  </si>
  <si>
    <t>ADM-244880</t>
  </si>
  <si>
    <t>ADM-244881</t>
  </si>
  <si>
    <t>ADM-244882</t>
  </si>
  <si>
    <t>ADM-244883</t>
  </si>
  <si>
    <t>ADM-244884</t>
  </si>
  <si>
    <t>ADM-244885</t>
  </si>
  <si>
    <t>ADM-244886</t>
  </si>
  <si>
    <t>ADM-244887</t>
  </si>
  <si>
    <t>ADM-244888</t>
  </si>
  <si>
    <t>ADM-244889</t>
  </si>
  <si>
    <t>ADM-244890</t>
  </si>
  <si>
    <t>ADM-244891</t>
  </si>
  <si>
    <t>ADM-244892</t>
  </si>
  <si>
    <t>ADM-244893</t>
  </si>
  <si>
    <t>ADM-244894</t>
  </si>
  <si>
    <t>ADM-244895</t>
  </si>
  <si>
    <t>ADM-244896</t>
  </si>
  <si>
    <t>ADM-244897</t>
  </si>
  <si>
    <t>ADM-244898</t>
  </si>
  <si>
    <t>ADM-244899</t>
  </si>
  <si>
    <t>ADM-244900</t>
  </si>
  <si>
    <t>ADM-244901</t>
  </si>
  <si>
    <t>ADM-244902</t>
  </si>
  <si>
    <t>ADM-244903</t>
  </si>
  <si>
    <t>ADM-244904</t>
  </si>
  <si>
    <t>ADM-244905</t>
  </si>
  <si>
    <t>ADM-244906</t>
  </si>
  <si>
    <t>ADM-244907</t>
  </si>
  <si>
    <t>ADM-244908</t>
  </si>
  <si>
    <t>ADM-244909</t>
  </si>
  <si>
    <t>ADM-244910</t>
  </si>
  <si>
    <t>ADM-244911</t>
  </si>
  <si>
    <t>ADM-244912</t>
  </si>
  <si>
    <t>ADM-244913</t>
  </si>
  <si>
    <t>ADM-244914</t>
  </si>
  <si>
    <t>ADM-244915</t>
  </si>
  <si>
    <t>ADM-244916</t>
  </si>
  <si>
    <t>ADM-244917</t>
  </si>
  <si>
    <t>ADM-244918</t>
  </si>
  <si>
    <t>ADM-244919</t>
  </si>
  <si>
    <t>ADM-244920</t>
  </si>
  <si>
    <t>ADM-244921</t>
  </si>
  <si>
    <t>ADM-244922</t>
  </si>
  <si>
    <t>ADM-244923</t>
  </si>
  <si>
    <t>ADM-244924</t>
  </si>
  <si>
    <t>ADM-244925</t>
  </si>
  <si>
    <t>ADM-244926</t>
  </si>
  <si>
    <t>ADM-244927</t>
  </si>
  <si>
    <t>ADM-244928</t>
  </si>
  <si>
    <t>ADM-244929</t>
  </si>
  <si>
    <t>ADM-244930</t>
  </si>
  <si>
    <t>ADM-244931</t>
  </si>
  <si>
    <t>ADM-244932</t>
  </si>
  <si>
    <t>ADM-244933</t>
  </si>
  <si>
    <t>ADM-244934</t>
  </si>
  <si>
    <t>ADM-244935</t>
  </si>
  <si>
    <t>ADM-244936</t>
  </si>
  <si>
    <t>ADM-244937</t>
  </si>
  <si>
    <t>ADM-244938</t>
  </si>
  <si>
    <t>ADM-244939</t>
  </si>
  <si>
    <t>ADM-244940</t>
  </si>
  <si>
    <t>ADM-244941</t>
  </si>
  <si>
    <t>ADM-244942</t>
  </si>
  <si>
    <t>ADM-244943</t>
  </si>
  <si>
    <t>ADM-244944</t>
  </si>
  <si>
    <t>ADM-244945</t>
  </si>
  <si>
    <t>ADM-244946</t>
  </si>
  <si>
    <t>ADM-244947</t>
  </si>
  <si>
    <t>ADM-244948</t>
  </si>
  <si>
    <t>ADM-244949</t>
  </si>
  <si>
    <t>ADM-244950</t>
  </si>
  <si>
    <t>ADM-244951</t>
  </si>
  <si>
    <t>ADM-244952</t>
  </si>
  <si>
    <t>ADM-244953</t>
  </si>
  <si>
    <t>ADM-244954</t>
  </si>
  <si>
    <t>ADM-244955</t>
  </si>
  <si>
    <t>ADM-244956</t>
  </si>
  <si>
    <t>ADM-244957</t>
  </si>
  <si>
    <t>ADM-244958</t>
  </si>
  <si>
    <t>ADM-244959</t>
  </si>
  <si>
    <t>ADM-244960</t>
  </si>
  <si>
    <t>ADM-244961</t>
  </si>
  <si>
    <t>ADM-244962</t>
  </si>
  <si>
    <t>ADM-244963</t>
  </si>
  <si>
    <t>ADM-244964</t>
  </si>
  <si>
    <t>ADM-244965</t>
  </si>
  <si>
    <t>ADM-244966</t>
  </si>
  <si>
    <t>ADM-244967</t>
  </si>
  <si>
    <t>ADM-244968</t>
  </si>
  <si>
    <t>ADM-244969</t>
  </si>
  <si>
    <t>ADM-244970</t>
  </si>
  <si>
    <t>ADM-244971</t>
  </si>
  <si>
    <t>ADM-244972</t>
  </si>
  <si>
    <t>ADM-244973</t>
  </si>
  <si>
    <t>ADM-244974</t>
  </si>
  <si>
    <t>ADM-244975</t>
  </si>
  <si>
    <t>ADM-244976</t>
  </si>
  <si>
    <t>ADM-244977</t>
  </si>
  <si>
    <t>ADM-244978</t>
  </si>
  <si>
    <t>ADM-244979</t>
  </si>
  <si>
    <t>ADM-244980</t>
  </si>
  <si>
    <t>ADM-244981</t>
  </si>
  <si>
    <t>ADM-244982</t>
  </si>
  <si>
    <t>ADM-244983</t>
  </si>
  <si>
    <t>ADM-244984</t>
  </si>
  <si>
    <t>ADM-244985</t>
  </si>
  <si>
    <t>ADM-244986</t>
  </si>
  <si>
    <t>ADM-244987</t>
  </si>
  <si>
    <t>ADM-244988</t>
  </si>
  <si>
    <t>ADM-244989</t>
  </si>
  <si>
    <t>ADM-244990</t>
  </si>
  <si>
    <t>ADM-244991</t>
  </si>
  <si>
    <t>ADM-244992</t>
  </si>
  <si>
    <t>ADM-244993</t>
  </si>
  <si>
    <t>ADM-244994</t>
  </si>
  <si>
    <t>ADM-244995</t>
  </si>
  <si>
    <t>ADM-244996</t>
  </si>
  <si>
    <t>ADM-244997</t>
  </si>
  <si>
    <t>ADM-244998</t>
  </si>
  <si>
    <t>ADM-244999</t>
  </si>
  <si>
    <t>ADM-245000</t>
  </si>
  <si>
    <t>ADM-245001</t>
  </si>
  <si>
    <t>ADM-245002</t>
  </si>
  <si>
    <t>ADM-245003</t>
  </si>
  <si>
    <t>ADM-245004</t>
  </si>
  <si>
    <t>ADM-245005</t>
  </si>
  <si>
    <t>ADM-245006</t>
  </si>
  <si>
    <t>ADM-245007</t>
  </si>
  <si>
    <t>ADM-245008</t>
  </si>
  <si>
    <t>ADM-245009</t>
  </si>
  <si>
    <t>ADM-245010</t>
  </si>
  <si>
    <t>ADM-245011</t>
  </si>
  <si>
    <t>ADM-245012</t>
  </si>
  <si>
    <t>ADM-245013</t>
  </si>
  <si>
    <t>ADM-245014</t>
  </si>
  <si>
    <t>ADM-245015</t>
  </si>
  <si>
    <t>ADM-245016</t>
  </si>
  <si>
    <t>ADM-245017</t>
  </si>
  <si>
    <t>ADM-245018</t>
  </si>
  <si>
    <t>ADM-245019</t>
  </si>
  <si>
    <t>ADM-245020</t>
  </si>
  <si>
    <t>ADM-245021</t>
  </si>
  <si>
    <t>ADM-245022</t>
  </si>
  <si>
    <t>ADM-245023</t>
  </si>
  <si>
    <t>ADM-245024</t>
  </si>
  <si>
    <t>ADM-245025</t>
  </si>
  <si>
    <t>ADM-245026</t>
  </si>
  <si>
    <t>ADM-245027</t>
  </si>
  <si>
    <t>ADM-245028</t>
  </si>
  <si>
    <t>ADM-245029</t>
  </si>
  <si>
    <t>ADM-245030</t>
  </si>
  <si>
    <t>ADM-245031</t>
  </si>
  <si>
    <t>ADM-245032</t>
  </si>
  <si>
    <t>ADM-245033</t>
  </si>
  <si>
    <t>ADM-245034</t>
  </si>
  <si>
    <t>ADM-245035</t>
  </si>
  <si>
    <t>ADM-245036</t>
  </si>
  <si>
    <t>ADM-245037</t>
  </si>
  <si>
    <t>ADM-245038</t>
  </si>
  <si>
    <t>ADM-245039</t>
  </si>
  <si>
    <t>ADM-245040</t>
  </si>
  <si>
    <t>ADM-245041</t>
  </si>
  <si>
    <t>ADM-245042</t>
  </si>
  <si>
    <t>ADM-245043</t>
  </si>
  <si>
    <t>ADM-245044</t>
  </si>
  <si>
    <t>ADM-245045</t>
  </si>
  <si>
    <t>ADM-245046</t>
  </si>
  <si>
    <t>ADM-245047</t>
  </si>
  <si>
    <t>ADM-245048</t>
  </si>
  <si>
    <t>ADM-245049</t>
  </si>
  <si>
    <t>ADM-245050</t>
  </si>
  <si>
    <t>ADM-245051</t>
  </si>
  <si>
    <t>ADM-245052</t>
  </si>
  <si>
    <t>ADM-245053</t>
  </si>
  <si>
    <t>ADM-245054</t>
  </si>
  <si>
    <t>ADM-245055</t>
  </si>
  <si>
    <t>ADM-245056</t>
  </si>
  <si>
    <t>ADM-245057</t>
  </si>
  <si>
    <t>ADM-245058</t>
  </si>
  <si>
    <t>ADM-245059</t>
  </si>
  <si>
    <t>ADM-245060</t>
  </si>
  <si>
    <t>ADM-245061</t>
  </si>
  <si>
    <t>ADM-245062</t>
  </si>
  <si>
    <t>ADM-245063</t>
  </si>
  <si>
    <t>ADM-245064</t>
  </si>
  <si>
    <t>ADM-245065</t>
  </si>
  <si>
    <t>ADM-245066</t>
  </si>
  <si>
    <t>ADM-245067</t>
  </si>
  <si>
    <t>ADM-245068</t>
  </si>
  <si>
    <t>ADM-245069</t>
  </si>
  <si>
    <t>ADM-245070</t>
  </si>
  <si>
    <t>ADM-245071</t>
  </si>
  <si>
    <t>ADM-245072</t>
  </si>
  <si>
    <t>ADM-245073</t>
  </si>
  <si>
    <t>ADM-245074</t>
  </si>
  <si>
    <t>ADM-245075</t>
  </si>
  <si>
    <t>ADM-245076</t>
  </si>
  <si>
    <t>ADM-245077</t>
  </si>
  <si>
    <t>ADM-245078</t>
  </si>
  <si>
    <t>ADM-245079</t>
  </si>
  <si>
    <t>ADM-245080</t>
  </si>
  <si>
    <t>ADM-245081</t>
  </si>
  <si>
    <t>ADM-245082</t>
  </si>
  <si>
    <t>ADM-245083</t>
  </si>
  <si>
    <t>ADM-245084</t>
  </si>
  <si>
    <t>ADM-245085</t>
  </si>
  <si>
    <t>ADM-245086</t>
  </si>
  <si>
    <t>ADM-245087</t>
  </si>
  <si>
    <t>ADM-245088</t>
  </si>
  <si>
    <t>ADM-245089</t>
  </si>
  <si>
    <t>ADM-245090</t>
  </si>
  <si>
    <t>ADM-245091</t>
  </si>
  <si>
    <t>ADM-245092</t>
  </si>
  <si>
    <t>ADM-245093</t>
  </si>
  <si>
    <t>ADM-245094</t>
  </si>
  <si>
    <t>ADM-245095</t>
  </si>
  <si>
    <t>ADM-245096</t>
  </si>
  <si>
    <t>ADM-245097</t>
  </si>
  <si>
    <t>ADM-245098</t>
  </si>
  <si>
    <t>ADM-245099</t>
  </si>
  <si>
    <t>ADM-245100</t>
  </si>
  <si>
    <t>ADM-245101</t>
  </si>
  <si>
    <t>ADM-245102</t>
  </si>
  <si>
    <t>ADM-245103</t>
  </si>
  <si>
    <t>ADM-245104</t>
  </si>
  <si>
    <t>ADM-245105</t>
  </si>
  <si>
    <t>ADM-245106</t>
  </si>
  <si>
    <t>ADM-245107</t>
  </si>
  <si>
    <t>ADM-245108</t>
  </si>
  <si>
    <t>ADM-245109</t>
  </si>
  <si>
    <t>ADM-245110</t>
  </si>
  <si>
    <t>ADM-245111</t>
  </si>
  <si>
    <t>ADM-245112</t>
  </si>
  <si>
    <t>ADM-245113</t>
  </si>
  <si>
    <t>ADM-245114</t>
  </si>
  <si>
    <t>ADM-245115</t>
  </si>
  <si>
    <t>ADM-245116</t>
  </si>
  <si>
    <t>ADM-245117</t>
  </si>
  <si>
    <t>ADM-245118</t>
  </si>
  <si>
    <t>ADM-245119</t>
  </si>
  <si>
    <t>ADM-245120</t>
  </si>
  <si>
    <t>ADM-245121</t>
  </si>
  <si>
    <t>ADM-245122</t>
  </si>
  <si>
    <t>ADM-245123</t>
  </si>
  <si>
    <t>ADM-245124</t>
  </si>
  <si>
    <t>ADM-245125</t>
  </si>
  <si>
    <t>ADM-245126</t>
  </si>
  <si>
    <t>ADM-245127</t>
  </si>
  <si>
    <t>ADM-245128</t>
  </si>
  <si>
    <t>ADM-245129</t>
  </si>
  <si>
    <t>ADM-245130</t>
  </si>
  <si>
    <t>ADM-245131</t>
  </si>
  <si>
    <t>ADM-245132</t>
  </si>
  <si>
    <t>ADM-245133</t>
  </si>
  <si>
    <t>ADM-245134</t>
  </si>
  <si>
    <t>ADM-245135</t>
  </si>
  <si>
    <t>ADM-245136</t>
  </si>
  <si>
    <t>ADM-245137</t>
  </si>
  <si>
    <t>ADM-245138</t>
  </si>
  <si>
    <t>ADM-245139</t>
  </si>
  <si>
    <t>ADM-245140</t>
  </si>
  <si>
    <t>ADM-245141</t>
  </si>
  <si>
    <t>ADM-245142</t>
  </si>
  <si>
    <t>ADM-245143</t>
  </si>
  <si>
    <t>ADM-245144</t>
  </si>
  <si>
    <t>ADM-245145</t>
  </si>
  <si>
    <t>ADM-245146</t>
  </si>
  <si>
    <t>ADM-245147</t>
  </si>
  <si>
    <t>ADM-245148</t>
  </si>
  <si>
    <t>ADM-245149</t>
  </si>
  <si>
    <t>ADM-245150</t>
  </si>
  <si>
    <t>ADM-245151</t>
  </si>
  <si>
    <t>ADM-245152</t>
  </si>
  <si>
    <t>ADM-245153</t>
  </si>
  <si>
    <t>ADM-245154</t>
  </si>
  <si>
    <t>ADM-245155</t>
  </si>
  <si>
    <t>ADM-245156</t>
  </si>
  <si>
    <t>ADM-245157</t>
  </si>
  <si>
    <t>ADM-245158</t>
  </si>
  <si>
    <t>ADM-245159</t>
  </si>
  <si>
    <t>ADM-245160</t>
  </si>
  <si>
    <t>ADM-245161</t>
  </si>
  <si>
    <t>ADM-245162</t>
  </si>
  <si>
    <t>ADM-245163</t>
  </si>
  <si>
    <t>ADM-245164</t>
  </si>
  <si>
    <t>ADM-245165</t>
  </si>
  <si>
    <t>ADM-245166</t>
  </si>
  <si>
    <t>ADM-245167</t>
  </si>
  <si>
    <t>ADM-245168</t>
  </si>
  <si>
    <t>ADM-245169</t>
  </si>
  <si>
    <t>ADM-245170</t>
  </si>
  <si>
    <t>ADM-245171</t>
  </si>
  <si>
    <t>ADM-245172</t>
  </si>
  <si>
    <t>ADM-245173</t>
  </si>
  <si>
    <t>ADM-245174</t>
  </si>
  <si>
    <t>ADM-245175</t>
  </si>
  <si>
    <t>ADM-245176</t>
  </si>
  <si>
    <t>ADM-245177</t>
  </si>
  <si>
    <t>ADM-245178</t>
  </si>
  <si>
    <t>ADM-245179</t>
  </si>
  <si>
    <t>ADM-245180</t>
  </si>
  <si>
    <t>ADM-245181</t>
  </si>
  <si>
    <t>ADM-245182</t>
  </si>
  <si>
    <t>ADM-245183</t>
  </si>
  <si>
    <t>ADM-245184</t>
  </si>
  <si>
    <t>ADM-245185</t>
  </si>
  <si>
    <t>ADM-245186</t>
  </si>
  <si>
    <t>ADM-245187</t>
  </si>
  <si>
    <t>ADM-245188</t>
  </si>
  <si>
    <t>ADM-245189</t>
  </si>
  <si>
    <t>ADM-245190</t>
  </si>
  <si>
    <t>ADM-245191</t>
  </si>
  <si>
    <t>ADM-245192</t>
  </si>
  <si>
    <t>ADM-245193</t>
  </si>
  <si>
    <t>ADM-245194</t>
  </si>
  <si>
    <t>ADM-245195</t>
  </si>
  <si>
    <t>ADM-245196</t>
  </si>
  <si>
    <t>ADM-245197</t>
  </si>
  <si>
    <t>ADM-245198</t>
  </si>
  <si>
    <t>ADM-245199</t>
  </si>
  <si>
    <t>ADM-245200</t>
  </si>
  <si>
    <t>ADM-245201</t>
  </si>
  <si>
    <t>ADM-245202</t>
  </si>
  <si>
    <t>ADM-245203</t>
  </si>
  <si>
    <t>ADM-245204</t>
  </si>
  <si>
    <t>ADM-245205</t>
  </si>
  <si>
    <t>ADM-245206</t>
  </si>
  <si>
    <t>ADM-245207</t>
  </si>
  <si>
    <t>ADM-245208</t>
  </si>
  <si>
    <t>ADM-245209</t>
  </si>
  <si>
    <t>ADM-245210</t>
  </si>
  <si>
    <t>ADM-245211</t>
  </si>
  <si>
    <t>ADM-245212</t>
  </si>
  <si>
    <t>ADM-245213</t>
  </si>
  <si>
    <t>ADM-245214</t>
  </si>
  <si>
    <t>ADM-245215</t>
  </si>
  <si>
    <t>ADM-245216</t>
  </si>
  <si>
    <t>ADM-245217</t>
  </si>
  <si>
    <t>ADM-245218</t>
  </si>
  <si>
    <t>ADM-245219</t>
  </si>
  <si>
    <t>ADM-245220</t>
  </si>
  <si>
    <t>ADM-245221</t>
  </si>
  <si>
    <t>ADM-245222</t>
  </si>
  <si>
    <t>ADM-245223</t>
  </si>
  <si>
    <t>ADM-245224</t>
  </si>
  <si>
    <t>ADM-245225</t>
  </si>
  <si>
    <t>ADM-245226</t>
  </si>
  <si>
    <t>ADM-245227</t>
  </si>
  <si>
    <t>ADM-245228</t>
  </si>
  <si>
    <t>ADM-245229</t>
  </si>
  <si>
    <t>ADM-245230</t>
  </si>
  <si>
    <t>ADM-245231</t>
  </si>
  <si>
    <t>ADM-245232</t>
  </si>
  <si>
    <t>ADM-245233</t>
  </si>
  <si>
    <t>ADM-245234</t>
  </si>
  <si>
    <t>ADM-245235</t>
  </si>
  <si>
    <t>ADM-245236</t>
  </si>
  <si>
    <t>ADM-245237</t>
  </si>
  <si>
    <t>ADM-245238</t>
  </si>
  <si>
    <t>ADM-245239</t>
  </si>
  <si>
    <t>ADM-245240</t>
  </si>
  <si>
    <t>ADM-245241</t>
  </si>
  <si>
    <t>ADM-245242</t>
  </si>
  <si>
    <t>ADM-245243</t>
  </si>
  <si>
    <t>ADM-245244</t>
  </si>
  <si>
    <t>ADM-245245</t>
  </si>
  <si>
    <t>ADM-245246</t>
  </si>
  <si>
    <t>ADM-245247</t>
  </si>
  <si>
    <t>ADM-245248</t>
  </si>
  <si>
    <t>ADM-245249</t>
  </si>
  <si>
    <t>ADM-245250</t>
  </si>
  <si>
    <t>ADM-245251</t>
  </si>
  <si>
    <t>ADM-245252</t>
  </si>
  <si>
    <t>ADM-245253</t>
  </si>
  <si>
    <t>ADM-245254</t>
  </si>
  <si>
    <t>ADM-245255</t>
  </si>
  <si>
    <t>ADM-245256</t>
  </si>
  <si>
    <t>ADM-245257</t>
  </si>
  <si>
    <t>ADM-245258</t>
  </si>
  <si>
    <t>ADM-245259</t>
  </si>
  <si>
    <t>ADM-245260</t>
  </si>
  <si>
    <t>ADM-245261</t>
  </si>
  <si>
    <t>ADM-245262</t>
  </si>
  <si>
    <t>ADM-245263</t>
  </si>
  <si>
    <t>ADM-245264</t>
  </si>
  <si>
    <t>ADM-245265</t>
  </si>
  <si>
    <t>ADM-245266</t>
  </si>
  <si>
    <t>ADM-245267</t>
  </si>
  <si>
    <t>ADM-245268</t>
  </si>
  <si>
    <t>ADM-245269</t>
  </si>
  <si>
    <t>ADM-245270</t>
  </si>
  <si>
    <t>ADM-245271</t>
  </si>
  <si>
    <t>ADM-245272</t>
  </si>
  <si>
    <t>ADM-245273</t>
  </si>
  <si>
    <t>ADM-245274</t>
  </si>
  <si>
    <t>ADM-245275</t>
  </si>
  <si>
    <t>ADM-245276</t>
  </si>
  <si>
    <t>ADM-245277</t>
  </si>
  <si>
    <t>ADM-245278</t>
  </si>
  <si>
    <t>ADM-245279</t>
  </si>
  <si>
    <t>ADM-245280</t>
  </si>
  <si>
    <t>ADM-245281</t>
  </si>
  <si>
    <t>ADM-245282</t>
  </si>
  <si>
    <t>ADM-245283</t>
  </si>
  <si>
    <t>ADM-245284</t>
  </si>
  <si>
    <t>ADM-245285</t>
  </si>
  <si>
    <t>ADM-245286</t>
  </si>
  <si>
    <t>ADM-245287</t>
  </si>
  <si>
    <t>ADM-245288</t>
  </si>
  <si>
    <t>ADM-245289</t>
  </si>
  <si>
    <t>ADM-245290</t>
  </si>
  <si>
    <t>ADM-245291</t>
  </si>
  <si>
    <t>ADM-245292</t>
  </si>
  <si>
    <t>ADM-245293</t>
  </si>
  <si>
    <t>ADM-245294</t>
  </si>
  <si>
    <t>ADM-245295</t>
  </si>
  <si>
    <t>ADM-245296</t>
  </si>
  <si>
    <t>ADM-245297</t>
  </si>
  <si>
    <t>ADM-245298</t>
  </si>
  <si>
    <t>ADM-245299</t>
  </si>
  <si>
    <t>ADM-245300</t>
  </si>
  <si>
    <t>ADM-245301</t>
  </si>
  <si>
    <t>ADM-245302</t>
  </si>
  <si>
    <t>ADM-245303</t>
  </si>
  <si>
    <t>ADM-245304</t>
  </si>
  <si>
    <t>ADM-245305</t>
  </si>
  <si>
    <t>ADM-245306</t>
  </si>
  <si>
    <t>ADM-245307</t>
  </si>
  <si>
    <t>ADM-245308</t>
  </si>
  <si>
    <t>ADM-245309</t>
  </si>
  <si>
    <t>ADM-245310</t>
  </si>
  <si>
    <t>ADM-245311</t>
  </si>
  <si>
    <t>ADM-245312</t>
  </si>
  <si>
    <t>ADM-245313</t>
  </si>
  <si>
    <t>ADM-245314</t>
  </si>
  <si>
    <t>ADM-245315</t>
  </si>
  <si>
    <t>ADM-245316</t>
  </si>
  <si>
    <t>ADM-245317</t>
  </si>
  <si>
    <t>ADM-245318</t>
  </si>
  <si>
    <t>ADM-245319</t>
  </si>
  <si>
    <t>ADM-245320</t>
  </si>
  <si>
    <t>ADM-245321</t>
  </si>
  <si>
    <t>ADM-245322</t>
  </si>
  <si>
    <t>ADM-245323</t>
  </si>
  <si>
    <t>ADM-245324</t>
  </si>
  <si>
    <t>ADM-245325</t>
  </si>
  <si>
    <t>ADM-245326</t>
  </si>
  <si>
    <t>ADM-245327</t>
  </si>
  <si>
    <t>ADM-245328</t>
  </si>
  <si>
    <t>ADM-245329</t>
  </si>
  <si>
    <t>ADM-245330</t>
  </si>
  <si>
    <t>ADM-245331</t>
  </si>
  <si>
    <t>ADM-245332</t>
  </si>
  <si>
    <t>ADM-245333</t>
  </si>
  <si>
    <t>ADM-245334</t>
  </si>
  <si>
    <t>ADM-245335</t>
  </si>
  <si>
    <t>ADM-245336</t>
  </si>
  <si>
    <t>ADM-245337</t>
  </si>
  <si>
    <t>ADM-245338</t>
  </si>
  <si>
    <t>ADM-245339</t>
  </si>
  <si>
    <t>ADM-245340</t>
  </si>
  <si>
    <t>ADM-245341</t>
  </si>
  <si>
    <t>ADM-245342</t>
  </si>
  <si>
    <t>ADM-245343</t>
  </si>
  <si>
    <t>ADM-245344</t>
  </si>
  <si>
    <t>ADM-245345</t>
  </si>
  <si>
    <t>ADM-245346</t>
  </si>
  <si>
    <t>ADM-245347</t>
  </si>
  <si>
    <t>ADM-245348</t>
  </si>
  <si>
    <t>ADM-245349</t>
  </si>
  <si>
    <t>ADM-245350</t>
  </si>
  <si>
    <t>ADM-245351</t>
  </si>
  <si>
    <t>ADM-245352</t>
  </si>
  <si>
    <t>ADM-245353</t>
  </si>
  <si>
    <t>ADM-245354</t>
  </si>
  <si>
    <t>ADM-245355</t>
  </si>
  <si>
    <t>ADM-245356</t>
  </si>
  <si>
    <t>ADM-245357</t>
  </si>
  <si>
    <t>ADM-245358</t>
  </si>
  <si>
    <t>ADM-245359</t>
  </si>
  <si>
    <t>ADM-245360</t>
  </si>
  <si>
    <t>ADM-245361</t>
  </si>
  <si>
    <t>ADM-245362</t>
  </si>
  <si>
    <t>ADM-245363</t>
  </si>
  <si>
    <t>ADM-245364</t>
  </si>
  <si>
    <t>ADM-245365</t>
  </si>
  <si>
    <t>ADM-245366</t>
  </si>
  <si>
    <t>ADM-245367</t>
  </si>
  <si>
    <t>ADM-245368</t>
  </si>
  <si>
    <t>ADM-245369</t>
  </si>
  <si>
    <t>ADM-245370</t>
  </si>
  <si>
    <t>ADM-245371</t>
  </si>
  <si>
    <t>ADM-245372</t>
  </si>
  <si>
    <t>ADM-245373</t>
  </si>
  <si>
    <t>ADM-245374</t>
  </si>
  <si>
    <t>ADM-245375</t>
  </si>
  <si>
    <t>ADM-245376</t>
  </si>
  <si>
    <t>ADM-245377</t>
  </si>
  <si>
    <t>ADM-245378</t>
  </si>
  <si>
    <t>ADM-245379</t>
  </si>
  <si>
    <t>ADM-245380</t>
  </si>
  <si>
    <t>ADM-245381</t>
  </si>
  <si>
    <t>ADM-245382</t>
  </si>
  <si>
    <t>ADM-245383</t>
  </si>
  <si>
    <t>ADM-245384</t>
  </si>
  <si>
    <t>ADM-245385</t>
  </si>
  <si>
    <t>ADM-245386</t>
  </si>
  <si>
    <t>ADM-245387</t>
  </si>
  <si>
    <t>ADM-245388</t>
  </si>
  <si>
    <t>ADM-245389</t>
  </si>
  <si>
    <t>ADM-245390</t>
  </si>
  <si>
    <t>ADM-245391</t>
  </si>
  <si>
    <t>ADM-245392</t>
  </si>
  <si>
    <t>ADM-245393</t>
  </si>
  <si>
    <t>ADM-245394</t>
  </si>
  <si>
    <t>ADM-245395</t>
  </si>
  <si>
    <t>ADM-245396</t>
  </si>
  <si>
    <t>ADM-245397</t>
  </si>
  <si>
    <t>ADM-245398</t>
  </si>
  <si>
    <t>ADM-245399</t>
  </si>
  <si>
    <t>ADM-245400</t>
  </si>
  <si>
    <t>ADM-245401</t>
  </si>
  <si>
    <t>ADM-245402</t>
  </si>
  <si>
    <t>ADM-245403</t>
  </si>
  <si>
    <t>ADM-245404</t>
  </si>
  <si>
    <t>ADM-245405</t>
  </si>
  <si>
    <t>ADM-245406</t>
  </si>
  <si>
    <t>ADM-245407</t>
  </si>
  <si>
    <t>ADM-245408</t>
  </si>
  <si>
    <t>ADM-245409</t>
  </si>
  <si>
    <t>ADM-245410</t>
  </si>
  <si>
    <t>ADM-245411</t>
  </si>
  <si>
    <t>ADM-245412</t>
  </si>
  <si>
    <t>ADM-245413</t>
  </si>
  <si>
    <t>ADM-245414</t>
  </si>
  <si>
    <t>ADM-245415</t>
  </si>
  <si>
    <t>ADM-245416</t>
  </si>
  <si>
    <t>ADM-245417</t>
  </si>
  <si>
    <t>ADM-245418</t>
  </si>
  <si>
    <t>ADM-245419</t>
  </si>
  <si>
    <t>ADM-245420</t>
  </si>
  <si>
    <t>ADM-245421</t>
  </si>
  <si>
    <t>ADM-245422</t>
  </si>
  <si>
    <t>ADM-245423</t>
  </si>
  <si>
    <t>ADM-245424</t>
  </si>
  <si>
    <t>ADM-245425</t>
  </si>
  <si>
    <t>ADM-245426</t>
  </si>
  <si>
    <t>ADM-245427</t>
  </si>
  <si>
    <t>ADM-245428</t>
  </si>
  <si>
    <t>ADM-245429</t>
  </si>
  <si>
    <t>ADM-245430</t>
  </si>
  <si>
    <t>ADM-245431</t>
  </si>
  <si>
    <t>ADM-245432</t>
  </si>
  <si>
    <t>ADM-245433</t>
  </si>
  <si>
    <t>ADM-245434</t>
  </si>
  <si>
    <t>ADM-245435</t>
  </si>
  <si>
    <t>ADM-245436</t>
  </si>
  <si>
    <t>ADM-245437</t>
  </si>
  <si>
    <t>ADM-245438</t>
  </si>
  <si>
    <t>ADM-245439</t>
  </si>
  <si>
    <t>ADM-245440</t>
  </si>
  <si>
    <t>ADM-245441</t>
  </si>
  <si>
    <t>ADM-245442</t>
  </si>
  <si>
    <t>ADM-245443</t>
  </si>
  <si>
    <t>ADM-245444</t>
  </si>
  <si>
    <t>ADM-245445</t>
  </si>
  <si>
    <t>ADM-245446</t>
  </si>
  <si>
    <t>ADM-245447</t>
  </si>
  <si>
    <t>ADM-245448</t>
  </si>
  <si>
    <t>ADM-245449</t>
  </si>
  <si>
    <t>ADM-245450</t>
  </si>
  <si>
    <t>ADM-245451</t>
  </si>
  <si>
    <t>ADM-245452</t>
  </si>
  <si>
    <t>ADM-245453</t>
  </si>
  <si>
    <t>ADM-245454</t>
  </si>
  <si>
    <t>ADM-245455</t>
  </si>
  <si>
    <t>ADM-245456</t>
  </si>
  <si>
    <t>ADM-245457</t>
  </si>
  <si>
    <t>ADM-245458</t>
  </si>
  <si>
    <t>ADM-245459</t>
  </si>
  <si>
    <t>ADM-245460</t>
  </si>
  <si>
    <t>ADM-245461</t>
  </si>
  <si>
    <t>ADM-245462</t>
  </si>
  <si>
    <t>ADM-245463</t>
  </si>
  <si>
    <t>ADM-245464</t>
  </si>
  <si>
    <t>ADM-245465</t>
  </si>
  <si>
    <t>ADM-245466</t>
  </si>
  <si>
    <t>ADM-245467</t>
  </si>
  <si>
    <t>ADM-245468</t>
  </si>
  <si>
    <t>ADM-245469</t>
  </si>
  <si>
    <t>ADM-245470</t>
  </si>
  <si>
    <t>ADM-245471</t>
  </si>
  <si>
    <t>ADM-245472</t>
  </si>
  <si>
    <t>ADM-245473</t>
  </si>
  <si>
    <t>ADM-245474</t>
  </si>
  <si>
    <t>ADM-245475</t>
  </si>
  <si>
    <t>ADM-245476</t>
  </si>
  <si>
    <t>ADM-245477</t>
  </si>
  <si>
    <t>ADM-245478</t>
  </si>
  <si>
    <t>ADM-245479</t>
  </si>
  <si>
    <t>ADM-245480</t>
  </si>
  <si>
    <t>ADM-245481</t>
  </si>
  <si>
    <t>ADM-245482</t>
  </si>
  <si>
    <t>ADM-245483</t>
  </si>
  <si>
    <t>ADM-245484</t>
  </si>
  <si>
    <t>ADM-245485</t>
  </si>
  <si>
    <t>ADM-245486</t>
  </si>
  <si>
    <t>ADM-245487</t>
  </si>
  <si>
    <t>ADM-245488</t>
  </si>
  <si>
    <t>ADM-245489</t>
  </si>
  <si>
    <t>ADM-245490</t>
  </si>
  <si>
    <t>ADM-245491</t>
  </si>
  <si>
    <t>ADM-245492</t>
  </si>
  <si>
    <t>ADM-245493</t>
  </si>
  <si>
    <t>ADM-245494</t>
  </si>
  <si>
    <t>ADM-245495</t>
  </si>
  <si>
    <t>ADM-245496</t>
  </si>
  <si>
    <t>ADM-245497</t>
  </si>
  <si>
    <t>ADM-245498</t>
  </si>
  <si>
    <t>ADM-245499</t>
  </si>
  <si>
    <t>ADM-245500</t>
  </si>
  <si>
    <t>ADM-245501</t>
  </si>
  <si>
    <t>ADM-245502</t>
  </si>
  <si>
    <t>ADM-245503</t>
  </si>
  <si>
    <t>ADM-245504</t>
  </si>
  <si>
    <t>ADM-245505</t>
  </si>
  <si>
    <t>ADM-245506</t>
  </si>
  <si>
    <t>ADM-245507</t>
  </si>
  <si>
    <t>ADM-245508</t>
  </si>
  <si>
    <t>ADM-245509</t>
  </si>
  <si>
    <t>ADM-245510</t>
  </si>
  <si>
    <t>ADM-245511</t>
  </si>
  <si>
    <t>ADM-245512</t>
  </si>
  <si>
    <t>ADM-245513</t>
  </si>
  <si>
    <t>ADM-245514</t>
  </si>
  <si>
    <t>ADM-245515</t>
  </si>
  <si>
    <t>ADM-245516</t>
  </si>
  <si>
    <t>ADM-245517</t>
  </si>
  <si>
    <t>ADM-245518</t>
  </si>
  <si>
    <t>ADM-245519</t>
  </si>
  <si>
    <t>ADM-245520</t>
  </si>
  <si>
    <t>ADM-245521</t>
  </si>
  <si>
    <t>ADM-245522</t>
  </si>
  <si>
    <t>ADM-245523</t>
  </si>
  <si>
    <t>ADM-245524</t>
  </si>
  <si>
    <t>ADM-245525</t>
  </si>
  <si>
    <t>ADM-245526</t>
  </si>
  <si>
    <t>ADM-245527</t>
  </si>
  <si>
    <t>ADM-245528</t>
  </si>
  <si>
    <t>ADM-245529</t>
  </si>
  <si>
    <t>ADM-245530</t>
  </si>
  <si>
    <t>ADM-245531</t>
  </si>
  <si>
    <t>ADM-245532</t>
  </si>
  <si>
    <t>ADM-245533</t>
  </si>
  <si>
    <t>ADM-245534</t>
  </si>
  <si>
    <t>ADM-245535</t>
  </si>
  <si>
    <t>ADM-245536</t>
  </si>
  <si>
    <t>ADM-245537</t>
  </si>
  <si>
    <t>ADM-245538</t>
  </si>
  <si>
    <t>ADM-245539</t>
  </si>
  <si>
    <t>ADM-245540</t>
  </si>
  <si>
    <t>ADM-245541</t>
  </si>
  <si>
    <t>ADM-245542</t>
  </si>
  <si>
    <t>ADM-245543</t>
  </si>
  <si>
    <t>ADM-245544</t>
  </si>
  <si>
    <t>ADM-245545</t>
  </si>
  <si>
    <t>ADM-245546</t>
  </si>
  <si>
    <t>ADM-245547</t>
  </si>
  <si>
    <t>ADM-245548</t>
  </si>
  <si>
    <t>ADM-245549</t>
  </si>
  <si>
    <t>ADM-245550</t>
  </si>
  <si>
    <t>ADM-245551</t>
  </si>
  <si>
    <t>ADM-245552</t>
  </si>
  <si>
    <t>ADM-245553</t>
  </si>
  <si>
    <t>ADM-245554</t>
  </si>
  <si>
    <t>ADM-245555</t>
  </si>
  <si>
    <t>ADM-245556</t>
  </si>
  <si>
    <t>ADM-245557</t>
  </si>
  <si>
    <t>ADM-245558</t>
  </si>
  <si>
    <t>ADM-245559</t>
  </si>
  <si>
    <t>ADM-245560</t>
  </si>
  <si>
    <t>ADM-245561</t>
  </si>
  <si>
    <t>ADM-245562</t>
  </si>
  <si>
    <t>ADM-245563</t>
  </si>
  <si>
    <t>ADM-245564</t>
  </si>
  <si>
    <t>ADM-245565</t>
  </si>
  <si>
    <t>ADM-245566</t>
  </si>
  <si>
    <t>ADM-245567</t>
  </si>
  <si>
    <t>ADM-245568</t>
  </si>
  <si>
    <t>ADM-245569</t>
  </si>
  <si>
    <t>ADM-245570</t>
  </si>
  <si>
    <t>ADM-245571</t>
  </si>
  <si>
    <t>ADM-245572</t>
  </si>
  <si>
    <t>ADM-245573</t>
  </si>
  <si>
    <t>ADM-245574</t>
  </si>
  <si>
    <t>ADM-245575</t>
  </si>
  <si>
    <t>ADM-245576</t>
  </si>
  <si>
    <t>ADM-245577</t>
  </si>
  <si>
    <t>ADM-245578</t>
  </si>
  <si>
    <t>ADM-245579</t>
  </si>
  <si>
    <t>ADM-245580</t>
  </si>
  <si>
    <t>ADM-245581</t>
  </si>
  <si>
    <t>ADM-245582</t>
  </si>
  <si>
    <t>ADM-245583</t>
  </si>
  <si>
    <t>ADM-245584</t>
  </si>
  <si>
    <t>ADM-245585</t>
  </si>
  <si>
    <t>ADM-245586</t>
  </si>
  <si>
    <t>ADM-245587</t>
  </si>
  <si>
    <t>ADM-245588</t>
  </si>
  <si>
    <t>ADM-245589</t>
  </si>
  <si>
    <t>ADM-245590</t>
  </si>
  <si>
    <t>ADM-245591</t>
  </si>
  <si>
    <t>ADM-245592</t>
  </si>
  <si>
    <t>ADM-245593</t>
  </si>
  <si>
    <t>ADM-245594</t>
  </si>
  <si>
    <t>ADM-245595</t>
  </si>
  <si>
    <t>ADM-245596</t>
  </si>
  <si>
    <t>ADM-245597</t>
  </si>
  <si>
    <t>ADM-245598</t>
  </si>
  <si>
    <t>ADM-245599</t>
  </si>
  <si>
    <t>ADM-245600</t>
  </si>
  <si>
    <t>Hospital Inpatient &amp; ER Performance</t>
  </si>
  <si>
    <t>Admissions, length of stay, ER waits &amp; readmissions | 2024-2025  |  Sample / simulated data for portfolio use</t>
  </si>
  <si>
    <t>BUSINESS PROBLEM</t>
  </si>
  <si>
    <t>Context</t>
  </si>
  <si>
    <t>A 6-department general hospital wants to track patient flow and quality. Leadership asks whether the 2025 ER triage project worked, where beds are under pressure, and which patients are coming back within 30 days.</t>
  </si>
  <si>
    <t>QUESTIONS THIS ANALYSIS ANSWERS</t>
  </si>
  <si>
    <t>How many patients did we admit, and how did volume move by month and season?</t>
  </si>
  <si>
    <t>Did ER waiting time improve in 2025?</t>
  </si>
  <si>
    <t>Which departments have the longest stays and highest bed pressure?</t>
  </si>
  <si>
    <t>Who is readmitted within 30 days?</t>
  </si>
  <si>
    <t>Q5</t>
  </si>
  <si>
    <t>How do waiting times affect patient satisfaction?</t>
  </si>
  <si>
    <t>KEY INSIGHTS</t>
  </si>
  <si>
    <t>Insight 1</t>
  </si>
  <si>
    <t>Admissions grew 5.3% in 2025 (2,728 to 2,872); winter months (Dec-Feb) carry 31.0% of the volume.</t>
  </si>
  <si>
    <t>Insight 2</t>
  </si>
  <si>
    <t>Average ER wait fell from 64 to 56 minutes after the 2025 triage project; Fridays and Saturdays are still the slowest days.</t>
  </si>
  <si>
    <t>Insight 3</t>
  </si>
  <si>
    <t>The 30-day readmission rate improved from 11.2% to 10.5%; patients aged 65+ are readmitted at 17.0% vs 8.9% for others.</t>
  </si>
  <si>
    <t>Insight 4</t>
  </si>
  <si>
    <t>Internal Medicine averages 94% bed occupancy (above the 85% safe level); Pediatrics runs at 64%.</t>
  </si>
  <si>
    <t>Insight 5</t>
  </si>
  <si>
    <t>Internal Medicine has the longest average stay (6.4 days) vs 2.8 days in Obstetrics &amp; Gynecology.</t>
  </si>
  <si>
    <t>Insight 6</t>
  </si>
  <si>
    <t>ER patients who waited over 90 minutes rate their stay 3.26/5 vs 4.18/5 for waits under 45 minutes.</t>
  </si>
  <si>
    <t>RECOMMENDATIONS</t>
  </si>
  <si>
    <t>Action 1</t>
  </si>
  <si>
    <t>Open winter surge beds (or flex beds from Pediatrics) for Internal Medicine from December to February.</t>
  </si>
  <si>
    <t>Action 2</t>
  </si>
  <si>
    <t>Extend the 2025 triage model to Friday/Saturday ER shifts, where waits are still longest.</t>
  </si>
  <si>
    <t>Action 3</t>
  </si>
  <si>
    <t>Add a post-discharge follow-up call within 72 hours for patients aged 65+.</t>
  </si>
  <si>
    <t>Action 4</t>
  </si>
  <si>
    <t>Review discharge criteria in high-readmission departments (Cardiology, Internal Medicine).</t>
  </si>
  <si>
    <t>DATASET</t>
  </si>
  <si>
    <t>Rows / columns</t>
  </si>
  <si>
    <t>5,600 rows x 19 columns (sheet 'Data', Excel table 'tblData')</t>
  </si>
  <si>
    <t>Period</t>
  </si>
  <si>
    <t>01 Jan 2024 to 31 Dec 2025</t>
  </si>
  <si>
    <t>Unique admission</t>
  </si>
  <si>
    <t>AdmissionDate / DischargeDate</t>
  </si>
  <si>
    <t>Admission and discharge dates</t>
  </si>
  <si>
    <t>Weekday of arrival</t>
  </si>
  <si>
    <t>Admitting department</t>
  </si>
  <si>
    <t>Emergency, Elective or Transfer</t>
  </si>
  <si>
    <t>Gender, AgeGroup</t>
  </si>
  <si>
    <t>Patient demographics</t>
  </si>
  <si>
    <t>Payer type</t>
  </si>
  <si>
    <t>Nights in hospital</t>
  </si>
  <si>
    <t>Minutes from ER arrival to admission decision (emergency only)</t>
  </si>
  <si>
    <t>Billed cost of the stay (USD)</t>
  </si>
  <si>
    <t>1 if readmitted within 30 days</t>
  </si>
  <si>
    <t>Patient survey score (1-5)</t>
  </si>
  <si>
    <t>Discharge outcome</t>
  </si>
  <si>
    <t>Counter (1 per row)</t>
  </si>
  <si>
    <t>Beds (Power BI)</t>
  </si>
  <si>
    <t>Beds per department: {'Internal Medicine': 13, 'General Surgery': 7, 'Cardiology': 7, 'Orthopedics': 5, 'Pediatrics': 6, 'Obstetrics &amp; Gynecology': 5}</t>
  </si>
  <si>
    <t>WORKBOOK GUIDE</t>
  </si>
  <si>
    <t>Dashboard</t>
  </si>
  <si>
    <t>KPI cards, pivot charts and slicers. Click any slicer on the left to filter every chart and KPI at once.</t>
  </si>
  <si>
    <t>Pivots</t>
  </si>
  <si>
    <t>The PivotTables that feed the dashboard (all share one pivot cache). Refresh: Data &gt; Refresh All.</t>
  </si>
  <si>
    <t>Data</t>
  </si>
  <si>
    <t>Clean, typed source table. Add rows to the table and press Refresh All to update everything.</t>
  </si>
  <si>
    <t>Tools</t>
  </si>
  <si>
    <t>Excel PivotTables, calculated fields, PivotCharts, Slicers, GETPIVOTDATA, conditional number formats.</t>
  </si>
  <si>
    <t>Prepared by</t>
  </si>
  <si>
    <t>Ahmed Abdulsalam | Data Analyst</t>
  </si>
  <si>
    <t>PivotTables feeding the dashboard (one shared pivot cache; Data &gt; Refresh All updates everything)</t>
  </si>
  <si>
    <t>KPI summary (feeds the KPI cards)</t>
  </si>
  <si>
    <t>Grand Total</t>
  </si>
  <si>
    <t xml:space="preserve">Admissions </t>
  </si>
  <si>
    <t>Values</t>
  </si>
  <si>
    <t xml:space="preserve">Avg LOS </t>
  </si>
  <si>
    <t xml:space="preserve">Avg ER Wait </t>
  </si>
  <si>
    <t xml:space="preserve">Readmission </t>
  </si>
  <si>
    <t xml:space="preserve">Satisfaction </t>
  </si>
  <si>
    <t>Admissions and average ER wait by month</t>
  </si>
  <si>
    <t>Average length of stay by department</t>
  </si>
  <si>
    <t>Admission type mix by insurance</t>
  </si>
  <si>
    <t>Readmission rate by age group</t>
  </si>
  <si>
    <t>Average ER wait by arrival day and year</t>
  </si>
  <si>
    <t>Admissions, length of stay, ER waits &amp; readmissions | 2024-2025</t>
  </si>
  <si>
    <t>Sample / simulated data</t>
  </si>
  <si>
    <t xml:space="preserve">  FILTER PATIENTS</t>
  </si>
  <si>
    <t>ADMISSIONS · 2025</t>
  </si>
  <si>
    <t>AVG LENGTH OF STAY · 2025</t>
  </si>
  <si>
    <t>AVG ER WAIT · 2025</t>
  </si>
  <si>
    <t>30-DAY READMISSION · 2025</t>
  </si>
  <si>
    <t>PATIENT SATISFACTION · 2025</t>
  </si>
  <si>
    <t>Click any slicer to filter every chart and KPI. Source: sheet 'Data' (table tblData).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</si>
</sst>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d\-mmm\-yyyy"/>
    <numFmt numFmtId="166" formatCode="\$#,##0"/>
    <numFmt numFmtId="167" formatCode="0.0"/>
    <numFmt numFmtId="168" formatCode="0.0%"/>
    <numFmt numFmtId="169" formatCode="&quot;▲ &quot;0.0%&quot; vs 2024&quot;;&quot;▼ &quot;0.0%&quot; vs 2024&quot;;&quot;■ 0.0% vs 2024&quot;"/>
    <numFmt numFmtId="170" formatCode="0.0&quot; days&quot;"/>
    <numFmt numFmtId="171" formatCode="0&quot; min&quot;"/>
    <numFmt numFmtId="172" formatCode="&quot;▲ &quot;0.0&quot; pp vs 2024&quot;;&quot;▼ &quot;0.0&quot; pp vs 2024&quot;;&quot;■ 0.0 pp vs 2024&quot;"/>
    <numFmt numFmtId="173" formatCode="0.00&quot; / 5&quot;"/>
  </numFmts>
  <fonts count="18" x14ac:knownFonts="1">
    <font>
      <sz val="11"/>
      <color theme="1"/>
      <name val="Segoe UI"/>
      <family val="2"/>
      <scheme val="minor"/>
    </font>
    <font>
      <b/>
      <sz val="18"/>
      <color rgb="FFFFFFFF"/>
      <name val="Segoe UI"/>
    </font>
    <font>
      <i/>
      <sz val="10"/>
      <color rgb="FF5D6D7E"/>
      <name val="Segoe UI"/>
    </font>
    <font>
      <b/>
      <sz val="11"/>
      <color rgb="FF0D9488"/>
      <name val="Segoe UI"/>
    </font>
    <font>
      <b/>
      <sz val="10"/>
      <color rgb="FF1F2D3D"/>
      <name val="Segoe UI"/>
    </font>
    <font>
      <sz val="10"/>
      <color rgb="FF1F2D3D"/>
      <name val="Segoe UI"/>
    </font>
    <font>
      <b/>
      <sz val="12"/>
      <color theme="1"/>
      <name val="Segoe UI"/>
      <family val="2"/>
      <scheme val="minor"/>
    </font>
    <font>
      <b/>
      <sz val="11"/>
      <color rgb="FF0D9488"/>
      <name val="Segoe UI"/>
      <family val="2"/>
      <scheme val="minor"/>
    </font>
    <font>
      <sz val="9"/>
      <color theme="1"/>
      <name val="Segoe UI"/>
      <family val="2"/>
      <scheme val="minor"/>
    </font>
    <font>
      <b/>
      <sz val="22"/>
      <color rgb="FF0F766E"/>
      <name val="Segoe UI"/>
      <family val="2"/>
      <scheme val="minor"/>
    </font>
    <font>
      <sz val="10"/>
      <color rgb="FF5B7C80"/>
      <name val="Segoe UI"/>
      <family val="2"/>
      <scheme val="minor"/>
    </font>
    <font>
      <b/>
      <sz val="9"/>
      <color rgb="FF0F766E"/>
      <name val="Segoe UI"/>
      <family val="2"/>
      <scheme val="minor"/>
    </font>
    <font>
      <i/>
      <sz val="9"/>
      <color rgb="FF5B7C80"/>
      <name val="Segoe UI"/>
      <family val="2"/>
      <scheme val="minor"/>
    </font>
    <font>
      <b/>
      <sz val="10"/>
      <color rgb="FF0D9488"/>
      <name val="Segoe UI"/>
      <family val="2"/>
      <scheme val="minor"/>
    </font>
    <font>
      <b/>
      <sz val="8"/>
      <color rgb="FFFFFFFF"/>
      <name val="Segoe UI"/>
      <family val="2"/>
      <scheme val="minor"/>
    </font>
    <font>
      <b/>
      <sz val="8"/>
      <color rgb="FFCCFBF1"/>
      <name val="Segoe UI"/>
      <family val="2"/>
      <scheme val="minor"/>
    </font>
    <font>
      <b/>
      <sz val="20"/>
      <color rgb="FFFFFFFF"/>
      <name val="Segoe UI"/>
      <family val="2"/>
      <scheme val="minor"/>
    </font>
    <font>
      <i/>
      <sz val="8"/>
      <color rgb="FF5B7C80"/>
      <name val="Segoe UI"/>
      <family val="2"/>
      <scheme val="minor"/>
    </font>
  </fonts>
  <fills count="5">
    <fill>
      <patternFill patternType="none"/>
    </fill>
    <fill>
      <patternFill patternType="gray125"/>
    </fill>
    <fill>
      <patternFill patternType="solid">
        <fgColor rgb="FF0D9488"/>
      </patternFill>
    </fill>
    <fill>
      <patternFill patternType="solid">
        <fgColor rgb="FFFFFFFF"/>
        <bgColor indexed="64"/>
      </patternFill>
    </fill>
    <fill>
      <patternFill patternType="solid">
        <fgColor rgb="FF0D9488"/>
        <bgColor indexed="64"/>
      </patternFill>
    </fill>
  </fills>
  <borders count="10">
    <border>
      <left/>
      <right/>
      <top/>
      <bottom/>
      <diagonal/>
    </border>
    <border>
      <left/>
      <right/>
      <top/>
      <bottom style="medium">
        <color rgb="FF0D9488"/>
      </bottom>
      <diagonal/>
    </border>
    <border>
      <left style="thin">
        <color rgb="FFCDE7E4"/>
      </left>
      <right/>
      <top/>
      <bottom/>
      <diagonal/>
    </border>
    <border>
      <left style="thin">
        <color rgb="FFCDE7E4"/>
      </left>
      <right/>
      <top style="thin">
        <color rgb="FFCDE7E4"/>
      </top>
      <bottom/>
      <diagonal/>
    </border>
    <border>
      <left/>
      <right/>
      <top style="thin">
        <color rgb="FFCDE7E4"/>
      </top>
      <bottom/>
      <diagonal/>
    </border>
    <border>
      <left style="thin">
        <color rgb="FFCDE7E4"/>
      </left>
      <right/>
      <top/>
      <bottom style="thin">
        <color rgb="FFCDE7E4"/>
      </bottom>
      <diagonal/>
    </border>
    <border>
      <left/>
      <right/>
      <top/>
      <bottom style="thin">
        <color rgb="FFCDE7E4"/>
      </bottom>
      <diagonal/>
    </border>
    <border>
      <left/>
      <right style="thin">
        <color rgb="FFCDE7E4"/>
      </right>
      <top style="thin">
        <color rgb="FFCDE7E4"/>
      </top>
      <bottom/>
      <diagonal/>
    </border>
    <border>
      <left/>
      <right style="thin">
        <color rgb="FFCDE7E4"/>
      </right>
      <top/>
      <bottom/>
      <diagonal/>
    </border>
    <border>
      <left/>
      <right style="thin">
        <color rgb="FFCDE7E4"/>
      </right>
      <top/>
      <bottom style="thin">
        <color rgb="FFCDE7E4"/>
      </bottom>
      <diagonal/>
    </border>
  </borders>
  <cellStyleXfs count="1">
    <xf numFmtId="0" fontId="0" fillId="0" borderId="0"/>
  </cellStyleXfs>
  <cellXfs count="45">
    <xf numFmtId="0" fontId="0" fillId="0" borderId="0" xfId="0"/>
    <xf numFmtId="165" fontId="0" fillId="0" borderId="0" xfId="0" applyNumberFormat="1"/>
    <xf numFmtId="1" fontId="0" fillId="0" borderId="0" xfId="0" applyNumberFormat="1"/>
    <xf numFmtId="166" fontId="0" fillId="0" borderId="0" xfId="0" applyNumberForma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6" fillId="0" borderId="0" xfId="0" applyFont="1"/>
    <xf numFmtId="0" fontId="7" fillId="0" borderId="0" xfId="0" applyFont="1"/>
    <xf numFmtId="0" fontId="0" fillId="0" borderId="0" xfId="0" pivotButton="1"/>
    <xf numFmtId="3" fontId="0" fillId="0" borderId="0" xfId="0" applyNumberFormat="1"/>
    <xf numFmtId="2" fontId="0" fillId="0" borderId="0" xfId="0" applyNumberFormat="1"/>
    <xf numFmtId="167" fontId="0" fillId="0" borderId="0" xfId="0" applyNumberFormat="1"/>
    <xf numFmtId="168" fontId="0" fillId="0" borderId="0" xfId="0" applyNumberFormat="1"/>
    <xf numFmtId="0" fontId="0" fillId="0" borderId="0" xfId="0" applyFont="1"/>
    <xf numFmtId="0" fontId="8" fillId="0" borderId="0" xfId="0" applyFont="1"/>
    <xf numFmtId="0" fontId="8" fillId="3" borderId="0" xfId="0" applyFont="1" applyFill="1"/>
    <xf numFmtId="0" fontId="9" fillId="3" borderId="0" xfId="0" applyFont="1" applyFill="1"/>
    <xf numFmtId="0" fontId="10" fillId="3" borderId="0" xfId="0" applyFont="1" applyFill="1"/>
    <xf numFmtId="0" fontId="8" fillId="4" borderId="0" xfId="0" applyFont="1" applyFill="1"/>
    <xf numFmtId="0" fontId="11" fillId="3" borderId="0" xfId="0" applyFont="1" applyFill="1" applyAlignment="1">
      <alignment horizontal="right"/>
    </xf>
    <xf numFmtId="0" fontId="12" fillId="3" borderId="0" xfId="0" applyFont="1" applyFill="1" applyAlignment="1">
      <alignment horizontal="right"/>
    </xf>
    <xf numFmtId="0" fontId="8" fillId="3" borderId="0" xfId="0" applyFont="1" applyFill="1" applyBorder="1"/>
    <xf numFmtId="0" fontId="8" fillId="3" borderId="2" xfId="0" applyFont="1" applyFill="1" applyBorder="1"/>
    <xf numFmtId="0" fontId="8" fillId="3" borderId="4" xfId="0" applyFont="1" applyFill="1" applyBorder="1"/>
    <xf numFmtId="0" fontId="8" fillId="3" borderId="5" xfId="0" applyFont="1" applyFill="1" applyBorder="1"/>
    <xf numFmtId="0" fontId="8" fillId="3" borderId="6" xfId="0" applyFont="1" applyFill="1" applyBorder="1"/>
    <xf numFmtId="0" fontId="8" fillId="3" borderId="7" xfId="0" applyFont="1" applyFill="1" applyBorder="1"/>
    <xf numFmtId="0" fontId="8" fillId="3" borderId="8" xfId="0" applyFont="1" applyFill="1" applyBorder="1"/>
    <xf numFmtId="0" fontId="8" fillId="3" borderId="9" xfId="0" applyFont="1" applyFill="1" applyBorder="1"/>
    <xf numFmtId="0" fontId="13" fillId="3" borderId="3" xfId="0" applyFont="1" applyFill="1" applyBorder="1"/>
    <xf numFmtId="3" fontId="16" fillId="4" borderId="0" xfId="0" applyNumberFormat="1" applyFont="1" applyFill="1" applyAlignment="1">
      <alignment horizontal="center" vertical="center"/>
    </xf>
    <xf numFmtId="169" fontId="14" fillId="4" borderId="0" xfId="0" applyNumberFormat="1" applyFont="1" applyFill="1" applyAlignment="1">
      <alignment horizontal="center"/>
    </xf>
    <xf numFmtId="0" fontId="15" fillId="4" borderId="0" xfId="0" applyFont="1" applyFill="1" applyAlignment="1">
      <alignment horizontal="centerContinuous"/>
    </xf>
    <xf numFmtId="0" fontId="8" fillId="4" borderId="0" xfId="0" applyFont="1" applyFill="1" applyAlignment="1">
      <alignment horizontal="centerContinuous"/>
    </xf>
    <xf numFmtId="170" fontId="16" fillId="4" borderId="0" xfId="0" applyNumberFormat="1" applyFont="1" applyFill="1" applyAlignment="1">
      <alignment horizontal="center" vertical="center"/>
    </xf>
    <xf numFmtId="171" fontId="16" fillId="4" borderId="0" xfId="0" applyNumberFormat="1" applyFont="1" applyFill="1" applyAlignment="1">
      <alignment horizontal="center" vertical="center"/>
    </xf>
    <xf numFmtId="168" fontId="16" fillId="4" borderId="0" xfId="0" applyNumberFormat="1" applyFont="1" applyFill="1" applyAlignment="1">
      <alignment horizontal="center" vertical="center"/>
    </xf>
    <xf numFmtId="172" fontId="14" fillId="4" borderId="0" xfId="0" applyNumberFormat="1" applyFont="1" applyFill="1" applyAlignment="1">
      <alignment horizontal="center"/>
    </xf>
    <xf numFmtId="173" fontId="16" fillId="4" borderId="0" xfId="0" applyNumberFormat="1" applyFont="1" applyFill="1" applyAlignment="1">
      <alignment horizontal="center" vertical="center"/>
    </xf>
    <xf numFmtId="0" fontId="17"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[Hospital_Performance_Dashboard.xlsx]Pivots!ptCombo</c:name>
    <c:fmtId val="0"/>
  </c:pivotSource>
  <c:chart>
    <c:title>
      <c:tx>
        <c:rich>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r>
              <a:rPr lang="en-US" sz="1100" b="1">
                <a:solidFill>
                  <a:srgbClr val="083344"/>
                </a:solidFill>
              </a:rPr>
              <a:t>Admissions (bars) vs Avg ER Wait in Minutes (line)</a:t>
            </a:r>
          </a:p>
        </c:rich>
      </c:tx>
      <c:layout>
        <c:manualLayout>
          <c:xMode val="edge"/>
          <c:yMode val="edge"/>
          <c:x val="2.2038567493112948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endParaRPr lang="en-US"/>
        </a:p>
      </c:txPr>
    </c:title>
    <c:autoTitleDeleted val="0"/>
    <c:pivotFmts>
      <c:pivotFmt>
        <c:idx val="0"/>
        <c:spPr>
          <a:solidFill>
            <a:srgbClr val="99D5CF"/>
          </a:solidFill>
          <a:ln>
            <a:noFill/>
          </a:ln>
          <a:effectLst/>
          <a:extLs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E11D48"/>
            </a:solidFill>
            <a:round/>
          </a:ln>
          <a:effectLst/>
        </c:spPr>
        <c:marker>
          <c:symbol val="circle"/>
          <c:size val="5"/>
          <c:spPr>
            <a:solidFill>
              <a:srgbClr val="E11D48"/>
            </a:solidFill>
            <a:ln w="31750">
              <a:solidFill>
                <a:srgbClr val="E11D48"/>
              </a:solidFill>
              <a:prstDash val="solid"/>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Pivots!$H$5</c:f>
              <c:strCache>
                <c:ptCount val="1"/>
                <c:pt idx="0">
                  <c:v>Admissions </c:v>
                </c:pt>
              </c:strCache>
            </c:strRef>
          </c:tx>
          <c:spPr>
            <a:solidFill>
              <a:srgbClr val="99D5CF"/>
            </a:solidFill>
            <a:ln>
              <a:noFill/>
            </a:ln>
            <a:effectLst/>
            <a:extLst>
              <a:ext uri="{91240B29-F687-4F45-9708-019B960494DF}">
                <a14:hiddenLine xmlns:a14="http://schemas.microsoft.com/office/drawing/2010/main">
                  <a:noFill/>
                </a14:hiddenLine>
              </a:ext>
            </a:extLst>
          </c:spPr>
          <c:invertIfNegative val="0"/>
          <c:cat>
            <c:strRef>
              <c:f>Pivots!$G$6:$G$18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Pivots!$H$6:$H$18</c:f>
              <c:numCache>
                <c:formatCode>#,##0</c:formatCode>
                <c:ptCount val="12"/>
                <c:pt idx="0">
                  <c:v>617</c:v>
                </c:pt>
                <c:pt idx="1">
                  <c:v>517</c:v>
                </c:pt>
                <c:pt idx="2">
                  <c:v>472</c:v>
                </c:pt>
                <c:pt idx="3">
                  <c:v>472</c:v>
                </c:pt>
                <c:pt idx="4">
                  <c:v>397</c:v>
                </c:pt>
                <c:pt idx="5">
                  <c:v>368</c:v>
                </c:pt>
                <c:pt idx="6">
                  <c:v>408</c:v>
                </c:pt>
                <c:pt idx="7">
                  <c:v>378</c:v>
                </c:pt>
                <c:pt idx="8">
                  <c:v>408</c:v>
                </c:pt>
                <c:pt idx="9">
                  <c:v>477</c:v>
                </c:pt>
                <c:pt idx="10">
                  <c:v>485</c:v>
                </c:pt>
                <c:pt idx="11">
                  <c:v>601</c:v>
                </c:pt>
              </c:numCache>
            </c:numRef>
          </c:val>
          <c:extLst>
            <c:ext xmlns:c16="http://schemas.microsoft.com/office/drawing/2014/chart" uri="{C3380CC4-5D6E-409C-BE32-E72D297353CC}">
              <c16:uniqueId val="{00000001-D1C3-4B59-B8A2-590B08A1E56B}"/>
            </c:ext>
          </c:extLst>
        </c:ser>
        <c:dLbls>
          <c:showLegendKey val="0"/>
          <c:showVal val="0"/>
          <c:showCatName val="0"/>
          <c:showSerName val="0"/>
          <c:showPercent val="0"/>
          <c:showBubbleSize val="0"/>
        </c:dLbls>
        <c:gapWidth val="35"/>
        <c:overlap val="-10"/>
        <c:axId val="2008018623"/>
        <c:axId val="1889198175"/>
      </c:barChart>
      <c:lineChart>
        <c:grouping val="standard"/>
        <c:varyColors val="0"/>
        <c:ser>
          <c:idx val="1"/>
          <c:order val="1"/>
          <c:tx>
            <c:strRef>
              <c:f>Pivots!$I$5</c:f>
              <c:strCache>
                <c:ptCount val="1"/>
                <c:pt idx="0">
                  <c:v>Avg ER Wait </c:v>
                </c:pt>
              </c:strCache>
            </c:strRef>
          </c:tx>
          <c:spPr>
            <a:ln w="31750" cap="rnd">
              <a:solidFill>
                <a:srgbClr val="E11D48"/>
              </a:solidFill>
              <a:round/>
            </a:ln>
            <a:effectLst/>
          </c:spPr>
          <c:marker>
            <c:symbol val="circle"/>
            <c:size val="5"/>
            <c:spPr>
              <a:solidFill>
                <a:srgbClr val="E11D48"/>
              </a:solidFill>
              <a:ln w="31750">
                <a:solidFill>
                  <a:srgbClr val="E11D48"/>
                </a:solidFill>
                <a:prstDash val="solid"/>
              </a:ln>
              <a:effectLst/>
            </c:spPr>
          </c:marker>
          <c:cat>
            <c:strRef>
              <c:f>Pivots!$G$6:$G$18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Pivots!$I$6:$I$18</c:f>
              <c:numCache>
                <c:formatCode>0</c:formatCode>
                <c:ptCount val="12"/>
                <c:pt idx="0">
                  <c:v>71.095652173913038</c:v>
                </c:pt>
                <c:pt idx="1">
                  <c:v>72.971246006389777</c:v>
                </c:pt>
                <c:pt idx="2">
                  <c:v>52.888888888888886</c:v>
                </c:pt>
                <c:pt idx="3">
                  <c:v>54.167910447761194</c:v>
                </c:pt>
                <c:pt idx="4">
                  <c:v>56.493562231759654</c:v>
                </c:pt>
                <c:pt idx="5">
                  <c:v>54.190954773869343</c:v>
                </c:pt>
                <c:pt idx="6">
                  <c:v>49.528138528138527</c:v>
                </c:pt>
                <c:pt idx="7">
                  <c:v>57.408653846153847</c:v>
                </c:pt>
                <c:pt idx="8">
                  <c:v>54.333333333333336</c:v>
                </c:pt>
                <c:pt idx="9">
                  <c:v>56.367816091954026</c:v>
                </c:pt>
                <c:pt idx="10">
                  <c:v>52.707692307692305</c:v>
                </c:pt>
                <c:pt idx="11">
                  <c:v>73.791304347826085</c:v>
                </c:pt>
              </c:numCache>
            </c:numRef>
          </c:val>
          <c:smooth val="0"/>
          <c:extLst>
            <c:ext xmlns:c16="http://schemas.microsoft.com/office/drawing/2014/chart" uri="{C3380CC4-5D6E-409C-BE32-E72D297353CC}">
              <c16:uniqueId val="{00000002-D1C3-4B59-B8A2-590B08A1E56B}"/>
            </c:ext>
          </c:extLst>
        </c:ser>
        <c:dLbls>
          <c:showLegendKey val="0"/>
          <c:showVal val="0"/>
          <c:showCatName val="0"/>
          <c:showSerName val="0"/>
          <c:showPercent val="0"/>
          <c:showBubbleSize val="0"/>
        </c:dLbls>
        <c:marker val="1"/>
        <c:smooth val="0"/>
        <c:axId val="2028993855"/>
        <c:axId val="1889198655"/>
      </c:lineChart>
      <c:catAx>
        <c:axId val="2008018623"/>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889198175"/>
        <c:crosses val="autoZero"/>
        <c:auto val="1"/>
        <c:lblAlgn val="ctr"/>
        <c:lblOffset val="100"/>
        <c:noMultiLvlLbl val="0"/>
      </c:catAx>
      <c:valAx>
        <c:axId val="1889198175"/>
        <c:scaling>
          <c:orientation val="minMax"/>
        </c:scaling>
        <c:delete val="0"/>
        <c:axPos val="l"/>
        <c:majorGridlines>
          <c:spPr>
            <a:ln w="9525" cap="flat" cmpd="sng" algn="ctr">
              <a:solidFill>
                <a:srgbClr val="EEF1F4"/>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2008018623"/>
        <c:crosses val="autoZero"/>
        <c:crossBetween val="between"/>
      </c:valAx>
      <c:valAx>
        <c:axId val="1889198655"/>
        <c:scaling>
          <c:orientation val="minMax"/>
        </c:scaling>
        <c:delete val="0"/>
        <c:axPos val="r"/>
        <c:numFmt formatCode="0" sourceLinked="1"/>
        <c:majorTickMark val="out"/>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2028993855"/>
        <c:crosses val="max"/>
        <c:crossBetween val="between"/>
      </c:valAx>
      <c:catAx>
        <c:axId val="2028993855"/>
        <c:scaling>
          <c:orientation val="minMax"/>
        </c:scaling>
        <c:delete val="1"/>
        <c:axPos val="b"/>
        <c:numFmt formatCode="General" sourceLinked="1"/>
        <c:majorTickMark val="out"/>
        <c:minorTickMark val="none"/>
        <c:tickLblPos val="nextTo"/>
        <c:crossAx val="1889198655"/>
        <c:auto val="1"/>
        <c:lblAlgn val="ctr"/>
        <c:lblOffset val="100"/>
        <c:noMultiLvlLbl val="0"/>
      </c:cat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DE7E4"/>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[Hospital_Performance_Dashboard.xlsx]Pivots!ptLOS</c:name>
    <c:fmtId val="0"/>
  </c:pivotSource>
  <c:chart>
    <c:title>
      <c:tx>
        <c:rich>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r>
              <a:rPr lang="en-US" sz="1100" b="1">
                <a:solidFill>
                  <a:srgbClr val="083344"/>
                </a:solidFill>
              </a:rPr>
              <a:t>Avg Length of Stay (days)</a:t>
            </a:r>
          </a:p>
        </c:rich>
      </c:tx>
      <c:layout>
        <c:manualLayout>
          <c:xMode val="edge"/>
          <c:yMode val="edge"/>
          <c:x val="4.2780748663101602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endParaRPr lang="en-US"/>
        </a:p>
      </c:txPr>
    </c:title>
    <c:autoTitleDeleted val="0"/>
    <c:pivotFmts>
      <c:pivotFmt>
        <c:idx val="0"/>
        <c:spPr>
          <a:solidFill>
            <a:srgbClr val="0D9488"/>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Pivots!$L$5</c:f>
              <c:strCache>
                <c:ptCount val="1"/>
                <c:pt idx="0">
                  <c:v>Total</c:v>
                </c:pt>
              </c:strCache>
            </c:strRef>
          </c:tx>
          <c:spPr>
            <a:solidFill>
              <a:srgbClr val="0D9488"/>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Pivots!$K$6:$K$12</c:f>
              <c:strCache>
                <c:ptCount val="6"/>
                <c:pt idx="0">
                  <c:v>Internal Medicine</c:v>
                </c:pt>
                <c:pt idx="1">
                  <c:v>Cardiology</c:v>
                </c:pt>
                <c:pt idx="2">
                  <c:v>General Surgery</c:v>
                </c:pt>
                <c:pt idx="3">
                  <c:v>Orthopedics</c:v>
                </c:pt>
                <c:pt idx="4">
                  <c:v>Pediatrics</c:v>
                </c:pt>
                <c:pt idx="5">
                  <c:v>Obstetrics &amp; Gynecology</c:v>
                </c:pt>
              </c:strCache>
            </c:strRef>
          </c:cat>
          <c:val>
            <c:numRef>
              <c:f>Pivots!$L$6:$L$12</c:f>
              <c:numCache>
                <c:formatCode>0.0</c:formatCode>
                <c:ptCount val="6"/>
                <c:pt idx="0">
                  <c:v>6.38483547925608</c:v>
                </c:pt>
                <c:pt idx="1">
                  <c:v>5.6285362853628538</c:v>
                </c:pt>
                <c:pt idx="2">
                  <c:v>4.4537815126050422</c:v>
                </c:pt>
                <c:pt idx="3">
                  <c:v>4.0045317220543808</c:v>
                </c:pt>
                <c:pt idx="4">
                  <c:v>3.1262569832402236</c:v>
                </c:pt>
                <c:pt idx="5">
                  <c:v>2.8352272727272729</c:v>
                </c:pt>
              </c:numCache>
            </c:numRef>
          </c:val>
          <c:extLst>
            <c:ext xmlns:c16="http://schemas.microsoft.com/office/drawing/2014/chart" uri="{C3380CC4-5D6E-409C-BE32-E72D297353CC}">
              <c16:uniqueId val="{00000001-63F8-4B3B-A219-D564BA45CE36}"/>
            </c:ext>
          </c:extLst>
        </c:ser>
        <c:dLbls>
          <c:showLegendKey val="0"/>
          <c:showVal val="0"/>
          <c:showCatName val="0"/>
          <c:showSerName val="0"/>
          <c:showPercent val="0"/>
          <c:showBubbleSize val="0"/>
        </c:dLbls>
        <c:gapWidth val="60"/>
        <c:overlap val="-10"/>
        <c:axId val="2028987359"/>
        <c:axId val="1889202975"/>
      </c:barChart>
      <c:catAx>
        <c:axId val="2028987359"/>
        <c:scaling>
          <c:orientation val="maxMin"/>
        </c:scaling>
        <c:delete val="0"/>
        <c:axPos val="l"/>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889202975"/>
        <c:crosses val="autoZero"/>
        <c:auto val="1"/>
        <c:lblAlgn val="ctr"/>
        <c:lblOffset val="100"/>
        <c:noMultiLvlLbl val="0"/>
      </c:catAx>
      <c:valAx>
        <c:axId val="1889202975"/>
        <c:scaling>
          <c:orientation val="minMax"/>
        </c:scaling>
        <c:delete val="1"/>
        <c:axPos val="t"/>
        <c:numFmt formatCode="0.0" sourceLinked="1"/>
        <c:majorTickMark val="none"/>
        <c:minorTickMark val="none"/>
        <c:tickLblPos val="nextTo"/>
        <c:crossAx val="2028987359"/>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DE7E4"/>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[Hospital_Performance_Dashboard.xlsx]Pivots!ptMix</c:name>
    <c:fmtId val="0"/>
  </c:pivotSource>
  <c:chart>
    <c:title>
      <c:tx>
        <c:rich>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r>
              <a:rPr lang="en-US" sz="1100" b="1">
                <a:solidFill>
                  <a:srgbClr val="083344"/>
                </a:solidFill>
              </a:rPr>
              <a:t>Admission Type Mix by Payer</a:t>
            </a:r>
          </a:p>
        </c:rich>
      </c:tx>
      <c:layout>
        <c:manualLayout>
          <c:xMode val="edge"/>
          <c:yMode val="edge"/>
          <c:x val="4.2780748663101602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endParaRPr lang="en-US"/>
        </a:p>
      </c:txPr>
    </c:title>
    <c:autoTitleDeleted val="0"/>
    <c:pivotFmts>
      <c:pivotFmt>
        <c:idx val="0"/>
        <c:spPr>
          <a:solidFill>
            <a:srgbClr val="0D9488"/>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9731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Pivots!$O$5:$O$6</c:f>
              <c:strCache>
                <c:ptCount val="1"/>
                <c:pt idx="0">
                  <c:v>Elective</c:v>
                </c:pt>
              </c:strCache>
            </c:strRef>
          </c:tx>
          <c:spPr>
            <a:solidFill>
              <a:srgbClr val="0D9488"/>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Pivots!$N$7:$N$9</c:f>
              <c:strCache>
                <c:ptCount val="3"/>
                <c:pt idx="0">
                  <c:v>Government</c:v>
                </c:pt>
                <c:pt idx="1">
                  <c:v>Private</c:v>
                </c:pt>
                <c:pt idx="2">
                  <c:v>Self-pay</c:v>
                </c:pt>
              </c:strCache>
            </c:strRef>
          </c:cat>
          <c:val>
            <c:numRef>
              <c:f>Pivots!$O$7:$O$9</c:f>
              <c:numCache>
                <c:formatCode>#,##0</c:formatCode>
                <c:ptCount val="3"/>
                <c:pt idx="0">
                  <c:v>869</c:v>
                </c:pt>
                <c:pt idx="1">
                  <c:v>944</c:v>
                </c:pt>
                <c:pt idx="2">
                  <c:v>265</c:v>
                </c:pt>
              </c:numCache>
            </c:numRef>
          </c:val>
          <c:extLst>
            <c:ext xmlns:c16="http://schemas.microsoft.com/office/drawing/2014/chart" uri="{C3380CC4-5D6E-409C-BE32-E72D297353CC}">
              <c16:uniqueId val="{00000001-DC50-43D3-A18B-F0D531BE90C2}"/>
            </c:ext>
          </c:extLst>
        </c:ser>
        <c:ser>
          <c:idx val="1"/>
          <c:order val="1"/>
          <c:tx>
            <c:strRef>
              <c:f>Pivots!$P$5:$P$6</c:f>
              <c:strCache>
                <c:ptCount val="1"/>
                <c:pt idx="0">
                  <c:v>Emergency</c:v>
                </c:pt>
              </c:strCache>
            </c:strRef>
          </c:tx>
          <c:spPr>
            <a:solidFill>
              <a:srgbClr val="F9731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Pivots!$N$7:$N$9</c:f>
              <c:strCache>
                <c:ptCount val="3"/>
                <c:pt idx="0">
                  <c:v>Government</c:v>
                </c:pt>
                <c:pt idx="1">
                  <c:v>Private</c:v>
                </c:pt>
                <c:pt idx="2">
                  <c:v>Self-pay</c:v>
                </c:pt>
              </c:strCache>
            </c:strRef>
          </c:cat>
          <c:val>
            <c:numRef>
              <c:f>Pivots!$P$7:$P$9</c:f>
              <c:numCache>
                <c:formatCode>#,##0</c:formatCode>
                <c:ptCount val="3"/>
                <c:pt idx="0">
                  <c:v>1280</c:v>
                </c:pt>
                <c:pt idx="1">
                  <c:v>1482</c:v>
                </c:pt>
                <c:pt idx="2">
                  <c:v>366</c:v>
                </c:pt>
              </c:numCache>
            </c:numRef>
          </c:val>
          <c:extLst>
            <c:ext xmlns:c16="http://schemas.microsoft.com/office/drawing/2014/chart" uri="{C3380CC4-5D6E-409C-BE32-E72D297353CC}">
              <c16:uniqueId val="{00000002-DC50-43D3-A18B-F0D531BE90C2}"/>
            </c:ext>
          </c:extLst>
        </c:ser>
        <c:ser>
          <c:idx val="2"/>
          <c:order val="2"/>
          <c:tx>
            <c:strRef>
              <c:f>Pivots!$Q$5:$Q$6</c:f>
              <c:strCache>
                <c:ptCount val="1"/>
                <c:pt idx="0">
                  <c:v>Transfer</c:v>
                </c:pt>
              </c:strCache>
            </c:strRef>
          </c:tx>
          <c:spPr>
            <a:solidFill>
              <a:srgbClr val="3B82F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Pivots!$N$7:$N$9</c:f>
              <c:strCache>
                <c:ptCount val="3"/>
                <c:pt idx="0">
                  <c:v>Government</c:v>
                </c:pt>
                <c:pt idx="1">
                  <c:v>Private</c:v>
                </c:pt>
                <c:pt idx="2">
                  <c:v>Self-pay</c:v>
                </c:pt>
              </c:strCache>
            </c:strRef>
          </c:cat>
          <c:val>
            <c:numRef>
              <c:f>Pivots!$Q$7:$Q$9</c:f>
              <c:numCache>
                <c:formatCode>#,##0</c:formatCode>
                <c:ptCount val="3"/>
                <c:pt idx="0">
                  <c:v>184</c:v>
                </c:pt>
                <c:pt idx="1">
                  <c:v>171</c:v>
                </c:pt>
                <c:pt idx="2">
                  <c:v>39</c:v>
                </c:pt>
              </c:numCache>
            </c:numRef>
          </c:val>
          <c:extLst>
            <c:ext xmlns:c16="http://schemas.microsoft.com/office/drawing/2014/chart" uri="{C3380CC4-5D6E-409C-BE32-E72D297353CC}">
              <c16:uniqueId val="{00000003-DC50-43D3-A18B-F0D531BE90C2}"/>
            </c:ext>
          </c:extLst>
        </c:ser>
        <c:dLbls>
          <c:showLegendKey val="0"/>
          <c:showVal val="0"/>
          <c:showCatName val="0"/>
          <c:showSerName val="0"/>
          <c:showPercent val="0"/>
          <c:showBubbleSize val="0"/>
        </c:dLbls>
        <c:gapWidth val="45"/>
        <c:overlap val="100"/>
        <c:axId val="1779772207"/>
        <c:axId val="1889196255"/>
      </c:barChart>
      <c:catAx>
        <c:axId val="1779772207"/>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889196255"/>
        <c:crosses val="autoZero"/>
        <c:auto val="1"/>
        <c:lblAlgn val="ctr"/>
        <c:lblOffset val="100"/>
        <c:noMultiLvlLbl val="0"/>
      </c:catAx>
      <c:valAx>
        <c:axId val="1889196255"/>
        <c:scaling>
          <c:orientation val="minMax"/>
        </c:scaling>
        <c:delete val="0"/>
        <c:axPos val="l"/>
        <c:majorGridlines>
          <c:spPr>
            <a:ln w="9525" cap="flat" cmpd="sng" algn="ctr">
              <a:solidFill>
                <a:srgbClr val="EEF1F4"/>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779772207"/>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DE7E4"/>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[Hospital_Performance_Dashboard.xlsx]Pivots!ptReadmit</c:name>
    <c:fmtId val="0"/>
  </c:pivotSource>
  <c:chart>
    <c:title>
      <c:tx>
        <c:rich>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r>
              <a:rPr lang="en-US" sz="1100" b="1">
                <a:solidFill>
                  <a:srgbClr val="083344"/>
                </a:solidFill>
              </a:rPr>
              <a:t>30-Day Readmission by Age</a:t>
            </a:r>
          </a:p>
        </c:rich>
      </c:tx>
      <c:layout>
        <c:manualLayout>
          <c:xMode val="edge"/>
          <c:yMode val="edge"/>
          <c:x val="4.5454545454545456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endParaRPr lang="en-US"/>
        </a:p>
      </c:txPr>
    </c:title>
    <c:autoTitleDeleted val="0"/>
    <c:pivotFmts>
      <c:pivotFmt>
        <c:idx val="0"/>
        <c:spPr>
          <a:solidFill>
            <a:srgbClr val="E11D48"/>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Pivots!$T$5</c:f>
              <c:strCache>
                <c:ptCount val="1"/>
                <c:pt idx="0">
                  <c:v>Total</c:v>
                </c:pt>
              </c:strCache>
            </c:strRef>
          </c:tx>
          <c:spPr>
            <a:solidFill>
              <a:srgbClr val="E11D48"/>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Pivots!$S$6:$S$11</c:f>
              <c:strCache>
                <c:ptCount val="5"/>
                <c:pt idx="0">
                  <c:v>0-17</c:v>
                </c:pt>
                <c:pt idx="1">
                  <c:v>18-34</c:v>
                </c:pt>
                <c:pt idx="2">
                  <c:v>35-49</c:v>
                </c:pt>
                <c:pt idx="3">
                  <c:v>50-64</c:v>
                </c:pt>
                <c:pt idx="4">
                  <c:v>65+</c:v>
                </c:pt>
              </c:strCache>
            </c:strRef>
          </c:cat>
          <c:val>
            <c:numRef>
              <c:f>Pivots!$T$6:$T$11</c:f>
              <c:numCache>
                <c:formatCode>0.0%</c:formatCode>
                <c:ptCount val="5"/>
                <c:pt idx="0">
                  <c:v>6.4804469273743018E-2</c:v>
                </c:pt>
                <c:pt idx="1">
                  <c:v>8.6073500967117994E-2</c:v>
                </c:pt>
                <c:pt idx="2">
                  <c:v>8.844621513944223E-2</c:v>
                </c:pt>
                <c:pt idx="3">
                  <c:v>0.11254612546125461</c:v>
                </c:pt>
                <c:pt idx="4">
                  <c:v>0.17042042042042041</c:v>
                </c:pt>
              </c:numCache>
            </c:numRef>
          </c:val>
          <c:extLst>
            <c:ext xmlns:c16="http://schemas.microsoft.com/office/drawing/2014/chart" uri="{C3380CC4-5D6E-409C-BE32-E72D297353CC}">
              <c16:uniqueId val="{00000001-788C-4CC8-8949-D471BCBCB3D1}"/>
            </c:ext>
          </c:extLst>
        </c:ser>
        <c:dLbls>
          <c:showLegendKey val="0"/>
          <c:showVal val="0"/>
          <c:showCatName val="0"/>
          <c:showSerName val="0"/>
          <c:showPercent val="0"/>
          <c:showBubbleSize val="0"/>
        </c:dLbls>
        <c:gapWidth val="60"/>
        <c:overlap val="-10"/>
        <c:axId val="1779785199"/>
        <c:axId val="1889191935"/>
      </c:barChart>
      <c:catAx>
        <c:axId val="1779785199"/>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889191935"/>
        <c:crosses val="autoZero"/>
        <c:auto val="1"/>
        <c:lblAlgn val="ctr"/>
        <c:lblOffset val="100"/>
        <c:noMultiLvlLbl val="0"/>
      </c:catAx>
      <c:valAx>
        <c:axId val="1889191935"/>
        <c:scaling>
          <c:orientation val="minMax"/>
        </c:scaling>
        <c:delete val="1"/>
        <c:axPos val="l"/>
        <c:numFmt formatCode="0.0%" sourceLinked="1"/>
        <c:majorTickMark val="none"/>
        <c:minorTickMark val="none"/>
        <c:tickLblPos val="nextTo"/>
        <c:crossAx val="1779785199"/>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DE7E4"/>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[Hospital_Performance_Dashboard.xlsx]Pivots!ptWait</c:name>
    <c:fmtId val="0"/>
  </c:pivotSource>
  <c:chart>
    <c:title>
      <c:tx>
        <c:rich>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r>
              <a:rPr lang="en-US" sz="1100" b="1">
                <a:solidFill>
                  <a:srgbClr val="083344"/>
                </a:solidFill>
              </a:rPr>
              <a:t>ER Wait by Weekday (min)</a:t>
            </a:r>
          </a:p>
        </c:rich>
      </c:tx>
      <c:layout>
        <c:manualLayout>
          <c:xMode val="edge"/>
          <c:yMode val="edge"/>
          <c:x val="4.5454545454545456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83344"/>
              </a:solidFill>
              <a:latin typeface="Segoe UI" panose="020B0502040204020203" pitchFamily="34" charset="0"/>
              <a:ea typeface="+mn-ea"/>
              <a:cs typeface="+mn-cs"/>
            </a:defRPr>
          </a:pPr>
          <a:endParaRPr lang="en-US"/>
        </a:p>
      </c:txPr>
    </c:title>
    <c:autoTitleDeleted val="0"/>
    <c:pivotFmts>
      <c:pivotFmt>
        <c:idx val="0"/>
        <c:spPr>
          <a:ln w="22225" cap="rnd">
            <a:solidFill>
              <a:srgbClr val="FDBA74"/>
            </a:solidFill>
            <a:prstDash val="dash"/>
            <a:round/>
          </a:ln>
          <a:effectLst/>
        </c:spPr>
        <c:marker>
          <c:symbol val="circle"/>
          <c:size val="5"/>
          <c:spPr>
            <a:solidFill>
              <a:srgbClr val="FDBA74"/>
            </a:solidFill>
            <a:ln w="22225">
              <a:solidFill>
                <a:srgbClr val="FDBA74"/>
              </a:solidFill>
              <a:prstDash val="lgDash"/>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0D9488"/>
            </a:solidFill>
            <a:round/>
          </a:ln>
          <a:effectLst/>
        </c:spPr>
        <c:marker>
          <c:symbol val="circle"/>
          <c:size val="5"/>
          <c:spPr>
            <a:solidFill>
              <a:srgbClr val="0D9488"/>
            </a:solidFill>
            <a:ln w="31750">
              <a:solidFill>
                <a:srgbClr val="0D9488"/>
              </a:solidFill>
              <a:prstDash val="solid"/>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Pivots!$W$5:$W$6</c:f>
              <c:strCache>
                <c:ptCount val="1"/>
                <c:pt idx="0">
                  <c:v>2024</c:v>
                </c:pt>
              </c:strCache>
            </c:strRef>
          </c:tx>
          <c:spPr>
            <a:ln w="22225" cap="rnd">
              <a:solidFill>
                <a:srgbClr val="FDBA74"/>
              </a:solidFill>
              <a:prstDash val="dash"/>
              <a:round/>
            </a:ln>
            <a:effectLst/>
          </c:spPr>
          <c:marker>
            <c:symbol val="circle"/>
            <c:size val="5"/>
            <c:spPr>
              <a:solidFill>
                <a:srgbClr val="FDBA74"/>
              </a:solidFill>
              <a:ln w="22225">
                <a:solidFill>
                  <a:srgbClr val="FDBA74"/>
                </a:solidFill>
                <a:prstDash val="lgDash"/>
              </a:ln>
              <a:effectLst/>
            </c:spPr>
          </c:marker>
          <c:cat>
            <c:strRef>
              <c:f>Pivots!$V$7:$V$14</c:f>
              <c:strCache>
                <c:ptCount val="7"/>
                <c:pt idx="0">
                  <c:v>Sun</c:v>
                </c:pt>
                <c:pt idx="1">
                  <c:v>Mon</c:v>
                </c:pt>
                <c:pt idx="2">
                  <c:v>Tue</c:v>
                </c:pt>
                <c:pt idx="3">
                  <c:v>Wed</c:v>
                </c:pt>
                <c:pt idx="4">
                  <c:v>Thu</c:v>
                </c:pt>
                <c:pt idx="5">
                  <c:v>Fri</c:v>
                </c:pt>
                <c:pt idx="6">
                  <c:v>Sat</c:v>
                </c:pt>
              </c:strCache>
            </c:strRef>
          </c:cat>
          <c:val>
            <c:numRef>
              <c:f>Pivots!$W$7:$W$14</c:f>
              <c:numCache>
                <c:formatCode>0</c:formatCode>
                <c:ptCount val="7"/>
                <c:pt idx="0">
                  <c:v>57.015228426395936</c:v>
                </c:pt>
                <c:pt idx="1">
                  <c:v>59.987854251012145</c:v>
                </c:pt>
                <c:pt idx="2">
                  <c:v>57.323809523809523</c:v>
                </c:pt>
                <c:pt idx="3">
                  <c:v>65.42978723404255</c:v>
                </c:pt>
                <c:pt idx="4">
                  <c:v>60.965346534653463</c:v>
                </c:pt>
                <c:pt idx="5">
                  <c:v>73.097046413502113</c:v>
                </c:pt>
                <c:pt idx="6">
                  <c:v>74.338888888888889</c:v>
                </c:pt>
              </c:numCache>
            </c:numRef>
          </c:val>
          <c:smooth val="0"/>
          <c:extLst>
            <c:ext xmlns:c16="http://schemas.microsoft.com/office/drawing/2014/chart" uri="{C3380CC4-5D6E-409C-BE32-E72D297353CC}">
              <c16:uniqueId val="{00000001-4904-4BF0-8567-3AAC6DAF99A1}"/>
            </c:ext>
          </c:extLst>
        </c:ser>
        <c:ser>
          <c:idx val="1"/>
          <c:order val="1"/>
          <c:tx>
            <c:strRef>
              <c:f>Pivots!$X$5:$X$6</c:f>
              <c:strCache>
                <c:ptCount val="1"/>
                <c:pt idx="0">
                  <c:v>2025</c:v>
                </c:pt>
              </c:strCache>
            </c:strRef>
          </c:tx>
          <c:spPr>
            <a:ln w="31750" cap="rnd">
              <a:solidFill>
                <a:srgbClr val="0D9488"/>
              </a:solidFill>
              <a:round/>
            </a:ln>
            <a:effectLst/>
          </c:spPr>
          <c:marker>
            <c:symbol val="circle"/>
            <c:size val="5"/>
            <c:spPr>
              <a:solidFill>
                <a:srgbClr val="0D9488"/>
              </a:solidFill>
              <a:ln w="31750">
                <a:solidFill>
                  <a:srgbClr val="0D9488"/>
                </a:solidFill>
                <a:prstDash val="solid"/>
              </a:ln>
              <a:effectLst/>
            </c:spPr>
          </c:marker>
          <c:cat>
            <c:strRef>
              <c:f>Pivots!$V$7:$V$14</c:f>
              <c:strCache>
                <c:ptCount val="7"/>
                <c:pt idx="0">
                  <c:v>Sun</c:v>
                </c:pt>
                <c:pt idx="1">
                  <c:v>Mon</c:v>
                </c:pt>
                <c:pt idx="2">
                  <c:v>Tue</c:v>
                </c:pt>
                <c:pt idx="3">
                  <c:v>Wed</c:v>
                </c:pt>
                <c:pt idx="4">
                  <c:v>Thu</c:v>
                </c:pt>
                <c:pt idx="5">
                  <c:v>Fri</c:v>
                </c:pt>
                <c:pt idx="6">
                  <c:v>Sat</c:v>
                </c:pt>
              </c:strCache>
            </c:strRef>
          </c:cat>
          <c:val>
            <c:numRef>
              <c:f>Pivots!$X$7:$X$14</c:f>
              <c:numCache>
                <c:formatCode>0</c:formatCode>
                <c:ptCount val="7"/>
                <c:pt idx="0">
                  <c:v>50.293838862559241</c:v>
                </c:pt>
                <c:pt idx="1">
                  <c:v>52.656652360515018</c:v>
                </c:pt>
                <c:pt idx="2">
                  <c:v>53.039130434782606</c:v>
                </c:pt>
                <c:pt idx="3">
                  <c:v>55.844827586206897</c:v>
                </c:pt>
                <c:pt idx="4">
                  <c:v>50.38095238095238</c:v>
                </c:pt>
                <c:pt idx="5">
                  <c:v>67.316205533596843</c:v>
                </c:pt>
                <c:pt idx="6">
                  <c:v>64.295652173913041</c:v>
                </c:pt>
              </c:numCache>
            </c:numRef>
          </c:val>
          <c:smooth val="0"/>
          <c:extLst>
            <c:ext xmlns:c16="http://schemas.microsoft.com/office/drawing/2014/chart" uri="{C3380CC4-5D6E-409C-BE32-E72D297353CC}">
              <c16:uniqueId val="{00000002-4904-4BF0-8567-3AAC6DAF99A1}"/>
            </c:ext>
          </c:extLst>
        </c:ser>
        <c:dLbls>
          <c:showLegendKey val="0"/>
          <c:showVal val="0"/>
          <c:showCatName val="0"/>
          <c:showSerName val="0"/>
          <c:showPercent val="0"/>
          <c:showBubbleSize val="0"/>
        </c:dLbls>
        <c:marker val="1"/>
        <c:smooth val="0"/>
        <c:axId val="1780318911"/>
        <c:axId val="1851160447"/>
      </c:lineChart>
      <c:catAx>
        <c:axId val="1780318911"/>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851160447"/>
        <c:crosses val="autoZero"/>
        <c:auto val="1"/>
        <c:lblAlgn val="ctr"/>
        <c:lblOffset val="100"/>
        <c:noMultiLvlLbl val="0"/>
      </c:catAx>
      <c:valAx>
        <c:axId val="1851160447"/>
        <c:scaling>
          <c:orientation val="minMax"/>
        </c:scaling>
        <c:delete val="0"/>
        <c:axPos val="l"/>
        <c:majorGridlines>
          <c:spPr>
            <a:ln w="9525" cap="flat" cmpd="sng" algn="ctr">
              <a:solidFill>
                <a:srgbClr val="EEF1F4"/>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1780318911"/>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CDE7E4"/>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34</xdr:col>
      <xdr:colOff>0</xdr:colOff>
      <xdr:row>29</xdr:row>
      <xdr:rowOff>0</xdr:rowOff>
    </xdr:to>
    <xdr:graphicFrame macro="">
      <xdr:nvGraphicFramePr>
        <xdr:cNvPr id="2" name="ch_ptCombo">
          <a:extLst>
            <a:ext uri="{FF2B5EF4-FFF2-40B4-BE49-F238E27FC236}">
              <a16:creationId xmlns:a16="http://schemas.microsoft.com/office/drawing/2014/main" id="{79D2FE24-BD8D-C337-1D0D-7576D40EB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0</xdr:colOff>
      <xdr:row>12</xdr:row>
      <xdr:rowOff>0</xdr:rowOff>
    </xdr:from>
    <xdr:to>
      <xdr:col>52</xdr:col>
      <xdr:colOff>0</xdr:colOff>
      <xdr:row>29</xdr:row>
      <xdr:rowOff>0</xdr:rowOff>
    </xdr:to>
    <xdr:graphicFrame macro="">
      <xdr:nvGraphicFramePr>
        <xdr:cNvPr id="3" name="ch_ptLOS">
          <a:extLst>
            <a:ext uri="{FF2B5EF4-FFF2-40B4-BE49-F238E27FC236}">
              <a16:creationId xmlns:a16="http://schemas.microsoft.com/office/drawing/2014/main" id="{68F02E69-A3C8-B88C-01E4-1139AF46F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0</xdr:rowOff>
    </xdr:from>
    <xdr:to>
      <xdr:col>18</xdr:col>
      <xdr:colOff>0</xdr:colOff>
      <xdr:row>47</xdr:row>
      <xdr:rowOff>0</xdr:rowOff>
    </xdr:to>
    <xdr:graphicFrame macro="">
      <xdr:nvGraphicFramePr>
        <xdr:cNvPr id="4" name="ch_ptMix">
          <a:extLst>
            <a:ext uri="{FF2B5EF4-FFF2-40B4-BE49-F238E27FC236}">
              <a16:creationId xmlns:a16="http://schemas.microsoft.com/office/drawing/2014/main" id="{1971088C-A05B-DC1D-25A0-D7880EE20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30</xdr:row>
      <xdr:rowOff>0</xdr:rowOff>
    </xdr:from>
    <xdr:to>
      <xdr:col>35</xdr:col>
      <xdr:colOff>0</xdr:colOff>
      <xdr:row>47</xdr:row>
      <xdr:rowOff>0</xdr:rowOff>
    </xdr:to>
    <xdr:graphicFrame macro="">
      <xdr:nvGraphicFramePr>
        <xdr:cNvPr id="5" name="ch_ptReadmit">
          <a:extLst>
            <a:ext uri="{FF2B5EF4-FFF2-40B4-BE49-F238E27FC236}">
              <a16:creationId xmlns:a16="http://schemas.microsoft.com/office/drawing/2014/main" id="{E8A7F0C8-9C93-617E-E0B4-1906F20DC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0</xdr:colOff>
      <xdr:row>30</xdr:row>
      <xdr:rowOff>0</xdr:rowOff>
    </xdr:from>
    <xdr:to>
      <xdr:col>52</xdr:col>
      <xdr:colOff>0</xdr:colOff>
      <xdr:row>47</xdr:row>
      <xdr:rowOff>0</xdr:rowOff>
    </xdr:to>
    <xdr:graphicFrame macro="">
      <xdr:nvGraphicFramePr>
        <xdr:cNvPr id="6" name="ch_ptWait">
          <a:extLst>
            <a:ext uri="{FF2B5EF4-FFF2-40B4-BE49-F238E27FC236}">
              <a16:creationId xmlns:a16="http://schemas.microsoft.com/office/drawing/2014/main" id="{CB8E0AB3-ED41-AA09-9464-6DA5CBFD1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54</xdr:col>
      <xdr:colOff>76200</xdr:colOff>
      <xdr:row>7</xdr:row>
      <xdr:rowOff>50800</xdr:rowOff>
    </xdr:from>
    <xdr:to>
      <xdr:col>65</xdr:col>
      <xdr:colOff>133350</xdr:colOff>
      <xdr:row>19</xdr:row>
      <xdr:rowOff>89408</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E5E2C594-BECB-4D47-C7B0-DF1687697CC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506200" y="1236133"/>
              <a:ext cx="2385483" cy="2324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76200</xdr:colOff>
      <xdr:row>19</xdr:row>
      <xdr:rowOff>165607</xdr:rowOff>
    </xdr:from>
    <xdr:to>
      <xdr:col>65</xdr:col>
      <xdr:colOff>133350</xdr:colOff>
      <xdr:row>27</xdr:row>
      <xdr:rowOff>94487</xdr:rowOff>
    </xdr:to>
    <mc:AlternateContent xmlns:mc="http://schemas.openxmlformats.org/markup-compatibility/2006">
      <mc:Choice xmlns:a14="http://schemas.microsoft.com/office/drawing/2010/main" Requires="a14">
        <xdr:graphicFrame macro="">
          <xdr:nvGraphicFramePr>
            <xdr:cNvPr id="8" name="Insurance">
              <a:extLst>
                <a:ext uri="{FF2B5EF4-FFF2-40B4-BE49-F238E27FC236}">
                  <a16:creationId xmlns:a16="http://schemas.microsoft.com/office/drawing/2014/main" id="{971E9870-642A-C260-5E94-96C438378378}"/>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dr:sp macro="" textlink="">
          <xdr:nvSpPr>
            <xdr:cNvPr id="0" name=""/>
            <xdr:cNvSpPr>
              <a:spLocks noTextEdit="1"/>
            </xdr:cNvSpPr>
          </xdr:nvSpPr>
          <xdr:spPr>
            <a:xfrm>
              <a:off x="11506200" y="3636940"/>
              <a:ext cx="2385483" cy="1452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76200</xdr:colOff>
      <xdr:row>27</xdr:row>
      <xdr:rowOff>170687</xdr:rowOff>
    </xdr:from>
    <xdr:to>
      <xdr:col>65</xdr:col>
      <xdr:colOff>133350</xdr:colOff>
      <xdr:row>38</xdr:row>
      <xdr:rowOff>109219</xdr:rowOff>
    </xdr:to>
    <mc:AlternateContent xmlns:mc="http://schemas.openxmlformats.org/markup-compatibility/2006">
      <mc:Choice xmlns:a14="http://schemas.microsoft.com/office/drawing/2010/main" Requires="a14">
        <xdr:graphicFrame macro="">
          <xdr:nvGraphicFramePr>
            <xdr:cNvPr id="9" name="AgeGroup">
              <a:extLst>
                <a:ext uri="{FF2B5EF4-FFF2-40B4-BE49-F238E27FC236}">
                  <a16:creationId xmlns:a16="http://schemas.microsoft.com/office/drawing/2014/main" id="{BF5F287A-78C0-FD4B-11FB-D487929E5A4D}"/>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11506200" y="5166020"/>
              <a:ext cx="2385483" cy="2034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76200</xdr:colOff>
      <xdr:row>38</xdr:row>
      <xdr:rowOff>185419</xdr:rowOff>
    </xdr:from>
    <xdr:to>
      <xdr:col>65</xdr:col>
      <xdr:colOff>133350</xdr:colOff>
      <xdr:row>46</xdr:row>
      <xdr:rowOff>114299</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58894930-51F9-A1CF-8438-D1ECCB7739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506200" y="7276252"/>
              <a:ext cx="2385483" cy="1452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9.879010300923" createdVersion="5" refreshedVersion="8" minRefreshableVersion="3" recordCount="5600" xr:uid="{FDEF29EE-63B2-4CD0-ABA5-1C86C1D44585}">
  <cacheSource type="worksheet">
    <worksheetSource name="tblData"/>
  </cacheSource>
  <cacheFields count="20">
    <cacheField name="AdmissionID" numFmtId="0">
      <sharedItems/>
    </cacheField>
    <cacheField name="AdmissionDate" numFmtId="165">
      <sharedItems containsSemiMixedTypes="0" containsNonDate="0" containsDate="1" containsString="0" minDate="2024-01-01T00:00:00" maxDate="2026-01-01T00:00:00"/>
    </cacheField>
    <cacheField name="DischargeDate" numFmtId="165">
      <sharedItems containsSemiMixedTypes="0" containsNonDate="0" containsDate="1" containsString="0" minDate="2024-01-02T00:00:00" maxDate="2026-01-16T00:00:00"/>
    </cacheField>
    <cacheField name="Year" numFmtId="0">
      <sharedItems containsSemiMixedTypes="0" containsString="0" containsNumber="1" containsInteger="1" minValue="2024" maxValue="2025" count="2">
        <n v="2024"/>
        <n v="2025"/>
      </sharedItems>
    </cacheField>
    <cacheField name="Quarter" numFmtId="0">
      <sharedItems/>
    </cacheField>
    <cacheField name="Month" numFmtId="0">
      <sharedItems count="12">
        <s v="Jan"/>
        <s v="Feb"/>
        <s v="Mar"/>
        <s v="Apr"/>
        <s v="May"/>
        <s v="Jun"/>
        <s v="Jul"/>
        <s v="Aug"/>
        <s v="Sep"/>
        <s v="Oct"/>
        <s v="Nov"/>
        <s v="Dec"/>
      </sharedItems>
    </cacheField>
    <cacheField name="ArrivalDay" numFmtId="0">
      <sharedItems count="7">
        <s v="Mon"/>
        <s v="Tue"/>
        <s v="Wed"/>
        <s v="Thu"/>
        <s v="Fri"/>
        <s v="Sat"/>
        <s v="Sun"/>
      </sharedItems>
    </cacheField>
    <cacheField name="Department" numFmtId="0">
      <sharedItems count="6">
        <s v="Internal Medicine"/>
        <s v="General Surgery"/>
        <s v="Obstetrics &amp; Gynecology"/>
        <s v="Pediatrics"/>
        <s v="Cardiology"/>
        <s v="Orthopedics"/>
      </sharedItems>
    </cacheField>
    <cacheField name="AdmissionType" numFmtId="0">
      <sharedItems count="3">
        <s v="Emergency"/>
        <s v="Transfer"/>
        <s v="Elective"/>
      </sharedItems>
    </cacheField>
    <cacheField name="Gender" numFmtId="0">
      <sharedItems count="2">
        <s v="Female"/>
        <s v="Male"/>
      </sharedItems>
    </cacheField>
    <cacheField name="AgeGroup" numFmtId="0">
      <sharedItems count="5">
        <s v="65+"/>
        <s v="35-49"/>
        <s v="18-34"/>
        <s v="0-17"/>
        <s v="50-64"/>
      </sharedItems>
    </cacheField>
    <cacheField name="Insurance" numFmtId="0">
      <sharedItems count="3">
        <s v="Government"/>
        <s v="Self-pay"/>
        <s v="Private"/>
      </sharedItems>
    </cacheField>
    <cacheField name="LengthOfStay" numFmtId="0">
      <sharedItems containsSemiMixedTypes="0" containsString="0" containsNumber="1" containsInteger="1" minValue="1" maxValue="33"/>
    </cacheField>
    <cacheField name="ERWaitMinutes" numFmtId="1">
      <sharedItems containsString="0" containsBlank="1" containsNumber="1" containsInteger="1" minValue="10" maxValue="292"/>
    </cacheField>
    <cacheField name="TreatmentCost" numFmtId="166">
      <sharedItems containsSemiMixedTypes="0" containsString="0" containsNumber="1" containsInteger="1" minValue="721" maxValue="48234"/>
    </cacheField>
    <cacheField name="Readmitted30" numFmtId="0">
      <sharedItems containsSemiMixedTypes="0" containsString="0" containsNumber="1" containsInteger="1" minValue="0" maxValue="1"/>
    </cacheField>
    <cacheField name="Satisfaction" numFmtId="0">
      <sharedItems containsSemiMixedTypes="0" containsString="0" containsNumber="1" containsInteger="1" minValue="1" maxValue="5"/>
    </cacheField>
    <cacheField name="Outcome" numFmtId="0">
      <sharedItems/>
    </cacheField>
    <cacheField name="Admissions" numFmtId="0">
      <sharedItems containsSemiMixedTypes="0" containsString="0" containsNumber="1" containsInteger="1" minValue="1" maxValue="1"/>
    </cacheField>
    <cacheField name="ReadmitRate" numFmtId="0" formula="Readmitted30/Admissions" databaseField="0"/>
  </cacheFields>
  <extLst>
    <ext xmlns:x14="http://schemas.microsoft.com/office/spreadsheetml/2009/9/main" uri="{725AE2AE-9491-48be-B2B4-4EB974FC3084}">
      <x14:pivotCacheDefinition pivotCacheId="1217947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0">
  <r>
    <s v="ADM-240001"/>
    <d v="2024-01-01T00:00:00"/>
    <d v="2024-01-11T00:00:00"/>
    <x v="0"/>
    <s v="Q1"/>
    <x v="0"/>
    <x v="0"/>
    <x v="0"/>
    <x v="0"/>
    <x v="0"/>
    <x v="0"/>
    <x v="0"/>
    <n v="10"/>
    <n v="24"/>
    <n v="6234"/>
    <n v="0"/>
    <n v="4"/>
    <s v="Improved"/>
    <n v="1"/>
  </r>
  <r>
    <s v="ADM-240002"/>
    <d v="2024-01-01T00:00:00"/>
    <d v="2024-01-05T00:00:00"/>
    <x v="0"/>
    <s v="Q1"/>
    <x v="0"/>
    <x v="0"/>
    <x v="1"/>
    <x v="1"/>
    <x v="0"/>
    <x v="1"/>
    <x v="0"/>
    <n v="4"/>
    <m/>
    <n v="4429"/>
    <n v="1"/>
    <n v="5"/>
    <s v="Recovered"/>
    <n v="1"/>
  </r>
  <r>
    <s v="ADM-240003"/>
    <d v="2024-01-01T00:00:00"/>
    <d v="2024-01-05T00:00:00"/>
    <x v="0"/>
    <s v="Q1"/>
    <x v="0"/>
    <x v="0"/>
    <x v="2"/>
    <x v="0"/>
    <x v="0"/>
    <x v="2"/>
    <x v="1"/>
    <n v="4"/>
    <n v="63"/>
    <n v="3307"/>
    <n v="0"/>
    <n v="4"/>
    <s v="Recovered"/>
    <n v="1"/>
  </r>
  <r>
    <s v="ADM-240004"/>
    <d v="2024-01-01T00:00:00"/>
    <d v="2024-01-02T00:00:00"/>
    <x v="0"/>
    <s v="Q1"/>
    <x v="0"/>
    <x v="0"/>
    <x v="3"/>
    <x v="2"/>
    <x v="0"/>
    <x v="3"/>
    <x v="1"/>
    <n v="1"/>
    <m/>
    <n v="1638"/>
    <n v="0"/>
    <n v="5"/>
    <s v="Recovered"/>
    <n v="1"/>
  </r>
  <r>
    <s v="ADM-240005"/>
    <d v="2024-01-01T00:00:00"/>
    <d v="2024-01-05T00:00:00"/>
    <x v="0"/>
    <s v="Q1"/>
    <x v="0"/>
    <x v="0"/>
    <x v="1"/>
    <x v="2"/>
    <x v="1"/>
    <x v="2"/>
    <x v="2"/>
    <n v="4"/>
    <m/>
    <n v="4111"/>
    <n v="0"/>
    <n v="4"/>
    <s v="Improved"/>
    <n v="1"/>
  </r>
  <r>
    <s v="ADM-240006"/>
    <d v="2024-01-01T00:00:00"/>
    <d v="2024-01-02T00:00:00"/>
    <x v="0"/>
    <s v="Q1"/>
    <x v="0"/>
    <x v="0"/>
    <x v="2"/>
    <x v="0"/>
    <x v="0"/>
    <x v="2"/>
    <x v="0"/>
    <n v="1"/>
    <n v="184"/>
    <n v="1591"/>
    <n v="0"/>
    <n v="3"/>
    <s v="Improved"/>
    <n v="1"/>
  </r>
  <r>
    <s v="ADM-240007"/>
    <d v="2024-01-01T00:00:00"/>
    <d v="2024-01-08T00:00:00"/>
    <x v="0"/>
    <s v="Q1"/>
    <x v="0"/>
    <x v="0"/>
    <x v="0"/>
    <x v="0"/>
    <x v="0"/>
    <x v="0"/>
    <x v="0"/>
    <n v="7"/>
    <n v="71"/>
    <n v="6926"/>
    <n v="0"/>
    <n v="5"/>
    <s v="Recovered"/>
    <n v="1"/>
  </r>
  <r>
    <s v="ADM-240008"/>
    <d v="2024-01-01T00:00:00"/>
    <d v="2024-01-02T00:00:00"/>
    <x v="0"/>
    <s v="Q1"/>
    <x v="0"/>
    <x v="0"/>
    <x v="3"/>
    <x v="0"/>
    <x v="0"/>
    <x v="3"/>
    <x v="0"/>
    <n v="1"/>
    <n v="76"/>
    <n v="1190"/>
    <n v="0"/>
    <n v="4"/>
    <s v="Improved"/>
    <n v="1"/>
  </r>
  <r>
    <s v="ADM-240009"/>
    <d v="2024-01-01T00:00:00"/>
    <d v="2024-01-03T00:00:00"/>
    <x v="0"/>
    <s v="Q1"/>
    <x v="0"/>
    <x v="0"/>
    <x v="2"/>
    <x v="0"/>
    <x v="0"/>
    <x v="1"/>
    <x v="2"/>
    <n v="2"/>
    <n v="40"/>
    <n v="2256"/>
    <n v="0"/>
    <n v="4"/>
    <s v="Recovered"/>
    <n v="1"/>
  </r>
  <r>
    <s v="ADM-240010"/>
    <d v="2024-01-01T00:00:00"/>
    <d v="2024-01-08T00:00:00"/>
    <x v="0"/>
    <s v="Q1"/>
    <x v="0"/>
    <x v="0"/>
    <x v="4"/>
    <x v="0"/>
    <x v="1"/>
    <x v="2"/>
    <x v="2"/>
    <n v="7"/>
    <n v="38"/>
    <n v="5120"/>
    <n v="0"/>
    <n v="4"/>
    <s v="Recovered"/>
    <n v="1"/>
  </r>
  <r>
    <s v="ADM-240011"/>
    <d v="2024-01-01T00:00:00"/>
    <d v="2024-01-04T00:00:00"/>
    <x v="0"/>
    <s v="Q1"/>
    <x v="0"/>
    <x v="0"/>
    <x v="5"/>
    <x v="0"/>
    <x v="1"/>
    <x v="4"/>
    <x v="0"/>
    <n v="3"/>
    <n v="19"/>
    <n v="4095"/>
    <n v="0"/>
    <n v="5"/>
    <s v="Recovered"/>
    <n v="1"/>
  </r>
  <r>
    <s v="ADM-240012"/>
    <d v="2024-01-01T00:00:00"/>
    <d v="2024-01-02T00:00:00"/>
    <x v="0"/>
    <s v="Q1"/>
    <x v="0"/>
    <x v="0"/>
    <x v="1"/>
    <x v="2"/>
    <x v="1"/>
    <x v="0"/>
    <x v="0"/>
    <n v="1"/>
    <m/>
    <n v="1656"/>
    <n v="0"/>
    <n v="4"/>
    <s v="Recovered"/>
    <n v="1"/>
  </r>
  <r>
    <s v="ADM-240013"/>
    <d v="2024-01-02T00:00:00"/>
    <d v="2024-01-05T00:00:00"/>
    <x v="0"/>
    <s v="Q1"/>
    <x v="0"/>
    <x v="1"/>
    <x v="1"/>
    <x v="2"/>
    <x v="1"/>
    <x v="1"/>
    <x v="0"/>
    <n v="3"/>
    <m/>
    <n v="3950"/>
    <n v="0"/>
    <n v="4"/>
    <s v="Recovered"/>
    <n v="1"/>
  </r>
  <r>
    <s v="ADM-240014"/>
    <d v="2024-01-02T00:00:00"/>
    <d v="2024-01-05T00:00:00"/>
    <x v="0"/>
    <s v="Q1"/>
    <x v="0"/>
    <x v="1"/>
    <x v="0"/>
    <x v="2"/>
    <x v="0"/>
    <x v="4"/>
    <x v="0"/>
    <n v="3"/>
    <m/>
    <n v="3115"/>
    <n v="0"/>
    <n v="5"/>
    <s v="Recovered"/>
    <n v="1"/>
  </r>
  <r>
    <s v="ADM-240015"/>
    <d v="2024-01-02T00:00:00"/>
    <d v="2024-01-04T00:00:00"/>
    <x v="0"/>
    <s v="Q1"/>
    <x v="0"/>
    <x v="1"/>
    <x v="3"/>
    <x v="2"/>
    <x v="0"/>
    <x v="3"/>
    <x v="2"/>
    <n v="2"/>
    <m/>
    <n v="2345"/>
    <n v="0"/>
    <n v="4"/>
    <s v="Transferred"/>
    <n v="1"/>
  </r>
  <r>
    <s v="ADM-240016"/>
    <d v="2024-01-02T00:00:00"/>
    <d v="2024-01-05T00:00:00"/>
    <x v="0"/>
    <s v="Q1"/>
    <x v="0"/>
    <x v="1"/>
    <x v="3"/>
    <x v="0"/>
    <x v="0"/>
    <x v="3"/>
    <x v="2"/>
    <n v="3"/>
    <n v="80"/>
    <n v="2401"/>
    <n v="0"/>
    <n v="4"/>
    <s v="Recovered"/>
    <n v="1"/>
  </r>
  <r>
    <s v="ADM-240017"/>
    <d v="2024-01-02T00:00:00"/>
    <d v="2024-01-06T00:00:00"/>
    <x v="0"/>
    <s v="Q1"/>
    <x v="0"/>
    <x v="1"/>
    <x v="3"/>
    <x v="2"/>
    <x v="1"/>
    <x v="3"/>
    <x v="0"/>
    <n v="4"/>
    <m/>
    <n v="3873"/>
    <n v="0"/>
    <n v="3"/>
    <s v="Recovered"/>
    <n v="1"/>
  </r>
  <r>
    <s v="ADM-240018"/>
    <d v="2024-01-02T00:00:00"/>
    <d v="2024-01-08T00:00:00"/>
    <x v="0"/>
    <s v="Q1"/>
    <x v="0"/>
    <x v="1"/>
    <x v="4"/>
    <x v="0"/>
    <x v="1"/>
    <x v="1"/>
    <x v="2"/>
    <n v="6"/>
    <n v="12"/>
    <n v="6892"/>
    <n v="0"/>
    <n v="4"/>
    <s v="Improved"/>
    <n v="1"/>
  </r>
  <r>
    <s v="ADM-240019"/>
    <d v="2024-01-02T00:00:00"/>
    <d v="2024-01-05T00:00:00"/>
    <x v="0"/>
    <s v="Q1"/>
    <x v="0"/>
    <x v="1"/>
    <x v="2"/>
    <x v="0"/>
    <x v="0"/>
    <x v="2"/>
    <x v="0"/>
    <n v="3"/>
    <n v="68"/>
    <n v="3024"/>
    <n v="0"/>
    <n v="4"/>
    <s v="Improved"/>
    <n v="1"/>
  </r>
  <r>
    <s v="ADM-240020"/>
    <d v="2024-01-02T00:00:00"/>
    <d v="2024-01-03T00:00:00"/>
    <x v="0"/>
    <s v="Q1"/>
    <x v="0"/>
    <x v="1"/>
    <x v="2"/>
    <x v="0"/>
    <x v="0"/>
    <x v="2"/>
    <x v="2"/>
    <n v="1"/>
    <n v="46"/>
    <n v="1168"/>
    <n v="0"/>
    <n v="5"/>
    <s v="Recovered"/>
    <n v="1"/>
  </r>
  <r>
    <s v="ADM-240021"/>
    <d v="2024-01-02T00:00:00"/>
    <d v="2024-01-05T00:00:00"/>
    <x v="0"/>
    <s v="Q1"/>
    <x v="0"/>
    <x v="1"/>
    <x v="1"/>
    <x v="2"/>
    <x v="0"/>
    <x v="1"/>
    <x v="2"/>
    <n v="3"/>
    <m/>
    <n v="3649"/>
    <n v="0"/>
    <n v="5"/>
    <s v="Improved"/>
    <n v="1"/>
  </r>
  <r>
    <s v="ADM-240022"/>
    <d v="2024-01-02T00:00:00"/>
    <d v="2024-01-03T00:00:00"/>
    <x v="0"/>
    <s v="Q1"/>
    <x v="0"/>
    <x v="1"/>
    <x v="2"/>
    <x v="2"/>
    <x v="0"/>
    <x v="1"/>
    <x v="2"/>
    <n v="1"/>
    <m/>
    <n v="1316"/>
    <n v="1"/>
    <n v="4"/>
    <s v="Recovered"/>
    <n v="1"/>
  </r>
  <r>
    <s v="ADM-240023"/>
    <d v="2024-01-02T00:00:00"/>
    <d v="2024-01-07T00:00:00"/>
    <x v="0"/>
    <s v="Q1"/>
    <x v="0"/>
    <x v="1"/>
    <x v="4"/>
    <x v="0"/>
    <x v="0"/>
    <x v="1"/>
    <x v="2"/>
    <n v="5"/>
    <n v="24"/>
    <n v="4416"/>
    <n v="1"/>
    <n v="4"/>
    <s v="Recovered"/>
    <n v="1"/>
  </r>
  <r>
    <s v="ADM-240024"/>
    <d v="2024-01-02T00:00:00"/>
    <d v="2024-01-06T00:00:00"/>
    <x v="0"/>
    <s v="Q1"/>
    <x v="0"/>
    <x v="1"/>
    <x v="0"/>
    <x v="0"/>
    <x v="0"/>
    <x v="1"/>
    <x v="2"/>
    <n v="4"/>
    <n v="103"/>
    <n v="1198"/>
    <n v="0"/>
    <n v="3"/>
    <s v="Recovered"/>
    <n v="1"/>
  </r>
  <r>
    <s v="ADM-240025"/>
    <d v="2024-01-03T00:00:00"/>
    <d v="2024-01-05T00:00:00"/>
    <x v="0"/>
    <s v="Q1"/>
    <x v="0"/>
    <x v="2"/>
    <x v="3"/>
    <x v="1"/>
    <x v="1"/>
    <x v="3"/>
    <x v="0"/>
    <n v="2"/>
    <m/>
    <n v="2520"/>
    <n v="0"/>
    <n v="5"/>
    <s v="Recovered"/>
    <n v="1"/>
  </r>
  <r>
    <s v="ADM-240026"/>
    <d v="2024-01-03T00:00:00"/>
    <d v="2024-01-17T00:00:00"/>
    <x v="0"/>
    <s v="Q1"/>
    <x v="0"/>
    <x v="2"/>
    <x v="1"/>
    <x v="0"/>
    <x v="1"/>
    <x v="4"/>
    <x v="1"/>
    <n v="14"/>
    <n v="44"/>
    <n v="14377"/>
    <n v="0"/>
    <n v="4"/>
    <s v="Improved"/>
    <n v="1"/>
  </r>
  <r>
    <s v="ADM-240027"/>
    <d v="2024-01-03T00:00:00"/>
    <d v="2024-01-10T00:00:00"/>
    <x v="0"/>
    <s v="Q1"/>
    <x v="0"/>
    <x v="2"/>
    <x v="3"/>
    <x v="0"/>
    <x v="1"/>
    <x v="3"/>
    <x v="1"/>
    <n v="7"/>
    <n v="32"/>
    <n v="5427"/>
    <n v="0"/>
    <n v="5"/>
    <s v="Recovered"/>
    <n v="1"/>
  </r>
  <r>
    <s v="ADM-240028"/>
    <d v="2024-01-03T00:00:00"/>
    <d v="2024-01-12T00:00:00"/>
    <x v="0"/>
    <s v="Q1"/>
    <x v="0"/>
    <x v="2"/>
    <x v="0"/>
    <x v="0"/>
    <x v="1"/>
    <x v="0"/>
    <x v="2"/>
    <n v="9"/>
    <n v="153"/>
    <n v="7414"/>
    <n v="0"/>
    <n v="3"/>
    <s v="Recovered"/>
    <n v="1"/>
  </r>
  <r>
    <s v="ADM-240029"/>
    <d v="2024-01-03T00:00:00"/>
    <d v="2024-01-06T00:00:00"/>
    <x v="0"/>
    <s v="Q1"/>
    <x v="0"/>
    <x v="2"/>
    <x v="0"/>
    <x v="0"/>
    <x v="0"/>
    <x v="1"/>
    <x v="0"/>
    <n v="3"/>
    <n v="70"/>
    <n v="3325"/>
    <n v="0"/>
    <n v="4"/>
    <s v="Improved"/>
    <n v="1"/>
  </r>
  <r>
    <s v="ADM-240030"/>
    <d v="2024-01-03T00:00:00"/>
    <d v="2024-01-08T00:00:00"/>
    <x v="0"/>
    <s v="Q1"/>
    <x v="0"/>
    <x v="2"/>
    <x v="3"/>
    <x v="2"/>
    <x v="0"/>
    <x v="3"/>
    <x v="2"/>
    <n v="5"/>
    <m/>
    <n v="3701"/>
    <n v="0"/>
    <n v="5"/>
    <s v="Recovered"/>
    <n v="1"/>
  </r>
  <r>
    <s v="ADM-240031"/>
    <d v="2024-01-03T00:00:00"/>
    <d v="2024-01-04T00:00:00"/>
    <x v="0"/>
    <s v="Q1"/>
    <x v="0"/>
    <x v="2"/>
    <x v="1"/>
    <x v="2"/>
    <x v="0"/>
    <x v="1"/>
    <x v="0"/>
    <n v="1"/>
    <m/>
    <n v="1967"/>
    <n v="1"/>
    <n v="3"/>
    <s v="Recovered"/>
    <n v="1"/>
  </r>
  <r>
    <s v="ADM-240032"/>
    <d v="2024-01-04T00:00:00"/>
    <d v="2024-01-05T00:00:00"/>
    <x v="0"/>
    <s v="Q1"/>
    <x v="0"/>
    <x v="3"/>
    <x v="4"/>
    <x v="0"/>
    <x v="1"/>
    <x v="1"/>
    <x v="2"/>
    <n v="1"/>
    <n v="87"/>
    <n v="2627"/>
    <n v="0"/>
    <n v="4"/>
    <s v="Improved"/>
    <n v="1"/>
  </r>
  <r>
    <s v="ADM-240033"/>
    <d v="2024-01-04T00:00:00"/>
    <d v="2024-01-05T00:00:00"/>
    <x v="0"/>
    <s v="Q1"/>
    <x v="0"/>
    <x v="3"/>
    <x v="2"/>
    <x v="2"/>
    <x v="0"/>
    <x v="1"/>
    <x v="2"/>
    <n v="1"/>
    <m/>
    <n v="1944"/>
    <n v="0"/>
    <n v="4"/>
    <s v="Recovered"/>
    <n v="1"/>
  </r>
  <r>
    <s v="ADM-240034"/>
    <d v="2024-01-04T00:00:00"/>
    <d v="2024-01-06T00:00:00"/>
    <x v="0"/>
    <s v="Q1"/>
    <x v="0"/>
    <x v="3"/>
    <x v="1"/>
    <x v="2"/>
    <x v="0"/>
    <x v="2"/>
    <x v="2"/>
    <n v="2"/>
    <m/>
    <n v="3053"/>
    <n v="0"/>
    <n v="5"/>
    <s v="Recovered"/>
    <n v="1"/>
  </r>
  <r>
    <s v="ADM-240035"/>
    <d v="2024-01-04T00:00:00"/>
    <d v="2024-01-06T00:00:00"/>
    <x v="0"/>
    <s v="Q1"/>
    <x v="0"/>
    <x v="3"/>
    <x v="1"/>
    <x v="2"/>
    <x v="0"/>
    <x v="4"/>
    <x v="2"/>
    <n v="2"/>
    <m/>
    <n v="2832"/>
    <n v="0"/>
    <n v="3"/>
    <s v="Recovered"/>
    <n v="1"/>
  </r>
  <r>
    <s v="ADM-240036"/>
    <d v="2024-01-05T00:00:00"/>
    <d v="2024-01-08T00:00:00"/>
    <x v="0"/>
    <s v="Q1"/>
    <x v="0"/>
    <x v="4"/>
    <x v="5"/>
    <x v="2"/>
    <x v="0"/>
    <x v="1"/>
    <x v="2"/>
    <n v="3"/>
    <m/>
    <n v="2655"/>
    <n v="0"/>
    <n v="4"/>
    <s v="Recovered"/>
    <n v="1"/>
  </r>
  <r>
    <s v="ADM-240037"/>
    <d v="2024-01-05T00:00:00"/>
    <d v="2024-01-22T00:00:00"/>
    <x v="0"/>
    <s v="Q1"/>
    <x v="0"/>
    <x v="4"/>
    <x v="0"/>
    <x v="0"/>
    <x v="1"/>
    <x v="1"/>
    <x v="2"/>
    <n v="17"/>
    <n v="129"/>
    <n v="10736"/>
    <n v="0"/>
    <n v="3"/>
    <s v="Recovered"/>
    <n v="1"/>
  </r>
  <r>
    <s v="ADM-240038"/>
    <d v="2024-01-05T00:00:00"/>
    <d v="2024-01-10T00:00:00"/>
    <x v="0"/>
    <s v="Q1"/>
    <x v="0"/>
    <x v="4"/>
    <x v="3"/>
    <x v="2"/>
    <x v="1"/>
    <x v="3"/>
    <x v="2"/>
    <n v="5"/>
    <m/>
    <n v="2633"/>
    <n v="0"/>
    <n v="3"/>
    <s v="Recovered"/>
    <n v="1"/>
  </r>
  <r>
    <s v="ADM-240039"/>
    <d v="2024-01-05T00:00:00"/>
    <d v="2024-01-08T00:00:00"/>
    <x v="0"/>
    <s v="Q1"/>
    <x v="0"/>
    <x v="4"/>
    <x v="2"/>
    <x v="0"/>
    <x v="0"/>
    <x v="2"/>
    <x v="2"/>
    <n v="3"/>
    <n v="171"/>
    <n v="2295"/>
    <n v="0"/>
    <n v="3"/>
    <s v="Recovered"/>
    <n v="1"/>
  </r>
  <r>
    <s v="ADM-240040"/>
    <d v="2024-01-05T00:00:00"/>
    <d v="2024-01-06T00:00:00"/>
    <x v="0"/>
    <s v="Q1"/>
    <x v="0"/>
    <x v="4"/>
    <x v="3"/>
    <x v="2"/>
    <x v="0"/>
    <x v="3"/>
    <x v="1"/>
    <n v="1"/>
    <m/>
    <n v="1499"/>
    <n v="0"/>
    <n v="5"/>
    <s v="Improved"/>
    <n v="1"/>
  </r>
  <r>
    <s v="ADM-240041"/>
    <d v="2024-01-05T00:00:00"/>
    <d v="2024-01-15T00:00:00"/>
    <x v="0"/>
    <s v="Q1"/>
    <x v="0"/>
    <x v="4"/>
    <x v="0"/>
    <x v="0"/>
    <x v="1"/>
    <x v="2"/>
    <x v="2"/>
    <n v="10"/>
    <n v="21"/>
    <n v="10357"/>
    <n v="0"/>
    <n v="3"/>
    <s v="Recovered"/>
    <n v="1"/>
  </r>
  <r>
    <s v="ADM-240042"/>
    <d v="2024-01-05T00:00:00"/>
    <d v="2024-01-11T00:00:00"/>
    <x v="0"/>
    <s v="Q1"/>
    <x v="0"/>
    <x v="4"/>
    <x v="0"/>
    <x v="0"/>
    <x v="0"/>
    <x v="1"/>
    <x v="0"/>
    <n v="6"/>
    <n v="121"/>
    <n v="4930"/>
    <n v="0"/>
    <n v="3"/>
    <s v="Recovered"/>
    <n v="1"/>
  </r>
  <r>
    <s v="ADM-240043"/>
    <d v="2024-01-05T00:00:00"/>
    <d v="2024-01-09T00:00:00"/>
    <x v="0"/>
    <s v="Q1"/>
    <x v="0"/>
    <x v="4"/>
    <x v="1"/>
    <x v="2"/>
    <x v="1"/>
    <x v="4"/>
    <x v="2"/>
    <n v="4"/>
    <m/>
    <n v="4110"/>
    <n v="0"/>
    <n v="4"/>
    <s v="Recovered"/>
    <n v="1"/>
  </r>
  <r>
    <s v="ADM-240044"/>
    <d v="2024-01-05T00:00:00"/>
    <d v="2024-01-10T00:00:00"/>
    <x v="0"/>
    <s v="Q1"/>
    <x v="0"/>
    <x v="4"/>
    <x v="1"/>
    <x v="0"/>
    <x v="1"/>
    <x v="0"/>
    <x v="2"/>
    <n v="5"/>
    <n v="155"/>
    <n v="5921"/>
    <n v="0"/>
    <n v="3"/>
    <s v="Recovered"/>
    <n v="1"/>
  </r>
  <r>
    <s v="ADM-240045"/>
    <d v="2024-01-05T00:00:00"/>
    <d v="2024-01-13T00:00:00"/>
    <x v="0"/>
    <s v="Q1"/>
    <x v="0"/>
    <x v="4"/>
    <x v="0"/>
    <x v="2"/>
    <x v="1"/>
    <x v="0"/>
    <x v="0"/>
    <n v="8"/>
    <m/>
    <n v="3595"/>
    <n v="0"/>
    <n v="4"/>
    <s v="Recovered"/>
    <n v="1"/>
  </r>
  <r>
    <s v="ADM-240046"/>
    <d v="2024-01-05T00:00:00"/>
    <d v="2024-01-07T00:00:00"/>
    <x v="0"/>
    <s v="Q1"/>
    <x v="0"/>
    <x v="4"/>
    <x v="0"/>
    <x v="2"/>
    <x v="1"/>
    <x v="0"/>
    <x v="0"/>
    <n v="2"/>
    <m/>
    <n v="2310"/>
    <n v="0"/>
    <n v="4"/>
    <s v="Recovered"/>
    <n v="1"/>
  </r>
  <r>
    <s v="ADM-240047"/>
    <d v="2024-01-05T00:00:00"/>
    <d v="2024-01-11T00:00:00"/>
    <x v="0"/>
    <s v="Q1"/>
    <x v="0"/>
    <x v="4"/>
    <x v="4"/>
    <x v="1"/>
    <x v="1"/>
    <x v="0"/>
    <x v="1"/>
    <n v="6"/>
    <m/>
    <n v="9234"/>
    <n v="1"/>
    <n v="4"/>
    <s v="Recovered"/>
    <n v="1"/>
  </r>
  <r>
    <s v="ADM-240048"/>
    <d v="2024-01-05T00:00:00"/>
    <d v="2024-01-08T00:00:00"/>
    <x v="0"/>
    <s v="Q1"/>
    <x v="0"/>
    <x v="4"/>
    <x v="0"/>
    <x v="2"/>
    <x v="1"/>
    <x v="2"/>
    <x v="0"/>
    <n v="3"/>
    <m/>
    <n v="2221"/>
    <n v="1"/>
    <n v="3"/>
    <s v="Improved"/>
    <n v="1"/>
  </r>
  <r>
    <s v="ADM-240049"/>
    <d v="2024-01-05T00:00:00"/>
    <d v="2024-01-08T00:00:00"/>
    <x v="0"/>
    <s v="Q1"/>
    <x v="0"/>
    <x v="4"/>
    <x v="4"/>
    <x v="0"/>
    <x v="0"/>
    <x v="0"/>
    <x v="1"/>
    <n v="3"/>
    <n v="34"/>
    <n v="2752"/>
    <n v="0"/>
    <n v="4"/>
    <s v="Recovered"/>
    <n v="1"/>
  </r>
  <r>
    <s v="ADM-240050"/>
    <d v="2024-01-05T00:00:00"/>
    <d v="2024-01-07T00:00:00"/>
    <x v="0"/>
    <s v="Q1"/>
    <x v="0"/>
    <x v="4"/>
    <x v="0"/>
    <x v="1"/>
    <x v="0"/>
    <x v="2"/>
    <x v="2"/>
    <n v="2"/>
    <m/>
    <n v="2220"/>
    <n v="0"/>
    <n v="4"/>
    <s v="Recovered"/>
    <n v="1"/>
  </r>
  <r>
    <s v="ADM-240051"/>
    <d v="2024-01-05T00:00:00"/>
    <d v="2024-01-08T00:00:00"/>
    <x v="0"/>
    <s v="Q1"/>
    <x v="0"/>
    <x v="4"/>
    <x v="0"/>
    <x v="0"/>
    <x v="0"/>
    <x v="1"/>
    <x v="2"/>
    <n v="3"/>
    <n v="25"/>
    <n v="2671"/>
    <n v="1"/>
    <n v="3"/>
    <s v="Improved"/>
    <n v="1"/>
  </r>
  <r>
    <s v="ADM-240052"/>
    <d v="2024-01-05T00:00:00"/>
    <d v="2024-01-09T00:00:00"/>
    <x v="0"/>
    <s v="Q1"/>
    <x v="0"/>
    <x v="4"/>
    <x v="1"/>
    <x v="2"/>
    <x v="0"/>
    <x v="2"/>
    <x v="1"/>
    <n v="4"/>
    <m/>
    <n v="5545"/>
    <n v="1"/>
    <n v="4"/>
    <s v="Recovered"/>
    <n v="1"/>
  </r>
  <r>
    <s v="ADM-240053"/>
    <d v="2024-01-05T00:00:00"/>
    <d v="2024-01-11T00:00:00"/>
    <x v="0"/>
    <s v="Q1"/>
    <x v="0"/>
    <x v="4"/>
    <x v="5"/>
    <x v="2"/>
    <x v="0"/>
    <x v="1"/>
    <x v="2"/>
    <n v="6"/>
    <m/>
    <n v="6676"/>
    <n v="0"/>
    <n v="5"/>
    <s v="Improved"/>
    <n v="1"/>
  </r>
  <r>
    <s v="ADM-240054"/>
    <d v="2024-01-06T00:00:00"/>
    <d v="2024-01-07T00:00:00"/>
    <x v="0"/>
    <s v="Q1"/>
    <x v="0"/>
    <x v="5"/>
    <x v="2"/>
    <x v="2"/>
    <x v="0"/>
    <x v="2"/>
    <x v="2"/>
    <n v="1"/>
    <m/>
    <n v="1706"/>
    <n v="0"/>
    <n v="4"/>
    <s v="Recovered"/>
    <n v="1"/>
  </r>
  <r>
    <s v="ADM-240055"/>
    <d v="2024-01-06T00:00:00"/>
    <d v="2024-01-10T00:00:00"/>
    <x v="0"/>
    <s v="Q1"/>
    <x v="0"/>
    <x v="5"/>
    <x v="4"/>
    <x v="0"/>
    <x v="0"/>
    <x v="4"/>
    <x v="1"/>
    <n v="4"/>
    <n v="77"/>
    <n v="5322"/>
    <n v="0"/>
    <n v="4"/>
    <s v="Recovered"/>
    <n v="1"/>
  </r>
  <r>
    <s v="ADM-240056"/>
    <d v="2024-01-06T00:00:00"/>
    <d v="2024-01-08T00:00:00"/>
    <x v="0"/>
    <s v="Q1"/>
    <x v="0"/>
    <x v="5"/>
    <x v="2"/>
    <x v="0"/>
    <x v="0"/>
    <x v="1"/>
    <x v="0"/>
    <n v="2"/>
    <n v="21"/>
    <n v="2501"/>
    <n v="0"/>
    <n v="5"/>
    <s v="Improved"/>
    <n v="1"/>
  </r>
  <r>
    <s v="ADM-240057"/>
    <d v="2024-01-06T00:00:00"/>
    <d v="2024-01-10T00:00:00"/>
    <x v="0"/>
    <s v="Q1"/>
    <x v="0"/>
    <x v="5"/>
    <x v="5"/>
    <x v="2"/>
    <x v="1"/>
    <x v="1"/>
    <x v="2"/>
    <n v="4"/>
    <m/>
    <n v="4355"/>
    <n v="0"/>
    <n v="4"/>
    <s v="Improved"/>
    <n v="1"/>
  </r>
  <r>
    <s v="ADM-240058"/>
    <d v="2024-01-06T00:00:00"/>
    <d v="2024-01-09T00:00:00"/>
    <x v="0"/>
    <s v="Q1"/>
    <x v="0"/>
    <x v="5"/>
    <x v="5"/>
    <x v="2"/>
    <x v="1"/>
    <x v="0"/>
    <x v="2"/>
    <n v="3"/>
    <m/>
    <n v="3113"/>
    <n v="0"/>
    <n v="5"/>
    <s v="Improved"/>
    <n v="1"/>
  </r>
  <r>
    <s v="ADM-240059"/>
    <d v="2024-01-06T00:00:00"/>
    <d v="2024-01-07T00:00:00"/>
    <x v="0"/>
    <s v="Q1"/>
    <x v="0"/>
    <x v="5"/>
    <x v="2"/>
    <x v="0"/>
    <x v="0"/>
    <x v="2"/>
    <x v="2"/>
    <n v="1"/>
    <n v="149"/>
    <n v="1396"/>
    <n v="0"/>
    <n v="3"/>
    <s v="Recovered"/>
    <n v="1"/>
  </r>
  <r>
    <s v="ADM-240060"/>
    <d v="2024-01-06T00:00:00"/>
    <d v="2024-01-11T00:00:00"/>
    <x v="0"/>
    <s v="Q1"/>
    <x v="0"/>
    <x v="5"/>
    <x v="4"/>
    <x v="0"/>
    <x v="1"/>
    <x v="4"/>
    <x v="1"/>
    <n v="5"/>
    <n v="85"/>
    <n v="5893"/>
    <n v="1"/>
    <n v="4"/>
    <s v="Improved"/>
    <n v="1"/>
  </r>
  <r>
    <s v="ADM-240061"/>
    <d v="2024-01-06T00:00:00"/>
    <d v="2024-01-09T00:00:00"/>
    <x v="0"/>
    <s v="Q1"/>
    <x v="0"/>
    <x v="5"/>
    <x v="0"/>
    <x v="1"/>
    <x v="1"/>
    <x v="4"/>
    <x v="0"/>
    <n v="3"/>
    <m/>
    <n v="2385"/>
    <n v="0"/>
    <n v="4"/>
    <s v="Recovered"/>
    <n v="1"/>
  </r>
  <r>
    <s v="ADM-240062"/>
    <d v="2024-01-06T00:00:00"/>
    <d v="2024-01-10T00:00:00"/>
    <x v="0"/>
    <s v="Q1"/>
    <x v="0"/>
    <x v="5"/>
    <x v="3"/>
    <x v="0"/>
    <x v="1"/>
    <x v="3"/>
    <x v="1"/>
    <n v="4"/>
    <n v="18"/>
    <n v="2784"/>
    <n v="0"/>
    <n v="5"/>
    <s v="Improved"/>
    <n v="1"/>
  </r>
  <r>
    <s v="ADM-240063"/>
    <d v="2024-01-07T00:00:00"/>
    <d v="2024-01-15T00:00:00"/>
    <x v="0"/>
    <s v="Q1"/>
    <x v="0"/>
    <x v="6"/>
    <x v="4"/>
    <x v="0"/>
    <x v="1"/>
    <x v="2"/>
    <x v="1"/>
    <n v="8"/>
    <n v="37"/>
    <n v="12536"/>
    <n v="0"/>
    <n v="4"/>
    <s v="Recovered"/>
    <n v="1"/>
  </r>
  <r>
    <s v="ADM-240064"/>
    <d v="2024-01-07T00:00:00"/>
    <d v="2024-01-09T00:00:00"/>
    <x v="0"/>
    <s v="Q1"/>
    <x v="0"/>
    <x v="6"/>
    <x v="3"/>
    <x v="0"/>
    <x v="0"/>
    <x v="3"/>
    <x v="2"/>
    <n v="2"/>
    <n v="39"/>
    <n v="2084"/>
    <n v="0"/>
    <n v="5"/>
    <s v="Improved"/>
    <n v="1"/>
  </r>
  <r>
    <s v="ADM-240065"/>
    <d v="2024-01-07T00:00:00"/>
    <d v="2024-01-13T00:00:00"/>
    <x v="0"/>
    <s v="Q1"/>
    <x v="0"/>
    <x v="6"/>
    <x v="3"/>
    <x v="0"/>
    <x v="1"/>
    <x v="3"/>
    <x v="2"/>
    <n v="6"/>
    <n v="51"/>
    <n v="4828"/>
    <n v="0"/>
    <n v="5"/>
    <s v="Recovered"/>
    <n v="1"/>
  </r>
  <r>
    <s v="ADM-240066"/>
    <d v="2024-01-07T00:00:00"/>
    <d v="2024-01-08T00:00:00"/>
    <x v="0"/>
    <s v="Q1"/>
    <x v="0"/>
    <x v="6"/>
    <x v="0"/>
    <x v="1"/>
    <x v="0"/>
    <x v="0"/>
    <x v="1"/>
    <n v="1"/>
    <m/>
    <n v="1761"/>
    <n v="1"/>
    <n v="4"/>
    <s v="Recovered"/>
    <n v="1"/>
  </r>
  <r>
    <s v="ADM-240067"/>
    <d v="2024-01-07T00:00:00"/>
    <d v="2024-01-19T00:00:00"/>
    <x v="0"/>
    <s v="Q1"/>
    <x v="0"/>
    <x v="6"/>
    <x v="0"/>
    <x v="0"/>
    <x v="1"/>
    <x v="4"/>
    <x v="0"/>
    <n v="12"/>
    <n v="27"/>
    <n v="6810"/>
    <n v="0"/>
    <n v="3"/>
    <s v="Recovered"/>
    <n v="1"/>
  </r>
  <r>
    <s v="ADM-240068"/>
    <d v="2024-01-07T00:00:00"/>
    <d v="2024-01-10T00:00:00"/>
    <x v="0"/>
    <s v="Q1"/>
    <x v="0"/>
    <x v="6"/>
    <x v="2"/>
    <x v="2"/>
    <x v="0"/>
    <x v="2"/>
    <x v="0"/>
    <n v="3"/>
    <m/>
    <n v="3315"/>
    <n v="0"/>
    <n v="5"/>
    <s v="Recovered"/>
    <n v="1"/>
  </r>
  <r>
    <s v="ADM-240069"/>
    <d v="2024-01-07T00:00:00"/>
    <d v="2024-01-09T00:00:00"/>
    <x v="0"/>
    <s v="Q1"/>
    <x v="0"/>
    <x v="6"/>
    <x v="3"/>
    <x v="0"/>
    <x v="0"/>
    <x v="3"/>
    <x v="2"/>
    <n v="2"/>
    <n v="33"/>
    <n v="1849"/>
    <n v="0"/>
    <n v="4"/>
    <s v="Improved"/>
    <n v="1"/>
  </r>
  <r>
    <s v="ADM-240070"/>
    <d v="2024-01-07T00:00:00"/>
    <d v="2024-01-09T00:00:00"/>
    <x v="0"/>
    <s v="Q1"/>
    <x v="0"/>
    <x v="6"/>
    <x v="3"/>
    <x v="0"/>
    <x v="0"/>
    <x v="3"/>
    <x v="0"/>
    <n v="2"/>
    <n v="62"/>
    <n v="2252"/>
    <n v="0"/>
    <n v="4"/>
    <s v="Improved"/>
    <n v="1"/>
  </r>
  <r>
    <s v="ADM-240071"/>
    <d v="2024-01-07T00:00:00"/>
    <d v="2024-01-16T00:00:00"/>
    <x v="0"/>
    <s v="Q1"/>
    <x v="0"/>
    <x v="6"/>
    <x v="1"/>
    <x v="2"/>
    <x v="1"/>
    <x v="4"/>
    <x v="0"/>
    <n v="9"/>
    <m/>
    <n v="10819"/>
    <n v="0"/>
    <n v="4"/>
    <s v="Recovered"/>
    <n v="1"/>
  </r>
  <r>
    <s v="ADM-240072"/>
    <d v="2024-01-07T00:00:00"/>
    <d v="2024-01-09T00:00:00"/>
    <x v="0"/>
    <s v="Q1"/>
    <x v="0"/>
    <x v="6"/>
    <x v="0"/>
    <x v="0"/>
    <x v="1"/>
    <x v="4"/>
    <x v="2"/>
    <n v="2"/>
    <n v="119"/>
    <n v="1750"/>
    <n v="1"/>
    <n v="3"/>
    <s v="Recovered"/>
    <n v="1"/>
  </r>
  <r>
    <s v="ADM-240073"/>
    <d v="2024-01-07T00:00:00"/>
    <d v="2024-01-08T00:00:00"/>
    <x v="0"/>
    <s v="Q1"/>
    <x v="0"/>
    <x v="6"/>
    <x v="2"/>
    <x v="0"/>
    <x v="0"/>
    <x v="2"/>
    <x v="0"/>
    <n v="1"/>
    <n v="31"/>
    <n v="1606"/>
    <n v="0"/>
    <n v="3"/>
    <s v="Recovered"/>
    <n v="1"/>
  </r>
  <r>
    <s v="ADM-240074"/>
    <d v="2024-01-07T00:00:00"/>
    <d v="2024-01-09T00:00:00"/>
    <x v="0"/>
    <s v="Q1"/>
    <x v="0"/>
    <x v="6"/>
    <x v="0"/>
    <x v="2"/>
    <x v="1"/>
    <x v="1"/>
    <x v="0"/>
    <n v="2"/>
    <m/>
    <n v="1862"/>
    <n v="0"/>
    <n v="4"/>
    <s v="Recovered"/>
    <n v="1"/>
  </r>
  <r>
    <s v="ADM-240075"/>
    <d v="2024-01-07T00:00:00"/>
    <d v="2024-01-09T00:00:00"/>
    <x v="0"/>
    <s v="Q1"/>
    <x v="0"/>
    <x v="6"/>
    <x v="0"/>
    <x v="0"/>
    <x v="1"/>
    <x v="4"/>
    <x v="0"/>
    <n v="2"/>
    <n v="53"/>
    <n v="2485"/>
    <n v="0"/>
    <n v="5"/>
    <s v="Recovered"/>
    <n v="1"/>
  </r>
  <r>
    <s v="ADM-240076"/>
    <d v="2024-01-07T00:00:00"/>
    <d v="2024-01-11T00:00:00"/>
    <x v="0"/>
    <s v="Q1"/>
    <x v="0"/>
    <x v="6"/>
    <x v="3"/>
    <x v="0"/>
    <x v="1"/>
    <x v="3"/>
    <x v="0"/>
    <n v="4"/>
    <n v="47"/>
    <n v="3073"/>
    <n v="0"/>
    <n v="4"/>
    <s v="Transferred"/>
    <n v="1"/>
  </r>
  <r>
    <s v="ADM-240077"/>
    <d v="2024-01-07T00:00:00"/>
    <d v="2024-01-09T00:00:00"/>
    <x v="0"/>
    <s v="Q1"/>
    <x v="0"/>
    <x v="6"/>
    <x v="3"/>
    <x v="0"/>
    <x v="1"/>
    <x v="3"/>
    <x v="2"/>
    <n v="2"/>
    <n v="98"/>
    <n v="2203"/>
    <n v="0"/>
    <n v="4"/>
    <s v="Recovered"/>
    <n v="1"/>
  </r>
  <r>
    <s v="ADM-240078"/>
    <d v="2024-01-08T00:00:00"/>
    <d v="2024-01-13T00:00:00"/>
    <x v="0"/>
    <s v="Q1"/>
    <x v="0"/>
    <x v="0"/>
    <x v="3"/>
    <x v="0"/>
    <x v="0"/>
    <x v="3"/>
    <x v="1"/>
    <n v="5"/>
    <n v="166"/>
    <n v="3882"/>
    <n v="0"/>
    <n v="2"/>
    <s v="Recovered"/>
    <n v="1"/>
  </r>
  <r>
    <s v="ADM-240079"/>
    <d v="2024-01-08T00:00:00"/>
    <d v="2024-01-13T00:00:00"/>
    <x v="0"/>
    <s v="Q1"/>
    <x v="0"/>
    <x v="0"/>
    <x v="0"/>
    <x v="0"/>
    <x v="1"/>
    <x v="0"/>
    <x v="1"/>
    <n v="5"/>
    <n v="19"/>
    <n v="3935"/>
    <n v="1"/>
    <n v="4"/>
    <s v="Recovered"/>
    <n v="1"/>
  </r>
  <r>
    <s v="ADM-240080"/>
    <d v="2024-01-08T00:00:00"/>
    <d v="2024-01-10T00:00:00"/>
    <x v="0"/>
    <s v="Q1"/>
    <x v="0"/>
    <x v="0"/>
    <x v="3"/>
    <x v="0"/>
    <x v="0"/>
    <x v="3"/>
    <x v="2"/>
    <n v="2"/>
    <n v="154"/>
    <n v="2199"/>
    <n v="0"/>
    <n v="3"/>
    <s v="Improved"/>
    <n v="1"/>
  </r>
  <r>
    <s v="ADM-240081"/>
    <d v="2024-01-08T00:00:00"/>
    <d v="2024-01-12T00:00:00"/>
    <x v="0"/>
    <s v="Q1"/>
    <x v="0"/>
    <x v="0"/>
    <x v="1"/>
    <x v="2"/>
    <x v="1"/>
    <x v="2"/>
    <x v="0"/>
    <n v="4"/>
    <m/>
    <n v="4888"/>
    <n v="0"/>
    <n v="5"/>
    <s v="Improved"/>
    <n v="1"/>
  </r>
  <r>
    <s v="ADM-240082"/>
    <d v="2024-01-08T00:00:00"/>
    <d v="2024-01-14T00:00:00"/>
    <x v="0"/>
    <s v="Q1"/>
    <x v="0"/>
    <x v="0"/>
    <x v="4"/>
    <x v="0"/>
    <x v="1"/>
    <x v="1"/>
    <x v="2"/>
    <n v="6"/>
    <n v="72"/>
    <n v="5751"/>
    <n v="0"/>
    <n v="5"/>
    <s v="Recovered"/>
    <n v="1"/>
  </r>
  <r>
    <s v="ADM-240083"/>
    <d v="2024-01-08T00:00:00"/>
    <d v="2024-01-13T00:00:00"/>
    <x v="0"/>
    <s v="Q1"/>
    <x v="0"/>
    <x v="0"/>
    <x v="1"/>
    <x v="0"/>
    <x v="0"/>
    <x v="4"/>
    <x v="2"/>
    <n v="5"/>
    <n v="81"/>
    <n v="5849"/>
    <n v="0"/>
    <n v="4"/>
    <s v="Improved"/>
    <n v="1"/>
  </r>
  <r>
    <s v="ADM-240084"/>
    <d v="2024-01-08T00:00:00"/>
    <d v="2024-01-10T00:00:00"/>
    <x v="0"/>
    <s v="Q1"/>
    <x v="0"/>
    <x v="0"/>
    <x v="1"/>
    <x v="0"/>
    <x v="0"/>
    <x v="4"/>
    <x v="2"/>
    <n v="2"/>
    <n v="39"/>
    <n v="2774"/>
    <n v="0"/>
    <n v="4"/>
    <s v="Improved"/>
    <n v="1"/>
  </r>
  <r>
    <s v="ADM-240085"/>
    <d v="2024-01-08T00:00:00"/>
    <d v="2024-01-12T00:00:00"/>
    <x v="0"/>
    <s v="Q1"/>
    <x v="0"/>
    <x v="0"/>
    <x v="0"/>
    <x v="0"/>
    <x v="1"/>
    <x v="4"/>
    <x v="0"/>
    <n v="4"/>
    <n v="79"/>
    <n v="3143"/>
    <n v="0"/>
    <n v="5"/>
    <s v="Recovered"/>
    <n v="1"/>
  </r>
  <r>
    <s v="ADM-240086"/>
    <d v="2024-01-08T00:00:00"/>
    <d v="2024-01-10T00:00:00"/>
    <x v="0"/>
    <s v="Q1"/>
    <x v="0"/>
    <x v="0"/>
    <x v="2"/>
    <x v="0"/>
    <x v="0"/>
    <x v="2"/>
    <x v="2"/>
    <n v="2"/>
    <n v="39"/>
    <n v="2070"/>
    <n v="0"/>
    <n v="5"/>
    <s v="Recovered"/>
    <n v="1"/>
  </r>
  <r>
    <s v="ADM-240087"/>
    <d v="2024-01-09T00:00:00"/>
    <d v="2024-01-12T00:00:00"/>
    <x v="0"/>
    <s v="Q1"/>
    <x v="0"/>
    <x v="1"/>
    <x v="5"/>
    <x v="1"/>
    <x v="0"/>
    <x v="4"/>
    <x v="2"/>
    <n v="3"/>
    <m/>
    <n v="3974"/>
    <n v="0"/>
    <n v="3"/>
    <s v="Recovered"/>
    <n v="1"/>
  </r>
  <r>
    <s v="ADM-240088"/>
    <d v="2024-01-09T00:00:00"/>
    <d v="2024-01-22T00:00:00"/>
    <x v="0"/>
    <s v="Q1"/>
    <x v="0"/>
    <x v="1"/>
    <x v="0"/>
    <x v="0"/>
    <x v="1"/>
    <x v="4"/>
    <x v="1"/>
    <n v="13"/>
    <n v="23"/>
    <n v="9829"/>
    <n v="0"/>
    <n v="5"/>
    <s v="Recovered"/>
    <n v="1"/>
  </r>
  <r>
    <s v="ADM-240089"/>
    <d v="2024-01-09T00:00:00"/>
    <d v="2024-01-12T00:00:00"/>
    <x v="0"/>
    <s v="Q1"/>
    <x v="0"/>
    <x v="1"/>
    <x v="1"/>
    <x v="2"/>
    <x v="1"/>
    <x v="2"/>
    <x v="0"/>
    <n v="3"/>
    <m/>
    <n v="3390"/>
    <n v="0"/>
    <n v="4"/>
    <s v="Improved"/>
    <n v="1"/>
  </r>
  <r>
    <s v="ADM-240090"/>
    <d v="2024-01-09T00:00:00"/>
    <d v="2024-01-21T00:00:00"/>
    <x v="0"/>
    <s v="Q1"/>
    <x v="0"/>
    <x v="1"/>
    <x v="4"/>
    <x v="0"/>
    <x v="0"/>
    <x v="4"/>
    <x v="2"/>
    <n v="12"/>
    <n v="119"/>
    <n v="14817"/>
    <n v="0"/>
    <n v="2"/>
    <s v="Recovered"/>
    <n v="1"/>
  </r>
  <r>
    <s v="ADM-240091"/>
    <d v="2024-01-09T00:00:00"/>
    <d v="2024-01-10T00:00:00"/>
    <x v="0"/>
    <s v="Q1"/>
    <x v="0"/>
    <x v="1"/>
    <x v="5"/>
    <x v="2"/>
    <x v="0"/>
    <x v="2"/>
    <x v="2"/>
    <n v="1"/>
    <m/>
    <n v="2169"/>
    <n v="0"/>
    <n v="4"/>
    <s v="Recovered"/>
    <n v="1"/>
  </r>
  <r>
    <s v="ADM-240092"/>
    <d v="2024-01-09T00:00:00"/>
    <d v="2024-01-15T00:00:00"/>
    <x v="0"/>
    <s v="Q1"/>
    <x v="0"/>
    <x v="1"/>
    <x v="5"/>
    <x v="2"/>
    <x v="1"/>
    <x v="1"/>
    <x v="0"/>
    <n v="6"/>
    <m/>
    <n v="9863"/>
    <n v="0"/>
    <n v="4"/>
    <s v="Recovered"/>
    <n v="1"/>
  </r>
  <r>
    <s v="ADM-240093"/>
    <d v="2024-01-10T00:00:00"/>
    <d v="2024-01-16T00:00:00"/>
    <x v="0"/>
    <s v="Q1"/>
    <x v="0"/>
    <x v="2"/>
    <x v="4"/>
    <x v="0"/>
    <x v="1"/>
    <x v="0"/>
    <x v="1"/>
    <n v="6"/>
    <n v="37"/>
    <n v="9612"/>
    <n v="1"/>
    <n v="3"/>
    <s v="Improved"/>
    <n v="1"/>
  </r>
  <r>
    <s v="ADM-240094"/>
    <d v="2024-01-10T00:00:00"/>
    <d v="2024-01-11T00:00:00"/>
    <x v="0"/>
    <s v="Q1"/>
    <x v="0"/>
    <x v="2"/>
    <x v="3"/>
    <x v="0"/>
    <x v="1"/>
    <x v="3"/>
    <x v="0"/>
    <n v="1"/>
    <n v="81"/>
    <n v="948"/>
    <n v="0"/>
    <n v="4"/>
    <s v="Recovered"/>
    <n v="1"/>
  </r>
  <r>
    <s v="ADM-240095"/>
    <d v="2024-01-10T00:00:00"/>
    <d v="2024-01-30T00:00:00"/>
    <x v="0"/>
    <s v="Q1"/>
    <x v="0"/>
    <x v="2"/>
    <x v="0"/>
    <x v="0"/>
    <x v="1"/>
    <x v="0"/>
    <x v="0"/>
    <n v="20"/>
    <n v="67"/>
    <n v="12491"/>
    <n v="1"/>
    <n v="4"/>
    <s v="Improved"/>
    <n v="1"/>
  </r>
  <r>
    <s v="ADM-240096"/>
    <d v="2024-01-10T00:00:00"/>
    <d v="2024-01-14T00:00:00"/>
    <x v="0"/>
    <s v="Q1"/>
    <x v="0"/>
    <x v="2"/>
    <x v="2"/>
    <x v="0"/>
    <x v="0"/>
    <x v="1"/>
    <x v="2"/>
    <n v="4"/>
    <n v="56"/>
    <n v="3980"/>
    <n v="0"/>
    <n v="4"/>
    <s v="Improved"/>
    <n v="1"/>
  </r>
  <r>
    <s v="ADM-240097"/>
    <d v="2024-01-10T00:00:00"/>
    <d v="2024-01-17T00:00:00"/>
    <x v="0"/>
    <s v="Q1"/>
    <x v="0"/>
    <x v="2"/>
    <x v="0"/>
    <x v="0"/>
    <x v="1"/>
    <x v="0"/>
    <x v="0"/>
    <n v="7"/>
    <n v="26"/>
    <n v="4203"/>
    <n v="0"/>
    <n v="4"/>
    <s v="Transferred"/>
    <n v="1"/>
  </r>
  <r>
    <s v="ADM-240098"/>
    <d v="2024-01-10T00:00:00"/>
    <d v="2024-01-16T00:00:00"/>
    <x v="0"/>
    <s v="Q1"/>
    <x v="0"/>
    <x v="2"/>
    <x v="2"/>
    <x v="2"/>
    <x v="0"/>
    <x v="1"/>
    <x v="1"/>
    <n v="6"/>
    <m/>
    <n v="5022"/>
    <n v="0"/>
    <n v="5"/>
    <s v="Recovered"/>
    <n v="1"/>
  </r>
  <r>
    <s v="ADM-240099"/>
    <d v="2024-01-10T00:00:00"/>
    <d v="2024-01-14T00:00:00"/>
    <x v="0"/>
    <s v="Q1"/>
    <x v="0"/>
    <x v="2"/>
    <x v="0"/>
    <x v="0"/>
    <x v="1"/>
    <x v="0"/>
    <x v="2"/>
    <n v="4"/>
    <n v="78"/>
    <n v="2748"/>
    <n v="0"/>
    <n v="5"/>
    <s v="Transferred"/>
    <n v="1"/>
  </r>
  <r>
    <s v="ADM-240100"/>
    <d v="2024-01-10T00:00:00"/>
    <d v="2024-01-12T00:00:00"/>
    <x v="0"/>
    <s v="Q1"/>
    <x v="0"/>
    <x v="2"/>
    <x v="2"/>
    <x v="0"/>
    <x v="0"/>
    <x v="1"/>
    <x v="0"/>
    <n v="2"/>
    <n v="106"/>
    <n v="1756"/>
    <n v="0"/>
    <n v="2"/>
    <s v="Recovered"/>
    <n v="1"/>
  </r>
  <r>
    <s v="ADM-240101"/>
    <d v="2024-01-10T00:00:00"/>
    <d v="2024-01-15T00:00:00"/>
    <x v="0"/>
    <s v="Q1"/>
    <x v="0"/>
    <x v="2"/>
    <x v="4"/>
    <x v="0"/>
    <x v="1"/>
    <x v="1"/>
    <x v="2"/>
    <n v="5"/>
    <n v="89"/>
    <n v="7967"/>
    <n v="0"/>
    <n v="4"/>
    <s v="Recovered"/>
    <n v="1"/>
  </r>
  <r>
    <s v="ADM-240102"/>
    <d v="2024-01-10T00:00:00"/>
    <d v="2024-01-13T00:00:00"/>
    <x v="0"/>
    <s v="Q1"/>
    <x v="0"/>
    <x v="2"/>
    <x v="5"/>
    <x v="2"/>
    <x v="0"/>
    <x v="4"/>
    <x v="2"/>
    <n v="3"/>
    <m/>
    <n v="3187"/>
    <n v="0"/>
    <n v="4"/>
    <s v="Recovered"/>
    <n v="1"/>
  </r>
  <r>
    <s v="ADM-240103"/>
    <d v="2024-01-11T00:00:00"/>
    <d v="2024-01-13T00:00:00"/>
    <x v="0"/>
    <s v="Q1"/>
    <x v="0"/>
    <x v="3"/>
    <x v="3"/>
    <x v="2"/>
    <x v="0"/>
    <x v="3"/>
    <x v="1"/>
    <n v="2"/>
    <m/>
    <n v="2918"/>
    <n v="0"/>
    <n v="5"/>
    <s v="Recovered"/>
    <n v="1"/>
  </r>
  <r>
    <s v="ADM-240104"/>
    <d v="2024-01-11T00:00:00"/>
    <d v="2024-01-18T00:00:00"/>
    <x v="0"/>
    <s v="Q1"/>
    <x v="0"/>
    <x v="3"/>
    <x v="1"/>
    <x v="2"/>
    <x v="0"/>
    <x v="4"/>
    <x v="2"/>
    <n v="7"/>
    <m/>
    <n v="7054"/>
    <n v="0"/>
    <n v="4"/>
    <s v="Improved"/>
    <n v="1"/>
  </r>
  <r>
    <s v="ADM-240105"/>
    <d v="2024-01-11T00:00:00"/>
    <d v="2024-01-12T00:00:00"/>
    <x v="0"/>
    <s v="Q1"/>
    <x v="0"/>
    <x v="3"/>
    <x v="0"/>
    <x v="0"/>
    <x v="1"/>
    <x v="1"/>
    <x v="2"/>
    <n v="1"/>
    <n v="152"/>
    <n v="1480"/>
    <n v="0"/>
    <n v="4"/>
    <s v="Recovered"/>
    <n v="1"/>
  </r>
  <r>
    <s v="ADM-240106"/>
    <d v="2024-01-11T00:00:00"/>
    <d v="2024-01-18T00:00:00"/>
    <x v="0"/>
    <s v="Q1"/>
    <x v="0"/>
    <x v="3"/>
    <x v="1"/>
    <x v="0"/>
    <x v="1"/>
    <x v="1"/>
    <x v="2"/>
    <n v="7"/>
    <n v="36"/>
    <n v="6194"/>
    <n v="0"/>
    <n v="3"/>
    <s v="Improved"/>
    <n v="1"/>
  </r>
  <r>
    <s v="ADM-240107"/>
    <d v="2024-01-11T00:00:00"/>
    <d v="2024-01-14T00:00:00"/>
    <x v="0"/>
    <s v="Q1"/>
    <x v="0"/>
    <x v="3"/>
    <x v="3"/>
    <x v="2"/>
    <x v="0"/>
    <x v="3"/>
    <x v="2"/>
    <n v="3"/>
    <m/>
    <n v="2909"/>
    <n v="0"/>
    <n v="4"/>
    <s v="Recovered"/>
    <n v="1"/>
  </r>
  <r>
    <s v="ADM-240108"/>
    <d v="2024-01-11T00:00:00"/>
    <d v="2024-01-21T00:00:00"/>
    <x v="0"/>
    <s v="Q1"/>
    <x v="0"/>
    <x v="3"/>
    <x v="4"/>
    <x v="2"/>
    <x v="1"/>
    <x v="0"/>
    <x v="0"/>
    <n v="10"/>
    <m/>
    <n v="11993"/>
    <n v="0"/>
    <n v="5"/>
    <s v="Recovered"/>
    <n v="1"/>
  </r>
  <r>
    <s v="ADM-240109"/>
    <d v="2024-01-11T00:00:00"/>
    <d v="2024-01-14T00:00:00"/>
    <x v="0"/>
    <s v="Q1"/>
    <x v="0"/>
    <x v="3"/>
    <x v="0"/>
    <x v="2"/>
    <x v="0"/>
    <x v="1"/>
    <x v="2"/>
    <n v="3"/>
    <m/>
    <n v="3260"/>
    <n v="0"/>
    <n v="3"/>
    <s v="Recovered"/>
    <n v="1"/>
  </r>
  <r>
    <s v="ADM-240110"/>
    <d v="2024-01-11T00:00:00"/>
    <d v="2024-01-15T00:00:00"/>
    <x v="0"/>
    <s v="Q1"/>
    <x v="0"/>
    <x v="3"/>
    <x v="3"/>
    <x v="0"/>
    <x v="1"/>
    <x v="3"/>
    <x v="0"/>
    <n v="4"/>
    <n v="19"/>
    <n v="2322"/>
    <n v="0"/>
    <n v="4"/>
    <s v="Improved"/>
    <n v="1"/>
  </r>
  <r>
    <s v="ADM-240111"/>
    <d v="2024-01-12T00:00:00"/>
    <d v="2024-01-16T00:00:00"/>
    <x v="0"/>
    <s v="Q1"/>
    <x v="0"/>
    <x v="4"/>
    <x v="4"/>
    <x v="0"/>
    <x v="0"/>
    <x v="4"/>
    <x v="0"/>
    <n v="4"/>
    <n v="102"/>
    <n v="3730"/>
    <n v="0"/>
    <n v="4"/>
    <s v="Transferred"/>
    <n v="1"/>
  </r>
  <r>
    <s v="ADM-240112"/>
    <d v="2024-01-12T00:00:00"/>
    <d v="2024-01-14T00:00:00"/>
    <x v="0"/>
    <s v="Q1"/>
    <x v="0"/>
    <x v="4"/>
    <x v="4"/>
    <x v="0"/>
    <x v="1"/>
    <x v="1"/>
    <x v="2"/>
    <n v="2"/>
    <n v="46"/>
    <n v="2438"/>
    <n v="0"/>
    <n v="5"/>
    <s v="Recovered"/>
    <n v="1"/>
  </r>
  <r>
    <s v="ADM-240113"/>
    <d v="2024-01-12T00:00:00"/>
    <d v="2024-01-14T00:00:00"/>
    <x v="0"/>
    <s v="Q1"/>
    <x v="0"/>
    <x v="4"/>
    <x v="0"/>
    <x v="1"/>
    <x v="1"/>
    <x v="0"/>
    <x v="2"/>
    <n v="2"/>
    <m/>
    <n v="2500"/>
    <n v="0"/>
    <n v="4"/>
    <s v="Recovered"/>
    <n v="1"/>
  </r>
  <r>
    <s v="ADM-240114"/>
    <d v="2024-01-12T00:00:00"/>
    <d v="2024-01-17T00:00:00"/>
    <x v="0"/>
    <s v="Q1"/>
    <x v="0"/>
    <x v="4"/>
    <x v="5"/>
    <x v="2"/>
    <x v="1"/>
    <x v="0"/>
    <x v="0"/>
    <n v="5"/>
    <m/>
    <n v="4514"/>
    <n v="0"/>
    <n v="4"/>
    <s v="Recovered"/>
    <n v="1"/>
  </r>
  <r>
    <s v="ADM-240115"/>
    <d v="2024-01-12T00:00:00"/>
    <d v="2024-01-14T00:00:00"/>
    <x v="0"/>
    <s v="Q1"/>
    <x v="0"/>
    <x v="4"/>
    <x v="4"/>
    <x v="1"/>
    <x v="0"/>
    <x v="0"/>
    <x v="1"/>
    <n v="2"/>
    <m/>
    <n v="3787"/>
    <n v="0"/>
    <n v="3"/>
    <s v="Deceased"/>
    <n v="1"/>
  </r>
  <r>
    <s v="ADM-240116"/>
    <d v="2024-01-12T00:00:00"/>
    <d v="2024-01-15T00:00:00"/>
    <x v="0"/>
    <s v="Q1"/>
    <x v="0"/>
    <x v="4"/>
    <x v="4"/>
    <x v="2"/>
    <x v="0"/>
    <x v="4"/>
    <x v="1"/>
    <n v="3"/>
    <m/>
    <n v="3837"/>
    <n v="0"/>
    <n v="4"/>
    <s v="Improved"/>
    <n v="1"/>
  </r>
  <r>
    <s v="ADM-240117"/>
    <d v="2024-01-12T00:00:00"/>
    <d v="2024-01-13T00:00:00"/>
    <x v="0"/>
    <s v="Q1"/>
    <x v="0"/>
    <x v="4"/>
    <x v="1"/>
    <x v="2"/>
    <x v="0"/>
    <x v="2"/>
    <x v="0"/>
    <n v="1"/>
    <m/>
    <n v="1613"/>
    <n v="0"/>
    <n v="4"/>
    <s v="Recovered"/>
    <n v="1"/>
  </r>
  <r>
    <s v="ADM-240118"/>
    <d v="2024-01-12T00:00:00"/>
    <d v="2024-01-22T00:00:00"/>
    <x v="0"/>
    <s v="Q1"/>
    <x v="0"/>
    <x v="4"/>
    <x v="0"/>
    <x v="1"/>
    <x v="0"/>
    <x v="4"/>
    <x v="2"/>
    <n v="10"/>
    <m/>
    <n v="6828"/>
    <n v="0"/>
    <n v="4"/>
    <s v="Improved"/>
    <n v="1"/>
  </r>
  <r>
    <s v="ADM-240119"/>
    <d v="2024-01-12T00:00:00"/>
    <d v="2024-01-13T00:00:00"/>
    <x v="0"/>
    <s v="Q1"/>
    <x v="0"/>
    <x v="4"/>
    <x v="1"/>
    <x v="2"/>
    <x v="1"/>
    <x v="2"/>
    <x v="0"/>
    <n v="1"/>
    <m/>
    <n v="2306"/>
    <n v="1"/>
    <n v="4"/>
    <s v="Improved"/>
    <n v="1"/>
  </r>
  <r>
    <s v="ADM-240120"/>
    <d v="2024-01-12T00:00:00"/>
    <d v="2024-01-18T00:00:00"/>
    <x v="0"/>
    <s v="Q1"/>
    <x v="0"/>
    <x v="4"/>
    <x v="4"/>
    <x v="0"/>
    <x v="1"/>
    <x v="4"/>
    <x v="0"/>
    <n v="6"/>
    <n v="107"/>
    <n v="5800"/>
    <n v="0"/>
    <n v="3"/>
    <s v="Recovered"/>
    <n v="1"/>
  </r>
  <r>
    <s v="ADM-240121"/>
    <d v="2024-01-13T00:00:00"/>
    <d v="2024-01-14T00:00:00"/>
    <x v="0"/>
    <s v="Q1"/>
    <x v="0"/>
    <x v="5"/>
    <x v="3"/>
    <x v="0"/>
    <x v="1"/>
    <x v="3"/>
    <x v="0"/>
    <n v="1"/>
    <n v="123"/>
    <n v="1332"/>
    <n v="0"/>
    <n v="2"/>
    <s v="Deceased"/>
    <n v="1"/>
  </r>
  <r>
    <s v="ADM-240122"/>
    <d v="2024-01-13T00:00:00"/>
    <d v="2024-01-19T00:00:00"/>
    <x v="0"/>
    <s v="Q1"/>
    <x v="0"/>
    <x v="5"/>
    <x v="1"/>
    <x v="2"/>
    <x v="0"/>
    <x v="0"/>
    <x v="0"/>
    <n v="6"/>
    <m/>
    <n v="8106"/>
    <n v="0"/>
    <n v="4"/>
    <s v="Recovered"/>
    <n v="1"/>
  </r>
  <r>
    <s v="ADM-240123"/>
    <d v="2024-01-13T00:00:00"/>
    <d v="2024-01-18T00:00:00"/>
    <x v="0"/>
    <s v="Q1"/>
    <x v="0"/>
    <x v="5"/>
    <x v="0"/>
    <x v="0"/>
    <x v="1"/>
    <x v="0"/>
    <x v="0"/>
    <n v="5"/>
    <n v="18"/>
    <n v="4357"/>
    <n v="0"/>
    <n v="3"/>
    <s v="Transferred"/>
    <n v="1"/>
  </r>
  <r>
    <s v="ADM-240124"/>
    <d v="2024-01-13T00:00:00"/>
    <d v="2024-01-19T00:00:00"/>
    <x v="0"/>
    <s v="Q1"/>
    <x v="0"/>
    <x v="5"/>
    <x v="0"/>
    <x v="1"/>
    <x v="0"/>
    <x v="4"/>
    <x v="1"/>
    <n v="6"/>
    <m/>
    <n v="4619"/>
    <n v="0"/>
    <n v="5"/>
    <s v="Recovered"/>
    <n v="1"/>
  </r>
  <r>
    <s v="ADM-240125"/>
    <d v="2024-01-13T00:00:00"/>
    <d v="2024-01-15T00:00:00"/>
    <x v="0"/>
    <s v="Q1"/>
    <x v="0"/>
    <x v="5"/>
    <x v="3"/>
    <x v="2"/>
    <x v="1"/>
    <x v="3"/>
    <x v="0"/>
    <n v="2"/>
    <m/>
    <n v="1749"/>
    <n v="0"/>
    <n v="4"/>
    <s v="Recovered"/>
    <n v="1"/>
  </r>
  <r>
    <s v="ADM-240126"/>
    <d v="2024-01-13T00:00:00"/>
    <d v="2024-01-15T00:00:00"/>
    <x v="0"/>
    <s v="Q1"/>
    <x v="0"/>
    <x v="5"/>
    <x v="2"/>
    <x v="0"/>
    <x v="0"/>
    <x v="2"/>
    <x v="0"/>
    <n v="2"/>
    <n v="93"/>
    <n v="2564"/>
    <n v="0"/>
    <n v="3"/>
    <s v="Improved"/>
    <n v="1"/>
  </r>
  <r>
    <s v="ADM-240127"/>
    <d v="2024-01-13T00:00:00"/>
    <d v="2024-01-15T00:00:00"/>
    <x v="0"/>
    <s v="Q1"/>
    <x v="0"/>
    <x v="5"/>
    <x v="5"/>
    <x v="2"/>
    <x v="1"/>
    <x v="1"/>
    <x v="2"/>
    <n v="2"/>
    <m/>
    <n v="2426"/>
    <n v="0"/>
    <n v="4"/>
    <s v="Recovered"/>
    <n v="1"/>
  </r>
  <r>
    <s v="ADM-240128"/>
    <d v="2024-01-14T00:00:00"/>
    <d v="2024-01-20T00:00:00"/>
    <x v="0"/>
    <s v="Q1"/>
    <x v="0"/>
    <x v="6"/>
    <x v="4"/>
    <x v="0"/>
    <x v="1"/>
    <x v="4"/>
    <x v="2"/>
    <n v="6"/>
    <n v="60"/>
    <n v="8539"/>
    <n v="0"/>
    <n v="5"/>
    <s v="Recovered"/>
    <n v="1"/>
  </r>
  <r>
    <s v="ADM-240129"/>
    <d v="2024-01-14T00:00:00"/>
    <d v="2024-01-17T00:00:00"/>
    <x v="0"/>
    <s v="Q1"/>
    <x v="0"/>
    <x v="6"/>
    <x v="2"/>
    <x v="0"/>
    <x v="0"/>
    <x v="2"/>
    <x v="0"/>
    <n v="3"/>
    <n v="59"/>
    <n v="2624"/>
    <n v="0"/>
    <n v="5"/>
    <s v="Improved"/>
    <n v="1"/>
  </r>
  <r>
    <s v="ADM-240130"/>
    <d v="2024-01-14T00:00:00"/>
    <d v="2024-01-23T00:00:00"/>
    <x v="0"/>
    <s v="Q1"/>
    <x v="0"/>
    <x v="6"/>
    <x v="1"/>
    <x v="0"/>
    <x v="0"/>
    <x v="0"/>
    <x v="2"/>
    <n v="9"/>
    <n v="70"/>
    <n v="12179"/>
    <n v="0"/>
    <n v="4"/>
    <s v="Recovered"/>
    <n v="1"/>
  </r>
  <r>
    <s v="ADM-240131"/>
    <d v="2024-01-14T00:00:00"/>
    <d v="2024-01-15T00:00:00"/>
    <x v="0"/>
    <s v="Q1"/>
    <x v="0"/>
    <x v="6"/>
    <x v="5"/>
    <x v="2"/>
    <x v="0"/>
    <x v="0"/>
    <x v="0"/>
    <n v="1"/>
    <m/>
    <n v="1756"/>
    <n v="0"/>
    <n v="5"/>
    <s v="Improved"/>
    <n v="1"/>
  </r>
  <r>
    <s v="ADM-240132"/>
    <d v="2024-01-14T00:00:00"/>
    <d v="2024-01-22T00:00:00"/>
    <x v="0"/>
    <s v="Q1"/>
    <x v="0"/>
    <x v="6"/>
    <x v="4"/>
    <x v="0"/>
    <x v="0"/>
    <x v="2"/>
    <x v="2"/>
    <n v="8"/>
    <n v="78"/>
    <n v="8968"/>
    <n v="1"/>
    <n v="4"/>
    <s v="Recovered"/>
    <n v="1"/>
  </r>
  <r>
    <s v="ADM-240133"/>
    <d v="2024-01-14T00:00:00"/>
    <d v="2024-01-17T00:00:00"/>
    <x v="0"/>
    <s v="Q1"/>
    <x v="0"/>
    <x v="6"/>
    <x v="1"/>
    <x v="2"/>
    <x v="0"/>
    <x v="2"/>
    <x v="1"/>
    <n v="3"/>
    <m/>
    <n v="2737"/>
    <n v="0"/>
    <n v="5"/>
    <s v="Transferred"/>
    <n v="1"/>
  </r>
  <r>
    <s v="ADM-240134"/>
    <d v="2024-01-14T00:00:00"/>
    <d v="2024-01-22T00:00:00"/>
    <x v="0"/>
    <s v="Q1"/>
    <x v="0"/>
    <x v="6"/>
    <x v="4"/>
    <x v="0"/>
    <x v="0"/>
    <x v="0"/>
    <x v="0"/>
    <n v="8"/>
    <n v="20"/>
    <n v="12923"/>
    <n v="0"/>
    <n v="3"/>
    <s v="Recovered"/>
    <n v="1"/>
  </r>
  <r>
    <s v="ADM-240135"/>
    <d v="2024-01-14T00:00:00"/>
    <d v="2024-01-17T00:00:00"/>
    <x v="0"/>
    <s v="Q1"/>
    <x v="0"/>
    <x v="6"/>
    <x v="5"/>
    <x v="2"/>
    <x v="0"/>
    <x v="0"/>
    <x v="0"/>
    <n v="3"/>
    <m/>
    <n v="4399"/>
    <n v="0"/>
    <n v="4"/>
    <s v="Improved"/>
    <n v="1"/>
  </r>
  <r>
    <s v="ADM-240136"/>
    <d v="2024-01-15T00:00:00"/>
    <d v="2024-01-19T00:00:00"/>
    <x v="0"/>
    <s v="Q1"/>
    <x v="0"/>
    <x v="0"/>
    <x v="5"/>
    <x v="2"/>
    <x v="1"/>
    <x v="0"/>
    <x v="0"/>
    <n v="4"/>
    <m/>
    <n v="4043"/>
    <n v="0"/>
    <n v="4"/>
    <s v="Recovered"/>
    <n v="1"/>
  </r>
  <r>
    <s v="ADM-240137"/>
    <d v="2024-01-15T00:00:00"/>
    <d v="2024-01-21T00:00:00"/>
    <x v="0"/>
    <s v="Q1"/>
    <x v="0"/>
    <x v="0"/>
    <x v="1"/>
    <x v="2"/>
    <x v="1"/>
    <x v="2"/>
    <x v="0"/>
    <n v="6"/>
    <m/>
    <n v="7433"/>
    <n v="0"/>
    <n v="5"/>
    <s v="Recovered"/>
    <n v="1"/>
  </r>
  <r>
    <s v="ADM-240138"/>
    <d v="2024-01-15T00:00:00"/>
    <d v="2024-01-23T00:00:00"/>
    <x v="0"/>
    <s v="Q1"/>
    <x v="0"/>
    <x v="0"/>
    <x v="5"/>
    <x v="0"/>
    <x v="0"/>
    <x v="0"/>
    <x v="2"/>
    <n v="8"/>
    <n v="55"/>
    <n v="6446"/>
    <n v="0"/>
    <n v="5"/>
    <s v="Recovered"/>
    <n v="1"/>
  </r>
  <r>
    <s v="ADM-240139"/>
    <d v="2024-01-15T00:00:00"/>
    <d v="2024-01-24T00:00:00"/>
    <x v="0"/>
    <s v="Q1"/>
    <x v="0"/>
    <x v="0"/>
    <x v="0"/>
    <x v="0"/>
    <x v="0"/>
    <x v="0"/>
    <x v="2"/>
    <n v="9"/>
    <n v="164"/>
    <n v="6801"/>
    <n v="0"/>
    <n v="2"/>
    <s v="Improved"/>
    <n v="1"/>
  </r>
  <r>
    <s v="ADM-240140"/>
    <d v="2024-01-15T00:00:00"/>
    <d v="2024-01-27T00:00:00"/>
    <x v="0"/>
    <s v="Q1"/>
    <x v="0"/>
    <x v="0"/>
    <x v="4"/>
    <x v="0"/>
    <x v="0"/>
    <x v="4"/>
    <x v="0"/>
    <n v="12"/>
    <n v="64"/>
    <n v="17272"/>
    <n v="0"/>
    <n v="4"/>
    <s v="Recovered"/>
    <n v="1"/>
  </r>
  <r>
    <s v="ADM-240141"/>
    <d v="2024-01-15T00:00:00"/>
    <d v="2024-01-20T00:00:00"/>
    <x v="0"/>
    <s v="Q1"/>
    <x v="0"/>
    <x v="0"/>
    <x v="0"/>
    <x v="0"/>
    <x v="1"/>
    <x v="4"/>
    <x v="1"/>
    <n v="5"/>
    <n v="94"/>
    <n v="3829"/>
    <n v="0"/>
    <n v="3"/>
    <s v="Improved"/>
    <n v="1"/>
  </r>
  <r>
    <s v="ADM-240142"/>
    <d v="2024-01-15T00:00:00"/>
    <d v="2024-01-16T00:00:00"/>
    <x v="0"/>
    <s v="Q1"/>
    <x v="0"/>
    <x v="0"/>
    <x v="0"/>
    <x v="1"/>
    <x v="1"/>
    <x v="2"/>
    <x v="0"/>
    <n v="1"/>
    <m/>
    <n v="1229"/>
    <n v="0"/>
    <n v="3"/>
    <s v="Improved"/>
    <n v="1"/>
  </r>
  <r>
    <s v="ADM-240143"/>
    <d v="2024-01-15T00:00:00"/>
    <d v="2024-01-18T00:00:00"/>
    <x v="0"/>
    <s v="Q1"/>
    <x v="0"/>
    <x v="0"/>
    <x v="5"/>
    <x v="2"/>
    <x v="0"/>
    <x v="1"/>
    <x v="2"/>
    <n v="3"/>
    <m/>
    <n v="4157"/>
    <n v="1"/>
    <n v="4"/>
    <s v="Recovered"/>
    <n v="1"/>
  </r>
  <r>
    <s v="ADM-240144"/>
    <d v="2024-01-15T00:00:00"/>
    <d v="2024-01-16T00:00:00"/>
    <x v="0"/>
    <s v="Q1"/>
    <x v="0"/>
    <x v="0"/>
    <x v="5"/>
    <x v="2"/>
    <x v="0"/>
    <x v="4"/>
    <x v="0"/>
    <n v="1"/>
    <m/>
    <n v="1754"/>
    <n v="0"/>
    <n v="4"/>
    <s v="Deceased"/>
    <n v="1"/>
  </r>
  <r>
    <s v="ADM-240145"/>
    <d v="2024-01-15T00:00:00"/>
    <d v="2024-01-19T00:00:00"/>
    <x v="0"/>
    <s v="Q1"/>
    <x v="0"/>
    <x v="0"/>
    <x v="3"/>
    <x v="1"/>
    <x v="0"/>
    <x v="3"/>
    <x v="0"/>
    <n v="4"/>
    <m/>
    <n v="3609"/>
    <n v="0"/>
    <n v="5"/>
    <s v="Recovered"/>
    <n v="1"/>
  </r>
  <r>
    <s v="ADM-240146"/>
    <d v="2024-01-15T00:00:00"/>
    <d v="2024-01-20T00:00:00"/>
    <x v="0"/>
    <s v="Q1"/>
    <x v="0"/>
    <x v="0"/>
    <x v="5"/>
    <x v="2"/>
    <x v="0"/>
    <x v="1"/>
    <x v="2"/>
    <n v="5"/>
    <m/>
    <n v="6108"/>
    <n v="0"/>
    <n v="4"/>
    <s v="Improved"/>
    <n v="1"/>
  </r>
  <r>
    <s v="ADM-240147"/>
    <d v="2024-01-15T00:00:00"/>
    <d v="2024-01-19T00:00:00"/>
    <x v="0"/>
    <s v="Q1"/>
    <x v="0"/>
    <x v="0"/>
    <x v="2"/>
    <x v="2"/>
    <x v="0"/>
    <x v="1"/>
    <x v="0"/>
    <n v="4"/>
    <m/>
    <n v="3859"/>
    <n v="0"/>
    <n v="4"/>
    <s v="Improved"/>
    <n v="1"/>
  </r>
  <r>
    <s v="ADM-240148"/>
    <d v="2024-01-15T00:00:00"/>
    <d v="2024-01-17T00:00:00"/>
    <x v="0"/>
    <s v="Q1"/>
    <x v="0"/>
    <x v="0"/>
    <x v="5"/>
    <x v="2"/>
    <x v="1"/>
    <x v="0"/>
    <x v="2"/>
    <n v="2"/>
    <m/>
    <n v="2958"/>
    <n v="0"/>
    <n v="5"/>
    <s v="Improved"/>
    <n v="1"/>
  </r>
  <r>
    <s v="ADM-240149"/>
    <d v="2024-01-15T00:00:00"/>
    <d v="2024-01-18T00:00:00"/>
    <x v="0"/>
    <s v="Q1"/>
    <x v="0"/>
    <x v="0"/>
    <x v="1"/>
    <x v="2"/>
    <x v="0"/>
    <x v="1"/>
    <x v="0"/>
    <n v="3"/>
    <m/>
    <n v="4401"/>
    <n v="0"/>
    <n v="5"/>
    <s v="Transferred"/>
    <n v="1"/>
  </r>
  <r>
    <s v="ADM-240150"/>
    <d v="2024-01-15T00:00:00"/>
    <d v="2024-01-16T00:00:00"/>
    <x v="0"/>
    <s v="Q1"/>
    <x v="0"/>
    <x v="0"/>
    <x v="5"/>
    <x v="2"/>
    <x v="1"/>
    <x v="4"/>
    <x v="2"/>
    <n v="1"/>
    <m/>
    <n v="1624"/>
    <n v="0"/>
    <n v="4"/>
    <s v="Deceased"/>
    <n v="1"/>
  </r>
  <r>
    <s v="ADM-240151"/>
    <d v="2024-01-15T00:00:00"/>
    <d v="2024-01-17T00:00:00"/>
    <x v="0"/>
    <s v="Q1"/>
    <x v="0"/>
    <x v="0"/>
    <x v="2"/>
    <x v="0"/>
    <x v="0"/>
    <x v="1"/>
    <x v="2"/>
    <n v="2"/>
    <n v="78"/>
    <n v="2218"/>
    <n v="0"/>
    <n v="5"/>
    <s v="Recovered"/>
    <n v="1"/>
  </r>
  <r>
    <s v="ADM-240152"/>
    <d v="2024-01-16T00:00:00"/>
    <d v="2024-01-25T00:00:00"/>
    <x v="0"/>
    <s v="Q1"/>
    <x v="0"/>
    <x v="1"/>
    <x v="4"/>
    <x v="0"/>
    <x v="0"/>
    <x v="1"/>
    <x v="2"/>
    <n v="9"/>
    <n v="113"/>
    <n v="9184"/>
    <n v="0"/>
    <n v="3"/>
    <s v="Recovered"/>
    <n v="1"/>
  </r>
  <r>
    <s v="ADM-240153"/>
    <d v="2024-01-16T00:00:00"/>
    <d v="2024-01-18T00:00:00"/>
    <x v="0"/>
    <s v="Q1"/>
    <x v="0"/>
    <x v="1"/>
    <x v="4"/>
    <x v="0"/>
    <x v="0"/>
    <x v="0"/>
    <x v="0"/>
    <n v="2"/>
    <n v="20"/>
    <n v="2869"/>
    <n v="0"/>
    <n v="4"/>
    <s v="Improved"/>
    <n v="1"/>
  </r>
  <r>
    <s v="ADM-240154"/>
    <d v="2024-01-16T00:00:00"/>
    <d v="2024-01-23T00:00:00"/>
    <x v="0"/>
    <s v="Q1"/>
    <x v="0"/>
    <x v="1"/>
    <x v="4"/>
    <x v="0"/>
    <x v="1"/>
    <x v="1"/>
    <x v="1"/>
    <n v="7"/>
    <n v="29"/>
    <n v="11838"/>
    <n v="0"/>
    <n v="4"/>
    <s v="Recovered"/>
    <n v="1"/>
  </r>
  <r>
    <s v="ADM-240155"/>
    <d v="2024-01-16T00:00:00"/>
    <d v="2024-01-19T00:00:00"/>
    <x v="0"/>
    <s v="Q1"/>
    <x v="0"/>
    <x v="1"/>
    <x v="0"/>
    <x v="2"/>
    <x v="0"/>
    <x v="1"/>
    <x v="0"/>
    <n v="3"/>
    <m/>
    <n v="2475"/>
    <n v="0"/>
    <n v="4"/>
    <s v="Recovered"/>
    <n v="1"/>
  </r>
  <r>
    <s v="ADM-240156"/>
    <d v="2024-01-16T00:00:00"/>
    <d v="2024-01-25T00:00:00"/>
    <x v="0"/>
    <s v="Q1"/>
    <x v="0"/>
    <x v="1"/>
    <x v="0"/>
    <x v="2"/>
    <x v="1"/>
    <x v="4"/>
    <x v="2"/>
    <n v="9"/>
    <m/>
    <n v="7439"/>
    <n v="0"/>
    <n v="4"/>
    <s v="Recovered"/>
    <n v="1"/>
  </r>
  <r>
    <s v="ADM-240157"/>
    <d v="2024-01-16T00:00:00"/>
    <d v="2024-01-17T00:00:00"/>
    <x v="0"/>
    <s v="Q1"/>
    <x v="0"/>
    <x v="1"/>
    <x v="2"/>
    <x v="1"/>
    <x v="0"/>
    <x v="2"/>
    <x v="0"/>
    <n v="1"/>
    <m/>
    <n v="1539"/>
    <n v="0"/>
    <n v="4"/>
    <s v="Recovered"/>
    <n v="1"/>
  </r>
  <r>
    <s v="ADM-240158"/>
    <d v="2024-01-16T00:00:00"/>
    <d v="2024-01-17T00:00:00"/>
    <x v="0"/>
    <s v="Q1"/>
    <x v="0"/>
    <x v="1"/>
    <x v="4"/>
    <x v="2"/>
    <x v="1"/>
    <x v="4"/>
    <x v="2"/>
    <n v="1"/>
    <m/>
    <n v="2253"/>
    <n v="0"/>
    <n v="5"/>
    <s v="Transferred"/>
    <n v="1"/>
  </r>
  <r>
    <s v="ADM-240159"/>
    <d v="2024-01-16T00:00:00"/>
    <d v="2024-01-29T00:00:00"/>
    <x v="0"/>
    <s v="Q1"/>
    <x v="0"/>
    <x v="1"/>
    <x v="5"/>
    <x v="2"/>
    <x v="1"/>
    <x v="4"/>
    <x v="2"/>
    <n v="13"/>
    <m/>
    <n v="12664"/>
    <n v="0"/>
    <n v="3"/>
    <s v="Recovered"/>
    <n v="1"/>
  </r>
  <r>
    <s v="ADM-240160"/>
    <d v="2024-01-17T00:00:00"/>
    <d v="2024-01-18T00:00:00"/>
    <x v="0"/>
    <s v="Q1"/>
    <x v="0"/>
    <x v="2"/>
    <x v="2"/>
    <x v="1"/>
    <x v="0"/>
    <x v="2"/>
    <x v="0"/>
    <n v="1"/>
    <m/>
    <n v="1431"/>
    <n v="0"/>
    <n v="4"/>
    <s v="Recovered"/>
    <n v="1"/>
  </r>
  <r>
    <s v="ADM-240161"/>
    <d v="2024-01-17T00:00:00"/>
    <d v="2024-01-18T00:00:00"/>
    <x v="0"/>
    <s v="Q1"/>
    <x v="0"/>
    <x v="2"/>
    <x v="3"/>
    <x v="1"/>
    <x v="0"/>
    <x v="3"/>
    <x v="0"/>
    <n v="1"/>
    <m/>
    <n v="1660"/>
    <n v="0"/>
    <n v="4"/>
    <s v="Improved"/>
    <n v="1"/>
  </r>
  <r>
    <s v="ADM-240162"/>
    <d v="2024-01-17T00:00:00"/>
    <d v="2024-01-20T00:00:00"/>
    <x v="0"/>
    <s v="Q1"/>
    <x v="0"/>
    <x v="2"/>
    <x v="0"/>
    <x v="2"/>
    <x v="1"/>
    <x v="0"/>
    <x v="0"/>
    <n v="3"/>
    <m/>
    <n v="3695"/>
    <n v="1"/>
    <n v="3"/>
    <s v="Improved"/>
    <n v="1"/>
  </r>
  <r>
    <s v="ADM-240163"/>
    <d v="2024-01-17T00:00:00"/>
    <d v="2024-01-20T00:00:00"/>
    <x v="0"/>
    <s v="Q1"/>
    <x v="0"/>
    <x v="2"/>
    <x v="3"/>
    <x v="0"/>
    <x v="1"/>
    <x v="3"/>
    <x v="1"/>
    <n v="3"/>
    <n v="32"/>
    <n v="2033"/>
    <n v="0"/>
    <n v="5"/>
    <s v="Recovered"/>
    <n v="1"/>
  </r>
  <r>
    <s v="ADM-240164"/>
    <d v="2024-01-17T00:00:00"/>
    <d v="2024-01-25T00:00:00"/>
    <x v="0"/>
    <s v="Q1"/>
    <x v="0"/>
    <x v="2"/>
    <x v="0"/>
    <x v="0"/>
    <x v="1"/>
    <x v="0"/>
    <x v="1"/>
    <n v="8"/>
    <n v="50"/>
    <n v="6262"/>
    <n v="0"/>
    <n v="4"/>
    <s v="Deceased"/>
    <n v="1"/>
  </r>
  <r>
    <s v="ADM-240165"/>
    <d v="2024-01-17T00:00:00"/>
    <d v="2024-01-18T00:00:00"/>
    <x v="0"/>
    <s v="Q1"/>
    <x v="0"/>
    <x v="2"/>
    <x v="4"/>
    <x v="2"/>
    <x v="0"/>
    <x v="1"/>
    <x v="1"/>
    <n v="1"/>
    <m/>
    <n v="1506"/>
    <n v="0"/>
    <n v="4"/>
    <s v="Recovered"/>
    <n v="1"/>
  </r>
  <r>
    <s v="ADM-240166"/>
    <d v="2024-01-17T00:00:00"/>
    <d v="2024-01-20T00:00:00"/>
    <x v="0"/>
    <s v="Q1"/>
    <x v="0"/>
    <x v="2"/>
    <x v="1"/>
    <x v="2"/>
    <x v="1"/>
    <x v="1"/>
    <x v="1"/>
    <n v="3"/>
    <m/>
    <n v="3199"/>
    <n v="0"/>
    <n v="4"/>
    <s v="Improved"/>
    <n v="1"/>
  </r>
  <r>
    <s v="ADM-240167"/>
    <d v="2024-01-17T00:00:00"/>
    <d v="2024-01-18T00:00:00"/>
    <x v="0"/>
    <s v="Q1"/>
    <x v="0"/>
    <x v="2"/>
    <x v="3"/>
    <x v="0"/>
    <x v="0"/>
    <x v="3"/>
    <x v="2"/>
    <n v="1"/>
    <n v="73"/>
    <n v="1539"/>
    <n v="0"/>
    <n v="5"/>
    <s v="Recovered"/>
    <n v="1"/>
  </r>
  <r>
    <s v="ADM-240168"/>
    <d v="2024-01-17T00:00:00"/>
    <d v="2024-01-18T00:00:00"/>
    <x v="0"/>
    <s v="Q1"/>
    <x v="0"/>
    <x v="2"/>
    <x v="3"/>
    <x v="1"/>
    <x v="1"/>
    <x v="3"/>
    <x v="2"/>
    <n v="1"/>
    <m/>
    <n v="1741"/>
    <n v="0"/>
    <n v="4"/>
    <s v="Recovered"/>
    <n v="1"/>
  </r>
  <r>
    <s v="ADM-240169"/>
    <d v="2024-01-17T00:00:00"/>
    <d v="2024-01-22T00:00:00"/>
    <x v="0"/>
    <s v="Q1"/>
    <x v="0"/>
    <x v="2"/>
    <x v="3"/>
    <x v="0"/>
    <x v="0"/>
    <x v="3"/>
    <x v="2"/>
    <n v="5"/>
    <n v="69"/>
    <n v="3249"/>
    <n v="0"/>
    <n v="4"/>
    <s v="Recovered"/>
    <n v="1"/>
  </r>
  <r>
    <s v="ADM-240170"/>
    <d v="2024-01-17T00:00:00"/>
    <d v="2024-01-22T00:00:00"/>
    <x v="0"/>
    <s v="Q1"/>
    <x v="0"/>
    <x v="2"/>
    <x v="1"/>
    <x v="1"/>
    <x v="0"/>
    <x v="0"/>
    <x v="2"/>
    <n v="5"/>
    <m/>
    <n v="4278"/>
    <n v="0"/>
    <n v="5"/>
    <s v="Recovered"/>
    <n v="1"/>
  </r>
  <r>
    <s v="ADM-240171"/>
    <d v="2024-01-17T00:00:00"/>
    <d v="2024-01-18T00:00:00"/>
    <x v="0"/>
    <s v="Q1"/>
    <x v="0"/>
    <x v="2"/>
    <x v="3"/>
    <x v="0"/>
    <x v="1"/>
    <x v="3"/>
    <x v="2"/>
    <n v="1"/>
    <n v="86"/>
    <n v="1224"/>
    <n v="0"/>
    <n v="4"/>
    <s v="Improved"/>
    <n v="1"/>
  </r>
  <r>
    <s v="ADM-240172"/>
    <d v="2024-01-18T00:00:00"/>
    <d v="2024-01-27T00:00:00"/>
    <x v="0"/>
    <s v="Q1"/>
    <x v="0"/>
    <x v="3"/>
    <x v="1"/>
    <x v="1"/>
    <x v="1"/>
    <x v="0"/>
    <x v="0"/>
    <n v="9"/>
    <m/>
    <n v="8042"/>
    <n v="0"/>
    <n v="4"/>
    <s v="Recovered"/>
    <n v="1"/>
  </r>
  <r>
    <s v="ADM-240173"/>
    <d v="2024-01-18T00:00:00"/>
    <d v="2024-01-25T00:00:00"/>
    <x v="0"/>
    <s v="Q1"/>
    <x v="0"/>
    <x v="3"/>
    <x v="0"/>
    <x v="0"/>
    <x v="1"/>
    <x v="4"/>
    <x v="2"/>
    <n v="7"/>
    <n v="35"/>
    <n v="3471"/>
    <n v="0"/>
    <n v="5"/>
    <s v="Recovered"/>
    <n v="1"/>
  </r>
  <r>
    <s v="ADM-240174"/>
    <d v="2024-01-18T00:00:00"/>
    <d v="2024-01-22T00:00:00"/>
    <x v="0"/>
    <s v="Q1"/>
    <x v="0"/>
    <x v="3"/>
    <x v="1"/>
    <x v="2"/>
    <x v="0"/>
    <x v="2"/>
    <x v="0"/>
    <n v="4"/>
    <m/>
    <n v="4878"/>
    <n v="0"/>
    <n v="4"/>
    <s v="Recovered"/>
    <n v="1"/>
  </r>
  <r>
    <s v="ADM-240175"/>
    <d v="2024-01-18T00:00:00"/>
    <d v="2024-01-23T00:00:00"/>
    <x v="0"/>
    <s v="Q1"/>
    <x v="0"/>
    <x v="3"/>
    <x v="0"/>
    <x v="0"/>
    <x v="1"/>
    <x v="2"/>
    <x v="2"/>
    <n v="5"/>
    <n v="25"/>
    <n v="4314"/>
    <n v="0"/>
    <n v="5"/>
    <s v="Improved"/>
    <n v="1"/>
  </r>
  <r>
    <s v="ADM-240176"/>
    <d v="2024-01-18T00:00:00"/>
    <d v="2024-01-19T00:00:00"/>
    <x v="0"/>
    <s v="Q1"/>
    <x v="0"/>
    <x v="3"/>
    <x v="4"/>
    <x v="2"/>
    <x v="0"/>
    <x v="4"/>
    <x v="0"/>
    <n v="1"/>
    <m/>
    <n v="1505"/>
    <n v="0"/>
    <n v="4"/>
    <s v="Recovered"/>
    <n v="1"/>
  </r>
  <r>
    <s v="ADM-240177"/>
    <d v="2024-01-18T00:00:00"/>
    <d v="2024-01-25T00:00:00"/>
    <x v="0"/>
    <s v="Q1"/>
    <x v="0"/>
    <x v="3"/>
    <x v="0"/>
    <x v="0"/>
    <x v="1"/>
    <x v="0"/>
    <x v="2"/>
    <n v="7"/>
    <n v="108"/>
    <n v="4885"/>
    <n v="0"/>
    <n v="4"/>
    <s v="Recovered"/>
    <n v="1"/>
  </r>
  <r>
    <s v="ADM-240178"/>
    <d v="2024-01-18T00:00:00"/>
    <d v="2024-01-20T00:00:00"/>
    <x v="0"/>
    <s v="Q1"/>
    <x v="0"/>
    <x v="3"/>
    <x v="3"/>
    <x v="0"/>
    <x v="0"/>
    <x v="3"/>
    <x v="0"/>
    <n v="2"/>
    <n v="43"/>
    <n v="2325"/>
    <n v="0"/>
    <n v="3"/>
    <s v="Improved"/>
    <n v="1"/>
  </r>
  <r>
    <s v="ADM-240179"/>
    <d v="2024-01-18T00:00:00"/>
    <d v="2024-01-22T00:00:00"/>
    <x v="0"/>
    <s v="Q1"/>
    <x v="0"/>
    <x v="3"/>
    <x v="3"/>
    <x v="2"/>
    <x v="0"/>
    <x v="3"/>
    <x v="1"/>
    <n v="4"/>
    <m/>
    <n v="2770"/>
    <n v="0"/>
    <n v="5"/>
    <s v="Recovered"/>
    <n v="1"/>
  </r>
  <r>
    <s v="ADM-240180"/>
    <d v="2024-01-18T00:00:00"/>
    <d v="2024-01-23T00:00:00"/>
    <x v="0"/>
    <s v="Q1"/>
    <x v="0"/>
    <x v="3"/>
    <x v="0"/>
    <x v="0"/>
    <x v="1"/>
    <x v="0"/>
    <x v="0"/>
    <n v="5"/>
    <n v="49"/>
    <n v="3386"/>
    <n v="1"/>
    <n v="5"/>
    <s v="Recovered"/>
    <n v="1"/>
  </r>
  <r>
    <s v="ADM-240181"/>
    <d v="2024-01-18T00:00:00"/>
    <d v="2024-01-20T00:00:00"/>
    <x v="0"/>
    <s v="Q1"/>
    <x v="0"/>
    <x v="3"/>
    <x v="1"/>
    <x v="2"/>
    <x v="0"/>
    <x v="1"/>
    <x v="2"/>
    <n v="2"/>
    <m/>
    <n v="2899"/>
    <n v="0"/>
    <n v="4"/>
    <s v="Recovered"/>
    <n v="1"/>
  </r>
  <r>
    <s v="ADM-240182"/>
    <d v="2024-01-18T00:00:00"/>
    <d v="2024-01-20T00:00:00"/>
    <x v="0"/>
    <s v="Q1"/>
    <x v="0"/>
    <x v="3"/>
    <x v="3"/>
    <x v="0"/>
    <x v="1"/>
    <x v="3"/>
    <x v="1"/>
    <n v="2"/>
    <n v="77"/>
    <n v="1833"/>
    <n v="1"/>
    <n v="3"/>
    <s v="Improved"/>
    <n v="1"/>
  </r>
  <r>
    <s v="ADM-240183"/>
    <d v="2024-01-18T00:00:00"/>
    <d v="2024-01-22T00:00:00"/>
    <x v="0"/>
    <s v="Q1"/>
    <x v="0"/>
    <x v="3"/>
    <x v="5"/>
    <x v="2"/>
    <x v="0"/>
    <x v="2"/>
    <x v="0"/>
    <n v="4"/>
    <m/>
    <n v="2892"/>
    <n v="0"/>
    <n v="5"/>
    <s v="Recovered"/>
    <n v="1"/>
  </r>
  <r>
    <s v="ADM-240184"/>
    <d v="2024-01-18T00:00:00"/>
    <d v="2024-01-23T00:00:00"/>
    <x v="0"/>
    <s v="Q1"/>
    <x v="0"/>
    <x v="3"/>
    <x v="3"/>
    <x v="0"/>
    <x v="0"/>
    <x v="3"/>
    <x v="1"/>
    <n v="5"/>
    <n v="231"/>
    <n v="3756"/>
    <n v="0"/>
    <n v="4"/>
    <s v="Recovered"/>
    <n v="1"/>
  </r>
  <r>
    <s v="ADM-240185"/>
    <d v="2024-01-18T00:00:00"/>
    <d v="2024-01-21T00:00:00"/>
    <x v="0"/>
    <s v="Q1"/>
    <x v="0"/>
    <x v="3"/>
    <x v="0"/>
    <x v="0"/>
    <x v="1"/>
    <x v="2"/>
    <x v="0"/>
    <n v="3"/>
    <n v="77"/>
    <n v="2379"/>
    <n v="1"/>
    <n v="2"/>
    <s v="Improved"/>
    <n v="1"/>
  </r>
  <r>
    <s v="ADM-240186"/>
    <d v="2024-01-19T00:00:00"/>
    <d v="2024-02-06T00:00:00"/>
    <x v="0"/>
    <s v="Q1"/>
    <x v="0"/>
    <x v="4"/>
    <x v="0"/>
    <x v="1"/>
    <x v="1"/>
    <x v="0"/>
    <x v="2"/>
    <n v="18"/>
    <m/>
    <n v="12762"/>
    <n v="0"/>
    <n v="4"/>
    <s v="Improved"/>
    <n v="1"/>
  </r>
  <r>
    <s v="ADM-240187"/>
    <d v="2024-01-19T00:00:00"/>
    <d v="2024-02-03T00:00:00"/>
    <x v="0"/>
    <s v="Q1"/>
    <x v="0"/>
    <x v="4"/>
    <x v="0"/>
    <x v="1"/>
    <x v="0"/>
    <x v="0"/>
    <x v="1"/>
    <n v="15"/>
    <m/>
    <n v="8330"/>
    <n v="0"/>
    <n v="5"/>
    <s v="Improved"/>
    <n v="1"/>
  </r>
  <r>
    <s v="ADM-240188"/>
    <d v="2024-01-19T00:00:00"/>
    <d v="2024-01-21T00:00:00"/>
    <x v="0"/>
    <s v="Q1"/>
    <x v="0"/>
    <x v="4"/>
    <x v="0"/>
    <x v="0"/>
    <x v="0"/>
    <x v="1"/>
    <x v="1"/>
    <n v="2"/>
    <n v="166"/>
    <n v="2561"/>
    <n v="0"/>
    <n v="4"/>
    <s v="Recovered"/>
    <n v="1"/>
  </r>
  <r>
    <s v="ADM-240189"/>
    <d v="2024-01-19T00:00:00"/>
    <d v="2024-01-22T00:00:00"/>
    <x v="0"/>
    <s v="Q1"/>
    <x v="0"/>
    <x v="4"/>
    <x v="1"/>
    <x v="2"/>
    <x v="0"/>
    <x v="4"/>
    <x v="0"/>
    <n v="3"/>
    <m/>
    <n v="3323"/>
    <n v="0"/>
    <n v="4"/>
    <s v="Recovered"/>
    <n v="1"/>
  </r>
  <r>
    <s v="ADM-240190"/>
    <d v="2024-01-19T00:00:00"/>
    <d v="2024-01-25T00:00:00"/>
    <x v="0"/>
    <s v="Q1"/>
    <x v="0"/>
    <x v="4"/>
    <x v="0"/>
    <x v="0"/>
    <x v="0"/>
    <x v="4"/>
    <x v="2"/>
    <n v="6"/>
    <n v="159"/>
    <n v="3267"/>
    <n v="0"/>
    <n v="3"/>
    <s v="Recovered"/>
    <n v="1"/>
  </r>
  <r>
    <s v="ADM-240191"/>
    <d v="2024-01-19T00:00:00"/>
    <d v="2024-01-22T00:00:00"/>
    <x v="0"/>
    <s v="Q1"/>
    <x v="0"/>
    <x v="4"/>
    <x v="0"/>
    <x v="0"/>
    <x v="0"/>
    <x v="4"/>
    <x v="0"/>
    <n v="3"/>
    <n v="144"/>
    <n v="2875"/>
    <n v="0"/>
    <n v="4"/>
    <s v="Improved"/>
    <n v="1"/>
  </r>
  <r>
    <s v="ADM-240192"/>
    <d v="2024-01-19T00:00:00"/>
    <d v="2024-01-20T00:00:00"/>
    <x v="0"/>
    <s v="Q1"/>
    <x v="0"/>
    <x v="4"/>
    <x v="2"/>
    <x v="0"/>
    <x v="0"/>
    <x v="1"/>
    <x v="0"/>
    <n v="1"/>
    <n v="66"/>
    <n v="1405"/>
    <n v="0"/>
    <n v="5"/>
    <s v="Recovered"/>
    <n v="1"/>
  </r>
  <r>
    <s v="ADM-240193"/>
    <d v="2024-01-19T00:00:00"/>
    <d v="2024-01-24T00:00:00"/>
    <x v="0"/>
    <s v="Q1"/>
    <x v="0"/>
    <x v="4"/>
    <x v="2"/>
    <x v="0"/>
    <x v="0"/>
    <x v="2"/>
    <x v="2"/>
    <n v="5"/>
    <n v="56"/>
    <n v="4254"/>
    <n v="0"/>
    <n v="4"/>
    <s v="Recovered"/>
    <n v="1"/>
  </r>
  <r>
    <s v="ADM-240194"/>
    <d v="2024-01-19T00:00:00"/>
    <d v="2024-01-20T00:00:00"/>
    <x v="0"/>
    <s v="Q1"/>
    <x v="0"/>
    <x v="4"/>
    <x v="0"/>
    <x v="0"/>
    <x v="0"/>
    <x v="1"/>
    <x v="2"/>
    <n v="1"/>
    <n v="151"/>
    <n v="1496"/>
    <n v="0"/>
    <n v="3"/>
    <s v="Recovered"/>
    <n v="1"/>
  </r>
  <r>
    <s v="ADM-240195"/>
    <d v="2024-01-19T00:00:00"/>
    <d v="2024-01-23T00:00:00"/>
    <x v="0"/>
    <s v="Q1"/>
    <x v="0"/>
    <x v="4"/>
    <x v="2"/>
    <x v="2"/>
    <x v="0"/>
    <x v="2"/>
    <x v="2"/>
    <n v="4"/>
    <m/>
    <n v="2392"/>
    <n v="0"/>
    <n v="4"/>
    <s v="Recovered"/>
    <n v="1"/>
  </r>
  <r>
    <s v="ADM-240196"/>
    <d v="2024-01-19T00:00:00"/>
    <d v="2024-02-01T00:00:00"/>
    <x v="0"/>
    <s v="Q1"/>
    <x v="0"/>
    <x v="4"/>
    <x v="0"/>
    <x v="1"/>
    <x v="0"/>
    <x v="2"/>
    <x v="2"/>
    <n v="13"/>
    <m/>
    <n v="10114"/>
    <n v="1"/>
    <n v="5"/>
    <s v="Improved"/>
    <n v="1"/>
  </r>
  <r>
    <s v="ADM-240197"/>
    <d v="2024-01-20T00:00:00"/>
    <d v="2024-01-25T00:00:00"/>
    <x v="0"/>
    <s v="Q1"/>
    <x v="0"/>
    <x v="5"/>
    <x v="4"/>
    <x v="0"/>
    <x v="1"/>
    <x v="1"/>
    <x v="2"/>
    <n v="5"/>
    <n v="187"/>
    <n v="6904"/>
    <n v="0"/>
    <n v="2"/>
    <s v="Recovered"/>
    <n v="1"/>
  </r>
  <r>
    <s v="ADM-240198"/>
    <d v="2024-01-20T00:00:00"/>
    <d v="2024-01-28T00:00:00"/>
    <x v="0"/>
    <s v="Q1"/>
    <x v="0"/>
    <x v="5"/>
    <x v="4"/>
    <x v="0"/>
    <x v="1"/>
    <x v="1"/>
    <x v="2"/>
    <n v="8"/>
    <n v="79"/>
    <n v="6213"/>
    <n v="1"/>
    <n v="3"/>
    <s v="Recovered"/>
    <n v="1"/>
  </r>
  <r>
    <s v="ADM-240199"/>
    <d v="2024-01-20T00:00:00"/>
    <d v="2024-01-24T00:00:00"/>
    <x v="0"/>
    <s v="Q1"/>
    <x v="0"/>
    <x v="5"/>
    <x v="1"/>
    <x v="0"/>
    <x v="0"/>
    <x v="0"/>
    <x v="0"/>
    <n v="4"/>
    <n v="28"/>
    <n v="5260"/>
    <n v="1"/>
    <n v="5"/>
    <s v="Recovered"/>
    <n v="1"/>
  </r>
  <r>
    <s v="ADM-240200"/>
    <d v="2024-01-20T00:00:00"/>
    <d v="2024-01-25T00:00:00"/>
    <x v="0"/>
    <s v="Q1"/>
    <x v="0"/>
    <x v="5"/>
    <x v="5"/>
    <x v="0"/>
    <x v="0"/>
    <x v="0"/>
    <x v="0"/>
    <n v="5"/>
    <n v="15"/>
    <n v="5388"/>
    <n v="1"/>
    <n v="5"/>
    <s v="Improved"/>
    <n v="1"/>
  </r>
  <r>
    <s v="ADM-240201"/>
    <d v="2024-01-20T00:00:00"/>
    <d v="2024-01-23T00:00:00"/>
    <x v="0"/>
    <s v="Q1"/>
    <x v="0"/>
    <x v="5"/>
    <x v="0"/>
    <x v="0"/>
    <x v="0"/>
    <x v="0"/>
    <x v="2"/>
    <n v="3"/>
    <n v="71"/>
    <n v="2183"/>
    <n v="0"/>
    <n v="4"/>
    <s v="Recovered"/>
    <n v="1"/>
  </r>
  <r>
    <s v="ADM-240202"/>
    <d v="2024-01-20T00:00:00"/>
    <d v="2024-01-23T00:00:00"/>
    <x v="0"/>
    <s v="Q1"/>
    <x v="0"/>
    <x v="5"/>
    <x v="1"/>
    <x v="0"/>
    <x v="0"/>
    <x v="4"/>
    <x v="2"/>
    <n v="3"/>
    <n v="111"/>
    <n v="3770"/>
    <n v="1"/>
    <n v="3"/>
    <s v="Recovered"/>
    <n v="1"/>
  </r>
  <r>
    <s v="ADM-240203"/>
    <d v="2024-01-20T00:00:00"/>
    <d v="2024-01-21T00:00:00"/>
    <x v="0"/>
    <s v="Q1"/>
    <x v="0"/>
    <x v="5"/>
    <x v="2"/>
    <x v="2"/>
    <x v="0"/>
    <x v="1"/>
    <x v="0"/>
    <n v="1"/>
    <m/>
    <n v="842"/>
    <n v="0"/>
    <n v="3"/>
    <s v="Recovered"/>
    <n v="1"/>
  </r>
  <r>
    <s v="ADM-240204"/>
    <d v="2024-01-20T00:00:00"/>
    <d v="2024-01-21T00:00:00"/>
    <x v="0"/>
    <s v="Q1"/>
    <x v="0"/>
    <x v="5"/>
    <x v="1"/>
    <x v="2"/>
    <x v="0"/>
    <x v="1"/>
    <x v="2"/>
    <n v="1"/>
    <m/>
    <n v="1935"/>
    <n v="0"/>
    <n v="4"/>
    <s v="Recovered"/>
    <n v="1"/>
  </r>
  <r>
    <s v="ADM-240205"/>
    <d v="2024-01-21T00:00:00"/>
    <d v="2024-01-28T00:00:00"/>
    <x v="0"/>
    <s v="Q1"/>
    <x v="0"/>
    <x v="6"/>
    <x v="0"/>
    <x v="2"/>
    <x v="0"/>
    <x v="4"/>
    <x v="0"/>
    <n v="7"/>
    <m/>
    <n v="5334"/>
    <n v="0"/>
    <n v="4"/>
    <s v="Recovered"/>
    <n v="1"/>
  </r>
  <r>
    <s v="ADM-240206"/>
    <d v="2024-01-21T00:00:00"/>
    <d v="2024-01-22T00:00:00"/>
    <x v="0"/>
    <s v="Q1"/>
    <x v="0"/>
    <x v="6"/>
    <x v="0"/>
    <x v="2"/>
    <x v="1"/>
    <x v="1"/>
    <x v="0"/>
    <n v="1"/>
    <m/>
    <n v="818"/>
    <n v="0"/>
    <n v="4"/>
    <s v="Improved"/>
    <n v="1"/>
  </r>
  <r>
    <s v="ADM-240207"/>
    <d v="2024-01-21T00:00:00"/>
    <d v="2024-01-23T00:00:00"/>
    <x v="0"/>
    <s v="Q1"/>
    <x v="0"/>
    <x v="6"/>
    <x v="0"/>
    <x v="2"/>
    <x v="1"/>
    <x v="1"/>
    <x v="0"/>
    <n v="2"/>
    <m/>
    <n v="2378"/>
    <n v="0"/>
    <n v="4"/>
    <s v="Recovered"/>
    <n v="1"/>
  </r>
  <r>
    <s v="ADM-240208"/>
    <d v="2024-01-21T00:00:00"/>
    <d v="2024-01-22T00:00:00"/>
    <x v="0"/>
    <s v="Q1"/>
    <x v="0"/>
    <x v="6"/>
    <x v="4"/>
    <x v="0"/>
    <x v="0"/>
    <x v="0"/>
    <x v="0"/>
    <n v="1"/>
    <n v="66"/>
    <n v="1432"/>
    <n v="1"/>
    <n v="3"/>
    <s v="Improved"/>
    <n v="1"/>
  </r>
  <r>
    <s v="ADM-240209"/>
    <d v="2024-01-21T00:00:00"/>
    <d v="2024-01-25T00:00:00"/>
    <x v="0"/>
    <s v="Q1"/>
    <x v="0"/>
    <x v="6"/>
    <x v="1"/>
    <x v="2"/>
    <x v="0"/>
    <x v="0"/>
    <x v="2"/>
    <n v="4"/>
    <m/>
    <n v="4028"/>
    <n v="0"/>
    <n v="4"/>
    <s v="Recovered"/>
    <n v="1"/>
  </r>
  <r>
    <s v="ADM-240210"/>
    <d v="2024-01-21T00:00:00"/>
    <d v="2024-01-22T00:00:00"/>
    <x v="0"/>
    <s v="Q1"/>
    <x v="0"/>
    <x v="6"/>
    <x v="2"/>
    <x v="0"/>
    <x v="0"/>
    <x v="1"/>
    <x v="2"/>
    <n v="1"/>
    <n v="147"/>
    <n v="1678"/>
    <n v="0"/>
    <n v="3"/>
    <s v="Recovered"/>
    <n v="1"/>
  </r>
  <r>
    <s v="ADM-240211"/>
    <d v="2024-01-21T00:00:00"/>
    <d v="2024-01-27T00:00:00"/>
    <x v="0"/>
    <s v="Q1"/>
    <x v="0"/>
    <x v="6"/>
    <x v="3"/>
    <x v="0"/>
    <x v="0"/>
    <x v="3"/>
    <x v="0"/>
    <n v="6"/>
    <n v="121"/>
    <n v="3242"/>
    <n v="0"/>
    <n v="3"/>
    <s v="Recovered"/>
    <n v="1"/>
  </r>
  <r>
    <s v="ADM-240212"/>
    <d v="2024-01-21T00:00:00"/>
    <d v="2024-01-29T00:00:00"/>
    <x v="0"/>
    <s v="Q1"/>
    <x v="0"/>
    <x v="6"/>
    <x v="3"/>
    <x v="2"/>
    <x v="1"/>
    <x v="3"/>
    <x v="0"/>
    <n v="8"/>
    <m/>
    <n v="6216"/>
    <n v="0"/>
    <n v="4"/>
    <s v="Improved"/>
    <n v="1"/>
  </r>
  <r>
    <s v="ADM-240213"/>
    <d v="2024-01-22T00:00:00"/>
    <d v="2024-01-24T00:00:00"/>
    <x v="0"/>
    <s v="Q1"/>
    <x v="0"/>
    <x v="0"/>
    <x v="0"/>
    <x v="0"/>
    <x v="1"/>
    <x v="4"/>
    <x v="1"/>
    <n v="2"/>
    <n v="124"/>
    <n v="1576"/>
    <n v="0"/>
    <n v="3"/>
    <s v="Improved"/>
    <n v="1"/>
  </r>
  <r>
    <s v="ADM-240214"/>
    <d v="2024-01-22T00:00:00"/>
    <d v="2024-01-25T00:00:00"/>
    <x v="0"/>
    <s v="Q1"/>
    <x v="0"/>
    <x v="0"/>
    <x v="4"/>
    <x v="0"/>
    <x v="0"/>
    <x v="0"/>
    <x v="0"/>
    <n v="3"/>
    <n v="97"/>
    <n v="4888"/>
    <n v="0"/>
    <n v="3"/>
    <s v="Recovered"/>
    <n v="1"/>
  </r>
  <r>
    <s v="ADM-240215"/>
    <d v="2024-01-22T00:00:00"/>
    <d v="2024-01-23T00:00:00"/>
    <x v="0"/>
    <s v="Q1"/>
    <x v="0"/>
    <x v="0"/>
    <x v="2"/>
    <x v="2"/>
    <x v="0"/>
    <x v="1"/>
    <x v="2"/>
    <n v="1"/>
    <m/>
    <n v="1570"/>
    <n v="0"/>
    <n v="5"/>
    <s v="Recovered"/>
    <n v="1"/>
  </r>
  <r>
    <s v="ADM-240216"/>
    <d v="2024-01-22T00:00:00"/>
    <d v="2024-01-24T00:00:00"/>
    <x v="0"/>
    <s v="Q1"/>
    <x v="0"/>
    <x v="0"/>
    <x v="3"/>
    <x v="2"/>
    <x v="1"/>
    <x v="3"/>
    <x v="2"/>
    <n v="2"/>
    <m/>
    <n v="2213"/>
    <n v="0"/>
    <n v="5"/>
    <s v="Improved"/>
    <n v="1"/>
  </r>
  <r>
    <s v="ADM-240217"/>
    <d v="2024-01-22T00:00:00"/>
    <d v="2024-01-26T00:00:00"/>
    <x v="0"/>
    <s v="Q1"/>
    <x v="0"/>
    <x v="0"/>
    <x v="3"/>
    <x v="2"/>
    <x v="0"/>
    <x v="3"/>
    <x v="2"/>
    <n v="4"/>
    <m/>
    <n v="3428"/>
    <n v="0"/>
    <n v="4"/>
    <s v="Improved"/>
    <n v="1"/>
  </r>
  <r>
    <s v="ADM-240218"/>
    <d v="2024-01-22T00:00:00"/>
    <d v="2024-02-01T00:00:00"/>
    <x v="0"/>
    <s v="Q1"/>
    <x v="0"/>
    <x v="0"/>
    <x v="0"/>
    <x v="0"/>
    <x v="1"/>
    <x v="1"/>
    <x v="0"/>
    <n v="10"/>
    <n v="99"/>
    <n v="6509"/>
    <n v="0"/>
    <n v="3"/>
    <s v="Improved"/>
    <n v="1"/>
  </r>
  <r>
    <s v="ADM-240219"/>
    <d v="2024-01-22T00:00:00"/>
    <d v="2024-01-25T00:00:00"/>
    <x v="0"/>
    <s v="Q1"/>
    <x v="0"/>
    <x v="0"/>
    <x v="5"/>
    <x v="2"/>
    <x v="1"/>
    <x v="4"/>
    <x v="0"/>
    <n v="3"/>
    <m/>
    <n v="4118"/>
    <n v="0"/>
    <n v="4"/>
    <s v="Improved"/>
    <n v="1"/>
  </r>
  <r>
    <s v="ADM-240220"/>
    <d v="2024-01-22T00:00:00"/>
    <d v="2024-01-29T00:00:00"/>
    <x v="0"/>
    <s v="Q1"/>
    <x v="0"/>
    <x v="0"/>
    <x v="1"/>
    <x v="2"/>
    <x v="0"/>
    <x v="0"/>
    <x v="1"/>
    <n v="7"/>
    <m/>
    <n v="7243"/>
    <n v="0"/>
    <n v="4"/>
    <s v="Recovered"/>
    <n v="1"/>
  </r>
  <r>
    <s v="ADM-240221"/>
    <d v="2024-01-22T00:00:00"/>
    <d v="2024-01-28T00:00:00"/>
    <x v="0"/>
    <s v="Q1"/>
    <x v="0"/>
    <x v="0"/>
    <x v="5"/>
    <x v="2"/>
    <x v="0"/>
    <x v="4"/>
    <x v="2"/>
    <n v="6"/>
    <m/>
    <n v="6496"/>
    <n v="0"/>
    <n v="4"/>
    <s v="Recovered"/>
    <n v="1"/>
  </r>
  <r>
    <s v="ADM-240222"/>
    <d v="2024-01-23T00:00:00"/>
    <d v="2024-01-26T00:00:00"/>
    <x v="0"/>
    <s v="Q1"/>
    <x v="0"/>
    <x v="1"/>
    <x v="3"/>
    <x v="0"/>
    <x v="1"/>
    <x v="3"/>
    <x v="0"/>
    <n v="3"/>
    <n v="102"/>
    <n v="1837"/>
    <n v="1"/>
    <n v="3"/>
    <s v="Recovered"/>
    <n v="1"/>
  </r>
  <r>
    <s v="ADM-240223"/>
    <d v="2024-01-23T00:00:00"/>
    <d v="2024-01-26T00:00:00"/>
    <x v="0"/>
    <s v="Q1"/>
    <x v="0"/>
    <x v="1"/>
    <x v="4"/>
    <x v="2"/>
    <x v="1"/>
    <x v="1"/>
    <x v="2"/>
    <n v="3"/>
    <m/>
    <n v="4278"/>
    <n v="0"/>
    <n v="5"/>
    <s v="Recovered"/>
    <n v="1"/>
  </r>
  <r>
    <s v="ADM-240224"/>
    <d v="2024-01-23T00:00:00"/>
    <d v="2024-01-26T00:00:00"/>
    <x v="0"/>
    <s v="Q1"/>
    <x v="0"/>
    <x v="1"/>
    <x v="1"/>
    <x v="0"/>
    <x v="1"/>
    <x v="0"/>
    <x v="0"/>
    <n v="3"/>
    <n v="80"/>
    <n v="4511"/>
    <n v="0"/>
    <n v="4"/>
    <s v="Recovered"/>
    <n v="1"/>
  </r>
  <r>
    <s v="ADM-240225"/>
    <d v="2024-01-23T00:00:00"/>
    <d v="2024-01-27T00:00:00"/>
    <x v="0"/>
    <s v="Q1"/>
    <x v="0"/>
    <x v="1"/>
    <x v="2"/>
    <x v="0"/>
    <x v="0"/>
    <x v="2"/>
    <x v="2"/>
    <n v="4"/>
    <n v="98"/>
    <n v="2604"/>
    <n v="1"/>
    <n v="4"/>
    <s v="Recovered"/>
    <n v="1"/>
  </r>
  <r>
    <s v="ADM-240226"/>
    <d v="2024-01-23T00:00:00"/>
    <d v="2024-01-25T00:00:00"/>
    <x v="0"/>
    <s v="Q1"/>
    <x v="0"/>
    <x v="1"/>
    <x v="2"/>
    <x v="0"/>
    <x v="0"/>
    <x v="2"/>
    <x v="0"/>
    <n v="2"/>
    <n v="41"/>
    <n v="1895"/>
    <n v="0"/>
    <n v="4"/>
    <s v="Recovered"/>
    <n v="1"/>
  </r>
  <r>
    <s v="ADM-240227"/>
    <d v="2024-01-23T00:00:00"/>
    <d v="2024-01-25T00:00:00"/>
    <x v="0"/>
    <s v="Q1"/>
    <x v="0"/>
    <x v="1"/>
    <x v="2"/>
    <x v="0"/>
    <x v="0"/>
    <x v="2"/>
    <x v="2"/>
    <n v="2"/>
    <n v="108"/>
    <n v="2007"/>
    <n v="0"/>
    <n v="4"/>
    <s v="Recovered"/>
    <n v="1"/>
  </r>
  <r>
    <s v="ADM-240228"/>
    <d v="2024-01-23T00:00:00"/>
    <d v="2024-02-12T00:00:00"/>
    <x v="0"/>
    <s v="Q1"/>
    <x v="0"/>
    <x v="1"/>
    <x v="0"/>
    <x v="1"/>
    <x v="0"/>
    <x v="4"/>
    <x v="0"/>
    <n v="20"/>
    <m/>
    <n v="13127"/>
    <n v="0"/>
    <n v="4"/>
    <s v="Improved"/>
    <n v="1"/>
  </r>
  <r>
    <s v="ADM-240229"/>
    <d v="2024-01-24T00:00:00"/>
    <d v="2024-01-30T00:00:00"/>
    <x v="0"/>
    <s v="Q1"/>
    <x v="0"/>
    <x v="2"/>
    <x v="0"/>
    <x v="0"/>
    <x v="0"/>
    <x v="1"/>
    <x v="2"/>
    <n v="6"/>
    <n v="54"/>
    <n v="4084"/>
    <n v="0"/>
    <n v="4"/>
    <s v="Improved"/>
    <n v="1"/>
  </r>
  <r>
    <s v="ADM-240230"/>
    <d v="2024-01-24T00:00:00"/>
    <d v="2024-01-26T00:00:00"/>
    <x v="0"/>
    <s v="Q1"/>
    <x v="0"/>
    <x v="2"/>
    <x v="2"/>
    <x v="0"/>
    <x v="0"/>
    <x v="2"/>
    <x v="2"/>
    <n v="2"/>
    <n v="120"/>
    <n v="2356"/>
    <n v="0"/>
    <n v="4"/>
    <s v="Improved"/>
    <n v="1"/>
  </r>
  <r>
    <s v="ADM-240231"/>
    <d v="2024-01-24T00:00:00"/>
    <d v="2024-02-06T00:00:00"/>
    <x v="0"/>
    <s v="Q1"/>
    <x v="0"/>
    <x v="2"/>
    <x v="4"/>
    <x v="2"/>
    <x v="0"/>
    <x v="0"/>
    <x v="0"/>
    <n v="13"/>
    <m/>
    <n v="17315"/>
    <n v="0"/>
    <n v="4"/>
    <s v="Recovered"/>
    <n v="1"/>
  </r>
  <r>
    <s v="ADM-240232"/>
    <d v="2024-01-24T00:00:00"/>
    <d v="2024-01-26T00:00:00"/>
    <x v="0"/>
    <s v="Q1"/>
    <x v="0"/>
    <x v="2"/>
    <x v="3"/>
    <x v="0"/>
    <x v="1"/>
    <x v="3"/>
    <x v="0"/>
    <n v="2"/>
    <n v="38"/>
    <n v="2239"/>
    <n v="0"/>
    <n v="5"/>
    <s v="Recovered"/>
    <n v="1"/>
  </r>
  <r>
    <s v="ADM-240233"/>
    <d v="2024-01-24T00:00:00"/>
    <d v="2024-01-25T00:00:00"/>
    <x v="0"/>
    <s v="Q1"/>
    <x v="0"/>
    <x v="2"/>
    <x v="3"/>
    <x v="2"/>
    <x v="0"/>
    <x v="3"/>
    <x v="1"/>
    <n v="1"/>
    <m/>
    <n v="1506"/>
    <n v="0"/>
    <n v="5"/>
    <s v="Recovered"/>
    <n v="1"/>
  </r>
  <r>
    <s v="ADM-240234"/>
    <d v="2024-01-24T00:00:00"/>
    <d v="2024-01-25T00:00:00"/>
    <x v="0"/>
    <s v="Q1"/>
    <x v="0"/>
    <x v="2"/>
    <x v="2"/>
    <x v="0"/>
    <x v="0"/>
    <x v="1"/>
    <x v="0"/>
    <n v="1"/>
    <n v="44"/>
    <n v="1598"/>
    <n v="0"/>
    <n v="4"/>
    <s v="Recovered"/>
    <n v="1"/>
  </r>
  <r>
    <s v="ADM-240235"/>
    <d v="2024-01-24T00:00:00"/>
    <d v="2024-01-28T00:00:00"/>
    <x v="0"/>
    <s v="Q1"/>
    <x v="0"/>
    <x v="2"/>
    <x v="3"/>
    <x v="0"/>
    <x v="1"/>
    <x v="3"/>
    <x v="2"/>
    <n v="4"/>
    <n v="90"/>
    <n v="2410"/>
    <n v="0"/>
    <n v="4"/>
    <s v="Recovered"/>
    <n v="1"/>
  </r>
  <r>
    <s v="ADM-240236"/>
    <d v="2024-01-24T00:00:00"/>
    <d v="2024-01-27T00:00:00"/>
    <x v="0"/>
    <s v="Q1"/>
    <x v="0"/>
    <x v="2"/>
    <x v="3"/>
    <x v="0"/>
    <x v="0"/>
    <x v="3"/>
    <x v="0"/>
    <n v="3"/>
    <n v="25"/>
    <n v="2527"/>
    <n v="0"/>
    <n v="3"/>
    <s v="Recovered"/>
    <n v="1"/>
  </r>
  <r>
    <s v="ADM-240237"/>
    <d v="2024-01-24T00:00:00"/>
    <d v="2024-01-27T00:00:00"/>
    <x v="0"/>
    <s v="Q1"/>
    <x v="0"/>
    <x v="2"/>
    <x v="0"/>
    <x v="0"/>
    <x v="1"/>
    <x v="4"/>
    <x v="0"/>
    <n v="3"/>
    <n v="61"/>
    <n v="2508"/>
    <n v="0"/>
    <n v="4"/>
    <s v="Recovered"/>
    <n v="1"/>
  </r>
  <r>
    <s v="ADM-240238"/>
    <d v="2024-01-25T00:00:00"/>
    <d v="2024-01-26T00:00:00"/>
    <x v="0"/>
    <s v="Q1"/>
    <x v="0"/>
    <x v="3"/>
    <x v="3"/>
    <x v="2"/>
    <x v="1"/>
    <x v="3"/>
    <x v="2"/>
    <n v="1"/>
    <m/>
    <n v="1003"/>
    <n v="0"/>
    <n v="4"/>
    <s v="Transferred"/>
    <n v="1"/>
  </r>
  <r>
    <s v="ADM-240239"/>
    <d v="2024-01-25T00:00:00"/>
    <d v="2024-01-27T00:00:00"/>
    <x v="0"/>
    <s v="Q1"/>
    <x v="0"/>
    <x v="3"/>
    <x v="1"/>
    <x v="0"/>
    <x v="1"/>
    <x v="4"/>
    <x v="2"/>
    <n v="2"/>
    <n v="80"/>
    <n v="2920"/>
    <n v="0"/>
    <n v="5"/>
    <s v="Recovered"/>
    <n v="1"/>
  </r>
  <r>
    <s v="ADM-240240"/>
    <d v="2024-01-25T00:00:00"/>
    <d v="2024-01-30T00:00:00"/>
    <x v="0"/>
    <s v="Q1"/>
    <x v="0"/>
    <x v="3"/>
    <x v="1"/>
    <x v="2"/>
    <x v="0"/>
    <x v="2"/>
    <x v="2"/>
    <n v="5"/>
    <m/>
    <n v="6915"/>
    <n v="1"/>
    <n v="4"/>
    <s v="Recovered"/>
    <n v="1"/>
  </r>
  <r>
    <s v="ADM-240241"/>
    <d v="2024-01-25T00:00:00"/>
    <d v="2024-01-26T00:00:00"/>
    <x v="0"/>
    <s v="Q1"/>
    <x v="0"/>
    <x v="3"/>
    <x v="3"/>
    <x v="1"/>
    <x v="1"/>
    <x v="3"/>
    <x v="0"/>
    <n v="1"/>
    <m/>
    <n v="1443"/>
    <n v="0"/>
    <n v="4"/>
    <s v="Recovered"/>
    <n v="1"/>
  </r>
  <r>
    <s v="ADM-240242"/>
    <d v="2024-01-25T00:00:00"/>
    <d v="2024-01-29T00:00:00"/>
    <x v="0"/>
    <s v="Q1"/>
    <x v="0"/>
    <x v="3"/>
    <x v="2"/>
    <x v="0"/>
    <x v="0"/>
    <x v="2"/>
    <x v="2"/>
    <n v="4"/>
    <n v="90"/>
    <n v="2390"/>
    <n v="0"/>
    <n v="4"/>
    <s v="Recovered"/>
    <n v="1"/>
  </r>
  <r>
    <s v="ADM-240243"/>
    <d v="2024-01-25T00:00:00"/>
    <d v="2024-02-03T00:00:00"/>
    <x v="0"/>
    <s v="Q1"/>
    <x v="0"/>
    <x v="3"/>
    <x v="1"/>
    <x v="2"/>
    <x v="0"/>
    <x v="2"/>
    <x v="1"/>
    <n v="9"/>
    <m/>
    <n v="8683"/>
    <n v="0"/>
    <n v="4"/>
    <s v="Recovered"/>
    <n v="1"/>
  </r>
  <r>
    <s v="ADM-240244"/>
    <d v="2024-01-25T00:00:00"/>
    <d v="2024-01-31T00:00:00"/>
    <x v="0"/>
    <s v="Q1"/>
    <x v="0"/>
    <x v="3"/>
    <x v="4"/>
    <x v="1"/>
    <x v="0"/>
    <x v="0"/>
    <x v="0"/>
    <n v="6"/>
    <m/>
    <n v="7648"/>
    <n v="0"/>
    <n v="5"/>
    <s v="Improved"/>
    <n v="1"/>
  </r>
  <r>
    <s v="ADM-240245"/>
    <d v="2024-01-25T00:00:00"/>
    <d v="2024-01-27T00:00:00"/>
    <x v="0"/>
    <s v="Q1"/>
    <x v="0"/>
    <x v="3"/>
    <x v="3"/>
    <x v="0"/>
    <x v="0"/>
    <x v="3"/>
    <x v="2"/>
    <n v="2"/>
    <n v="78"/>
    <n v="1479"/>
    <n v="0"/>
    <n v="4"/>
    <s v="Recovered"/>
    <n v="1"/>
  </r>
  <r>
    <s v="ADM-240246"/>
    <d v="2024-01-25T00:00:00"/>
    <d v="2024-02-06T00:00:00"/>
    <x v="0"/>
    <s v="Q1"/>
    <x v="0"/>
    <x v="3"/>
    <x v="0"/>
    <x v="0"/>
    <x v="1"/>
    <x v="0"/>
    <x v="0"/>
    <n v="12"/>
    <n v="60"/>
    <n v="10716"/>
    <n v="0"/>
    <n v="5"/>
    <s v="Recovered"/>
    <n v="1"/>
  </r>
  <r>
    <s v="ADM-240247"/>
    <d v="2024-01-25T00:00:00"/>
    <d v="2024-01-27T00:00:00"/>
    <x v="0"/>
    <s v="Q1"/>
    <x v="0"/>
    <x v="3"/>
    <x v="2"/>
    <x v="0"/>
    <x v="0"/>
    <x v="2"/>
    <x v="0"/>
    <n v="2"/>
    <n v="51"/>
    <n v="1865"/>
    <n v="0"/>
    <n v="4"/>
    <s v="Improved"/>
    <n v="1"/>
  </r>
  <r>
    <s v="ADM-240248"/>
    <d v="2024-01-25T00:00:00"/>
    <d v="2024-01-26T00:00:00"/>
    <x v="0"/>
    <s v="Q1"/>
    <x v="0"/>
    <x v="3"/>
    <x v="4"/>
    <x v="0"/>
    <x v="1"/>
    <x v="4"/>
    <x v="0"/>
    <n v="1"/>
    <n v="17"/>
    <n v="2114"/>
    <n v="0"/>
    <n v="3"/>
    <s v="Transferred"/>
    <n v="1"/>
  </r>
  <r>
    <s v="ADM-240249"/>
    <d v="2024-01-25T00:00:00"/>
    <d v="2024-01-27T00:00:00"/>
    <x v="0"/>
    <s v="Q1"/>
    <x v="0"/>
    <x v="3"/>
    <x v="0"/>
    <x v="1"/>
    <x v="1"/>
    <x v="4"/>
    <x v="2"/>
    <n v="2"/>
    <m/>
    <n v="1714"/>
    <n v="0"/>
    <n v="5"/>
    <s v="Recovered"/>
    <n v="1"/>
  </r>
  <r>
    <s v="ADM-240250"/>
    <d v="2024-01-25T00:00:00"/>
    <d v="2024-01-29T00:00:00"/>
    <x v="0"/>
    <s v="Q1"/>
    <x v="0"/>
    <x v="3"/>
    <x v="3"/>
    <x v="0"/>
    <x v="0"/>
    <x v="3"/>
    <x v="0"/>
    <n v="4"/>
    <n v="68"/>
    <n v="3313"/>
    <n v="0"/>
    <n v="5"/>
    <s v="Recovered"/>
    <n v="1"/>
  </r>
  <r>
    <s v="ADM-240251"/>
    <d v="2024-01-25T00:00:00"/>
    <d v="2024-01-28T00:00:00"/>
    <x v="0"/>
    <s v="Q1"/>
    <x v="0"/>
    <x v="3"/>
    <x v="3"/>
    <x v="0"/>
    <x v="0"/>
    <x v="3"/>
    <x v="2"/>
    <n v="3"/>
    <n v="75"/>
    <n v="2711"/>
    <n v="0"/>
    <n v="4"/>
    <s v="Recovered"/>
    <n v="1"/>
  </r>
  <r>
    <s v="ADM-240252"/>
    <d v="2024-01-25T00:00:00"/>
    <d v="2024-01-31T00:00:00"/>
    <x v="0"/>
    <s v="Q1"/>
    <x v="0"/>
    <x v="3"/>
    <x v="0"/>
    <x v="0"/>
    <x v="1"/>
    <x v="0"/>
    <x v="2"/>
    <n v="6"/>
    <n v="109"/>
    <n v="5618"/>
    <n v="0"/>
    <n v="4"/>
    <s v="Recovered"/>
    <n v="1"/>
  </r>
  <r>
    <s v="ADM-240253"/>
    <d v="2024-01-26T00:00:00"/>
    <d v="2024-01-31T00:00:00"/>
    <x v="0"/>
    <s v="Q1"/>
    <x v="0"/>
    <x v="4"/>
    <x v="5"/>
    <x v="2"/>
    <x v="0"/>
    <x v="0"/>
    <x v="0"/>
    <n v="5"/>
    <m/>
    <n v="4311"/>
    <n v="0"/>
    <n v="4"/>
    <s v="Improved"/>
    <n v="1"/>
  </r>
  <r>
    <s v="ADM-240254"/>
    <d v="2024-01-26T00:00:00"/>
    <d v="2024-02-01T00:00:00"/>
    <x v="0"/>
    <s v="Q1"/>
    <x v="0"/>
    <x v="4"/>
    <x v="5"/>
    <x v="2"/>
    <x v="0"/>
    <x v="0"/>
    <x v="2"/>
    <n v="6"/>
    <m/>
    <n v="6214"/>
    <n v="0"/>
    <n v="5"/>
    <s v="Improved"/>
    <n v="1"/>
  </r>
  <r>
    <s v="ADM-240255"/>
    <d v="2024-01-26T00:00:00"/>
    <d v="2024-02-05T00:00:00"/>
    <x v="0"/>
    <s v="Q1"/>
    <x v="0"/>
    <x v="4"/>
    <x v="0"/>
    <x v="2"/>
    <x v="1"/>
    <x v="4"/>
    <x v="2"/>
    <n v="10"/>
    <m/>
    <n v="6056"/>
    <n v="0"/>
    <n v="4"/>
    <s v="Transferred"/>
    <n v="1"/>
  </r>
  <r>
    <s v="ADM-240256"/>
    <d v="2024-01-26T00:00:00"/>
    <d v="2024-01-30T00:00:00"/>
    <x v="0"/>
    <s v="Q1"/>
    <x v="0"/>
    <x v="4"/>
    <x v="5"/>
    <x v="2"/>
    <x v="0"/>
    <x v="4"/>
    <x v="0"/>
    <n v="4"/>
    <m/>
    <n v="4582"/>
    <n v="0"/>
    <n v="5"/>
    <s v="Recovered"/>
    <n v="1"/>
  </r>
  <r>
    <s v="ADM-240257"/>
    <d v="2024-01-26T00:00:00"/>
    <d v="2024-02-02T00:00:00"/>
    <x v="0"/>
    <s v="Q1"/>
    <x v="0"/>
    <x v="4"/>
    <x v="5"/>
    <x v="1"/>
    <x v="0"/>
    <x v="4"/>
    <x v="2"/>
    <n v="7"/>
    <m/>
    <n v="7418"/>
    <n v="0"/>
    <n v="3"/>
    <s v="Improved"/>
    <n v="1"/>
  </r>
  <r>
    <s v="ADM-240258"/>
    <d v="2024-01-26T00:00:00"/>
    <d v="2024-01-29T00:00:00"/>
    <x v="0"/>
    <s v="Q1"/>
    <x v="0"/>
    <x v="4"/>
    <x v="3"/>
    <x v="0"/>
    <x v="0"/>
    <x v="3"/>
    <x v="2"/>
    <n v="3"/>
    <n v="74"/>
    <n v="2020"/>
    <n v="0"/>
    <n v="4"/>
    <s v="Improved"/>
    <n v="1"/>
  </r>
  <r>
    <s v="ADM-240259"/>
    <d v="2024-01-27T00:00:00"/>
    <d v="2024-01-28T00:00:00"/>
    <x v="0"/>
    <s v="Q1"/>
    <x v="0"/>
    <x v="5"/>
    <x v="4"/>
    <x v="0"/>
    <x v="1"/>
    <x v="1"/>
    <x v="2"/>
    <n v="1"/>
    <n v="121"/>
    <n v="2272"/>
    <n v="0"/>
    <n v="4"/>
    <s v="Recovered"/>
    <n v="1"/>
  </r>
  <r>
    <s v="ADM-240260"/>
    <d v="2024-01-27T00:00:00"/>
    <d v="2024-02-05T00:00:00"/>
    <x v="0"/>
    <s v="Q1"/>
    <x v="0"/>
    <x v="5"/>
    <x v="2"/>
    <x v="0"/>
    <x v="0"/>
    <x v="2"/>
    <x v="1"/>
    <n v="9"/>
    <n v="124"/>
    <n v="6292"/>
    <n v="0"/>
    <n v="5"/>
    <s v="Recovered"/>
    <n v="1"/>
  </r>
  <r>
    <s v="ADM-240261"/>
    <d v="2024-01-27T00:00:00"/>
    <d v="2024-01-31T00:00:00"/>
    <x v="0"/>
    <s v="Q1"/>
    <x v="0"/>
    <x v="5"/>
    <x v="2"/>
    <x v="0"/>
    <x v="0"/>
    <x v="1"/>
    <x v="2"/>
    <n v="4"/>
    <n v="103"/>
    <n v="2888"/>
    <n v="0"/>
    <n v="4"/>
    <s v="Recovered"/>
    <n v="1"/>
  </r>
  <r>
    <s v="ADM-240262"/>
    <d v="2024-01-27T00:00:00"/>
    <d v="2024-02-03T00:00:00"/>
    <x v="0"/>
    <s v="Q1"/>
    <x v="0"/>
    <x v="5"/>
    <x v="2"/>
    <x v="0"/>
    <x v="0"/>
    <x v="1"/>
    <x v="2"/>
    <n v="7"/>
    <n v="56"/>
    <n v="3888"/>
    <n v="0"/>
    <n v="5"/>
    <s v="Recovered"/>
    <n v="1"/>
  </r>
  <r>
    <s v="ADM-240263"/>
    <d v="2024-01-27T00:00:00"/>
    <d v="2024-01-29T00:00:00"/>
    <x v="0"/>
    <s v="Q1"/>
    <x v="0"/>
    <x v="5"/>
    <x v="3"/>
    <x v="0"/>
    <x v="1"/>
    <x v="3"/>
    <x v="2"/>
    <n v="2"/>
    <n v="28"/>
    <n v="2161"/>
    <n v="0"/>
    <n v="3"/>
    <s v="Recovered"/>
    <n v="1"/>
  </r>
  <r>
    <s v="ADM-240264"/>
    <d v="2024-01-27T00:00:00"/>
    <d v="2024-02-03T00:00:00"/>
    <x v="0"/>
    <s v="Q1"/>
    <x v="0"/>
    <x v="5"/>
    <x v="4"/>
    <x v="0"/>
    <x v="0"/>
    <x v="4"/>
    <x v="0"/>
    <n v="7"/>
    <n v="172"/>
    <n v="9514"/>
    <n v="0"/>
    <n v="4"/>
    <s v="Recovered"/>
    <n v="1"/>
  </r>
  <r>
    <s v="ADM-240265"/>
    <d v="2024-01-27T00:00:00"/>
    <d v="2024-02-03T00:00:00"/>
    <x v="0"/>
    <s v="Q1"/>
    <x v="0"/>
    <x v="5"/>
    <x v="5"/>
    <x v="2"/>
    <x v="0"/>
    <x v="2"/>
    <x v="0"/>
    <n v="7"/>
    <m/>
    <n v="9411"/>
    <n v="0"/>
    <n v="4"/>
    <s v="Recovered"/>
    <n v="1"/>
  </r>
  <r>
    <s v="ADM-240266"/>
    <d v="2024-01-27T00:00:00"/>
    <d v="2024-01-28T00:00:00"/>
    <x v="0"/>
    <s v="Q1"/>
    <x v="0"/>
    <x v="5"/>
    <x v="1"/>
    <x v="2"/>
    <x v="1"/>
    <x v="4"/>
    <x v="2"/>
    <n v="1"/>
    <m/>
    <n v="2008"/>
    <n v="0"/>
    <n v="5"/>
    <s v="Recovered"/>
    <n v="1"/>
  </r>
  <r>
    <s v="ADM-240267"/>
    <d v="2024-01-28T00:00:00"/>
    <d v="2024-02-02T00:00:00"/>
    <x v="0"/>
    <s v="Q1"/>
    <x v="0"/>
    <x v="6"/>
    <x v="0"/>
    <x v="0"/>
    <x v="0"/>
    <x v="4"/>
    <x v="0"/>
    <n v="5"/>
    <n v="80"/>
    <n v="3883"/>
    <n v="0"/>
    <n v="5"/>
    <s v="Recovered"/>
    <n v="1"/>
  </r>
  <r>
    <s v="ADM-240268"/>
    <d v="2024-01-28T00:00:00"/>
    <d v="2024-02-16T00:00:00"/>
    <x v="0"/>
    <s v="Q1"/>
    <x v="0"/>
    <x v="6"/>
    <x v="0"/>
    <x v="0"/>
    <x v="0"/>
    <x v="0"/>
    <x v="2"/>
    <n v="19"/>
    <n v="39"/>
    <n v="10553"/>
    <n v="0"/>
    <n v="4"/>
    <s v="Improved"/>
    <n v="1"/>
  </r>
  <r>
    <s v="ADM-240269"/>
    <d v="2024-01-28T00:00:00"/>
    <d v="2024-01-31T00:00:00"/>
    <x v="0"/>
    <s v="Q1"/>
    <x v="0"/>
    <x v="6"/>
    <x v="2"/>
    <x v="0"/>
    <x v="0"/>
    <x v="1"/>
    <x v="0"/>
    <n v="3"/>
    <n v="30"/>
    <n v="2837"/>
    <n v="0"/>
    <n v="3"/>
    <s v="Improved"/>
    <n v="1"/>
  </r>
  <r>
    <s v="ADM-240270"/>
    <d v="2024-01-28T00:00:00"/>
    <d v="2024-01-29T00:00:00"/>
    <x v="0"/>
    <s v="Q1"/>
    <x v="0"/>
    <x v="6"/>
    <x v="2"/>
    <x v="2"/>
    <x v="0"/>
    <x v="2"/>
    <x v="2"/>
    <n v="1"/>
    <m/>
    <n v="905"/>
    <n v="0"/>
    <n v="4"/>
    <s v="Recovered"/>
    <n v="1"/>
  </r>
  <r>
    <s v="ADM-240271"/>
    <d v="2024-01-28T00:00:00"/>
    <d v="2024-02-06T00:00:00"/>
    <x v="0"/>
    <s v="Q1"/>
    <x v="0"/>
    <x v="6"/>
    <x v="4"/>
    <x v="0"/>
    <x v="0"/>
    <x v="0"/>
    <x v="1"/>
    <n v="9"/>
    <n v="26"/>
    <n v="12437"/>
    <n v="0"/>
    <n v="4"/>
    <s v="Recovered"/>
    <n v="1"/>
  </r>
  <r>
    <s v="ADM-240272"/>
    <d v="2024-01-28T00:00:00"/>
    <d v="2024-02-06T00:00:00"/>
    <x v="0"/>
    <s v="Q1"/>
    <x v="0"/>
    <x v="6"/>
    <x v="0"/>
    <x v="0"/>
    <x v="0"/>
    <x v="0"/>
    <x v="0"/>
    <n v="9"/>
    <n v="72"/>
    <n v="6287"/>
    <n v="1"/>
    <n v="2"/>
    <s v="Recovered"/>
    <n v="1"/>
  </r>
  <r>
    <s v="ADM-240273"/>
    <d v="2024-01-29T00:00:00"/>
    <d v="2024-02-01T00:00:00"/>
    <x v="0"/>
    <s v="Q1"/>
    <x v="0"/>
    <x v="0"/>
    <x v="0"/>
    <x v="0"/>
    <x v="1"/>
    <x v="1"/>
    <x v="0"/>
    <n v="3"/>
    <n v="55"/>
    <n v="3196"/>
    <n v="0"/>
    <n v="4"/>
    <s v="Recovered"/>
    <n v="1"/>
  </r>
  <r>
    <s v="ADM-240274"/>
    <d v="2024-01-29T00:00:00"/>
    <d v="2024-02-06T00:00:00"/>
    <x v="0"/>
    <s v="Q1"/>
    <x v="0"/>
    <x v="0"/>
    <x v="0"/>
    <x v="0"/>
    <x v="1"/>
    <x v="0"/>
    <x v="0"/>
    <n v="8"/>
    <n v="53"/>
    <n v="5665"/>
    <n v="0"/>
    <n v="4"/>
    <s v="Recovered"/>
    <n v="1"/>
  </r>
  <r>
    <s v="ADM-240275"/>
    <d v="2024-01-29T00:00:00"/>
    <d v="2024-02-02T00:00:00"/>
    <x v="0"/>
    <s v="Q1"/>
    <x v="0"/>
    <x v="0"/>
    <x v="4"/>
    <x v="1"/>
    <x v="1"/>
    <x v="2"/>
    <x v="0"/>
    <n v="4"/>
    <m/>
    <n v="4688"/>
    <n v="0"/>
    <n v="5"/>
    <s v="Improved"/>
    <n v="1"/>
  </r>
  <r>
    <s v="ADM-240276"/>
    <d v="2024-01-29T00:00:00"/>
    <d v="2024-02-02T00:00:00"/>
    <x v="0"/>
    <s v="Q1"/>
    <x v="0"/>
    <x v="0"/>
    <x v="5"/>
    <x v="2"/>
    <x v="0"/>
    <x v="0"/>
    <x v="0"/>
    <n v="4"/>
    <m/>
    <n v="5387"/>
    <n v="0"/>
    <n v="5"/>
    <s v="Improved"/>
    <n v="1"/>
  </r>
  <r>
    <s v="ADM-240277"/>
    <d v="2024-01-29T00:00:00"/>
    <d v="2024-02-08T00:00:00"/>
    <x v="0"/>
    <s v="Q1"/>
    <x v="0"/>
    <x v="0"/>
    <x v="4"/>
    <x v="0"/>
    <x v="0"/>
    <x v="1"/>
    <x v="2"/>
    <n v="10"/>
    <n v="35"/>
    <n v="14496"/>
    <n v="0"/>
    <n v="4"/>
    <s v="Recovered"/>
    <n v="1"/>
  </r>
  <r>
    <s v="ADM-240278"/>
    <d v="2024-01-29T00:00:00"/>
    <d v="2024-02-05T00:00:00"/>
    <x v="0"/>
    <s v="Q1"/>
    <x v="0"/>
    <x v="0"/>
    <x v="4"/>
    <x v="2"/>
    <x v="1"/>
    <x v="1"/>
    <x v="2"/>
    <n v="7"/>
    <m/>
    <n v="7664"/>
    <n v="0"/>
    <n v="3"/>
    <s v="Recovered"/>
    <n v="1"/>
  </r>
  <r>
    <s v="ADM-240279"/>
    <d v="2024-01-29T00:00:00"/>
    <d v="2024-02-13T00:00:00"/>
    <x v="0"/>
    <s v="Q1"/>
    <x v="0"/>
    <x v="0"/>
    <x v="4"/>
    <x v="0"/>
    <x v="1"/>
    <x v="1"/>
    <x v="1"/>
    <n v="15"/>
    <n v="26"/>
    <n v="20032"/>
    <n v="0"/>
    <n v="5"/>
    <s v="Transferred"/>
    <n v="1"/>
  </r>
  <r>
    <s v="ADM-240280"/>
    <d v="2024-01-29T00:00:00"/>
    <d v="2024-02-01T00:00:00"/>
    <x v="0"/>
    <s v="Q1"/>
    <x v="0"/>
    <x v="0"/>
    <x v="0"/>
    <x v="0"/>
    <x v="0"/>
    <x v="1"/>
    <x v="0"/>
    <n v="3"/>
    <n v="113"/>
    <n v="2836"/>
    <n v="0"/>
    <n v="3"/>
    <s v="Deceased"/>
    <n v="1"/>
  </r>
  <r>
    <s v="ADM-240281"/>
    <d v="2024-01-29T00:00:00"/>
    <d v="2024-01-30T00:00:00"/>
    <x v="0"/>
    <s v="Q1"/>
    <x v="0"/>
    <x v="0"/>
    <x v="3"/>
    <x v="2"/>
    <x v="0"/>
    <x v="3"/>
    <x v="2"/>
    <n v="1"/>
    <m/>
    <n v="1530"/>
    <n v="0"/>
    <n v="3"/>
    <s v="Recovered"/>
    <n v="1"/>
  </r>
  <r>
    <s v="ADM-240282"/>
    <d v="2024-01-29T00:00:00"/>
    <d v="2024-02-13T00:00:00"/>
    <x v="0"/>
    <s v="Q1"/>
    <x v="0"/>
    <x v="0"/>
    <x v="0"/>
    <x v="0"/>
    <x v="0"/>
    <x v="4"/>
    <x v="2"/>
    <n v="15"/>
    <n v="43"/>
    <n v="10006"/>
    <n v="0"/>
    <n v="5"/>
    <s v="Recovered"/>
    <n v="1"/>
  </r>
  <r>
    <s v="ADM-240283"/>
    <d v="2024-01-29T00:00:00"/>
    <d v="2024-01-31T00:00:00"/>
    <x v="0"/>
    <s v="Q1"/>
    <x v="0"/>
    <x v="0"/>
    <x v="0"/>
    <x v="1"/>
    <x v="0"/>
    <x v="1"/>
    <x v="0"/>
    <n v="2"/>
    <m/>
    <n v="2604"/>
    <n v="0"/>
    <n v="5"/>
    <s v="Improved"/>
    <n v="1"/>
  </r>
  <r>
    <s v="ADM-240284"/>
    <d v="2024-01-29T00:00:00"/>
    <d v="2024-01-31T00:00:00"/>
    <x v="0"/>
    <s v="Q1"/>
    <x v="0"/>
    <x v="0"/>
    <x v="4"/>
    <x v="0"/>
    <x v="0"/>
    <x v="1"/>
    <x v="0"/>
    <n v="2"/>
    <n v="90"/>
    <n v="2719"/>
    <n v="0"/>
    <n v="5"/>
    <s v="Transferred"/>
    <n v="1"/>
  </r>
  <r>
    <s v="ADM-240285"/>
    <d v="2024-01-29T00:00:00"/>
    <d v="2024-02-03T00:00:00"/>
    <x v="0"/>
    <s v="Q1"/>
    <x v="0"/>
    <x v="0"/>
    <x v="1"/>
    <x v="2"/>
    <x v="0"/>
    <x v="1"/>
    <x v="0"/>
    <n v="5"/>
    <m/>
    <n v="5633"/>
    <n v="1"/>
    <n v="5"/>
    <s v="Recovered"/>
    <n v="1"/>
  </r>
  <r>
    <s v="ADM-240286"/>
    <d v="2024-01-29T00:00:00"/>
    <d v="2024-02-03T00:00:00"/>
    <x v="0"/>
    <s v="Q1"/>
    <x v="0"/>
    <x v="0"/>
    <x v="2"/>
    <x v="2"/>
    <x v="0"/>
    <x v="1"/>
    <x v="2"/>
    <n v="5"/>
    <m/>
    <n v="3893"/>
    <n v="0"/>
    <n v="4"/>
    <s v="Recovered"/>
    <n v="1"/>
  </r>
  <r>
    <s v="ADM-240287"/>
    <d v="2024-01-29T00:00:00"/>
    <d v="2024-01-30T00:00:00"/>
    <x v="0"/>
    <s v="Q1"/>
    <x v="0"/>
    <x v="0"/>
    <x v="3"/>
    <x v="1"/>
    <x v="0"/>
    <x v="3"/>
    <x v="2"/>
    <n v="1"/>
    <m/>
    <n v="1818"/>
    <n v="0"/>
    <n v="5"/>
    <s v="Improved"/>
    <n v="1"/>
  </r>
  <r>
    <s v="ADM-240288"/>
    <d v="2024-01-30T00:00:00"/>
    <d v="2024-02-03T00:00:00"/>
    <x v="0"/>
    <s v="Q1"/>
    <x v="0"/>
    <x v="1"/>
    <x v="1"/>
    <x v="2"/>
    <x v="1"/>
    <x v="2"/>
    <x v="0"/>
    <n v="4"/>
    <m/>
    <n v="5081"/>
    <n v="0"/>
    <n v="3"/>
    <s v="Improved"/>
    <n v="1"/>
  </r>
  <r>
    <s v="ADM-240289"/>
    <d v="2024-01-30T00:00:00"/>
    <d v="2024-02-02T00:00:00"/>
    <x v="0"/>
    <s v="Q1"/>
    <x v="0"/>
    <x v="1"/>
    <x v="3"/>
    <x v="1"/>
    <x v="1"/>
    <x v="3"/>
    <x v="2"/>
    <n v="3"/>
    <m/>
    <n v="1711"/>
    <n v="0"/>
    <n v="4"/>
    <s v="Recovered"/>
    <n v="1"/>
  </r>
  <r>
    <s v="ADM-240290"/>
    <d v="2024-01-30T00:00:00"/>
    <d v="2024-02-06T00:00:00"/>
    <x v="0"/>
    <s v="Q1"/>
    <x v="0"/>
    <x v="1"/>
    <x v="0"/>
    <x v="0"/>
    <x v="0"/>
    <x v="4"/>
    <x v="2"/>
    <n v="7"/>
    <n v="88"/>
    <n v="5249"/>
    <n v="0"/>
    <n v="5"/>
    <s v="Recovered"/>
    <n v="1"/>
  </r>
  <r>
    <s v="ADM-240291"/>
    <d v="2024-01-30T00:00:00"/>
    <d v="2024-02-03T00:00:00"/>
    <x v="0"/>
    <s v="Q1"/>
    <x v="0"/>
    <x v="1"/>
    <x v="4"/>
    <x v="0"/>
    <x v="1"/>
    <x v="2"/>
    <x v="1"/>
    <n v="4"/>
    <n v="33"/>
    <n v="6078"/>
    <n v="0"/>
    <n v="3"/>
    <s v="Improved"/>
    <n v="1"/>
  </r>
  <r>
    <s v="ADM-240292"/>
    <d v="2024-01-30T00:00:00"/>
    <d v="2024-01-31T00:00:00"/>
    <x v="0"/>
    <s v="Q1"/>
    <x v="0"/>
    <x v="1"/>
    <x v="5"/>
    <x v="0"/>
    <x v="1"/>
    <x v="1"/>
    <x v="0"/>
    <n v="1"/>
    <n v="119"/>
    <n v="2072"/>
    <n v="0"/>
    <n v="1"/>
    <s v="Recovered"/>
    <n v="1"/>
  </r>
  <r>
    <s v="ADM-240293"/>
    <d v="2024-01-30T00:00:00"/>
    <d v="2024-01-31T00:00:00"/>
    <x v="0"/>
    <s v="Q1"/>
    <x v="0"/>
    <x v="1"/>
    <x v="1"/>
    <x v="2"/>
    <x v="0"/>
    <x v="2"/>
    <x v="1"/>
    <n v="1"/>
    <m/>
    <n v="2171"/>
    <n v="0"/>
    <n v="5"/>
    <s v="Transferred"/>
    <n v="1"/>
  </r>
  <r>
    <s v="ADM-240294"/>
    <d v="2024-01-30T00:00:00"/>
    <d v="2024-02-11T00:00:00"/>
    <x v="0"/>
    <s v="Q1"/>
    <x v="0"/>
    <x v="1"/>
    <x v="1"/>
    <x v="0"/>
    <x v="1"/>
    <x v="1"/>
    <x v="2"/>
    <n v="12"/>
    <n v="69"/>
    <n v="13853"/>
    <n v="0"/>
    <n v="5"/>
    <s v="Recovered"/>
    <n v="1"/>
  </r>
  <r>
    <s v="ADM-240295"/>
    <d v="2024-01-30T00:00:00"/>
    <d v="2024-02-03T00:00:00"/>
    <x v="0"/>
    <s v="Q1"/>
    <x v="0"/>
    <x v="1"/>
    <x v="1"/>
    <x v="2"/>
    <x v="0"/>
    <x v="4"/>
    <x v="0"/>
    <n v="4"/>
    <m/>
    <n v="6253"/>
    <n v="0"/>
    <n v="5"/>
    <s v="Recovered"/>
    <n v="1"/>
  </r>
  <r>
    <s v="ADM-240296"/>
    <d v="2024-01-31T00:00:00"/>
    <d v="2024-02-01T00:00:00"/>
    <x v="0"/>
    <s v="Q1"/>
    <x v="0"/>
    <x v="2"/>
    <x v="2"/>
    <x v="2"/>
    <x v="0"/>
    <x v="2"/>
    <x v="2"/>
    <n v="1"/>
    <m/>
    <n v="1423"/>
    <n v="0"/>
    <n v="4"/>
    <s v="Recovered"/>
    <n v="1"/>
  </r>
  <r>
    <s v="ADM-240297"/>
    <d v="2024-01-31T00:00:00"/>
    <d v="2024-02-05T00:00:00"/>
    <x v="0"/>
    <s v="Q1"/>
    <x v="0"/>
    <x v="2"/>
    <x v="3"/>
    <x v="0"/>
    <x v="0"/>
    <x v="3"/>
    <x v="2"/>
    <n v="5"/>
    <n v="64"/>
    <n v="4626"/>
    <n v="0"/>
    <n v="4"/>
    <s v="Improved"/>
    <n v="1"/>
  </r>
  <r>
    <s v="ADM-240298"/>
    <d v="2024-01-31T00:00:00"/>
    <d v="2024-02-18T00:00:00"/>
    <x v="0"/>
    <s v="Q1"/>
    <x v="0"/>
    <x v="2"/>
    <x v="0"/>
    <x v="0"/>
    <x v="0"/>
    <x v="2"/>
    <x v="2"/>
    <n v="18"/>
    <n v="35"/>
    <n v="11900"/>
    <n v="0"/>
    <n v="4"/>
    <s v="Recovered"/>
    <n v="1"/>
  </r>
  <r>
    <s v="ADM-240299"/>
    <d v="2024-01-31T00:00:00"/>
    <d v="2024-02-13T00:00:00"/>
    <x v="0"/>
    <s v="Q1"/>
    <x v="0"/>
    <x v="2"/>
    <x v="0"/>
    <x v="0"/>
    <x v="1"/>
    <x v="4"/>
    <x v="2"/>
    <n v="13"/>
    <n v="115"/>
    <n v="8578"/>
    <n v="0"/>
    <n v="3"/>
    <s v="Recovered"/>
    <n v="1"/>
  </r>
  <r>
    <s v="ADM-240300"/>
    <d v="2024-02-01T00:00:00"/>
    <d v="2024-02-05T00:00:00"/>
    <x v="0"/>
    <s v="Q1"/>
    <x v="1"/>
    <x v="3"/>
    <x v="1"/>
    <x v="2"/>
    <x v="0"/>
    <x v="1"/>
    <x v="2"/>
    <n v="4"/>
    <m/>
    <n v="4558"/>
    <n v="0"/>
    <n v="5"/>
    <s v="Recovered"/>
    <n v="1"/>
  </r>
  <r>
    <s v="ADM-240301"/>
    <d v="2024-02-01T00:00:00"/>
    <d v="2024-02-10T00:00:00"/>
    <x v="0"/>
    <s v="Q1"/>
    <x v="1"/>
    <x v="3"/>
    <x v="2"/>
    <x v="0"/>
    <x v="0"/>
    <x v="1"/>
    <x v="2"/>
    <n v="9"/>
    <n v="102"/>
    <n v="6094"/>
    <n v="0"/>
    <n v="3"/>
    <s v="Improved"/>
    <n v="1"/>
  </r>
  <r>
    <s v="ADM-240302"/>
    <d v="2024-02-01T00:00:00"/>
    <d v="2024-02-03T00:00:00"/>
    <x v="0"/>
    <s v="Q1"/>
    <x v="1"/>
    <x v="3"/>
    <x v="5"/>
    <x v="2"/>
    <x v="0"/>
    <x v="1"/>
    <x v="1"/>
    <n v="2"/>
    <m/>
    <n v="3306"/>
    <n v="0"/>
    <n v="4"/>
    <s v="Recovered"/>
    <n v="1"/>
  </r>
  <r>
    <s v="ADM-240303"/>
    <d v="2024-02-01T00:00:00"/>
    <d v="2024-02-04T00:00:00"/>
    <x v="0"/>
    <s v="Q1"/>
    <x v="1"/>
    <x v="3"/>
    <x v="2"/>
    <x v="2"/>
    <x v="0"/>
    <x v="2"/>
    <x v="2"/>
    <n v="3"/>
    <m/>
    <n v="2713"/>
    <n v="0"/>
    <n v="5"/>
    <s v="Recovered"/>
    <n v="1"/>
  </r>
  <r>
    <s v="ADM-240304"/>
    <d v="2024-02-01T00:00:00"/>
    <d v="2024-02-11T00:00:00"/>
    <x v="0"/>
    <s v="Q1"/>
    <x v="1"/>
    <x v="3"/>
    <x v="2"/>
    <x v="0"/>
    <x v="0"/>
    <x v="1"/>
    <x v="2"/>
    <n v="10"/>
    <n v="62"/>
    <n v="4987"/>
    <n v="0"/>
    <n v="5"/>
    <s v="Improved"/>
    <n v="1"/>
  </r>
  <r>
    <s v="ADM-240305"/>
    <d v="2024-02-01T00:00:00"/>
    <d v="2024-02-07T00:00:00"/>
    <x v="0"/>
    <s v="Q1"/>
    <x v="1"/>
    <x v="3"/>
    <x v="0"/>
    <x v="0"/>
    <x v="0"/>
    <x v="0"/>
    <x v="2"/>
    <n v="6"/>
    <n v="37"/>
    <n v="4403"/>
    <n v="0"/>
    <n v="3"/>
    <s v="Transferred"/>
    <n v="1"/>
  </r>
  <r>
    <s v="ADM-240306"/>
    <d v="2024-02-02T00:00:00"/>
    <d v="2024-02-05T00:00:00"/>
    <x v="0"/>
    <s v="Q1"/>
    <x v="1"/>
    <x v="4"/>
    <x v="0"/>
    <x v="0"/>
    <x v="1"/>
    <x v="2"/>
    <x v="2"/>
    <n v="3"/>
    <n v="28"/>
    <n v="2983"/>
    <n v="0"/>
    <n v="5"/>
    <s v="Improved"/>
    <n v="1"/>
  </r>
  <r>
    <s v="ADM-240307"/>
    <d v="2024-02-02T00:00:00"/>
    <d v="2024-02-25T00:00:00"/>
    <x v="0"/>
    <s v="Q1"/>
    <x v="1"/>
    <x v="4"/>
    <x v="0"/>
    <x v="0"/>
    <x v="1"/>
    <x v="0"/>
    <x v="2"/>
    <n v="23"/>
    <n v="22"/>
    <n v="13845"/>
    <n v="0"/>
    <n v="5"/>
    <s v="Recovered"/>
    <n v="1"/>
  </r>
  <r>
    <s v="ADM-240308"/>
    <d v="2024-02-02T00:00:00"/>
    <d v="2024-02-05T00:00:00"/>
    <x v="0"/>
    <s v="Q1"/>
    <x v="1"/>
    <x v="4"/>
    <x v="2"/>
    <x v="1"/>
    <x v="0"/>
    <x v="2"/>
    <x v="0"/>
    <n v="3"/>
    <m/>
    <n v="1712"/>
    <n v="0"/>
    <n v="5"/>
    <s v="Improved"/>
    <n v="1"/>
  </r>
  <r>
    <s v="ADM-240309"/>
    <d v="2024-02-02T00:00:00"/>
    <d v="2024-02-05T00:00:00"/>
    <x v="0"/>
    <s v="Q1"/>
    <x v="1"/>
    <x v="4"/>
    <x v="0"/>
    <x v="0"/>
    <x v="0"/>
    <x v="1"/>
    <x v="2"/>
    <n v="3"/>
    <n v="96"/>
    <n v="2931"/>
    <n v="0"/>
    <n v="4"/>
    <s v="Improved"/>
    <n v="1"/>
  </r>
  <r>
    <s v="ADM-240310"/>
    <d v="2024-02-02T00:00:00"/>
    <d v="2024-02-04T00:00:00"/>
    <x v="0"/>
    <s v="Q1"/>
    <x v="1"/>
    <x v="4"/>
    <x v="4"/>
    <x v="0"/>
    <x v="1"/>
    <x v="4"/>
    <x v="0"/>
    <n v="2"/>
    <n v="48"/>
    <n v="3143"/>
    <n v="0"/>
    <n v="5"/>
    <s v="Improved"/>
    <n v="1"/>
  </r>
  <r>
    <s v="ADM-240311"/>
    <d v="2024-02-02T00:00:00"/>
    <d v="2024-02-18T00:00:00"/>
    <x v="0"/>
    <s v="Q1"/>
    <x v="1"/>
    <x v="4"/>
    <x v="0"/>
    <x v="0"/>
    <x v="1"/>
    <x v="0"/>
    <x v="2"/>
    <n v="16"/>
    <n v="112"/>
    <n v="11703"/>
    <n v="0"/>
    <n v="3"/>
    <s v="Recovered"/>
    <n v="1"/>
  </r>
  <r>
    <s v="ADM-240312"/>
    <d v="2024-02-03T00:00:00"/>
    <d v="2024-02-18T00:00:00"/>
    <x v="0"/>
    <s v="Q1"/>
    <x v="1"/>
    <x v="5"/>
    <x v="4"/>
    <x v="1"/>
    <x v="1"/>
    <x v="0"/>
    <x v="2"/>
    <n v="15"/>
    <m/>
    <n v="21226"/>
    <n v="0"/>
    <n v="5"/>
    <s v="Recovered"/>
    <n v="1"/>
  </r>
  <r>
    <s v="ADM-240313"/>
    <d v="2024-02-03T00:00:00"/>
    <d v="2024-02-05T00:00:00"/>
    <x v="0"/>
    <s v="Q1"/>
    <x v="1"/>
    <x v="5"/>
    <x v="2"/>
    <x v="0"/>
    <x v="0"/>
    <x v="1"/>
    <x v="0"/>
    <n v="2"/>
    <n v="167"/>
    <n v="2383"/>
    <n v="1"/>
    <n v="3"/>
    <s v="Transferred"/>
    <n v="1"/>
  </r>
  <r>
    <s v="ADM-240314"/>
    <d v="2024-02-03T00:00:00"/>
    <d v="2024-02-07T00:00:00"/>
    <x v="0"/>
    <s v="Q1"/>
    <x v="1"/>
    <x v="5"/>
    <x v="1"/>
    <x v="0"/>
    <x v="1"/>
    <x v="4"/>
    <x v="0"/>
    <n v="4"/>
    <n v="85"/>
    <n v="5674"/>
    <n v="0"/>
    <n v="4"/>
    <s v="Recovered"/>
    <n v="1"/>
  </r>
  <r>
    <s v="ADM-240315"/>
    <d v="2024-02-03T00:00:00"/>
    <d v="2024-02-05T00:00:00"/>
    <x v="0"/>
    <s v="Q1"/>
    <x v="1"/>
    <x v="5"/>
    <x v="5"/>
    <x v="2"/>
    <x v="1"/>
    <x v="1"/>
    <x v="2"/>
    <n v="2"/>
    <m/>
    <n v="2764"/>
    <n v="0"/>
    <n v="3"/>
    <s v="Improved"/>
    <n v="1"/>
  </r>
  <r>
    <s v="ADM-240316"/>
    <d v="2024-02-03T00:00:00"/>
    <d v="2024-02-13T00:00:00"/>
    <x v="0"/>
    <s v="Q1"/>
    <x v="1"/>
    <x v="5"/>
    <x v="0"/>
    <x v="0"/>
    <x v="1"/>
    <x v="0"/>
    <x v="0"/>
    <n v="10"/>
    <n v="110"/>
    <n v="6848"/>
    <n v="0"/>
    <n v="5"/>
    <s v="Recovered"/>
    <n v="1"/>
  </r>
  <r>
    <s v="ADM-240317"/>
    <d v="2024-02-03T00:00:00"/>
    <d v="2024-02-04T00:00:00"/>
    <x v="0"/>
    <s v="Q1"/>
    <x v="1"/>
    <x v="5"/>
    <x v="2"/>
    <x v="1"/>
    <x v="0"/>
    <x v="2"/>
    <x v="2"/>
    <n v="1"/>
    <m/>
    <n v="1684"/>
    <n v="0"/>
    <n v="5"/>
    <s v="Improved"/>
    <n v="1"/>
  </r>
  <r>
    <s v="ADM-240318"/>
    <d v="2024-02-03T00:00:00"/>
    <d v="2024-02-04T00:00:00"/>
    <x v="0"/>
    <s v="Q1"/>
    <x v="1"/>
    <x v="5"/>
    <x v="3"/>
    <x v="0"/>
    <x v="1"/>
    <x v="3"/>
    <x v="2"/>
    <n v="1"/>
    <n v="30"/>
    <n v="1296"/>
    <n v="0"/>
    <n v="5"/>
    <s v="Recovered"/>
    <n v="1"/>
  </r>
  <r>
    <s v="ADM-240319"/>
    <d v="2024-02-03T00:00:00"/>
    <d v="2024-02-07T00:00:00"/>
    <x v="0"/>
    <s v="Q1"/>
    <x v="1"/>
    <x v="5"/>
    <x v="0"/>
    <x v="2"/>
    <x v="0"/>
    <x v="0"/>
    <x v="2"/>
    <n v="4"/>
    <m/>
    <n v="3252"/>
    <n v="0"/>
    <n v="5"/>
    <s v="Transferred"/>
    <n v="1"/>
  </r>
  <r>
    <s v="ADM-240320"/>
    <d v="2024-02-03T00:00:00"/>
    <d v="2024-02-10T00:00:00"/>
    <x v="0"/>
    <s v="Q1"/>
    <x v="1"/>
    <x v="5"/>
    <x v="0"/>
    <x v="0"/>
    <x v="1"/>
    <x v="4"/>
    <x v="2"/>
    <n v="7"/>
    <n v="79"/>
    <n v="6312"/>
    <n v="0"/>
    <n v="4"/>
    <s v="Improved"/>
    <n v="1"/>
  </r>
  <r>
    <s v="ADM-240321"/>
    <d v="2024-02-03T00:00:00"/>
    <d v="2024-02-04T00:00:00"/>
    <x v="0"/>
    <s v="Q1"/>
    <x v="1"/>
    <x v="5"/>
    <x v="2"/>
    <x v="2"/>
    <x v="0"/>
    <x v="1"/>
    <x v="2"/>
    <n v="1"/>
    <m/>
    <n v="841"/>
    <n v="0"/>
    <n v="4"/>
    <s v="Recovered"/>
    <n v="1"/>
  </r>
  <r>
    <s v="ADM-240322"/>
    <d v="2024-02-04T00:00:00"/>
    <d v="2024-02-11T00:00:00"/>
    <x v="0"/>
    <s v="Q1"/>
    <x v="1"/>
    <x v="6"/>
    <x v="0"/>
    <x v="0"/>
    <x v="1"/>
    <x v="0"/>
    <x v="2"/>
    <n v="7"/>
    <n v="46"/>
    <n v="4125"/>
    <n v="0"/>
    <n v="4"/>
    <s v="Recovered"/>
    <n v="1"/>
  </r>
  <r>
    <s v="ADM-240323"/>
    <d v="2024-02-04T00:00:00"/>
    <d v="2024-02-14T00:00:00"/>
    <x v="0"/>
    <s v="Q1"/>
    <x v="1"/>
    <x v="6"/>
    <x v="4"/>
    <x v="0"/>
    <x v="1"/>
    <x v="0"/>
    <x v="2"/>
    <n v="10"/>
    <n v="37"/>
    <n v="12260"/>
    <n v="0"/>
    <n v="5"/>
    <s v="Recovered"/>
    <n v="1"/>
  </r>
  <r>
    <s v="ADM-240324"/>
    <d v="2024-02-04T00:00:00"/>
    <d v="2024-02-17T00:00:00"/>
    <x v="0"/>
    <s v="Q1"/>
    <x v="1"/>
    <x v="6"/>
    <x v="0"/>
    <x v="0"/>
    <x v="1"/>
    <x v="0"/>
    <x v="1"/>
    <n v="13"/>
    <n v="60"/>
    <n v="8030"/>
    <n v="0"/>
    <n v="5"/>
    <s v="Recovered"/>
    <n v="1"/>
  </r>
  <r>
    <s v="ADM-240325"/>
    <d v="2024-02-04T00:00:00"/>
    <d v="2024-02-15T00:00:00"/>
    <x v="0"/>
    <s v="Q1"/>
    <x v="1"/>
    <x v="6"/>
    <x v="4"/>
    <x v="0"/>
    <x v="0"/>
    <x v="0"/>
    <x v="2"/>
    <n v="11"/>
    <n v="134"/>
    <n v="13140"/>
    <n v="0"/>
    <n v="4"/>
    <s v="Recovered"/>
    <n v="1"/>
  </r>
  <r>
    <s v="ADM-240326"/>
    <d v="2024-02-04T00:00:00"/>
    <d v="2024-02-10T00:00:00"/>
    <x v="0"/>
    <s v="Q1"/>
    <x v="1"/>
    <x v="6"/>
    <x v="1"/>
    <x v="2"/>
    <x v="0"/>
    <x v="1"/>
    <x v="1"/>
    <n v="6"/>
    <m/>
    <n v="5290"/>
    <n v="0"/>
    <n v="4"/>
    <s v="Transferred"/>
    <n v="1"/>
  </r>
  <r>
    <s v="ADM-240327"/>
    <d v="2024-02-05T00:00:00"/>
    <d v="2024-02-06T00:00:00"/>
    <x v="0"/>
    <s v="Q1"/>
    <x v="1"/>
    <x v="0"/>
    <x v="3"/>
    <x v="2"/>
    <x v="1"/>
    <x v="3"/>
    <x v="2"/>
    <n v="1"/>
    <m/>
    <n v="1492"/>
    <n v="1"/>
    <n v="4"/>
    <s v="Improved"/>
    <n v="1"/>
  </r>
  <r>
    <s v="ADM-240328"/>
    <d v="2024-02-05T00:00:00"/>
    <d v="2024-02-06T00:00:00"/>
    <x v="0"/>
    <s v="Q1"/>
    <x v="1"/>
    <x v="0"/>
    <x v="3"/>
    <x v="0"/>
    <x v="0"/>
    <x v="3"/>
    <x v="0"/>
    <n v="1"/>
    <n v="40"/>
    <n v="1799"/>
    <n v="0"/>
    <n v="3"/>
    <s v="Recovered"/>
    <n v="1"/>
  </r>
  <r>
    <s v="ADM-240329"/>
    <d v="2024-02-05T00:00:00"/>
    <d v="2024-02-08T00:00:00"/>
    <x v="0"/>
    <s v="Q1"/>
    <x v="1"/>
    <x v="0"/>
    <x v="2"/>
    <x v="1"/>
    <x v="0"/>
    <x v="2"/>
    <x v="2"/>
    <n v="3"/>
    <m/>
    <n v="3181"/>
    <n v="0"/>
    <n v="4"/>
    <s v="Recovered"/>
    <n v="1"/>
  </r>
  <r>
    <s v="ADM-240330"/>
    <d v="2024-02-05T00:00:00"/>
    <d v="2024-02-07T00:00:00"/>
    <x v="0"/>
    <s v="Q1"/>
    <x v="1"/>
    <x v="0"/>
    <x v="5"/>
    <x v="0"/>
    <x v="0"/>
    <x v="1"/>
    <x v="2"/>
    <n v="2"/>
    <n v="33"/>
    <n v="2507"/>
    <n v="0"/>
    <n v="5"/>
    <s v="Recovered"/>
    <n v="1"/>
  </r>
  <r>
    <s v="ADM-240331"/>
    <d v="2024-02-05T00:00:00"/>
    <d v="2024-02-16T00:00:00"/>
    <x v="0"/>
    <s v="Q1"/>
    <x v="1"/>
    <x v="0"/>
    <x v="4"/>
    <x v="0"/>
    <x v="0"/>
    <x v="2"/>
    <x v="2"/>
    <n v="11"/>
    <n v="43"/>
    <n v="12432"/>
    <n v="0"/>
    <n v="4"/>
    <s v="Recovered"/>
    <n v="1"/>
  </r>
  <r>
    <s v="ADM-240332"/>
    <d v="2024-02-05T00:00:00"/>
    <d v="2024-02-06T00:00:00"/>
    <x v="0"/>
    <s v="Q1"/>
    <x v="1"/>
    <x v="0"/>
    <x v="4"/>
    <x v="1"/>
    <x v="1"/>
    <x v="0"/>
    <x v="1"/>
    <n v="1"/>
    <m/>
    <n v="2181"/>
    <n v="0"/>
    <n v="5"/>
    <s v="Recovered"/>
    <n v="1"/>
  </r>
  <r>
    <s v="ADM-240333"/>
    <d v="2024-02-05T00:00:00"/>
    <d v="2024-02-06T00:00:00"/>
    <x v="0"/>
    <s v="Q1"/>
    <x v="1"/>
    <x v="0"/>
    <x v="3"/>
    <x v="0"/>
    <x v="1"/>
    <x v="3"/>
    <x v="2"/>
    <n v="1"/>
    <n v="89"/>
    <n v="1465"/>
    <n v="0"/>
    <n v="2"/>
    <s v="Transferred"/>
    <n v="1"/>
  </r>
  <r>
    <s v="ADM-240334"/>
    <d v="2024-02-05T00:00:00"/>
    <d v="2024-02-06T00:00:00"/>
    <x v="0"/>
    <s v="Q1"/>
    <x v="1"/>
    <x v="0"/>
    <x v="4"/>
    <x v="2"/>
    <x v="0"/>
    <x v="0"/>
    <x v="2"/>
    <n v="1"/>
    <m/>
    <n v="2006"/>
    <n v="0"/>
    <n v="5"/>
    <s v="Deceased"/>
    <n v="1"/>
  </r>
  <r>
    <s v="ADM-240335"/>
    <d v="2024-02-05T00:00:00"/>
    <d v="2024-02-07T00:00:00"/>
    <x v="0"/>
    <s v="Q1"/>
    <x v="1"/>
    <x v="0"/>
    <x v="4"/>
    <x v="1"/>
    <x v="0"/>
    <x v="4"/>
    <x v="0"/>
    <n v="2"/>
    <m/>
    <n v="3265"/>
    <n v="0"/>
    <n v="3"/>
    <s v="Recovered"/>
    <n v="1"/>
  </r>
  <r>
    <s v="ADM-240336"/>
    <d v="2024-02-05T00:00:00"/>
    <d v="2024-02-07T00:00:00"/>
    <x v="0"/>
    <s v="Q1"/>
    <x v="1"/>
    <x v="0"/>
    <x v="0"/>
    <x v="2"/>
    <x v="1"/>
    <x v="0"/>
    <x v="2"/>
    <n v="2"/>
    <m/>
    <n v="2133"/>
    <n v="0"/>
    <n v="4"/>
    <s v="Recovered"/>
    <n v="1"/>
  </r>
  <r>
    <s v="ADM-240337"/>
    <d v="2024-02-05T00:00:00"/>
    <d v="2024-02-09T00:00:00"/>
    <x v="0"/>
    <s v="Q1"/>
    <x v="1"/>
    <x v="0"/>
    <x v="2"/>
    <x v="0"/>
    <x v="0"/>
    <x v="1"/>
    <x v="0"/>
    <n v="4"/>
    <n v="66"/>
    <n v="2815"/>
    <n v="0"/>
    <n v="4"/>
    <s v="Recovered"/>
    <n v="1"/>
  </r>
  <r>
    <s v="ADM-240338"/>
    <d v="2024-02-05T00:00:00"/>
    <d v="2024-02-06T00:00:00"/>
    <x v="0"/>
    <s v="Q1"/>
    <x v="1"/>
    <x v="0"/>
    <x v="3"/>
    <x v="2"/>
    <x v="0"/>
    <x v="3"/>
    <x v="2"/>
    <n v="1"/>
    <m/>
    <n v="1457"/>
    <n v="0"/>
    <n v="5"/>
    <s v="Recovered"/>
    <n v="1"/>
  </r>
  <r>
    <s v="ADM-240339"/>
    <d v="2024-02-06T00:00:00"/>
    <d v="2024-02-07T00:00:00"/>
    <x v="0"/>
    <s v="Q1"/>
    <x v="1"/>
    <x v="1"/>
    <x v="3"/>
    <x v="1"/>
    <x v="1"/>
    <x v="3"/>
    <x v="0"/>
    <n v="1"/>
    <m/>
    <n v="1392"/>
    <n v="0"/>
    <n v="3"/>
    <s v="Recovered"/>
    <n v="1"/>
  </r>
  <r>
    <s v="ADM-240340"/>
    <d v="2024-02-06T00:00:00"/>
    <d v="2024-02-08T00:00:00"/>
    <x v="0"/>
    <s v="Q1"/>
    <x v="1"/>
    <x v="1"/>
    <x v="3"/>
    <x v="2"/>
    <x v="1"/>
    <x v="3"/>
    <x v="0"/>
    <n v="2"/>
    <m/>
    <n v="2100"/>
    <n v="1"/>
    <n v="4"/>
    <s v="Recovered"/>
    <n v="1"/>
  </r>
  <r>
    <s v="ADM-240341"/>
    <d v="2024-02-06T00:00:00"/>
    <d v="2024-02-09T00:00:00"/>
    <x v="0"/>
    <s v="Q1"/>
    <x v="1"/>
    <x v="1"/>
    <x v="3"/>
    <x v="0"/>
    <x v="0"/>
    <x v="3"/>
    <x v="0"/>
    <n v="3"/>
    <n v="51"/>
    <n v="3122"/>
    <n v="0"/>
    <n v="4"/>
    <s v="Improved"/>
    <n v="1"/>
  </r>
  <r>
    <s v="ADM-240342"/>
    <d v="2024-02-06T00:00:00"/>
    <d v="2024-02-16T00:00:00"/>
    <x v="0"/>
    <s v="Q1"/>
    <x v="1"/>
    <x v="1"/>
    <x v="0"/>
    <x v="0"/>
    <x v="1"/>
    <x v="0"/>
    <x v="2"/>
    <n v="10"/>
    <n v="156"/>
    <n v="7328"/>
    <n v="0"/>
    <n v="4"/>
    <s v="Improved"/>
    <n v="1"/>
  </r>
  <r>
    <s v="ADM-240343"/>
    <d v="2024-02-06T00:00:00"/>
    <d v="2024-02-08T00:00:00"/>
    <x v="0"/>
    <s v="Q1"/>
    <x v="1"/>
    <x v="1"/>
    <x v="0"/>
    <x v="0"/>
    <x v="1"/>
    <x v="2"/>
    <x v="2"/>
    <n v="2"/>
    <n v="14"/>
    <n v="2522"/>
    <n v="1"/>
    <n v="3"/>
    <s v="Improved"/>
    <n v="1"/>
  </r>
  <r>
    <s v="ADM-240344"/>
    <d v="2024-02-06T00:00:00"/>
    <d v="2024-02-13T00:00:00"/>
    <x v="0"/>
    <s v="Q1"/>
    <x v="1"/>
    <x v="1"/>
    <x v="4"/>
    <x v="0"/>
    <x v="1"/>
    <x v="1"/>
    <x v="2"/>
    <n v="7"/>
    <n v="10"/>
    <n v="11148"/>
    <n v="0"/>
    <n v="5"/>
    <s v="Recovered"/>
    <n v="1"/>
  </r>
  <r>
    <s v="ADM-240345"/>
    <d v="2024-02-06T00:00:00"/>
    <d v="2024-02-08T00:00:00"/>
    <x v="0"/>
    <s v="Q1"/>
    <x v="1"/>
    <x v="1"/>
    <x v="3"/>
    <x v="2"/>
    <x v="0"/>
    <x v="3"/>
    <x v="0"/>
    <n v="2"/>
    <m/>
    <n v="1521"/>
    <n v="0"/>
    <n v="5"/>
    <s v="Improved"/>
    <n v="1"/>
  </r>
  <r>
    <s v="ADM-240346"/>
    <d v="2024-02-06T00:00:00"/>
    <d v="2024-02-14T00:00:00"/>
    <x v="0"/>
    <s v="Q1"/>
    <x v="1"/>
    <x v="1"/>
    <x v="5"/>
    <x v="0"/>
    <x v="1"/>
    <x v="2"/>
    <x v="1"/>
    <n v="8"/>
    <n v="68"/>
    <n v="7359"/>
    <n v="0"/>
    <n v="5"/>
    <s v="Recovered"/>
    <n v="1"/>
  </r>
  <r>
    <s v="ADM-240347"/>
    <d v="2024-02-06T00:00:00"/>
    <d v="2024-02-08T00:00:00"/>
    <x v="0"/>
    <s v="Q1"/>
    <x v="1"/>
    <x v="1"/>
    <x v="5"/>
    <x v="0"/>
    <x v="0"/>
    <x v="0"/>
    <x v="0"/>
    <n v="2"/>
    <n v="70"/>
    <n v="2274"/>
    <n v="0"/>
    <n v="5"/>
    <s v="Recovered"/>
    <n v="1"/>
  </r>
  <r>
    <s v="ADM-240348"/>
    <d v="2024-02-06T00:00:00"/>
    <d v="2024-02-07T00:00:00"/>
    <x v="0"/>
    <s v="Q1"/>
    <x v="1"/>
    <x v="1"/>
    <x v="4"/>
    <x v="2"/>
    <x v="1"/>
    <x v="4"/>
    <x v="0"/>
    <n v="1"/>
    <m/>
    <n v="1807"/>
    <n v="0"/>
    <n v="4"/>
    <s v="Recovered"/>
    <n v="1"/>
  </r>
  <r>
    <s v="ADM-240349"/>
    <d v="2024-02-06T00:00:00"/>
    <d v="2024-02-13T00:00:00"/>
    <x v="0"/>
    <s v="Q1"/>
    <x v="1"/>
    <x v="1"/>
    <x v="1"/>
    <x v="0"/>
    <x v="1"/>
    <x v="2"/>
    <x v="0"/>
    <n v="7"/>
    <n v="82"/>
    <n v="8423"/>
    <n v="0"/>
    <n v="3"/>
    <s v="Recovered"/>
    <n v="1"/>
  </r>
  <r>
    <s v="ADM-240350"/>
    <d v="2024-02-06T00:00:00"/>
    <d v="2024-02-11T00:00:00"/>
    <x v="0"/>
    <s v="Q1"/>
    <x v="1"/>
    <x v="1"/>
    <x v="1"/>
    <x v="2"/>
    <x v="0"/>
    <x v="0"/>
    <x v="0"/>
    <n v="5"/>
    <m/>
    <n v="5285"/>
    <n v="0"/>
    <n v="4"/>
    <s v="Improved"/>
    <n v="1"/>
  </r>
  <r>
    <s v="ADM-240351"/>
    <d v="2024-02-07T00:00:00"/>
    <d v="2024-02-13T00:00:00"/>
    <x v="0"/>
    <s v="Q1"/>
    <x v="1"/>
    <x v="2"/>
    <x v="0"/>
    <x v="0"/>
    <x v="1"/>
    <x v="0"/>
    <x v="2"/>
    <n v="6"/>
    <n v="167"/>
    <n v="5344"/>
    <n v="1"/>
    <n v="3"/>
    <s v="Recovered"/>
    <n v="1"/>
  </r>
  <r>
    <s v="ADM-240352"/>
    <d v="2024-02-07T00:00:00"/>
    <d v="2024-02-14T00:00:00"/>
    <x v="0"/>
    <s v="Q1"/>
    <x v="1"/>
    <x v="2"/>
    <x v="0"/>
    <x v="0"/>
    <x v="0"/>
    <x v="1"/>
    <x v="2"/>
    <n v="7"/>
    <n v="85"/>
    <n v="5692"/>
    <n v="0"/>
    <n v="5"/>
    <s v="Recovered"/>
    <n v="1"/>
  </r>
  <r>
    <s v="ADM-240353"/>
    <d v="2024-02-07T00:00:00"/>
    <d v="2024-02-08T00:00:00"/>
    <x v="0"/>
    <s v="Q1"/>
    <x v="1"/>
    <x v="2"/>
    <x v="3"/>
    <x v="2"/>
    <x v="1"/>
    <x v="3"/>
    <x v="0"/>
    <n v="1"/>
    <m/>
    <n v="1397"/>
    <n v="0"/>
    <n v="4"/>
    <s v="Improved"/>
    <n v="1"/>
  </r>
  <r>
    <s v="ADM-240354"/>
    <d v="2024-02-07T00:00:00"/>
    <d v="2024-02-21T00:00:00"/>
    <x v="0"/>
    <s v="Q1"/>
    <x v="1"/>
    <x v="2"/>
    <x v="4"/>
    <x v="0"/>
    <x v="0"/>
    <x v="0"/>
    <x v="2"/>
    <n v="14"/>
    <n v="40"/>
    <n v="20913"/>
    <n v="0"/>
    <n v="5"/>
    <s v="Recovered"/>
    <n v="1"/>
  </r>
  <r>
    <s v="ADM-240355"/>
    <d v="2024-02-07T00:00:00"/>
    <d v="2024-02-13T00:00:00"/>
    <x v="0"/>
    <s v="Q1"/>
    <x v="1"/>
    <x v="2"/>
    <x v="2"/>
    <x v="0"/>
    <x v="0"/>
    <x v="1"/>
    <x v="0"/>
    <n v="6"/>
    <n v="115"/>
    <n v="3342"/>
    <n v="0"/>
    <n v="4"/>
    <s v="Improved"/>
    <n v="1"/>
  </r>
  <r>
    <s v="ADM-240356"/>
    <d v="2024-02-07T00:00:00"/>
    <d v="2024-02-12T00:00:00"/>
    <x v="0"/>
    <s v="Q1"/>
    <x v="1"/>
    <x v="2"/>
    <x v="4"/>
    <x v="0"/>
    <x v="1"/>
    <x v="4"/>
    <x v="2"/>
    <n v="5"/>
    <n v="71"/>
    <n v="7152"/>
    <n v="0"/>
    <n v="4"/>
    <s v="Improved"/>
    <n v="1"/>
  </r>
  <r>
    <s v="ADM-240357"/>
    <d v="2024-02-07T00:00:00"/>
    <d v="2024-02-08T00:00:00"/>
    <x v="0"/>
    <s v="Q1"/>
    <x v="1"/>
    <x v="2"/>
    <x v="2"/>
    <x v="0"/>
    <x v="0"/>
    <x v="2"/>
    <x v="2"/>
    <n v="1"/>
    <n v="45"/>
    <n v="1551"/>
    <n v="0"/>
    <n v="5"/>
    <s v="Recovered"/>
    <n v="1"/>
  </r>
  <r>
    <s v="ADM-240358"/>
    <d v="2024-02-07T00:00:00"/>
    <d v="2024-02-10T00:00:00"/>
    <x v="0"/>
    <s v="Q1"/>
    <x v="1"/>
    <x v="2"/>
    <x v="4"/>
    <x v="2"/>
    <x v="1"/>
    <x v="4"/>
    <x v="0"/>
    <n v="3"/>
    <m/>
    <n v="4650"/>
    <n v="0"/>
    <n v="4"/>
    <s v="Improved"/>
    <n v="1"/>
  </r>
  <r>
    <s v="ADM-240359"/>
    <d v="2024-02-07T00:00:00"/>
    <d v="2024-02-12T00:00:00"/>
    <x v="0"/>
    <s v="Q1"/>
    <x v="1"/>
    <x v="2"/>
    <x v="0"/>
    <x v="0"/>
    <x v="0"/>
    <x v="0"/>
    <x v="2"/>
    <n v="5"/>
    <n v="93"/>
    <n v="4682"/>
    <n v="1"/>
    <n v="3"/>
    <s v="Recovered"/>
    <n v="1"/>
  </r>
  <r>
    <s v="ADM-240360"/>
    <d v="2024-02-07T00:00:00"/>
    <d v="2024-02-09T00:00:00"/>
    <x v="0"/>
    <s v="Q1"/>
    <x v="1"/>
    <x v="2"/>
    <x v="5"/>
    <x v="0"/>
    <x v="1"/>
    <x v="4"/>
    <x v="2"/>
    <n v="2"/>
    <n v="51"/>
    <n v="3042"/>
    <n v="0"/>
    <n v="4"/>
    <s v="Recovered"/>
    <n v="1"/>
  </r>
  <r>
    <s v="ADM-240361"/>
    <d v="2024-02-07T00:00:00"/>
    <d v="2024-02-14T00:00:00"/>
    <x v="0"/>
    <s v="Q1"/>
    <x v="1"/>
    <x v="2"/>
    <x v="0"/>
    <x v="0"/>
    <x v="1"/>
    <x v="2"/>
    <x v="0"/>
    <n v="7"/>
    <n v="57"/>
    <n v="4873"/>
    <n v="0"/>
    <n v="4"/>
    <s v="Recovered"/>
    <n v="1"/>
  </r>
  <r>
    <s v="ADM-240362"/>
    <d v="2024-02-08T00:00:00"/>
    <d v="2024-02-10T00:00:00"/>
    <x v="0"/>
    <s v="Q1"/>
    <x v="1"/>
    <x v="3"/>
    <x v="0"/>
    <x v="1"/>
    <x v="1"/>
    <x v="4"/>
    <x v="1"/>
    <n v="2"/>
    <m/>
    <n v="1912"/>
    <n v="0"/>
    <n v="5"/>
    <s v="Improved"/>
    <n v="1"/>
  </r>
  <r>
    <s v="ADM-240363"/>
    <d v="2024-02-08T00:00:00"/>
    <d v="2024-02-09T00:00:00"/>
    <x v="0"/>
    <s v="Q1"/>
    <x v="1"/>
    <x v="3"/>
    <x v="1"/>
    <x v="0"/>
    <x v="0"/>
    <x v="1"/>
    <x v="2"/>
    <n v="1"/>
    <n v="31"/>
    <n v="2184"/>
    <n v="0"/>
    <n v="4"/>
    <s v="Improved"/>
    <n v="1"/>
  </r>
  <r>
    <s v="ADM-240364"/>
    <d v="2024-02-08T00:00:00"/>
    <d v="2024-02-10T00:00:00"/>
    <x v="0"/>
    <s v="Q1"/>
    <x v="1"/>
    <x v="3"/>
    <x v="1"/>
    <x v="2"/>
    <x v="1"/>
    <x v="2"/>
    <x v="2"/>
    <n v="2"/>
    <m/>
    <n v="3217"/>
    <n v="0"/>
    <n v="4"/>
    <s v="Recovered"/>
    <n v="1"/>
  </r>
  <r>
    <s v="ADM-240365"/>
    <d v="2024-02-08T00:00:00"/>
    <d v="2024-02-10T00:00:00"/>
    <x v="0"/>
    <s v="Q1"/>
    <x v="1"/>
    <x v="3"/>
    <x v="0"/>
    <x v="2"/>
    <x v="1"/>
    <x v="0"/>
    <x v="1"/>
    <n v="2"/>
    <m/>
    <n v="1946"/>
    <n v="0"/>
    <n v="5"/>
    <s v="Improved"/>
    <n v="1"/>
  </r>
  <r>
    <s v="ADM-240366"/>
    <d v="2024-02-08T00:00:00"/>
    <d v="2024-02-13T00:00:00"/>
    <x v="0"/>
    <s v="Q1"/>
    <x v="1"/>
    <x v="3"/>
    <x v="0"/>
    <x v="0"/>
    <x v="0"/>
    <x v="4"/>
    <x v="2"/>
    <n v="5"/>
    <n v="86"/>
    <n v="3764"/>
    <n v="1"/>
    <n v="4"/>
    <s v="Recovered"/>
    <n v="1"/>
  </r>
  <r>
    <s v="ADM-240367"/>
    <d v="2024-02-08T00:00:00"/>
    <d v="2024-02-17T00:00:00"/>
    <x v="0"/>
    <s v="Q1"/>
    <x v="1"/>
    <x v="3"/>
    <x v="0"/>
    <x v="1"/>
    <x v="1"/>
    <x v="1"/>
    <x v="2"/>
    <n v="9"/>
    <m/>
    <n v="6345"/>
    <n v="0"/>
    <n v="5"/>
    <s v="Recovered"/>
    <n v="1"/>
  </r>
  <r>
    <s v="ADM-240368"/>
    <d v="2024-02-08T00:00:00"/>
    <d v="2024-02-11T00:00:00"/>
    <x v="0"/>
    <s v="Q1"/>
    <x v="1"/>
    <x v="3"/>
    <x v="3"/>
    <x v="2"/>
    <x v="1"/>
    <x v="3"/>
    <x v="2"/>
    <n v="3"/>
    <m/>
    <n v="2508"/>
    <n v="0"/>
    <n v="4"/>
    <s v="Recovered"/>
    <n v="1"/>
  </r>
  <r>
    <s v="ADM-240369"/>
    <d v="2024-02-08T00:00:00"/>
    <d v="2024-02-12T00:00:00"/>
    <x v="0"/>
    <s v="Q1"/>
    <x v="1"/>
    <x v="3"/>
    <x v="1"/>
    <x v="2"/>
    <x v="1"/>
    <x v="0"/>
    <x v="0"/>
    <n v="4"/>
    <m/>
    <n v="5058"/>
    <n v="0"/>
    <n v="5"/>
    <s v="Recovered"/>
    <n v="1"/>
  </r>
  <r>
    <s v="ADM-240370"/>
    <d v="2024-02-08T00:00:00"/>
    <d v="2024-02-15T00:00:00"/>
    <x v="0"/>
    <s v="Q1"/>
    <x v="1"/>
    <x v="3"/>
    <x v="3"/>
    <x v="0"/>
    <x v="1"/>
    <x v="3"/>
    <x v="2"/>
    <n v="7"/>
    <n v="44"/>
    <n v="4456"/>
    <n v="0"/>
    <n v="4"/>
    <s v="Improved"/>
    <n v="1"/>
  </r>
  <r>
    <s v="ADM-240371"/>
    <d v="2024-02-08T00:00:00"/>
    <d v="2024-02-10T00:00:00"/>
    <x v="0"/>
    <s v="Q1"/>
    <x v="1"/>
    <x v="3"/>
    <x v="1"/>
    <x v="2"/>
    <x v="1"/>
    <x v="4"/>
    <x v="0"/>
    <n v="2"/>
    <m/>
    <n v="1676"/>
    <n v="0"/>
    <n v="3"/>
    <s v="Recovered"/>
    <n v="1"/>
  </r>
  <r>
    <s v="ADM-240372"/>
    <d v="2024-02-08T00:00:00"/>
    <d v="2024-02-10T00:00:00"/>
    <x v="0"/>
    <s v="Q1"/>
    <x v="1"/>
    <x v="3"/>
    <x v="3"/>
    <x v="0"/>
    <x v="1"/>
    <x v="3"/>
    <x v="2"/>
    <n v="2"/>
    <n v="110"/>
    <n v="2169"/>
    <n v="0"/>
    <n v="5"/>
    <s v="Improved"/>
    <n v="1"/>
  </r>
  <r>
    <s v="ADM-240373"/>
    <d v="2024-02-08T00:00:00"/>
    <d v="2024-02-14T00:00:00"/>
    <x v="0"/>
    <s v="Q1"/>
    <x v="1"/>
    <x v="3"/>
    <x v="3"/>
    <x v="1"/>
    <x v="1"/>
    <x v="3"/>
    <x v="0"/>
    <n v="6"/>
    <m/>
    <n v="3509"/>
    <n v="0"/>
    <n v="4"/>
    <s v="Recovered"/>
    <n v="1"/>
  </r>
  <r>
    <s v="ADM-240374"/>
    <d v="2024-02-08T00:00:00"/>
    <d v="2024-02-11T00:00:00"/>
    <x v="0"/>
    <s v="Q1"/>
    <x v="1"/>
    <x v="3"/>
    <x v="5"/>
    <x v="2"/>
    <x v="1"/>
    <x v="4"/>
    <x v="2"/>
    <n v="3"/>
    <m/>
    <n v="3715"/>
    <n v="1"/>
    <n v="4"/>
    <s v="Recovered"/>
    <n v="1"/>
  </r>
  <r>
    <s v="ADM-240375"/>
    <d v="2024-02-09T00:00:00"/>
    <d v="2024-02-10T00:00:00"/>
    <x v="0"/>
    <s v="Q1"/>
    <x v="1"/>
    <x v="4"/>
    <x v="3"/>
    <x v="0"/>
    <x v="0"/>
    <x v="3"/>
    <x v="0"/>
    <n v="1"/>
    <n v="15"/>
    <n v="1448"/>
    <n v="0"/>
    <n v="5"/>
    <s v="Improved"/>
    <n v="1"/>
  </r>
  <r>
    <s v="ADM-240376"/>
    <d v="2024-02-09T00:00:00"/>
    <d v="2024-02-11T00:00:00"/>
    <x v="0"/>
    <s v="Q1"/>
    <x v="1"/>
    <x v="4"/>
    <x v="2"/>
    <x v="0"/>
    <x v="0"/>
    <x v="2"/>
    <x v="1"/>
    <n v="2"/>
    <n v="93"/>
    <n v="2472"/>
    <n v="0"/>
    <n v="3"/>
    <s v="Recovered"/>
    <n v="1"/>
  </r>
  <r>
    <s v="ADM-240377"/>
    <d v="2024-02-09T00:00:00"/>
    <d v="2024-02-15T00:00:00"/>
    <x v="0"/>
    <s v="Q1"/>
    <x v="1"/>
    <x v="4"/>
    <x v="0"/>
    <x v="0"/>
    <x v="1"/>
    <x v="1"/>
    <x v="0"/>
    <n v="6"/>
    <n v="24"/>
    <n v="5155"/>
    <n v="0"/>
    <n v="4"/>
    <s v="Recovered"/>
    <n v="1"/>
  </r>
  <r>
    <s v="ADM-240378"/>
    <d v="2024-02-09T00:00:00"/>
    <d v="2024-02-14T00:00:00"/>
    <x v="0"/>
    <s v="Q1"/>
    <x v="1"/>
    <x v="4"/>
    <x v="3"/>
    <x v="0"/>
    <x v="0"/>
    <x v="3"/>
    <x v="2"/>
    <n v="5"/>
    <n v="72"/>
    <n v="3362"/>
    <n v="0"/>
    <n v="5"/>
    <s v="Recovered"/>
    <n v="1"/>
  </r>
  <r>
    <s v="ADM-240379"/>
    <d v="2024-02-09T00:00:00"/>
    <d v="2024-02-13T00:00:00"/>
    <x v="0"/>
    <s v="Q1"/>
    <x v="1"/>
    <x v="4"/>
    <x v="4"/>
    <x v="0"/>
    <x v="1"/>
    <x v="4"/>
    <x v="0"/>
    <n v="4"/>
    <n v="166"/>
    <n v="6230"/>
    <n v="0"/>
    <n v="3"/>
    <s v="Recovered"/>
    <n v="1"/>
  </r>
  <r>
    <s v="ADM-240380"/>
    <d v="2024-02-09T00:00:00"/>
    <d v="2024-02-14T00:00:00"/>
    <x v="0"/>
    <s v="Q1"/>
    <x v="1"/>
    <x v="4"/>
    <x v="0"/>
    <x v="2"/>
    <x v="0"/>
    <x v="1"/>
    <x v="0"/>
    <n v="5"/>
    <m/>
    <n v="3317"/>
    <n v="0"/>
    <n v="5"/>
    <s v="Improved"/>
    <n v="1"/>
  </r>
  <r>
    <s v="ADM-240381"/>
    <d v="2024-02-09T00:00:00"/>
    <d v="2024-02-14T00:00:00"/>
    <x v="0"/>
    <s v="Q1"/>
    <x v="1"/>
    <x v="4"/>
    <x v="2"/>
    <x v="0"/>
    <x v="0"/>
    <x v="2"/>
    <x v="0"/>
    <n v="5"/>
    <n v="83"/>
    <n v="3695"/>
    <n v="0"/>
    <n v="5"/>
    <s v="Recovered"/>
    <n v="1"/>
  </r>
  <r>
    <s v="ADM-240382"/>
    <d v="2024-02-09T00:00:00"/>
    <d v="2024-02-10T00:00:00"/>
    <x v="0"/>
    <s v="Q1"/>
    <x v="1"/>
    <x v="4"/>
    <x v="3"/>
    <x v="2"/>
    <x v="1"/>
    <x v="3"/>
    <x v="1"/>
    <n v="1"/>
    <m/>
    <n v="1403"/>
    <n v="0"/>
    <n v="4"/>
    <s v="Recovered"/>
    <n v="1"/>
  </r>
  <r>
    <s v="ADM-240383"/>
    <d v="2024-02-09T00:00:00"/>
    <d v="2024-02-13T00:00:00"/>
    <x v="0"/>
    <s v="Q1"/>
    <x v="1"/>
    <x v="4"/>
    <x v="2"/>
    <x v="0"/>
    <x v="0"/>
    <x v="1"/>
    <x v="0"/>
    <n v="4"/>
    <n v="45"/>
    <n v="3855"/>
    <n v="0"/>
    <n v="5"/>
    <s v="Recovered"/>
    <n v="1"/>
  </r>
  <r>
    <s v="ADM-240384"/>
    <d v="2024-02-09T00:00:00"/>
    <d v="2024-02-12T00:00:00"/>
    <x v="0"/>
    <s v="Q1"/>
    <x v="1"/>
    <x v="4"/>
    <x v="3"/>
    <x v="0"/>
    <x v="0"/>
    <x v="3"/>
    <x v="2"/>
    <n v="3"/>
    <n v="107"/>
    <n v="3026"/>
    <n v="0"/>
    <n v="3"/>
    <s v="Improved"/>
    <n v="1"/>
  </r>
  <r>
    <s v="ADM-240385"/>
    <d v="2024-02-10T00:00:00"/>
    <d v="2024-02-16T00:00:00"/>
    <x v="0"/>
    <s v="Q1"/>
    <x v="1"/>
    <x v="5"/>
    <x v="4"/>
    <x v="0"/>
    <x v="1"/>
    <x v="0"/>
    <x v="2"/>
    <n v="6"/>
    <n v="93"/>
    <n v="8051"/>
    <n v="0"/>
    <n v="3"/>
    <s v="Transferred"/>
    <n v="1"/>
  </r>
  <r>
    <s v="ADM-240386"/>
    <d v="2024-02-10T00:00:00"/>
    <d v="2024-02-11T00:00:00"/>
    <x v="0"/>
    <s v="Q1"/>
    <x v="1"/>
    <x v="5"/>
    <x v="3"/>
    <x v="0"/>
    <x v="1"/>
    <x v="3"/>
    <x v="0"/>
    <n v="1"/>
    <n v="45"/>
    <n v="1172"/>
    <n v="0"/>
    <n v="5"/>
    <s v="Recovered"/>
    <n v="1"/>
  </r>
  <r>
    <s v="ADM-240387"/>
    <d v="2024-02-10T00:00:00"/>
    <d v="2024-02-15T00:00:00"/>
    <x v="0"/>
    <s v="Q1"/>
    <x v="1"/>
    <x v="5"/>
    <x v="1"/>
    <x v="2"/>
    <x v="1"/>
    <x v="0"/>
    <x v="2"/>
    <n v="5"/>
    <m/>
    <n v="5643"/>
    <n v="0"/>
    <n v="4"/>
    <s v="Recovered"/>
    <n v="1"/>
  </r>
  <r>
    <s v="ADM-240388"/>
    <d v="2024-02-10T00:00:00"/>
    <d v="2024-02-19T00:00:00"/>
    <x v="0"/>
    <s v="Q1"/>
    <x v="1"/>
    <x v="5"/>
    <x v="3"/>
    <x v="0"/>
    <x v="0"/>
    <x v="3"/>
    <x v="0"/>
    <n v="9"/>
    <n v="128"/>
    <n v="4918"/>
    <n v="0"/>
    <n v="3"/>
    <s v="Transferred"/>
    <n v="1"/>
  </r>
  <r>
    <s v="ADM-240389"/>
    <d v="2024-02-10T00:00:00"/>
    <d v="2024-02-17T00:00:00"/>
    <x v="0"/>
    <s v="Q1"/>
    <x v="1"/>
    <x v="5"/>
    <x v="0"/>
    <x v="0"/>
    <x v="1"/>
    <x v="0"/>
    <x v="0"/>
    <n v="7"/>
    <n v="43"/>
    <n v="4468"/>
    <n v="0"/>
    <n v="4"/>
    <s v="Recovered"/>
    <n v="1"/>
  </r>
  <r>
    <s v="ADM-240390"/>
    <d v="2024-02-11T00:00:00"/>
    <d v="2024-02-18T00:00:00"/>
    <x v="0"/>
    <s v="Q1"/>
    <x v="1"/>
    <x v="6"/>
    <x v="1"/>
    <x v="0"/>
    <x v="1"/>
    <x v="0"/>
    <x v="0"/>
    <n v="7"/>
    <n v="66"/>
    <n v="8113"/>
    <n v="0"/>
    <n v="5"/>
    <s v="Recovered"/>
    <n v="1"/>
  </r>
  <r>
    <s v="ADM-240391"/>
    <d v="2024-02-11T00:00:00"/>
    <d v="2024-02-12T00:00:00"/>
    <x v="0"/>
    <s v="Q1"/>
    <x v="1"/>
    <x v="6"/>
    <x v="0"/>
    <x v="0"/>
    <x v="0"/>
    <x v="0"/>
    <x v="2"/>
    <n v="1"/>
    <n v="97"/>
    <n v="1519"/>
    <n v="1"/>
    <n v="3"/>
    <s v="Recovered"/>
    <n v="1"/>
  </r>
  <r>
    <s v="ADM-240392"/>
    <d v="2024-02-11T00:00:00"/>
    <d v="2024-02-18T00:00:00"/>
    <x v="0"/>
    <s v="Q1"/>
    <x v="1"/>
    <x v="6"/>
    <x v="4"/>
    <x v="0"/>
    <x v="1"/>
    <x v="4"/>
    <x v="2"/>
    <n v="7"/>
    <n v="100"/>
    <n v="7535"/>
    <n v="1"/>
    <n v="2"/>
    <s v="Deceased"/>
    <n v="1"/>
  </r>
  <r>
    <s v="ADM-240393"/>
    <d v="2024-02-11T00:00:00"/>
    <d v="2024-02-13T00:00:00"/>
    <x v="0"/>
    <s v="Q1"/>
    <x v="1"/>
    <x v="6"/>
    <x v="4"/>
    <x v="0"/>
    <x v="1"/>
    <x v="4"/>
    <x v="2"/>
    <n v="2"/>
    <n v="159"/>
    <n v="3474"/>
    <n v="1"/>
    <n v="3"/>
    <s v="Improved"/>
    <n v="1"/>
  </r>
  <r>
    <s v="ADM-240394"/>
    <d v="2024-02-11T00:00:00"/>
    <d v="2024-02-15T00:00:00"/>
    <x v="0"/>
    <s v="Q1"/>
    <x v="1"/>
    <x v="6"/>
    <x v="0"/>
    <x v="0"/>
    <x v="1"/>
    <x v="0"/>
    <x v="1"/>
    <n v="4"/>
    <n v="72"/>
    <n v="3528"/>
    <n v="0"/>
    <n v="4"/>
    <s v="Recovered"/>
    <n v="1"/>
  </r>
  <r>
    <s v="ADM-240395"/>
    <d v="2024-02-11T00:00:00"/>
    <d v="2024-02-16T00:00:00"/>
    <x v="0"/>
    <s v="Q1"/>
    <x v="1"/>
    <x v="6"/>
    <x v="4"/>
    <x v="0"/>
    <x v="0"/>
    <x v="2"/>
    <x v="2"/>
    <n v="5"/>
    <n v="46"/>
    <n v="4921"/>
    <n v="0"/>
    <n v="4"/>
    <s v="Recovered"/>
    <n v="1"/>
  </r>
  <r>
    <s v="ADM-240396"/>
    <d v="2024-02-11T00:00:00"/>
    <d v="2024-02-23T00:00:00"/>
    <x v="0"/>
    <s v="Q1"/>
    <x v="1"/>
    <x v="6"/>
    <x v="0"/>
    <x v="0"/>
    <x v="1"/>
    <x v="0"/>
    <x v="2"/>
    <n v="12"/>
    <n v="111"/>
    <n v="5786"/>
    <n v="0"/>
    <n v="4"/>
    <s v="Improved"/>
    <n v="1"/>
  </r>
  <r>
    <s v="ADM-240397"/>
    <d v="2024-02-11T00:00:00"/>
    <d v="2024-02-15T00:00:00"/>
    <x v="0"/>
    <s v="Q1"/>
    <x v="1"/>
    <x v="6"/>
    <x v="0"/>
    <x v="1"/>
    <x v="1"/>
    <x v="4"/>
    <x v="2"/>
    <n v="4"/>
    <m/>
    <n v="3693"/>
    <n v="0"/>
    <n v="5"/>
    <s v="Improved"/>
    <n v="1"/>
  </r>
  <r>
    <s v="ADM-240398"/>
    <d v="2024-02-11T00:00:00"/>
    <d v="2024-02-13T00:00:00"/>
    <x v="0"/>
    <s v="Q1"/>
    <x v="1"/>
    <x v="6"/>
    <x v="2"/>
    <x v="0"/>
    <x v="0"/>
    <x v="1"/>
    <x v="2"/>
    <n v="2"/>
    <n v="145"/>
    <n v="1876"/>
    <n v="1"/>
    <n v="4"/>
    <s v="Recovered"/>
    <n v="1"/>
  </r>
  <r>
    <s v="ADM-240399"/>
    <d v="2024-02-12T00:00:00"/>
    <d v="2024-02-21T00:00:00"/>
    <x v="0"/>
    <s v="Q1"/>
    <x v="1"/>
    <x v="0"/>
    <x v="0"/>
    <x v="0"/>
    <x v="1"/>
    <x v="2"/>
    <x v="2"/>
    <n v="9"/>
    <n v="93"/>
    <n v="8889"/>
    <n v="0"/>
    <n v="2"/>
    <s v="Recovered"/>
    <n v="1"/>
  </r>
  <r>
    <s v="ADM-240400"/>
    <d v="2024-02-12T00:00:00"/>
    <d v="2024-02-13T00:00:00"/>
    <x v="0"/>
    <s v="Q1"/>
    <x v="1"/>
    <x v="0"/>
    <x v="1"/>
    <x v="2"/>
    <x v="1"/>
    <x v="0"/>
    <x v="1"/>
    <n v="1"/>
    <m/>
    <n v="1157"/>
    <n v="0"/>
    <n v="5"/>
    <s v="Recovered"/>
    <n v="1"/>
  </r>
  <r>
    <s v="ADM-240401"/>
    <d v="2024-02-12T00:00:00"/>
    <d v="2024-02-20T00:00:00"/>
    <x v="0"/>
    <s v="Q1"/>
    <x v="1"/>
    <x v="0"/>
    <x v="0"/>
    <x v="0"/>
    <x v="1"/>
    <x v="0"/>
    <x v="1"/>
    <n v="8"/>
    <n v="72"/>
    <n v="6106"/>
    <n v="1"/>
    <n v="3"/>
    <s v="Recovered"/>
    <n v="1"/>
  </r>
  <r>
    <s v="ADM-240402"/>
    <d v="2024-02-12T00:00:00"/>
    <d v="2024-02-18T00:00:00"/>
    <x v="0"/>
    <s v="Q1"/>
    <x v="1"/>
    <x v="0"/>
    <x v="5"/>
    <x v="2"/>
    <x v="1"/>
    <x v="1"/>
    <x v="0"/>
    <n v="6"/>
    <m/>
    <n v="5752"/>
    <n v="0"/>
    <n v="5"/>
    <s v="Recovered"/>
    <n v="1"/>
  </r>
  <r>
    <s v="ADM-240403"/>
    <d v="2024-02-12T00:00:00"/>
    <d v="2024-02-14T00:00:00"/>
    <x v="0"/>
    <s v="Q1"/>
    <x v="1"/>
    <x v="0"/>
    <x v="0"/>
    <x v="0"/>
    <x v="0"/>
    <x v="4"/>
    <x v="2"/>
    <n v="2"/>
    <n v="48"/>
    <n v="2024"/>
    <n v="0"/>
    <n v="5"/>
    <s v="Improved"/>
    <n v="1"/>
  </r>
  <r>
    <s v="ADM-240404"/>
    <d v="2024-02-12T00:00:00"/>
    <d v="2024-02-16T00:00:00"/>
    <x v="0"/>
    <s v="Q1"/>
    <x v="1"/>
    <x v="0"/>
    <x v="3"/>
    <x v="0"/>
    <x v="1"/>
    <x v="3"/>
    <x v="2"/>
    <n v="4"/>
    <n v="69"/>
    <n v="2636"/>
    <n v="0"/>
    <n v="5"/>
    <s v="Improved"/>
    <n v="1"/>
  </r>
  <r>
    <s v="ADM-240405"/>
    <d v="2024-02-12T00:00:00"/>
    <d v="2024-02-14T00:00:00"/>
    <x v="0"/>
    <s v="Q1"/>
    <x v="1"/>
    <x v="0"/>
    <x v="4"/>
    <x v="0"/>
    <x v="1"/>
    <x v="0"/>
    <x v="0"/>
    <n v="2"/>
    <n v="25"/>
    <n v="3352"/>
    <n v="1"/>
    <n v="3"/>
    <s v="Recovered"/>
    <n v="1"/>
  </r>
  <r>
    <s v="ADM-240406"/>
    <d v="2024-02-12T00:00:00"/>
    <d v="2024-02-15T00:00:00"/>
    <x v="0"/>
    <s v="Q1"/>
    <x v="1"/>
    <x v="0"/>
    <x v="3"/>
    <x v="0"/>
    <x v="1"/>
    <x v="3"/>
    <x v="0"/>
    <n v="3"/>
    <n v="28"/>
    <n v="2060"/>
    <n v="0"/>
    <n v="3"/>
    <s v="Improved"/>
    <n v="1"/>
  </r>
  <r>
    <s v="ADM-240407"/>
    <d v="2024-02-12T00:00:00"/>
    <d v="2024-02-25T00:00:00"/>
    <x v="0"/>
    <s v="Q1"/>
    <x v="1"/>
    <x v="0"/>
    <x v="0"/>
    <x v="0"/>
    <x v="1"/>
    <x v="0"/>
    <x v="0"/>
    <n v="13"/>
    <n v="71"/>
    <n v="9493"/>
    <n v="0"/>
    <n v="3"/>
    <s v="Recovered"/>
    <n v="1"/>
  </r>
  <r>
    <s v="ADM-240408"/>
    <d v="2024-02-12T00:00:00"/>
    <d v="2024-02-14T00:00:00"/>
    <x v="0"/>
    <s v="Q1"/>
    <x v="1"/>
    <x v="0"/>
    <x v="2"/>
    <x v="0"/>
    <x v="0"/>
    <x v="2"/>
    <x v="0"/>
    <n v="2"/>
    <n v="49"/>
    <n v="1878"/>
    <n v="0"/>
    <n v="5"/>
    <s v="Recovered"/>
    <n v="1"/>
  </r>
  <r>
    <s v="ADM-240409"/>
    <d v="2024-02-13T00:00:00"/>
    <d v="2024-02-16T00:00:00"/>
    <x v="0"/>
    <s v="Q1"/>
    <x v="1"/>
    <x v="1"/>
    <x v="3"/>
    <x v="0"/>
    <x v="1"/>
    <x v="3"/>
    <x v="0"/>
    <n v="3"/>
    <n v="98"/>
    <n v="2500"/>
    <n v="0"/>
    <n v="2"/>
    <s v="Recovered"/>
    <n v="1"/>
  </r>
  <r>
    <s v="ADM-240410"/>
    <d v="2024-02-13T00:00:00"/>
    <d v="2024-02-18T00:00:00"/>
    <x v="0"/>
    <s v="Q1"/>
    <x v="1"/>
    <x v="1"/>
    <x v="3"/>
    <x v="0"/>
    <x v="1"/>
    <x v="3"/>
    <x v="0"/>
    <n v="5"/>
    <n v="20"/>
    <n v="3313"/>
    <n v="0"/>
    <n v="4"/>
    <s v="Recovered"/>
    <n v="1"/>
  </r>
  <r>
    <s v="ADM-240411"/>
    <d v="2024-02-13T00:00:00"/>
    <d v="2024-02-14T00:00:00"/>
    <x v="0"/>
    <s v="Q1"/>
    <x v="1"/>
    <x v="1"/>
    <x v="0"/>
    <x v="0"/>
    <x v="0"/>
    <x v="0"/>
    <x v="1"/>
    <n v="1"/>
    <n v="144"/>
    <n v="1123"/>
    <n v="0"/>
    <n v="3"/>
    <s v="Improved"/>
    <n v="1"/>
  </r>
  <r>
    <s v="ADM-240412"/>
    <d v="2024-02-13T00:00:00"/>
    <d v="2024-02-15T00:00:00"/>
    <x v="0"/>
    <s v="Q1"/>
    <x v="1"/>
    <x v="1"/>
    <x v="3"/>
    <x v="1"/>
    <x v="0"/>
    <x v="3"/>
    <x v="0"/>
    <n v="2"/>
    <m/>
    <n v="1484"/>
    <n v="0"/>
    <n v="5"/>
    <s v="Recovered"/>
    <n v="1"/>
  </r>
  <r>
    <s v="ADM-240413"/>
    <d v="2024-02-13T00:00:00"/>
    <d v="2024-02-17T00:00:00"/>
    <x v="0"/>
    <s v="Q1"/>
    <x v="1"/>
    <x v="1"/>
    <x v="0"/>
    <x v="0"/>
    <x v="1"/>
    <x v="4"/>
    <x v="2"/>
    <n v="4"/>
    <n v="73"/>
    <n v="2666"/>
    <n v="0"/>
    <n v="4"/>
    <s v="Improved"/>
    <n v="1"/>
  </r>
  <r>
    <s v="ADM-240414"/>
    <d v="2024-02-13T00:00:00"/>
    <d v="2024-02-14T00:00:00"/>
    <x v="0"/>
    <s v="Q1"/>
    <x v="1"/>
    <x v="1"/>
    <x v="3"/>
    <x v="0"/>
    <x v="0"/>
    <x v="3"/>
    <x v="2"/>
    <n v="1"/>
    <n v="63"/>
    <n v="1571"/>
    <n v="0"/>
    <n v="5"/>
    <s v="Improved"/>
    <n v="1"/>
  </r>
  <r>
    <s v="ADM-240415"/>
    <d v="2024-02-13T00:00:00"/>
    <d v="2024-02-16T00:00:00"/>
    <x v="0"/>
    <s v="Q1"/>
    <x v="1"/>
    <x v="1"/>
    <x v="2"/>
    <x v="0"/>
    <x v="0"/>
    <x v="2"/>
    <x v="1"/>
    <n v="3"/>
    <n v="283"/>
    <n v="2970"/>
    <n v="0"/>
    <n v="4"/>
    <s v="Recovered"/>
    <n v="1"/>
  </r>
  <r>
    <s v="ADM-240416"/>
    <d v="2024-02-13T00:00:00"/>
    <d v="2024-02-17T00:00:00"/>
    <x v="0"/>
    <s v="Q1"/>
    <x v="1"/>
    <x v="1"/>
    <x v="2"/>
    <x v="2"/>
    <x v="0"/>
    <x v="2"/>
    <x v="0"/>
    <n v="4"/>
    <m/>
    <n v="3769"/>
    <n v="0"/>
    <n v="4"/>
    <s v="Improved"/>
    <n v="1"/>
  </r>
  <r>
    <s v="ADM-240417"/>
    <d v="2024-02-13T00:00:00"/>
    <d v="2024-02-16T00:00:00"/>
    <x v="0"/>
    <s v="Q1"/>
    <x v="1"/>
    <x v="1"/>
    <x v="1"/>
    <x v="2"/>
    <x v="1"/>
    <x v="4"/>
    <x v="0"/>
    <n v="3"/>
    <m/>
    <n v="2800"/>
    <n v="1"/>
    <n v="3"/>
    <s v="Recovered"/>
    <n v="1"/>
  </r>
  <r>
    <s v="ADM-240418"/>
    <d v="2024-02-13T00:00:00"/>
    <d v="2024-02-14T00:00:00"/>
    <x v="0"/>
    <s v="Q1"/>
    <x v="1"/>
    <x v="1"/>
    <x v="3"/>
    <x v="0"/>
    <x v="0"/>
    <x v="3"/>
    <x v="1"/>
    <n v="1"/>
    <n v="79"/>
    <n v="1463"/>
    <n v="0"/>
    <n v="4"/>
    <s v="Improved"/>
    <n v="1"/>
  </r>
  <r>
    <s v="ADM-240419"/>
    <d v="2024-02-13T00:00:00"/>
    <d v="2024-02-17T00:00:00"/>
    <x v="0"/>
    <s v="Q1"/>
    <x v="1"/>
    <x v="1"/>
    <x v="2"/>
    <x v="0"/>
    <x v="0"/>
    <x v="2"/>
    <x v="2"/>
    <n v="4"/>
    <n v="27"/>
    <n v="3505"/>
    <n v="0"/>
    <n v="4"/>
    <s v="Recovered"/>
    <n v="1"/>
  </r>
  <r>
    <s v="ADM-240420"/>
    <d v="2024-02-13T00:00:00"/>
    <d v="2024-02-14T00:00:00"/>
    <x v="0"/>
    <s v="Q1"/>
    <x v="1"/>
    <x v="1"/>
    <x v="1"/>
    <x v="0"/>
    <x v="0"/>
    <x v="2"/>
    <x v="0"/>
    <n v="1"/>
    <n v="71"/>
    <n v="1210"/>
    <n v="0"/>
    <n v="4"/>
    <s v="Deceased"/>
    <n v="1"/>
  </r>
  <r>
    <s v="ADM-240421"/>
    <d v="2024-02-13T00:00:00"/>
    <d v="2024-02-15T00:00:00"/>
    <x v="0"/>
    <s v="Q1"/>
    <x v="1"/>
    <x v="1"/>
    <x v="3"/>
    <x v="2"/>
    <x v="1"/>
    <x v="3"/>
    <x v="0"/>
    <n v="2"/>
    <m/>
    <n v="1687"/>
    <n v="0"/>
    <n v="4"/>
    <s v="Recovered"/>
    <n v="1"/>
  </r>
  <r>
    <s v="ADM-240422"/>
    <d v="2024-02-13T00:00:00"/>
    <d v="2024-02-14T00:00:00"/>
    <x v="0"/>
    <s v="Q1"/>
    <x v="1"/>
    <x v="1"/>
    <x v="5"/>
    <x v="2"/>
    <x v="1"/>
    <x v="4"/>
    <x v="2"/>
    <n v="1"/>
    <m/>
    <n v="2055"/>
    <n v="0"/>
    <n v="5"/>
    <s v="Improved"/>
    <n v="1"/>
  </r>
  <r>
    <s v="ADM-240423"/>
    <d v="2024-02-14T00:00:00"/>
    <d v="2024-02-15T00:00:00"/>
    <x v="0"/>
    <s v="Q1"/>
    <x v="1"/>
    <x v="2"/>
    <x v="3"/>
    <x v="0"/>
    <x v="0"/>
    <x v="3"/>
    <x v="0"/>
    <n v="1"/>
    <n v="149"/>
    <n v="1621"/>
    <n v="1"/>
    <n v="2"/>
    <s v="Recovered"/>
    <n v="1"/>
  </r>
  <r>
    <s v="ADM-240424"/>
    <d v="2024-02-14T00:00:00"/>
    <d v="2024-02-16T00:00:00"/>
    <x v="0"/>
    <s v="Q1"/>
    <x v="1"/>
    <x v="2"/>
    <x v="3"/>
    <x v="0"/>
    <x v="1"/>
    <x v="3"/>
    <x v="0"/>
    <n v="2"/>
    <n v="74"/>
    <n v="1563"/>
    <n v="0"/>
    <n v="5"/>
    <s v="Improved"/>
    <n v="1"/>
  </r>
  <r>
    <s v="ADM-240425"/>
    <d v="2024-02-14T00:00:00"/>
    <d v="2024-02-16T00:00:00"/>
    <x v="0"/>
    <s v="Q1"/>
    <x v="1"/>
    <x v="2"/>
    <x v="0"/>
    <x v="0"/>
    <x v="1"/>
    <x v="2"/>
    <x v="2"/>
    <n v="2"/>
    <n v="123"/>
    <n v="2501"/>
    <n v="0"/>
    <n v="2"/>
    <s v="Recovered"/>
    <n v="1"/>
  </r>
  <r>
    <s v="ADM-240426"/>
    <d v="2024-02-14T00:00:00"/>
    <d v="2024-02-17T00:00:00"/>
    <x v="0"/>
    <s v="Q1"/>
    <x v="1"/>
    <x v="2"/>
    <x v="0"/>
    <x v="2"/>
    <x v="1"/>
    <x v="2"/>
    <x v="2"/>
    <n v="3"/>
    <m/>
    <n v="2930"/>
    <n v="0"/>
    <n v="5"/>
    <s v="Improved"/>
    <n v="1"/>
  </r>
  <r>
    <s v="ADM-240427"/>
    <d v="2024-02-14T00:00:00"/>
    <d v="2024-02-16T00:00:00"/>
    <x v="0"/>
    <s v="Q1"/>
    <x v="1"/>
    <x v="2"/>
    <x v="0"/>
    <x v="0"/>
    <x v="1"/>
    <x v="4"/>
    <x v="2"/>
    <n v="2"/>
    <n v="67"/>
    <n v="2390"/>
    <n v="0"/>
    <n v="5"/>
    <s v="Recovered"/>
    <n v="1"/>
  </r>
  <r>
    <s v="ADM-240428"/>
    <d v="2024-02-14T00:00:00"/>
    <d v="2024-02-15T00:00:00"/>
    <x v="0"/>
    <s v="Q1"/>
    <x v="1"/>
    <x v="2"/>
    <x v="1"/>
    <x v="2"/>
    <x v="0"/>
    <x v="4"/>
    <x v="2"/>
    <n v="1"/>
    <m/>
    <n v="1984"/>
    <n v="0"/>
    <n v="5"/>
    <s v="Recovered"/>
    <n v="1"/>
  </r>
  <r>
    <s v="ADM-240429"/>
    <d v="2024-02-14T00:00:00"/>
    <d v="2024-02-18T00:00:00"/>
    <x v="0"/>
    <s v="Q1"/>
    <x v="1"/>
    <x v="2"/>
    <x v="1"/>
    <x v="2"/>
    <x v="0"/>
    <x v="2"/>
    <x v="2"/>
    <n v="4"/>
    <m/>
    <n v="5608"/>
    <n v="0"/>
    <n v="4"/>
    <s v="Transferred"/>
    <n v="1"/>
  </r>
  <r>
    <s v="ADM-240430"/>
    <d v="2024-02-15T00:00:00"/>
    <d v="2024-02-16T00:00:00"/>
    <x v="0"/>
    <s v="Q1"/>
    <x v="1"/>
    <x v="3"/>
    <x v="4"/>
    <x v="1"/>
    <x v="1"/>
    <x v="4"/>
    <x v="2"/>
    <n v="1"/>
    <m/>
    <n v="1973"/>
    <n v="0"/>
    <n v="5"/>
    <s v="Recovered"/>
    <n v="1"/>
  </r>
  <r>
    <s v="ADM-240431"/>
    <d v="2024-02-15T00:00:00"/>
    <d v="2024-02-16T00:00:00"/>
    <x v="0"/>
    <s v="Q1"/>
    <x v="1"/>
    <x v="3"/>
    <x v="0"/>
    <x v="2"/>
    <x v="1"/>
    <x v="0"/>
    <x v="0"/>
    <n v="1"/>
    <m/>
    <n v="1356"/>
    <n v="0"/>
    <n v="3"/>
    <s v="Improved"/>
    <n v="1"/>
  </r>
  <r>
    <s v="ADM-240432"/>
    <d v="2024-02-15T00:00:00"/>
    <d v="2024-02-23T00:00:00"/>
    <x v="0"/>
    <s v="Q1"/>
    <x v="1"/>
    <x v="3"/>
    <x v="4"/>
    <x v="0"/>
    <x v="1"/>
    <x v="4"/>
    <x v="0"/>
    <n v="8"/>
    <n v="49"/>
    <n v="10929"/>
    <n v="1"/>
    <n v="3"/>
    <s v="Recovered"/>
    <n v="1"/>
  </r>
  <r>
    <s v="ADM-240433"/>
    <d v="2024-02-15T00:00:00"/>
    <d v="2024-02-19T00:00:00"/>
    <x v="0"/>
    <s v="Q1"/>
    <x v="1"/>
    <x v="3"/>
    <x v="2"/>
    <x v="0"/>
    <x v="0"/>
    <x v="1"/>
    <x v="2"/>
    <n v="4"/>
    <n v="32"/>
    <n v="3984"/>
    <n v="0"/>
    <n v="4"/>
    <s v="Recovered"/>
    <n v="1"/>
  </r>
  <r>
    <s v="ADM-240434"/>
    <d v="2024-02-15T00:00:00"/>
    <d v="2024-02-20T00:00:00"/>
    <x v="0"/>
    <s v="Q1"/>
    <x v="1"/>
    <x v="3"/>
    <x v="1"/>
    <x v="2"/>
    <x v="0"/>
    <x v="4"/>
    <x v="1"/>
    <n v="5"/>
    <m/>
    <n v="5386"/>
    <n v="0"/>
    <n v="4"/>
    <s v="Improved"/>
    <n v="1"/>
  </r>
  <r>
    <s v="ADM-240435"/>
    <d v="2024-02-15T00:00:00"/>
    <d v="2024-02-18T00:00:00"/>
    <x v="0"/>
    <s v="Q1"/>
    <x v="1"/>
    <x v="3"/>
    <x v="3"/>
    <x v="0"/>
    <x v="1"/>
    <x v="3"/>
    <x v="2"/>
    <n v="3"/>
    <n v="43"/>
    <n v="2730"/>
    <n v="0"/>
    <n v="5"/>
    <s v="Improved"/>
    <n v="1"/>
  </r>
  <r>
    <s v="ADM-240436"/>
    <d v="2024-02-15T00:00:00"/>
    <d v="2024-02-27T00:00:00"/>
    <x v="0"/>
    <s v="Q1"/>
    <x v="1"/>
    <x v="3"/>
    <x v="0"/>
    <x v="2"/>
    <x v="0"/>
    <x v="1"/>
    <x v="0"/>
    <n v="12"/>
    <m/>
    <n v="8753"/>
    <n v="0"/>
    <n v="4"/>
    <s v="Improved"/>
    <n v="1"/>
  </r>
  <r>
    <s v="ADM-240437"/>
    <d v="2024-02-15T00:00:00"/>
    <d v="2024-02-17T00:00:00"/>
    <x v="0"/>
    <s v="Q1"/>
    <x v="1"/>
    <x v="3"/>
    <x v="0"/>
    <x v="0"/>
    <x v="1"/>
    <x v="4"/>
    <x v="2"/>
    <n v="2"/>
    <n v="146"/>
    <n v="1579"/>
    <n v="0"/>
    <n v="3"/>
    <s v="Recovered"/>
    <n v="1"/>
  </r>
  <r>
    <s v="ADM-240438"/>
    <d v="2024-02-15T00:00:00"/>
    <d v="2024-02-27T00:00:00"/>
    <x v="0"/>
    <s v="Q1"/>
    <x v="1"/>
    <x v="3"/>
    <x v="5"/>
    <x v="0"/>
    <x v="0"/>
    <x v="4"/>
    <x v="2"/>
    <n v="12"/>
    <n v="22"/>
    <n v="10400"/>
    <n v="0"/>
    <n v="4"/>
    <s v="Recovered"/>
    <n v="1"/>
  </r>
  <r>
    <s v="ADM-240439"/>
    <d v="2024-02-15T00:00:00"/>
    <d v="2024-02-19T00:00:00"/>
    <x v="0"/>
    <s v="Q1"/>
    <x v="1"/>
    <x v="3"/>
    <x v="3"/>
    <x v="2"/>
    <x v="0"/>
    <x v="3"/>
    <x v="0"/>
    <n v="4"/>
    <m/>
    <n v="2192"/>
    <n v="0"/>
    <n v="3"/>
    <s v="Transferred"/>
    <n v="1"/>
  </r>
  <r>
    <s v="ADM-240440"/>
    <d v="2024-02-15T00:00:00"/>
    <d v="2024-02-20T00:00:00"/>
    <x v="0"/>
    <s v="Q1"/>
    <x v="1"/>
    <x v="3"/>
    <x v="1"/>
    <x v="2"/>
    <x v="1"/>
    <x v="0"/>
    <x v="2"/>
    <n v="5"/>
    <m/>
    <n v="5559"/>
    <n v="0"/>
    <n v="5"/>
    <s v="Recovered"/>
    <n v="1"/>
  </r>
  <r>
    <s v="ADM-240441"/>
    <d v="2024-02-15T00:00:00"/>
    <d v="2024-02-18T00:00:00"/>
    <x v="0"/>
    <s v="Q1"/>
    <x v="1"/>
    <x v="3"/>
    <x v="2"/>
    <x v="0"/>
    <x v="0"/>
    <x v="1"/>
    <x v="0"/>
    <n v="3"/>
    <n v="91"/>
    <n v="2274"/>
    <n v="0"/>
    <n v="4"/>
    <s v="Improved"/>
    <n v="1"/>
  </r>
  <r>
    <s v="ADM-240442"/>
    <d v="2024-02-16T00:00:00"/>
    <d v="2024-02-26T00:00:00"/>
    <x v="0"/>
    <s v="Q1"/>
    <x v="1"/>
    <x v="4"/>
    <x v="0"/>
    <x v="0"/>
    <x v="1"/>
    <x v="2"/>
    <x v="2"/>
    <n v="10"/>
    <n v="180"/>
    <n v="7769"/>
    <n v="0"/>
    <n v="3"/>
    <s v="Improved"/>
    <n v="1"/>
  </r>
  <r>
    <s v="ADM-240443"/>
    <d v="2024-02-16T00:00:00"/>
    <d v="2024-02-19T00:00:00"/>
    <x v="0"/>
    <s v="Q1"/>
    <x v="1"/>
    <x v="4"/>
    <x v="3"/>
    <x v="0"/>
    <x v="1"/>
    <x v="3"/>
    <x v="2"/>
    <n v="3"/>
    <n v="85"/>
    <n v="3052"/>
    <n v="0"/>
    <n v="5"/>
    <s v="Improved"/>
    <n v="1"/>
  </r>
  <r>
    <s v="ADM-240444"/>
    <d v="2024-02-16T00:00:00"/>
    <d v="2024-02-18T00:00:00"/>
    <x v="0"/>
    <s v="Q1"/>
    <x v="1"/>
    <x v="4"/>
    <x v="2"/>
    <x v="2"/>
    <x v="0"/>
    <x v="1"/>
    <x v="2"/>
    <n v="2"/>
    <m/>
    <n v="1902"/>
    <n v="0"/>
    <n v="5"/>
    <s v="Recovered"/>
    <n v="1"/>
  </r>
  <r>
    <s v="ADM-240445"/>
    <d v="2024-02-16T00:00:00"/>
    <d v="2024-02-18T00:00:00"/>
    <x v="0"/>
    <s v="Q1"/>
    <x v="1"/>
    <x v="4"/>
    <x v="4"/>
    <x v="0"/>
    <x v="1"/>
    <x v="1"/>
    <x v="0"/>
    <n v="2"/>
    <n v="55"/>
    <n v="3564"/>
    <n v="0"/>
    <n v="5"/>
    <s v="Improved"/>
    <n v="1"/>
  </r>
  <r>
    <s v="ADM-240446"/>
    <d v="2024-02-16T00:00:00"/>
    <d v="2024-02-21T00:00:00"/>
    <x v="0"/>
    <s v="Q1"/>
    <x v="1"/>
    <x v="4"/>
    <x v="5"/>
    <x v="2"/>
    <x v="1"/>
    <x v="0"/>
    <x v="2"/>
    <n v="5"/>
    <m/>
    <n v="4397"/>
    <n v="0"/>
    <n v="5"/>
    <s v="Recovered"/>
    <n v="1"/>
  </r>
  <r>
    <s v="ADM-240447"/>
    <d v="2024-02-16T00:00:00"/>
    <d v="2024-02-23T00:00:00"/>
    <x v="0"/>
    <s v="Q1"/>
    <x v="1"/>
    <x v="4"/>
    <x v="5"/>
    <x v="0"/>
    <x v="0"/>
    <x v="4"/>
    <x v="1"/>
    <n v="7"/>
    <n v="116"/>
    <n v="4889"/>
    <n v="0"/>
    <n v="3"/>
    <s v="Improved"/>
    <n v="1"/>
  </r>
  <r>
    <s v="ADM-240448"/>
    <d v="2024-02-16T00:00:00"/>
    <d v="2024-02-25T00:00:00"/>
    <x v="0"/>
    <s v="Q1"/>
    <x v="1"/>
    <x v="4"/>
    <x v="1"/>
    <x v="2"/>
    <x v="1"/>
    <x v="0"/>
    <x v="0"/>
    <n v="9"/>
    <m/>
    <n v="8603"/>
    <n v="0"/>
    <n v="5"/>
    <s v="Recovered"/>
    <n v="1"/>
  </r>
  <r>
    <s v="ADM-240449"/>
    <d v="2024-02-16T00:00:00"/>
    <d v="2024-02-19T00:00:00"/>
    <x v="0"/>
    <s v="Q1"/>
    <x v="1"/>
    <x v="4"/>
    <x v="3"/>
    <x v="0"/>
    <x v="1"/>
    <x v="3"/>
    <x v="0"/>
    <n v="3"/>
    <n v="187"/>
    <n v="2355"/>
    <n v="0"/>
    <n v="3"/>
    <s v="Recovered"/>
    <n v="1"/>
  </r>
  <r>
    <s v="ADM-240450"/>
    <d v="2024-02-16T00:00:00"/>
    <d v="2024-02-18T00:00:00"/>
    <x v="0"/>
    <s v="Q1"/>
    <x v="1"/>
    <x v="4"/>
    <x v="5"/>
    <x v="2"/>
    <x v="0"/>
    <x v="2"/>
    <x v="2"/>
    <n v="2"/>
    <m/>
    <n v="2260"/>
    <n v="0"/>
    <n v="4"/>
    <s v="Improved"/>
    <n v="1"/>
  </r>
  <r>
    <s v="ADM-240451"/>
    <d v="2024-02-17T00:00:00"/>
    <d v="2024-02-20T00:00:00"/>
    <x v="0"/>
    <s v="Q1"/>
    <x v="1"/>
    <x v="5"/>
    <x v="3"/>
    <x v="2"/>
    <x v="1"/>
    <x v="3"/>
    <x v="2"/>
    <n v="3"/>
    <m/>
    <n v="2323"/>
    <n v="0"/>
    <n v="4"/>
    <s v="Recovered"/>
    <n v="1"/>
  </r>
  <r>
    <s v="ADM-240452"/>
    <d v="2024-02-17T00:00:00"/>
    <d v="2024-02-18T00:00:00"/>
    <x v="0"/>
    <s v="Q1"/>
    <x v="1"/>
    <x v="5"/>
    <x v="4"/>
    <x v="0"/>
    <x v="1"/>
    <x v="4"/>
    <x v="2"/>
    <n v="1"/>
    <n v="44"/>
    <n v="2307"/>
    <n v="0"/>
    <n v="4"/>
    <s v="Improved"/>
    <n v="1"/>
  </r>
  <r>
    <s v="ADM-240453"/>
    <d v="2024-02-17T00:00:00"/>
    <d v="2024-02-21T00:00:00"/>
    <x v="0"/>
    <s v="Q1"/>
    <x v="1"/>
    <x v="5"/>
    <x v="0"/>
    <x v="0"/>
    <x v="0"/>
    <x v="1"/>
    <x v="0"/>
    <n v="4"/>
    <n v="121"/>
    <n v="3364"/>
    <n v="1"/>
    <n v="2"/>
    <s v="Recovered"/>
    <n v="1"/>
  </r>
  <r>
    <s v="ADM-240454"/>
    <d v="2024-02-17T00:00:00"/>
    <d v="2024-02-20T00:00:00"/>
    <x v="0"/>
    <s v="Q1"/>
    <x v="1"/>
    <x v="5"/>
    <x v="5"/>
    <x v="2"/>
    <x v="0"/>
    <x v="4"/>
    <x v="2"/>
    <n v="3"/>
    <m/>
    <n v="3604"/>
    <n v="0"/>
    <n v="3"/>
    <s v="Recovered"/>
    <n v="1"/>
  </r>
  <r>
    <s v="ADM-240455"/>
    <d v="2024-02-17T00:00:00"/>
    <d v="2024-02-22T00:00:00"/>
    <x v="0"/>
    <s v="Q1"/>
    <x v="1"/>
    <x v="5"/>
    <x v="1"/>
    <x v="2"/>
    <x v="1"/>
    <x v="0"/>
    <x v="0"/>
    <n v="5"/>
    <m/>
    <n v="4444"/>
    <n v="1"/>
    <n v="5"/>
    <s v="Recovered"/>
    <n v="1"/>
  </r>
  <r>
    <s v="ADM-240456"/>
    <d v="2024-02-17T00:00:00"/>
    <d v="2024-02-23T00:00:00"/>
    <x v="0"/>
    <s v="Q1"/>
    <x v="1"/>
    <x v="5"/>
    <x v="4"/>
    <x v="0"/>
    <x v="1"/>
    <x v="2"/>
    <x v="1"/>
    <n v="6"/>
    <n v="123"/>
    <n v="8389"/>
    <n v="0"/>
    <n v="3"/>
    <s v="Recovered"/>
    <n v="1"/>
  </r>
  <r>
    <s v="ADM-240457"/>
    <d v="2024-02-17T00:00:00"/>
    <d v="2024-02-19T00:00:00"/>
    <x v="0"/>
    <s v="Q1"/>
    <x v="1"/>
    <x v="5"/>
    <x v="0"/>
    <x v="0"/>
    <x v="0"/>
    <x v="1"/>
    <x v="0"/>
    <n v="2"/>
    <n v="30"/>
    <n v="1933"/>
    <n v="0"/>
    <n v="5"/>
    <s v="Improved"/>
    <n v="1"/>
  </r>
  <r>
    <s v="ADM-240458"/>
    <d v="2024-02-17T00:00:00"/>
    <d v="2024-02-19T00:00:00"/>
    <x v="0"/>
    <s v="Q1"/>
    <x v="1"/>
    <x v="5"/>
    <x v="3"/>
    <x v="2"/>
    <x v="1"/>
    <x v="3"/>
    <x v="2"/>
    <n v="2"/>
    <m/>
    <n v="2043"/>
    <n v="0"/>
    <n v="4"/>
    <s v="Improved"/>
    <n v="1"/>
  </r>
  <r>
    <s v="ADM-240459"/>
    <d v="2024-02-17T00:00:00"/>
    <d v="2024-02-18T00:00:00"/>
    <x v="0"/>
    <s v="Q1"/>
    <x v="1"/>
    <x v="5"/>
    <x v="0"/>
    <x v="0"/>
    <x v="0"/>
    <x v="4"/>
    <x v="2"/>
    <n v="1"/>
    <n v="137"/>
    <n v="1278"/>
    <n v="1"/>
    <n v="3"/>
    <s v="Recovered"/>
    <n v="1"/>
  </r>
  <r>
    <s v="ADM-240460"/>
    <d v="2024-02-17T00:00:00"/>
    <d v="2024-02-19T00:00:00"/>
    <x v="0"/>
    <s v="Q1"/>
    <x v="1"/>
    <x v="5"/>
    <x v="0"/>
    <x v="2"/>
    <x v="0"/>
    <x v="4"/>
    <x v="2"/>
    <n v="2"/>
    <m/>
    <n v="2095"/>
    <n v="0"/>
    <n v="4"/>
    <s v="Recovered"/>
    <n v="1"/>
  </r>
  <r>
    <s v="ADM-240461"/>
    <d v="2024-02-17T00:00:00"/>
    <d v="2024-02-28T00:00:00"/>
    <x v="0"/>
    <s v="Q1"/>
    <x v="1"/>
    <x v="5"/>
    <x v="0"/>
    <x v="0"/>
    <x v="0"/>
    <x v="0"/>
    <x v="2"/>
    <n v="11"/>
    <n v="123"/>
    <n v="6696"/>
    <n v="0"/>
    <n v="3"/>
    <s v="Recovered"/>
    <n v="1"/>
  </r>
  <r>
    <s v="ADM-240462"/>
    <d v="2024-02-18T00:00:00"/>
    <d v="2024-02-20T00:00:00"/>
    <x v="0"/>
    <s v="Q1"/>
    <x v="1"/>
    <x v="6"/>
    <x v="0"/>
    <x v="0"/>
    <x v="1"/>
    <x v="4"/>
    <x v="0"/>
    <n v="2"/>
    <n v="61"/>
    <n v="2214"/>
    <n v="0"/>
    <n v="4"/>
    <s v="Deceased"/>
    <n v="1"/>
  </r>
  <r>
    <s v="ADM-240463"/>
    <d v="2024-02-18T00:00:00"/>
    <d v="2024-02-24T00:00:00"/>
    <x v="0"/>
    <s v="Q1"/>
    <x v="1"/>
    <x v="6"/>
    <x v="3"/>
    <x v="0"/>
    <x v="1"/>
    <x v="3"/>
    <x v="2"/>
    <n v="6"/>
    <n v="64"/>
    <n v="4073"/>
    <n v="0"/>
    <n v="4"/>
    <s v="Recovered"/>
    <n v="1"/>
  </r>
  <r>
    <s v="ADM-240464"/>
    <d v="2024-02-18T00:00:00"/>
    <d v="2024-02-20T00:00:00"/>
    <x v="0"/>
    <s v="Q1"/>
    <x v="1"/>
    <x v="6"/>
    <x v="2"/>
    <x v="0"/>
    <x v="0"/>
    <x v="1"/>
    <x v="2"/>
    <n v="2"/>
    <n v="56"/>
    <n v="2104"/>
    <n v="0"/>
    <n v="4"/>
    <s v="Recovered"/>
    <n v="1"/>
  </r>
  <r>
    <s v="ADM-240465"/>
    <d v="2024-02-18T00:00:00"/>
    <d v="2024-02-20T00:00:00"/>
    <x v="0"/>
    <s v="Q1"/>
    <x v="1"/>
    <x v="6"/>
    <x v="5"/>
    <x v="2"/>
    <x v="0"/>
    <x v="0"/>
    <x v="2"/>
    <n v="2"/>
    <m/>
    <n v="2929"/>
    <n v="0"/>
    <n v="4"/>
    <s v="Recovered"/>
    <n v="1"/>
  </r>
  <r>
    <s v="ADM-240466"/>
    <d v="2024-02-18T00:00:00"/>
    <d v="2024-03-04T00:00:00"/>
    <x v="0"/>
    <s v="Q1"/>
    <x v="1"/>
    <x v="6"/>
    <x v="0"/>
    <x v="0"/>
    <x v="1"/>
    <x v="0"/>
    <x v="2"/>
    <n v="15"/>
    <n v="86"/>
    <n v="11578"/>
    <n v="0"/>
    <n v="4"/>
    <s v="Recovered"/>
    <n v="1"/>
  </r>
  <r>
    <s v="ADM-240467"/>
    <d v="2024-02-19T00:00:00"/>
    <d v="2024-02-22T00:00:00"/>
    <x v="0"/>
    <s v="Q1"/>
    <x v="1"/>
    <x v="0"/>
    <x v="0"/>
    <x v="0"/>
    <x v="1"/>
    <x v="0"/>
    <x v="2"/>
    <n v="3"/>
    <n v="45"/>
    <n v="3594"/>
    <n v="1"/>
    <n v="4"/>
    <s v="Transferred"/>
    <n v="1"/>
  </r>
  <r>
    <s v="ADM-240468"/>
    <d v="2024-02-19T00:00:00"/>
    <d v="2024-02-24T00:00:00"/>
    <x v="0"/>
    <s v="Q1"/>
    <x v="1"/>
    <x v="0"/>
    <x v="4"/>
    <x v="2"/>
    <x v="1"/>
    <x v="0"/>
    <x v="2"/>
    <n v="5"/>
    <m/>
    <n v="5272"/>
    <n v="0"/>
    <n v="4"/>
    <s v="Improved"/>
    <n v="1"/>
  </r>
  <r>
    <s v="ADM-240469"/>
    <d v="2024-02-19T00:00:00"/>
    <d v="2024-02-22T00:00:00"/>
    <x v="0"/>
    <s v="Q1"/>
    <x v="1"/>
    <x v="0"/>
    <x v="3"/>
    <x v="0"/>
    <x v="1"/>
    <x v="3"/>
    <x v="2"/>
    <n v="3"/>
    <n v="75"/>
    <n v="2334"/>
    <n v="0"/>
    <n v="4"/>
    <s v="Recovered"/>
    <n v="1"/>
  </r>
  <r>
    <s v="ADM-240470"/>
    <d v="2024-02-19T00:00:00"/>
    <d v="2024-02-22T00:00:00"/>
    <x v="0"/>
    <s v="Q1"/>
    <x v="1"/>
    <x v="0"/>
    <x v="3"/>
    <x v="0"/>
    <x v="1"/>
    <x v="3"/>
    <x v="2"/>
    <n v="3"/>
    <n v="132"/>
    <n v="2820"/>
    <n v="1"/>
    <n v="2"/>
    <s v="Recovered"/>
    <n v="1"/>
  </r>
  <r>
    <s v="ADM-240471"/>
    <d v="2024-02-19T00:00:00"/>
    <d v="2024-02-25T00:00:00"/>
    <x v="0"/>
    <s v="Q1"/>
    <x v="1"/>
    <x v="0"/>
    <x v="1"/>
    <x v="0"/>
    <x v="1"/>
    <x v="0"/>
    <x v="0"/>
    <n v="6"/>
    <n v="70"/>
    <n v="7215"/>
    <n v="1"/>
    <n v="4"/>
    <s v="Recovered"/>
    <n v="1"/>
  </r>
  <r>
    <s v="ADM-240472"/>
    <d v="2024-02-19T00:00:00"/>
    <d v="2024-02-22T00:00:00"/>
    <x v="0"/>
    <s v="Q1"/>
    <x v="1"/>
    <x v="0"/>
    <x v="2"/>
    <x v="0"/>
    <x v="0"/>
    <x v="2"/>
    <x v="2"/>
    <n v="3"/>
    <n v="49"/>
    <n v="2252"/>
    <n v="0"/>
    <n v="5"/>
    <s v="Recovered"/>
    <n v="1"/>
  </r>
  <r>
    <s v="ADM-240473"/>
    <d v="2024-02-19T00:00:00"/>
    <d v="2024-02-26T00:00:00"/>
    <x v="0"/>
    <s v="Q1"/>
    <x v="1"/>
    <x v="0"/>
    <x v="4"/>
    <x v="0"/>
    <x v="1"/>
    <x v="4"/>
    <x v="1"/>
    <n v="7"/>
    <n v="108"/>
    <n v="10201"/>
    <n v="0"/>
    <n v="3"/>
    <s v="Recovered"/>
    <n v="1"/>
  </r>
  <r>
    <s v="ADM-240474"/>
    <d v="2024-02-19T00:00:00"/>
    <d v="2024-02-20T00:00:00"/>
    <x v="0"/>
    <s v="Q1"/>
    <x v="1"/>
    <x v="0"/>
    <x v="1"/>
    <x v="2"/>
    <x v="1"/>
    <x v="4"/>
    <x v="2"/>
    <n v="1"/>
    <m/>
    <n v="1646"/>
    <n v="0"/>
    <n v="4"/>
    <s v="Recovered"/>
    <n v="1"/>
  </r>
  <r>
    <s v="ADM-240475"/>
    <d v="2024-02-19T00:00:00"/>
    <d v="2024-02-26T00:00:00"/>
    <x v="0"/>
    <s v="Q1"/>
    <x v="1"/>
    <x v="0"/>
    <x v="5"/>
    <x v="0"/>
    <x v="0"/>
    <x v="0"/>
    <x v="2"/>
    <n v="7"/>
    <n v="35"/>
    <n v="7064"/>
    <n v="1"/>
    <n v="3"/>
    <s v="Recovered"/>
    <n v="1"/>
  </r>
  <r>
    <s v="ADM-240476"/>
    <d v="2024-02-20T00:00:00"/>
    <d v="2024-02-25T00:00:00"/>
    <x v="0"/>
    <s v="Q1"/>
    <x v="1"/>
    <x v="1"/>
    <x v="4"/>
    <x v="0"/>
    <x v="1"/>
    <x v="4"/>
    <x v="2"/>
    <n v="5"/>
    <n v="43"/>
    <n v="6553"/>
    <n v="0"/>
    <n v="4"/>
    <s v="Recovered"/>
    <n v="1"/>
  </r>
  <r>
    <s v="ADM-240477"/>
    <d v="2024-02-20T00:00:00"/>
    <d v="2024-02-29T00:00:00"/>
    <x v="0"/>
    <s v="Q1"/>
    <x v="1"/>
    <x v="1"/>
    <x v="0"/>
    <x v="2"/>
    <x v="1"/>
    <x v="4"/>
    <x v="0"/>
    <n v="9"/>
    <m/>
    <n v="5544"/>
    <n v="0"/>
    <n v="5"/>
    <s v="Recovered"/>
    <n v="1"/>
  </r>
  <r>
    <s v="ADM-240478"/>
    <d v="2024-02-20T00:00:00"/>
    <d v="2024-02-27T00:00:00"/>
    <x v="0"/>
    <s v="Q1"/>
    <x v="1"/>
    <x v="1"/>
    <x v="0"/>
    <x v="0"/>
    <x v="0"/>
    <x v="1"/>
    <x v="2"/>
    <n v="7"/>
    <n v="246"/>
    <n v="4078"/>
    <n v="0"/>
    <n v="4"/>
    <s v="Recovered"/>
    <n v="1"/>
  </r>
  <r>
    <s v="ADM-240479"/>
    <d v="2024-02-20T00:00:00"/>
    <d v="2024-03-15T00:00:00"/>
    <x v="0"/>
    <s v="Q1"/>
    <x v="1"/>
    <x v="1"/>
    <x v="1"/>
    <x v="0"/>
    <x v="1"/>
    <x v="2"/>
    <x v="0"/>
    <n v="24"/>
    <n v="71"/>
    <n v="27682"/>
    <n v="0"/>
    <n v="4"/>
    <s v="Recovered"/>
    <n v="1"/>
  </r>
  <r>
    <s v="ADM-240480"/>
    <d v="2024-02-20T00:00:00"/>
    <d v="2024-02-21T00:00:00"/>
    <x v="0"/>
    <s v="Q1"/>
    <x v="1"/>
    <x v="1"/>
    <x v="5"/>
    <x v="2"/>
    <x v="1"/>
    <x v="0"/>
    <x v="0"/>
    <n v="1"/>
    <m/>
    <n v="1680"/>
    <n v="1"/>
    <n v="3"/>
    <s v="Improved"/>
    <n v="1"/>
  </r>
  <r>
    <s v="ADM-240481"/>
    <d v="2024-02-21T00:00:00"/>
    <d v="2024-02-23T00:00:00"/>
    <x v="0"/>
    <s v="Q1"/>
    <x v="1"/>
    <x v="2"/>
    <x v="2"/>
    <x v="0"/>
    <x v="0"/>
    <x v="2"/>
    <x v="0"/>
    <n v="2"/>
    <n v="133"/>
    <n v="2537"/>
    <n v="0"/>
    <n v="4"/>
    <s v="Recovered"/>
    <n v="1"/>
  </r>
  <r>
    <s v="ADM-240482"/>
    <d v="2024-02-21T00:00:00"/>
    <d v="2024-02-23T00:00:00"/>
    <x v="0"/>
    <s v="Q1"/>
    <x v="1"/>
    <x v="2"/>
    <x v="2"/>
    <x v="1"/>
    <x v="0"/>
    <x v="2"/>
    <x v="0"/>
    <n v="2"/>
    <m/>
    <n v="1846"/>
    <n v="0"/>
    <n v="5"/>
    <s v="Improved"/>
    <n v="1"/>
  </r>
  <r>
    <s v="ADM-240483"/>
    <d v="2024-02-21T00:00:00"/>
    <d v="2024-02-26T00:00:00"/>
    <x v="0"/>
    <s v="Q1"/>
    <x v="1"/>
    <x v="2"/>
    <x v="3"/>
    <x v="0"/>
    <x v="0"/>
    <x v="3"/>
    <x v="2"/>
    <n v="5"/>
    <n v="106"/>
    <n v="4082"/>
    <n v="0"/>
    <n v="3"/>
    <s v="Recovered"/>
    <n v="1"/>
  </r>
  <r>
    <s v="ADM-240484"/>
    <d v="2024-02-21T00:00:00"/>
    <d v="2024-02-25T00:00:00"/>
    <x v="0"/>
    <s v="Q1"/>
    <x v="1"/>
    <x v="2"/>
    <x v="0"/>
    <x v="2"/>
    <x v="0"/>
    <x v="0"/>
    <x v="0"/>
    <n v="4"/>
    <m/>
    <n v="3019"/>
    <n v="0"/>
    <n v="4"/>
    <s v="Transferred"/>
    <n v="1"/>
  </r>
  <r>
    <s v="ADM-240485"/>
    <d v="2024-02-21T00:00:00"/>
    <d v="2024-02-25T00:00:00"/>
    <x v="0"/>
    <s v="Q1"/>
    <x v="1"/>
    <x v="2"/>
    <x v="0"/>
    <x v="2"/>
    <x v="0"/>
    <x v="0"/>
    <x v="0"/>
    <n v="4"/>
    <m/>
    <n v="3850"/>
    <n v="1"/>
    <n v="4"/>
    <s v="Recovered"/>
    <n v="1"/>
  </r>
  <r>
    <s v="ADM-240486"/>
    <d v="2024-02-21T00:00:00"/>
    <d v="2024-02-23T00:00:00"/>
    <x v="0"/>
    <s v="Q1"/>
    <x v="1"/>
    <x v="2"/>
    <x v="2"/>
    <x v="0"/>
    <x v="0"/>
    <x v="2"/>
    <x v="2"/>
    <n v="2"/>
    <n v="62"/>
    <n v="2276"/>
    <n v="0"/>
    <n v="4"/>
    <s v="Recovered"/>
    <n v="1"/>
  </r>
  <r>
    <s v="ADM-240487"/>
    <d v="2024-02-21T00:00:00"/>
    <d v="2024-02-28T00:00:00"/>
    <x v="0"/>
    <s v="Q1"/>
    <x v="1"/>
    <x v="2"/>
    <x v="0"/>
    <x v="2"/>
    <x v="1"/>
    <x v="4"/>
    <x v="0"/>
    <n v="7"/>
    <m/>
    <n v="4373"/>
    <n v="0"/>
    <n v="3"/>
    <s v="Recovered"/>
    <n v="1"/>
  </r>
  <r>
    <s v="ADM-240488"/>
    <d v="2024-02-21T00:00:00"/>
    <d v="2024-02-23T00:00:00"/>
    <x v="0"/>
    <s v="Q1"/>
    <x v="1"/>
    <x v="2"/>
    <x v="2"/>
    <x v="0"/>
    <x v="0"/>
    <x v="1"/>
    <x v="2"/>
    <n v="2"/>
    <n v="72"/>
    <n v="2045"/>
    <n v="0"/>
    <n v="5"/>
    <s v="Improved"/>
    <n v="1"/>
  </r>
  <r>
    <s v="ADM-240489"/>
    <d v="2024-02-22T00:00:00"/>
    <d v="2024-02-24T00:00:00"/>
    <x v="0"/>
    <s v="Q1"/>
    <x v="1"/>
    <x v="3"/>
    <x v="1"/>
    <x v="2"/>
    <x v="0"/>
    <x v="0"/>
    <x v="0"/>
    <n v="2"/>
    <m/>
    <n v="2690"/>
    <n v="0"/>
    <n v="5"/>
    <s v="Improved"/>
    <n v="1"/>
  </r>
  <r>
    <s v="ADM-240490"/>
    <d v="2024-02-22T00:00:00"/>
    <d v="2024-02-24T00:00:00"/>
    <x v="0"/>
    <s v="Q1"/>
    <x v="1"/>
    <x v="3"/>
    <x v="5"/>
    <x v="2"/>
    <x v="0"/>
    <x v="2"/>
    <x v="1"/>
    <n v="2"/>
    <m/>
    <n v="3159"/>
    <n v="0"/>
    <n v="4"/>
    <s v="Recovered"/>
    <n v="1"/>
  </r>
  <r>
    <s v="ADM-240491"/>
    <d v="2024-02-22T00:00:00"/>
    <d v="2024-02-26T00:00:00"/>
    <x v="0"/>
    <s v="Q1"/>
    <x v="1"/>
    <x v="3"/>
    <x v="5"/>
    <x v="2"/>
    <x v="1"/>
    <x v="2"/>
    <x v="1"/>
    <n v="4"/>
    <m/>
    <n v="5612"/>
    <n v="0"/>
    <n v="5"/>
    <s v="Recovered"/>
    <n v="1"/>
  </r>
  <r>
    <s v="ADM-240492"/>
    <d v="2024-02-22T00:00:00"/>
    <d v="2024-02-24T00:00:00"/>
    <x v="0"/>
    <s v="Q1"/>
    <x v="1"/>
    <x v="3"/>
    <x v="2"/>
    <x v="0"/>
    <x v="0"/>
    <x v="2"/>
    <x v="0"/>
    <n v="2"/>
    <n v="113"/>
    <n v="1793"/>
    <n v="0"/>
    <n v="4"/>
    <s v="Recovered"/>
    <n v="1"/>
  </r>
  <r>
    <s v="ADM-240493"/>
    <d v="2024-02-22T00:00:00"/>
    <d v="2024-02-26T00:00:00"/>
    <x v="0"/>
    <s v="Q1"/>
    <x v="1"/>
    <x v="3"/>
    <x v="1"/>
    <x v="2"/>
    <x v="1"/>
    <x v="4"/>
    <x v="1"/>
    <n v="4"/>
    <m/>
    <n v="3710"/>
    <n v="0"/>
    <n v="5"/>
    <s v="Recovered"/>
    <n v="1"/>
  </r>
  <r>
    <s v="ADM-240494"/>
    <d v="2024-02-22T00:00:00"/>
    <d v="2024-02-23T00:00:00"/>
    <x v="0"/>
    <s v="Q1"/>
    <x v="1"/>
    <x v="3"/>
    <x v="2"/>
    <x v="0"/>
    <x v="0"/>
    <x v="2"/>
    <x v="2"/>
    <n v="1"/>
    <n v="26"/>
    <n v="1346"/>
    <n v="0"/>
    <n v="5"/>
    <s v="Recovered"/>
    <n v="1"/>
  </r>
  <r>
    <s v="ADM-240495"/>
    <d v="2024-02-22T00:00:00"/>
    <d v="2024-02-23T00:00:00"/>
    <x v="0"/>
    <s v="Q1"/>
    <x v="1"/>
    <x v="3"/>
    <x v="0"/>
    <x v="0"/>
    <x v="1"/>
    <x v="0"/>
    <x v="2"/>
    <n v="1"/>
    <n v="24"/>
    <n v="1464"/>
    <n v="1"/>
    <n v="4"/>
    <s v="Recovered"/>
    <n v="1"/>
  </r>
  <r>
    <s v="ADM-240496"/>
    <d v="2024-02-22T00:00:00"/>
    <d v="2024-02-24T00:00:00"/>
    <x v="0"/>
    <s v="Q1"/>
    <x v="1"/>
    <x v="3"/>
    <x v="2"/>
    <x v="0"/>
    <x v="0"/>
    <x v="1"/>
    <x v="0"/>
    <n v="2"/>
    <n v="141"/>
    <n v="2097"/>
    <n v="0"/>
    <n v="2"/>
    <s v="Recovered"/>
    <n v="1"/>
  </r>
  <r>
    <s v="ADM-240497"/>
    <d v="2024-02-22T00:00:00"/>
    <d v="2024-03-02T00:00:00"/>
    <x v="0"/>
    <s v="Q1"/>
    <x v="1"/>
    <x v="3"/>
    <x v="1"/>
    <x v="0"/>
    <x v="1"/>
    <x v="0"/>
    <x v="0"/>
    <n v="9"/>
    <n v="30"/>
    <n v="12603"/>
    <n v="0"/>
    <n v="4"/>
    <s v="Improved"/>
    <n v="1"/>
  </r>
  <r>
    <s v="ADM-240498"/>
    <d v="2024-02-22T00:00:00"/>
    <d v="2024-02-29T00:00:00"/>
    <x v="0"/>
    <s v="Q1"/>
    <x v="1"/>
    <x v="3"/>
    <x v="4"/>
    <x v="0"/>
    <x v="0"/>
    <x v="1"/>
    <x v="2"/>
    <n v="7"/>
    <n v="58"/>
    <n v="9449"/>
    <n v="0"/>
    <n v="3"/>
    <s v="Recovered"/>
    <n v="1"/>
  </r>
  <r>
    <s v="ADM-240499"/>
    <d v="2024-02-23T00:00:00"/>
    <d v="2024-03-01T00:00:00"/>
    <x v="0"/>
    <s v="Q1"/>
    <x v="1"/>
    <x v="4"/>
    <x v="0"/>
    <x v="0"/>
    <x v="1"/>
    <x v="1"/>
    <x v="1"/>
    <n v="7"/>
    <n v="92"/>
    <n v="6303"/>
    <n v="0"/>
    <n v="4"/>
    <s v="Recovered"/>
    <n v="1"/>
  </r>
  <r>
    <s v="ADM-240500"/>
    <d v="2024-02-23T00:00:00"/>
    <d v="2024-02-26T00:00:00"/>
    <x v="0"/>
    <s v="Q1"/>
    <x v="1"/>
    <x v="4"/>
    <x v="2"/>
    <x v="0"/>
    <x v="0"/>
    <x v="2"/>
    <x v="0"/>
    <n v="3"/>
    <n v="55"/>
    <n v="2567"/>
    <n v="0"/>
    <n v="5"/>
    <s v="Improved"/>
    <n v="1"/>
  </r>
  <r>
    <s v="ADM-240501"/>
    <d v="2024-02-23T00:00:00"/>
    <d v="2024-02-28T00:00:00"/>
    <x v="0"/>
    <s v="Q1"/>
    <x v="1"/>
    <x v="4"/>
    <x v="5"/>
    <x v="2"/>
    <x v="0"/>
    <x v="0"/>
    <x v="0"/>
    <n v="5"/>
    <m/>
    <n v="5112"/>
    <n v="0"/>
    <n v="4"/>
    <s v="Recovered"/>
    <n v="1"/>
  </r>
  <r>
    <s v="ADM-240502"/>
    <d v="2024-02-23T00:00:00"/>
    <d v="2024-02-27T00:00:00"/>
    <x v="0"/>
    <s v="Q1"/>
    <x v="1"/>
    <x v="4"/>
    <x v="0"/>
    <x v="1"/>
    <x v="0"/>
    <x v="2"/>
    <x v="1"/>
    <n v="4"/>
    <m/>
    <n v="3588"/>
    <n v="0"/>
    <n v="4"/>
    <s v="Improved"/>
    <n v="1"/>
  </r>
  <r>
    <s v="ADM-240503"/>
    <d v="2024-02-23T00:00:00"/>
    <d v="2024-02-28T00:00:00"/>
    <x v="0"/>
    <s v="Q1"/>
    <x v="1"/>
    <x v="4"/>
    <x v="0"/>
    <x v="2"/>
    <x v="0"/>
    <x v="1"/>
    <x v="2"/>
    <n v="5"/>
    <m/>
    <n v="4354"/>
    <n v="0"/>
    <n v="5"/>
    <s v="Recovered"/>
    <n v="1"/>
  </r>
  <r>
    <s v="ADM-240504"/>
    <d v="2024-02-23T00:00:00"/>
    <d v="2024-02-29T00:00:00"/>
    <x v="0"/>
    <s v="Q1"/>
    <x v="1"/>
    <x v="4"/>
    <x v="1"/>
    <x v="2"/>
    <x v="1"/>
    <x v="0"/>
    <x v="2"/>
    <n v="6"/>
    <m/>
    <n v="3357"/>
    <n v="1"/>
    <n v="3"/>
    <s v="Recovered"/>
    <n v="1"/>
  </r>
  <r>
    <s v="ADM-240505"/>
    <d v="2024-02-23T00:00:00"/>
    <d v="2024-02-28T00:00:00"/>
    <x v="0"/>
    <s v="Q1"/>
    <x v="1"/>
    <x v="4"/>
    <x v="0"/>
    <x v="0"/>
    <x v="0"/>
    <x v="2"/>
    <x v="0"/>
    <n v="5"/>
    <n v="39"/>
    <n v="3878"/>
    <n v="0"/>
    <n v="3"/>
    <s v="Recovered"/>
    <n v="1"/>
  </r>
  <r>
    <s v="ADM-240506"/>
    <d v="2024-02-23T00:00:00"/>
    <d v="2024-02-29T00:00:00"/>
    <x v="0"/>
    <s v="Q1"/>
    <x v="1"/>
    <x v="4"/>
    <x v="0"/>
    <x v="2"/>
    <x v="1"/>
    <x v="2"/>
    <x v="2"/>
    <n v="6"/>
    <m/>
    <n v="3434"/>
    <n v="0"/>
    <n v="4"/>
    <s v="Recovered"/>
    <n v="1"/>
  </r>
  <r>
    <s v="ADM-240507"/>
    <d v="2024-02-23T00:00:00"/>
    <d v="2024-02-25T00:00:00"/>
    <x v="0"/>
    <s v="Q1"/>
    <x v="1"/>
    <x v="4"/>
    <x v="2"/>
    <x v="0"/>
    <x v="0"/>
    <x v="2"/>
    <x v="0"/>
    <n v="2"/>
    <n v="257"/>
    <n v="1727"/>
    <n v="0"/>
    <n v="4"/>
    <s v="Improved"/>
    <n v="1"/>
  </r>
  <r>
    <s v="ADM-240508"/>
    <d v="2024-02-24T00:00:00"/>
    <d v="2024-02-27T00:00:00"/>
    <x v="0"/>
    <s v="Q1"/>
    <x v="1"/>
    <x v="5"/>
    <x v="1"/>
    <x v="0"/>
    <x v="0"/>
    <x v="0"/>
    <x v="0"/>
    <n v="3"/>
    <n v="65"/>
    <n v="4324"/>
    <n v="0"/>
    <n v="4"/>
    <s v="Recovered"/>
    <n v="1"/>
  </r>
  <r>
    <s v="ADM-240509"/>
    <d v="2024-02-24T00:00:00"/>
    <d v="2024-03-02T00:00:00"/>
    <x v="0"/>
    <s v="Q1"/>
    <x v="1"/>
    <x v="5"/>
    <x v="5"/>
    <x v="0"/>
    <x v="1"/>
    <x v="1"/>
    <x v="0"/>
    <n v="7"/>
    <n v="94"/>
    <n v="7587"/>
    <n v="0"/>
    <n v="2"/>
    <s v="Recovered"/>
    <n v="1"/>
  </r>
  <r>
    <s v="ADM-240510"/>
    <d v="2024-02-24T00:00:00"/>
    <d v="2024-02-28T00:00:00"/>
    <x v="0"/>
    <s v="Q1"/>
    <x v="1"/>
    <x v="5"/>
    <x v="0"/>
    <x v="0"/>
    <x v="1"/>
    <x v="4"/>
    <x v="2"/>
    <n v="4"/>
    <n v="54"/>
    <n v="3050"/>
    <n v="1"/>
    <n v="3"/>
    <s v="Recovered"/>
    <n v="1"/>
  </r>
  <r>
    <s v="ADM-240511"/>
    <d v="2024-02-24T00:00:00"/>
    <d v="2024-02-26T00:00:00"/>
    <x v="0"/>
    <s v="Q1"/>
    <x v="1"/>
    <x v="5"/>
    <x v="1"/>
    <x v="2"/>
    <x v="1"/>
    <x v="4"/>
    <x v="1"/>
    <n v="2"/>
    <m/>
    <n v="2818"/>
    <n v="0"/>
    <n v="4"/>
    <s v="Recovered"/>
    <n v="1"/>
  </r>
  <r>
    <s v="ADM-240512"/>
    <d v="2024-02-24T00:00:00"/>
    <d v="2024-02-27T00:00:00"/>
    <x v="0"/>
    <s v="Q1"/>
    <x v="1"/>
    <x v="5"/>
    <x v="3"/>
    <x v="1"/>
    <x v="1"/>
    <x v="3"/>
    <x v="0"/>
    <n v="3"/>
    <m/>
    <n v="2003"/>
    <n v="0"/>
    <n v="4"/>
    <s v="Recovered"/>
    <n v="1"/>
  </r>
  <r>
    <s v="ADM-240513"/>
    <d v="2024-02-24T00:00:00"/>
    <d v="2024-02-29T00:00:00"/>
    <x v="0"/>
    <s v="Q1"/>
    <x v="1"/>
    <x v="5"/>
    <x v="1"/>
    <x v="2"/>
    <x v="0"/>
    <x v="0"/>
    <x v="2"/>
    <n v="5"/>
    <m/>
    <n v="5965"/>
    <n v="0"/>
    <n v="3"/>
    <s v="Deceased"/>
    <n v="1"/>
  </r>
  <r>
    <s v="ADM-240514"/>
    <d v="2024-02-24T00:00:00"/>
    <d v="2024-03-03T00:00:00"/>
    <x v="0"/>
    <s v="Q1"/>
    <x v="1"/>
    <x v="5"/>
    <x v="0"/>
    <x v="0"/>
    <x v="0"/>
    <x v="4"/>
    <x v="1"/>
    <n v="8"/>
    <n v="155"/>
    <n v="6906"/>
    <n v="0"/>
    <n v="3"/>
    <s v="Recovered"/>
    <n v="1"/>
  </r>
  <r>
    <s v="ADM-240515"/>
    <d v="2024-02-24T00:00:00"/>
    <d v="2024-03-01T00:00:00"/>
    <x v="0"/>
    <s v="Q1"/>
    <x v="1"/>
    <x v="5"/>
    <x v="4"/>
    <x v="2"/>
    <x v="0"/>
    <x v="0"/>
    <x v="0"/>
    <n v="6"/>
    <m/>
    <n v="9639"/>
    <n v="0"/>
    <n v="4"/>
    <s v="Recovered"/>
    <n v="1"/>
  </r>
  <r>
    <s v="ADM-240516"/>
    <d v="2024-02-24T00:00:00"/>
    <d v="2024-03-04T00:00:00"/>
    <x v="0"/>
    <s v="Q1"/>
    <x v="1"/>
    <x v="5"/>
    <x v="0"/>
    <x v="0"/>
    <x v="1"/>
    <x v="1"/>
    <x v="0"/>
    <n v="9"/>
    <n v="58"/>
    <n v="5847"/>
    <n v="0"/>
    <n v="4"/>
    <s v="Improved"/>
    <n v="1"/>
  </r>
  <r>
    <s v="ADM-240517"/>
    <d v="2024-02-25T00:00:00"/>
    <d v="2024-02-27T00:00:00"/>
    <x v="0"/>
    <s v="Q1"/>
    <x v="1"/>
    <x v="6"/>
    <x v="1"/>
    <x v="2"/>
    <x v="1"/>
    <x v="4"/>
    <x v="2"/>
    <n v="2"/>
    <m/>
    <n v="2199"/>
    <n v="0"/>
    <n v="4"/>
    <s v="Improved"/>
    <n v="1"/>
  </r>
  <r>
    <s v="ADM-240518"/>
    <d v="2024-02-25T00:00:00"/>
    <d v="2024-02-29T00:00:00"/>
    <x v="0"/>
    <s v="Q1"/>
    <x v="1"/>
    <x v="6"/>
    <x v="5"/>
    <x v="0"/>
    <x v="1"/>
    <x v="1"/>
    <x v="0"/>
    <n v="4"/>
    <n v="21"/>
    <n v="5249"/>
    <n v="0"/>
    <n v="5"/>
    <s v="Recovered"/>
    <n v="1"/>
  </r>
  <r>
    <s v="ADM-240519"/>
    <d v="2024-02-25T00:00:00"/>
    <d v="2024-02-28T00:00:00"/>
    <x v="0"/>
    <s v="Q1"/>
    <x v="1"/>
    <x v="6"/>
    <x v="1"/>
    <x v="0"/>
    <x v="1"/>
    <x v="4"/>
    <x v="2"/>
    <n v="3"/>
    <n v="95"/>
    <n v="3512"/>
    <n v="0"/>
    <n v="4"/>
    <s v="Recovered"/>
    <n v="1"/>
  </r>
  <r>
    <s v="ADM-240520"/>
    <d v="2024-02-25T00:00:00"/>
    <d v="2024-02-28T00:00:00"/>
    <x v="0"/>
    <s v="Q1"/>
    <x v="1"/>
    <x v="6"/>
    <x v="2"/>
    <x v="1"/>
    <x v="0"/>
    <x v="2"/>
    <x v="0"/>
    <n v="3"/>
    <m/>
    <n v="2691"/>
    <n v="0"/>
    <n v="5"/>
    <s v="Recovered"/>
    <n v="1"/>
  </r>
  <r>
    <s v="ADM-240521"/>
    <d v="2024-02-25T00:00:00"/>
    <d v="2024-02-28T00:00:00"/>
    <x v="0"/>
    <s v="Q1"/>
    <x v="1"/>
    <x v="6"/>
    <x v="3"/>
    <x v="0"/>
    <x v="0"/>
    <x v="3"/>
    <x v="0"/>
    <n v="3"/>
    <n v="57"/>
    <n v="2942"/>
    <n v="0"/>
    <n v="3"/>
    <s v="Transferred"/>
    <n v="1"/>
  </r>
  <r>
    <s v="ADM-240522"/>
    <d v="2024-02-25T00:00:00"/>
    <d v="2024-02-27T00:00:00"/>
    <x v="0"/>
    <s v="Q1"/>
    <x v="1"/>
    <x v="6"/>
    <x v="2"/>
    <x v="0"/>
    <x v="0"/>
    <x v="2"/>
    <x v="2"/>
    <n v="2"/>
    <n v="24"/>
    <n v="2543"/>
    <n v="0"/>
    <n v="4"/>
    <s v="Recovered"/>
    <n v="1"/>
  </r>
  <r>
    <s v="ADM-240523"/>
    <d v="2024-02-25T00:00:00"/>
    <d v="2024-03-07T00:00:00"/>
    <x v="0"/>
    <s v="Q1"/>
    <x v="1"/>
    <x v="6"/>
    <x v="0"/>
    <x v="0"/>
    <x v="1"/>
    <x v="0"/>
    <x v="2"/>
    <n v="11"/>
    <n v="66"/>
    <n v="8736"/>
    <n v="1"/>
    <n v="4"/>
    <s v="Improved"/>
    <n v="1"/>
  </r>
  <r>
    <s v="ADM-240524"/>
    <d v="2024-02-25T00:00:00"/>
    <d v="2024-02-29T00:00:00"/>
    <x v="0"/>
    <s v="Q1"/>
    <x v="1"/>
    <x v="6"/>
    <x v="1"/>
    <x v="2"/>
    <x v="0"/>
    <x v="0"/>
    <x v="0"/>
    <n v="4"/>
    <m/>
    <n v="4409"/>
    <n v="0"/>
    <n v="3"/>
    <s v="Deceased"/>
    <n v="1"/>
  </r>
  <r>
    <s v="ADM-240525"/>
    <d v="2024-02-25T00:00:00"/>
    <d v="2024-02-27T00:00:00"/>
    <x v="0"/>
    <s v="Q1"/>
    <x v="1"/>
    <x v="6"/>
    <x v="5"/>
    <x v="2"/>
    <x v="1"/>
    <x v="0"/>
    <x v="2"/>
    <n v="2"/>
    <m/>
    <n v="2128"/>
    <n v="0"/>
    <n v="4"/>
    <s v="Recovered"/>
    <n v="1"/>
  </r>
  <r>
    <s v="ADM-240526"/>
    <d v="2024-02-25T00:00:00"/>
    <d v="2024-02-27T00:00:00"/>
    <x v="0"/>
    <s v="Q1"/>
    <x v="1"/>
    <x v="6"/>
    <x v="3"/>
    <x v="0"/>
    <x v="1"/>
    <x v="3"/>
    <x v="2"/>
    <n v="2"/>
    <n v="135"/>
    <n v="1590"/>
    <n v="0"/>
    <n v="3"/>
    <s v="Recovered"/>
    <n v="1"/>
  </r>
  <r>
    <s v="ADM-240527"/>
    <d v="2024-02-26T00:00:00"/>
    <d v="2024-03-01T00:00:00"/>
    <x v="0"/>
    <s v="Q1"/>
    <x v="1"/>
    <x v="0"/>
    <x v="0"/>
    <x v="0"/>
    <x v="1"/>
    <x v="2"/>
    <x v="0"/>
    <n v="4"/>
    <n v="67"/>
    <n v="3408"/>
    <n v="0"/>
    <n v="5"/>
    <s v="Recovered"/>
    <n v="1"/>
  </r>
  <r>
    <s v="ADM-240528"/>
    <d v="2024-02-26T00:00:00"/>
    <d v="2024-02-28T00:00:00"/>
    <x v="0"/>
    <s v="Q1"/>
    <x v="1"/>
    <x v="0"/>
    <x v="5"/>
    <x v="0"/>
    <x v="1"/>
    <x v="4"/>
    <x v="2"/>
    <n v="2"/>
    <n v="51"/>
    <n v="2460"/>
    <n v="1"/>
    <n v="5"/>
    <s v="Recovered"/>
    <n v="1"/>
  </r>
  <r>
    <s v="ADM-240529"/>
    <d v="2024-02-26T00:00:00"/>
    <d v="2024-02-29T00:00:00"/>
    <x v="0"/>
    <s v="Q1"/>
    <x v="1"/>
    <x v="0"/>
    <x v="4"/>
    <x v="2"/>
    <x v="0"/>
    <x v="2"/>
    <x v="2"/>
    <n v="3"/>
    <m/>
    <n v="3635"/>
    <n v="1"/>
    <n v="3"/>
    <s v="Recovered"/>
    <n v="1"/>
  </r>
  <r>
    <s v="ADM-240530"/>
    <d v="2024-02-26T00:00:00"/>
    <d v="2024-02-28T00:00:00"/>
    <x v="0"/>
    <s v="Q1"/>
    <x v="1"/>
    <x v="0"/>
    <x v="1"/>
    <x v="2"/>
    <x v="0"/>
    <x v="4"/>
    <x v="0"/>
    <n v="2"/>
    <m/>
    <n v="2936"/>
    <n v="1"/>
    <n v="4"/>
    <s v="Recovered"/>
    <n v="1"/>
  </r>
  <r>
    <s v="ADM-240531"/>
    <d v="2024-02-26T00:00:00"/>
    <d v="2024-02-29T00:00:00"/>
    <x v="0"/>
    <s v="Q1"/>
    <x v="1"/>
    <x v="0"/>
    <x v="3"/>
    <x v="0"/>
    <x v="0"/>
    <x v="3"/>
    <x v="2"/>
    <n v="3"/>
    <n v="85"/>
    <n v="2554"/>
    <n v="0"/>
    <n v="5"/>
    <s v="Recovered"/>
    <n v="1"/>
  </r>
  <r>
    <s v="ADM-240532"/>
    <d v="2024-02-26T00:00:00"/>
    <d v="2024-03-21T00:00:00"/>
    <x v="0"/>
    <s v="Q1"/>
    <x v="1"/>
    <x v="0"/>
    <x v="4"/>
    <x v="0"/>
    <x v="0"/>
    <x v="0"/>
    <x v="0"/>
    <n v="24"/>
    <n v="148"/>
    <n v="24925"/>
    <n v="0"/>
    <n v="4"/>
    <s v="Recovered"/>
    <n v="1"/>
  </r>
  <r>
    <s v="ADM-240533"/>
    <d v="2024-02-27T00:00:00"/>
    <d v="2024-03-04T00:00:00"/>
    <x v="0"/>
    <s v="Q1"/>
    <x v="1"/>
    <x v="1"/>
    <x v="1"/>
    <x v="2"/>
    <x v="0"/>
    <x v="0"/>
    <x v="2"/>
    <n v="6"/>
    <m/>
    <n v="6326"/>
    <n v="0"/>
    <n v="4"/>
    <s v="Improved"/>
    <n v="1"/>
  </r>
  <r>
    <s v="ADM-240534"/>
    <d v="2024-02-27T00:00:00"/>
    <d v="2024-02-29T00:00:00"/>
    <x v="0"/>
    <s v="Q1"/>
    <x v="1"/>
    <x v="1"/>
    <x v="0"/>
    <x v="2"/>
    <x v="1"/>
    <x v="0"/>
    <x v="0"/>
    <n v="2"/>
    <m/>
    <n v="1429"/>
    <n v="1"/>
    <n v="3"/>
    <s v="Recovered"/>
    <n v="1"/>
  </r>
  <r>
    <s v="ADM-240535"/>
    <d v="2024-02-27T00:00:00"/>
    <d v="2024-02-29T00:00:00"/>
    <x v="0"/>
    <s v="Q1"/>
    <x v="1"/>
    <x v="1"/>
    <x v="2"/>
    <x v="1"/>
    <x v="0"/>
    <x v="1"/>
    <x v="2"/>
    <n v="2"/>
    <m/>
    <n v="2058"/>
    <n v="0"/>
    <n v="4"/>
    <s v="Improved"/>
    <n v="1"/>
  </r>
  <r>
    <s v="ADM-240536"/>
    <d v="2024-02-27T00:00:00"/>
    <d v="2024-02-29T00:00:00"/>
    <x v="0"/>
    <s v="Q1"/>
    <x v="1"/>
    <x v="1"/>
    <x v="3"/>
    <x v="0"/>
    <x v="1"/>
    <x v="3"/>
    <x v="0"/>
    <n v="2"/>
    <n v="115"/>
    <n v="1763"/>
    <n v="0"/>
    <n v="4"/>
    <s v="Improved"/>
    <n v="1"/>
  </r>
  <r>
    <s v="ADM-240537"/>
    <d v="2024-02-27T00:00:00"/>
    <d v="2024-03-09T00:00:00"/>
    <x v="0"/>
    <s v="Q1"/>
    <x v="1"/>
    <x v="1"/>
    <x v="5"/>
    <x v="2"/>
    <x v="0"/>
    <x v="0"/>
    <x v="0"/>
    <n v="11"/>
    <m/>
    <n v="10621"/>
    <n v="0"/>
    <n v="4"/>
    <s v="Improved"/>
    <n v="1"/>
  </r>
  <r>
    <s v="ADM-240538"/>
    <d v="2024-02-27T00:00:00"/>
    <d v="2024-02-29T00:00:00"/>
    <x v="0"/>
    <s v="Q1"/>
    <x v="1"/>
    <x v="1"/>
    <x v="0"/>
    <x v="2"/>
    <x v="0"/>
    <x v="4"/>
    <x v="2"/>
    <n v="2"/>
    <m/>
    <n v="1787"/>
    <n v="0"/>
    <n v="4"/>
    <s v="Improved"/>
    <n v="1"/>
  </r>
  <r>
    <s v="ADM-240539"/>
    <d v="2024-02-28T00:00:00"/>
    <d v="2024-03-07T00:00:00"/>
    <x v="0"/>
    <s v="Q1"/>
    <x v="1"/>
    <x v="2"/>
    <x v="0"/>
    <x v="0"/>
    <x v="1"/>
    <x v="0"/>
    <x v="0"/>
    <n v="8"/>
    <n v="164"/>
    <n v="7191"/>
    <n v="1"/>
    <n v="1"/>
    <s v="Improved"/>
    <n v="1"/>
  </r>
  <r>
    <s v="ADM-240540"/>
    <d v="2024-02-28T00:00:00"/>
    <d v="2024-03-02T00:00:00"/>
    <x v="0"/>
    <s v="Q1"/>
    <x v="1"/>
    <x v="2"/>
    <x v="3"/>
    <x v="0"/>
    <x v="0"/>
    <x v="3"/>
    <x v="0"/>
    <n v="3"/>
    <n v="55"/>
    <n v="2462"/>
    <n v="0"/>
    <n v="5"/>
    <s v="Improved"/>
    <n v="1"/>
  </r>
  <r>
    <s v="ADM-240541"/>
    <d v="2024-02-28T00:00:00"/>
    <d v="2024-03-03T00:00:00"/>
    <x v="0"/>
    <s v="Q1"/>
    <x v="1"/>
    <x v="2"/>
    <x v="4"/>
    <x v="0"/>
    <x v="0"/>
    <x v="2"/>
    <x v="2"/>
    <n v="4"/>
    <n v="103"/>
    <n v="6062"/>
    <n v="0"/>
    <n v="3"/>
    <s v="Recovered"/>
    <n v="1"/>
  </r>
  <r>
    <s v="ADM-240542"/>
    <d v="2024-02-28T00:00:00"/>
    <d v="2024-03-03T00:00:00"/>
    <x v="0"/>
    <s v="Q1"/>
    <x v="1"/>
    <x v="2"/>
    <x v="1"/>
    <x v="1"/>
    <x v="1"/>
    <x v="1"/>
    <x v="2"/>
    <n v="4"/>
    <m/>
    <n v="4529"/>
    <n v="0"/>
    <n v="4"/>
    <s v="Recovered"/>
    <n v="1"/>
  </r>
  <r>
    <s v="ADM-240543"/>
    <d v="2024-02-28T00:00:00"/>
    <d v="2024-03-02T00:00:00"/>
    <x v="0"/>
    <s v="Q1"/>
    <x v="1"/>
    <x v="2"/>
    <x v="2"/>
    <x v="0"/>
    <x v="0"/>
    <x v="2"/>
    <x v="0"/>
    <n v="3"/>
    <n v="92"/>
    <n v="2526"/>
    <n v="1"/>
    <n v="4"/>
    <s v="Improved"/>
    <n v="1"/>
  </r>
  <r>
    <s v="ADM-240544"/>
    <d v="2024-02-28T00:00:00"/>
    <d v="2024-03-03T00:00:00"/>
    <x v="0"/>
    <s v="Q1"/>
    <x v="1"/>
    <x v="2"/>
    <x v="3"/>
    <x v="0"/>
    <x v="0"/>
    <x v="3"/>
    <x v="1"/>
    <n v="4"/>
    <n v="84"/>
    <n v="3284"/>
    <n v="0"/>
    <n v="4"/>
    <s v="Recovered"/>
    <n v="1"/>
  </r>
  <r>
    <s v="ADM-240545"/>
    <d v="2024-02-28T00:00:00"/>
    <d v="2024-02-29T00:00:00"/>
    <x v="0"/>
    <s v="Q1"/>
    <x v="1"/>
    <x v="2"/>
    <x v="3"/>
    <x v="2"/>
    <x v="1"/>
    <x v="3"/>
    <x v="2"/>
    <n v="1"/>
    <m/>
    <n v="1195"/>
    <n v="0"/>
    <n v="4"/>
    <s v="Improved"/>
    <n v="1"/>
  </r>
  <r>
    <s v="ADM-240546"/>
    <d v="2024-02-28T00:00:00"/>
    <d v="2024-03-02T00:00:00"/>
    <x v="0"/>
    <s v="Q1"/>
    <x v="1"/>
    <x v="2"/>
    <x v="0"/>
    <x v="0"/>
    <x v="1"/>
    <x v="2"/>
    <x v="0"/>
    <n v="3"/>
    <n v="63"/>
    <n v="2009"/>
    <n v="0"/>
    <n v="5"/>
    <s v="Improved"/>
    <n v="1"/>
  </r>
  <r>
    <s v="ADM-240547"/>
    <d v="2024-02-28T00:00:00"/>
    <d v="2024-03-03T00:00:00"/>
    <x v="0"/>
    <s v="Q1"/>
    <x v="1"/>
    <x v="2"/>
    <x v="2"/>
    <x v="2"/>
    <x v="0"/>
    <x v="1"/>
    <x v="2"/>
    <n v="4"/>
    <m/>
    <n v="2762"/>
    <n v="0"/>
    <n v="5"/>
    <s v="Recovered"/>
    <n v="1"/>
  </r>
  <r>
    <s v="ADM-240548"/>
    <d v="2024-02-29T00:00:00"/>
    <d v="2024-03-02T00:00:00"/>
    <x v="0"/>
    <s v="Q1"/>
    <x v="1"/>
    <x v="3"/>
    <x v="5"/>
    <x v="2"/>
    <x v="1"/>
    <x v="4"/>
    <x v="2"/>
    <n v="2"/>
    <m/>
    <n v="3049"/>
    <n v="0"/>
    <n v="5"/>
    <s v="Improved"/>
    <n v="1"/>
  </r>
  <r>
    <s v="ADM-240549"/>
    <d v="2024-02-29T00:00:00"/>
    <d v="2024-03-03T00:00:00"/>
    <x v="0"/>
    <s v="Q1"/>
    <x v="1"/>
    <x v="3"/>
    <x v="0"/>
    <x v="0"/>
    <x v="1"/>
    <x v="1"/>
    <x v="1"/>
    <n v="3"/>
    <n v="117"/>
    <n v="3174"/>
    <n v="0"/>
    <n v="5"/>
    <s v="Recovered"/>
    <n v="1"/>
  </r>
  <r>
    <s v="ADM-240550"/>
    <d v="2024-02-29T00:00:00"/>
    <d v="2024-03-04T00:00:00"/>
    <x v="0"/>
    <s v="Q1"/>
    <x v="1"/>
    <x v="3"/>
    <x v="4"/>
    <x v="2"/>
    <x v="0"/>
    <x v="2"/>
    <x v="0"/>
    <n v="4"/>
    <m/>
    <n v="6188"/>
    <n v="0"/>
    <n v="4"/>
    <s v="Improved"/>
    <n v="1"/>
  </r>
  <r>
    <s v="ADM-240551"/>
    <d v="2024-02-29T00:00:00"/>
    <d v="2024-03-02T00:00:00"/>
    <x v="0"/>
    <s v="Q1"/>
    <x v="1"/>
    <x v="3"/>
    <x v="5"/>
    <x v="0"/>
    <x v="1"/>
    <x v="4"/>
    <x v="2"/>
    <n v="2"/>
    <n v="23"/>
    <n v="2995"/>
    <n v="0"/>
    <n v="5"/>
    <s v="Recovered"/>
    <n v="1"/>
  </r>
  <r>
    <s v="ADM-240552"/>
    <d v="2024-02-29T00:00:00"/>
    <d v="2024-03-01T00:00:00"/>
    <x v="0"/>
    <s v="Q1"/>
    <x v="1"/>
    <x v="3"/>
    <x v="1"/>
    <x v="0"/>
    <x v="1"/>
    <x v="1"/>
    <x v="0"/>
    <n v="1"/>
    <n v="97"/>
    <n v="1329"/>
    <n v="0"/>
    <n v="4"/>
    <s v="Recovered"/>
    <n v="1"/>
  </r>
  <r>
    <s v="ADM-240553"/>
    <d v="2024-03-01T00:00:00"/>
    <d v="2024-03-03T00:00:00"/>
    <x v="0"/>
    <s v="Q1"/>
    <x v="2"/>
    <x v="4"/>
    <x v="0"/>
    <x v="2"/>
    <x v="1"/>
    <x v="0"/>
    <x v="0"/>
    <n v="2"/>
    <m/>
    <n v="2328"/>
    <n v="0"/>
    <n v="5"/>
    <s v="Improved"/>
    <n v="1"/>
  </r>
  <r>
    <s v="ADM-240554"/>
    <d v="2024-03-01T00:00:00"/>
    <d v="2024-03-09T00:00:00"/>
    <x v="0"/>
    <s v="Q1"/>
    <x v="2"/>
    <x v="4"/>
    <x v="0"/>
    <x v="1"/>
    <x v="0"/>
    <x v="1"/>
    <x v="2"/>
    <n v="8"/>
    <m/>
    <n v="5269"/>
    <n v="1"/>
    <n v="4"/>
    <s v="Improved"/>
    <n v="1"/>
  </r>
  <r>
    <s v="ADM-240555"/>
    <d v="2024-03-01T00:00:00"/>
    <d v="2024-03-03T00:00:00"/>
    <x v="0"/>
    <s v="Q1"/>
    <x v="2"/>
    <x v="4"/>
    <x v="3"/>
    <x v="2"/>
    <x v="1"/>
    <x v="3"/>
    <x v="0"/>
    <n v="2"/>
    <m/>
    <n v="1896"/>
    <n v="0"/>
    <n v="3"/>
    <s v="Improved"/>
    <n v="1"/>
  </r>
  <r>
    <s v="ADM-240556"/>
    <d v="2024-03-01T00:00:00"/>
    <d v="2024-03-05T00:00:00"/>
    <x v="0"/>
    <s v="Q1"/>
    <x v="2"/>
    <x v="4"/>
    <x v="4"/>
    <x v="0"/>
    <x v="1"/>
    <x v="1"/>
    <x v="1"/>
    <n v="4"/>
    <n v="123"/>
    <n v="4497"/>
    <n v="1"/>
    <n v="2"/>
    <s v="Recovered"/>
    <n v="1"/>
  </r>
  <r>
    <s v="ADM-240557"/>
    <d v="2024-03-01T00:00:00"/>
    <d v="2024-03-13T00:00:00"/>
    <x v="0"/>
    <s v="Q1"/>
    <x v="2"/>
    <x v="4"/>
    <x v="4"/>
    <x v="0"/>
    <x v="1"/>
    <x v="0"/>
    <x v="2"/>
    <n v="12"/>
    <n v="103"/>
    <n v="13079"/>
    <n v="0"/>
    <n v="3"/>
    <s v="Recovered"/>
    <n v="1"/>
  </r>
  <r>
    <s v="ADM-240558"/>
    <d v="2024-03-01T00:00:00"/>
    <d v="2024-03-09T00:00:00"/>
    <x v="0"/>
    <s v="Q1"/>
    <x v="2"/>
    <x v="4"/>
    <x v="5"/>
    <x v="2"/>
    <x v="0"/>
    <x v="0"/>
    <x v="2"/>
    <n v="8"/>
    <m/>
    <n v="8464"/>
    <n v="0"/>
    <n v="4"/>
    <s v="Recovered"/>
    <n v="1"/>
  </r>
  <r>
    <s v="ADM-240559"/>
    <d v="2024-03-01T00:00:00"/>
    <d v="2024-03-10T00:00:00"/>
    <x v="0"/>
    <s v="Q1"/>
    <x v="2"/>
    <x v="4"/>
    <x v="5"/>
    <x v="2"/>
    <x v="0"/>
    <x v="0"/>
    <x v="0"/>
    <n v="9"/>
    <m/>
    <n v="8910"/>
    <n v="1"/>
    <n v="3"/>
    <s v="Improved"/>
    <n v="1"/>
  </r>
  <r>
    <s v="ADM-240560"/>
    <d v="2024-03-01T00:00:00"/>
    <d v="2024-03-02T00:00:00"/>
    <x v="0"/>
    <s v="Q1"/>
    <x v="2"/>
    <x v="4"/>
    <x v="2"/>
    <x v="0"/>
    <x v="0"/>
    <x v="1"/>
    <x v="2"/>
    <n v="1"/>
    <n v="62"/>
    <n v="1604"/>
    <n v="0"/>
    <n v="3"/>
    <s v="Recovered"/>
    <n v="1"/>
  </r>
  <r>
    <s v="ADM-240561"/>
    <d v="2024-03-01T00:00:00"/>
    <d v="2024-03-20T00:00:00"/>
    <x v="0"/>
    <s v="Q1"/>
    <x v="2"/>
    <x v="4"/>
    <x v="3"/>
    <x v="0"/>
    <x v="1"/>
    <x v="3"/>
    <x v="2"/>
    <n v="19"/>
    <n v="44"/>
    <n v="10268"/>
    <n v="0"/>
    <n v="4"/>
    <s v="Recovered"/>
    <n v="1"/>
  </r>
  <r>
    <s v="ADM-240562"/>
    <d v="2024-03-01T00:00:00"/>
    <d v="2024-03-08T00:00:00"/>
    <x v="0"/>
    <s v="Q1"/>
    <x v="2"/>
    <x v="4"/>
    <x v="4"/>
    <x v="0"/>
    <x v="0"/>
    <x v="0"/>
    <x v="0"/>
    <n v="7"/>
    <n v="24"/>
    <n v="5437"/>
    <n v="0"/>
    <n v="4"/>
    <s v="Recovered"/>
    <n v="1"/>
  </r>
  <r>
    <s v="ADM-240563"/>
    <d v="2024-03-01T00:00:00"/>
    <d v="2024-03-10T00:00:00"/>
    <x v="0"/>
    <s v="Q1"/>
    <x v="2"/>
    <x v="4"/>
    <x v="0"/>
    <x v="0"/>
    <x v="0"/>
    <x v="0"/>
    <x v="0"/>
    <n v="9"/>
    <n v="57"/>
    <n v="7900"/>
    <n v="1"/>
    <n v="3"/>
    <s v="Recovered"/>
    <n v="1"/>
  </r>
  <r>
    <s v="ADM-240564"/>
    <d v="2024-03-02T00:00:00"/>
    <d v="2024-03-03T00:00:00"/>
    <x v="0"/>
    <s v="Q1"/>
    <x v="2"/>
    <x v="5"/>
    <x v="1"/>
    <x v="2"/>
    <x v="1"/>
    <x v="1"/>
    <x v="0"/>
    <n v="1"/>
    <m/>
    <n v="2456"/>
    <n v="0"/>
    <n v="5"/>
    <s v="Improved"/>
    <n v="1"/>
  </r>
  <r>
    <s v="ADM-240565"/>
    <d v="2024-03-02T00:00:00"/>
    <d v="2024-03-06T00:00:00"/>
    <x v="0"/>
    <s v="Q1"/>
    <x v="2"/>
    <x v="5"/>
    <x v="5"/>
    <x v="2"/>
    <x v="0"/>
    <x v="1"/>
    <x v="2"/>
    <n v="4"/>
    <m/>
    <n v="3805"/>
    <n v="0"/>
    <n v="4"/>
    <s v="Recovered"/>
    <n v="1"/>
  </r>
  <r>
    <s v="ADM-240566"/>
    <d v="2024-03-02T00:00:00"/>
    <d v="2024-03-04T00:00:00"/>
    <x v="0"/>
    <s v="Q1"/>
    <x v="2"/>
    <x v="5"/>
    <x v="5"/>
    <x v="2"/>
    <x v="0"/>
    <x v="2"/>
    <x v="0"/>
    <n v="2"/>
    <m/>
    <n v="2576"/>
    <n v="0"/>
    <n v="5"/>
    <s v="Improved"/>
    <n v="1"/>
  </r>
  <r>
    <s v="ADM-240567"/>
    <d v="2024-03-02T00:00:00"/>
    <d v="2024-03-07T00:00:00"/>
    <x v="0"/>
    <s v="Q1"/>
    <x v="2"/>
    <x v="5"/>
    <x v="5"/>
    <x v="2"/>
    <x v="1"/>
    <x v="4"/>
    <x v="2"/>
    <n v="5"/>
    <m/>
    <n v="5545"/>
    <n v="0"/>
    <n v="5"/>
    <s v="Recovered"/>
    <n v="1"/>
  </r>
  <r>
    <s v="ADM-240568"/>
    <d v="2024-03-02T00:00:00"/>
    <d v="2024-03-03T00:00:00"/>
    <x v="0"/>
    <s v="Q1"/>
    <x v="2"/>
    <x v="5"/>
    <x v="5"/>
    <x v="2"/>
    <x v="0"/>
    <x v="2"/>
    <x v="0"/>
    <n v="1"/>
    <m/>
    <n v="1419"/>
    <n v="0"/>
    <n v="5"/>
    <s v="Improved"/>
    <n v="1"/>
  </r>
  <r>
    <s v="ADM-240569"/>
    <d v="2024-03-03T00:00:00"/>
    <d v="2024-03-04T00:00:00"/>
    <x v="0"/>
    <s v="Q1"/>
    <x v="2"/>
    <x v="6"/>
    <x v="5"/>
    <x v="2"/>
    <x v="1"/>
    <x v="0"/>
    <x v="0"/>
    <n v="1"/>
    <m/>
    <n v="1797"/>
    <n v="0"/>
    <n v="5"/>
    <s v="Recovered"/>
    <n v="1"/>
  </r>
  <r>
    <s v="ADM-240570"/>
    <d v="2024-03-03T00:00:00"/>
    <d v="2024-03-06T00:00:00"/>
    <x v="0"/>
    <s v="Q1"/>
    <x v="2"/>
    <x v="6"/>
    <x v="0"/>
    <x v="2"/>
    <x v="0"/>
    <x v="1"/>
    <x v="0"/>
    <n v="3"/>
    <m/>
    <n v="2937"/>
    <n v="0"/>
    <n v="5"/>
    <s v="Recovered"/>
    <n v="1"/>
  </r>
  <r>
    <s v="ADM-240571"/>
    <d v="2024-03-04T00:00:00"/>
    <d v="2024-03-05T00:00:00"/>
    <x v="0"/>
    <s v="Q1"/>
    <x v="2"/>
    <x v="0"/>
    <x v="2"/>
    <x v="0"/>
    <x v="0"/>
    <x v="1"/>
    <x v="0"/>
    <n v="1"/>
    <n v="24"/>
    <n v="721"/>
    <n v="0"/>
    <n v="5"/>
    <s v="Recovered"/>
    <n v="1"/>
  </r>
  <r>
    <s v="ADM-240572"/>
    <d v="2024-03-04T00:00:00"/>
    <d v="2024-03-08T00:00:00"/>
    <x v="0"/>
    <s v="Q1"/>
    <x v="2"/>
    <x v="0"/>
    <x v="3"/>
    <x v="1"/>
    <x v="0"/>
    <x v="3"/>
    <x v="1"/>
    <n v="4"/>
    <m/>
    <n v="2254"/>
    <n v="0"/>
    <n v="5"/>
    <s v="Recovered"/>
    <n v="1"/>
  </r>
  <r>
    <s v="ADM-240573"/>
    <d v="2024-03-04T00:00:00"/>
    <d v="2024-03-11T00:00:00"/>
    <x v="0"/>
    <s v="Q1"/>
    <x v="2"/>
    <x v="0"/>
    <x v="0"/>
    <x v="0"/>
    <x v="1"/>
    <x v="4"/>
    <x v="0"/>
    <n v="7"/>
    <n v="42"/>
    <n v="5149"/>
    <n v="0"/>
    <n v="3"/>
    <s v="Recovered"/>
    <n v="1"/>
  </r>
  <r>
    <s v="ADM-240574"/>
    <d v="2024-03-04T00:00:00"/>
    <d v="2024-03-07T00:00:00"/>
    <x v="0"/>
    <s v="Q1"/>
    <x v="2"/>
    <x v="0"/>
    <x v="3"/>
    <x v="0"/>
    <x v="0"/>
    <x v="3"/>
    <x v="0"/>
    <n v="3"/>
    <n v="46"/>
    <n v="2127"/>
    <n v="0"/>
    <n v="5"/>
    <s v="Recovered"/>
    <n v="1"/>
  </r>
  <r>
    <s v="ADM-240575"/>
    <d v="2024-03-04T00:00:00"/>
    <d v="2024-03-06T00:00:00"/>
    <x v="0"/>
    <s v="Q1"/>
    <x v="2"/>
    <x v="0"/>
    <x v="4"/>
    <x v="0"/>
    <x v="1"/>
    <x v="1"/>
    <x v="2"/>
    <n v="2"/>
    <n v="12"/>
    <n v="3472"/>
    <n v="0"/>
    <n v="5"/>
    <s v="Improved"/>
    <n v="1"/>
  </r>
  <r>
    <s v="ADM-240576"/>
    <d v="2024-03-04T00:00:00"/>
    <d v="2024-03-08T00:00:00"/>
    <x v="0"/>
    <s v="Q1"/>
    <x v="2"/>
    <x v="0"/>
    <x v="4"/>
    <x v="0"/>
    <x v="0"/>
    <x v="1"/>
    <x v="2"/>
    <n v="4"/>
    <n v="50"/>
    <n v="5176"/>
    <n v="1"/>
    <n v="4"/>
    <s v="Improved"/>
    <n v="1"/>
  </r>
  <r>
    <s v="ADM-240577"/>
    <d v="2024-03-04T00:00:00"/>
    <d v="2024-03-18T00:00:00"/>
    <x v="0"/>
    <s v="Q1"/>
    <x v="2"/>
    <x v="0"/>
    <x v="0"/>
    <x v="0"/>
    <x v="0"/>
    <x v="0"/>
    <x v="2"/>
    <n v="14"/>
    <n v="72"/>
    <n v="9322"/>
    <n v="1"/>
    <n v="3"/>
    <s v="Recovered"/>
    <n v="1"/>
  </r>
  <r>
    <s v="ADM-240578"/>
    <d v="2024-03-04T00:00:00"/>
    <d v="2024-03-11T00:00:00"/>
    <x v="0"/>
    <s v="Q1"/>
    <x v="2"/>
    <x v="0"/>
    <x v="0"/>
    <x v="0"/>
    <x v="1"/>
    <x v="1"/>
    <x v="0"/>
    <n v="7"/>
    <n v="66"/>
    <n v="5061"/>
    <n v="0"/>
    <n v="3"/>
    <s v="Recovered"/>
    <n v="1"/>
  </r>
  <r>
    <s v="ADM-240579"/>
    <d v="2024-03-04T00:00:00"/>
    <d v="2024-03-07T00:00:00"/>
    <x v="0"/>
    <s v="Q1"/>
    <x v="2"/>
    <x v="0"/>
    <x v="1"/>
    <x v="2"/>
    <x v="0"/>
    <x v="1"/>
    <x v="1"/>
    <n v="3"/>
    <m/>
    <n v="4014"/>
    <n v="1"/>
    <n v="4"/>
    <s v="Improved"/>
    <n v="1"/>
  </r>
  <r>
    <s v="ADM-240580"/>
    <d v="2024-03-04T00:00:00"/>
    <d v="2024-03-09T00:00:00"/>
    <x v="0"/>
    <s v="Q1"/>
    <x v="2"/>
    <x v="0"/>
    <x v="1"/>
    <x v="1"/>
    <x v="0"/>
    <x v="0"/>
    <x v="0"/>
    <n v="5"/>
    <m/>
    <n v="4291"/>
    <n v="0"/>
    <n v="4"/>
    <s v="Transferred"/>
    <n v="1"/>
  </r>
  <r>
    <s v="ADM-240581"/>
    <d v="2024-03-04T00:00:00"/>
    <d v="2024-03-06T00:00:00"/>
    <x v="0"/>
    <s v="Q1"/>
    <x v="2"/>
    <x v="0"/>
    <x v="0"/>
    <x v="0"/>
    <x v="1"/>
    <x v="2"/>
    <x v="0"/>
    <n v="2"/>
    <n v="107"/>
    <n v="1457"/>
    <n v="1"/>
    <n v="4"/>
    <s v="Improved"/>
    <n v="1"/>
  </r>
  <r>
    <s v="ADM-240582"/>
    <d v="2024-03-04T00:00:00"/>
    <d v="2024-03-10T00:00:00"/>
    <x v="0"/>
    <s v="Q1"/>
    <x v="2"/>
    <x v="0"/>
    <x v="4"/>
    <x v="1"/>
    <x v="0"/>
    <x v="1"/>
    <x v="2"/>
    <n v="6"/>
    <m/>
    <n v="6559"/>
    <n v="0"/>
    <n v="4"/>
    <s v="Transferred"/>
    <n v="1"/>
  </r>
  <r>
    <s v="ADM-240583"/>
    <d v="2024-03-05T00:00:00"/>
    <d v="2024-03-10T00:00:00"/>
    <x v="0"/>
    <s v="Q1"/>
    <x v="2"/>
    <x v="1"/>
    <x v="3"/>
    <x v="0"/>
    <x v="0"/>
    <x v="3"/>
    <x v="2"/>
    <n v="5"/>
    <n v="89"/>
    <n v="2962"/>
    <n v="0"/>
    <n v="5"/>
    <s v="Recovered"/>
    <n v="1"/>
  </r>
  <r>
    <s v="ADM-240584"/>
    <d v="2024-03-05T00:00:00"/>
    <d v="2024-03-08T00:00:00"/>
    <x v="0"/>
    <s v="Q1"/>
    <x v="2"/>
    <x v="1"/>
    <x v="4"/>
    <x v="0"/>
    <x v="0"/>
    <x v="1"/>
    <x v="2"/>
    <n v="3"/>
    <n v="44"/>
    <n v="4143"/>
    <n v="0"/>
    <n v="5"/>
    <s v="Recovered"/>
    <n v="1"/>
  </r>
  <r>
    <s v="ADM-240585"/>
    <d v="2024-03-05T00:00:00"/>
    <d v="2024-03-10T00:00:00"/>
    <x v="0"/>
    <s v="Q1"/>
    <x v="2"/>
    <x v="1"/>
    <x v="4"/>
    <x v="0"/>
    <x v="1"/>
    <x v="4"/>
    <x v="2"/>
    <n v="5"/>
    <n v="35"/>
    <n v="6307"/>
    <n v="0"/>
    <n v="3"/>
    <s v="Transferred"/>
    <n v="1"/>
  </r>
  <r>
    <s v="ADM-240586"/>
    <d v="2024-03-05T00:00:00"/>
    <d v="2024-03-07T00:00:00"/>
    <x v="0"/>
    <s v="Q1"/>
    <x v="2"/>
    <x v="1"/>
    <x v="2"/>
    <x v="2"/>
    <x v="0"/>
    <x v="1"/>
    <x v="0"/>
    <n v="2"/>
    <m/>
    <n v="1518"/>
    <n v="0"/>
    <n v="5"/>
    <s v="Improved"/>
    <n v="1"/>
  </r>
  <r>
    <s v="ADM-240587"/>
    <d v="2024-03-05T00:00:00"/>
    <d v="2024-03-07T00:00:00"/>
    <x v="0"/>
    <s v="Q1"/>
    <x v="2"/>
    <x v="1"/>
    <x v="2"/>
    <x v="0"/>
    <x v="0"/>
    <x v="1"/>
    <x v="2"/>
    <n v="2"/>
    <n v="39"/>
    <n v="2371"/>
    <n v="0"/>
    <n v="5"/>
    <s v="Recovered"/>
    <n v="1"/>
  </r>
  <r>
    <s v="ADM-240588"/>
    <d v="2024-03-05T00:00:00"/>
    <d v="2024-03-07T00:00:00"/>
    <x v="0"/>
    <s v="Q1"/>
    <x v="2"/>
    <x v="1"/>
    <x v="0"/>
    <x v="0"/>
    <x v="1"/>
    <x v="2"/>
    <x v="0"/>
    <n v="2"/>
    <n v="14"/>
    <n v="2241"/>
    <n v="0"/>
    <n v="3"/>
    <s v="Recovered"/>
    <n v="1"/>
  </r>
  <r>
    <s v="ADM-240589"/>
    <d v="2024-03-05T00:00:00"/>
    <d v="2024-03-07T00:00:00"/>
    <x v="0"/>
    <s v="Q1"/>
    <x v="2"/>
    <x v="1"/>
    <x v="1"/>
    <x v="2"/>
    <x v="0"/>
    <x v="1"/>
    <x v="2"/>
    <n v="2"/>
    <m/>
    <n v="2382"/>
    <n v="0"/>
    <n v="3"/>
    <s v="Improved"/>
    <n v="1"/>
  </r>
  <r>
    <s v="ADM-240590"/>
    <d v="2024-03-05T00:00:00"/>
    <d v="2024-03-07T00:00:00"/>
    <x v="0"/>
    <s v="Q1"/>
    <x v="2"/>
    <x v="1"/>
    <x v="1"/>
    <x v="2"/>
    <x v="0"/>
    <x v="4"/>
    <x v="0"/>
    <n v="2"/>
    <m/>
    <n v="2566"/>
    <n v="0"/>
    <n v="4"/>
    <s v="Recovered"/>
    <n v="1"/>
  </r>
  <r>
    <s v="ADM-240591"/>
    <d v="2024-03-05T00:00:00"/>
    <d v="2024-03-11T00:00:00"/>
    <x v="0"/>
    <s v="Q1"/>
    <x v="2"/>
    <x v="1"/>
    <x v="5"/>
    <x v="1"/>
    <x v="0"/>
    <x v="4"/>
    <x v="0"/>
    <n v="6"/>
    <m/>
    <n v="5186"/>
    <n v="0"/>
    <n v="5"/>
    <s v="Improved"/>
    <n v="1"/>
  </r>
  <r>
    <s v="ADM-240592"/>
    <d v="2024-03-05T00:00:00"/>
    <d v="2024-03-06T00:00:00"/>
    <x v="0"/>
    <s v="Q1"/>
    <x v="2"/>
    <x v="1"/>
    <x v="2"/>
    <x v="0"/>
    <x v="0"/>
    <x v="2"/>
    <x v="2"/>
    <n v="1"/>
    <n v="113"/>
    <n v="1299"/>
    <n v="0"/>
    <n v="3"/>
    <s v="Deceased"/>
    <n v="1"/>
  </r>
  <r>
    <s v="ADM-240593"/>
    <d v="2024-03-06T00:00:00"/>
    <d v="2024-03-07T00:00:00"/>
    <x v="0"/>
    <s v="Q1"/>
    <x v="2"/>
    <x v="2"/>
    <x v="5"/>
    <x v="2"/>
    <x v="0"/>
    <x v="4"/>
    <x v="2"/>
    <n v="1"/>
    <m/>
    <n v="1720"/>
    <n v="0"/>
    <n v="5"/>
    <s v="Recovered"/>
    <n v="1"/>
  </r>
  <r>
    <s v="ADM-240594"/>
    <d v="2024-03-06T00:00:00"/>
    <d v="2024-03-09T00:00:00"/>
    <x v="0"/>
    <s v="Q1"/>
    <x v="2"/>
    <x v="2"/>
    <x v="4"/>
    <x v="0"/>
    <x v="1"/>
    <x v="2"/>
    <x v="2"/>
    <n v="3"/>
    <n v="35"/>
    <n v="4199"/>
    <n v="0"/>
    <n v="4"/>
    <s v="Recovered"/>
    <n v="1"/>
  </r>
  <r>
    <s v="ADM-240595"/>
    <d v="2024-03-06T00:00:00"/>
    <d v="2024-03-10T00:00:00"/>
    <x v="0"/>
    <s v="Q1"/>
    <x v="2"/>
    <x v="2"/>
    <x v="0"/>
    <x v="0"/>
    <x v="0"/>
    <x v="0"/>
    <x v="0"/>
    <n v="4"/>
    <n v="55"/>
    <n v="4440"/>
    <n v="0"/>
    <n v="4"/>
    <s v="Recovered"/>
    <n v="1"/>
  </r>
  <r>
    <s v="ADM-240596"/>
    <d v="2024-03-06T00:00:00"/>
    <d v="2024-03-08T00:00:00"/>
    <x v="0"/>
    <s v="Q1"/>
    <x v="2"/>
    <x v="2"/>
    <x v="2"/>
    <x v="0"/>
    <x v="0"/>
    <x v="1"/>
    <x v="2"/>
    <n v="2"/>
    <n v="45"/>
    <n v="2172"/>
    <n v="0"/>
    <n v="5"/>
    <s v="Recovered"/>
    <n v="1"/>
  </r>
  <r>
    <s v="ADM-240597"/>
    <d v="2024-03-06T00:00:00"/>
    <d v="2024-03-07T00:00:00"/>
    <x v="0"/>
    <s v="Q1"/>
    <x v="2"/>
    <x v="2"/>
    <x v="2"/>
    <x v="0"/>
    <x v="0"/>
    <x v="2"/>
    <x v="0"/>
    <n v="1"/>
    <n v="18"/>
    <n v="1639"/>
    <n v="0"/>
    <n v="4"/>
    <s v="Recovered"/>
    <n v="1"/>
  </r>
  <r>
    <s v="ADM-240598"/>
    <d v="2024-03-06T00:00:00"/>
    <d v="2024-03-11T00:00:00"/>
    <x v="0"/>
    <s v="Q1"/>
    <x v="2"/>
    <x v="2"/>
    <x v="0"/>
    <x v="2"/>
    <x v="1"/>
    <x v="1"/>
    <x v="1"/>
    <n v="5"/>
    <m/>
    <n v="4475"/>
    <n v="0"/>
    <n v="4"/>
    <s v="Improved"/>
    <n v="1"/>
  </r>
  <r>
    <s v="ADM-240599"/>
    <d v="2024-03-06T00:00:00"/>
    <d v="2024-03-12T00:00:00"/>
    <x v="0"/>
    <s v="Q1"/>
    <x v="2"/>
    <x v="2"/>
    <x v="1"/>
    <x v="0"/>
    <x v="0"/>
    <x v="4"/>
    <x v="2"/>
    <n v="6"/>
    <n v="50"/>
    <n v="5892"/>
    <n v="0"/>
    <n v="5"/>
    <s v="Improved"/>
    <n v="1"/>
  </r>
  <r>
    <s v="ADM-240600"/>
    <d v="2024-03-06T00:00:00"/>
    <d v="2024-03-10T00:00:00"/>
    <x v="0"/>
    <s v="Q1"/>
    <x v="2"/>
    <x v="2"/>
    <x v="4"/>
    <x v="0"/>
    <x v="1"/>
    <x v="0"/>
    <x v="2"/>
    <n v="4"/>
    <n v="73"/>
    <n v="5179"/>
    <n v="1"/>
    <n v="3"/>
    <s v="Improved"/>
    <n v="1"/>
  </r>
  <r>
    <s v="ADM-240601"/>
    <d v="2024-03-06T00:00:00"/>
    <d v="2024-03-07T00:00:00"/>
    <x v="0"/>
    <s v="Q1"/>
    <x v="2"/>
    <x v="2"/>
    <x v="1"/>
    <x v="2"/>
    <x v="0"/>
    <x v="4"/>
    <x v="0"/>
    <n v="1"/>
    <m/>
    <n v="1900"/>
    <n v="0"/>
    <n v="4"/>
    <s v="Recovered"/>
    <n v="1"/>
  </r>
  <r>
    <s v="ADM-240602"/>
    <d v="2024-03-06T00:00:00"/>
    <d v="2024-03-07T00:00:00"/>
    <x v="0"/>
    <s v="Q1"/>
    <x v="2"/>
    <x v="2"/>
    <x v="3"/>
    <x v="2"/>
    <x v="0"/>
    <x v="3"/>
    <x v="0"/>
    <n v="1"/>
    <m/>
    <n v="1020"/>
    <n v="0"/>
    <n v="5"/>
    <s v="Improved"/>
    <n v="1"/>
  </r>
  <r>
    <s v="ADM-240603"/>
    <d v="2024-03-07T00:00:00"/>
    <d v="2024-03-09T00:00:00"/>
    <x v="0"/>
    <s v="Q1"/>
    <x v="2"/>
    <x v="3"/>
    <x v="2"/>
    <x v="0"/>
    <x v="0"/>
    <x v="1"/>
    <x v="0"/>
    <n v="2"/>
    <n v="63"/>
    <n v="2178"/>
    <n v="0"/>
    <n v="5"/>
    <s v="Recovered"/>
    <n v="1"/>
  </r>
  <r>
    <s v="ADM-240604"/>
    <d v="2024-03-07T00:00:00"/>
    <d v="2024-03-08T00:00:00"/>
    <x v="0"/>
    <s v="Q1"/>
    <x v="2"/>
    <x v="3"/>
    <x v="3"/>
    <x v="2"/>
    <x v="0"/>
    <x v="3"/>
    <x v="0"/>
    <n v="1"/>
    <m/>
    <n v="1034"/>
    <n v="0"/>
    <n v="5"/>
    <s v="Recovered"/>
    <n v="1"/>
  </r>
  <r>
    <s v="ADM-240605"/>
    <d v="2024-03-07T00:00:00"/>
    <d v="2024-03-13T00:00:00"/>
    <x v="0"/>
    <s v="Q1"/>
    <x v="2"/>
    <x v="3"/>
    <x v="0"/>
    <x v="0"/>
    <x v="1"/>
    <x v="0"/>
    <x v="2"/>
    <n v="6"/>
    <n v="25"/>
    <n v="4575"/>
    <n v="0"/>
    <n v="5"/>
    <s v="Improved"/>
    <n v="1"/>
  </r>
  <r>
    <s v="ADM-240606"/>
    <d v="2024-03-07T00:00:00"/>
    <d v="2024-03-08T00:00:00"/>
    <x v="0"/>
    <s v="Q1"/>
    <x v="2"/>
    <x v="3"/>
    <x v="3"/>
    <x v="0"/>
    <x v="1"/>
    <x v="3"/>
    <x v="1"/>
    <n v="1"/>
    <n v="47"/>
    <n v="1284"/>
    <n v="1"/>
    <n v="3"/>
    <s v="Recovered"/>
    <n v="1"/>
  </r>
  <r>
    <s v="ADM-240607"/>
    <d v="2024-03-07T00:00:00"/>
    <d v="2024-03-08T00:00:00"/>
    <x v="0"/>
    <s v="Q1"/>
    <x v="2"/>
    <x v="3"/>
    <x v="3"/>
    <x v="2"/>
    <x v="0"/>
    <x v="3"/>
    <x v="0"/>
    <n v="1"/>
    <m/>
    <n v="1329"/>
    <n v="0"/>
    <n v="5"/>
    <s v="Improved"/>
    <n v="1"/>
  </r>
  <r>
    <s v="ADM-240608"/>
    <d v="2024-03-07T00:00:00"/>
    <d v="2024-03-10T00:00:00"/>
    <x v="0"/>
    <s v="Q1"/>
    <x v="2"/>
    <x v="3"/>
    <x v="1"/>
    <x v="2"/>
    <x v="1"/>
    <x v="0"/>
    <x v="2"/>
    <n v="3"/>
    <m/>
    <n v="3945"/>
    <n v="1"/>
    <n v="3"/>
    <s v="Recovered"/>
    <n v="1"/>
  </r>
  <r>
    <s v="ADM-240609"/>
    <d v="2024-03-09T00:00:00"/>
    <d v="2024-03-19T00:00:00"/>
    <x v="0"/>
    <s v="Q1"/>
    <x v="2"/>
    <x v="5"/>
    <x v="0"/>
    <x v="0"/>
    <x v="0"/>
    <x v="1"/>
    <x v="2"/>
    <n v="10"/>
    <n v="92"/>
    <n v="7639"/>
    <n v="0"/>
    <n v="4"/>
    <s v="Recovered"/>
    <n v="1"/>
  </r>
  <r>
    <s v="ADM-240610"/>
    <d v="2024-03-09T00:00:00"/>
    <d v="2024-03-11T00:00:00"/>
    <x v="0"/>
    <s v="Q1"/>
    <x v="2"/>
    <x v="5"/>
    <x v="3"/>
    <x v="0"/>
    <x v="1"/>
    <x v="3"/>
    <x v="2"/>
    <n v="2"/>
    <n v="34"/>
    <n v="2162"/>
    <n v="0"/>
    <n v="4"/>
    <s v="Recovered"/>
    <n v="1"/>
  </r>
  <r>
    <s v="ADM-240611"/>
    <d v="2024-03-09T00:00:00"/>
    <d v="2024-03-20T00:00:00"/>
    <x v="0"/>
    <s v="Q1"/>
    <x v="2"/>
    <x v="5"/>
    <x v="0"/>
    <x v="0"/>
    <x v="1"/>
    <x v="0"/>
    <x v="0"/>
    <n v="11"/>
    <n v="25"/>
    <n v="8003"/>
    <n v="0"/>
    <n v="5"/>
    <s v="Improved"/>
    <n v="1"/>
  </r>
  <r>
    <s v="ADM-240612"/>
    <d v="2024-03-09T00:00:00"/>
    <d v="2024-03-21T00:00:00"/>
    <x v="0"/>
    <s v="Q1"/>
    <x v="2"/>
    <x v="5"/>
    <x v="0"/>
    <x v="0"/>
    <x v="1"/>
    <x v="0"/>
    <x v="0"/>
    <n v="12"/>
    <n v="33"/>
    <n v="11233"/>
    <n v="0"/>
    <n v="4"/>
    <s v="Improved"/>
    <n v="1"/>
  </r>
  <r>
    <s v="ADM-240613"/>
    <d v="2024-03-09T00:00:00"/>
    <d v="2024-03-13T00:00:00"/>
    <x v="0"/>
    <s v="Q1"/>
    <x v="2"/>
    <x v="5"/>
    <x v="5"/>
    <x v="2"/>
    <x v="1"/>
    <x v="4"/>
    <x v="2"/>
    <n v="4"/>
    <m/>
    <n v="3993"/>
    <n v="0"/>
    <n v="5"/>
    <s v="Recovered"/>
    <n v="1"/>
  </r>
  <r>
    <s v="ADM-240614"/>
    <d v="2024-03-09T00:00:00"/>
    <d v="2024-03-12T00:00:00"/>
    <x v="0"/>
    <s v="Q1"/>
    <x v="2"/>
    <x v="5"/>
    <x v="2"/>
    <x v="0"/>
    <x v="0"/>
    <x v="1"/>
    <x v="0"/>
    <n v="3"/>
    <n v="74"/>
    <n v="2975"/>
    <n v="0"/>
    <n v="4"/>
    <s v="Recovered"/>
    <n v="1"/>
  </r>
  <r>
    <s v="ADM-240615"/>
    <d v="2024-03-09T00:00:00"/>
    <d v="2024-03-14T00:00:00"/>
    <x v="0"/>
    <s v="Q1"/>
    <x v="2"/>
    <x v="5"/>
    <x v="1"/>
    <x v="2"/>
    <x v="0"/>
    <x v="0"/>
    <x v="2"/>
    <n v="5"/>
    <m/>
    <n v="6902"/>
    <n v="0"/>
    <n v="4"/>
    <s v="Recovered"/>
    <n v="1"/>
  </r>
  <r>
    <s v="ADM-240616"/>
    <d v="2024-03-10T00:00:00"/>
    <d v="2024-03-13T00:00:00"/>
    <x v="0"/>
    <s v="Q1"/>
    <x v="2"/>
    <x v="6"/>
    <x v="5"/>
    <x v="0"/>
    <x v="1"/>
    <x v="2"/>
    <x v="0"/>
    <n v="3"/>
    <n v="40"/>
    <n v="3679"/>
    <n v="0"/>
    <n v="4"/>
    <s v="Recovered"/>
    <n v="1"/>
  </r>
  <r>
    <s v="ADM-240617"/>
    <d v="2024-03-10T00:00:00"/>
    <d v="2024-03-19T00:00:00"/>
    <x v="0"/>
    <s v="Q1"/>
    <x v="2"/>
    <x v="6"/>
    <x v="1"/>
    <x v="1"/>
    <x v="0"/>
    <x v="4"/>
    <x v="2"/>
    <n v="9"/>
    <m/>
    <n v="12796"/>
    <n v="0"/>
    <n v="5"/>
    <s v="Improved"/>
    <n v="1"/>
  </r>
  <r>
    <s v="ADM-240618"/>
    <d v="2024-03-10T00:00:00"/>
    <d v="2024-03-12T00:00:00"/>
    <x v="0"/>
    <s v="Q1"/>
    <x v="2"/>
    <x v="6"/>
    <x v="5"/>
    <x v="2"/>
    <x v="1"/>
    <x v="2"/>
    <x v="1"/>
    <n v="2"/>
    <m/>
    <n v="3125"/>
    <n v="0"/>
    <n v="5"/>
    <s v="Recovered"/>
    <n v="1"/>
  </r>
  <r>
    <s v="ADM-240619"/>
    <d v="2024-03-10T00:00:00"/>
    <d v="2024-03-14T00:00:00"/>
    <x v="0"/>
    <s v="Q1"/>
    <x v="2"/>
    <x v="6"/>
    <x v="1"/>
    <x v="0"/>
    <x v="1"/>
    <x v="0"/>
    <x v="1"/>
    <n v="4"/>
    <n v="37"/>
    <n v="5213"/>
    <n v="0"/>
    <n v="4"/>
    <s v="Recovered"/>
    <n v="1"/>
  </r>
  <r>
    <s v="ADM-240620"/>
    <d v="2024-03-10T00:00:00"/>
    <d v="2024-03-12T00:00:00"/>
    <x v="0"/>
    <s v="Q1"/>
    <x v="2"/>
    <x v="6"/>
    <x v="2"/>
    <x v="0"/>
    <x v="0"/>
    <x v="1"/>
    <x v="2"/>
    <n v="2"/>
    <n v="56"/>
    <n v="2203"/>
    <n v="1"/>
    <n v="3"/>
    <s v="Improved"/>
    <n v="1"/>
  </r>
  <r>
    <s v="ADM-240621"/>
    <d v="2024-03-10T00:00:00"/>
    <d v="2024-03-11T00:00:00"/>
    <x v="0"/>
    <s v="Q1"/>
    <x v="2"/>
    <x v="6"/>
    <x v="2"/>
    <x v="0"/>
    <x v="0"/>
    <x v="2"/>
    <x v="0"/>
    <n v="1"/>
    <n v="59"/>
    <n v="1375"/>
    <n v="0"/>
    <n v="4"/>
    <s v="Improved"/>
    <n v="1"/>
  </r>
  <r>
    <s v="ADM-240622"/>
    <d v="2024-03-10T00:00:00"/>
    <d v="2024-03-15T00:00:00"/>
    <x v="0"/>
    <s v="Q1"/>
    <x v="2"/>
    <x v="6"/>
    <x v="1"/>
    <x v="2"/>
    <x v="0"/>
    <x v="0"/>
    <x v="1"/>
    <n v="5"/>
    <m/>
    <n v="4333"/>
    <n v="0"/>
    <n v="4"/>
    <s v="Recovered"/>
    <n v="1"/>
  </r>
  <r>
    <s v="ADM-240623"/>
    <d v="2024-03-10T00:00:00"/>
    <d v="2024-03-17T00:00:00"/>
    <x v="0"/>
    <s v="Q1"/>
    <x v="2"/>
    <x v="6"/>
    <x v="0"/>
    <x v="1"/>
    <x v="0"/>
    <x v="1"/>
    <x v="2"/>
    <n v="7"/>
    <m/>
    <n v="4774"/>
    <n v="0"/>
    <n v="5"/>
    <s v="Recovered"/>
    <n v="1"/>
  </r>
  <r>
    <s v="ADM-240624"/>
    <d v="2024-03-10T00:00:00"/>
    <d v="2024-03-16T00:00:00"/>
    <x v="0"/>
    <s v="Q1"/>
    <x v="2"/>
    <x v="6"/>
    <x v="0"/>
    <x v="0"/>
    <x v="1"/>
    <x v="0"/>
    <x v="2"/>
    <n v="6"/>
    <n v="58"/>
    <n v="3815"/>
    <n v="0"/>
    <n v="4"/>
    <s v="Recovered"/>
    <n v="1"/>
  </r>
  <r>
    <s v="ADM-240625"/>
    <d v="2024-03-10T00:00:00"/>
    <d v="2024-03-15T00:00:00"/>
    <x v="0"/>
    <s v="Q1"/>
    <x v="2"/>
    <x v="6"/>
    <x v="1"/>
    <x v="2"/>
    <x v="1"/>
    <x v="4"/>
    <x v="0"/>
    <n v="5"/>
    <m/>
    <n v="6171"/>
    <n v="0"/>
    <n v="4"/>
    <s v="Improved"/>
    <n v="1"/>
  </r>
  <r>
    <s v="ADM-240626"/>
    <d v="2024-03-10T00:00:00"/>
    <d v="2024-03-17T00:00:00"/>
    <x v="0"/>
    <s v="Q1"/>
    <x v="2"/>
    <x v="6"/>
    <x v="2"/>
    <x v="0"/>
    <x v="0"/>
    <x v="1"/>
    <x v="2"/>
    <n v="7"/>
    <n v="24"/>
    <n v="5091"/>
    <n v="0"/>
    <n v="4"/>
    <s v="Improved"/>
    <n v="1"/>
  </r>
  <r>
    <s v="ADM-240627"/>
    <d v="2024-03-10T00:00:00"/>
    <d v="2024-03-16T00:00:00"/>
    <x v="0"/>
    <s v="Q1"/>
    <x v="2"/>
    <x v="6"/>
    <x v="4"/>
    <x v="2"/>
    <x v="0"/>
    <x v="0"/>
    <x v="2"/>
    <n v="6"/>
    <m/>
    <n v="9137"/>
    <n v="0"/>
    <n v="4"/>
    <s v="Recovered"/>
    <n v="1"/>
  </r>
  <r>
    <s v="ADM-240628"/>
    <d v="2024-03-11T00:00:00"/>
    <d v="2024-03-15T00:00:00"/>
    <x v="0"/>
    <s v="Q1"/>
    <x v="2"/>
    <x v="0"/>
    <x v="2"/>
    <x v="0"/>
    <x v="0"/>
    <x v="2"/>
    <x v="1"/>
    <n v="4"/>
    <n v="135"/>
    <n v="3131"/>
    <n v="0"/>
    <n v="3"/>
    <s v="Recovered"/>
    <n v="1"/>
  </r>
  <r>
    <s v="ADM-240629"/>
    <d v="2024-03-11T00:00:00"/>
    <d v="2024-03-13T00:00:00"/>
    <x v="0"/>
    <s v="Q1"/>
    <x v="2"/>
    <x v="0"/>
    <x v="1"/>
    <x v="2"/>
    <x v="1"/>
    <x v="2"/>
    <x v="2"/>
    <n v="2"/>
    <m/>
    <n v="2392"/>
    <n v="0"/>
    <n v="5"/>
    <s v="Improved"/>
    <n v="1"/>
  </r>
  <r>
    <s v="ADM-240630"/>
    <d v="2024-03-11T00:00:00"/>
    <d v="2024-03-15T00:00:00"/>
    <x v="0"/>
    <s v="Q1"/>
    <x v="2"/>
    <x v="0"/>
    <x v="5"/>
    <x v="2"/>
    <x v="1"/>
    <x v="1"/>
    <x v="1"/>
    <n v="4"/>
    <m/>
    <n v="4638"/>
    <n v="1"/>
    <n v="4"/>
    <s v="Improved"/>
    <n v="1"/>
  </r>
  <r>
    <s v="ADM-240631"/>
    <d v="2024-03-11T00:00:00"/>
    <d v="2024-03-13T00:00:00"/>
    <x v="0"/>
    <s v="Q1"/>
    <x v="2"/>
    <x v="0"/>
    <x v="2"/>
    <x v="0"/>
    <x v="0"/>
    <x v="1"/>
    <x v="2"/>
    <n v="2"/>
    <n v="26"/>
    <n v="2654"/>
    <n v="0"/>
    <n v="4"/>
    <s v="Recovered"/>
    <n v="1"/>
  </r>
  <r>
    <s v="ADM-240632"/>
    <d v="2024-03-11T00:00:00"/>
    <d v="2024-03-16T00:00:00"/>
    <x v="0"/>
    <s v="Q1"/>
    <x v="2"/>
    <x v="0"/>
    <x v="5"/>
    <x v="2"/>
    <x v="0"/>
    <x v="0"/>
    <x v="0"/>
    <n v="5"/>
    <m/>
    <n v="5790"/>
    <n v="0"/>
    <n v="5"/>
    <s v="Transferred"/>
    <n v="1"/>
  </r>
  <r>
    <s v="ADM-240633"/>
    <d v="2024-03-11T00:00:00"/>
    <d v="2024-03-21T00:00:00"/>
    <x v="0"/>
    <s v="Q1"/>
    <x v="2"/>
    <x v="0"/>
    <x v="4"/>
    <x v="0"/>
    <x v="1"/>
    <x v="4"/>
    <x v="2"/>
    <n v="10"/>
    <n v="52"/>
    <n v="10433"/>
    <n v="0"/>
    <n v="5"/>
    <s v="Recovered"/>
    <n v="1"/>
  </r>
  <r>
    <s v="ADM-240634"/>
    <d v="2024-03-11T00:00:00"/>
    <d v="2024-03-13T00:00:00"/>
    <x v="0"/>
    <s v="Q1"/>
    <x v="2"/>
    <x v="0"/>
    <x v="3"/>
    <x v="0"/>
    <x v="1"/>
    <x v="3"/>
    <x v="2"/>
    <n v="2"/>
    <n v="43"/>
    <n v="1766"/>
    <n v="1"/>
    <n v="3"/>
    <s v="Improved"/>
    <n v="1"/>
  </r>
  <r>
    <s v="ADM-240635"/>
    <d v="2024-03-12T00:00:00"/>
    <d v="2024-03-16T00:00:00"/>
    <x v="0"/>
    <s v="Q1"/>
    <x v="2"/>
    <x v="1"/>
    <x v="3"/>
    <x v="2"/>
    <x v="0"/>
    <x v="3"/>
    <x v="0"/>
    <n v="4"/>
    <m/>
    <n v="3438"/>
    <n v="0"/>
    <n v="2"/>
    <s v="Recovered"/>
    <n v="1"/>
  </r>
  <r>
    <s v="ADM-240636"/>
    <d v="2024-03-12T00:00:00"/>
    <d v="2024-03-21T00:00:00"/>
    <x v="0"/>
    <s v="Q1"/>
    <x v="2"/>
    <x v="1"/>
    <x v="0"/>
    <x v="0"/>
    <x v="1"/>
    <x v="4"/>
    <x v="2"/>
    <n v="9"/>
    <n v="53"/>
    <n v="7100"/>
    <n v="0"/>
    <n v="3"/>
    <s v="Recovered"/>
    <n v="1"/>
  </r>
  <r>
    <s v="ADM-240637"/>
    <d v="2024-03-12T00:00:00"/>
    <d v="2024-03-18T00:00:00"/>
    <x v="0"/>
    <s v="Q1"/>
    <x v="2"/>
    <x v="1"/>
    <x v="5"/>
    <x v="2"/>
    <x v="1"/>
    <x v="1"/>
    <x v="2"/>
    <n v="6"/>
    <m/>
    <n v="5862"/>
    <n v="0"/>
    <n v="4"/>
    <s v="Recovered"/>
    <n v="1"/>
  </r>
  <r>
    <s v="ADM-240638"/>
    <d v="2024-03-12T00:00:00"/>
    <d v="2024-03-15T00:00:00"/>
    <x v="0"/>
    <s v="Q1"/>
    <x v="2"/>
    <x v="1"/>
    <x v="3"/>
    <x v="0"/>
    <x v="1"/>
    <x v="3"/>
    <x v="0"/>
    <n v="3"/>
    <n v="17"/>
    <n v="2392"/>
    <n v="0"/>
    <n v="5"/>
    <s v="Recovered"/>
    <n v="1"/>
  </r>
  <r>
    <s v="ADM-240639"/>
    <d v="2024-03-12T00:00:00"/>
    <d v="2024-03-14T00:00:00"/>
    <x v="0"/>
    <s v="Q1"/>
    <x v="2"/>
    <x v="1"/>
    <x v="3"/>
    <x v="0"/>
    <x v="1"/>
    <x v="3"/>
    <x v="1"/>
    <n v="2"/>
    <n v="51"/>
    <n v="1768"/>
    <n v="1"/>
    <n v="4"/>
    <s v="Recovered"/>
    <n v="1"/>
  </r>
  <r>
    <s v="ADM-240640"/>
    <d v="2024-03-12T00:00:00"/>
    <d v="2024-03-15T00:00:00"/>
    <x v="0"/>
    <s v="Q1"/>
    <x v="2"/>
    <x v="1"/>
    <x v="0"/>
    <x v="0"/>
    <x v="1"/>
    <x v="4"/>
    <x v="0"/>
    <n v="3"/>
    <n v="16"/>
    <n v="2289"/>
    <n v="0"/>
    <n v="4"/>
    <s v="Recovered"/>
    <n v="1"/>
  </r>
  <r>
    <s v="ADM-240641"/>
    <d v="2024-03-12T00:00:00"/>
    <d v="2024-03-16T00:00:00"/>
    <x v="0"/>
    <s v="Q1"/>
    <x v="2"/>
    <x v="1"/>
    <x v="1"/>
    <x v="2"/>
    <x v="1"/>
    <x v="0"/>
    <x v="0"/>
    <n v="4"/>
    <m/>
    <n v="4234"/>
    <n v="1"/>
    <n v="3"/>
    <s v="Recovered"/>
    <n v="1"/>
  </r>
  <r>
    <s v="ADM-240642"/>
    <d v="2024-03-12T00:00:00"/>
    <d v="2024-03-13T00:00:00"/>
    <x v="0"/>
    <s v="Q1"/>
    <x v="2"/>
    <x v="1"/>
    <x v="4"/>
    <x v="1"/>
    <x v="0"/>
    <x v="4"/>
    <x v="2"/>
    <n v="1"/>
    <m/>
    <n v="1870"/>
    <n v="0"/>
    <n v="4"/>
    <s v="Improved"/>
    <n v="1"/>
  </r>
  <r>
    <s v="ADM-240643"/>
    <d v="2024-03-12T00:00:00"/>
    <d v="2024-03-14T00:00:00"/>
    <x v="0"/>
    <s v="Q1"/>
    <x v="2"/>
    <x v="1"/>
    <x v="0"/>
    <x v="2"/>
    <x v="0"/>
    <x v="1"/>
    <x v="0"/>
    <n v="2"/>
    <m/>
    <n v="2483"/>
    <n v="0"/>
    <n v="4"/>
    <s v="Improved"/>
    <n v="1"/>
  </r>
  <r>
    <s v="ADM-240644"/>
    <d v="2024-03-12T00:00:00"/>
    <d v="2024-03-16T00:00:00"/>
    <x v="0"/>
    <s v="Q1"/>
    <x v="2"/>
    <x v="1"/>
    <x v="1"/>
    <x v="2"/>
    <x v="0"/>
    <x v="1"/>
    <x v="2"/>
    <n v="4"/>
    <m/>
    <n v="4306"/>
    <n v="1"/>
    <n v="3"/>
    <s v="Improved"/>
    <n v="1"/>
  </r>
  <r>
    <s v="ADM-240645"/>
    <d v="2024-03-12T00:00:00"/>
    <d v="2024-03-13T00:00:00"/>
    <x v="0"/>
    <s v="Q1"/>
    <x v="2"/>
    <x v="1"/>
    <x v="1"/>
    <x v="2"/>
    <x v="0"/>
    <x v="1"/>
    <x v="1"/>
    <n v="1"/>
    <m/>
    <n v="2202"/>
    <n v="0"/>
    <n v="3"/>
    <s v="Transferred"/>
    <n v="1"/>
  </r>
  <r>
    <s v="ADM-240646"/>
    <d v="2024-03-13T00:00:00"/>
    <d v="2024-03-20T00:00:00"/>
    <x v="0"/>
    <s v="Q1"/>
    <x v="2"/>
    <x v="2"/>
    <x v="1"/>
    <x v="2"/>
    <x v="1"/>
    <x v="0"/>
    <x v="0"/>
    <n v="7"/>
    <m/>
    <n v="7224"/>
    <n v="0"/>
    <n v="4"/>
    <s v="Recovered"/>
    <n v="1"/>
  </r>
  <r>
    <s v="ADM-240647"/>
    <d v="2024-03-13T00:00:00"/>
    <d v="2024-03-16T00:00:00"/>
    <x v="0"/>
    <s v="Q1"/>
    <x v="2"/>
    <x v="2"/>
    <x v="2"/>
    <x v="0"/>
    <x v="0"/>
    <x v="2"/>
    <x v="2"/>
    <n v="3"/>
    <n v="61"/>
    <n v="2153"/>
    <n v="0"/>
    <n v="5"/>
    <s v="Recovered"/>
    <n v="1"/>
  </r>
  <r>
    <s v="ADM-240648"/>
    <d v="2024-03-13T00:00:00"/>
    <d v="2024-03-16T00:00:00"/>
    <x v="0"/>
    <s v="Q1"/>
    <x v="2"/>
    <x v="2"/>
    <x v="1"/>
    <x v="2"/>
    <x v="1"/>
    <x v="2"/>
    <x v="0"/>
    <n v="3"/>
    <m/>
    <n v="4389"/>
    <n v="0"/>
    <n v="5"/>
    <s v="Improved"/>
    <n v="1"/>
  </r>
  <r>
    <s v="ADM-240649"/>
    <d v="2024-03-13T00:00:00"/>
    <d v="2024-03-18T00:00:00"/>
    <x v="0"/>
    <s v="Q1"/>
    <x v="2"/>
    <x v="2"/>
    <x v="1"/>
    <x v="2"/>
    <x v="1"/>
    <x v="0"/>
    <x v="2"/>
    <n v="5"/>
    <m/>
    <n v="5947"/>
    <n v="0"/>
    <n v="4"/>
    <s v="Recovered"/>
    <n v="1"/>
  </r>
  <r>
    <s v="ADM-240650"/>
    <d v="2024-03-13T00:00:00"/>
    <d v="2024-03-17T00:00:00"/>
    <x v="0"/>
    <s v="Q1"/>
    <x v="2"/>
    <x v="2"/>
    <x v="0"/>
    <x v="2"/>
    <x v="0"/>
    <x v="2"/>
    <x v="1"/>
    <n v="4"/>
    <m/>
    <n v="2765"/>
    <n v="0"/>
    <n v="4"/>
    <s v="Transferred"/>
    <n v="1"/>
  </r>
  <r>
    <s v="ADM-240651"/>
    <d v="2024-03-14T00:00:00"/>
    <d v="2024-03-21T00:00:00"/>
    <x v="0"/>
    <s v="Q1"/>
    <x v="2"/>
    <x v="3"/>
    <x v="3"/>
    <x v="1"/>
    <x v="1"/>
    <x v="3"/>
    <x v="0"/>
    <n v="7"/>
    <m/>
    <n v="6187"/>
    <n v="0"/>
    <n v="5"/>
    <s v="Improved"/>
    <n v="1"/>
  </r>
  <r>
    <s v="ADM-240652"/>
    <d v="2024-03-14T00:00:00"/>
    <d v="2024-03-19T00:00:00"/>
    <x v="0"/>
    <s v="Q1"/>
    <x v="2"/>
    <x v="3"/>
    <x v="1"/>
    <x v="2"/>
    <x v="1"/>
    <x v="4"/>
    <x v="0"/>
    <n v="5"/>
    <m/>
    <n v="8560"/>
    <n v="0"/>
    <n v="4"/>
    <s v="Recovered"/>
    <n v="1"/>
  </r>
  <r>
    <s v="ADM-240653"/>
    <d v="2024-03-14T00:00:00"/>
    <d v="2024-03-22T00:00:00"/>
    <x v="0"/>
    <s v="Q1"/>
    <x v="2"/>
    <x v="3"/>
    <x v="1"/>
    <x v="2"/>
    <x v="1"/>
    <x v="2"/>
    <x v="0"/>
    <n v="8"/>
    <m/>
    <n v="11131"/>
    <n v="1"/>
    <n v="3"/>
    <s v="Recovered"/>
    <n v="1"/>
  </r>
  <r>
    <s v="ADM-240654"/>
    <d v="2024-03-15T00:00:00"/>
    <d v="2024-03-17T00:00:00"/>
    <x v="0"/>
    <s v="Q1"/>
    <x v="2"/>
    <x v="4"/>
    <x v="2"/>
    <x v="1"/>
    <x v="0"/>
    <x v="2"/>
    <x v="0"/>
    <n v="2"/>
    <m/>
    <n v="2384"/>
    <n v="0"/>
    <n v="4"/>
    <s v="Recovered"/>
    <n v="1"/>
  </r>
  <r>
    <s v="ADM-240655"/>
    <d v="2024-03-15T00:00:00"/>
    <d v="2024-03-20T00:00:00"/>
    <x v="0"/>
    <s v="Q1"/>
    <x v="2"/>
    <x v="4"/>
    <x v="3"/>
    <x v="1"/>
    <x v="0"/>
    <x v="3"/>
    <x v="2"/>
    <n v="5"/>
    <m/>
    <n v="3040"/>
    <n v="0"/>
    <n v="4"/>
    <s v="Recovered"/>
    <n v="1"/>
  </r>
  <r>
    <s v="ADM-240656"/>
    <d v="2024-03-15T00:00:00"/>
    <d v="2024-03-17T00:00:00"/>
    <x v="0"/>
    <s v="Q1"/>
    <x v="2"/>
    <x v="4"/>
    <x v="3"/>
    <x v="2"/>
    <x v="1"/>
    <x v="3"/>
    <x v="0"/>
    <n v="2"/>
    <m/>
    <n v="2329"/>
    <n v="1"/>
    <n v="3"/>
    <s v="Recovered"/>
    <n v="1"/>
  </r>
  <r>
    <s v="ADM-240657"/>
    <d v="2024-03-16T00:00:00"/>
    <d v="2024-03-17T00:00:00"/>
    <x v="0"/>
    <s v="Q1"/>
    <x v="2"/>
    <x v="5"/>
    <x v="0"/>
    <x v="2"/>
    <x v="0"/>
    <x v="0"/>
    <x v="0"/>
    <n v="1"/>
    <m/>
    <n v="1520"/>
    <n v="0"/>
    <n v="4"/>
    <s v="Improved"/>
    <n v="1"/>
  </r>
  <r>
    <s v="ADM-240658"/>
    <d v="2024-03-16T00:00:00"/>
    <d v="2024-03-19T00:00:00"/>
    <x v="0"/>
    <s v="Q1"/>
    <x v="2"/>
    <x v="5"/>
    <x v="2"/>
    <x v="0"/>
    <x v="0"/>
    <x v="1"/>
    <x v="2"/>
    <n v="3"/>
    <n v="53"/>
    <n v="3302"/>
    <n v="0"/>
    <n v="5"/>
    <s v="Improved"/>
    <n v="1"/>
  </r>
  <r>
    <s v="ADM-240659"/>
    <d v="2024-03-16T00:00:00"/>
    <d v="2024-03-18T00:00:00"/>
    <x v="0"/>
    <s v="Q1"/>
    <x v="2"/>
    <x v="5"/>
    <x v="5"/>
    <x v="2"/>
    <x v="0"/>
    <x v="2"/>
    <x v="2"/>
    <n v="2"/>
    <m/>
    <n v="1768"/>
    <n v="0"/>
    <n v="5"/>
    <s v="Recovered"/>
    <n v="1"/>
  </r>
  <r>
    <s v="ADM-240660"/>
    <d v="2024-03-16T00:00:00"/>
    <d v="2024-03-19T00:00:00"/>
    <x v="0"/>
    <s v="Q1"/>
    <x v="2"/>
    <x v="5"/>
    <x v="2"/>
    <x v="0"/>
    <x v="0"/>
    <x v="1"/>
    <x v="2"/>
    <n v="3"/>
    <n v="51"/>
    <n v="3006"/>
    <n v="0"/>
    <n v="3"/>
    <s v="Recovered"/>
    <n v="1"/>
  </r>
  <r>
    <s v="ADM-240661"/>
    <d v="2024-03-16T00:00:00"/>
    <d v="2024-03-18T00:00:00"/>
    <x v="0"/>
    <s v="Q1"/>
    <x v="2"/>
    <x v="5"/>
    <x v="3"/>
    <x v="0"/>
    <x v="0"/>
    <x v="3"/>
    <x v="0"/>
    <n v="2"/>
    <n v="30"/>
    <n v="1930"/>
    <n v="0"/>
    <n v="5"/>
    <s v="Recovered"/>
    <n v="1"/>
  </r>
  <r>
    <s v="ADM-240662"/>
    <d v="2024-03-16T00:00:00"/>
    <d v="2024-03-17T00:00:00"/>
    <x v="0"/>
    <s v="Q1"/>
    <x v="2"/>
    <x v="5"/>
    <x v="4"/>
    <x v="2"/>
    <x v="1"/>
    <x v="0"/>
    <x v="0"/>
    <n v="1"/>
    <m/>
    <n v="1672"/>
    <n v="0"/>
    <n v="4"/>
    <s v="Improved"/>
    <n v="1"/>
  </r>
  <r>
    <s v="ADM-240663"/>
    <d v="2024-03-17T00:00:00"/>
    <d v="2024-03-18T00:00:00"/>
    <x v="0"/>
    <s v="Q1"/>
    <x v="2"/>
    <x v="6"/>
    <x v="1"/>
    <x v="1"/>
    <x v="1"/>
    <x v="4"/>
    <x v="0"/>
    <n v="1"/>
    <m/>
    <n v="1727"/>
    <n v="0"/>
    <n v="4"/>
    <s v="Recovered"/>
    <n v="1"/>
  </r>
  <r>
    <s v="ADM-240664"/>
    <d v="2024-03-17T00:00:00"/>
    <d v="2024-03-19T00:00:00"/>
    <x v="0"/>
    <s v="Q1"/>
    <x v="2"/>
    <x v="6"/>
    <x v="0"/>
    <x v="2"/>
    <x v="1"/>
    <x v="0"/>
    <x v="0"/>
    <n v="2"/>
    <m/>
    <n v="1977"/>
    <n v="0"/>
    <n v="3"/>
    <s v="Recovered"/>
    <n v="1"/>
  </r>
  <r>
    <s v="ADM-240665"/>
    <d v="2024-03-17T00:00:00"/>
    <d v="2024-03-19T00:00:00"/>
    <x v="0"/>
    <s v="Q1"/>
    <x v="2"/>
    <x v="6"/>
    <x v="2"/>
    <x v="0"/>
    <x v="0"/>
    <x v="1"/>
    <x v="0"/>
    <n v="2"/>
    <n v="24"/>
    <n v="3083"/>
    <n v="0"/>
    <n v="4"/>
    <s v="Transferred"/>
    <n v="1"/>
  </r>
  <r>
    <s v="ADM-240666"/>
    <d v="2024-03-17T00:00:00"/>
    <d v="2024-03-21T00:00:00"/>
    <x v="0"/>
    <s v="Q1"/>
    <x v="2"/>
    <x v="6"/>
    <x v="0"/>
    <x v="0"/>
    <x v="1"/>
    <x v="4"/>
    <x v="1"/>
    <n v="4"/>
    <n v="70"/>
    <n v="4135"/>
    <n v="0"/>
    <n v="3"/>
    <s v="Recovered"/>
    <n v="1"/>
  </r>
  <r>
    <s v="ADM-240667"/>
    <d v="2024-03-17T00:00:00"/>
    <d v="2024-03-23T00:00:00"/>
    <x v="0"/>
    <s v="Q1"/>
    <x v="2"/>
    <x v="6"/>
    <x v="0"/>
    <x v="2"/>
    <x v="0"/>
    <x v="0"/>
    <x v="0"/>
    <n v="6"/>
    <m/>
    <n v="5873"/>
    <n v="0"/>
    <n v="5"/>
    <s v="Improved"/>
    <n v="1"/>
  </r>
  <r>
    <s v="ADM-240668"/>
    <d v="2024-03-18T00:00:00"/>
    <d v="2024-03-21T00:00:00"/>
    <x v="0"/>
    <s v="Q1"/>
    <x v="2"/>
    <x v="0"/>
    <x v="2"/>
    <x v="0"/>
    <x v="0"/>
    <x v="2"/>
    <x v="2"/>
    <n v="3"/>
    <n v="93"/>
    <n v="2781"/>
    <n v="0"/>
    <n v="3"/>
    <s v="Recovered"/>
    <n v="1"/>
  </r>
  <r>
    <s v="ADM-240669"/>
    <d v="2024-03-18T00:00:00"/>
    <d v="2024-03-22T00:00:00"/>
    <x v="0"/>
    <s v="Q1"/>
    <x v="2"/>
    <x v="0"/>
    <x v="0"/>
    <x v="0"/>
    <x v="0"/>
    <x v="2"/>
    <x v="0"/>
    <n v="4"/>
    <n v="15"/>
    <n v="2543"/>
    <n v="0"/>
    <n v="4"/>
    <s v="Improved"/>
    <n v="1"/>
  </r>
  <r>
    <s v="ADM-240670"/>
    <d v="2024-03-18T00:00:00"/>
    <d v="2024-03-26T00:00:00"/>
    <x v="0"/>
    <s v="Q1"/>
    <x v="2"/>
    <x v="0"/>
    <x v="0"/>
    <x v="1"/>
    <x v="1"/>
    <x v="1"/>
    <x v="2"/>
    <n v="8"/>
    <m/>
    <n v="5306"/>
    <n v="0"/>
    <n v="5"/>
    <s v="Improved"/>
    <n v="1"/>
  </r>
  <r>
    <s v="ADM-240671"/>
    <d v="2024-03-18T00:00:00"/>
    <d v="2024-03-22T00:00:00"/>
    <x v="0"/>
    <s v="Q1"/>
    <x v="2"/>
    <x v="0"/>
    <x v="4"/>
    <x v="2"/>
    <x v="1"/>
    <x v="4"/>
    <x v="0"/>
    <n v="4"/>
    <m/>
    <n v="6251"/>
    <n v="0"/>
    <n v="4"/>
    <s v="Improved"/>
    <n v="1"/>
  </r>
  <r>
    <s v="ADM-240672"/>
    <d v="2024-03-18T00:00:00"/>
    <d v="2024-03-21T00:00:00"/>
    <x v="0"/>
    <s v="Q1"/>
    <x v="2"/>
    <x v="0"/>
    <x v="1"/>
    <x v="0"/>
    <x v="0"/>
    <x v="4"/>
    <x v="0"/>
    <n v="3"/>
    <n v="53"/>
    <n v="3529"/>
    <n v="0"/>
    <n v="4"/>
    <s v="Transferred"/>
    <n v="1"/>
  </r>
  <r>
    <s v="ADM-240673"/>
    <d v="2024-03-18T00:00:00"/>
    <d v="2024-03-19T00:00:00"/>
    <x v="0"/>
    <s v="Q1"/>
    <x v="2"/>
    <x v="0"/>
    <x v="3"/>
    <x v="0"/>
    <x v="0"/>
    <x v="3"/>
    <x v="2"/>
    <n v="1"/>
    <n v="22"/>
    <n v="1118"/>
    <n v="0"/>
    <n v="5"/>
    <s v="Improved"/>
    <n v="1"/>
  </r>
  <r>
    <s v="ADM-240674"/>
    <d v="2024-03-19T00:00:00"/>
    <d v="2024-03-20T00:00:00"/>
    <x v="0"/>
    <s v="Q1"/>
    <x v="2"/>
    <x v="1"/>
    <x v="3"/>
    <x v="0"/>
    <x v="0"/>
    <x v="3"/>
    <x v="0"/>
    <n v="1"/>
    <n v="71"/>
    <n v="1317"/>
    <n v="0"/>
    <n v="5"/>
    <s v="Improved"/>
    <n v="1"/>
  </r>
  <r>
    <s v="ADM-240675"/>
    <d v="2024-03-19T00:00:00"/>
    <d v="2024-03-20T00:00:00"/>
    <x v="0"/>
    <s v="Q1"/>
    <x v="2"/>
    <x v="1"/>
    <x v="5"/>
    <x v="2"/>
    <x v="1"/>
    <x v="1"/>
    <x v="0"/>
    <n v="1"/>
    <m/>
    <n v="2145"/>
    <n v="1"/>
    <n v="4"/>
    <s v="Improved"/>
    <n v="1"/>
  </r>
  <r>
    <s v="ADM-240676"/>
    <d v="2024-03-19T00:00:00"/>
    <d v="2024-03-20T00:00:00"/>
    <x v="0"/>
    <s v="Q1"/>
    <x v="2"/>
    <x v="1"/>
    <x v="2"/>
    <x v="0"/>
    <x v="0"/>
    <x v="1"/>
    <x v="0"/>
    <n v="1"/>
    <n v="44"/>
    <n v="1822"/>
    <n v="0"/>
    <n v="3"/>
    <s v="Recovered"/>
    <n v="1"/>
  </r>
  <r>
    <s v="ADM-240677"/>
    <d v="2024-03-19T00:00:00"/>
    <d v="2024-03-30T00:00:00"/>
    <x v="0"/>
    <s v="Q1"/>
    <x v="2"/>
    <x v="1"/>
    <x v="0"/>
    <x v="0"/>
    <x v="0"/>
    <x v="0"/>
    <x v="0"/>
    <n v="11"/>
    <n v="25"/>
    <n v="9100"/>
    <n v="0"/>
    <n v="5"/>
    <s v="Recovered"/>
    <n v="1"/>
  </r>
  <r>
    <s v="ADM-240678"/>
    <d v="2024-03-19T00:00:00"/>
    <d v="2024-03-22T00:00:00"/>
    <x v="0"/>
    <s v="Q1"/>
    <x v="2"/>
    <x v="1"/>
    <x v="2"/>
    <x v="0"/>
    <x v="0"/>
    <x v="1"/>
    <x v="2"/>
    <n v="3"/>
    <n v="61"/>
    <n v="2986"/>
    <n v="0"/>
    <n v="3"/>
    <s v="Improved"/>
    <n v="1"/>
  </r>
  <r>
    <s v="ADM-240679"/>
    <d v="2024-03-19T00:00:00"/>
    <d v="2024-03-23T00:00:00"/>
    <x v="0"/>
    <s v="Q1"/>
    <x v="2"/>
    <x v="1"/>
    <x v="5"/>
    <x v="2"/>
    <x v="1"/>
    <x v="1"/>
    <x v="2"/>
    <n v="4"/>
    <m/>
    <n v="5201"/>
    <n v="0"/>
    <n v="5"/>
    <s v="Improved"/>
    <n v="1"/>
  </r>
  <r>
    <s v="ADM-240680"/>
    <d v="2024-03-19T00:00:00"/>
    <d v="2024-03-26T00:00:00"/>
    <x v="0"/>
    <s v="Q1"/>
    <x v="2"/>
    <x v="1"/>
    <x v="3"/>
    <x v="0"/>
    <x v="0"/>
    <x v="3"/>
    <x v="0"/>
    <n v="7"/>
    <n v="37"/>
    <n v="4135"/>
    <n v="0"/>
    <n v="5"/>
    <s v="Recovered"/>
    <n v="1"/>
  </r>
  <r>
    <s v="ADM-240681"/>
    <d v="2024-03-19T00:00:00"/>
    <d v="2024-03-26T00:00:00"/>
    <x v="0"/>
    <s v="Q1"/>
    <x v="2"/>
    <x v="1"/>
    <x v="4"/>
    <x v="0"/>
    <x v="0"/>
    <x v="0"/>
    <x v="0"/>
    <n v="7"/>
    <n v="14"/>
    <n v="6706"/>
    <n v="0"/>
    <n v="5"/>
    <s v="Recovered"/>
    <n v="1"/>
  </r>
  <r>
    <s v="ADM-240682"/>
    <d v="2024-03-20T00:00:00"/>
    <d v="2024-03-22T00:00:00"/>
    <x v="0"/>
    <s v="Q1"/>
    <x v="2"/>
    <x v="2"/>
    <x v="3"/>
    <x v="1"/>
    <x v="1"/>
    <x v="3"/>
    <x v="2"/>
    <n v="2"/>
    <m/>
    <n v="1629"/>
    <n v="1"/>
    <n v="4"/>
    <s v="Recovered"/>
    <n v="1"/>
  </r>
  <r>
    <s v="ADM-240683"/>
    <d v="2024-03-20T00:00:00"/>
    <d v="2024-03-24T00:00:00"/>
    <x v="0"/>
    <s v="Q1"/>
    <x v="2"/>
    <x v="2"/>
    <x v="0"/>
    <x v="0"/>
    <x v="1"/>
    <x v="2"/>
    <x v="0"/>
    <n v="4"/>
    <n v="61"/>
    <n v="3602"/>
    <n v="0"/>
    <n v="4"/>
    <s v="Recovered"/>
    <n v="1"/>
  </r>
  <r>
    <s v="ADM-240684"/>
    <d v="2024-03-20T00:00:00"/>
    <d v="2024-03-21T00:00:00"/>
    <x v="0"/>
    <s v="Q1"/>
    <x v="2"/>
    <x v="2"/>
    <x v="0"/>
    <x v="0"/>
    <x v="1"/>
    <x v="4"/>
    <x v="2"/>
    <n v="1"/>
    <n v="69"/>
    <n v="1439"/>
    <n v="1"/>
    <n v="4"/>
    <s v="Improved"/>
    <n v="1"/>
  </r>
  <r>
    <s v="ADM-240685"/>
    <d v="2024-03-20T00:00:00"/>
    <d v="2024-03-26T00:00:00"/>
    <x v="0"/>
    <s v="Q1"/>
    <x v="2"/>
    <x v="2"/>
    <x v="0"/>
    <x v="0"/>
    <x v="0"/>
    <x v="1"/>
    <x v="2"/>
    <n v="6"/>
    <n v="17"/>
    <n v="5028"/>
    <n v="0"/>
    <n v="5"/>
    <s v="Recovered"/>
    <n v="1"/>
  </r>
  <r>
    <s v="ADM-240686"/>
    <d v="2024-03-20T00:00:00"/>
    <d v="2024-03-28T00:00:00"/>
    <x v="0"/>
    <s v="Q1"/>
    <x v="2"/>
    <x v="2"/>
    <x v="2"/>
    <x v="0"/>
    <x v="0"/>
    <x v="1"/>
    <x v="0"/>
    <n v="8"/>
    <n v="38"/>
    <n v="6283"/>
    <n v="0"/>
    <n v="4"/>
    <s v="Recovered"/>
    <n v="1"/>
  </r>
  <r>
    <s v="ADM-240687"/>
    <d v="2024-03-20T00:00:00"/>
    <d v="2024-03-23T00:00:00"/>
    <x v="0"/>
    <s v="Q1"/>
    <x v="2"/>
    <x v="2"/>
    <x v="1"/>
    <x v="0"/>
    <x v="0"/>
    <x v="0"/>
    <x v="0"/>
    <n v="3"/>
    <n v="53"/>
    <n v="3436"/>
    <n v="0"/>
    <n v="4"/>
    <s v="Transferred"/>
    <n v="1"/>
  </r>
  <r>
    <s v="ADM-240688"/>
    <d v="2024-03-20T00:00:00"/>
    <d v="2024-03-24T00:00:00"/>
    <x v="0"/>
    <s v="Q1"/>
    <x v="2"/>
    <x v="2"/>
    <x v="4"/>
    <x v="0"/>
    <x v="0"/>
    <x v="4"/>
    <x v="1"/>
    <n v="4"/>
    <n v="62"/>
    <n v="2786"/>
    <n v="0"/>
    <n v="4"/>
    <s v="Improved"/>
    <n v="1"/>
  </r>
  <r>
    <s v="ADM-240689"/>
    <d v="2024-03-20T00:00:00"/>
    <d v="2024-03-29T00:00:00"/>
    <x v="0"/>
    <s v="Q1"/>
    <x v="2"/>
    <x v="2"/>
    <x v="5"/>
    <x v="2"/>
    <x v="1"/>
    <x v="0"/>
    <x v="0"/>
    <n v="9"/>
    <m/>
    <n v="10539"/>
    <n v="0"/>
    <n v="4"/>
    <s v="Recovered"/>
    <n v="1"/>
  </r>
  <r>
    <s v="ADM-240690"/>
    <d v="2024-03-20T00:00:00"/>
    <d v="2024-03-24T00:00:00"/>
    <x v="0"/>
    <s v="Q1"/>
    <x v="2"/>
    <x v="2"/>
    <x v="5"/>
    <x v="2"/>
    <x v="0"/>
    <x v="4"/>
    <x v="2"/>
    <n v="4"/>
    <m/>
    <n v="4670"/>
    <n v="1"/>
    <n v="2"/>
    <s v="Improved"/>
    <n v="1"/>
  </r>
  <r>
    <s v="ADM-240691"/>
    <d v="2024-03-20T00:00:00"/>
    <d v="2024-03-25T00:00:00"/>
    <x v="0"/>
    <s v="Q1"/>
    <x v="2"/>
    <x v="2"/>
    <x v="5"/>
    <x v="2"/>
    <x v="0"/>
    <x v="4"/>
    <x v="2"/>
    <n v="5"/>
    <m/>
    <n v="4788"/>
    <n v="0"/>
    <n v="4"/>
    <s v="Recovered"/>
    <n v="1"/>
  </r>
  <r>
    <s v="ADM-240692"/>
    <d v="2024-03-20T00:00:00"/>
    <d v="2024-03-26T00:00:00"/>
    <x v="0"/>
    <s v="Q1"/>
    <x v="2"/>
    <x v="2"/>
    <x v="0"/>
    <x v="0"/>
    <x v="1"/>
    <x v="1"/>
    <x v="2"/>
    <n v="6"/>
    <n v="37"/>
    <n v="5962"/>
    <n v="0"/>
    <n v="4"/>
    <s v="Recovered"/>
    <n v="1"/>
  </r>
  <r>
    <s v="ADM-240693"/>
    <d v="2024-03-20T00:00:00"/>
    <d v="2024-03-27T00:00:00"/>
    <x v="0"/>
    <s v="Q1"/>
    <x v="2"/>
    <x v="2"/>
    <x v="2"/>
    <x v="0"/>
    <x v="0"/>
    <x v="1"/>
    <x v="2"/>
    <n v="7"/>
    <n v="99"/>
    <n v="4589"/>
    <n v="0"/>
    <n v="4"/>
    <s v="Improved"/>
    <n v="1"/>
  </r>
  <r>
    <s v="ADM-240694"/>
    <d v="2024-03-21T00:00:00"/>
    <d v="2024-03-25T00:00:00"/>
    <x v="0"/>
    <s v="Q1"/>
    <x v="2"/>
    <x v="3"/>
    <x v="2"/>
    <x v="0"/>
    <x v="0"/>
    <x v="1"/>
    <x v="1"/>
    <n v="4"/>
    <n v="31"/>
    <n v="3890"/>
    <n v="0"/>
    <n v="3"/>
    <s v="Recovered"/>
    <n v="1"/>
  </r>
  <r>
    <s v="ADM-240695"/>
    <d v="2024-03-21T00:00:00"/>
    <d v="2024-03-25T00:00:00"/>
    <x v="0"/>
    <s v="Q1"/>
    <x v="2"/>
    <x v="3"/>
    <x v="1"/>
    <x v="2"/>
    <x v="1"/>
    <x v="4"/>
    <x v="0"/>
    <n v="4"/>
    <m/>
    <n v="3762"/>
    <n v="0"/>
    <n v="3"/>
    <s v="Improved"/>
    <n v="1"/>
  </r>
  <r>
    <s v="ADM-240696"/>
    <d v="2024-03-21T00:00:00"/>
    <d v="2024-03-24T00:00:00"/>
    <x v="0"/>
    <s v="Q1"/>
    <x v="2"/>
    <x v="3"/>
    <x v="5"/>
    <x v="2"/>
    <x v="1"/>
    <x v="0"/>
    <x v="2"/>
    <n v="3"/>
    <m/>
    <n v="2845"/>
    <n v="0"/>
    <n v="4"/>
    <s v="Transferred"/>
    <n v="1"/>
  </r>
  <r>
    <s v="ADM-240697"/>
    <d v="2024-03-21T00:00:00"/>
    <d v="2024-03-22T00:00:00"/>
    <x v="0"/>
    <s v="Q1"/>
    <x v="2"/>
    <x v="3"/>
    <x v="5"/>
    <x v="2"/>
    <x v="1"/>
    <x v="0"/>
    <x v="2"/>
    <n v="1"/>
    <m/>
    <n v="1686"/>
    <n v="0"/>
    <n v="5"/>
    <s v="Recovered"/>
    <n v="1"/>
  </r>
  <r>
    <s v="ADM-240698"/>
    <d v="2024-03-21T00:00:00"/>
    <d v="2024-03-27T00:00:00"/>
    <x v="0"/>
    <s v="Q1"/>
    <x v="2"/>
    <x v="3"/>
    <x v="4"/>
    <x v="2"/>
    <x v="0"/>
    <x v="4"/>
    <x v="0"/>
    <n v="6"/>
    <m/>
    <n v="8908"/>
    <n v="0"/>
    <n v="5"/>
    <s v="Recovered"/>
    <n v="1"/>
  </r>
  <r>
    <s v="ADM-240699"/>
    <d v="2024-03-21T00:00:00"/>
    <d v="2024-03-27T00:00:00"/>
    <x v="0"/>
    <s v="Q1"/>
    <x v="2"/>
    <x v="3"/>
    <x v="4"/>
    <x v="0"/>
    <x v="1"/>
    <x v="4"/>
    <x v="0"/>
    <n v="6"/>
    <n v="19"/>
    <n v="8314"/>
    <n v="0"/>
    <n v="5"/>
    <s v="Improved"/>
    <n v="1"/>
  </r>
  <r>
    <s v="ADM-240700"/>
    <d v="2024-03-21T00:00:00"/>
    <d v="2024-03-25T00:00:00"/>
    <x v="0"/>
    <s v="Q1"/>
    <x v="2"/>
    <x v="3"/>
    <x v="4"/>
    <x v="0"/>
    <x v="1"/>
    <x v="0"/>
    <x v="2"/>
    <n v="4"/>
    <n v="77"/>
    <n v="6390"/>
    <n v="0"/>
    <n v="4"/>
    <s v="Recovered"/>
    <n v="1"/>
  </r>
  <r>
    <s v="ADM-240701"/>
    <d v="2024-03-21T00:00:00"/>
    <d v="2024-03-23T00:00:00"/>
    <x v="0"/>
    <s v="Q1"/>
    <x v="2"/>
    <x v="3"/>
    <x v="3"/>
    <x v="0"/>
    <x v="0"/>
    <x v="3"/>
    <x v="2"/>
    <n v="2"/>
    <n v="53"/>
    <n v="1877"/>
    <n v="0"/>
    <n v="5"/>
    <s v="Recovered"/>
    <n v="1"/>
  </r>
  <r>
    <s v="ADM-240702"/>
    <d v="2024-03-22T00:00:00"/>
    <d v="2024-03-26T00:00:00"/>
    <x v="0"/>
    <s v="Q1"/>
    <x v="2"/>
    <x v="4"/>
    <x v="2"/>
    <x v="0"/>
    <x v="0"/>
    <x v="2"/>
    <x v="0"/>
    <n v="4"/>
    <n v="32"/>
    <n v="3565"/>
    <n v="0"/>
    <n v="4"/>
    <s v="Recovered"/>
    <n v="1"/>
  </r>
  <r>
    <s v="ADM-240703"/>
    <d v="2024-03-22T00:00:00"/>
    <d v="2024-03-25T00:00:00"/>
    <x v="0"/>
    <s v="Q1"/>
    <x v="2"/>
    <x v="4"/>
    <x v="1"/>
    <x v="2"/>
    <x v="1"/>
    <x v="0"/>
    <x v="0"/>
    <n v="3"/>
    <m/>
    <n v="3277"/>
    <n v="0"/>
    <n v="4"/>
    <s v="Recovered"/>
    <n v="1"/>
  </r>
  <r>
    <s v="ADM-240704"/>
    <d v="2024-03-22T00:00:00"/>
    <d v="2024-03-23T00:00:00"/>
    <x v="0"/>
    <s v="Q1"/>
    <x v="2"/>
    <x v="4"/>
    <x v="0"/>
    <x v="0"/>
    <x v="0"/>
    <x v="0"/>
    <x v="2"/>
    <n v="1"/>
    <n v="67"/>
    <n v="1626"/>
    <n v="0"/>
    <n v="4"/>
    <s v="Recovered"/>
    <n v="1"/>
  </r>
  <r>
    <s v="ADM-240705"/>
    <d v="2024-03-22T00:00:00"/>
    <d v="2024-03-26T00:00:00"/>
    <x v="0"/>
    <s v="Q1"/>
    <x v="2"/>
    <x v="4"/>
    <x v="3"/>
    <x v="2"/>
    <x v="1"/>
    <x v="3"/>
    <x v="0"/>
    <n v="4"/>
    <m/>
    <n v="3277"/>
    <n v="0"/>
    <n v="4"/>
    <s v="Recovered"/>
    <n v="1"/>
  </r>
  <r>
    <s v="ADM-240706"/>
    <d v="2024-03-22T00:00:00"/>
    <d v="2024-03-23T00:00:00"/>
    <x v="0"/>
    <s v="Q1"/>
    <x v="2"/>
    <x v="4"/>
    <x v="0"/>
    <x v="0"/>
    <x v="0"/>
    <x v="4"/>
    <x v="2"/>
    <n v="1"/>
    <n v="91"/>
    <n v="1503"/>
    <n v="0"/>
    <n v="4"/>
    <s v="Recovered"/>
    <n v="1"/>
  </r>
  <r>
    <s v="ADM-240707"/>
    <d v="2024-03-22T00:00:00"/>
    <d v="2024-03-23T00:00:00"/>
    <x v="0"/>
    <s v="Q1"/>
    <x v="2"/>
    <x v="4"/>
    <x v="2"/>
    <x v="2"/>
    <x v="0"/>
    <x v="1"/>
    <x v="2"/>
    <n v="1"/>
    <m/>
    <n v="1675"/>
    <n v="0"/>
    <n v="5"/>
    <s v="Recovered"/>
    <n v="1"/>
  </r>
  <r>
    <s v="ADM-240708"/>
    <d v="2024-03-22T00:00:00"/>
    <d v="2024-03-25T00:00:00"/>
    <x v="0"/>
    <s v="Q1"/>
    <x v="2"/>
    <x v="4"/>
    <x v="3"/>
    <x v="0"/>
    <x v="1"/>
    <x v="3"/>
    <x v="0"/>
    <n v="3"/>
    <n v="46"/>
    <n v="2959"/>
    <n v="0"/>
    <n v="4"/>
    <s v="Recovered"/>
    <n v="1"/>
  </r>
  <r>
    <s v="ADM-240709"/>
    <d v="2024-03-22T00:00:00"/>
    <d v="2024-03-27T00:00:00"/>
    <x v="0"/>
    <s v="Q1"/>
    <x v="2"/>
    <x v="4"/>
    <x v="0"/>
    <x v="0"/>
    <x v="0"/>
    <x v="4"/>
    <x v="0"/>
    <n v="5"/>
    <n v="114"/>
    <n v="4157"/>
    <n v="0"/>
    <n v="3"/>
    <s v="Improved"/>
    <n v="1"/>
  </r>
  <r>
    <s v="ADM-240710"/>
    <d v="2024-03-22T00:00:00"/>
    <d v="2024-03-28T00:00:00"/>
    <x v="0"/>
    <s v="Q1"/>
    <x v="2"/>
    <x v="4"/>
    <x v="0"/>
    <x v="1"/>
    <x v="0"/>
    <x v="1"/>
    <x v="2"/>
    <n v="6"/>
    <m/>
    <n v="3570"/>
    <n v="0"/>
    <n v="5"/>
    <s v="Recovered"/>
    <n v="1"/>
  </r>
  <r>
    <s v="ADM-240711"/>
    <d v="2024-03-23T00:00:00"/>
    <d v="2024-03-25T00:00:00"/>
    <x v="0"/>
    <s v="Q1"/>
    <x v="2"/>
    <x v="5"/>
    <x v="4"/>
    <x v="0"/>
    <x v="0"/>
    <x v="0"/>
    <x v="1"/>
    <n v="2"/>
    <n v="26"/>
    <n v="3223"/>
    <n v="1"/>
    <n v="4"/>
    <s v="Recovered"/>
    <n v="1"/>
  </r>
  <r>
    <s v="ADM-240712"/>
    <d v="2024-03-23T00:00:00"/>
    <d v="2024-03-25T00:00:00"/>
    <x v="0"/>
    <s v="Q1"/>
    <x v="2"/>
    <x v="5"/>
    <x v="3"/>
    <x v="2"/>
    <x v="0"/>
    <x v="3"/>
    <x v="2"/>
    <n v="2"/>
    <m/>
    <n v="1754"/>
    <n v="0"/>
    <n v="4"/>
    <s v="Recovered"/>
    <n v="1"/>
  </r>
  <r>
    <s v="ADM-240713"/>
    <d v="2024-03-23T00:00:00"/>
    <d v="2024-03-26T00:00:00"/>
    <x v="0"/>
    <s v="Q1"/>
    <x v="2"/>
    <x v="5"/>
    <x v="1"/>
    <x v="2"/>
    <x v="0"/>
    <x v="0"/>
    <x v="2"/>
    <n v="3"/>
    <m/>
    <n v="4217"/>
    <n v="0"/>
    <n v="4"/>
    <s v="Recovered"/>
    <n v="1"/>
  </r>
  <r>
    <s v="ADM-240714"/>
    <d v="2024-03-23T00:00:00"/>
    <d v="2024-03-24T00:00:00"/>
    <x v="0"/>
    <s v="Q1"/>
    <x v="2"/>
    <x v="5"/>
    <x v="0"/>
    <x v="1"/>
    <x v="1"/>
    <x v="1"/>
    <x v="0"/>
    <n v="1"/>
    <m/>
    <n v="1333"/>
    <n v="0"/>
    <n v="4"/>
    <s v="Improved"/>
    <n v="1"/>
  </r>
  <r>
    <s v="ADM-240715"/>
    <d v="2024-03-23T00:00:00"/>
    <d v="2024-03-25T00:00:00"/>
    <x v="0"/>
    <s v="Q1"/>
    <x v="2"/>
    <x v="5"/>
    <x v="2"/>
    <x v="0"/>
    <x v="0"/>
    <x v="2"/>
    <x v="0"/>
    <n v="2"/>
    <n v="65"/>
    <n v="1903"/>
    <n v="0"/>
    <n v="4"/>
    <s v="Transferred"/>
    <n v="1"/>
  </r>
  <r>
    <s v="ADM-240716"/>
    <d v="2024-03-23T00:00:00"/>
    <d v="2024-04-13T00:00:00"/>
    <x v="0"/>
    <s v="Q1"/>
    <x v="2"/>
    <x v="5"/>
    <x v="0"/>
    <x v="0"/>
    <x v="0"/>
    <x v="0"/>
    <x v="2"/>
    <n v="21"/>
    <n v="45"/>
    <n v="13579"/>
    <n v="0"/>
    <n v="3"/>
    <s v="Improved"/>
    <n v="1"/>
  </r>
  <r>
    <s v="ADM-240717"/>
    <d v="2024-03-23T00:00:00"/>
    <d v="2024-03-24T00:00:00"/>
    <x v="0"/>
    <s v="Q1"/>
    <x v="2"/>
    <x v="5"/>
    <x v="2"/>
    <x v="2"/>
    <x v="0"/>
    <x v="1"/>
    <x v="0"/>
    <n v="1"/>
    <m/>
    <n v="1895"/>
    <n v="0"/>
    <n v="5"/>
    <s v="Improved"/>
    <n v="1"/>
  </r>
  <r>
    <s v="ADM-240718"/>
    <d v="2024-03-23T00:00:00"/>
    <d v="2024-03-25T00:00:00"/>
    <x v="0"/>
    <s v="Q1"/>
    <x v="2"/>
    <x v="5"/>
    <x v="0"/>
    <x v="0"/>
    <x v="0"/>
    <x v="4"/>
    <x v="1"/>
    <n v="2"/>
    <n v="51"/>
    <n v="2137"/>
    <n v="0"/>
    <n v="4"/>
    <s v="Improved"/>
    <n v="1"/>
  </r>
  <r>
    <s v="ADM-240719"/>
    <d v="2024-03-24T00:00:00"/>
    <d v="2024-03-29T00:00:00"/>
    <x v="0"/>
    <s v="Q1"/>
    <x v="2"/>
    <x v="6"/>
    <x v="0"/>
    <x v="0"/>
    <x v="0"/>
    <x v="4"/>
    <x v="0"/>
    <n v="5"/>
    <n v="50"/>
    <n v="4117"/>
    <n v="0"/>
    <n v="4"/>
    <s v="Recovered"/>
    <n v="1"/>
  </r>
  <r>
    <s v="ADM-240720"/>
    <d v="2024-03-24T00:00:00"/>
    <d v="2024-03-29T00:00:00"/>
    <x v="0"/>
    <s v="Q1"/>
    <x v="2"/>
    <x v="6"/>
    <x v="4"/>
    <x v="0"/>
    <x v="1"/>
    <x v="4"/>
    <x v="2"/>
    <n v="5"/>
    <n v="47"/>
    <n v="7672"/>
    <n v="0"/>
    <n v="3"/>
    <s v="Recovered"/>
    <n v="1"/>
  </r>
  <r>
    <s v="ADM-240721"/>
    <d v="2024-03-24T00:00:00"/>
    <d v="2024-03-27T00:00:00"/>
    <x v="0"/>
    <s v="Q1"/>
    <x v="2"/>
    <x v="6"/>
    <x v="5"/>
    <x v="2"/>
    <x v="1"/>
    <x v="4"/>
    <x v="0"/>
    <n v="3"/>
    <m/>
    <n v="3501"/>
    <n v="0"/>
    <n v="5"/>
    <s v="Improved"/>
    <n v="1"/>
  </r>
  <r>
    <s v="ADM-240722"/>
    <d v="2024-03-24T00:00:00"/>
    <d v="2024-04-01T00:00:00"/>
    <x v="0"/>
    <s v="Q1"/>
    <x v="2"/>
    <x v="6"/>
    <x v="5"/>
    <x v="2"/>
    <x v="0"/>
    <x v="0"/>
    <x v="2"/>
    <n v="8"/>
    <m/>
    <n v="5780"/>
    <n v="0"/>
    <n v="4"/>
    <s v="Improved"/>
    <n v="1"/>
  </r>
  <r>
    <s v="ADM-240723"/>
    <d v="2024-03-24T00:00:00"/>
    <d v="2024-03-30T00:00:00"/>
    <x v="0"/>
    <s v="Q1"/>
    <x v="2"/>
    <x v="6"/>
    <x v="0"/>
    <x v="0"/>
    <x v="1"/>
    <x v="4"/>
    <x v="2"/>
    <n v="6"/>
    <n v="21"/>
    <n v="4040"/>
    <n v="0"/>
    <n v="4"/>
    <s v="Improved"/>
    <n v="1"/>
  </r>
  <r>
    <s v="ADM-240724"/>
    <d v="2024-03-24T00:00:00"/>
    <d v="2024-04-01T00:00:00"/>
    <x v="0"/>
    <s v="Q1"/>
    <x v="2"/>
    <x v="6"/>
    <x v="0"/>
    <x v="0"/>
    <x v="0"/>
    <x v="1"/>
    <x v="0"/>
    <n v="8"/>
    <n v="30"/>
    <n v="5283"/>
    <n v="1"/>
    <n v="3"/>
    <s v="Recovered"/>
    <n v="1"/>
  </r>
  <r>
    <s v="ADM-240725"/>
    <d v="2024-03-25T00:00:00"/>
    <d v="2024-03-29T00:00:00"/>
    <x v="0"/>
    <s v="Q1"/>
    <x v="2"/>
    <x v="0"/>
    <x v="4"/>
    <x v="0"/>
    <x v="1"/>
    <x v="0"/>
    <x v="2"/>
    <n v="4"/>
    <n v="48"/>
    <n v="5678"/>
    <n v="0"/>
    <n v="4"/>
    <s v="Recovered"/>
    <n v="1"/>
  </r>
  <r>
    <s v="ADM-240726"/>
    <d v="2024-03-25T00:00:00"/>
    <d v="2024-03-30T00:00:00"/>
    <x v="0"/>
    <s v="Q1"/>
    <x v="2"/>
    <x v="0"/>
    <x v="4"/>
    <x v="0"/>
    <x v="1"/>
    <x v="0"/>
    <x v="0"/>
    <n v="5"/>
    <n v="35"/>
    <n v="6149"/>
    <n v="1"/>
    <n v="4"/>
    <s v="Recovered"/>
    <n v="1"/>
  </r>
  <r>
    <s v="ADM-240727"/>
    <d v="2024-03-25T00:00:00"/>
    <d v="2024-03-29T00:00:00"/>
    <x v="0"/>
    <s v="Q1"/>
    <x v="2"/>
    <x v="0"/>
    <x v="0"/>
    <x v="0"/>
    <x v="0"/>
    <x v="4"/>
    <x v="0"/>
    <n v="4"/>
    <n v="46"/>
    <n v="2803"/>
    <n v="0"/>
    <n v="5"/>
    <s v="Improved"/>
    <n v="1"/>
  </r>
  <r>
    <s v="ADM-240728"/>
    <d v="2024-03-25T00:00:00"/>
    <d v="2024-03-28T00:00:00"/>
    <x v="0"/>
    <s v="Q1"/>
    <x v="2"/>
    <x v="0"/>
    <x v="1"/>
    <x v="2"/>
    <x v="1"/>
    <x v="1"/>
    <x v="2"/>
    <n v="3"/>
    <m/>
    <n v="4252"/>
    <n v="0"/>
    <n v="5"/>
    <s v="Transferred"/>
    <n v="1"/>
  </r>
  <r>
    <s v="ADM-240729"/>
    <d v="2024-03-25T00:00:00"/>
    <d v="2024-03-28T00:00:00"/>
    <x v="0"/>
    <s v="Q1"/>
    <x v="2"/>
    <x v="0"/>
    <x v="1"/>
    <x v="1"/>
    <x v="1"/>
    <x v="1"/>
    <x v="0"/>
    <n v="3"/>
    <m/>
    <n v="4026"/>
    <n v="0"/>
    <n v="5"/>
    <s v="Deceased"/>
    <n v="1"/>
  </r>
  <r>
    <s v="ADM-240730"/>
    <d v="2024-03-25T00:00:00"/>
    <d v="2024-03-26T00:00:00"/>
    <x v="0"/>
    <s v="Q1"/>
    <x v="2"/>
    <x v="0"/>
    <x v="1"/>
    <x v="2"/>
    <x v="0"/>
    <x v="4"/>
    <x v="0"/>
    <n v="1"/>
    <m/>
    <n v="1865"/>
    <n v="0"/>
    <n v="4"/>
    <s v="Improved"/>
    <n v="1"/>
  </r>
  <r>
    <s v="ADM-240731"/>
    <d v="2024-03-25T00:00:00"/>
    <d v="2024-03-27T00:00:00"/>
    <x v="0"/>
    <s v="Q1"/>
    <x v="2"/>
    <x v="0"/>
    <x v="2"/>
    <x v="2"/>
    <x v="0"/>
    <x v="1"/>
    <x v="0"/>
    <n v="2"/>
    <m/>
    <n v="2647"/>
    <n v="0"/>
    <n v="4"/>
    <s v="Recovered"/>
    <n v="1"/>
  </r>
  <r>
    <s v="ADM-240732"/>
    <d v="2024-03-25T00:00:00"/>
    <d v="2024-04-02T00:00:00"/>
    <x v="0"/>
    <s v="Q1"/>
    <x v="2"/>
    <x v="0"/>
    <x v="0"/>
    <x v="0"/>
    <x v="0"/>
    <x v="0"/>
    <x v="2"/>
    <n v="8"/>
    <n v="82"/>
    <n v="7535"/>
    <n v="0"/>
    <n v="5"/>
    <s v="Improved"/>
    <n v="1"/>
  </r>
  <r>
    <s v="ADM-240733"/>
    <d v="2024-03-25T00:00:00"/>
    <d v="2024-03-27T00:00:00"/>
    <x v="0"/>
    <s v="Q1"/>
    <x v="2"/>
    <x v="0"/>
    <x v="2"/>
    <x v="0"/>
    <x v="0"/>
    <x v="2"/>
    <x v="2"/>
    <n v="2"/>
    <n v="19"/>
    <n v="2440"/>
    <n v="0"/>
    <n v="5"/>
    <s v="Recovered"/>
    <n v="1"/>
  </r>
  <r>
    <s v="ADM-240734"/>
    <d v="2024-03-25T00:00:00"/>
    <d v="2024-04-02T00:00:00"/>
    <x v="0"/>
    <s v="Q1"/>
    <x v="2"/>
    <x v="0"/>
    <x v="5"/>
    <x v="2"/>
    <x v="0"/>
    <x v="0"/>
    <x v="2"/>
    <n v="8"/>
    <m/>
    <n v="9715"/>
    <n v="0"/>
    <n v="4"/>
    <s v="Recovered"/>
    <n v="1"/>
  </r>
  <r>
    <s v="ADM-240735"/>
    <d v="2024-03-25T00:00:00"/>
    <d v="2024-03-31T00:00:00"/>
    <x v="0"/>
    <s v="Q1"/>
    <x v="2"/>
    <x v="0"/>
    <x v="2"/>
    <x v="0"/>
    <x v="0"/>
    <x v="2"/>
    <x v="2"/>
    <n v="6"/>
    <n v="46"/>
    <n v="5475"/>
    <n v="0"/>
    <n v="4"/>
    <s v="Recovered"/>
    <n v="1"/>
  </r>
  <r>
    <s v="ADM-240736"/>
    <d v="2024-03-26T00:00:00"/>
    <d v="2024-03-30T00:00:00"/>
    <x v="0"/>
    <s v="Q1"/>
    <x v="2"/>
    <x v="1"/>
    <x v="1"/>
    <x v="2"/>
    <x v="0"/>
    <x v="1"/>
    <x v="2"/>
    <n v="4"/>
    <m/>
    <n v="4296"/>
    <n v="0"/>
    <n v="5"/>
    <s v="Recovered"/>
    <n v="1"/>
  </r>
  <r>
    <s v="ADM-240737"/>
    <d v="2024-03-26T00:00:00"/>
    <d v="2024-03-30T00:00:00"/>
    <x v="0"/>
    <s v="Q1"/>
    <x v="2"/>
    <x v="1"/>
    <x v="2"/>
    <x v="0"/>
    <x v="0"/>
    <x v="2"/>
    <x v="2"/>
    <n v="4"/>
    <n v="34"/>
    <n v="3590"/>
    <n v="0"/>
    <n v="4"/>
    <s v="Recovered"/>
    <n v="1"/>
  </r>
  <r>
    <s v="ADM-240738"/>
    <d v="2024-03-26T00:00:00"/>
    <d v="2024-04-01T00:00:00"/>
    <x v="0"/>
    <s v="Q1"/>
    <x v="2"/>
    <x v="1"/>
    <x v="1"/>
    <x v="0"/>
    <x v="0"/>
    <x v="0"/>
    <x v="2"/>
    <n v="6"/>
    <n v="15"/>
    <n v="7355"/>
    <n v="0"/>
    <n v="4"/>
    <s v="Recovered"/>
    <n v="1"/>
  </r>
  <r>
    <s v="ADM-240739"/>
    <d v="2024-03-26T00:00:00"/>
    <d v="2024-03-30T00:00:00"/>
    <x v="0"/>
    <s v="Q1"/>
    <x v="2"/>
    <x v="1"/>
    <x v="1"/>
    <x v="2"/>
    <x v="0"/>
    <x v="4"/>
    <x v="2"/>
    <n v="4"/>
    <m/>
    <n v="5065"/>
    <n v="0"/>
    <n v="5"/>
    <s v="Recovered"/>
    <n v="1"/>
  </r>
  <r>
    <s v="ADM-240740"/>
    <d v="2024-03-26T00:00:00"/>
    <d v="2024-03-28T00:00:00"/>
    <x v="0"/>
    <s v="Q1"/>
    <x v="2"/>
    <x v="1"/>
    <x v="0"/>
    <x v="2"/>
    <x v="0"/>
    <x v="1"/>
    <x v="2"/>
    <n v="2"/>
    <m/>
    <n v="2284"/>
    <n v="0"/>
    <n v="3"/>
    <s v="Improved"/>
    <n v="1"/>
  </r>
  <r>
    <s v="ADM-240741"/>
    <d v="2024-03-26T00:00:00"/>
    <d v="2024-03-27T00:00:00"/>
    <x v="0"/>
    <s v="Q1"/>
    <x v="2"/>
    <x v="1"/>
    <x v="5"/>
    <x v="2"/>
    <x v="1"/>
    <x v="4"/>
    <x v="2"/>
    <n v="1"/>
    <m/>
    <n v="1714"/>
    <n v="0"/>
    <n v="3"/>
    <s v="Recovered"/>
    <n v="1"/>
  </r>
  <r>
    <s v="ADM-240742"/>
    <d v="2024-03-26T00:00:00"/>
    <d v="2024-04-01T00:00:00"/>
    <x v="0"/>
    <s v="Q1"/>
    <x v="2"/>
    <x v="1"/>
    <x v="4"/>
    <x v="0"/>
    <x v="0"/>
    <x v="4"/>
    <x v="2"/>
    <n v="6"/>
    <n v="37"/>
    <n v="8928"/>
    <n v="0"/>
    <n v="4"/>
    <s v="Recovered"/>
    <n v="1"/>
  </r>
  <r>
    <s v="ADM-240743"/>
    <d v="2024-03-27T00:00:00"/>
    <d v="2024-03-29T00:00:00"/>
    <x v="0"/>
    <s v="Q1"/>
    <x v="2"/>
    <x v="2"/>
    <x v="0"/>
    <x v="1"/>
    <x v="0"/>
    <x v="0"/>
    <x v="0"/>
    <n v="2"/>
    <m/>
    <n v="2541"/>
    <n v="0"/>
    <n v="4"/>
    <s v="Transferred"/>
    <n v="1"/>
  </r>
  <r>
    <s v="ADM-240744"/>
    <d v="2024-03-27T00:00:00"/>
    <d v="2024-03-31T00:00:00"/>
    <x v="0"/>
    <s v="Q1"/>
    <x v="2"/>
    <x v="2"/>
    <x v="2"/>
    <x v="0"/>
    <x v="0"/>
    <x v="1"/>
    <x v="2"/>
    <n v="4"/>
    <n v="144"/>
    <n v="3211"/>
    <n v="0"/>
    <n v="3"/>
    <s v="Deceased"/>
    <n v="1"/>
  </r>
  <r>
    <s v="ADM-240745"/>
    <d v="2024-03-27T00:00:00"/>
    <d v="2024-03-29T00:00:00"/>
    <x v="0"/>
    <s v="Q1"/>
    <x v="2"/>
    <x v="2"/>
    <x v="1"/>
    <x v="2"/>
    <x v="0"/>
    <x v="1"/>
    <x v="0"/>
    <n v="2"/>
    <m/>
    <n v="3544"/>
    <n v="0"/>
    <n v="5"/>
    <s v="Recovered"/>
    <n v="1"/>
  </r>
  <r>
    <s v="ADM-240746"/>
    <d v="2024-03-27T00:00:00"/>
    <d v="2024-03-31T00:00:00"/>
    <x v="0"/>
    <s v="Q1"/>
    <x v="2"/>
    <x v="2"/>
    <x v="1"/>
    <x v="2"/>
    <x v="1"/>
    <x v="4"/>
    <x v="1"/>
    <n v="4"/>
    <m/>
    <n v="5369"/>
    <n v="1"/>
    <n v="4"/>
    <s v="Improved"/>
    <n v="1"/>
  </r>
  <r>
    <s v="ADM-240747"/>
    <d v="2024-03-27T00:00:00"/>
    <d v="2024-04-07T00:00:00"/>
    <x v="0"/>
    <s v="Q1"/>
    <x v="2"/>
    <x v="2"/>
    <x v="4"/>
    <x v="0"/>
    <x v="1"/>
    <x v="2"/>
    <x v="0"/>
    <n v="11"/>
    <n v="18"/>
    <n v="15634"/>
    <n v="0"/>
    <n v="4"/>
    <s v="Recovered"/>
    <n v="1"/>
  </r>
  <r>
    <s v="ADM-240748"/>
    <d v="2024-03-27T00:00:00"/>
    <d v="2024-03-28T00:00:00"/>
    <x v="0"/>
    <s v="Q1"/>
    <x v="2"/>
    <x v="2"/>
    <x v="5"/>
    <x v="2"/>
    <x v="1"/>
    <x v="1"/>
    <x v="2"/>
    <n v="1"/>
    <m/>
    <n v="2265"/>
    <n v="0"/>
    <n v="2"/>
    <s v="Recovered"/>
    <n v="1"/>
  </r>
  <r>
    <s v="ADM-240749"/>
    <d v="2024-03-27T00:00:00"/>
    <d v="2024-03-30T00:00:00"/>
    <x v="0"/>
    <s v="Q1"/>
    <x v="2"/>
    <x v="2"/>
    <x v="2"/>
    <x v="2"/>
    <x v="0"/>
    <x v="2"/>
    <x v="2"/>
    <n v="3"/>
    <m/>
    <n v="2350"/>
    <n v="0"/>
    <n v="5"/>
    <s v="Recovered"/>
    <n v="1"/>
  </r>
  <r>
    <s v="ADM-240750"/>
    <d v="2024-03-27T00:00:00"/>
    <d v="2024-04-04T00:00:00"/>
    <x v="0"/>
    <s v="Q1"/>
    <x v="2"/>
    <x v="2"/>
    <x v="0"/>
    <x v="0"/>
    <x v="1"/>
    <x v="0"/>
    <x v="1"/>
    <n v="8"/>
    <n v="98"/>
    <n v="6561"/>
    <n v="0"/>
    <n v="4"/>
    <s v="Recovered"/>
    <n v="1"/>
  </r>
  <r>
    <s v="ADM-240751"/>
    <d v="2024-03-27T00:00:00"/>
    <d v="2024-03-30T00:00:00"/>
    <x v="0"/>
    <s v="Q1"/>
    <x v="2"/>
    <x v="2"/>
    <x v="3"/>
    <x v="1"/>
    <x v="1"/>
    <x v="3"/>
    <x v="1"/>
    <n v="3"/>
    <m/>
    <n v="2387"/>
    <n v="0"/>
    <n v="4"/>
    <s v="Recovered"/>
    <n v="1"/>
  </r>
  <r>
    <s v="ADM-240752"/>
    <d v="2024-03-28T00:00:00"/>
    <d v="2024-04-07T00:00:00"/>
    <x v="0"/>
    <s v="Q1"/>
    <x v="2"/>
    <x v="3"/>
    <x v="0"/>
    <x v="0"/>
    <x v="0"/>
    <x v="0"/>
    <x v="0"/>
    <n v="10"/>
    <n v="28"/>
    <n v="5723"/>
    <n v="0"/>
    <n v="5"/>
    <s v="Recovered"/>
    <n v="1"/>
  </r>
  <r>
    <s v="ADM-240753"/>
    <d v="2024-03-28T00:00:00"/>
    <d v="2024-03-29T00:00:00"/>
    <x v="0"/>
    <s v="Q1"/>
    <x v="2"/>
    <x v="3"/>
    <x v="1"/>
    <x v="0"/>
    <x v="1"/>
    <x v="2"/>
    <x v="2"/>
    <n v="1"/>
    <n v="39"/>
    <n v="2180"/>
    <n v="1"/>
    <n v="3"/>
    <s v="Recovered"/>
    <n v="1"/>
  </r>
  <r>
    <s v="ADM-240754"/>
    <d v="2024-03-28T00:00:00"/>
    <d v="2024-04-09T00:00:00"/>
    <x v="0"/>
    <s v="Q1"/>
    <x v="2"/>
    <x v="3"/>
    <x v="4"/>
    <x v="0"/>
    <x v="0"/>
    <x v="2"/>
    <x v="2"/>
    <n v="12"/>
    <n v="92"/>
    <n v="17288"/>
    <n v="0"/>
    <n v="3"/>
    <s v="Improved"/>
    <n v="1"/>
  </r>
  <r>
    <s v="ADM-240755"/>
    <d v="2024-03-28T00:00:00"/>
    <d v="2024-04-01T00:00:00"/>
    <x v="0"/>
    <s v="Q1"/>
    <x v="2"/>
    <x v="3"/>
    <x v="2"/>
    <x v="0"/>
    <x v="0"/>
    <x v="1"/>
    <x v="2"/>
    <n v="4"/>
    <n v="22"/>
    <n v="3871"/>
    <n v="0"/>
    <n v="5"/>
    <s v="Improved"/>
    <n v="1"/>
  </r>
  <r>
    <s v="ADM-240756"/>
    <d v="2024-03-28T00:00:00"/>
    <d v="2024-03-30T00:00:00"/>
    <x v="0"/>
    <s v="Q1"/>
    <x v="2"/>
    <x v="3"/>
    <x v="3"/>
    <x v="0"/>
    <x v="1"/>
    <x v="3"/>
    <x v="2"/>
    <n v="2"/>
    <n v="19"/>
    <n v="1899"/>
    <n v="0"/>
    <n v="5"/>
    <s v="Transferred"/>
    <n v="1"/>
  </r>
  <r>
    <s v="ADM-240757"/>
    <d v="2024-03-28T00:00:00"/>
    <d v="2024-04-11T00:00:00"/>
    <x v="0"/>
    <s v="Q1"/>
    <x v="2"/>
    <x v="3"/>
    <x v="0"/>
    <x v="0"/>
    <x v="1"/>
    <x v="0"/>
    <x v="0"/>
    <n v="14"/>
    <n v="76"/>
    <n v="8632"/>
    <n v="0"/>
    <n v="4"/>
    <s v="Recovered"/>
    <n v="1"/>
  </r>
  <r>
    <s v="ADM-240758"/>
    <d v="2024-03-28T00:00:00"/>
    <d v="2024-04-04T00:00:00"/>
    <x v="0"/>
    <s v="Q1"/>
    <x v="2"/>
    <x v="3"/>
    <x v="3"/>
    <x v="0"/>
    <x v="1"/>
    <x v="3"/>
    <x v="2"/>
    <n v="7"/>
    <n v="31"/>
    <n v="4806"/>
    <n v="0"/>
    <n v="5"/>
    <s v="Recovered"/>
    <n v="1"/>
  </r>
  <r>
    <s v="ADM-240759"/>
    <d v="2024-03-28T00:00:00"/>
    <d v="2024-03-31T00:00:00"/>
    <x v="0"/>
    <s v="Q1"/>
    <x v="2"/>
    <x v="3"/>
    <x v="2"/>
    <x v="2"/>
    <x v="0"/>
    <x v="2"/>
    <x v="0"/>
    <n v="3"/>
    <m/>
    <n v="2819"/>
    <n v="0"/>
    <n v="5"/>
    <s v="Recovered"/>
    <n v="1"/>
  </r>
  <r>
    <s v="ADM-240760"/>
    <d v="2024-03-28T00:00:00"/>
    <d v="2024-03-31T00:00:00"/>
    <x v="0"/>
    <s v="Q1"/>
    <x v="2"/>
    <x v="3"/>
    <x v="0"/>
    <x v="0"/>
    <x v="0"/>
    <x v="0"/>
    <x v="0"/>
    <n v="3"/>
    <n v="49"/>
    <n v="2138"/>
    <n v="0"/>
    <n v="4"/>
    <s v="Recovered"/>
    <n v="1"/>
  </r>
  <r>
    <s v="ADM-240761"/>
    <d v="2024-03-28T00:00:00"/>
    <d v="2024-04-03T00:00:00"/>
    <x v="0"/>
    <s v="Q1"/>
    <x v="2"/>
    <x v="3"/>
    <x v="3"/>
    <x v="0"/>
    <x v="0"/>
    <x v="3"/>
    <x v="2"/>
    <n v="6"/>
    <n v="30"/>
    <n v="4160"/>
    <n v="0"/>
    <n v="4"/>
    <s v="Improved"/>
    <n v="1"/>
  </r>
  <r>
    <s v="ADM-240762"/>
    <d v="2024-03-28T00:00:00"/>
    <d v="2024-04-03T00:00:00"/>
    <x v="0"/>
    <s v="Q1"/>
    <x v="2"/>
    <x v="3"/>
    <x v="2"/>
    <x v="0"/>
    <x v="0"/>
    <x v="1"/>
    <x v="2"/>
    <n v="6"/>
    <n v="50"/>
    <n v="4526"/>
    <n v="0"/>
    <n v="5"/>
    <s v="Transferred"/>
    <n v="1"/>
  </r>
  <r>
    <s v="ADM-240763"/>
    <d v="2024-03-29T00:00:00"/>
    <d v="2024-04-03T00:00:00"/>
    <x v="0"/>
    <s v="Q1"/>
    <x v="2"/>
    <x v="4"/>
    <x v="0"/>
    <x v="0"/>
    <x v="0"/>
    <x v="2"/>
    <x v="0"/>
    <n v="5"/>
    <n v="20"/>
    <n v="3533"/>
    <n v="0"/>
    <n v="5"/>
    <s v="Transferred"/>
    <n v="1"/>
  </r>
  <r>
    <s v="ADM-240764"/>
    <d v="2024-03-29T00:00:00"/>
    <d v="2024-04-04T00:00:00"/>
    <x v="0"/>
    <s v="Q1"/>
    <x v="2"/>
    <x v="4"/>
    <x v="5"/>
    <x v="2"/>
    <x v="1"/>
    <x v="4"/>
    <x v="2"/>
    <n v="6"/>
    <m/>
    <n v="7924"/>
    <n v="0"/>
    <n v="5"/>
    <s v="Recovered"/>
    <n v="1"/>
  </r>
  <r>
    <s v="ADM-240765"/>
    <d v="2024-03-29T00:00:00"/>
    <d v="2024-04-06T00:00:00"/>
    <x v="0"/>
    <s v="Q1"/>
    <x v="2"/>
    <x v="4"/>
    <x v="4"/>
    <x v="2"/>
    <x v="0"/>
    <x v="0"/>
    <x v="2"/>
    <n v="8"/>
    <m/>
    <n v="11780"/>
    <n v="0"/>
    <n v="4"/>
    <s v="Improved"/>
    <n v="1"/>
  </r>
  <r>
    <s v="ADM-240766"/>
    <d v="2024-03-29T00:00:00"/>
    <d v="2024-04-03T00:00:00"/>
    <x v="0"/>
    <s v="Q1"/>
    <x v="2"/>
    <x v="4"/>
    <x v="4"/>
    <x v="1"/>
    <x v="1"/>
    <x v="0"/>
    <x v="2"/>
    <n v="5"/>
    <m/>
    <n v="6597"/>
    <n v="0"/>
    <n v="5"/>
    <s v="Recovered"/>
    <n v="1"/>
  </r>
  <r>
    <s v="ADM-240767"/>
    <d v="2024-03-29T00:00:00"/>
    <d v="2024-03-31T00:00:00"/>
    <x v="0"/>
    <s v="Q1"/>
    <x v="2"/>
    <x v="4"/>
    <x v="3"/>
    <x v="2"/>
    <x v="0"/>
    <x v="3"/>
    <x v="2"/>
    <n v="2"/>
    <m/>
    <n v="1772"/>
    <n v="0"/>
    <n v="4"/>
    <s v="Recovered"/>
    <n v="1"/>
  </r>
  <r>
    <s v="ADM-240768"/>
    <d v="2024-03-29T00:00:00"/>
    <d v="2024-04-04T00:00:00"/>
    <x v="0"/>
    <s v="Q1"/>
    <x v="2"/>
    <x v="4"/>
    <x v="2"/>
    <x v="0"/>
    <x v="0"/>
    <x v="2"/>
    <x v="0"/>
    <n v="6"/>
    <n v="134"/>
    <n v="3887"/>
    <n v="0"/>
    <n v="3"/>
    <s v="Recovered"/>
    <n v="1"/>
  </r>
  <r>
    <s v="ADM-240769"/>
    <d v="2024-03-29T00:00:00"/>
    <d v="2024-03-30T00:00:00"/>
    <x v="0"/>
    <s v="Q1"/>
    <x v="2"/>
    <x v="4"/>
    <x v="2"/>
    <x v="0"/>
    <x v="0"/>
    <x v="1"/>
    <x v="2"/>
    <n v="1"/>
    <n v="27"/>
    <n v="1674"/>
    <n v="0"/>
    <n v="3"/>
    <s v="Improved"/>
    <n v="1"/>
  </r>
  <r>
    <s v="ADM-240770"/>
    <d v="2024-03-29T00:00:00"/>
    <d v="2024-04-05T00:00:00"/>
    <x v="0"/>
    <s v="Q1"/>
    <x v="2"/>
    <x v="4"/>
    <x v="3"/>
    <x v="0"/>
    <x v="0"/>
    <x v="3"/>
    <x v="1"/>
    <n v="7"/>
    <n v="275"/>
    <n v="4674"/>
    <n v="0"/>
    <n v="3"/>
    <s v="Deceased"/>
    <n v="1"/>
  </r>
  <r>
    <s v="ADM-240771"/>
    <d v="2024-03-29T00:00:00"/>
    <d v="2024-03-30T00:00:00"/>
    <x v="0"/>
    <s v="Q1"/>
    <x v="2"/>
    <x v="4"/>
    <x v="2"/>
    <x v="0"/>
    <x v="0"/>
    <x v="1"/>
    <x v="2"/>
    <n v="1"/>
    <n v="71"/>
    <n v="1325"/>
    <n v="0"/>
    <n v="5"/>
    <s v="Improved"/>
    <n v="1"/>
  </r>
  <r>
    <s v="ADM-240772"/>
    <d v="2024-03-30T00:00:00"/>
    <d v="2024-04-03T00:00:00"/>
    <x v="0"/>
    <s v="Q1"/>
    <x v="2"/>
    <x v="5"/>
    <x v="1"/>
    <x v="2"/>
    <x v="1"/>
    <x v="4"/>
    <x v="2"/>
    <n v="4"/>
    <m/>
    <n v="5819"/>
    <n v="0"/>
    <n v="3"/>
    <s v="Recovered"/>
    <n v="1"/>
  </r>
  <r>
    <s v="ADM-240773"/>
    <d v="2024-03-30T00:00:00"/>
    <d v="2024-04-07T00:00:00"/>
    <x v="0"/>
    <s v="Q1"/>
    <x v="2"/>
    <x v="5"/>
    <x v="4"/>
    <x v="0"/>
    <x v="0"/>
    <x v="4"/>
    <x v="2"/>
    <n v="8"/>
    <n v="115"/>
    <n v="8670"/>
    <n v="0"/>
    <n v="3"/>
    <s v="Recovered"/>
    <n v="1"/>
  </r>
  <r>
    <s v="ADM-240774"/>
    <d v="2024-03-30T00:00:00"/>
    <d v="2024-04-02T00:00:00"/>
    <x v="0"/>
    <s v="Q1"/>
    <x v="2"/>
    <x v="5"/>
    <x v="1"/>
    <x v="2"/>
    <x v="1"/>
    <x v="2"/>
    <x v="0"/>
    <n v="3"/>
    <m/>
    <n v="4665"/>
    <n v="0"/>
    <n v="5"/>
    <s v="Improved"/>
    <n v="1"/>
  </r>
  <r>
    <s v="ADM-240775"/>
    <d v="2024-03-30T00:00:00"/>
    <d v="2024-04-08T00:00:00"/>
    <x v="0"/>
    <s v="Q1"/>
    <x v="2"/>
    <x v="5"/>
    <x v="0"/>
    <x v="0"/>
    <x v="0"/>
    <x v="1"/>
    <x v="2"/>
    <n v="9"/>
    <n v="54"/>
    <n v="5130"/>
    <n v="0"/>
    <n v="4"/>
    <s v="Recovered"/>
    <n v="1"/>
  </r>
  <r>
    <s v="ADM-240776"/>
    <d v="2024-03-31T00:00:00"/>
    <d v="2024-04-08T00:00:00"/>
    <x v="0"/>
    <s v="Q1"/>
    <x v="2"/>
    <x v="6"/>
    <x v="0"/>
    <x v="0"/>
    <x v="1"/>
    <x v="0"/>
    <x v="0"/>
    <n v="8"/>
    <n v="24"/>
    <n v="5744"/>
    <n v="0"/>
    <n v="4"/>
    <s v="Improved"/>
    <n v="1"/>
  </r>
  <r>
    <s v="ADM-240777"/>
    <d v="2024-03-31T00:00:00"/>
    <d v="2024-04-01T00:00:00"/>
    <x v="0"/>
    <s v="Q1"/>
    <x v="2"/>
    <x v="6"/>
    <x v="2"/>
    <x v="0"/>
    <x v="0"/>
    <x v="2"/>
    <x v="0"/>
    <n v="1"/>
    <n v="58"/>
    <n v="1630"/>
    <n v="0"/>
    <n v="4"/>
    <s v="Improved"/>
    <n v="1"/>
  </r>
  <r>
    <s v="ADM-240778"/>
    <d v="2024-03-31T00:00:00"/>
    <d v="2024-04-01T00:00:00"/>
    <x v="0"/>
    <s v="Q1"/>
    <x v="2"/>
    <x v="6"/>
    <x v="0"/>
    <x v="0"/>
    <x v="0"/>
    <x v="4"/>
    <x v="2"/>
    <n v="1"/>
    <n v="20"/>
    <n v="1615"/>
    <n v="0"/>
    <n v="4"/>
    <s v="Improved"/>
    <n v="1"/>
  </r>
  <r>
    <s v="ADM-240779"/>
    <d v="2024-03-31T00:00:00"/>
    <d v="2024-04-05T00:00:00"/>
    <x v="0"/>
    <s v="Q1"/>
    <x v="2"/>
    <x v="6"/>
    <x v="1"/>
    <x v="0"/>
    <x v="0"/>
    <x v="2"/>
    <x v="1"/>
    <n v="5"/>
    <n v="22"/>
    <n v="6931"/>
    <n v="0"/>
    <n v="4"/>
    <s v="Recovered"/>
    <n v="1"/>
  </r>
  <r>
    <s v="ADM-240780"/>
    <d v="2024-03-31T00:00:00"/>
    <d v="2024-04-03T00:00:00"/>
    <x v="0"/>
    <s v="Q1"/>
    <x v="2"/>
    <x v="6"/>
    <x v="0"/>
    <x v="0"/>
    <x v="1"/>
    <x v="2"/>
    <x v="2"/>
    <n v="3"/>
    <n v="116"/>
    <n v="3267"/>
    <n v="0"/>
    <n v="2"/>
    <s v="Recovered"/>
    <n v="1"/>
  </r>
  <r>
    <s v="ADM-240781"/>
    <d v="2024-03-31T00:00:00"/>
    <d v="2024-04-10T00:00:00"/>
    <x v="0"/>
    <s v="Q1"/>
    <x v="2"/>
    <x v="6"/>
    <x v="4"/>
    <x v="2"/>
    <x v="0"/>
    <x v="0"/>
    <x v="0"/>
    <n v="10"/>
    <m/>
    <n v="10123"/>
    <n v="0"/>
    <n v="4"/>
    <s v="Improved"/>
    <n v="1"/>
  </r>
  <r>
    <s v="ADM-240782"/>
    <d v="2024-03-31T00:00:00"/>
    <d v="2024-04-04T00:00:00"/>
    <x v="0"/>
    <s v="Q1"/>
    <x v="2"/>
    <x v="6"/>
    <x v="0"/>
    <x v="0"/>
    <x v="0"/>
    <x v="0"/>
    <x v="0"/>
    <n v="4"/>
    <n v="18"/>
    <n v="2358"/>
    <n v="0"/>
    <n v="5"/>
    <s v="Recovered"/>
    <n v="1"/>
  </r>
  <r>
    <s v="ADM-240783"/>
    <d v="2024-04-01T00:00:00"/>
    <d v="2024-04-05T00:00:00"/>
    <x v="0"/>
    <s v="Q2"/>
    <x v="3"/>
    <x v="0"/>
    <x v="1"/>
    <x v="2"/>
    <x v="0"/>
    <x v="1"/>
    <x v="0"/>
    <n v="4"/>
    <m/>
    <n v="5304"/>
    <n v="0"/>
    <n v="4"/>
    <s v="Improved"/>
    <n v="1"/>
  </r>
  <r>
    <s v="ADM-240784"/>
    <d v="2024-04-01T00:00:00"/>
    <d v="2024-04-02T00:00:00"/>
    <x v="0"/>
    <s v="Q2"/>
    <x v="3"/>
    <x v="0"/>
    <x v="1"/>
    <x v="2"/>
    <x v="1"/>
    <x v="4"/>
    <x v="0"/>
    <n v="1"/>
    <m/>
    <n v="1767"/>
    <n v="0"/>
    <n v="4"/>
    <s v="Improved"/>
    <n v="1"/>
  </r>
  <r>
    <s v="ADM-240785"/>
    <d v="2024-04-01T00:00:00"/>
    <d v="2024-04-03T00:00:00"/>
    <x v="0"/>
    <s v="Q2"/>
    <x v="3"/>
    <x v="0"/>
    <x v="2"/>
    <x v="2"/>
    <x v="0"/>
    <x v="2"/>
    <x v="0"/>
    <n v="2"/>
    <m/>
    <n v="2353"/>
    <n v="0"/>
    <n v="4"/>
    <s v="Improved"/>
    <n v="1"/>
  </r>
  <r>
    <s v="ADM-240786"/>
    <d v="2024-04-01T00:00:00"/>
    <d v="2024-04-10T00:00:00"/>
    <x v="0"/>
    <s v="Q2"/>
    <x v="3"/>
    <x v="0"/>
    <x v="2"/>
    <x v="0"/>
    <x v="0"/>
    <x v="2"/>
    <x v="0"/>
    <n v="9"/>
    <n v="86"/>
    <n v="5777"/>
    <n v="0"/>
    <n v="4"/>
    <s v="Improved"/>
    <n v="1"/>
  </r>
  <r>
    <s v="ADM-240787"/>
    <d v="2024-04-01T00:00:00"/>
    <d v="2024-04-04T00:00:00"/>
    <x v="0"/>
    <s v="Q2"/>
    <x v="3"/>
    <x v="0"/>
    <x v="2"/>
    <x v="0"/>
    <x v="0"/>
    <x v="1"/>
    <x v="2"/>
    <n v="3"/>
    <n v="33"/>
    <n v="2326"/>
    <n v="0"/>
    <n v="4"/>
    <s v="Transferred"/>
    <n v="1"/>
  </r>
  <r>
    <s v="ADM-240788"/>
    <d v="2024-04-01T00:00:00"/>
    <d v="2024-04-03T00:00:00"/>
    <x v="0"/>
    <s v="Q2"/>
    <x v="3"/>
    <x v="0"/>
    <x v="4"/>
    <x v="0"/>
    <x v="1"/>
    <x v="1"/>
    <x v="2"/>
    <n v="2"/>
    <n v="70"/>
    <n v="2670"/>
    <n v="0"/>
    <n v="4"/>
    <s v="Recovered"/>
    <n v="1"/>
  </r>
  <r>
    <s v="ADM-240789"/>
    <d v="2024-04-01T00:00:00"/>
    <d v="2024-04-07T00:00:00"/>
    <x v="0"/>
    <s v="Q2"/>
    <x v="3"/>
    <x v="0"/>
    <x v="0"/>
    <x v="2"/>
    <x v="1"/>
    <x v="4"/>
    <x v="1"/>
    <n v="6"/>
    <m/>
    <n v="4681"/>
    <n v="0"/>
    <n v="4"/>
    <s v="Improved"/>
    <n v="1"/>
  </r>
  <r>
    <s v="ADM-240790"/>
    <d v="2024-04-01T00:00:00"/>
    <d v="2024-04-02T00:00:00"/>
    <x v="0"/>
    <s v="Q2"/>
    <x v="3"/>
    <x v="0"/>
    <x v="4"/>
    <x v="1"/>
    <x v="1"/>
    <x v="4"/>
    <x v="1"/>
    <n v="1"/>
    <m/>
    <n v="1671"/>
    <n v="0"/>
    <n v="3"/>
    <s v="Recovered"/>
    <n v="1"/>
  </r>
  <r>
    <s v="ADM-240791"/>
    <d v="2024-04-01T00:00:00"/>
    <d v="2024-04-08T00:00:00"/>
    <x v="0"/>
    <s v="Q2"/>
    <x v="3"/>
    <x v="0"/>
    <x v="1"/>
    <x v="0"/>
    <x v="1"/>
    <x v="0"/>
    <x v="2"/>
    <n v="7"/>
    <n v="50"/>
    <n v="9097"/>
    <n v="0"/>
    <n v="5"/>
    <s v="Transferred"/>
    <n v="1"/>
  </r>
  <r>
    <s v="ADM-240792"/>
    <d v="2024-04-02T00:00:00"/>
    <d v="2024-04-06T00:00:00"/>
    <x v="0"/>
    <s v="Q2"/>
    <x v="3"/>
    <x v="1"/>
    <x v="4"/>
    <x v="0"/>
    <x v="1"/>
    <x v="0"/>
    <x v="2"/>
    <n v="4"/>
    <n v="43"/>
    <n v="4425"/>
    <n v="1"/>
    <n v="3"/>
    <s v="Recovered"/>
    <n v="1"/>
  </r>
  <r>
    <s v="ADM-240793"/>
    <d v="2024-04-02T00:00:00"/>
    <d v="2024-04-06T00:00:00"/>
    <x v="0"/>
    <s v="Q2"/>
    <x v="3"/>
    <x v="1"/>
    <x v="4"/>
    <x v="2"/>
    <x v="0"/>
    <x v="4"/>
    <x v="2"/>
    <n v="4"/>
    <m/>
    <n v="5351"/>
    <n v="0"/>
    <n v="4"/>
    <s v="Improved"/>
    <n v="1"/>
  </r>
  <r>
    <s v="ADM-240794"/>
    <d v="2024-04-02T00:00:00"/>
    <d v="2024-04-06T00:00:00"/>
    <x v="0"/>
    <s v="Q2"/>
    <x v="3"/>
    <x v="1"/>
    <x v="3"/>
    <x v="2"/>
    <x v="1"/>
    <x v="3"/>
    <x v="0"/>
    <n v="4"/>
    <m/>
    <n v="3511"/>
    <n v="0"/>
    <n v="5"/>
    <s v="Recovered"/>
    <n v="1"/>
  </r>
  <r>
    <s v="ADM-240795"/>
    <d v="2024-04-02T00:00:00"/>
    <d v="2024-04-06T00:00:00"/>
    <x v="0"/>
    <s v="Q2"/>
    <x v="3"/>
    <x v="1"/>
    <x v="5"/>
    <x v="2"/>
    <x v="1"/>
    <x v="0"/>
    <x v="0"/>
    <n v="4"/>
    <m/>
    <n v="5968"/>
    <n v="0"/>
    <n v="5"/>
    <s v="Recovered"/>
    <n v="1"/>
  </r>
  <r>
    <s v="ADM-240796"/>
    <d v="2024-04-02T00:00:00"/>
    <d v="2024-04-13T00:00:00"/>
    <x v="0"/>
    <s v="Q2"/>
    <x v="3"/>
    <x v="1"/>
    <x v="0"/>
    <x v="2"/>
    <x v="0"/>
    <x v="4"/>
    <x v="0"/>
    <n v="11"/>
    <m/>
    <n v="6952"/>
    <n v="0"/>
    <n v="4"/>
    <s v="Improved"/>
    <n v="1"/>
  </r>
  <r>
    <s v="ADM-240797"/>
    <d v="2024-04-02T00:00:00"/>
    <d v="2024-04-07T00:00:00"/>
    <x v="0"/>
    <s v="Q2"/>
    <x v="3"/>
    <x v="1"/>
    <x v="5"/>
    <x v="2"/>
    <x v="0"/>
    <x v="4"/>
    <x v="1"/>
    <n v="5"/>
    <m/>
    <n v="5329"/>
    <n v="0"/>
    <n v="4"/>
    <s v="Improved"/>
    <n v="1"/>
  </r>
  <r>
    <s v="ADM-240798"/>
    <d v="2024-04-02T00:00:00"/>
    <d v="2024-04-08T00:00:00"/>
    <x v="0"/>
    <s v="Q2"/>
    <x v="3"/>
    <x v="1"/>
    <x v="4"/>
    <x v="1"/>
    <x v="1"/>
    <x v="4"/>
    <x v="0"/>
    <n v="6"/>
    <m/>
    <n v="7400"/>
    <n v="0"/>
    <n v="4"/>
    <s v="Recovered"/>
    <n v="1"/>
  </r>
  <r>
    <s v="ADM-240799"/>
    <d v="2024-04-02T00:00:00"/>
    <d v="2024-04-09T00:00:00"/>
    <x v="0"/>
    <s v="Q2"/>
    <x v="3"/>
    <x v="1"/>
    <x v="1"/>
    <x v="2"/>
    <x v="1"/>
    <x v="4"/>
    <x v="2"/>
    <n v="7"/>
    <m/>
    <n v="10097"/>
    <n v="0"/>
    <n v="5"/>
    <s v="Recovered"/>
    <n v="1"/>
  </r>
  <r>
    <s v="ADM-240800"/>
    <d v="2024-04-02T00:00:00"/>
    <d v="2024-04-07T00:00:00"/>
    <x v="0"/>
    <s v="Q2"/>
    <x v="3"/>
    <x v="1"/>
    <x v="1"/>
    <x v="0"/>
    <x v="0"/>
    <x v="4"/>
    <x v="2"/>
    <n v="5"/>
    <n v="17"/>
    <n v="5571"/>
    <n v="0"/>
    <n v="5"/>
    <s v="Recovered"/>
    <n v="1"/>
  </r>
  <r>
    <s v="ADM-240801"/>
    <d v="2024-04-02T00:00:00"/>
    <d v="2024-04-08T00:00:00"/>
    <x v="0"/>
    <s v="Q2"/>
    <x v="3"/>
    <x v="1"/>
    <x v="4"/>
    <x v="0"/>
    <x v="0"/>
    <x v="1"/>
    <x v="2"/>
    <n v="6"/>
    <n v="66"/>
    <n v="7613"/>
    <n v="0"/>
    <n v="5"/>
    <s v="Recovered"/>
    <n v="1"/>
  </r>
  <r>
    <s v="ADM-240802"/>
    <d v="2024-04-03T00:00:00"/>
    <d v="2024-04-08T00:00:00"/>
    <x v="0"/>
    <s v="Q2"/>
    <x v="3"/>
    <x v="2"/>
    <x v="1"/>
    <x v="0"/>
    <x v="1"/>
    <x v="1"/>
    <x v="2"/>
    <n v="5"/>
    <n v="71"/>
    <n v="7761"/>
    <n v="0"/>
    <n v="4"/>
    <s v="Recovered"/>
    <n v="1"/>
  </r>
  <r>
    <s v="ADM-240803"/>
    <d v="2024-04-03T00:00:00"/>
    <d v="2024-04-06T00:00:00"/>
    <x v="0"/>
    <s v="Q2"/>
    <x v="3"/>
    <x v="2"/>
    <x v="3"/>
    <x v="2"/>
    <x v="1"/>
    <x v="3"/>
    <x v="0"/>
    <n v="3"/>
    <m/>
    <n v="2542"/>
    <n v="0"/>
    <n v="5"/>
    <s v="Recovered"/>
    <n v="1"/>
  </r>
  <r>
    <s v="ADM-240804"/>
    <d v="2024-04-03T00:00:00"/>
    <d v="2024-04-05T00:00:00"/>
    <x v="0"/>
    <s v="Q2"/>
    <x v="3"/>
    <x v="2"/>
    <x v="3"/>
    <x v="0"/>
    <x v="0"/>
    <x v="3"/>
    <x v="1"/>
    <n v="2"/>
    <n v="70"/>
    <n v="1492"/>
    <n v="0"/>
    <n v="3"/>
    <s v="Deceased"/>
    <n v="1"/>
  </r>
  <r>
    <s v="ADM-240805"/>
    <d v="2024-04-03T00:00:00"/>
    <d v="2024-04-08T00:00:00"/>
    <x v="0"/>
    <s v="Q2"/>
    <x v="3"/>
    <x v="2"/>
    <x v="0"/>
    <x v="2"/>
    <x v="0"/>
    <x v="4"/>
    <x v="0"/>
    <n v="5"/>
    <m/>
    <n v="3962"/>
    <n v="0"/>
    <n v="4"/>
    <s v="Recovered"/>
    <n v="1"/>
  </r>
  <r>
    <s v="ADM-240806"/>
    <d v="2024-04-03T00:00:00"/>
    <d v="2024-04-07T00:00:00"/>
    <x v="0"/>
    <s v="Q2"/>
    <x v="3"/>
    <x v="2"/>
    <x v="0"/>
    <x v="2"/>
    <x v="1"/>
    <x v="4"/>
    <x v="2"/>
    <n v="4"/>
    <m/>
    <n v="4313"/>
    <n v="0"/>
    <n v="4"/>
    <s v="Recovered"/>
    <n v="1"/>
  </r>
  <r>
    <s v="ADM-240807"/>
    <d v="2024-04-03T00:00:00"/>
    <d v="2024-04-06T00:00:00"/>
    <x v="0"/>
    <s v="Q2"/>
    <x v="3"/>
    <x v="2"/>
    <x v="3"/>
    <x v="0"/>
    <x v="0"/>
    <x v="3"/>
    <x v="0"/>
    <n v="3"/>
    <n v="33"/>
    <n v="2765"/>
    <n v="0"/>
    <n v="4"/>
    <s v="Improved"/>
    <n v="1"/>
  </r>
  <r>
    <s v="ADM-240808"/>
    <d v="2024-04-03T00:00:00"/>
    <d v="2024-04-08T00:00:00"/>
    <x v="0"/>
    <s v="Q2"/>
    <x v="3"/>
    <x v="2"/>
    <x v="5"/>
    <x v="0"/>
    <x v="1"/>
    <x v="4"/>
    <x v="0"/>
    <n v="5"/>
    <n v="45"/>
    <n v="5052"/>
    <n v="0"/>
    <n v="5"/>
    <s v="Transferred"/>
    <n v="1"/>
  </r>
  <r>
    <s v="ADM-240809"/>
    <d v="2024-04-03T00:00:00"/>
    <d v="2024-04-04T00:00:00"/>
    <x v="0"/>
    <s v="Q2"/>
    <x v="3"/>
    <x v="2"/>
    <x v="1"/>
    <x v="2"/>
    <x v="1"/>
    <x v="1"/>
    <x v="1"/>
    <n v="1"/>
    <m/>
    <n v="1989"/>
    <n v="0"/>
    <n v="4"/>
    <s v="Transferred"/>
    <n v="1"/>
  </r>
  <r>
    <s v="ADM-240810"/>
    <d v="2024-04-04T00:00:00"/>
    <d v="2024-04-09T00:00:00"/>
    <x v="0"/>
    <s v="Q2"/>
    <x v="3"/>
    <x v="3"/>
    <x v="3"/>
    <x v="0"/>
    <x v="1"/>
    <x v="3"/>
    <x v="2"/>
    <n v="5"/>
    <n v="42"/>
    <n v="4419"/>
    <n v="0"/>
    <n v="3"/>
    <s v="Recovered"/>
    <n v="1"/>
  </r>
  <r>
    <s v="ADM-240811"/>
    <d v="2024-04-04T00:00:00"/>
    <d v="2024-04-07T00:00:00"/>
    <x v="0"/>
    <s v="Q2"/>
    <x v="3"/>
    <x v="3"/>
    <x v="1"/>
    <x v="2"/>
    <x v="0"/>
    <x v="0"/>
    <x v="2"/>
    <n v="3"/>
    <m/>
    <n v="3717"/>
    <n v="0"/>
    <n v="5"/>
    <s v="Improved"/>
    <n v="1"/>
  </r>
  <r>
    <s v="ADM-240812"/>
    <d v="2024-04-04T00:00:00"/>
    <d v="2024-04-09T00:00:00"/>
    <x v="0"/>
    <s v="Q2"/>
    <x v="3"/>
    <x v="3"/>
    <x v="0"/>
    <x v="0"/>
    <x v="1"/>
    <x v="4"/>
    <x v="1"/>
    <n v="5"/>
    <n v="29"/>
    <n v="4211"/>
    <n v="0"/>
    <n v="3"/>
    <s v="Improved"/>
    <n v="1"/>
  </r>
  <r>
    <s v="ADM-240813"/>
    <d v="2024-04-04T00:00:00"/>
    <d v="2024-04-06T00:00:00"/>
    <x v="0"/>
    <s v="Q2"/>
    <x v="3"/>
    <x v="3"/>
    <x v="2"/>
    <x v="0"/>
    <x v="0"/>
    <x v="1"/>
    <x v="2"/>
    <n v="2"/>
    <n v="43"/>
    <n v="2022"/>
    <n v="1"/>
    <n v="4"/>
    <s v="Recovered"/>
    <n v="1"/>
  </r>
  <r>
    <s v="ADM-240814"/>
    <d v="2024-04-04T00:00:00"/>
    <d v="2024-04-08T00:00:00"/>
    <x v="0"/>
    <s v="Q2"/>
    <x v="3"/>
    <x v="3"/>
    <x v="1"/>
    <x v="0"/>
    <x v="1"/>
    <x v="4"/>
    <x v="0"/>
    <n v="4"/>
    <n v="74"/>
    <n v="4862"/>
    <n v="0"/>
    <n v="4"/>
    <s v="Recovered"/>
    <n v="1"/>
  </r>
  <r>
    <s v="ADM-240815"/>
    <d v="2024-04-05T00:00:00"/>
    <d v="2024-04-10T00:00:00"/>
    <x v="0"/>
    <s v="Q2"/>
    <x v="3"/>
    <x v="4"/>
    <x v="0"/>
    <x v="0"/>
    <x v="1"/>
    <x v="4"/>
    <x v="2"/>
    <n v="5"/>
    <n v="137"/>
    <n v="4502"/>
    <n v="0"/>
    <n v="3"/>
    <s v="Recovered"/>
    <n v="1"/>
  </r>
  <r>
    <s v="ADM-240816"/>
    <d v="2024-04-05T00:00:00"/>
    <d v="2024-04-09T00:00:00"/>
    <x v="0"/>
    <s v="Q2"/>
    <x v="3"/>
    <x v="4"/>
    <x v="5"/>
    <x v="2"/>
    <x v="1"/>
    <x v="4"/>
    <x v="2"/>
    <n v="4"/>
    <m/>
    <n v="4948"/>
    <n v="0"/>
    <n v="4"/>
    <s v="Recovered"/>
    <n v="1"/>
  </r>
  <r>
    <s v="ADM-240817"/>
    <d v="2024-04-06T00:00:00"/>
    <d v="2024-04-11T00:00:00"/>
    <x v="0"/>
    <s v="Q2"/>
    <x v="3"/>
    <x v="5"/>
    <x v="1"/>
    <x v="0"/>
    <x v="1"/>
    <x v="1"/>
    <x v="2"/>
    <n v="5"/>
    <n v="32"/>
    <n v="6252"/>
    <n v="0"/>
    <n v="4"/>
    <s v="Recovered"/>
    <n v="1"/>
  </r>
  <r>
    <s v="ADM-240818"/>
    <d v="2024-04-06T00:00:00"/>
    <d v="2024-04-09T00:00:00"/>
    <x v="0"/>
    <s v="Q2"/>
    <x v="3"/>
    <x v="5"/>
    <x v="4"/>
    <x v="0"/>
    <x v="0"/>
    <x v="1"/>
    <x v="2"/>
    <n v="3"/>
    <n v="23"/>
    <n v="4965"/>
    <n v="0"/>
    <n v="4"/>
    <s v="Improved"/>
    <n v="1"/>
  </r>
  <r>
    <s v="ADM-240819"/>
    <d v="2024-04-06T00:00:00"/>
    <d v="2024-04-08T00:00:00"/>
    <x v="0"/>
    <s v="Q2"/>
    <x v="3"/>
    <x v="5"/>
    <x v="2"/>
    <x v="0"/>
    <x v="0"/>
    <x v="1"/>
    <x v="0"/>
    <n v="2"/>
    <n v="79"/>
    <n v="1885"/>
    <n v="0"/>
    <n v="4"/>
    <s v="Recovered"/>
    <n v="1"/>
  </r>
  <r>
    <s v="ADM-240820"/>
    <d v="2024-04-06T00:00:00"/>
    <d v="2024-04-11T00:00:00"/>
    <x v="0"/>
    <s v="Q2"/>
    <x v="3"/>
    <x v="5"/>
    <x v="5"/>
    <x v="0"/>
    <x v="1"/>
    <x v="0"/>
    <x v="2"/>
    <n v="5"/>
    <n v="68"/>
    <n v="6213"/>
    <n v="1"/>
    <n v="4"/>
    <s v="Recovered"/>
    <n v="1"/>
  </r>
  <r>
    <s v="ADM-240821"/>
    <d v="2024-04-06T00:00:00"/>
    <d v="2024-04-09T00:00:00"/>
    <x v="0"/>
    <s v="Q2"/>
    <x v="3"/>
    <x v="5"/>
    <x v="1"/>
    <x v="2"/>
    <x v="1"/>
    <x v="0"/>
    <x v="0"/>
    <n v="3"/>
    <m/>
    <n v="3620"/>
    <n v="0"/>
    <n v="4"/>
    <s v="Transferred"/>
    <n v="1"/>
  </r>
  <r>
    <s v="ADM-240822"/>
    <d v="2024-04-06T00:00:00"/>
    <d v="2024-04-07T00:00:00"/>
    <x v="0"/>
    <s v="Q2"/>
    <x v="3"/>
    <x v="5"/>
    <x v="5"/>
    <x v="2"/>
    <x v="0"/>
    <x v="4"/>
    <x v="0"/>
    <n v="1"/>
    <m/>
    <n v="2365"/>
    <n v="0"/>
    <n v="4"/>
    <s v="Recovered"/>
    <n v="1"/>
  </r>
  <r>
    <s v="ADM-240823"/>
    <d v="2024-04-06T00:00:00"/>
    <d v="2024-04-13T00:00:00"/>
    <x v="0"/>
    <s v="Q2"/>
    <x v="3"/>
    <x v="5"/>
    <x v="0"/>
    <x v="0"/>
    <x v="0"/>
    <x v="4"/>
    <x v="1"/>
    <n v="7"/>
    <n v="188"/>
    <n v="5192"/>
    <n v="0"/>
    <n v="3"/>
    <s v="Improved"/>
    <n v="1"/>
  </r>
  <r>
    <s v="ADM-240824"/>
    <d v="2024-04-06T00:00:00"/>
    <d v="2024-04-18T00:00:00"/>
    <x v="0"/>
    <s v="Q2"/>
    <x v="3"/>
    <x v="5"/>
    <x v="0"/>
    <x v="0"/>
    <x v="0"/>
    <x v="0"/>
    <x v="2"/>
    <n v="12"/>
    <n v="188"/>
    <n v="7260"/>
    <n v="0"/>
    <n v="4"/>
    <s v="Recovered"/>
    <n v="1"/>
  </r>
  <r>
    <s v="ADM-240825"/>
    <d v="2024-04-06T00:00:00"/>
    <d v="2024-04-11T00:00:00"/>
    <x v="0"/>
    <s v="Q2"/>
    <x v="3"/>
    <x v="5"/>
    <x v="1"/>
    <x v="2"/>
    <x v="0"/>
    <x v="1"/>
    <x v="2"/>
    <n v="5"/>
    <m/>
    <n v="4569"/>
    <n v="0"/>
    <n v="5"/>
    <s v="Improved"/>
    <n v="1"/>
  </r>
  <r>
    <s v="ADM-240826"/>
    <d v="2024-04-07T00:00:00"/>
    <d v="2024-04-10T00:00:00"/>
    <x v="0"/>
    <s v="Q2"/>
    <x v="3"/>
    <x v="6"/>
    <x v="4"/>
    <x v="0"/>
    <x v="0"/>
    <x v="0"/>
    <x v="0"/>
    <n v="3"/>
    <n v="43"/>
    <n v="4332"/>
    <n v="1"/>
    <n v="5"/>
    <s v="Recovered"/>
    <n v="1"/>
  </r>
  <r>
    <s v="ADM-240827"/>
    <d v="2024-04-07T00:00:00"/>
    <d v="2024-04-10T00:00:00"/>
    <x v="0"/>
    <s v="Q2"/>
    <x v="3"/>
    <x v="6"/>
    <x v="5"/>
    <x v="2"/>
    <x v="1"/>
    <x v="1"/>
    <x v="0"/>
    <n v="3"/>
    <m/>
    <n v="3260"/>
    <n v="0"/>
    <n v="4"/>
    <s v="Improved"/>
    <n v="1"/>
  </r>
  <r>
    <s v="ADM-240828"/>
    <d v="2024-04-07T00:00:00"/>
    <d v="2024-04-09T00:00:00"/>
    <x v="0"/>
    <s v="Q2"/>
    <x v="3"/>
    <x v="6"/>
    <x v="2"/>
    <x v="0"/>
    <x v="0"/>
    <x v="2"/>
    <x v="2"/>
    <n v="2"/>
    <n v="22"/>
    <n v="2247"/>
    <n v="0"/>
    <n v="4"/>
    <s v="Recovered"/>
    <n v="1"/>
  </r>
  <r>
    <s v="ADM-240829"/>
    <d v="2024-04-07T00:00:00"/>
    <d v="2024-04-08T00:00:00"/>
    <x v="0"/>
    <s v="Q2"/>
    <x v="3"/>
    <x v="6"/>
    <x v="0"/>
    <x v="0"/>
    <x v="0"/>
    <x v="1"/>
    <x v="0"/>
    <n v="1"/>
    <n v="70"/>
    <n v="1439"/>
    <n v="0"/>
    <n v="4"/>
    <s v="Recovered"/>
    <n v="1"/>
  </r>
  <r>
    <s v="ADM-240830"/>
    <d v="2024-04-07T00:00:00"/>
    <d v="2024-04-12T00:00:00"/>
    <x v="0"/>
    <s v="Q2"/>
    <x v="3"/>
    <x v="6"/>
    <x v="0"/>
    <x v="0"/>
    <x v="0"/>
    <x v="1"/>
    <x v="2"/>
    <n v="5"/>
    <n v="55"/>
    <n v="4764"/>
    <n v="1"/>
    <n v="4"/>
    <s v="Improved"/>
    <n v="1"/>
  </r>
  <r>
    <s v="ADM-240831"/>
    <d v="2024-04-07T00:00:00"/>
    <d v="2024-04-09T00:00:00"/>
    <x v="0"/>
    <s v="Q2"/>
    <x v="3"/>
    <x v="6"/>
    <x v="2"/>
    <x v="0"/>
    <x v="0"/>
    <x v="1"/>
    <x v="0"/>
    <n v="2"/>
    <n v="21"/>
    <n v="1990"/>
    <n v="0"/>
    <n v="5"/>
    <s v="Improved"/>
    <n v="1"/>
  </r>
  <r>
    <s v="ADM-240832"/>
    <d v="2024-04-07T00:00:00"/>
    <d v="2024-04-10T00:00:00"/>
    <x v="0"/>
    <s v="Q2"/>
    <x v="3"/>
    <x v="6"/>
    <x v="2"/>
    <x v="0"/>
    <x v="0"/>
    <x v="1"/>
    <x v="2"/>
    <n v="3"/>
    <n v="77"/>
    <n v="2514"/>
    <n v="0"/>
    <n v="5"/>
    <s v="Transferred"/>
    <n v="1"/>
  </r>
  <r>
    <s v="ADM-240833"/>
    <d v="2024-04-07T00:00:00"/>
    <d v="2024-04-16T00:00:00"/>
    <x v="0"/>
    <s v="Q2"/>
    <x v="3"/>
    <x v="6"/>
    <x v="0"/>
    <x v="0"/>
    <x v="0"/>
    <x v="4"/>
    <x v="0"/>
    <n v="9"/>
    <n v="52"/>
    <n v="7397"/>
    <n v="0"/>
    <n v="5"/>
    <s v="Recovered"/>
    <n v="1"/>
  </r>
  <r>
    <s v="ADM-240834"/>
    <d v="2024-04-07T00:00:00"/>
    <d v="2024-04-11T00:00:00"/>
    <x v="0"/>
    <s v="Q2"/>
    <x v="3"/>
    <x v="6"/>
    <x v="2"/>
    <x v="0"/>
    <x v="0"/>
    <x v="2"/>
    <x v="0"/>
    <n v="4"/>
    <n v="43"/>
    <n v="3620"/>
    <n v="0"/>
    <n v="5"/>
    <s v="Recovered"/>
    <n v="1"/>
  </r>
  <r>
    <s v="ADM-240835"/>
    <d v="2024-04-07T00:00:00"/>
    <d v="2024-04-12T00:00:00"/>
    <x v="0"/>
    <s v="Q2"/>
    <x v="3"/>
    <x v="6"/>
    <x v="0"/>
    <x v="2"/>
    <x v="1"/>
    <x v="4"/>
    <x v="0"/>
    <n v="5"/>
    <m/>
    <n v="4374"/>
    <n v="0"/>
    <n v="3"/>
    <s v="Recovered"/>
    <n v="1"/>
  </r>
  <r>
    <s v="ADM-240836"/>
    <d v="2024-04-08T00:00:00"/>
    <d v="2024-04-09T00:00:00"/>
    <x v="0"/>
    <s v="Q2"/>
    <x v="3"/>
    <x v="0"/>
    <x v="2"/>
    <x v="0"/>
    <x v="0"/>
    <x v="2"/>
    <x v="1"/>
    <n v="1"/>
    <n v="34"/>
    <n v="1632"/>
    <n v="0"/>
    <n v="4"/>
    <s v="Recovered"/>
    <n v="1"/>
  </r>
  <r>
    <s v="ADM-240837"/>
    <d v="2024-04-08T00:00:00"/>
    <d v="2024-04-10T00:00:00"/>
    <x v="0"/>
    <s v="Q2"/>
    <x v="3"/>
    <x v="0"/>
    <x v="0"/>
    <x v="2"/>
    <x v="1"/>
    <x v="2"/>
    <x v="0"/>
    <n v="2"/>
    <m/>
    <n v="1975"/>
    <n v="0"/>
    <n v="3"/>
    <s v="Transferred"/>
    <n v="1"/>
  </r>
  <r>
    <s v="ADM-240838"/>
    <d v="2024-04-08T00:00:00"/>
    <d v="2024-04-14T00:00:00"/>
    <x v="0"/>
    <s v="Q2"/>
    <x v="3"/>
    <x v="0"/>
    <x v="1"/>
    <x v="2"/>
    <x v="0"/>
    <x v="1"/>
    <x v="0"/>
    <n v="6"/>
    <m/>
    <n v="6684"/>
    <n v="0"/>
    <n v="3"/>
    <s v="Recovered"/>
    <n v="1"/>
  </r>
  <r>
    <s v="ADM-240839"/>
    <d v="2024-04-08T00:00:00"/>
    <d v="2024-04-13T00:00:00"/>
    <x v="0"/>
    <s v="Q2"/>
    <x v="3"/>
    <x v="0"/>
    <x v="5"/>
    <x v="2"/>
    <x v="1"/>
    <x v="0"/>
    <x v="0"/>
    <n v="5"/>
    <m/>
    <n v="5354"/>
    <n v="0"/>
    <n v="4"/>
    <s v="Recovered"/>
    <n v="1"/>
  </r>
  <r>
    <s v="ADM-240840"/>
    <d v="2024-04-08T00:00:00"/>
    <d v="2024-04-10T00:00:00"/>
    <x v="0"/>
    <s v="Q2"/>
    <x v="3"/>
    <x v="0"/>
    <x v="2"/>
    <x v="0"/>
    <x v="0"/>
    <x v="2"/>
    <x v="0"/>
    <n v="2"/>
    <n v="39"/>
    <n v="1666"/>
    <n v="0"/>
    <n v="4"/>
    <s v="Improved"/>
    <n v="1"/>
  </r>
  <r>
    <s v="ADM-240841"/>
    <d v="2024-04-08T00:00:00"/>
    <d v="2024-04-09T00:00:00"/>
    <x v="0"/>
    <s v="Q2"/>
    <x v="3"/>
    <x v="0"/>
    <x v="4"/>
    <x v="0"/>
    <x v="1"/>
    <x v="1"/>
    <x v="1"/>
    <n v="1"/>
    <n v="85"/>
    <n v="2149"/>
    <n v="1"/>
    <n v="4"/>
    <s v="Recovered"/>
    <n v="1"/>
  </r>
  <r>
    <s v="ADM-240842"/>
    <d v="2024-04-08T00:00:00"/>
    <d v="2024-04-10T00:00:00"/>
    <x v="0"/>
    <s v="Q2"/>
    <x v="3"/>
    <x v="0"/>
    <x v="5"/>
    <x v="2"/>
    <x v="1"/>
    <x v="0"/>
    <x v="1"/>
    <n v="2"/>
    <m/>
    <n v="2097"/>
    <n v="0"/>
    <n v="4"/>
    <s v="Recovered"/>
    <n v="1"/>
  </r>
  <r>
    <s v="ADM-240843"/>
    <d v="2024-04-09T00:00:00"/>
    <d v="2024-04-11T00:00:00"/>
    <x v="0"/>
    <s v="Q2"/>
    <x v="3"/>
    <x v="1"/>
    <x v="0"/>
    <x v="2"/>
    <x v="1"/>
    <x v="0"/>
    <x v="2"/>
    <n v="2"/>
    <m/>
    <n v="1525"/>
    <n v="0"/>
    <n v="4"/>
    <s v="Recovered"/>
    <n v="1"/>
  </r>
  <r>
    <s v="ADM-240844"/>
    <d v="2024-04-09T00:00:00"/>
    <d v="2024-04-22T00:00:00"/>
    <x v="0"/>
    <s v="Q2"/>
    <x v="3"/>
    <x v="1"/>
    <x v="0"/>
    <x v="0"/>
    <x v="0"/>
    <x v="0"/>
    <x v="2"/>
    <n v="13"/>
    <n v="19"/>
    <n v="10959"/>
    <n v="0"/>
    <n v="3"/>
    <s v="Transferred"/>
    <n v="1"/>
  </r>
  <r>
    <s v="ADM-240845"/>
    <d v="2024-04-09T00:00:00"/>
    <d v="2024-04-10T00:00:00"/>
    <x v="0"/>
    <s v="Q2"/>
    <x v="3"/>
    <x v="1"/>
    <x v="3"/>
    <x v="2"/>
    <x v="1"/>
    <x v="3"/>
    <x v="0"/>
    <n v="1"/>
    <m/>
    <n v="1457"/>
    <n v="0"/>
    <n v="4"/>
    <s v="Improved"/>
    <n v="1"/>
  </r>
  <r>
    <s v="ADM-240846"/>
    <d v="2024-04-09T00:00:00"/>
    <d v="2024-04-14T00:00:00"/>
    <x v="0"/>
    <s v="Q2"/>
    <x v="3"/>
    <x v="1"/>
    <x v="2"/>
    <x v="2"/>
    <x v="0"/>
    <x v="1"/>
    <x v="0"/>
    <n v="5"/>
    <m/>
    <n v="4011"/>
    <n v="0"/>
    <n v="5"/>
    <s v="Recovered"/>
    <n v="1"/>
  </r>
  <r>
    <s v="ADM-240847"/>
    <d v="2024-04-09T00:00:00"/>
    <d v="2024-04-15T00:00:00"/>
    <x v="0"/>
    <s v="Q2"/>
    <x v="3"/>
    <x v="1"/>
    <x v="4"/>
    <x v="0"/>
    <x v="0"/>
    <x v="0"/>
    <x v="1"/>
    <n v="6"/>
    <n v="31"/>
    <n v="7024"/>
    <n v="0"/>
    <n v="4"/>
    <s v="Recovered"/>
    <n v="1"/>
  </r>
  <r>
    <s v="ADM-240848"/>
    <d v="2024-04-10T00:00:00"/>
    <d v="2024-04-12T00:00:00"/>
    <x v="0"/>
    <s v="Q2"/>
    <x v="3"/>
    <x v="2"/>
    <x v="2"/>
    <x v="0"/>
    <x v="0"/>
    <x v="2"/>
    <x v="0"/>
    <n v="2"/>
    <n v="33"/>
    <n v="1299"/>
    <n v="0"/>
    <n v="5"/>
    <s v="Improved"/>
    <n v="1"/>
  </r>
  <r>
    <s v="ADM-240849"/>
    <d v="2024-04-10T00:00:00"/>
    <d v="2024-04-11T00:00:00"/>
    <x v="0"/>
    <s v="Q2"/>
    <x v="3"/>
    <x v="2"/>
    <x v="4"/>
    <x v="2"/>
    <x v="1"/>
    <x v="1"/>
    <x v="0"/>
    <n v="1"/>
    <m/>
    <n v="2276"/>
    <n v="0"/>
    <n v="3"/>
    <s v="Improved"/>
    <n v="1"/>
  </r>
  <r>
    <s v="ADM-240850"/>
    <d v="2024-04-10T00:00:00"/>
    <d v="2024-04-17T00:00:00"/>
    <x v="0"/>
    <s v="Q2"/>
    <x v="3"/>
    <x v="2"/>
    <x v="0"/>
    <x v="2"/>
    <x v="1"/>
    <x v="4"/>
    <x v="0"/>
    <n v="7"/>
    <m/>
    <n v="3613"/>
    <n v="0"/>
    <n v="4"/>
    <s v="Recovered"/>
    <n v="1"/>
  </r>
  <r>
    <s v="ADM-240851"/>
    <d v="2024-04-10T00:00:00"/>
    <d v="2024-04-12T00:00:00"/>
    <x v="0"/>
    <s v="Q2"/>
    <x v="3"/>
    <x v="2"/>
    <x v="3"/>
    <x v="2"/>
    <x v="0"/>
    <x v="3"/>
    <x v="0"/>
    <n v="2"/>
    <m/>
    <n v="1997"/>
    <n v="1"/>
    <n v="5"/>
    <s v="Improved"/>
    <n v="1"/>
  </r>
  <r>
    <s v="ADM-240852"/>
    <d v="2024-04-10T00:00:00"/>
    <d v="2024-04-12T00:00:00"/>
    <x v="0"/>
    <s v="Q2"/>
    <x v="3"/>
    <x v="2"/>
    <x v="2"/>
    <x v="2"/>
    <x v="0"/>
    <x v="1"/>
    <x v="0"/>
    <n v="2"/>
    <m/>
    <n v="2003"/>
    <n v="0"/>
    <n v="5"/>
    <s v="Improved"/>
    <n v="1"/>
  </r>
  <r>
    <s v="ADM-240853"/>
    <d v="2024-04-10T00:00:00"/>
    <d v="2024-04-12T00:00:00"/>
    <x v="0"/>
    <s v="Q2"/>
    <x v="3"/>
    <x v="2"/>
    <x v="1"/>
    <x v="0"/>
    <x v="1"/>
    <x v="4"/>
    <x v="0"/>
    <n v="2"/>
    <n v="30"/>
    <n v="3130"/>
    <n v="1"/>
    <n v="4"/>
    <s v="Improved"/>
    <n v="1"/>
  </r>
  <r>
    <s v="ADM-240854"/>
    <d v="2024-04-10T00:00:00"/>
    <d v="2024-04-12T00:00:00"/>
    <x v="0"/>
    <s v="Q2"/>
    <x v="3"/>
    <x v="2"/>
    <x v="5"/>
    <x v="2"/>
    <x v="1"/>
    <x v="0"/>
    <x v="1"/>
    <n v="2"/>
    <m/>
    <n v="3338"/>
    <n v="0"/>
    <n v="5"/>
    <s v="Recovered"/>
    <n v="1"/>
  </r>
  <r>
    <s v="ADM-240855"/>
    <d v="2024-04-10T00:00:00"/>
    <d v="2024-04-12T00:00:00"/>
    <x v="0"/>
    <s v="Q2"/>
    <x v="3"/>
    <x v="2"/>
    <x v="1"/>
    <x v="2"/>
    <x v="0"/>
    <x v="0"/>
    <x v="2"/>
    <n v="2"/>
    <m/>
    <n v="2498"/>
    <n v="0"/>
    <n v="3"/>
    <s v="Recovered"/>
    <n v="1"/>
  </r>
  <r>
    <s v="ADM-240856"/>
    <d v="2024-04-10T00:00:00"/>
    <d v="2024-04-14T00:00:00"/>
    <x v="0"/>
    <s v="Q2"/>
    <x v="3"/>
    <x v="2"/>
    <x v="0"/>
    <x v="2"/>
    <x v="0"/>
    <x v="2"/>
    <x v="0"/>
    <n v="4"/>
    <m/>
    <n v="3098"/>
    <n v="0"/>
    <n v="4"/>
    <s v="Recovered"/>
    <n v="1"/>
  </r>
  <r>
    <s v="ADM-240857"/>
    <d v="2024-04-10T00:00:00"/>
    <d v="2024-04-16T00:00:00"/>
    <x v="0"/>
    <s v="Q2"/>
    <x v="3"/>
    <x v="2"/>
    <x v="1"/>
    <x v="0"/>
    <x v="1"/>
    <x v="2"/>
    <x v="2"/>
    <n v="6"/>
    <n v="31"/>
    <n v="7610"/>
    <n v="0"/>
    <n v="3"/>
    <s v="Recovered"/>
    <n v="1"/>
  </r>
  <r>
    <s v="ADM-240858"/>
    <d v="2024-04-10T00:00:00"/>
    <d v="2024-04-17T00:00:00"/>
    <x v="0"/>
    <s v="Q2"/>
    <x v="3"/>
    <x v="2"/>
    <x v="0"/>
    <x v="2"/>
    <x v="1"/>
    <x v="0"/>
    <x v="2"/>
    <n v="7"/>
    <m/>
    <n v="4173"/>
    <n v="0"/>
    <n v="3"/>
    <s v="Improved"/>
    <n v="1"/>
  </r>
  <r>
    <s v="ADM-240859"/>
    <d v="2024-04-10T00:00:00"/>
    <d v="2024-04-18T00:00:00"/>
    <x v="0"/>
    <s v="Q2"/>
    <x v="3"/>
    <x v="2"/>
    <x v="0"/>
    <x v="0"/>
    <x v="1"/>
    <x v="4"/>
    <x v="0"/>
    <n v="8"/>
    <n v="59"/>
    <n v="5847"/>
    <n v="0"/>
    <n v="5"/>
    <s v="Recovered"/>
    <n v="1"/>
  </r>
  <r>
    <s v="ADM-240860"/>
    <d v="2024-04-10T00:00:00"/>
    <d v="2024-04-11T00:00:00"/>
    <x v="0"/>
    <s v="Q2"/>
    <x v="3"/>
    <x v="2"/>
    <x v="5"/>
    <x v="0"/>
    <x v="0"/>
    <x v="0"/>
    <x v="0"/>
    <n v="1"/>
    <n v="12"/>
    <n v="2149"/>
    <n v="1"/>
    <n v="4"/>
    <s v="Improved"/>
    <n v="1"/>
  </r>
  <r>
    <s v="ADM-240861"/>
    <d v="2024-04-11T00:00:00"/>
    <d v="2024-04-16T00:00:00"/>
    <x v="0"/>
    <s v="Q2"/>
    <x v="3"/>
    <x v="3"/>
    <x v="1"/>
    <x v="2"/>
    <x v="1"/>
    <x v="4"/>
    <x v="0"/>
    <n v="5"/>
    <m/>
    <n v="6450"/>
    <n v="0"/>
    <n v="5"/>
    <s v="Recovered"/>
    <n v="1"/>
  </r>
  <r>
    <s v="ADM-240862"/>
    <d v="2024-04-11T00:00:00"/>
    <d v="2024-04-17T00:00:00"/>
    <x v="0"/>
    <s v="Q2"/>
    <x v="3"/>
    <x v="3"/>
    <x v="5"/>
    <x v="0"/>
    <x v="1"/>
    <x v="1"/>
    <x v="0"/>
    <n v="6"/>
    <n v="53"/>
    <n v="7123"/>
    <n v="0"/>
    <n v="5"/>
    <s v="Improved"/>
    <n v="1"/>
  </r>
  <r>
    <s v="ADM-240863"/>
    <d v="2024-04-11T00:00:00"/>
    <d v="2024-04-14T00:00:00"/>
    <x v="0"/>
    <s v="Q2"/>
    <x v="3"/>
    <x v="3"/>
    <x v="3"/>
    <x v="2"/>
    <x v="1"/>
    <x v="3"/>
    <x v="2"/>
    <n v="3"/>
    <m/>
    <n v="2636"/>
    <n v="0"/>
    <n v="5"/>
    <s v="Transferred"/>
    <n v="1"/>
  </r>
  <r>
    <s v="ADM-240864"/>
    <d v="2024-04-11T00:00:00"/>
    <d v="2024-04-12T00:00:00"/>
    <x v="0"/>
    <s v="Q2"/>
    <x v="3"/>
    <x v="3"/>
    <x v="1"/>
    <x v="2"/>
    <x v="1"/>
    <x v="2"/>
    <x v="0"/>
    <n v="1"/>
    <m/>
    <n v="1084"/>
    <n v="0"/>
    <n v="4"/>
    <s v="Transferred"/>
    <n v="1"/>
  </r>
  <r>
    <s v="ADM-240865"/>
    <d v="2024-04-11T00:00:00"/>
    <d v="2024-04-12T00:00:00"/>
    <x v="0"/>
    <s v="Q2"/>
    <x v="3"/>
    <x v="3"/>
    <x v="1"/>
    <x v="1"/>
    <x v="0"/>
    <x v="4"/>
    <x v="1"/>
    <n v="1"/>
    <m/>
    <n v="1659"/>
    <n v="0"/>
    <n v="4"/>
    <s v="Recovered"/>
    <n v="1"/>
  </r>
  <r>
    <s v="ADM-240866"/>
    <d v="2024-04-11T00:00:00"/>
    <d v="2024-04-17T00:00:00"/>
    <x v="0"/>
    <s v="Q2"/>
    <x v="3"/>
    <x v="3"/>
    <x v="0"/>
    <x v="0"/>
    <x v="0"/>
    <x v="4"/>
    <x v="0"/>
    <n v="6"/>
    <n v="91"/>
    <n v="3803"/>
    <n v="0"/>
    <n v="4"/>
    <s v="Improved"/>
    <n v="1"/>
  </r>
  <r>
    <s v="ADM-240867"/>
    <d v="2024-04-11T00:00:00"/>
    <d v="2024-04-12T00:00:00"/>
    <x v="0"/>
    <s v="Q2"/>
    <x v="3"/>
    <x v="3"/>
    <x v="2"/>
    <x v="0"/>
    <x v="0"/>
    <x v="2"/>
    <x v="0"/>
    <n v="1"/>
    <n v="24"/>
    <n v="1643"/>
    <n v="0"/>
    <n v="4"/>
    <s v="Improved"/>
    <n v="1"/>
  </r>
  <r>
    <s v="ADM-240868"/>
    <d v="2024-04-11T00:00:00"/>
    <d v="2024-04-14T00:00:00"/>
    <x v="0"/>
    <s v="Q2"/>
    <x v="3"/>
    <x v="3"/>
    <x v="1"/>
    <x v="1"/>
    <x v="1"/>
    <x v="0"/>
    <x v="2"/>
    <n v="3"/>
    <m/>
    <n v="3553"/>
    <n v="0"/>
    <n v="5"/>
    <s v="Improved"/>
    <n v="1"/>
  </r>
  <r>
    <s v="ADM-240869"/>
    <d v="2024-04-11T00:00:00"/>
    <d v="2024-04-27T00:00:00"/>
    <x v="0"/>
    <s v="Q2"/>
    <x v="3"/>
    <x v="3"/>
    <x v="0"/>
    <x v="2"/>
    <x v="1"/>
    <x v="0"/>
    <x v="2"/>
    <n v="16"/>
    <m/>
    <n v="10968"/>
    <n v="1"/>
    <n v="3"/>
    <s v="Recovered"/>
    <n v="1"/>
  </r>
  <r>
    <s v="ADM-240870"/>
    <d v="2024-04-11T00:00:00"/>
    <d v="2024-04-17T00:00:00"/>
    <x v="0"/>
    <s v="Q2"/>
    <x v="3"/>
    <x v="3"/>
    <x v="1"/>
    <x v="0"/>
    <x v="1"/>
    <x v="4"/>
    <x v="2"/>
    <n v="6"/>
    <n v="134"/>
    <n v="7355"/>
    <n v="0"/>
    <n v="4"/>
    <s v="Recovered"/>
    <n v="1"/>
  </r>
  <r>
    <s v="ADM-240871"/>
    <d v="2024-04-11T00:00:00"/>
    <d v="2024-04-13T00:00:00"/>
    <x v="0"/>
    <s v="Q2"/>
    <x v="3"/>
    <x v="3"/>
    <x v="4"/>
    <x v="1"/>
    <x v="1"/>
    <x v="2"/>
    <x v="0"/>
    <n v="2"/>
    <m/>
    <n v="2353"/>
    <n v="1"/>
    <n v="4"/>
    <s v="Recovered"/>
    <n v="1"/>
  </r>
  <r>
    <s v="ADM-240872"/>
    <d v="2024-04-11T00:00:00"/>
    <d v="2024-04-19T00:00:00"/>
    <x v="0"/>
    <s v="Q2"/>
    <x v="3"/>
    <x v="3"/>
    <x v="0"/>
    <x v="0"/>
    <x v="0"/>
    <x v="1"/>
    <x v="2"/>
    <n v="8"/>
    <n v="26"/>
    <n v="7896"/>
    <n v="0"/>
    <n v="4"/>
    <s v="Improved"/>
    <n v="1"/>
  </r>
  <r>
    <s v="ADM-240873"/>
    <d v="2024-04-12T00:00:00"/>
    <d v="2024-04-15T00:00:00"/>
    <x v="0"/>
    <s v="Q2"/>
    <x v="3"/>
    <x v="4"/>
    <x v="4"/>
    <x v="0"/>
    <x v="0"/>
    <x v="4"/>
    <x v="1"/>
    <n v="3"/>
    <n v="33"/>
    <n v="5102"/>
    <n v="0"/>
    <n v="5"/>
    <s v="Recovered"/>
    <n v="1"/>
  </r>
  <r>
    <s v="ADM-240874"/>
    <d v="2024-04-12T00:00:00"/>
    <d v="2024-04-13T00:00:00"/>
    <x v="0"/>
    <s v="Q2"/>
    <x v="3"/>
    <x v="4"/>
    <x v="2"/>
    <x v="1"/>
    <x v="0"/>
    <x v="2"/>
    <x v="2"/>
    <n v="1"/>
    <m/>
    <n v="1435"/>
    <n v="0"/>
    <n v="4"/>
    <s v="Improved"/>
    <n v="1"/>
  </r>
  <r>
    <s v="ADM-240875"/>
    <d v="2024-04-12T00:00:00"/>
    <d v="2024-04-19T00:00:00"/>
    <x v="0"/>
    <s v="Q2"/>
    <x v="3"/>
    <x v="4"/>
    <x v="2"/>
    <x v="0"/>
    <x v="0"/>
    <x v="2"/>
    <x v="2"/>
    <n v="7"/>
    <n v="24"/>
    <n v="4388"/>
    <n v="0"/>
    <n v="4"/>
    <s v="Recovered"/>
    <n v="1"/>
  </r>
  <r>
    <s v="ADM-240876"/>
    <d v="2024-04-12T00:00:00"/>
    <d v="2024-04-13T00:00:00"/>
    <x v="0"/>
    <s v="Q2"/>
    <x v="3"/>
    <x v="4"/>
    <x v="4"/>
    <x v="0"/>
    <x v="1"/>
    <x v="4"/>
    <x v="2"/>
    <n v="1"/>
    <n v="35"/>
    <n v="2109"/>
    <n v="0"/>
    <n v="3"/>
    <s v="Improved"/>
    <n v="1"/>
  </r>
  <r>
    <s v="ADM-240877"/>
    <d v="2024-04-12T00:00:00"/>
    <d v="2024-04-14T00:00:00"/>
    <x v="0"/>
    <s v="Q2"/>
    <x v="3"/>
    <x v="4"/>
    <x v="0"/>
    <x v="1"/>
    <x v="1"/>
    <x v="4"/>
    <x v="1"/>
    <n v="2"/>
    <m/>
    <n v="2046"/>
    <n v="0"/>
    <n v="4"/>
    <s v="Improved"/>
    <n v="1"/>
  </r>
  <r>
    <s v="ADM-240878"/>
    <d v="2024-04-12T00:00:00"/>
    <d v="2024-04-15T00:00:00"/>
    <x v="0"/>
    <s v="Q2"/>
    <x v="3"/>
    <x v="4"/>
    <x v="3"/>
    <x v="2"/>
    <x v="0"/>
    <x v="3"/>
    <x v="0"/>
    <n v="3"/>
    <m/>
    <n v="2428"/>
    <n v="0"/>
    <n v="4"/>
    <s v="Recovered"/>
    <n v="1"/>
  </r>
  <r>
    <s v="ADM-240879"/>
    <d v="2024-04-12T00:00:00"/>
    <d v="2024-04-13T00:00:00"/>
    <x v="0"/>
    <s v="Q2"/>
    <x v="3"/>
    <x v="4"/>
    <x v="2"/>
    <x v="2"/>
    <x v="0"/>
    <x v="1"/>
    <x v="2"/>
    <n v="1"/>
    <m/>
    <n v="1060"/>
    <n v="0"/>
    <n v="4"/>
    <s v="Recovered"/>
    <n v="1"/>
  </r>
  <r>
    <s v="ADM-240880"/>
    <d v="2024-04-13T00:00:00"/>
    <d v="2024-04-15T00:00:00"/>
    <x v="0"/>
    <s v="Q2"/>
    <x v="3"/>
    <x v="5"/>
    <x v="2"/>
    <x v="1"/>
    <x v="0"/>
    <x v="2"/>
    <x v="0"/>
    <n v="2"/>
    <m/>
    <n v="2078"/>
    <n v="0"/>
    <n v="3"/>
    <s v="Recovered"/>
    <n v="1"/>
  </r>
  <r>
    <s v="ADM-240881"/>
    <d v="2024-04-13T00:00:00"/>
    <d v="2024-04-15T00:00:00"/>
    <x v="0"/>
    <s v="Q2"/>
    <x v="3"/>
    <x v="5"/>
    <x v="5"/>
    <x v="1"/>
    <x v="0"/>
    <x v="4"/>
    <x v="2"/>
    <n v="2"/>
    <m/>
    <n v="2770"/>
    <n v="0"/>
    <n v="3"/>
    <s v="Recovered"/>
    <n v="1"/>
  </r>
  <r>
    <s v="ADM-240882"/>
    <d v="2024-04-13T00:00:00"/>
    <d v="2024-04-20T00:00:00"/>
    <x v="0"/>
    <s v="Q2"/>
    <x v="3"/>
    <x v="5"/>
    <x v="5"/>
    <x v="0"/>
    <x v="0"/>
    <x v="0"/>
    <x v="2"/>
    <n v="7"/>
    <n v="174"/>
    <n v="7156"/>
    <n v="0"/>
    <n v="4"/>
    <s v="Recovered"/>
    <n v="1"/>
  </r>
  <r>
    <s v="ADM-240883"/>
    <d v="2024-04-13T00:00:00"/>
    <d v="2024-04-15T00:00:00"/>
    <x v="0"/>
    <s v="Q2"/>
    <x v="3"/>
    <x v="5"/>
    <x v="0"/>
    <x v="0"/>
    <x v="0"/>
    <x v="1"/>
    <x v="2"/>
    <n v="2"/>
    <n v="94"/>
    <n v="2441"/>
    <n v="1"/>
    <n v="3"/>
    <s v="Recovered"/>
    <n v="1"/>
  </r>
  <r>
    <s v="ADM-240884"/>
    <d v="2024-04-13T00:00:00"/>
    <d v="2024-04-20T00:00:00"/>
    <x v="0"/>
    <s v="Q2"/>
    <x v="3"/>
    <x v="5"/>
    <x v="4"/>
    <x v="0"/>
    <x v="0"/>
    <x v="2"/>
    <x v="0"/>
    <n v="7"/>
    <n v="79"/>
    <n v="9529"/>
    <n v="0"/>
    <n v="4"/>
    <s v="Recovered"/>
    <n v="1"/>
  </r>
  <r>
    <s v="ADM-240885"/>
    <d v="2024-04-14T00:00:00"/>
    <d v="2024-04-16T00:00:00"/>
    <x v="0"/>
    <s v="Q2"/>
    <x v="3"/>
    <x v="6"/>
    <x v="3"/>
    <x v="2"/>
    <x v="0"/>
    <x v="3"/>
    <x v="1"/>
    <n v="2"/>
    <m/>
    <n v="2282"/>
    <n v="0"/>
    <n v="5"/>
    <s v="Improved"/>
    <n v="1"/>
  </r>
  <r>
    <s v="ADM-240886"/>
    <d v="2024-04-14T00:00:00"/>
    <d v="2024-04-15T00:00:00"/>
    <x v="0"/>
    <s v="Q2"/>
    <x v="3"/>
    <x v="6"/>
    <x v="2"/>
    <x v="0"/>
    <x v="0"/>
    <x v="1"/>
    <x v="2"/>
    <n v="1"/>
    <n v="41"/>
    <n v="1668"/>
    <n v="0"/>
    <n v="4"/>
    <s v="Recovered"/>
    <n v="1"/>
  </r>
  <r>
    <s v="ADM-240887"/>
    <d v="2024-04-14T00:00:00"/>
    <d v="2024-04-17T00:00:00"/>
    <x v="0"/>
    <s v="Q2"/>
    <x v="3"/>
    <x v="6"/>
    <x v="1"/>
    <x v="2"/>
    <x v="1"/>
    <x v="1"/>
    <x v="0"/>
    <n v="3"/>
    <m/>
    <n v="2411"/>
    <n v="0"/>
    <n v="4"/>
    <s v="Recovered"/>
    <n v="1"/>
  </r>
  <r>
    <s v="ADM-240888"/>
    <d v="2024-04-14T00:00:00"/>
    <d v="2024-04-18T00:00:00"/>
    <x v="0"/>
    <s v="Q2"/>
    <x v="3"/>
    <x v="6"/>
    <x v="3"/>
    <x v="0"/>
    <x v="1"/>
    <x v="3"/>
    <x v="0"/>
    <n v="4"/>
    <n v="83"/>
    <n v="2602"/>
    <n v="0"/>
    <n v="5"/>
    <s v="Transferred"/>
    <n v="1"/>
  </r>
  <r>
    <s v="ADM-240889"/>
    <d v="2024-04-14T00:00:00"/>
    <d v="2024-04-17T00:00:00"/>
    <x v="0"/>
    <s v="Q2"/>
    <x v="3"/>
    <x v="6"/>
    <x v="1"/>
    <x v="2"/>
    <x v="0"/>
    <x v="4"/>
    <x v="2"/>
    <n v="3"/>
    <m/>
    <n v="2740"/>
    <n v="0"/>
    <n v="3"/>
    <s v="Recovered"/>
    <n v="1"/>
  </r>
  <r>
    <s v="ADM-240890"/>
    <d v="2024-04-14T00:00:00"/>
    <d v="2024-04-17T00:00:00"/>
    <x v="0"/>
    <s v="Q2"/>
    <x v="3"/>
    <x v="6"/>
    <x v="4"/>
    <x v="0"/>
    <x v="0"/>
    <x v="0"/>
    <x v="2"/>
    <n v="3"/>
    <n v="40"/>
    <n v="5156"/>
    <n v="0"/>
    <n v="4"/>
    <s v="Deceased"/>
    <n v="1"/>
  </r>
  <r>
    <s v="ADM-240891"/>
    <d v="2024-04-14T00:00:00"/>
    <d v="2024-04-23T00:00:00"/>
    <x v="0"/>
    <s v="Q2"/>
    <x v="3"/>
    <x v="6"/>
    <x v="0"/>
    <x v="0"/>
    <x v="0"/>
    <x v="2"/>
    <x v="0"/>
    <n v="9"/>
    <n v="35"/>
    <n v="3860"/>
    <n v="0"/>
    <n v="4"/>
    <s v="Recovered"/>
    <n v="1"/>
  </r>
  <r>
    <s v="ADM-240892"/>
    <d v="2024-04-15T00:00:00"/>
    <d v="2024-04-16T00:00:00"/>
    <x v="0"/>
    <s v="Q2"/>
    <x v="3"/>
    <x v="0"/>
    <x v="3"/>
    <x v="0"/>
    <x v="1"/>
    <x v="3"/>
    <x v="0"/>
    <n v="1"/>
    <n v="29"/>
    <n v="1382"/>
    <n v="0"/>
    <n v="5"/>
    <s v="Recovered"/>
    <n v="1"/>
  </r>
  <r>
    <s v="ADM-240893"/>
    <d v="2024-04-15T00:00:00"/>
    <d v="2024-04-21T00:00:00"/>
    <x v="0"/>
    <s v="Q2"/>
    <x v="3"/>
    <x v="0"/>
    <x v="3"/>
    <x v="2"/>
    <x v="1"/>
    <x v="3"/>
    <x v="0"/>
    <n v="6"/>
    <m/>
    <n v="4406"/>
    <n v="0"/>
    <n v="4"/>
    <s v="Recovered"/>
    <n v="1"/>
  </r>
  <r>
    <s v="ADM-240894"/>
    <d v="2024-04-15T00:00:00"/>
    <d v="2024-04-18T00:00:00"/>
    <x v="0"/>
    <s v="Q2"/>
    <x v="3"/>
    <x v="0"/>
    <x v="2"/>
    <x v="0"/>
    <x v="0"/>
    <x v="1"/>
    <x v="2"/>
    <n v="3"/>
    <n v="60"/>
    <n v="2025"/>
    <n v="0"/>
    <n v="4"/>
    <s v="Recovered"/>
    <n v="1"/>
  </r>
  <r>
    <s v="ADM-240895"/>
    <d v="2024-04-16T00:00:00"/>
    <d v="2024-04-18T00:00:00"/>
    <x v="0"/>
    <s v="Q2"/>
    <x v="3"/>
    <x v="1"/>
    <x v="3"/>
    <x v="2"/>
    <x v="0"/>
    <x v="3"/>
    <x v="1"/>
    <n v="2"/>
    <m/>
    <n v="1472"/>
    <n v="0"/>
    <n v="4"/>
    <s v="Recovered"/>
    <n v="1"/>
  </r>
  <r>
    <s v="ADM-240896"/>
    <d v="2024-04-16T00:00:00"/>
    <d v="2024-04-25T00:00:00"/>
    <x v="0"/>
    <s v="Q2"/>
    <x v="3"/>
    <x v="1"/>
    <x v="1"/>
    <x v="2"/>
    <x v="1"/>
    <x v="4"/>
    <x v="2"/>
    <n v="9"/>
    <m/>
    <n v="7714"/>
    <n v="0"/>
    <n v="5"/>
    <s v="Recovered"/>
    <n v="1"/>
  </r>
  <r>
    <s v="ADM-240897"/>
    <d v="2024-04-16T00:00:00"/>
    <d v="2024-04-21T00:00:00"/>
    <x v="0"/>
    <s v="Q2"/>
    <x v="3"/>
    <x v="1"/>
    <x v="1"/>
    <x v="2"/>
    <x v="0"/>
    <x v="0"/>
    <x v="2"/>
    <n v="5"/>
    <m/>
    <n v="6028"/>
    <n v="0"/>
    <n v="4"/>
    <s v="Recovered"/>
    <n v="1"/>
  </r>
  <r>
    <s v="ADM-240898"/>
    <d v="2024-04-16T00:00:00"/>
    <d v="2024-04-17T00:00:00"/>
    <x v="0"/>
    <s v="Q2"/>
    <x v="3"/>
    <x v="1"/>
    <x v="5"/>
    <x v="2"/>
    <x v="0"/>
    <x v="0"/>
    <x v="2"/>
    <n v="1"/>
    <m/>
    <n v="1646"/>
    <n v="0"/>
    <n v="4"/>
    <s v="Recovered"/>
    <n v="1"/>
  </r>
  <r>
    <s v="ADM-240899"/>
    <d v="2024-04-16T00:00:00"/>
    <d v="2024-04-24T00:00:00"/>
    <x v="0"/>
    <s v="Q2"/>
    <x v="3"/>
    <x v="1"/>
    <x v="3"/>
    <x v="0"/>
    <x v="1"/>
    <x v="3"/>
    <x v="1"/>
    <n v="8"/>
    <n v="32"/>
    <n v="4790"/>
    <n v="0"/>
    <n v="5"/>
    <s v="Recovered"/>
    <n v="1"/>
  </r>
  <r>
    <s v="ADM-240900"/>
    <d v="2024-04-16T00:00:00"/>
    <d v="2024-04-21T00:00:00"/>
    <x v="0"/>
    <s v="Q2"/>
    <x v="3"/>
    <x v="1"/>
    <x v="2"/>
    <x v="0"/>
    <x v="0"/>
    <x v="2"/>
    <x v="0"/>
    <n v="5"/>
    <n v="15"/>
    <n v="4048"/>
    <n v="0"/>
    <n v="3"/>
    <s v="Recovered"/>
    <n v="1"/>
  </r>
  <r>
    <s v="ADM-240901"/>
    <d v="2024-04-16T00:00:00"/>
    <d v="2024-04-19T00:00:00"/>
    <x v="0"/>
    <s v="Q2"/>
    <x v="3"/>
    <x v="1"/>
    <x v="2"/>
    <x v="0"/>
    <x v="0"/>
    <x v="1"/>
    <x v="0"/>
    <n v="3"/>
    <n v="64"/>
    <n v="3150"/>
    <n v="0"/>
    <n v="4"/>
    <s v="Improved"/>
    <n v="1"/>
  </r>
  <r>
    <s v="ADM-240902"/>
    <d v="2024-04-17T00:00:00"/>
    <d v="2024-04-27T00:00:00"/>
    <x v="0"/>
    <s v="Q2"/>
    <x v="3"/>
    <x v="2"/>
    <x v="0"/>
    <x v="0"/>
    <x v="0"/>
    <x v="1"/>
    <x v="2"/>
    <n v="10"/>
    <n v="39"/>
    <n v="6218"/>
    <n v="1"/>
    <n v="2"/>
    <s v="Recovered"/>
    <n v="1"/>
  </r>
  <r>
    <s v="ADM-240903"/>
    <d v="2024-04-17T00:00:00"/>
    <d v="2024-04-21T00:00:00"/>
    <x v="0"/>
    <s v="Q2"/>
    <x v="3"/>
    <x v="2"/>
    <x v="1"/>
    <x v="2"/>
    <x v="1"/>
    <x v="0"/>
    <x v="1"/>
    <n v="4"/>
    <m/>
    <n v="4429"/>
    <n v="0"/>
    <n v="4"/>
    <s v="Recovered"/>
    <n v="1"/>
  </r>
  <r>
    <s v="ADM-240904"/>
    <d v="2024-04-17T00:00:00"/>
    <d v="2024-04-23T00:00:00"/>
    <x v="0"/>
    <s v="Q2"/>
    <x v="3"/>
    <x v="2"/>
    <x v="4"/>
    <x v="0"/>
    <x v="1"/>
    <x v="2"/>
    <x v="1"/>
    <n v="6"/>
    <n v="70"/>
    <n v="8249"/>
    <n v="0"/>
    <n v="5"/>
    <s v="Improved"/>
    <n v="1"/>
  </r>
  <r>
    <s v="ADM-240905"/>
    <d v="2024-04-17T00:00:00"/>
    <d v="2024-04-23T00:00:00"/>
    <x v="0"/>
    <s v="Q2"/>
    <x v="3"/>
    <x v="2"/>
    <x v="5"/>
    <x v="2"/>
    <x v="1"/>
    <x v="4"/>
    <x v="2"/>
    <n v="6"/>
    <m/>
    <n v="5845"/>
    <n v="0"/>
    <n v="4"/>
    <s v="Improved"/>
    <n v="1"/>
  </r>
  <r>
    <s v="ADM-240906"/>
    <d v="2024-04-17T00:00:00"/>
    <d v="2024-04-20T00:00:00"/>
    <x v="0"/>
    <s v="Q2"/>
    <x v="3"/>
    <x v="2"/>
    <x v="5"/>
    <x v="2"/>
    <x v="0"/>
    <x v="1"/>
    <x v="1"/>
    <n v="3"/>
    <m/>
    <n v="4737"/>
    <n v="0"/>
    <n v="4"/>
    <s v="Recovered"/>
    <n v="1"/>
  </r>
  <r>
    <s v="ADM-240907"/>
    <d v="2024-04-17T00:00:00"/>
    <d v="2024-04-24T00:00:00"/>
    <x v="0"/>
    <s v="Q2"/>
    <x v="3"/>
    <x v="2"/>
    <x v="5"/>
    <x v="2"/>
    <x v="1"/>
    <x v="4"/>
    <x v="0"/>
    <n v="7"/>
    <m/>
    <n v="6768"/>
    <n v="0"/>
    <n v="4"/>
    <s v="Recovered"/>
    <n v="1"/>
  </r>
  <r>
    <s v="ADM-240908"/>
    <d v="2024-04-17T00:00:00"/>
    <d v="2024-04-27T00:00:00"/>
    <x v="0"/>
    <s v="Q2"/>
    <x v="3"/>
    <x v="2"/>
    <x v="4"/>
    <x v="0"/>
    <x v="0"/>
    <x v="0"/>
    <x v="1"/>
    <n v="10"/>
    <n v="129"/>
    <n v="10919"/>
    <n v="0"/>
    <n v="3"/>
    <s v="Improved"/>
    <n v="1"/>
  </r>
  <r>
    <s v="ADM-240909"/>
    <d v="2024-04-17T00:00:00"/>
    <d v="2024-04-20T00:00:00"/>
    <x v="0"/>
    <s v="Q2"/>
    <x v="3"/>
    <x v="2"/>
    <x v="0"/>
    <x v="2"/>
    <x v="1"/>
    <x v="1"/>
    <x v="2"/>
    <n v="3"/>
    <m/>
    <n v="2703"/>
    <n v="1"/>
    <n v="3"/>
    <s v="Improved"/>
    <n v="1"/>
  </r>
  <r>
    <s v="ADM-240910"/>
    <d v="2024-04-17T00:00:00"/>
    <d v="2024-04-18T00:00:00"/>
    <x v="0"/>
    <s v="Q2"/>
    <x v="3"/>
    <x v="2"/>
    <x v="4"/>
    <x v="2"/>
    <x v="0"/>
    <x v="1"/>
    <x v="1"/>
    <n v="1"/>
    <m/>
    <n v="2347"/>
    <n v="0"/>
    <n v="4"/>
    <s v="Improved"/>
    <n v="1"/>
  </r>
  <r>
    <s v="ADM-240911"/>
    <d v="2024-04-18T00:00:00"/>
    <d v="2024-04-21T00:00:00"/>
    <x v="0"/>
    <s v="Q2"/>
    <x v="3"/>
    <x v="3"/>
    <x v="2"/>
    <x v="0"/>
    <x v="0"/>
    <x v="1"/>
    <x v="0"/>
    <n v="3"/>
    <n v="150"/>
    <n v="2237"/>
    <n v="0"/>
    <n v="3"/>
    <s v="Improved"/>
    <n v="1"/>
  </r>
  <r>
    <s v="ADM-240912"/>
    <d v="2024-04-18T00:00:00"/>
    <d v="2024-04-19T00:00:00"/>
    <x v="0"/>
    <s v="Q2"/>
    <x v="3"/>
    <x v="3"/>
    <x v="4"/>
    <x v="0"/>
    <x v="0"/>
    <x v="1"/>
    <x v="0"/>
    <n v="1"/>
    <n v="55"/>
    <n v="2311"/>
    <n v="0"/>
    <n v="4"/>
    <s v="Improved"/>
    <n v="1"/>
  </r>
  <r>
    <s v="ADM-240913"/>
    <d v="2024-04-18T00:00:00"/>
    <d v="2024-04-19T00:00:00"/>
    <x v="0"/>
    <s v="Q2"/>
    <x v="3"/>
    <x v="3"/>
    <x v="5"/>
    <x v="2"/>
    <x v="0"/>
    <x v="1"/>
    <x v="0"/>
    <n v="1"/>
    <m/>
    <n v="2000"/>
    <n v="0"/>
    <n v="5"/>
    <s v="Recovered"/>
    <n v="1"/>
  </r>
  <r>
    <s v="ADM-240914"/>
    <d v="2024-04-18T00:00:00"/>
    <d v="2024-04-20T00:00:00"/>
    <x v="0"/>
    <s v="Q2"/>
    <x v="3"/>
    <x v="3"/>
    <x v="5"/>
    <x v="2"/>
    <x v="1"/>
    <x v="4"/>
    <x v="2"/>
    <n v="2"/>
    <m/>
    <n v="2404"/>
    <n v="0"/>
    <n v="4"/>
    <s v="Improved"/>
    <n v="1"/>
  </r>
  <r>
    <s v="ADM-240915"/>
    <d v="2024-04-18T00:00:00"/>
    <d v="2024-04-25T00:00:00"/>
    <x v="0"/>
    <s v="Q2"/>
    <x v="3"/>
    <x v="3"/>
    <x v="5"/>
    <x v="0"/>
    <x v="0"/>
    <x v="4"/>
    <x v="2"/>
    <n v="7"/>
    <n v="26"/>
    <n v="5631"/>
    <n v="0"/>
    <n v="5"/>
    <s v="Recovered"/>
    <n v="1"/>
  </r>
  <r>
    <s v="ADM-240916"/>
    <d v="2024-04-18T00:00:00"/>
    <d v="2024-04-19T00:00:00"/>
    <x v="0"/>
    <s v="Q2"/>
    <x v="3"/>
    <x v="3"/>
    <x v="2"/>
    <x v="0"/>
    <x v="0"/>
    <x v="2"/>
    <x v="2"/>
    <n v="1"/>
    <n v="71"/>
    <n v="1322"/>
    <n v="0"/>
    <n v="4"/>
    <s v="Deceased"/>
    <n v="1"/>
  </r>
  <r>
    <s v="ADM-240917"/>
    <d v="2024-04-18T00:00:00"/>
    <d v="2024-04-23T00:00:00"/>
    <x v="0"/>
    <s v="Q2"/>
    <x v="3"/>
    <x v="3"/>
    <x v="4"/>
    <x v="0"/>
    <x v="0"/>
    <x v="0"/>
    <x v="1"/>
    <n v="5"/>
    <n v="29"/>
    <n v="5668"/>
    <n v="0"/>
    <n v="3"/>
    <s v="Recovered"/>
    <n v="1"/>
  </r>
  <r>
    <s v="ADM-240918"/>
    <d v="2024-04-18T00:00:00"/>
    <d v="2024-04-21T00:00:00"/>
    <x v="0"/>
    <s v="Q2"/>
    <x v="3"/>
    <x v="3"/>
    <x v="3"/>
    <x v="0"/>
    <x v="1"/>
    <x v="3"/>
    <x v="2"/>
    <n v="3"/>
    <n v="44"/>
    <n v="2665"/>
    <n v="0"/>
    <n v="3"/>
    <s v="Recovered"/>
    <n v="1"/>
  </r>
  <r>
    <s v="ADM-240919"/>
    <d v="2024-04-19T00:00:00"/>
    <d v="2024-04-24T00:00:00"/>
    <x v="0"/>
    <s v="Q2"/>
    <x v="3"/>
    <x v="4"/>
    <x v="4"/>
    <x v="0"/>
    <x v="1"/>
    <x v="0"/>
    <x v="0"/>
    <n v="5"/>
    <n v="50"/>
    <n v="6432"/>
    <n v="0"/>
    <n v="4"/>
    <s v="Recovered"/>
    <n v="1"/>
  </r>
  <r>
    <s v="ADM-240920"/>
    <d v="2024-04-19T00:00:00"/>
    <d v="2024-04-26T00:00:00"/>
    <x v="0"/>
    <s v="Q2"/>
    <x v="3"/>
    <x v="4"/>
    <x v="0"/>
    <x v="0"/>
    <x v="1"/>
    <x v="0"/>
    <x v="0"/>
    <n v="7"/>
    <n v="85"/>
    <n v="5307"/>
    <n v="0"/>
    <n v="5"/>
    <s v="Improved"/>
    <n v="1"/>
  </r>
  <r>
    <s v="ADM-240921"/>
    <d v="2024-04-19T00:00:00"/>
    <d v="2024-04-22T00:00:00"/>
    <x v="0"/>
    <s v="Q2"/>
    <x v="3"/>
    <x v="4"/>
    <x v="3"/>
    <x v="0"/>
    <x v="1"/>
    <x v="3"/>
    <x v="0"/>
    <n v="3"/>
    <n v="21"/>
    <n v="3001"/>
    <n v="0"/>
    <n v="4"/>
    <s v="Recovered"/>
    <n v="1"/>
  </r>
  <r>
    <s v="ADM-240922"/>
    <d v="2024-04-19T00:00:00"/>
    <d v="2024-04-20T00:00:00"/>
    <x v="0"/>
    <s v="Q2"/>
    <x v="3"/>
    <x v="4"/>
    <x v="2"/>
    <x v="0"/>
    <x v="0"/>
    <x v="1"/>
    <x v="0"/>
    <n v="1"/>
    <n v="72"/>
    <n v="1351"/>
    <n v="0"/>
    <n v="4"/>
    <s v="Recovered"/>
    <n v="1"/>
  </r>
  <r>
    <s v="ADM-240923"/>
    <d v="2024-04-19T00:00:00"/>
    <d v="2024-04-21T00:00:00"/>
    <x v="0"/>
    <s v="Q2"/>
    <x v="3"/>
    <x v="4"/>
    <x v="0"/>
    <x v="2"/>
    <x v="0"/>
    <x v="0"/>
    <x v="2"/>
    <n v="2"/>
    <m/>
    <n v="1484"/>
    <n v="0"/>
    <n v="4"/>
    <s v="Recovered"/>
    <n v="1"/>
  </r>
  <r>
    <s v="ADM-240924"/>
    <d v="2024-04-19T00:00:00"/>
    <d v="2024-04-22T00:00:00"/>
    <x v="0"/>
    <s v="Q2"/>
    <x v="3"/>
    <x v="4"/>
    <x v="2"/>
    <x v="0"/>
    <x v="0"/>
    <x v="2"/>
    <x v="2"/>
    <n v="3"/>
    <n v="54"/>
    <n v="2667"/>
    <n v="0"/>
    <n v="2"/>
    <s v="Improved"/>
    <n v="1"/>
  </r>
  <r>
    <s v="ADM-240925"/>
    <d v="2024-04-19T00:00:00"/>
    <d v="2024-04-22T00:00:00"/>
    <x v="0"/>
    <s v="Q2"/>
    <x v="3"/>
    <x v="4"/>
    <x v="1"/>
    <x v="0"/>
    <x v="1"/>
    <x v="4"/>
    <x v="2"/>
    <n v="3"/>
    <n v="26"/>
    <n v="5001"/>
    <n v="0"/>
    <n v="5"/>
    <s v="Recovered"/>
    <n v="1"/>
  </r>
  <r>
    <s v="ADM-240926"/>
    <d v="2024-04-19T00:00:00"/>
    <d v="2024-04-30T00:00:00"/>
    <x v="0"/>
    <s v="Q2"/>
    <x v="3"/>
    <x v="4"/>
    <x v="4"/>
    <x v="1"/>
    <x v="0"/>
    <x v="0"/>
    <x v="2"/>
    <n v="11"/>
    <m/>
    <n v="9938"/>
    <n v="0"/>
    <n v="3"/>
    <s v="Recovered"/>
    <n v="1"/>
  </r>
  <r>
    <s v="ADM-240927"/>
    <d v="2024-04-19T00:00:00"/>
    <d v="2024-04-21T00:00:00"/>
    <x v="0"/>
    <s v="Q2"/>
    <x v="3"/>
    <x v="4"/>
    <x v="2"/>
    <x v="0"/>
    <x v="0"/>
    <x v="2"/>
    <x v="2"/>
    <n v="2"/>
    <n v="29"/>
    <n v="2144"/>
    <n v="0"/>
    <n v="4"/>
    <s v="Improved"/>
    <n v="1"/>
  </r>
  <r>
    <s v="ADM-240928"/>
    <d v="2024-04-19T00:00:00"/>
    <d v="2024-04-22T00:00:00"/>
    <x v="0"/>
    <s v="Q2"/>
    <x v="3"/>
    <x v="4"/>
    <x v="4"/>
    <x v="1"/>
    <x v="0"/>
    <x v="0"/>
    <x v="2"/>
    <n v="3"/>
    <m/>
    <n v="3690"/>
    <n v="0"/>
    <n v="5"/>
    <s v="Improved"/>
    <n v="1"/>
  </r>
  <r>
    <s v="ADM-240929"/>
    <d v="2024-04-20T00:00:00"/>
    <d v="2024-04-26T00:00:00"/>
    <x v="0"/>
    <s v="Q2"/>
    <x v="3"/>
    <x v="5"/>
    <x v="1"/>
    <x v="0"/>
    <x v="0"/>
    <x v="4"/>
    <x v="1"/>
    <n v="6"/>
    <n v="56"/>
    <n v="5458"/>
    <n v="1"/>
    <n v="4"/>
    <s v="Improved"/>
    <n v="1"/>
  </r>
  <r>
    <s v="ADM-240930"/>
    <d v="2024-04-20T00:00:00"/>
    <d v="2024-04-30T00:00:00"/>
    <x v="0"/>
    <s v="Q2"/>
    <x v="3"/>
    <x v="5"/>
    <x v="4"/>
    <x v="0"/>
    <x v="1"/>
    <x v="0"/>
    <x v="0"/>
    <n v="10"/>
    <n v="44"/>
    <n v="15367"/>
    <n v="0"/>
    <n v="4"/>
    <s v="Recovered"/>
    <n v="1"/>
  </r>
  <r>
    <s v="ADM-240931"/>
    <d v="2024-04-20T00:00:00"/>
    <d v="2024-04-22T00:00:00"/>
    <x v="0"/>
    <s v="Q2"/>
    <x v="3"/>
    <x v="5"/>
    <x v="5"/>
    <x v="0"/>
    <x v="0"/>
    <x v="1"/>
    <x v="0"/>
    <n v="2"/>
    <n v="65"/>
    <n v="2827"/>
    <n v="0"/>
    <n v="3"/>
    <s v="Improved"/>
    <n v="1"/>
  </r>
  <r>
    <s v="ADM-240932"/>
    <d v="2024-04-20T00:00:00"/>
    <d v="2024-04-25T00:00:00"/>
    <x v="0"/>
    <s v="Q2"/>
    <x v="3"/>
    <x v="5"/>
    <x v="4"/>
    <x v="0"/>
    <x v="0"/>
    <x v="4"/>
    <x v="2"/>
    <n v="5"/>
    <n v="119"/>
    <n v="7458"/>
    <n v="0"/>
    <n v="4"/>
    <s v="Recovered"/>
    <n v="1"/>
  </r>
  <r>
    <s v="ADM-240933"/>
    <d v="2024-04-20T00:00:00"/>
    <d v="2024-04-25T00:00:00"/>
    <x v="0"/>
    <s v="Q2"/>
    <x v="3"/>
    <x v="5"/>
    <x v="0"/>
    <x v="0"/>
    <x v="1"/>
    <x v="4"/>
    <x v="1"/>
    <n v="5"/>
    <n v="65"/>
    <n v="3514"/>
    <n v="0"/>
    <n v="4"/>
    <s v="Improved"/>
    <n v="1"/>
  </r>
  <r>
    <s v="ADM-240934"/>
    <d v="2024-04-20T00:00:00"/>
    <d v="2024-04-21T00:00:00"/>
    <x v="0"/>
    <s v="Q2"/>
    <x v="3"/>
    <x v="5"/>
    <x v="3"/>
    <x v="0"/>
    <x v="1"/>
    <x v="3"/>
    <x v="0"/>
    <n v="1"/>
    <n v="33"/>
    <n v="1278"/>
    <n v="0"/>
    <n v="4"/>
    <s v="Recovered"/>
    <n v="1"/>
  </r>
  <r>
    <s v="ADM-240935"/>
    <d v="2024-04-21T00:00:00"/>
    <d v="2024-05-01T00:00:00"/>
    <x v="0"/>
    <s v="Q2"/>
    <x v="3"/>
    <x v="6"/>
    <x v="5"/>
    <x v="2"/>
    <x v="1"/>
    <x v="0"/>
    <x v="2"/>
    <n v="10"/>
    <m/>
    <n v="8810"/>
    <n v="0"/>
    <n v="5"/>
    <s v="Improved"/>
    <n v="1"/>
  </r>
  <r>
    <s v="ADM-240936"/>
    <d v="2024-04-21T00:00:00"/>
    <d v="2024-04-23T00:00:00"/>
    <x v="0"/>
    <s v="Q2"/>
    <x v="3"/>
    <x v="6"/>
    <x v="0"/>
    <x v="2"/>
    <x v="1"/>
    <x v="1"/>
    <x v="1"/>
    <n v="2"/>
    <m/>
    <n v="2639"/>
    <n v="0"/>
    <n v="4"/>
    <s v="Recovered"/>
    <n v="1"/>
  </r>
  <r>
    <s v="ADM-240937"/>
    <d v="2024-04-21T00:00:00"/>
    <d v="2024-04-26T00:00:00"/>
    <x v="0"/>
    <s v="Q2"/>
    <x v="3"/>
    <x v="6"/>
    <x v="0"/>
    <x v="0"/>
    <x v="1"/>
    <x v="0"/>
    <x v="0"/>
    <n v="5"/>
    <n v="21"/>
    <n v="3935"/>
    <n v="0"/>
    <n v="5"/>
    <s v="Recovered"/>
    <n v="1"/>
  </r>
  <r>
    <s v="ADM-240938"/>
    <d v="2024-04-21T00:00:00"/>
    <d v="2024-05-02T00:00:00"/>
    <x v="0"/>
    <s v="Q2"/>
    <x v="3"/>
    <x v="6"/>
    <x v="0"/>
    <x v="0"/>
    <x v="1"/>
    <x v="2"/>
    <x v="1"/>
    <n v="11"/>
    <n v="18"/>
    <n v="8348"/>
    <n v="0"/>
    <n v="5"/>
    <s v="Recovered"/>
    <n v="1"/>
  </r>
  <r>
    <s v="ADM-240939"/>
    <d v="2024-04-21T00:00:00"/>
    <d v="2024-05-13T00:00:00"/>
    <x v="0"/>
    <s v="Q2"/>
    <x v="3"/>
    <x v="6"/>
    <x v="4"/>
    <x v="0"/>
    <x v="1"/>
    <x v="2"/>
    <x v="1"/>
    <n v="22"/>
    <n v="15"/>
    <n v="20498"/>
    <n v="1"/>
    <n v="4"/>
    <s v="Improved"/>
    <n v="1"/>
  </r>
  <r>
    <s v="ADM-240940"/>
    <d v="2024-04-22T00:00:00"/>
    <d v="2024-04-25T00:00:00"/>
    <x v="0"/>
    <s v="Q2"/>
    <x v="3"/>
    <x v="0"/>
    <x v="0"/>
    <x v="0"/>
    <x v="1"/>
    <x v="4"/>
    <x v="2"/>
    <n v="3"/>
    <n v="67"/>
    <n v="2904"/>
    <n v="0"/>
    <n v="5"/>
    <s v="Improved"/>
    <n v="1"/>
  </r>
  <r>
    <s v="ADM-240941"/>
    <d v="2024-04-22T00:00:00"/>
    <d v="2024-04-24T00:00:00"/>
    <x v="0"/>
    <s v="Q2"/>
    <x v="3"/>
    <x v="0"/>
    <x v="0"/>
    <x v="1"/>
    <x v="0"/>
    <x v="2"/>
    <x v="0"/>
    <n v="2"/>
    <m/>
    <n v="1798"/>
    <n v="0"/>
    <n v="4"/>
    <s v="Recovered"/>
    <n v="1"/>
  </r>
  <r>
    <s v="ADM-240942"/>
    <d v="2024-04-22T00:00:00"/>
    <d v="2024-04-23T00:00:00"/>
    <x v="0"/>
    <s v="Q2"/>
    <x v="3"/>
    <x v="0"/>
    <x v="0"/>
    <x v="2"/>
    <x v="0"/>
    <x v="4"/>
    <x v="2"/>
    <n v="1"/>
    <m/>
    <n v="1457"/>
    <n v="0"/>
    <n v="5"/>
    <s v="Recovered"/>
    <n v="1"/>
  </r>
  <r>
    <s v="ADM-240943"/>
    <d v="2024-04-22T00:00:00"/>
    <d v="2024-04-26T00:00:00"/>
    <x v="0"/>
    <s v="Q2"/>
    <x v="3"/>
    <x v="0"/>
    <x v="1"/>
    <x v="2"/>
    <x v="1"/>
    <x v="2"/>
    <x v="0"/>
    <n v="4"/>
    <m/>
    <n v="3800"/>
    <n v="0"/>
    <n v="4"/>
    <s v="Recovered"/>
    <n v="1"/>
  </r>
  <r>
    <s v="ADM-240944"/>
    <d v="2024-04-22T00:00:00"/>
    <d v="2024-04-25T00:00:00"/>
    <x v="0"/>
    <s v="Q2"/>
    <x v="3"/>
    <x v="0"/>
    <x v="3"/>
    <x v="0"/>
    <x v="1"/>
    <x v="3"/>
    <x v="0"/>
    <n v="3"/>
    <n v="124"/>
    <n v="2642"/>
    <n v="0"/>
    <n v="3"/>
    <s v="Improved"/>
    <n v="1"/>
  </r>
  <r>
    <s v="ADM-240945"/>
    <d v="2024-04-23T00:00:00"/>
    <d v="2024-05-02T00:00:00"/>
    <x v="0"/>
    <s v="Q2"/>
    <x v="3"/>
    <x v="1"/>
    <x v="0"/>
    <x v="2"/>
    <x v="1"/>
    <x v="0"/>
    <x v="1"/>
    <n v="9"/>
    <m/>
    <n v="4149"/>
    <n v="0"/>
    <n v="4"/>
    <s v="Transferred"/>
    <n v="1"/>
  </r>
  <r>
    <s v="ADM-240946"/>
    <d v="2024-04-23T00:00:00"/>
    <d v="2024-04-25T00:00:00"/>
    <x v="0"/>
    <s v="Q2"/>
    <x v="3"/>
    <x v="1"/>
    <x v="2"/>
    <x v="0"/>
    <x v="0"/>
    <x v="1"/>
    <x v="0"/>
    <n v="2"/>
    <n v="27"/>
    <n v="2071"/>
    <n v="0"/>
    <n v="4"/>
    <s v="Improved"/>
    <n v="1"/>
  </r>
  <r>
    <s v="ADM-240947"/>
    <d v="2024-04-23T00:00:00"/>
    <d v="2024-05-05T00:00:00"/>
    <x v="0"/>
    <s v="Q2"/>
    <x v="3"/>
    <x v="1"/>
    <x v="4"/>
    <x v="0"/>
    <x v="0"/>
    <x v="1"/>
    <x v="2"/>
    <n v="12"/>
    <n v="56"/>
    <n v="15251"/>
    <n v="1"/>
    <n v="4"/>
    <s v="Recovered"/>
    <n v="1"/>
  </r>
  <r>
    <s v="ADM-240948"/>
    <d v="2024-04-23T00:00:00"/>
    <d v="2024-04-28T00:00:00"/>
    <x v="0"/>
    <s v="Q2"/>
    <x v="3"/>
    <x v="1"/>
    <x v="0"/>
    <x v="0"/>
    <x v="1"/>
    <x v="4"/>
    <x v="0"/>
    <n v="5"/>
    <n v="71"/>
    <n v="3124"/>
    <n v="0"/>
    <n v="5"/>
    <s v="Improved"/>
    <n v="1"/>
  </r>
  <r>
    <s v="ADM-240949"/>
    <d v="2024-04-23T00:00:00"/>
    <d v="2024-04-29T00:00:00"/>
    <x v="0"/>
    <s v="Q2"/>
    <x v="3"/>
    <x v="1"/>
    <x v="3"/>
    <x v="0"/>
    <x v="1"/>
    <x v="3"/>
    <x v="0"/>
    <n v="6"/>
    <n v="31"/>
    <n v="4215"/>
    <n v="0"/>
    <n v="3"/>
    <s v="Recovered"/>
    <n v="1"/>
  </r>
  <r>
    <s v="ADM-240950"/>
    <d v="2024-04-23T00:00:00"/>
    <d v="2024-05-01T00:00:00"/>
    <x v="0"/>
    <s v="Q2"/>
    <x v="3"/>
    <x v="1"/>
    <x v="5"/>
    <x v="0"/>
    <x v="1"/>
    <x v="0"/>
    <x v="2"/>
    <n v="8"/>
    <n v="14"/>
    <n v="9441"/>
    <n v="0"/>
    <n v="5"/>
    <s v="Improved"/>
    <n v="1"/>
  </r>
  <r>
    <s v="ADM-240951"/>
    <d v="2024-04-23T00:00:00"/>
    <d v="2024-05-06T00:00:00"/>
    <x v="0"/>
    <s v="Q2"/>
    <x v="3"/>
    <x v="1"/>
    <x v="0"/>
    <x v="0"/>
    <x v="0"/>
    <x v="0"/>
    <x v="0"/>
    <n v="13"/>
    <n v="46"/>
    <n v="8847"/>
    <n v="0"/>
    <n v="5"/>
    <s v="Recovered"/>
    <n v="1"/>
  </r>
  <r>
    <s v="ADM-240952"/>
    <d v="2024-04-23T00:00:00"/>
    <d v="2024-04-25T00:00:00"/>
    <x v="0"/>
    <s v="Q2"/>
    <x v="3"/>
    <x v="1"/>
    <x v="3"/>
    <x v="2"/>
    <x v="1"/>
    <x v="3"/>
    <x v="2"/>
    <n v="2"/>
    <m/>
    <n v="3017"/>
    <n v="0"/>
    <n v="5"/>
    <s v="Recovered"/>
    <n v="1"/>
  </r>
  <r>
    <s v="ADM-240953"/>
    <d v="2024-04-23T00:00:00"/>
    <d v="2024-05-09T00:00:00"/>
    <x v="0"/>
    <s v="Q2"/>
    <x v="3"/>
    <x v="1"/>
    <x v="1"/>
    <x v="0"/>
    <x v="1"/>
    <x v="0"/>
    <x v="2"/>
    <n v="16"/>
    <n v="22"/>
    <n v="15787"/>
    <n v="0"/>
    <n v="4"/>
    <s v="Recovered"/>
    <n v="1"/>
  </r>
  <r>
    <s v="ADM-240954"/>
    <d v="2024-04-23T00:00:00"/>
    <d v="2024-04-27T00:00:00"/>
    <x v="0"/>
    <s v="Q2"/>
    <x v="3"/>
    <x v="1"/>
    <x v="4"/>
    <x v="0"/>
    <x v="0"/>
    <x v="0"/>
    <x v="0"/>
    <n v="4"/>
    <n v="63"/>
    <n v="4641"/>
    <n v="0"/>
    <n v="5"/>
    <s v="Recovered"/>
    <n v="1"/>
  </r>
  <r>
    <s v="ADM-240955"/>
    <d v="2024-04-23T00:00:00"/>
    <d v="2024-04-30T00:00:00"/>
    <x v="0"/>
    <s v="Q2"/>
    <x v="3"/>
    <x v="1"/>
    <x v="0"/>
    <x v="0"/>
    <x v="1"/>
    <x v="0"/>
    <x v="0"/>
    <n v="7"/>
    <n v="33"/>
    <n v="5052"/>
    <n v="0"/>
    <n v="5"/>
    <s v="Recovered"/>
    <n v="1"/>
  </r>
  <r>
    <s v="ADM-240956"/>
    <d v="2024-04-24T00:00:00"/>
    <d v="2024-04-25T00:00:00"/>
    <x v="0"/>
    <s v="Q2"/>
    <x v="3"/>
    <x v="2"/>
    <x v="2"/>
    <x v="2"/>
    <x v="0"/>
    <x v="2"/>
    <x v="0"/>
    <n v="1"/>
    <m/>
    <n v="1904"/>
    <n v="0"/>
    <n v="3"/>
    <s v="Improved"/>
    <n v="1"/>
  </r>
  <r>
    <s v="ADM-240957"/>
    <d v="2024-04-24T00:00:00"/>
    <d v="2024-04-25T00:00:00"/>
    <x v="0"/>
    <s v="Q2"/>
    <x v="3"/>
    <x v="2"/>
    <x v="1"/>
    <x v="2"/>
    <x v="0"/>
    <x v="2"/>
    <x v="2"/>
    <n v="1"/>
    <m/>
    <n v="1982"/>
    <n v="0"/>
    <n v="3"/>
    <s v="Recovered"/>
    <n v="1"/>
  </r>
  <r>
    <s v="ADM-240958"/>
    <d v="2024-04-24T00:00:00"/>
    <d v="2024-04-29T00:00:00"/>
    <x v="0"/>
    <s v="Q2"/>
    <x v="3"/>
    <x v="2"/>
    <x v="3"/>
    <x v="0"/>
    <x v="0"/>
    <x v="3"/>
    <x v="0"/>
    <n v="5"/>
    <n v="98"/>
    <n v="3559"/>
    <n v="0"/>
    <n v="4"/>
    <s v="Improved"/>
    <n v="1"/>
  </r>
  <r>
    <s v="ADM-240959"/>
    <d v="2024-04-24T00:00:00"/>
    <d v="2024-04-28T00:00:00"/>
    <x v="0"/>
    <s v="Q2"/>
    <x v="3"/>
    <x v="2"/>
    <x v="0"/>
    <x v="2"/>
    <x v="1"/>
    <x v="0"/>
    <x v="0"/>
    <n v="4"/>
    <m/>
    <n v="3061"/>
    <n v="0"/>
    <n v="5"/>
    <s v="Recovered"/>
    <n v="1"/>
  </r>
  <r>
    <s v="ADM-240960"/>
    <d v="2024-04-24T00:00:00"/>
    <d v="2024-05-01T00:00:00"/>
    <x v="0"/>
    <s v="Q2"/>
    <x v="3"/>
    <x v="2"/>
    <x v="5"/>
    <x v="2"/>
    <x v="1"/>
    <x v="2"/>
    <x v="0"/>
    <n v="7"/>
    <m/>
    <n v="8023"/>
    <n v="0"/>
    <n v="4"/>
    <s v="Improved"/>
    <n v="1"/>
  </r>
  <r>
    <s v="ADM-240961"/>
    <d v="2024-04-24T00:00:00"/>
    <d v="2024-05-03T00:00:00"/>
    <x v="0"/>
    <s v="Q2"/>
    <x v="3"/>
    <x v="2"/>
    <x v="2"/>
    <x v="0"/>
    <x v="0"/>
    <x v="2"/>
    <x v="1"/>
    <n v="9"/>
    <n v="89"/>
    <n v="4311"/>
    <n v="0"/>
    <n v="5"/>
    <s v="Improved"/>
    <n v="1"/>
  </r>
  <r>
    <s v="ADM-240962"/>
    <d v="2024-04-24T00:00:00"/>
    <d v="2024-04-28T00:00:00"/>
    <x v="0"/>
    <s v="Q2"/>
    <x v="3"/>
    <x v="2"/>
    <x v="2"/>
    <x v="0"/>
    <x v="0"/>
    <x v="1"/>
    <x v="1"/>
    <n v="4"/>
    <n v="43"/>
    <n v="2520"/>
    <n v="0"/>
    <n v="4"/>
    <s v="Recovered"/>
    <n v="1"/>
  </r>
  <r>
    <s v="ADM-240963"/>
    <d v="2024-04-24T00:00:00"/>
    <d v="2024-04-27T00:00:00"/>
    <x v="0"/>
    <s v="Q2"/>
    <x v="3"/>
    <x v="2"/>
    <x v="0"/>
    <x v="2"/>
    <x v="0"/>
    <x v="4"/>
    <x v="0"/>
    <n v="3"/>
    <m/>
    <n v="2459"/>
    <n v="0"/>
    <n v="5"/>
    <s v="Recovered"/>
    <n v="1"/>
  </r>
  <r>
    <s v="ADM-240964"/>
    <d v="2024-04-24T00:00:00"/>
    <d v="2024-05-04T00:00:00"/>
    <x v="0"/>
    <s v="Q2"/>
    <x v="3"/>
    <x v="2"/>
    <x v="0"/>
    <x v="0"/>
    <x v="1"/>
    <x v="1"/>
    <x v="2"/>
    <n v="10"/>
    <n v="56"/>
    <n v="5457"/>
    <n v="1"/>
    <n v="4"/>
    <s v="Recovered"/>
    <n v="1"/>
  </r>
  <r>
    <s v="ADM-240965"/>
    <d v="2024-04-25T00:00:00"/>
    <d v="2024-04-29T00:00:00"/>
    <x v="0"/>
    <s v="Q2"/>
    <x v="3"/>
    <x v="3"/>
    <x v="3"/>
    <x v="0"/>
    <x v="0"/>
    <x v="3"/>
    <x v="0"/>
    <n v="4"/>
    <n v="67"/>
    <n v="3263"/>
    <n v="0"/>
    <n v="2"/>
    <s v="Recovered"/>
    <n v="1"/>
  </r>
  <r>
    <s v="ADM-240966"/>
    <d v="2024-04-25T00:00:00"/>
    <d v="2024-04-27T00:00:00"/>
    <x v="0"/>
    <s v="Q2"/>
    <x v="3"/>
    <x v="3"/>
    <x v="1"/>
    <x v="2"/>
    <x v="0"/>
    <x v="0"/>
    <x v="2"/>
    <n v="2"/>
    <m/>
    <n v="2792"/>
    <n v="1"/>
    <n v="4"/>
    <s v="Improved"/>
    <n v="1"/>
  </r>
  <r>
    <s v="ADM-240967"/>
    <d v="2024-04-25T00:00:00"/>
    <d v="2024-04-30T00:00:00"/>
    <x v="0"/>
    <s v="Q2"/>
    <x v="3"/>
    <x v="3"/>
    <x v="2"/>
    <x v="0"/>
    <x v="0"/>
    <x v="2"/>
    <x v="2"/>
    <n v="5"/>
    <n v="48"/>
    <n v="3197"/>
    <n v="0"/>
    <n v="4"/>
    <s v="Recovered"/>
    <n v="1"/>
  </r>
  <r>
    <s v="ADM-240968"/>
    <d v="2024-04-25T00:00:00"/>
    <d v="2024-04-30T00:00:00"/>
    <x v="0"/>
    <s v="Q2"/>
    <x v="3"/>
    <x v="3"/>
    <x v="1"/>
    <x v="2"/>
    <x v="1"/>
    <x v="0"/>
    <x v="2"/>
    <n v="5"/>
    <m/>
    <n v="4719"/>
    <n v="0"/>
    <n v="5"/>
    <s v="Improved"/>
    <n v="1"/>
  </r>
  <r>
    <s v="ADM-240969"/>
    <d v="2024-04-26T00:00:00"/>
    <d v="2024-04-28T00:00:00"/>
    <x v="0"/>
    <s v="Q2"/>
    <x v="3"/>
    <x v="4"/>
    <x v="2"/>
    <x v="0"/>
    <x v="0"/>
    <x v="2"/>
    <x v="0"/>
    <n v="2"/>
    <n v="23"/>
    <n v="2404"/>
    <n v="0"/>
    <n v="3"/>
    <s v="Recovered"/>
    <n v="1"/>
  </r>
  <r>
    <s v="ADM-240970"/>
    <d v="2024-04-26T00:00:00"/>
    <d v="2024-05-14T00:00:00"/>
    <x v="0"/>
    <s v="Q2"/>
    <x v="3"/>
    <x v="4"/>
    <x v="0"/>
    <x v="0"/>
    <x v="1"/>
    <x v="0"/>
    <x v="2"/>
    <n v="18"/>
    <n v="172"/>
    <n v="12154"/>
    <n v="1"/>
    <n v="2"/>
    <s v="Recovered"/>
    <n v="1"/>
  </r>
  <r>
    <s v="ADM-240971"/>
    <d v="2024-04-26T00:00:00"/>
    <d v="2024-05-01T00:00:00"/>
    <x v="0"/>
    <s v="Q2"/>
    <x v="3"/>
    <x v="4"/>
    <x v="3"/>
    <x v="0"/>
    <x v="0"/>
    <x v="3"/>
    <x v="0"/>
    <n v="5"/>
    <n v="35"/>
    <n v="3003"/>
    <n v="0"/>
    <n v="4"/>
    <s v="Recovered"/>
    <n v="1"/>
  </r>
  <r>
    <s v="ADM-240972"/>
    <d v="2024-04-26T00:00:00"/>
    <d v="2024-05-01T00:00:00"/>
    <x v="0"/>
    <s v="Q2"/>
    <x v="3"/>
    <x v="4"/>
    <x v="0"/>
    <x v="0"/>
    <x v="1"/>
    <x v="1"/>
    <x v="0"/>
    <n v="5"/>
    <n v="176"/>
    <n v="3874"/>
    <n v="0"/>
    <n v="3"/>
    <s v="Recovered"/>
    <n v="1"/>
  </r>
  <r>
    <s v="ADM-240973"/>
    <d v="2024-04-26T00:00:00"/>
    <d v="2024-05-04T00:00:00"/>
    <x v="0"/>
    <s v="Q2"/>
    <x v="3"/>
    <x v="4"/>
    <x v="0"/>
    <x v="0"/>
    <x v="1"/>
    <x v="0"/>
    <x v="1"/>
    <n v="8"/>
    <n v="62"/>
    <n v="7148"/>
    <n v="0"/>
    <n v="5"/>
    <s v="Improved"/>
    <n v="1"/>
  </r>
  <r>
    <s v="ADM-240974"/>
    <d v="2024-04-26T00:00:00"/>
    <d v="2024-04-28T00:00:00"/>
    <x v="0"/>
    <s v="Q2"/>
    <x v="3"/>
    <x v="4"/>
    <x v="2"/>
    <x v="0"/>
    <x v="0"/>
    <x v="1"/>
    <x v="0"/>
    <n v="2"/>
    <n v="42"/>
    <n v="2409"/>
    <n v="0"/>
    <n v="5"/>
    <s v="Improved"/>
    <n v="1"/>
  </r>
  <r>
    <s v="ADM-240975"/>
    <d v="2024-04-26T00:00:00"/>
    <d v="2024-05-06T00:00:00"/>
    <x v="0"/>
    <s v="Q2"/>
    <x v="3"/>
    <x v="4"/>
    <x v="0"/>
    <x v="0"/>
    <x v="0"/>
    <x v="0"/>
    <x v="2"/>
    <n v="10"/>
    <n v="75"/>
    <n v="7674"/>
    <n v="0"/>
    <n v="5"/>
    <s v="Recovered"/>
    <n v="1"/>
  </r>
  <r>
    <s v="ADM-240976"/>
    <d v="2024-04-26T00:00:00"/>
    <d v="2024-04-27T00:00:00"/>
    <x v="0"/>
    <s v="Q2"/>
    <x v="3"/>
    <x v="4"/>
    <x v="2"/>
    <x v="1"/>
    <x v="0"/>
    <x v="1"/>
    <x v="2"/>
    <n v="1"/>
    <m/>
    <n v="1612"/>
    <n v="1"/>
    <n v="4"/>
    <s v="Improved"/>
    <n v="1"/>
  </r>
  <r>
    <s v="ADM-240977"/>
    <d v="2024-04-26T00:00:00"/>
    <d v="2024-05-03T00:00:00"/>
    <x v="0"/>
    <s v="Q2"/>
    <x v="3"/>
    <x v="4"/>
    <x v="4"/>
    <x v="2"/>
    <x v="1"/>
    <x v="2"/>
    <x v="2"/>
    <n v="7"/>
    <m/>
    <n v="9518"/>
    <n v="0"/>
    <n v="3"/>
    <s v="Recovered"/>
    <n v="1"/>
  </r>
  <r>
    <s v="ADM-240978"/>
    <d v="2024-04-26T00:00:00"/>
    <d v="2024-05-03T00:00:00"/>
    <x v="0"/>
    <s v="Q2"/>
    <x v="3"/>
    <x v="4"/>
    <x v="2"/>
    <x v="0"/>
    <x v="0"/>
    <x v="1"/>
    <x v="0"/>
    <n v="7"/>
    <n v="56"/>
    <n v="5201"/>
    <n v="1"/>
    <n v="3"/>
    <s v="Improved"/>
    <n v="1"/>
  </r>
  <r>
    <s v="ADM-240979"/>
    <d v="2024-04-27T00:00:00"/>
    <d v="2024-05-05T00:00:00"/>
    <x v="0"/>
    <s v="Q2"/>
    <x v="3"/>
    <x v="5"/>
    <x v="1"/>
    <x v="2"/>
    <x v="1"/>
    <x v="4"/>
    <x v="2"/>
    <n v="8"/>
    <m/>
    <n v="7513"/>
    <n v="0"/>
    <n v="5"/>
    <s v="Improved"/>
    <n v="1"/>
  </r>
  <r>
    <s v="ADM-240980"/>
    <d v="2024-04-27T00:00:00"/>
    <d v="2024-05-01T00:00:00"/>
    <x v="0"/>
    <s v="Q2"/>
    <x v="3"/>
    <x v="5"/>
    <x v="1"/>
    <x v="2"/>
    <x v="1"/>
    <x v="4"/>
    <x v="1"/>
    <n v="4"/>
    <m/>
    <n v="3374"/>
    <n v="0"/>
    <n v="4"/>
    <s v="Recovered"/>
    <n v="1"/>
  </r>
  <r>
    <s v="ADM-240981"/>
    <d v="2024-04-27T00:00:00"/>
    <d v="2024-05-01T00:00:00"/>
    <x v="0"/>
    <s v="Q2"/>
    <x v="3"/>
    <x v="5"/>
    <x v="0"/>
    <x v="2"/>
    <x v="0"/>
    <x v="4"/>
    <x v="2"/>
    <n v="4"/>
    <m/>
    <n v="3195"/>
    <n v="0"/>
    <n v="5"/>
    <s v="Recovered"/>
    <n v="1"/>
  </r>
  <r>
    <s v="ADM-240982"/>
    <d v="2024-04-27T00:00:00"/>
    <d v="2024-04-29T00:00:00"/>
    <x v="0"/>
    <s v="Q2"/>
    <x v="3"/>
    <x v="5"/>
    <x v="3"/>
    <x v="0"/>
    <x v="0"/>
    <x v="3"/>
    <x v="2"/>
    <n v="2"/>
    <n v="63"/>
    <n v="1752"/>
    <n v="0"/>
    <n v="4"/>
    <s v="Transferred"/>
    <n v="1"/>
  </r>
  <r>
    <s v="ADM-240983"/>
    <d v="2024-04-27T00:00:00"/>
    <d v="2024-05-03T00:00:00"/>
    <x v="0"/>
    <s v="Q2"/>
    <x v="3"/>
    <x v="5"/>
    <x v="4"/>
    <x v="0"/>
    <x v="0"/>
    <x v="4"/>
    <x v="0"/>
    <n v="6"/>
    <n v="17"/>
    <n v="9503"/>
    <n v="0"/>
    <n v="4"/>
    <s v="Improved"/>
    <n v="1"/>
  </r>
  <r>
    <s v="ADM-240984"/>
    <d v="2024-04-28T00:00:00"/>
    <d v="2024-05-03T00:00:00"/>
    <x v="0"/>
    <s v="Q2"/>
    <x v="3"/>
    <x v="6"/>
    <x v="2"/>
    <x v="0"/>
    <x v="0"/>
    <x v="2"/>
    <x v="2"/>
    <n v="5"/>
    <n v="40"/>
    <n v="3933"/>
    <n v="0"/>
    <n v="5"/>
    <s v="Recovered"/>
    <n v="1"/>
  </r>
  <r>
    <s v="ADM-240985"/>
    <d v="2024-04-28T00:00:00"/>
    <d v="2024-05-05T00:00:00"/>
    <x v="0"/>
    <s v="Q2"/>
    <x v="3"/>
    <x v="6"/>
    <x v="5"/>
    <x v="2"/>
    <x v="0"/>
    <x v="0"/>
    <x v="1"/>
    <n v="7"/>
    <m/>
    <n v="8466"/>
    <n v="0"/>
    <n v="4"/>
    <s v="Improved"/>
    <n v="1"/>
  </r>
  <r>
    <s v="ADM-240986"/>
    <d v="2024-04-28T00:00:00"/>
    <d v="2024-04-30T00:00:00"/>
    <x v="0"/>
    <s v="Q2"/>
    <x v="3"/>
    <x v="6"/>
    <x v="1"/>
    <x v="2"/>
    <x v="1"/>
    <x v="2"/>
    <x v="2"/>
    <n v="2"/>
    <m/>
    <n v="3351"/>
    <n v="0"/>
    <n v="5"/>
    <s v="Improved"/>
    <n v="1"/>
  </r>
  <r>
    <s v="ADM-240987"/>
    <d v="2024-04-28T00:00:00"/>
    <d v="2024-05-05T00:00:00"/>
    <x v="0"/>
    <s v="Q2"/>
    <x v="3"/>
    <x v="6"/>
    <x v="1"/>
    <x v="2"/>
    <x v="0"/>
    <x v="1"/>
    <x v="2"/>
    <n v="7"/>
    <m/>
    <n v="8681"/>
    <n v="0"/>
    <n v="5"/>
    <s v="Recovered"/>
    <n v="1"/>
  </r>
  <r>
    <s v="ADM-240988"/>
    <d v="2024-04-28T00:00:00"/>
    <d v="2024-05-03T00:00:00"/>
    <x v="0"/>
    <s v="Q2"/>
    <x v="3"/>
    <x v="6"/>
    <x v="3"/>
    <x v="0"/>
    <x v="0"/>
    <x v="3"/>
    <x v="2"/>
    <n v="5"/>
    <n v="65"/>
    <n v="2649"/>
    <n v="0"/>
    <n v="4"/>
    <s v="Improved"/>
    <n v="1"/>
  </r>
  <r>
    <s v="ADM-240989"/>
    <d v="2024-04-28T00:00:00"/>
    <d v="2024-04-30T00:00:00"/>
    <x v="0"/>
    <s v="Q2"/>
    <x v="3"/>
    <x v="6"/>
    <x v="2"/>
    <x v="0"/>
    <x v="0"/>
    <x v="2"/>
    <x v="2"/>
    <n v="2"/>
    <n v="63"/>
    <n v="2061"/>
    <n v="0"/>
    <n v="4"/>
    <s v="Recovered"/>
    <n v="1"/>
  </r>
  <r>
    <s v="ADM-240990"/>
    <d v="2024-04-28T00:00:00"/>
    <d v="2024-05-01T00:00:00"/>
    <x v="0"/>
    <s v="Q2"/>
    <x v="3"/>
    <x v="6"/>
    <x v="0"/>
    <x v="0"/>
    <x v="1"/>
    <x v="0"/>
    <x v="1"/>
    <n v="3"/>
    <n v="26"/>
    <n v="2718"/>
    <n v="0"/>
    <n v="4"/>
    <s v="Recovered"/>
    <n v="1"/>
  </r>
  <r>
    <s v="ADM-240991"/>
    <d v="2024-04-29T00:00:00"/>
    <d v="2024-05-03T00:00:00"/>
    <x v="0"/>
    <s v="Q2"/>
    <x v="3"/>
    <x v="0"/>
    <x v="0"/>
    <x v="0"/>
    <x v="1"/>
    <x v="4"/>
    <x v="2"/>
    <n v="4"/>
    <n v="41"/>
    <n v="4014"/>
    <n v="1"/>
    <n v="4"/>
    <s v="Improved"/>
    <n v="1"/>
  </r>
  <r>
    <s v="ADM-240992"/>
    <d v="2024-04-29T00:00:00"/>
    <d v="2024-05-03T00:00:00"/>
    <x v="0"/>
    <s v="Q2"/>
    <x v="3"/>
    <x v="0"/>
    <x v="1"/>
    <x v="2"/>
    <x v="0"/>
    <x v="1"/>
    <x v="2"/>
    <n v="4"/>
    <m/>
    <n v="4316"/>
    <n v="0"/>
    <n v="4"/>
    <s v="Recovered"/>
    <n v="1"/>
  </r>
  <r>
    <s v="ADM-240993"/>
    <d v="2024-04-29T00:00:00"/>
    <d v="2024-05-03T00:00:00"/>
    <x v="0"/>
    <s v="Q2"/>
    <x v="3"/>
    <x v="0"/>
    <x v="5"/>
    <x v="2"/>
    <x v="1"/>
    <x v="4"/>
    <x v="2"/>
    <n v="4"/>
    <m/>
    <n v="4135"/>
    <n v="0"/>
    <n v="5"/>
    <s v="Recovered"/>
    <n v="1"/>
  </r>
  <r>
    <s v="ADM-240994"/>
    <d v="2024-04-29T00:00:00"/>
    <d v="2024-05-07T00:00:00"/>
    <x v="0"/>
    <s v="Q2"/>
    <x v="3"/>
    <x v="0"/>
    <x v="0"/>
    <x v="0"/>
    <x v="1"/>
    <x v="1"/>
    <x v="0"/>
    <n v="8"/>
    <n v="28"/>
    <n v="6917"/>
    <n v="0"/>
    <n v="3"/>
    <s v="Recovered"/>
    <n v="1"/>
  </r>
  <r>
    <s v="ADM-240995"/>
    <d v="2024-04-29T00:00:00"/>
    <d v="2024-05-01T00:00:00"/>
    <x v="0"/>
    <s v="Q2"/>
    <x v="3"/>
    <x v="0"/>
    <x v="5"/>
    <x v="2"/>
    <x v="0"/>
    <x v="2"/>
    <x v="0"/>
    <n v="2"/>
    <m/>
    <n v="2302"/>
    <n v="0"/>
    <n v="5"/>
    <s v="Recovered"/>
    <n v="1"/>
  </r>
  <r>
    <s v="ADM-240996"/>
    <d v="2024-04-29T00:00:00"/>
    <d v="2024-05-01T00:00:00"/>
    <x v="0"/>
    <s v="Q2"/>
    <x v="3"/>
    <x v="0"/>
    <x v="3"/>
    <x v="2"/>
    <x v="1"/>
    <x v="3"/>
    <x v="0"/>
    <n v="2"/>
    <m/>
    <n v="2249"/>
    <n v="0"/>
    <n v="4"/>
    <s v="Improved"/>
    <n v="1"/>
  </r>
  <r>
    <s v="ADM-240997"/>
    <d v="2024-04-29T00:00:00"/>
    <d v="2024-05-02T00:00:00"/>
    <x v="0"/>
    <s v="Q2"/>
    <x v="3"/>
    <x v="0"/>
    <x v="3"/>
    <x v="1"/>
    <x v="1"/>
    <x v="3"/>
    <x v="2"/>
    <n v="3"/>
    <m/>
    <n v="2089"/>
    <n v="0"/>
    <n v="5"/>
    <s v="Recovered"/>
    <n v="1"/>
  </r>
  <r>
    <s v="ADM-240998"/>
    <d v="2024-04-29T00:00:00"/>
    <d v="2024-05-03T00:00:00"/>
    <x v="0"/>
    <s v="Q2"/>
    <x v="3"/>
    <x v="0"/>
    <x v="1"/>
    <x v="2"/>
    <x v="0"/>
    <x v="4"/>
    <x v="0"/>
    <n v="4"/>
    <m/>
    <n v="4985"/>
    <n v="0"/>
    <n v="4"/>
    <s v="Transferred"/>
    <n v="1"/>
  </r>
  <r>
    <s v="ADM-240999"/>
    <d v="2024-04-30T00:00:00"/>
    <d v="2024-05-04T00:00:00"/>
    <x v="0"/>
    <s v="Q2"/>
    <x v="3"/>
    <x v="1"/>
    <x v="1"/>
    <x v="0"/>
    <x v="1"/>
    <x v="0"/>
    <x v="0"/>
    <n v="4"/>
    <n v="39"/>
    <n v="6208"/>
    <n v="0"/>
    <n v="4"/>
    <s v="Improved"/>
    <n v="1"/>
  </r>
  <r>
    <s v="ADM-241000"/>
    <d v="2024-04-30T00:00:00"/>
    <d v="2024-05-03T00:00:00"/>
    <x v="0"/>
    <s v="Q2"/>
    <x v="3"/>
    <x v="1"/>
    <x v="2"/>
    <x v="0"/>
    <x v="0"/>
    <x v="1"/>
    <x v="0"/>
    <n v="3"/>
    <n v="60"/>
    <n v="2996"/>
    <n v="0"/>
    <n v="4"/>
    <s v="Improved"/>
    <n v="1"/>
  </r>
  <r>
    <s v="ADM-241001"/>
    <d v="2024-04-30T00:00:00"/>
    <d v="2024-05-08T00:00:00"/>
    <x v="0"/>
    <s v="Q2"/>
    <x v="3"/>
    <x v="1"/>
    <x v="1"/>
    <x v="2"/>
    <x v="1"/>
    <x v="0"/>
    <x v="2"/>
    <n v="8"/>
    <m/>
    <n v="9657"/>
    <n v="0"/>
    <n v="3"/>
    <s v="Improved"/>
    <n v="1"/>
  </r>
  <r>
    <s v="ADM-241002"/>
    <d v="2024-04-30T00:00:00"/>
    <d v="2024-05-07T00:00:00"/>
    <x v="0"/>
    <s v="Q2"/>
    <x v="3"/>
    <x v="1"/>
    <x v="1"/>
    <x v="0"/>
    <x v="1"/>
    <x v="1"/>
    <x v="0"/>
    <n v="7"/>
    <n v="102"/>
    <n v="7969"/>
    <n v="0"/>
    <n v="3"/>
    <s v="Improved"/>
    <n v="1"/>
  </r>
  <r>
    <s v="ADM-241003"/>
    <d v="2024-04-30T00:00:00"/>
    <d v="2024-05-02T00:00:00"/>
    <x v="0"/>
    <s v="Q2"/>
    <x v="3"/>
    <x v="1"/>
    <x v="4"/>
    <x v="2"/>
    <x v="1"/>
    <x v="1"/>
    <x v="2"/>
    <n v="2"/>
    <m/>
    <n v="2966"/>
    <n v="0"/>
    <n v="5"/>
    <s v="Recovered"/>
    <n v="1"/>
  </r>
  <r>
    <s v="ADM-241004"/>
    <d v="2024-04-30T00:00:00"/>
    <d v="2024-05-11T00:00:00"/>
    <x v="0"/>
    <s v="Q2"/>
    <x v="3"/>
    <x v="1"/>
    <x v="1"/>
    <x v="2"/>
    <x v="0"/>
    <x v="0"/>
    <x v="2"/>
    <n v="11"/>
    <m/>
    <n v="14385"/>
    <n v="0"/>
    <n v="5"/>
    <s v="Recovered"/>
    <n v="1"/>
  </r>
  <r>
    <s v="ADM-241005"/>
    <d v="2024-04-30T00:00:00"/>
    <d v="2024-05-01T00:00:00"/>
    <x v="0"/>
    <s v="Q2"/>
    <x v="3"/>
    <x v="1"/>
    <x v="3"/>
    <x v="0"/>
    <x v="1"/>
    <x v="3"/>
    <x v="0"/>
    <n v="1"/>
    <n v="83"/>
    <n v="1461"/>
    <n v="0"/>
    <n v="5"/>
    <s v="Recovered"/>
    <n v="1"/>
  </r>
  <r>
    <s v="ADM-241006"/>
    <d v="2024-04-30T00:00:00"/>
    <d v="2024-05-01T00:00:00"/>
    <x v="0"/>
    <s v="Q2"/>
    <x v="3"/>
    <x v="1"/>
    <x v="3"/>
    <x v="0"/>
    <x v="1"/>
    <x v="3"/>
    <x v="2"/>
    <n v="1"/>
    <n v="54"/>
    <n v="1323"/>
    <n v="0"/>
    <n v="4"/>
    <s v="Recovered"/>
    <n v="1"/>
  </r>
  <r>
    <s v="ADM-241007"/>
    <d v="2024-05-01T00:00:00"/>
    <d v="2024-05-07T00:00:00"/>
    <x v="0"/>
    <s v="Q2"/>
    <x v="4"/>
    <x v="2"/>
    <x v="2"/>
    <x v="0"/>
    <x v="0"/>
    <x v="2"/>
    <x v="0"/>
    <n v="6"/>
    <n v="64"/>
    <n v="5077"/>
    <n v="0"/>
    <n v="4"/>
    <s v="Improved"/>
    <n v="1"/>
  </r>
  <r>
    <s v="ADM-241008"/>
    <d v="2024-05-01T00:00:00"/>
    <d v="2024-05-07T00:00:00"/>
    <x v="0"/>
    <s v="Q2"/>
    <x v="4"/>
    <x v="2"/>
    <x v="1"/>
    <x v="2"/>
    <x v="1"/>
    <x v="1"/>
    <x v="0"/>
    <n v="6"/>
    <m/>
    <n v="5996"/>
    <n v="0"/>
    <n v="4"/>
    <s v="Transferred"/>
    <n v="1"/>
  </r>
  <r>
    <s v="ADM-241009"/>
    <d v="2024-05-01T00:00:00"/>
    <d v="2024-05-08T00:00:00"/>
    <x v="0"/>
    <s v="Q2"/>
    <x v="4"/>
    <x v="2"/>
    <x v="4"/>
    <x v="0"/>
    <x v="0"/>
    <x v="0"/>
    <x v="0"/>
    <n v="7"/>
    <n v="51"/>
    <n v="9762"/>
    <n v="0"/>
    <n v="3"/>
    <s v="Recovered"/>
    <n v="1"/>
  </r>
  <r>
    <s v="ADM-241010"/>
    <d v="2024-05-01T00:00:00"/>
    <d v="2024-05-08T00:00:00"/>
    <x v="0"/>
    <s v="Q2"/>
    <x v="4"/>
    <x v="2"/>
    <x v="4"/>
    <x v="0"/>
    <x v="1"/>
    <x v="1"/>
    <x v="2"/>
    <n v="7"/>
    <n v="66"/>
    <n v="6620"/>
    <n v="0"/>
    <n v="5"/>
    <s v="Recovered"/>
    <n v="1"/>
  </r>
  <r>
    <s v="ADM-241011"/>
    <d v="2024-05-01T00:00:00"/>
    <d v="2024-05-09T00:00:00"/>
    <x v="0"/>
    <s v="Q2"/>
    <x v="4"/>
    <x v="2"/>
    <x v="0"/>
    <x v="2"/>
    <x v="1"/>
    <x v="0"/>
    <x v="1"/>
    <n v="8"/>
    <m/>
    <n v="6394"/>
    <n v="1"/>
    <n v="4"/>
    <s v="Improved"/>
    <n v="1"/>
  </r>
  <r>
    <s v="ADM-241012"/>
    <d v="2024-05-01T00:00:00"/>
    <d v="2024-05-06T00:00:00"/>
    <x v="0"/>
    <s v="Q2"/>
    <x v="4"/>
    <x v="2"/>
    <x v="2"/>
    <x v="0"/>
    <x v="0"/>
    <x v="2"/>
    <x v="1"/>
    <n v="5"/>
    <n v="146"/>
    <n v="4284"/>
    <n v="0"/>
    <n v="3"/>
    <s v="Recovered"/>
    <n v="1"/>
  </r>
  <r>
    <s v="ADM-241013"/>
    <d v="2024-05-01T00:00:00"/>
    <d v="2024-05-03T00:00:00"/>
    <x v="0"/>
    <s v="Q2"/>
    <x v="4"/>
    <x v="2"/>
    <x v="2"/>
    <x v="0"/>
    <x v="0"/>
    <x v="1"/>
    <x v="2"/>
    <n v="2"/>
    <n v="21"/>
    <n v="2287"/>
    <n v="0"/>
    <n v="4"/>
    <s v="Improved"/>
    <n v="1"/>
  </r>
  <r>
    <s v="ADM-241014"/>
    <d v="2024-05-01T00:00:00"/>
    <d v="2024-05-03T00:00:00"/>
    <x v="0"/>
    <s v="Q2"/>
    <x v="4"/>
    <x v="2"/>
    <x v="5"/>
    <x v="0"/>
    <x v="0"/>
    <x v="2"/>
    <x v="0"/>
    <n v="2"/>
    <n v="85"/>
    <n v="2143"/>
    <n v="0"/>
    <n v="4"/>
    <s v="Recovered"/>
    <n v="1"/>
  </r>
  <r>
    <s v="ADM-241015"/>
    <d v="2024-05-01T00:00:00"/>
    <d v="2024-05-06T00:00:00"/>
    <x v="0"/>
    <s v="Q2"/>
    <x v="4"/>
    <x v="2"/>
    <x v="4"/>
    <x v="0"/>
    <x v="0"/>
    <x v="4"/>
    <x v="2"/>
    <n v="5"/>
    <n v="13"/>
    <n v="7004"/>
    <n v="0"/>
    <n v="4"/>
    <s v="Recovered"/>
    <n v="1"/>
  </r>
  <r>
    <s v="ADM-241016"/>
    <d v="2024-05-01T00:00:00"/>
    <d v="2024-05-14T00:00:00"/>
    <x v="0"/>
    <s v="Q2"/>
    <x v="4"/>
    <x v="2"/>
    <x v="4"/>
    <x v="0"/>
    <x v="1"/>
    <x v="0"/>
    <x v="0"/>
    <n v="13"/>
    <n v="45"/>
    <n v="15415"/>
    <n v="0"/>
    <n v="3"/>
    <s v="Improved"/>
    <n v="1"/>
  </r>
  <r>
    <s v="ADM-241017"/>
    <d v="2024-05-01T00:00:00"/>
    <d v="2024-05-02T00:00:00"/>
    <x v="0"/>
    <s v="Q2"/>
    <x v="4"/>
    <x v="2"/>
    <x v="4"/>
    <x v="0"/>
    <x v="0"/>
    <x v="4"/>
    <x v="0"/>
    <n v="1"/>
    <n v="24"/>
    <n v="2552"/>
    <n v="1"/>
    <n v="3"/>
    <s v="Improved"/>
    <n v="1"/>
  </r>
  <r>
    <s v="ADM-241018"/>
    <d v="2024-05-01T00:00:00"/>
    <d v="2024-05-03T00:00:00"/>
    <x v="0"/>
    <s v="Q2"/>
    <x v="4"/>
    <x v="2"/>
    <x v="2"/>
    <x v="2"/>
    <x v="0"/>
    <x v="1"/>
    <x v="0"/>
    <n v="2"/>
    <m/>
    <n v="2417"/>
    <n v="0"/>
    <n v="5"/>
    <s v="Improved"/>
    <n v="1"/>
  </r>
  <r>
    <s v="ADM-241019"/>
    <d v="2024-05-01T00:00:00"/>
    <d v="2024-05-08T00:00:00"/>
    <x v="0"/>
    <s v="Q2"/>
    <x v="4"/>
    <x v="2"/>
    <x v="0"/>
    <x v="2"/>
    <x v="0"/>
    <x v="0"/>
    <x v="1"/>
    <n v="7"/>
    <m/>
    <n v="5578"/>
    <n v="0"/>
    <n v="4"/>
    <s v="Improved"/>
    <n v="1"/>
  </r>
  <r>
    <s v="ADM-241020"/>
    <d v="2024-05-01T00:00:00"/>
    <d v="2024-05-10T00:00:00"/>
    <x v="0"/>
    <s v="Q2"/>
    <x v="4"/>
    <x v="2"/>
    <x v="3"/>
    <x v="0"/>
    <x v="0"/>
    <x v="3"/>
    <x v="0"/>
    <n v="9"/>
    <n v="28"/>
    <n v="4869"/>
    <n v="0"/>
    <n v="4"/>
    <s v="Improved"/>
    <n v="1"/>
  </r>
  <r>
    <s v="ADM-241021"/>
    <d v="2024-05-02T00:00:00"/>
    <d v="2024-05-05T00:00:00"/>
    <x v="0"/>
    <s v="Q2"/>
    <x v="4"/>
    <x v="3"/>
    <x v="4"/>
    <x v="0"/>
    <x v="1"/>
    <x v="0"/>
    <x v="0"/>
    <n v="3"/>
    <n v="37"/>
    <n v="4229"/>
    <n v="0"/>
    <n v="5"/>
    <s v="Improved"/>
    <n v="1"/>
  </r>
  <r>
    <s v="ADM-241022"/>
    <d v="2024-05-02T00:00:00"/>
    <d v="2024-05-11T00:00:00"/>
    <x v="0"/>
    <s v="Q2"/>
    <x v="4"/>
    <x v="3"/>
    <x v="1"/>
    <x v="2"/>
    <x v="1"/>
    <x v="0"/>
    <x v="2"/>
    <n v="9"/>
    <m/>
    <n v="10021"/>
    <n v="0"/>
    <n v="5"/>
    <s v="Recovered"/>
    <n v="1"/>
  </r>
  <r>
    <s v="ADM-241023"/>
    <d v="2024-05-02T00:00:00"/>
    <d v="2024-05-13T00:00:00"/>
    <x v="0"/>
    <s v="Q2"/>
    <x v="4"/>
    <x v="3"/>
    <x v="1"/>
    <x v="2"/>
    <x v="1"/>
    <x v="0"/>
    <x v="2"/>
    <n v="11"/>
    <m/>
    <n v="10249"/>
    <n v="0"/>
    <n v="5"/>
    <s v="Transferred"/>
    <n v="1"/>
  </r>
  <r>
    <s v="ADM-241024"/>
    <d v="2024-05-02T00:00:00"/>
    <d v="2024-05-08T00:00:00"/>
    <x v="0"/>
    <s v="Q2"/>
    <x v="4"/>
    <x v="3"/>
    <x v="0"/>
    <x v="0"/>
    <x v="1"/>
    <x v="4"/>
    <x v="0"/>
    <n v="6"/>
    <n v="35"/>
    <n v="4337"/>
    <n v="1"/>
    <n v="4"/>
    <s v="Recovered"/>
    <n v="1"/>
  </r>
  <r>
    <s v="ADM-241025"/>
    <d v="2024-05-02T00:00:00"/>
    <d v="2024-05-13T00:00:00"/>
    <x v="0"/>
    <s v="Q2"/>
    <x v="4"/>
    <x v="3"/>
    <x v="4"/>
    <x v="0"/>
    <x v="0"/>
    <x v="4"/>
    <x v="0"/>
    <n v="11"/>
    <n v="51"/>
    <n v="13059"/>
    <n v="0"/>
    <n v="5"/>
    <s v="Recovered"/>
    <n v="1"/>
  </r>
  <r>
    <s v="ADM-241026"/>
    <d v="2024-05-02T00:00:00"/>
    <d v="2024-05-07T00:00:00"/>
    <x v="0"/>
    <s v="Q2"/>
    <x v="4"/>
    <x v="3"/>
    <x v="0"/>
    <x v="0"/>
    <x v="0"/>
    <x v="0"/>
    <x v="0"/>
    <n v="5"/>
    <n v="26"/>
    <n v="4530"/>
    <n v="1"/>
    <n v="4"/>
    <s v="Transferred"/>
    <n v="1"/>
  </r>
  <r>
    <s v="ADM-241027"/>
    <d v="2024-05-02T00:00:00"/>
    <d v="2024-05-05T00:00:00"/>
    <x v="0"/>
    <s v="Q2"/>
    <x v="4"/>
    <x v="3"/>
    <x v="1"/>
    <x v="0"/>
    <x v="0"/>
    <x v="0"/>
    <x v="0"/>
    <n v="3"/>
    <n v="75"/>
    <n v="4026"/>
    <n v="1"/>
    <n v="3"/>
    <s v="Recovered"/>
    <n v="1"/>
  </r>
  <r>
    <s v="ADM-241028"/>
    <d v="2024-05-02T00:00:00"/>
    <d v="2024-05-12T00:00:00"/>
    <x v="0"/>
    <s v="Q2"/>
    <x v="4"/>
    <x v="3"/>
    <x v="4"/>
    <x v="0"/>
    <x v="1"/>
    <x v="4"/>
    <x v="0"/>
    <n v="10"/>
    <n v="38"/>
    <n v="11944"/>
    <n v="0"/>
    <n v="4"/>
    <s v="Recovered"/>
    <n v="1"/>
  </r>
  <r>
    <s v="ADM-241029"/>
    <d v="2024-05-02T00:00:00"/>
    <d v="2024-05-06T00:00:00"/>
    <x v="0"/>
    <s v="Q2"/>
    <x v="4"/>
    <x v="3"/>
    <x v="1"/>
    <x v="2"/>
    <x v="1"/>
    <x v="4"/>
    <x v="2"/>
    <n v="4"/>
    <m/>
    <n v="5737"/>
    <n v="0"/>
    <n v="4"/>
    <s v="Recovered"/>
    <n v="1"/>
  </r>
  <r>
    <s v="ADM-241030"/>
    <d v="2024-05-03T00:00:00"/>
    <d v="2024-05-06T00:00:00"/>
    <x v="0"/>
    <s v="Q2"/>
    <x v="4"/>
    <x v="4"/>
    <x v="1"/>
    <x v="2"/>
    <x v="0"/>
    <x v="1"/>
    <x v="2"/>
    <n v="3"/>
    <m/>
    <n v="4793"/>
    <n v="0"/>
    <n v="4"/>
    <s v="Improved"/>
    <n v="1"/>
  </r>
  <r>
    <s v="ADM-241031"/>
    <d v="2024-05-03T00:00:00"/>
    <d v="2024-05-11T00:00:00"/>
    <x v="0"/>
    <s v="Q2"/>
    <x v="4"/>
    <x v="4"/>
    <x v="5"/>
    <x v="2"/>
    <x v="1"/>
    <x v="4"/>
    <x v="0"/>
    <n v="8"/>
    <m/>
    <n v="8083"/>
    <n v="1"/>
    <n v="4"/>
    <s v="Transferred"/>
    <n v="1"/>
  </r>
  <r>
    <s v="ADM-241032"/>
    <d v="2024-05-03T00:00:00"/>
    <d v="2024-05-06T00:00:00"/>
    <x v="0"/>
    <s v="Q2"/>
    <x v="4"/>
    <x v="4"/>
    <x v="4"/>
    <x v="0"/>
    <x v="1"/>
    <x v="1"/>
    <x v="2"/>
    <n v="3"/>
    <n v="183"/>
    <n v="3884"/>
    <n v="1"/>
    <n v="3"/>
    <s v="Recovered"/>
    <n v="1"/>
  </r>
  <r>
    <s v="ADM-241033"/>
    <d v="2024-05-03T00:00:00"/>
    <d v="2024-05-05T00:00:00"/>
    <x v="0"/>
    <s v="Q2"/>
    <x v="4"/>
    <x v="4"/>
    <x v="0"/>
    <x v="1"/>
    <x v="1"/>
    <x v="4"/>
    <x v="0"/>
    <n v="2"/>
    <m/>
    <n v="2941"/>
    <n v="0"/>
    <n v="5"/>
    <s v="Improved"/>
    <n v="1"/>
  </r>
  <r>
    <s v="ADM-241034"/>
    <d v="2024-05-03T00:00:00"/>
    <d v="2024-05-04T00:00:00"/>
    <x v="0"/>
    <s v="Q2"/>
    <x v="4"/>
    <x v="4"/>
    <x v="4"/>
    <x v="0"/>
    <x v="1"/>
    <x v="1"/>
    <x v="2"/>
    <n v="1"/>
    <n v="55"/>
    <n v="2251"/>
    <n v="0"/>
    <n v="4"/>
    <s v="Recovered"/>
    <n v="1"/>
  </r>
  <r>
    <s v="ADM-241035"/>
    <d v="2024-05-03T00:00:00"/>
    <d v="2024-05-04T00:00:00"/>
    <x v="0"/>
    <s v="Q2"/>
    <x v="4"/>
    <x v="4"/>
    <x v="3"/>
    <x v="0"/>
    <x v="0"/>
    <x v="3"/>
    <x v="2"/>
    <n v="1"/>
    <n v="76"/>
    <n v="1257"/>
    <n v="0"/>
    <n v="3"/>
    <s v="Improved"/>
    <n v="1"/>
  </r>
  <r>
    <s v="ADM-241036"/>
    <d v="2024-05-03T00:00:00"/>
    <d v="2024-05-08T00:00:00"/>
    <x v="0"/>
    <s v="Q2"/>
    <x v="4"/>
    <x v="4"/>
    <x v="1"/>
    <x v="2"/>
    <x v="0"/>
    <x v="4"/>
    <x v="2"/>
    <n v="5"/>
    <m/>
    <n v="6505"/>
    <n v="0"/>
    <n v="4"/>
    <s v="Recovered"/>
    <n v="1"/>
  </r>
  <r>
    <s v="ADM-241037"/>
    <d v="2024-05-03T00:00:00"/>
    <d v="2024-05-08T00:00:00"/>
    <x v="0"/>
    <s v="Q2"/>
    <x v="4"/>
    <x v="4"/>
    <x v="2"/>
    <x v="1"/>
    <x v="0"/>
    <x v="2"/>
    <x v="0"/>
    <n v="5"/>
    <m/>
    <n v="4047"/>
    <n v="0"/>
    <n v="5"/>
    <s v="Recovered"/>
    <n v="1"/>
  </r>
  <r>
    <s v="ADM-241038"/>
    <d v="2024-05-03T00:00:00"/>
    <d v="2024-05-06T00:00:00"/>
    <x v="0"/>
    <s v="Q2"/>
    <x v="4"/>
    <x v="4"/>
    <x v="4"/>
    <x v="0"/>
    <x v="1"/>
    <x v="1"/>
    <x v="2"/>
    <n v="3"/>
    <n v="96"/>
    <n v="4194"/>
    <n v="0"/>
    <n v="3"/>
    <s v="Recovered"/>
    <n v="1"/>
  </r>
  <r>
    <s v="ADM-241039"/>
    <d v="2024-05-03T00:00:00"/>
    <d v="2024-05-06T00:00:00"/>
    <x v="0"/>
    <s v="Q2"/>
    <x v="4"/>
    <x v="4"/>
    <x v="4"/>
    <x v="2"/>
    <x v="0"/>
    <x v="0"/>
    <x v="2"/>
    <n v="3"/>
    <m/>
    <n v="4381"/>
    <n v="0"/>
    <n v="4"/>
    <s v="Recovered"/>
    <n v="1"/>
  </r>
  <r>
    <s v="ADM-241040"/>
    <d v="2024-05-03T00:00:00"/>
    <d v="2024-05-05T00:00:00"/>
    <x v="0"/>
    <s v="Q2"/>
    <x v="4"/>
    <x v="4"/>
    <x v="1"/>
    <x v="2"/>
    <x v="1"/>
    <x v="2"/>
    <x v="0"/>
    <n v="2"/>
    <m/>
    <n v="2426"/>
    <n v="0"/>
    <n v="4"/>
    <s v="Recovered"/>
    <n v="1"/>
  </r>
  <r>
    <s v="ADM-241041"/>
    <d v="2024-05-04T00:00:00"/>
    <d v="2024-05-12T00:00:00"/>
    <x v="0"/>
    <s v="Q2"/>
    <x v="4"/>
    <x v="5"/>
    <x v="0"/>
    <x v="0"/>
    <x v="1"/>
    <x v="2"/>
    <x v="2"/>
    <n v="8"/>
    <n v="227"/>
    <n v="5832"/>
    <n v="0"/>
    <n v="4"/>
    <s v="Improved"/>
    <n v="1"/>
  </r>
  <r>
    <s v="ADM-241042"/>
    <d v="2024-05-04T00:00:00"/>
    <d v="2024-05-09T00:00:00"/>
    <x v="0"/>
    <s v="Q2"/>
    <x v="4"/>
    <x v="5"/>
    <x v="3"/>
    <x v="0"/>
    <x v="1"/>
    <x v="3"/>
    <x v="2"/>
    <n v="5"/>
    <n v="118"/>
    <n v="3551"/>
    <n v="0"/>
    <n v="3"/>
    <s v="Recovered"/>
    <n v="1"/>
  </r>
  <r>
    <s v="ADM-241043"/>
    <d v="2024-05-05T00:00:00"/>
    <d v="2024-05-08T00:00:00"/>
    <x v="0"/>
    <s v="Q2"/>
    <x v="4"/>
    <x v="6"/>
    <x v="1"/>
    <x v="2"/>
    <x v="1"/>
    <x v="1"/>
    <x v="0"/>
    <n v="3"/>
    <m/>
    <n v="4848"/>
    <n v="0"/>
    <n v="5"/>
    <s v="Improved"/>
    <n v="1"/>
  </r>
  <r>
    <s v="ADM-241044"/>
    <d v="2024-05-05T00:00:00"/>
    <d v="2024-05-06T00:00:00"/>
    <x v="0"/>
    <s v="Q2"/>
    <x v="4"/>
    <x v="6"/>
    <x v="2"/>
    <x v="0"/>
    <x v="0"/>
    <x v="2"/>
    <x v="0"/>
    <n v="1"/>
    <n v="48"/>
    <n v="1410"/>
    <n v="0"/>
    <n v="3"/>
    <s v="Recovered"/>
    <n v="1"/>
  </r>
  <r>
    <s v="ADM-241045"/>
    <d v="2024-05-05T00:00:00"/>
    <d v="2024-05-06T00:00:00"/>
    <x v="0"/>
    <s v="Q2"/>
    <x v="4"/>
    <x v="6"/>
    <x v="5"/>
    <x v="2"/>
    <x v="1"/>
    <x v="0"/>
    <x v="2"/>
    <n v="1"/>
    <m/>
    <n v="2166"/>
    <n v="0"/>
    <n v="4"/>
    <s v="Transferred"/>
    <n v="1"/>
  </r>
  <r>
    <s v="ADM-241046"/>
    <d v="2024-05-05T00:00:00"/>
    <d v="2024-05-12T00:00:00"/>
    <x v="0"/>
    <s v="Q2"/>
    <x v="4"/>
    <x v="6"/>
    <x v="4"/>
    <x v="0"/>
    <x v="0"/>
    <x v="4"/>
    <x v="0"/>
    <n v="7"/>
    <n v="112"/>
    <n v="10462"/>
    <n v="0"/>
    <n v="4"/>
    <s v="Recovered"/>
    <n v="1"/>
  </r>
  <r>
    <s v="ADM-241047"/>
    <d v="2024-05-06T00:00:00"/>
    <d v="2024-05-10T00:00:00"/>
    <x v="0"/>
    <s v="Q2"/>
    <x v="4"/>
    <x v="0"/>
    <x v="0"/>
    <x v="0"/>
    <x v="1"/>
    <x v="0"/>
    <x v="2"/>
    <n v="4"/>
    <n v="46"/>
    <n v="4091"/>
    <n v="0"/>
    <n v="4"/>
    <s v="Recovered"/>
    <n v="1"/>
  </r>
  <r>
    <s v="ADM-241048"/>
    <d v="2024-05-06T00:00:00"/>
    <d v="2024-05-14T00:00:00"/>
    <x v="0"/>
    <s v="Q2"/>
    <x v="4"/>
    <x v="0"/>
    <x v="5"/>
    <x v="2"/>
    <x v="1"/>
    <x v="0"/>
    <x v="0"/>
    <n v="8"/>
    <m/>
    <n v="7088"/>
    <n v="0"/>
    <n v="4"/>
    <s v="Recovered"/>
    <n v="1"/>
  </r>
  <r>
    <s v="ADM-241049"/>
    <d v="2024-05-06T00:00:00"/>
    <d v="2024-05-10T00:00:00"/>
    <x v="0"/>
    <s v="Q2"/>
    <x v="4"/>
    <x v="0"/>
    <x v="2"/>
    <x v="0"/>
    <x v="0"/>
    <x v="2"/>
    <x v="0"/>
    <n v="4"/>
    <n v="37"/>
    <n v="4044"/>
    <n v="0"/>
    <n v="5"/>
    <s v="Improved"/>
    <n v="1"/>
  </r>
  <r>
    <s v="ADM-241050"/>
    <d v="2024-05-06T00:00:00"/>
    <d v="2024-05-07T00:00:00"/>
    <x v="0"/>
    <s v="Q2"/>
    <x v="4"/>
    <x v="0"/>
    <x v="5"/>
    <x v="2"/>
    <x v="1"/>
    <x v="4"/>
    <x v="2"/>
    <n v="1"/>
    <m/>
    <n v="1796"/>
    <n v="0"/>
    <n v="4"/>
    <s v="Improved"/>
    <n v="1"/>
  </r>
  <r>
    <s v="ADM-241051"/>
    <d v="2024-05-06T00:00:00"/>
    <d v="2024-05-10T00:00:00"/>
    <x v="0"/>
    <s v="Q2"/>
    <x v="4"/>
    <x v="0"/>
    <x v="4"/>
    <x v="0"/>
    <x v="0"/>
    <x v="2"/>
    <x v="2"/>
    <n v="4"/>
    <n v="65"/>
    <n v="6008"/>
    <n v="0"/>
    <n v="4"/>
    <s v="Improved"/>
    <n v="1"/>
  </r>
  <r>
    <s v="ADM-241052"/>
    <d v="2024-05-06T00:00:00"/>
    <d v="2024-05-12T00:00:00"/>
    <x v="0"/>
    <s v="Q2"/>
    <x v="4"/>
    <x v="0"/>
    <x v="5"/>
    <x v="2"/>
    <x v="0"/>
    <x v="0"/>
    <x v="0"/>
    <n v="6"/>
    <m/>
    <n v="6633"/>
    <n v="0"/>
    <n v="5"/>
    <s v="Improved"/>
    <n v="1"/>
  </r>
  <r>
    <s v="ADM-241053"/>
    <d v="2024-05-06T00:00:00"/>
    <d v="2024-05-24T00:00:00"/>
    <x v="0"/>
    <s v="Q2"/>
    <x v="4"/>
    <x v="0"/>
    <x v="0"/>
    <x v="0"/>
    <x v="0"/>
    <x v="4"/>
    <x v="0"/>
    <n v="18"/>
    <n v="58"/>
    <n v="11207"/>
    <n v="0"/>
    <n v="3"/>
    <s v="Improved"/>
    <n v="1"/>
  </r>
  <r>
    <s v="ADM-241054"/>
    <d v="2024-05-07T00:00:00"/>
    <d v="2024-05-08T00:00:00"/>
    <x v="0"/>
    <s v="Q2"/>
    <x v="4"/>
    <x v="1"/>
    <x v="2"/>
    <x v="1"/>
    <x v="0"/>
    <x v="2"/>
    <x v="0"/>
    <n v="1"/>
    <m/>
    <n v="1409"/>
    <n v="0"/>
    <n v="4"/>
    <s v="Recovered"/>
    <n v="1"/>
  </r>
  <r>
    <s v="ADM-241055"/>
    <d v="2024-05-07T00:00:00"/>
    <d v="2024-05-09T00:00:00"/>
    <x v="0"/>
    <s v="Q2"/>
    <x v="4"/>
    <x v="1"/>
    <x v="2"/>
    <x v="0"/>
    <x v="0"/>
    <x v="2"/>
    <x v="2"/>
    <n v="2"/>
    <n v="47"/>
    <n v="2360"/>
    <n v="0"/>
    <n v="5"/>
    <s v="Recovered"/>
    <n v="1"/>
  </r>
  <r>
    <s v="ADM-241056"/>
    <d v="2024-05-07T00:00:00"/>
    <d v="2024-05-11T00:00:00"/>
    <x v="0"/>
    <s v="Q2"/>
    <x v="4"/>
    <x v="1"/>
    <x v="4"/>
    <x v="2"/>
    <x v="0"/>
    <x v="2"/>
    <x v="1"/>
    <n v="4"/>
    <m/>
    <n v="7051"/>
    <n v="0"/>
    <n v="5"/>
    <s v="Recovered"/>
    <n v="1"/>
  </r>
  <r>
    <s v="ADM-241057"/>
    <d v="2024-05-07T00:00:00"/>
    <d v="2024-05-13T00:00:00"/>
    <x v="0"/>
    <s v="Q2"/>
    <x v="4"/>
    <x v="1"/>
    <x v="3"/>
    <x v="0"/>
    <x v="1"/>
    <x v="3"/>
    <x v="2"/>
    <n v="6"/>
    <n v="13"/>
    <n v="4810"/>
    <n v="0"/>
    <n v="3"/>
    <s v="Recovered"/>
    <n v="1"/>
  </r>
  <r>
    <s v="ADM-241058"/>
    <d v="2024-05-07T00:00:00"/>
    <d v="2024-05-10T00:00:00"/>
    <x v="0"/>
    <s v="Q2"/>
    <x v="4"/>
    <x v="1"/>
    <x v="1"/>
    <x v="2"/>
    <x v="0"/>
    <x v="4"/>
    <x v="0"/>
    <n v="3"/>
    <m/>
    <n v="5026"/>
    <n v="0"/>
    <n v="5"/>
    <s v="Transferred"/>
    <n v="1"/>
  </r>
  <r>
    <s v="ADM-241059"/>
    <d v="2024-05-07T00:00:00"/>
    <d v="2024-05-12T00:00:00"/>
    <x v="0"/>
    <s v="Q2"/>
    <x v="4"/>
    <x v="1"/>
    <x v="2"/>
    <x v="0"/>
    <x v="0"/>
    <x v="2"/>
    <x v="2"/>
    <n v="5"/>
    <n v="32"/>
    <n v="4450"/>
    <n v="0"/>
    <n v="4"/>
    <s v="Improved"/>
    <n v="1"/>
  </r>
  <r>
    <s v="ADM-241060"/>
    <d v="2024-05-08T00:00:00"/>
    <d v="2024-05-20T00:00:00"/>
    <x v="0"/>
    <s v="Q2"/>
    <x v="4"/>
    <x v="2"/>
    <x v="0"/>
    <x v="2"/>
    <x v="1"/>
    <x v="1"/>
    <x v="0"/>
    <n v="12"/>
    <m/>
    <n v="7704"/>
    <n v="0"/>
    <n v="4"/>
    <s v="Recovered"/>
    <n v="1"/>
  </r>
  <r>
    <s v="ADM-241061"/>
    <d v="2024-05-08T00:00:00"/>
    <d v="2024-05-09T00:00:00"/>
    <x v="0"/>
    <s v="Q2"/>
    <x v="4"/>
    <x v="2"/>
    <x v="5"/>
    <x v="2"/>
    <x v="1"/>
    <x v="2"/>
    <x v="0"/>
    <n v="1"/>
    <m/>
    <n v="1911"/>
    <n v="0"/>
    <n v="4"/>
    <s v="Recovered"/>
    <n v="1"/>
  </r>
  <r>
    <s v="ADM-241062"/>
    <d v="2024-05-08T00:00:00"/>
    <d v="2024-05-11T00:00:00"/>
    <x v="0"/>
    <s v="Q2"/>
    <x v="4"/>
    <x v="2"/>
    <x v="4"/>
    <x v="2"/>
    <x v="1"/>
    <x v="1"/>
    <x v="2"/>
    <n v="3"/>
    <m/>
    <n v="3587"/>
    <n v="0"/>
    <n v="4"/>
    <s v="Recovered"/>
    <n v="1"/>
  </r>
  <r>
    <s v="ADM-241063"/>
    <d v="2024-05-08T00:00:00"/>
    <d v="2024-05-13T00:00:00"/>
    <x v="0"/>
    <s v="Q2"/>
    <x v="4"/>
    <x v="2"/>
    <x v="3"/>
    <x v="2"/>
    <x v="0"/>
    <x v="3"/>
    <x v="0"/>
    <n v="5"/>
    <m/>
    <n v="4092"/>
    <n v="0"/>
    <n v="3"/>
    <s v="Recovered"/>
    <n v="1"/>
  </r>
  <r>
    <s v="ADM-241064"/>
    <d v="2024-05-08T00:00:00"/>
    <d v="2024-05-12T00:00:00"/>
    <x v="0"/>
    <s v="Q2"/>
    <x v="4"/>
    <x v="2"/>
    <x v="3"/>
    <x v="0"/>
    <x v="0"/>
    <x v="3"/>
    <x v="0"/>
    <n v="4"/>
    <n v="28"/>
    <n v="3686"/>
    <n v="0"/>
    <n v="3"/>
    <s v="Improved"/>
    <n v="1"/>
  </r>
  <r>
    <s v="ADM-241065"/>
    <d v="2024-05-08T00:00:00"/>
    <d v="2024-05-10T00:00:00"/>
    <x v="0"/>
    <s v="Q2"/>
    <x v="4"/>
    <x v="2"/>
    <x v="5"/>
    <x v="2"/>
    <x v="1"/>
    <x v="2"/>
    <x v="0"/>
    <n v="2"/>
    <m/>
    <n v="2275"/>
    <n v="0"/>
    <n v="5"/>
    <s v="Recovered"/>
    <n v="1"/>
  </r>
  <r>
    <s v="ADM-241066"/>
    <d v="2024-05-08T00:00:00"/>
    <d v="2024-05-09T00:00:00"/>
    <x v="0"/>
    <s v="Q2"/>
    <x v="4"/>
    <x v="2"/>
    <x v="1"/>
    <x v="2"/>
    <x v="0"/>
    <x v="1"/>
    <x v="2"/>
    <n v="1"/>
    <m/>
    <n v="2337"/>
    <n v="0"/>
    <n v="3"/>
    <s v="Improved"/>
    <n v="1"/>
  </r>
  <r>
    <s v="ADM-241067"/>
    <d v="2024-05-09T00:00:00"/>
    <d v="2024-05-12T00:00:00"/>
    <x v="0"/>
    <s v="Q2"/>
    <x v="4"/>
    <x v="3"/>
    <x v="1"/>
    <x v="2"/>
    <x v="0"/>
    <x v="4"/>
    <x v="2"/>
    <n v="3"/>
    <m/>
    <n v="4147"/>
    <n v="0"/>
    <n v="4"/>
    <s v="Recovered"/>
    <n v="1"/>
  </r>
  <r>
    <s v="ADM-241068"/>
    <d v="2024-05-09T00:00:00"/>
    <d v="2024-05-10T00:00:00"/>
    <x v="0"/>
    <s v="Q2"/>
    <x v="4"/>
    <x v="3"/>
    <x v="2"/>
    <x v="0"/>
    <x v="0"/>
    <x v="2"/>
    <x v="0"/>
    <n v="1"/>
    <n v="78"/>
    <n v="1719"/>
    <n v="0"/>
    <n v="4"/>
    <s v="Recovered"/>
    <n v="1"/>
  </r>
  <r>
    <s v="ADM-241069"/>
    <d v="2024-05-09T00:00:00"/>
    <d v="2024-05-13T00:00:00"/>
    <x v="0"/>
    <s v="Q2"/>
    <x v="4"/>
    <x v="3"/>
    <x v="3"/>
    <x v="0"/>
    <x v="0"/>
    <x v="3"/>
    <x v="2"/>
    <n v="4"/>
    <n v="30"/>
    <n v="2742"/>
    <n v="0"/>
    <n v="5"/>
    <s v="Recovered"/>
    <n v="1"/>
  </r>
  <r>
    <s v="ADM-241070"/>
    <d v="2024-05-09T00:00:00"/>
    <d v="2024-05-13T00:00:00"/>
    <x v="0"/>
    <s v="Q2"/>
    <x v="4"/>
    <x v="3"/>
    <x v="2"/>
    <x v="0"/>
    <x v="0"/>
    <x v="1"/>
    <x v="2"/>
    <n v="4"/>
    <n v="31"/>
    <n v="3864"/>
    <n v="0"/>
    <n v="4"/>
    <s v="Recovered"/>
    <n v="1"/>
  </r>
  <r>
    <s v="ADM-241071"/>
    <d v="2024-05-09T00:00:00"/>
    <d v="2024-05-13T00:00:00"/>
    <x v="0"/>
    <s v="Q2"/>
    <x v="4"/>
    <x v="3"/>
    <x v="2"/>
    <x v="0"/>
    <x v="0"/>
    <x v="2"/>
    <x v="2"/>
    <n v="4"/>
    <n v="85"/>
    <n v="3583"/>
    <n v="0"/>
    <n v="4"/>
    <s v="Recovered"/>
    <n v="1"/>
  </r>
  <r>
    <s v="ADM-241072"/>
    <d v="2024-05-09T00:00:00"/>
    <d v="2024-05-19T00:00:00"/>
    <x v="0"/>
    <s v="Q2"/>
    <x v="4"/>
    <x v="3"/>
    <x v="0"/>
    <x v="0"/>
    <x v="0"/>
    <x v="0"/>
    <x v="0"/>
    <n v="10"/>
    <n v="54"/>
    <n v="6572"/>
    <n v="0"/>
    <n v="3"/>
    <s v="Recovered"/>
    <n v="1"/>
  </r>
  <r>
    <s v="ADM-241073"/>
    <d v="2024-05-09T00:00:00"/>
    <d v="2024-05-13T00:00:00"/>
    <x v="0"/>
    <s v="Q2"/>
    <x v="4"/>
    <x v="3"/>
    <x v="5"/>
    <x v="0"/>
    <x v="1"/>
    <x v="1"/>
    <x v="2"/>
    <n v="4"/>
    <n v="34"/>
    <n v="4418"/>
    <n v="0"/>
    <n v="2"/>
    <s v="Recovered"/>
    <n v="1"/>
  </r>
  <r>
    <s v="ADM-241074"/>
    <d v="2024-05-09T00:00:00"/>
    <d v="2024-05-14T00:00:00"/>
    <x v="0"/>
    <s v="Q2"/>
    <x v="4"/>
    <x v="3"/>
    <x v="2"/>
    <x v="0"/>
    <x v="0"/>
    <x v="1"/>
    <x v="2"/>
    <n v="5"/>
    <n v="14"/>
    <n v="3244"/>
    <n v="0"/>
    <n v="4"/>
    <s v="Recovered"/>
    <n v="1"/>
  </r>
  <r>
    <s v="ADM-241075"/>
    <d v="2024-05-09T00:00:00"/>
    <d v="2024-05-14T00:00:00"/>
    <x v="0"/>
    <s v="Q2"/>
    <x v="4"/>
    <x v="3"/>
    <x v="4"/>
    <x v="0"/>
    <x v="0"/>
    <x v="1"/>
    <x v="2"/>
    <n v="5"/>
    <n v="39"/>
    <n v="6689"/>
    <n v="0"/>
    <n v="4"/>
    <s v="Recovered"/>
    <n v="1"/>
  </r>
  <r>
    <s v="ADM-241076"/>
    <d v="2024-05-10T00:00:00"/>
    <d v="2024-05-13T00:00:00"/>
    <x v="0"/>
    <s v="Q2"/>
    <x v="4"/>
    <x v="4"/>
    <x v="3"/>
    <x v="0"/>
    <x v="1"/>
    <x v="3"/>
    <x v="0"/>
    <n v="3"/>
    <n v="112"/>
    <n v="2149"/>
    <n v="0"/>
    <n v="3"/>
    <s v="Recovered"/>
    <n v="1"/>
  </r>
  <r>
    <s v="ADM-241077"/>
    <d v="2024-05-10T00:00:00"/>
    <d v="2024-05-12T00:00:00"/>
    <x v="0"/>
    <s v="Q2"/>
    <x v="4"/>
    <x v="4"/>
    <x v="3"/>
    <x v="0"/>
    <x v="1"/>
    <x v="3"/>
    <x v="0"/>
    <n v="2"/>
    <n v="124"/>
    <n v="2275"/>
    <n v="0"/>
    <n v="3"/>
    <s v="Recovered"/>
    <n v="1"/>
  </r>
  <r>
    <s v="ADM-241078"/>
    <d v="2024-05-10T00:00:00"/>
    <d v="2024-05-14T00:00:00"/>
    <x v="0"/>
    <s v="Q2"/>
    <x v="4"/>
    <x v="4"/>
    <x v="4"/>
    <x v="0"/>
    <x v="1"/>
    <x v="4"/>
    <x v="2"/>
    <n v="4"/>
    <n v="42"/>
    <n v="7099"/>
    <n v="0"/>
    <n v="5"/>
    <s v="Recovered"/>
    <n v="1"/>
  </r>
  <r>
    <s v="ADM-241079"/>
    <d v="2024-05-10T00:00:00"/>
    <d v="2024-05-14T00:00:00"/>
    <x v="0"/>
    <s v="Q2"/>
    <x v="4"/>
    <x v="4"/>
    <x v="0"/>
    <x v="2"/>
    <x v="1"/>
    <x v="1"/>
    <x v="0"/>
    <n v="4"/>
    <m/>
    <n v="3822"/>
    <n v="0"/>
    <n v="5"/>
    <s v="Recovered"/>
    <n v="1"/>
  </r>
  <r>
    <s v="ADM-241080"/>
    <d v="2024-05-10T00:00:00"/>
    <d v="2024-05-13T00:00:00"/>
    <x v="0"/>
    <s v="Q2"/>
    <x v="4"/>
    <x v="4"/>
    <x v="4"/>
    <x v="2"/>
    <x v="0"/>
    <x v="4"/>
    <x v="2"/>
    <n v="3"/>
    <m/>
    <n v="5842"/>
    <n v="1"/>
    <n v="4"/>
    <s v="Improved"/>
    <n v="1"/>
  </r>
  <r>
    <s v="ADM-241081"/>
    <d v="2024-05-10T00:00:00"/>
    <d v="2024-05-12T00:00:00"/>
    <x v="0"/>
    <s v="Q2"/>
    <x v="4"/>
    <x v="4"/>
    <x v="3"/>
    <x v="0"/>
    <x v="1"/>
    <x v="3"/>
    <x v="0"/>
    <n v="2"/>
    <n v="175"/>
    <n v="2253"/>
    <n v="0"/>
    <n v="4"/>
    <s v="Recovered"/>
    <n v="1"/>
  </r>
  <r>
    <s v="ADM-241082"/>
    <d v="2024-05-10T00:00:00"/>
    <d v="2024-05-14T00:00:00"/>
    <x v="0"/>
    <s v="Q2"/>
    <x v="4"/>
    <x v="4"/>
    <x v="2"/>
    <x v="0"/>
    <x v="0"/>
    <x v="1"/>
    <x v="2"/>
    <n v="4"/>
    <n v="35"/>
    <n v="4214"/>
    <n v="0"/>
    <n v="4"/>
    <s v="Recovered"/>
    <n v="1"/>
  </r>
  <r>
    <s v="ADM-241083"/>
    <d v="2024-05-10T00:00:00"/>
    <d v="2024-05-13T00:00:00"/>
    <x v="0"/>
    <s v="Q2"/>
    <x v="4"/>
    <x v="4"/>
    <x v="5"/>
    <x v="1"/>
    <x v="1"/>
    <x v="4"/>
    <x v="0"/>
    <n v="3"/>
    <m/>
    <n v="3962"/>
    <n v="0"/>
    <n v="4"/>
    <s v="Recovered"/>
    <n v="1"/>
  </r>
  <r>
    <s v="ADM-241084"/>
    <d v="2024-05-10T00:00:00"/>
    <d v="2024-05-12T00:00:00"/>
    <x v="0"/>
    <s v="Q2"/>
    <x v="4"/>
    <x v="4"/>
    <x v="4"/>
    <x v="1"/>
    <x v="1"/>
    <x v="2"/>
    <x v="0"/>
    <n v="2"/>
    <m/>
    <n v="3635"/>
    <n v="0"/>
    <n v="5"/>
    <s v="Recovered"/>
    <n v="1"/>
  </r>
  <r>
    <s v="ADM-241085"/>
    <d v="2024-05-10T00:00:00"/>
    <d v="2024-05-11T00:00:00"/>
    <x v="0"/>
    <s v="Q2"/>
    <x v="4"/>
    <x v="4"/>
    <x v="1"/>
    <x v="2"/>
    <x v="1"/>
    <x v="4"/>
    <x v="0"/>
    <n v="1"/>
    <m/>
    <n v="1984"/>
    <n v="0"/>
    <n v="5"/>
    <s v="Recovered"/>
    <n v="1"/>
  </r>
  <r>
    <s v="ADM-241086"/>
    <d v="2024-05-10T00:00:00"/>
    <d v="2024-05-17T00:00:00"/>
    <x v="0"/>
    <s v="Q2"/>
    <x v="4"/>
    <x v="4"/>
    <x v="2"/>
    <x v="2"/>
    <x v="0"/>
    <x v="1"/>
    <x v="2"/>
    <n v="7"/>
    <m/>
    <n v="5789"/>
    <n v="0"/>
    <n v="4"/>
    <s v="Recovered"/>
    <n v="1"/>
  </r>
  <r>
    <s v="ADM-241087"/>
    <d v="2024-05-10T00:00:00"/>
    <d v="2024-05-15T00:00:00"/>
    <x v="0"/>
    <s v="Q2"/>
    <x v="4"/>
    <x v="4"/>
    <x v="0"/>
    <x v="0"/>
    <x v="1"/>
    <x v="4"/>
    <x v="2"/>
    <n v="5"/>
    <n v="85"/>
    <n v="4332"/>
    <n v="1"/>
    <n v="3"/>
    <s v="Improved"/>
    <n v="1"/>
  </r>
  <r>
    <s v="ADM-241088"/>
    <d v="2024-05-11T00:00:00"/>
    <d v="2024-05-18T00:00:00"/>
    <x v="0"/>
    <s v="Q2"/>
    <x v="4"/>
    <x v="5"/>
    <x v="4"/>
    <x v="0"/>
    <x v="1"/>
    <x v="0"/>
    <x v="0"/>
    <n v="7"/>
    <n v="57"/>
    <n v="9244"/>
    <n v="0"/>
    <n v="4"/>
    <s v="Recovered"/>
    <n v="1"/>
  </r>
  <r>
    <s v="ADM-241089"/>
    <d v="2024-05-11T00:00:00"/>
    <d v="2024-05-16T00:00:00"/>
    <x v="0"/>
    <s v="Q2"/>
    <x v="4"/>
    <x v="5"/>
    <x v="4"/>
    <x v="0"/>
    <x v="0"/>
    <x v="4"/>
    <x v="2"/>
    <n v="5"/>
    <n v="65"/>
    <n v="7210"/>
    <n v="0"/>
    <n v="5"/>
    <s v="Improved"/>
    <n v="1"/>
  </r>
  <r>
    <s v="ADM-241090"/>
    <d v="2024-05-11T00:00:00"/>
    <d v="2024-06-01T00:00:00"/>
    <x v="0"/>
    <s v="Q2"/>
    <x v="4"/>
    <x v="5"/>
    <x v="4"/>
    <x v="2"/>
    <x v="0"/>
    <x v="0"/>
    <x v="2"/>
    <n v="21"/>
    <m/>
    <n v="27904"/>
    <n v="0"/>
    <n v="4"/>
    <s v="Improved"/>
    <n v="1"/>
  </r>
  <r>
    <s v="ADM-241091"/>
    <d v="2024-05-11T00:00:00"/>
    <d v="2024-05-22T00:00:00"/>
    <x v="0"/>
    <s v="Q2"/>
    <x v="4"/>
    <x v="5"/>
    <x v="0"/>
    <x v="2"/>
    <x v="1"/>
    <x v="4"/>
    <x v="2"/>
    <n v="11"/>
    <m/>
    <n v="7653"/>
    <n v="0"/>
    <n v="4"/>
    <s v="Improved"/>
    <n v="1"/>
  </r>
  <r>
    <s v="ADM-241092"/>
    <d v="2024-05-12T00:00:00"/>
    <d v="2024-05-16T00:00:00"/>
    <x v="0"/>
    <s v="Q2"/>
    <x v="4"/>
    <x v="6"/>
    <x v="3"/>
    <x v="0"/>
    <x v="0"/>
    <x v="3"/>
    <x v="2"/>
    <n v="4"/>
    <n v="37"/>
    <n v="2578"/>
    <n v="0"/>
    <n v="4"/>
    <s v="Recovered"/>
    <n v="1"/>
  </r>
  <r>
    <s v="ADM-241093"/>
    <d v="2024-05-12T00:00:00"/>
    <d v="2024-05-19T00:00:00"/>
    <x v="0"/>
    <s v="Q2"/>
    <x v="4"/>
    <x v="6"/>
    <x v="2"/>
    <x v="1"/>
    <x v="0"/>
    <x v="2"/>
    <x v="0"/>
    <n v="7"/>
    <m/>
    <n v="4541"/>
    <n v="0"/>
    <n v="5"/>
    <s v="Improved"/>
    <n v="1"/>
  </r>
  <r>
    <s v="ADM-241094"/>
    <d v="2024-05-12T00:00:00"/>
    <d v="2024-05-13T00:00:00"/>
    <x v="0"/>
    <s v="Q2"/>
    <x v="4"/>
    <x v="6"/>
    <x v="5"/>
    <x v="2"/>
    <x v="0"/>
    <x v="0"/>
    <x v="2"/>
    <n v="1"/>
    <m/>
    <n v="1571"/>
    <n v="0"/>
    <n v="5"/>
    <s v="Transferred"/>
    <n v="1"/>
  </r>
  <r>
    <s v="ADM-241095"/>
    <d v="2024-05-12T00:00:00"/>
    <d v="2024-05-14T00:00:00"/>
    <x v="0"/>
    <s v="Q2"/>
    <x v="4"/>
    <x v="6"/>
    <x v="1"/>
    <x v="2"/>
    <x v="1"/>
    <x v="0"/>
    <x v="0"/>
    <n v="2"/>
    <m/>
    <n v="3374"/>
    <n v="0"/>
    <n v="5"/>
    <s v="Recovered"/>
    <n v="1"/>
  </r>
  <r>
    <s v="ADM-241096"/>
    <d v="2024-05-12T00:00:00"/>
    <d v="2024-05-15T00:00:00"/>
    <x v="0"/>
    <s v="Q2"/>
    <x v="4"/>
    <x v="6"/>
    <x v="0"/>
    <x v="1"/>
    <x v="0"/>
    <x v="4"/>
    <x v="2"/>
    <n v="3"/>
    <m/>
    <n v="2724"/>
    <n v="0"/>
    <n v="4"/>
    <s v="Recovered"/>
    <n v="1"/>
  </r>
  <r>
    <s v="ADM-241097"/>
    <d v="2024-05-13T00:00:00"/>
    <d v="2024-05-25T00:00:00"/>
    <x v="0"/>
    <s v="Q2"/>
    <x v="4"/>
    <x v="0"/>
    <x v="0"/>
    <x v="0"/>
    <x v="0"/>
    <x v="1"/>
    <x v="0"/>
    <n v="12"/>
    <n v="47"/>
    <n v="10963"/>
    <n v="0"/>
    <n v="4"/>
    <s v="Deceased"/>
    <n v="1"/>
  </r>
  <r>
    <s v="ADM-241098"/>
    <d v="2024-05-13T00:00:00"/>
    <d v="2024-05-17T00:00:00"/>
    <x v="0"/>
    <s v="Q2"/>
    <x v="4"/>
    <x v="0"/>
    <x v="2"/>
    <x v="0"/>
    <x v="0"/>
    <x v="2"/>
    <x v="0"/>
    <n v="4"/>
    <n v="37"/>
    <n v="2788"/>
    <n v="0"/>
    <n v="5"/>
    <s v="Recovered"/>
    <n v="1"/>
  </r>
  <r>
    <s v="ADM-241099"/>
    <d v="2024-05-13T00:00:00"/>
    <d v="2024-05-15T00:00:00"/>
    <x v="0"/>
    <s v="Q2"/>
    <x v="4"/>
    <x v="0"/>
    <x v="4"/>
    <x v="0"/>
    <x v="0"/>
    <x v="1"/>
    <x v="0"/>
    <n v="2"/>
    <n v="36"/>
    <n v="3671"/>
    <n v="0"/>
    <n v="5"/>
    <s v="Recovered"/>
    <n v="1"/>
  </r>
  <r>
    <s v="ADM-241100"/>
    <d v="2024-05-13T00:00:00"/>
    <d v="2024-05-14T00:00:00"/>
    <x v="0"/>
    <s v="Q2"/>
    <x v="4"/>
    <x v="0"/>
    <x v="5"/>
    <x v="2"/>
    <x v="0"/>
    <x v="1"/>
    <x v="2"/>
    <n v="1"/>
    <m/>
    <n v="2145"/>
    <n v="1"/>
    <n v="3"/>
    <s v="Improved"/>
    <n v="1"/>
  </r>
  <r>
    <s v="ADM-241101"/>
    <d v="2024-05-13T00:00:00"/>
    <d v="2024-05-14T00:00:00"/>
    <x v="0"/>
    <s v="Q2"/>
    <x v="4"/>
    <x v="0"/>
    <x v="3"/>
    <x v="0"/>
    <x v="1"/>
    <x v="3"/>
    <x v="2"/>
    <n v="1"/>
    <n v="54"/>
    <n v="1214"/>
    <n v="0"/>
    <n v="5"/>
    <s v="Recovered"/>
    <n v="1"/>
  </r>
  <r>
    <s v="ADM-241102"/>
    <d v="2024-05-13T00:00:00"/>
    <d v="2024-05-17T00:00:00"/>
    <x v="0"/>
    <s v="Q2"/>
    <x v="4"/>
    <x v="0"/>
    <x v="0"/>
    <x v="0"/>
    <x v="1"/>
    <x v="1"/>
    <x v="0"/>
    <n v="4"/>
    <n v="62"/>
    <n v="3756"/>
    <n v="1"/>
    <n v="4"/>
    <s v="Recovered"/>
    <n v="1"/>
  </r>
  <r>
    <s v="ADM-241103"/>
    <d v="2024-05-13T00:00:00"/>
    <d v="2024-05-19T00:00:00"/>
    <x v="0"/>
    <s v="Q2"/>
    <x v="4"/>
    <x v="0"/>
    <x v="5"/>
    <x v="2"/>
    <x v="1"/>
    <x v="4"/>
    <x v="2"/>
    <n v="6"/>
    <m/>
    <n v="5719"/>
    <n v="0"/>
    <n v="4"/>
    <s v="Improved"/>
    <n v="1"/>
  </r>
  <r>
    <s v="ADM-241104"/>
    <d v="2024-05-14T00:00:00"/>
    <d v="2024-05-25T00:00:00"/>
    <x v="0"/>
    <s v="Q2"/>
    <x v="4"/>
    <x v="1"/>
    <x v="0"/>
    <x v="0"/>
    <x v="1"/>
    <x v="0"/>
    <x v="0"/>
    <n v="11"/>
    <n v="25"/>
    <n v="8222"/>
    <n v="0"/>
    <n v="3"/>
    <s v="Improved"/>
    <n v="1"/>
  </r>
  <r>
    <s v="ADM-241105"/>
    <d v="2024-05-14T00:00:00"/>
    <d v="2024-05-23T00:00:00"/>
    <x v="0"/>
    <s v="Q2"/>
    <x v="4"/>
    <x v="1"/>
    <x v="0"/>
    <x v="2"/>
    <x v="0"/>
    <x v="0"/>
    <x v="2"/>
    <n v="9"/>
    <m/>
    <n v="6722"/>
    <n v="0"/>
    <n v="4"/>
    <s v="Improved"/>
    <n v="1"/>
  </r>
  <r>
    <s v="ADM-241106"/>
    <d v="2024-05-14T00:00:00"/>
    <d v="2024-05-22T00:00:00"/>
    <x v="0"/>
    <s v="Q2"/>
    <x v="4"/>
    <x v="1"/>
    <x v="0"/>
    <x v="0"/>
    <x v="0"/>
    <x v="2"/>
    <x v="2"/>
    <n v="8"/>
    <n v="34"/>
    <n v="4882"/>
    <n v="0"/>
    <n v="5"/>
    <s v="Recovered"/>
    <n v="1"/>
  </r>
  <r>
    <s v="ADM-241107"/>
    <d v="2024-05-14T00:00:00"/>
    <d v="2024-05-16T00:00:00"/>
    <x v="0"/>
    <s v="Q2"/>
    <x v="4"/>
    <x v="1"/>
    <x v="3"/>
    <x v="0"/>
    <x v="1"/>
    <x v="3"/>
    <x v="0"/>
    <n v="2"/>
    <n v="20"/>
    <n v="2158"/>
    <n v="1"/>
    <n v="3"/>
    <s v="Improved"/>
    <n v="1"/>
  </r>
  <r>
    <s v="ADM-241108"/>
    <d v="2024-05-14T00:00:00"/>
    <d v="2024-05-21T00:00:00"/>
    <x v="0"/>
    <s v="Q2"/>
    <x v="4"/>
    <x v="1"/>
    <x v="0"/>
    <x v="0"/>
    <x v="1"/>
    <x v="0"/>
    <x v="1"/>
    <n v="7"/>
    <n v="69"/>
    <n v="5885"/>
    <n v="0"/>
    <n v="5"/>
    <s v="Recovered"/>
    <n v="1"/>
  </r>
  <r>
    <s v="ADM-241109"/>
    <d v="2024-05-14T00:00:00"/>
    <d v="2024-05-15T00:00:00"/>
    <x v="0"/>
    <s v="Q2"/>
    <x v="4"/>
    <x v="1"/>
    <x v="3"/>
    <x v="1"/>
    <x v="0"/>
    <x v="3"/>
    <x v="2"/>
    <n v="1"/>
    <m/>
    <n v="2006"/>
    <n v="0"/>
    <n v="5"/>
    <s v="Transferred"/>
    <n v="1"/>
  </r>
  <r>
    <s v="ADM-241110"/>
    <d v="2024-05-14T00:00:00"/>
    <d v="2024-05-18T00:00:00"/>
    <x v="0"/>
    <s v="Q2"/>
    <x v="4"/>
    <x v="1"/>
    <x v="0"/>
    <x v="0"/>
    <x v="0"/>
    <x v="0"/>
    <x v="1"/>
    <n v="4"/>
    <n v="30"/>
    <n v="3995"/>
    <n v="0"/>
    <n v="5"/>
    <s v="Recovered"/>
    <n v="1"/>
  </r>
  <r>
    <s v="ADM-241111"/>
    <d v="2024-05-15T00:00:00"/>
    <d v="2024-05-17T00:00:00"/>
    <x v="0"/>
    <s v="Q2"/>
    <x v="4"/>
    <x v="2"/>
    <x v="0"/>
    <x v="2"/>
    <x v="0"/>
    <x v="0"/>
    <x v="2"/>
    <n v="2"/>
    <m/>
    <n v="2156"/>
    <n v="0"/>
    <n v="5"/>
    <s v="Recovered"/>
    <n v="1"/>
  </r>
  <r>
    <s v="ADM-241112"/>
    <d v="2024-05-15T00:00:00"/>
    <d v="2024-05-24T00:00:00"/>
    <x v="0"/>
    <s v="Q2"/>
    <x v="4"/>
    <x v="2"/>
    <x v="4"/>
    <x v="0"/>
    <x v="1"/>
    <x v="4"/>
    <x v="0"/>
    <n v="9"/>
    <n v="111"/>
    <n v="11141"/>
    <n v="0"/>
    <n v="3"/>
    <s v="Deceased"/>
    <n v="1"/>
  </r>
  <r>
    <s v="ADM-241113"/>
    <d v="2024-05-15T00:00:00"/>
    <d v="2024-05-17T00:00:00"/>
    <x v="0"/>
    <s v="Q2"/>
    <x v="4"/>
    <x v="2"/>
    <x v="0"/>
    <x v="0"/>
    <x v="0"/>
    <x v="4"/>
    <x v="2"/>
    <n v="2"/>
    <n v="21"/>
    <n v="2102"/>
    <n v="0"/>
    <n v="5"/>
    <s v="Recovered"/>
    <n v="1"/>
  </r>
  <r>
    <s v="ADM-241114"/>
    <d v="2024-05-15T00:00:00"/>
    <d v="2024-05-16T00:00:00"/>
    <x v="0"/>
    <s v="Q2"/>
    <x v="4"/>
    <x v="2"/>
    <x v="3"/>
    <x v="0"/>
    <x v="0"/>
    <x v="3"/>
    <x v="2"/>
    <n v="1"/>
    <n v="42"/>
    <n v="1550"/>
    <n v="0"/>
    <n v="4"/>
    <s v="Recovered"/>
    <n v="1"/>
  </r>
  <r>
    <s v="ADM-241115"/>
    <d v="2024-05-15T00:00:00"/>
    <d v="2024-05-20T00:00:00"/>
    <x v="0"/>
    <s v="Q2"/>
    <x v="4"/>
    <x v="2"/>
    <x v="0"/>
    <x v="2"/>
    <x v="0"/>
    <x v="2"/>
    <x v="2"/>
    <n v="5"/>
    <m/>
    <n v="3667"/>
    <n v="0"/>
    <n v="4"/>
    <s v="Recovered"/>
    <n v="1"/>
  </r>
  <r>
    <s v="ADM-241116"/>
    <d v="2024-05-16T00:00:00"/>
    <d v="2024-05-26T00:00:00"/>
    <x v="0"/>
    <s v="Q2"/>
    <x v="4"/>
    <x v="3"/>
    <x v="0"/>
    <x v="0"/>
    <x v="1"/>
    <x v="0"/>
    <x v="0"/>
    <n v="10"/>
    <n v="72"/>
    <n v="5566"/>
    <n v="0"/>
    <n v="4"/>
    <s v="Transferred"/>
    <n v="1"/>
  </r>
  <r>
    <s v="ADM-241117"/>
    <d v="2024-05-16T00:00:00"/>
    <d v="2024-05-21T00:00:00"/>
    <x v="0"/>
    <s v="Q2"/>
    <x v="4"/>
    <x v="3"/>
    <x v="3"/>
    <x v="2"/>
    <x v="0"/>
    <x v="3"/>
    <x v="2"/>
    <n v="5"/>
    <m/>
    <n v="4512"/>
    <n v="0"/>
    <n v="4"/>
    <s v="Recovered"/>
    <n v="1"/>
  </r>
  <r>
    <s v="ADM-241118"/>
    <d v="2024-05-16T00:00:00"/>
    <d v="2024-05-17T00:00:00"/>
    <x v="0"/>
    <s v="Q2"/>
    <x v="4"/>
    <x v="3"/>
    <x v="1"/>
    <x v="2"/>
    <x v="1"/>
    <x v="1"/>
    <x v="1"/>
    <n v="1"/>
    <m/>
    <n v="2098"/>
    <n v="0"/>
    <n v="4"/>
    <s v="Deceased"/>
    <n v="1"/>
  </r>
  <r>
    <s v="ADM-241119"/>
    <d v="2024-05-16T00:00:00"/>
    <d v="2024-05-20T00:00:00"/>
    <x v="0"/>
    <s v="Q2"/>
    <x v="4"/>
    <x v="3"/>
    <x v="0"/>
    <x v="0"/>
    <x v="1"/>
    <x v="0"/>
    <x v="0"/>
    <n v="4"/>
    <n v="56"/>
    <n v="3466"/>
    <n v="0"/>
    <n v="5"/>
    <s v="Recovered"/>
    <n v="1"/>
  </r>
  <r>
    <s v="ADM-241120"/>
    <d v="2024-05-16T00:00:00"/>
    <d v="2024-05-21T00:00:00"/>
    <x v="0"/>
    <s v="Q2"/>
    <x v="4"/>
    <x v="3"/>
    <x v="0"/>
    <x v="2"/>
    <x v="0"/>
    <x v="4"/>
    <x v="2"/>
    <n v="5"/>
    <m/>
    <n v="2882"/>
    <n v="0"/>
    <n v="5"/>
    <s v="Recovered"/>
    <n v="1"/>
  </r>
  <r>
    <s v="ADM-241121"/>
    <d v="2024-05-17T00:00:00"/>
    <d v="2024-05-26T00:00:00"/>
    <x v="0"/>
    <s v="Q2"/>
    <x v="4"/>
    <x v="4"/>
    <x v="1"/>
    <x v="0"/>
    <x v="1"/>
    <x v="2"/>
    <x v="2"/>
    <n v="9"/>
    <n v="98"/>
    <n v="9117"/>
    <n v="0"/>
    <n v="3"/>
    <s v="Recovered"/>
    <n v="1"/>
  </r>
  <r>
    <s v="ADM-241122"/>
    <d v="2024-05-17T00:00:00"/>
    <d v="2024-05-27T00:00:00"/>
    <x v="0"/>
    <s v="Q2"/>
    <x v="4"/>
    <x v="4"/>
    <x v="4"/>
    <x v="0"/>
    <x v="1"/>
    <x v="4"/>
    <x v="2"/>
    <n v="10"/>
    <n v="16"/>
    <n v="13898"/>
    <n v="0"/>
    <n v="5"/>
    <s v="Transferred"/>
    <n v="1"/>
  </r>
  <r>
    <s v="ADM-241123"/>
    <d v="2024-05-17T00:00:00"/>
    <d v="2024-05-28T00:00:00"/>
    <x v="0"/>
    <s v="Q2"/>
    <x v="4"/>
    <x v="4"/>
    <x v="4"/>
    <x v="0"/>
    <x v="1"/>
    <x v="2"/>
    <x v="0"/>
    <n v="11"/>
    <n v="91"/>
    <n v="19729"/>
    <n v="1"/>
    <n v="3"/>
    <s v="Recovered"/>
    <n v="1"/>
  </r>
  <r>
    <s v="ADM-241124"/>
    <d v="2024-05-17T00:00:00"/>
    <d v="2024-05-24T00:00:00"/>
    <x v="0"/>
    <s v="Q2"/>
    <x v="4"/>
    <x v="4"/>
    <x v="0"/>
    <x v="2"/>
    <x v="1"/>
    <x v="0"/>
    <x v="1"/>
    <n v="7"/>
    <m/>
    <n v="4052"/>
    <n v="0"/>
    <n v="4"/>
    <s v="Improved"/>
    <n v="1"/>
  </r>
  <r>
    <s v="ADM-241125"/>
    <d v="2024-05-17T00:00:00"/>
    <d v="2024-05-22T00:00:00"/>
    <x v="0"/>
    <s v="Q2"/>
    <x v="4"/>
    <x v="4"/>
    <x v="5"/>
    <x v="2"/>
    <x v="0"/>
    <x v="4"/>
    <x v="0"/>
    <n v="5"/>
    <m/>
    <n v="7023"/>
    <n v="0"/>
    <n v="4"/>
    <s v="Recovered"/>
    <n v="1"/>
  </r>
  <r>
    <s v="ADM-241126"/>
    <d v="2024-05-17T00:00:00"/>
    <d v="2024-05-20T00:00:00"/>
    <x v="0"/>
    <s v="Q2"/>
    <x v="4"/>
    <x v="4"/>
    <x v="2"/>
    <x v="0"/>
    <x v="0"/>
    <x v="1"/>
    <x v="0"/>
    <n v="3"/>
    <n v="70"/>
    <n v="3261"/>
    <n v="0"/>
    <n v="5"/>
    <s v="Recovered"/>
    <n v="1"/>
  </r>
  <r>
    <s v="ADM-241127"/>
    <d v="2024-05-17T00:00:00"/>
    <d v="2024-05-26T00:00:00"/>
    <x v="0"/>
    <s v="Q2"/>
    <x v="4"/>
    <x v="4"/>
    <x v="0"/>
    <x v="0"/>
    <x v="1"/>
    <x v="0"/>
    <x v="0"/>
    <n v="9"/>
    <n v="75"/>
    <n v="5349"/>
    <n v="0"/>
    <n v="4"/>
    <s v="Transferred"/>
    <n v="1"/>
  </r>
  <r>
    <s v="ADM-241128"/>
    <d v="2024-05-17T00:00:00"/>
    <d v="2024-05-18T00:00:00"/>
    <x v="0"/>
    <s v="Q2"/>
    <x v="4"/>
    <x v="4"/>
    <x v="2"/>
    <x v="0"/>
    <x v="0"/>
    <x v="2"/>
    <x v="2"/>
    <n v="1"/>
    <n v="101"/>
    <n v="1489"/>
    <n v="0"/>
    <n v="3"/>
    <s v="Recovered"/>
    <n v="1"/>
  </r>
  <r>
    <s v="ADM-241129"/>
    <d v="2024-05-18T00:00:00"/>
    <d v="2024-05-22T00:00:00"/>
    <x v="0"/>
    <s v="Q2"/>
    <x v="4"/>
    <x v="5"/>
    <x v="5"/>
    <x v="0"/>
    <x v="1"/>
    <x v="4"/>
    <x v="2"/>
    <n v="4"/>
    <n v="26"/>
    <n v="4279"/>
    <n v="0"/>
    <n v="5"/>
    <s v="Improved"/>
    <n v="1"/>
  </r>
  <r>
    <s v="ADM-241130"/>
    <d v="2024-05-18T00:00:00"/>
    <d v="2024-05-22T00:00:00"/>
    <x v="0"/>
    <s v="Q2"/>
    <x v="4"/>
    <x v="5"/>
    <x v="5"/>
    <x v="2"/>
    <x v="1"/>
    <x v="0"/>
    <x v="0"/>
    <n v="4"/>
    <m/>
    <n v="4938"/>
    <n v="0"/>
    <n v="4"/>
    <s v="Improved"/>
    <n v="1"/>
  </r>
  <r>
    <s v="ADM-241131"/>
    <d v="2024-05-18T00:00:00"/>
    <d v="2024-05-19T00:00:00"/>
    <x v="0"/>
    <s v="Q2"/>
    <x v="4"/>
    <x v="5"/>
    <x v="2"/>
    <x v="2"/>
    <x v="0"/>
    <x v="1"/>
    <x v="0"/>
    <n v="1"/>
    <m/>
    <n v="1091"/>
    <n v="0"/>
    <n v="5"/>
    <s v="Recovered"/>
    <n v="1"/>
  </r>
  <r>
    <s v="ADM-241132"/>
    <d v="2024-05-18T00:00:00"/>
    <d v="2024-05-20T00:00:00"/>
    <x v="0"/>
    <s v="Q2"/>
    <x v="4"/>
    <x v="5"/>
    <x v="3"/>
    <x v="0"/>
    <x v="0"/>
    <x v="3"/>
    <x v="2"/>
    <n v="2"/>
    <n v="124"/>
    <n v="1949"/>
    <n v="0"/>
    <n v="4"/>
    <s v="Recovered"/>
    <n v="1"/>
  </r>
  <r>
    <s v="ADM-241133"/>
    <d v="2024-05-18T00:00:00"/>
    <d v="2024-05-21T00:00:00"/>
    <x v="0"/>
    <s v="Q2"/>
    <x v="4"/>
    <x v="5"/>
    <x v="4"/>
    <x v="0"/>
    <x v="0"/>
    <x v="4"/>
    <x v="0"/>
    <n v="3"/>
    <n v="144"/>
    <n v="3110"/>
    <n v="0"/>
    <n v="3"/>
    <s v="Recovered"/>
    <n v="1"/>
  </r>
  <r>
    <s v="ADM-241134"/>
    <d v="2024-05-18T00:00:00"/>
    <d v="2024-05-21T00:00:00"/>
    <x v="0"/>
    <s v="Q2"/>
    <x v="4"/>
    <x v="5"/>
    <x v="1"/>
    <x v="2"/>
    <x v="0"/>
    <x v="1"/>
    <x v="0"/>
    <n v="3"/>
    <m/>
    <n v="3930"/>
    <n v="0"/>
    <n v="5"/>
    <s v="Improved"/>
    <n v="1"/>
  </r>
  <r>
    <s v="ADM-241135"/>
    <d v="2024-05-18T00:00:00"/>
    <d v="2024-05-24T00:00:00"/>
    <x v="0"/>
    <s v="Q2"/>
    <x v="4"/>
    <x v="5"/>
    <x v="4"/>
    <x v="0"/>
    <x v="1"/>
    <x v="4"/>
    <x v="2"/>
    <n v="6"/>
    <n v="61"/>
    <n v="8994"/>
    <n v="0"/>
    <n v="4"/>
    <s v="Recovered"/>
    <n v="1"/>
  </r>
  <r>
    <s v="ADM-241136"/>
    <d v="2024-05-18T00:00:00"/>
    <d v="2024-05-22T00:00:00"/>
    <x v="0"/>
    <s v="Q2"/>
    <x v="4"/>
    <x v="5"/>
    <x v="2"/>
    <x v="0"/>
    <x v="0"/>
    <x v="2"/>
    <x v="0"/>
    <n v="4"/>
    <n v="10"/>
    <n v="3374"/>
    <n v="0"/>
    <n v="4"/>
    <s v="Improved"/>
    <n v="1"/>
  </r>
  <r>
    <s v="ADM-241137"/>
    <d v="2024-05-19T00:00:00"/>
    <d v="2024-05-22T00:00:00"/>
    <x v="0"/>
    <s v="Q2"/>
    <x v="4"/>
    <x v="6"/>
    <x v="5"/>
    <x v="2"/>
    <x v="0"/>
    <x v="4"/>
    <x v="2"/>
    <n v="3"/>
    <m/>
    <n v="3424"/>
    <n v="0"/>
    <n v="4"/>
    <s v="Improved"/>
    <n v="1"/>
  </r>
  <r>
    <s v="ADM-241138"/>
    <d v="2024-05-19T00:00:00"/>
    <d v="2024-05-23T00:00:00"/>
    <x v="0"/>
    <s v="Q2"/>
    <x v="4"/>
    <x v="6"/>
    <x v="4"/>
    <x v="0"/>
    <x v="0"/>
    <x v="0"/>
    <x v="1"/>
    <n v="4"/>
    <n v="61"/>
    <n v="4553"/>
    <n v="0"/>
    <n v="4"/>
    <s v="Improved"/>
    <n v="1"/>
  </r>
  <r>
    <s v="ADM-241139"/>
    <d v="2024-05-19T00:00:00"/>
    <d v="2024-05-31T00:00:00"/>
    <x v="0"/>
    <s v="Q2"/>
    <x v="4"/>
    <x v="6"/>
    <x v="0"/>
    <x v="0"/>
    <x v="1"/>
    <x v="4"/>
    <x v="2"/>
    <n v="12"/>
    <n v="43"/>
    <n v="11662"/>
    <n v="0"/>
    <n v="4"/>
    <s v="Improved"/>
    <n v="1"/>
  </r>
  <r>
    <s v="ADM-241140"/>
    <d v="2024-05-20T00:00:00"/>
    <d v="2024-05-25T00:00:00"/>
    <x v="0"/>
    <s v="Q2"/>
    <x v="4"/>
    <x v="0"/>
    <x v="1"/>
    <x v="2"/>
    <x v="0"/>
    <x v="0"/>
    <x v="2"/>
    <n v="5"/>
    <m/>
    <n v="5169"/>
    <n v="0"/>
    <n v="4"/>
    <s v="Improved"/>
    <n v="1"/>
  </r>
  <r>
    <s v="ADM-241141"/>
    <d v="2024-05-20T00:00:00"/>
    <d v="2024-05-25T00:00:00"/>
    <x v="0"/>
    <s v="Q2"/>
    <x v="4"/>
    <x v="0"/>
    <x v="2"/>
    <x v="2"/>
    <x v="0"/>
    <x v="2"/>
    <x v="1"/>
    <n v="5"/>
    <m/>
    <n v="3773"/>
    <n v="0"/>
    <n v="5"/>
    <s v="Recovered"/>
    <n v="1"/>
  </r>
  <r>
    <s v="ADM-241142"/>
    <d v="2024-05-20T00:00:00"/>
    <d v="2024-05-25T00:00:00"/>
    <x v="0"/>
    <s v="Q2"/>
    <x v="4"/>
    <x v="0"/>
    <x v="3"/>
    <x v="0"/>
    <x v="0"/>
    <x v="3"/>
    <x v="1"/>
    <n v="5"/>
    <n v="40"/>
    <n v="3029"/>
    <n v="0"/>
    <n v="4"/>
    <s v="Recovered"/>
    <n v="1"/>
  </r>
  <r>
    <s v="ADM-241143"/>
    <d v="2024-05-20T00:00:00"/>
    <d v="2024-05-30T00:00:00"/>
    <x v="0"/>
    <s v="Q2"/>
    <x v="4"/>
    <x v="0"/>
    <x v="0"/>
    <x v="0"/>
    <x v="0"/>
    <x v="4"/>
    <x v="2"/>
    <n v="10"/>
    <n v="50"/>
    <n v="7749"/>
    <n v="0"/>
    <n v="4"/>
    <s v="Recovered"/>
    <n v="1"/>
  </r>
  <r>
    <s v="ADM-241144"/>
    <d v="2024-05-20T00:00:00"/>
    <d v="2024-05-23T00:00:00"/>
    <x v="0"/>
    <s v="Q2"/>
    <x v="4"/>
    <x v="0"/>
    <x v="4"/>
    <x v="2"/>
    <x v="0"/>
    <x v="0"/>
    <x v="0"/>
    <n v="3"/>
    <m/>
    <n v="3787"/>
    <n v="0"/>
    <n v="4"/>
    <s v="Recovered"/>
    <n v="1"/>
  </r>
  <r>
    <s v="ADM-241145"/>
    <d v="2024-05-20T00:00:00"/>
    <d v="2024-05-24T00:00:00"/>
    <x v="0"/>
    <s v="Q2"/>
    <x v="4"/>
    <x v="0"/>
    <x v="3"/>
    <x v="0"/>
    <x v="0"/>
    <x v="3"/>
    <x v="2"/>
    <n v="4"/>
    <n v="56"/>
    <n v="3488"/>
    <n v="0"/>
    <n v="3"/>
    <s v="Recovered"/>
    <n v="1"/>
  </r>
  <r>
    <s v="ADM-241146"/>
    <d v="2024-05-21T00:00:00"/>
    <d v="2024-06-05T00:00:00"/>
    <x v="0"/>
    <s v="Q2"/>
    <x v="4"/>
    <x v="1"/>
    <x v="1"/>
    <x v="2"/>
    <x v="0"/>
    <x v="0"/>
    <x v="0"/>
    <n v="15"/>
    <m/>
    <n v="15124"/>
    <n v="0"/>
    <n v="4"/>
    <s v="Improved"/>
    <n v="1"/>
  </r>
  <r>
    <s v="ADM-241147"/>
    <d v="2024-05-21T00:00:00"/>
    <d v="2024-05-26T00:00:00"/>
    <x v="0"/>
    <s v="Q2"/>
    <x v="4"/>
    <x v="1"/>
    <x v="0"/>
    <x v="0"/>
    <x v="1"/>
    <x v="4"/>
    <x v="2"/>
    <n v="5"/>
    <n v="80"/>
    <n v="2896"/>
    <n v="1"/>
    <n v="4"/>
    <s v="Improved"/>
    <n v="1"/>
  </r>
  <r>
    <s v="ADM-241148"/>
    <d v="2024-05-21T00:00:00"/>
    <d v="2024-05-28T00:00:00"/>
    <x v="0"/>
    <s v="Q2"/>
    <x v="4"/>
    <x v="1"/>
    <x v="1"/>
    <x v="0"/>
    <x v="0"/>
    <x v="4"/>
    <x v="0"/>
    <n v="7"/>
    <n v="33"/>
    <n v="8103"/>
    <n v="0"/>
    <n v="4"/>
    <s v="Recovered"/>
    <n v="1"/>
  </r>
  <r>
    <s v="ADM-241149"/>
    <d v="2024-05-21T00:00:00"/>
    <d v="2024-05-25T00:00:00"/>
    <x v="0"/>
    <s v="Q2"/>
    <x v="4"/>
    <x v="1"/>
    <x v="1"/>
    <x v="1"/>
    <x v="1"/>
    <x v="2"/>
    <x v="0"/>
    <n v="4"/>
    <m/>
    <n v="4748"/>
    <n v="0"/>
    <n v="5"/>
    <s v="Deceased"/>
    <n v="1"/>
  </r>
  <r>
    <s v="ADM-241150"/>
    <d v="2024-05-21T00:00:00"/>
    <d v="2024-05-22T00:00:00"/>
    <x v="0"/>
    <s v="Q2"/>
    <x v="4"/>
    <x v="1"/>
    <x v="3"/>
    <x v="0"/>
    <x v="0"/>
    <x v="3"/>
    <x v="2"/>
    <n v="1"/>
    <n v="74"/>
    <n v="1652"/>
    <n v="0"/>
    <n v="4"/>
    <s v="Recovered"/>
    <n v="1"/>
  </r>
  <r>
    <s v="ADM-241151"/>
    <d v="2024-05-21T00:00:00"/>
    <d v="2024-05-26T00:00:00"/>
    <x v="0"/>
    <s v="Q2"/>
    <x v="4"/>
    <x v="1"/>
    <x v="2"/>
    <x v="0"/>
    <x v="0"/>
    <x v="2"/>
    <x v="2"/>
    <n v="5"/>
    <n v="60"/>
    <n v="4358"/>
    <n v="0"/>
    <n v="5"/>
    <s v="Recovered"/>
    <n v="1"/>
  </r>
  <r>
    <s v="ADM-241152"/>
    <d v="2024-05-21T00:00:00"/>
    <d v="2024-05-23T00:00:00"/>
    <x v="0"/>
    <s v="Q2"/>
    <x v="4"/>
    <x v="1"/>
    <x v="2"/>
    <x v="0"/>
    <x v="0"/>
    <x v="2"/>
    <x v="0"/>
    <n v="2"/>
    <n v="133"/>
    <n v="2336"/>
    <n v="0"/>
    <n v="3"/>
    <s v="Recovered"/>
    <n v="1"/>
  </r>
  <r>
    <s v="ADM-241153"/>
    <d v="2024-05-22T00:00:00"/>
    <d v="2024-05-25T00:00:00"/>
    <x v="0"/>
    <s v="Q2"/>
    <x v="4"/>
    <x v="2"/>
    <x v="2"/>
    <x v="2"/>
    <x v="0"/>
    <x v="2"/>
    <x v="2"/>
    <n v="3"/>
    <m/>
    <n v="2631"/>
    <n v="0"/>
    <n v="4"/>
    <s v="Recovered"/>
    <n v="1"/>
  </r>
  <r>
    <s v="ADM-241154"/>
    <d v="2024-05-22T00:00:00"/>
    <d v="2024-06-05T00:00:00"/>
    <x v="0"/>
    <s v="Q2"/>
    <x v="4"/>
    <x v="2"/>
    <x v="0"/>
    <x v="0"/>
    <x v="1"/>
    <x v="0"/>
    <x v="2"/>
    <n v="14"/>
    <n v="139"/>
    <n v="9146"/>
    <n v="0"/>
    <n v="3"/>
    <s v="Recovered"/>
    <n v="1"/>
  </r>
  <r>
    <s v="ADM-241155"/>
    <d v="2024-05-22T00:00:00"/>
    <d v="2024-05-25T00:00:00"/>
    <x v="0"/>
    <s v="Q2"/>
    <x v="4"/>
    <x v="2"/>
    <x v="0"/>
    <x v="0"/>
    <x v="0"/>
    <x v="0"/>
    <x v="2"/>
    <n v="3"/>
    <n v="33"/>
    <n v="2610"/>
    <n v="0"/>
    <n v="4"/>
    <s v="Improved"/>
    <n v="1"/>
  </r>
  <r>
    <s v="ADM-241156"/>
    <d v="2024-05-22T00:00:00"/>
    <d v="2024-05-23T00:00:00"/>
    <x v="0"/>
    <s v="Q2"/>
    <x v="4"/>
    <x v="2"/>
    <x v="1"/>
    <x v="2"/>
    <x v="1"/>
    <x v="2"/>
    <x v="0"/>
    <n v="1"/>
    <m/>
    <n v="1902"/>
    <n v="0"/>
    <n v="4"/>
    <s v="Improved"/>
    <n v="1"/>
  </r>
  <r>
    <s v="ADM-241157"/>
    <d v="2024-05-22T00:00:00"/>
    <d v="2024-05-24T00:00:00"/>
    <x v="0"/>
    <s v="Q2"/>
    <x v="4"/>
    <x v="2"/>
    <x v="3"/>
    <x v="0"/>
    <x v="0"/>
    <x v="3"/>
    <x v="0"/>
    <n v="2"/>
    <n v="51"/>
    <n v="2088"/>
    <n v="0"/>
    <n v="4"/>
    <s v="Recovered"/>
    <n v="1"/>
  </r>
  <r>
    <s v="ADM-241158"/>
    <d v="2024-05-22T00:00:00"/>
    <d v="2024-05-25T00:00:00"/>
    <x v="0"/>
    <s v="Q2"/>
    <x v="4"/>
    <x v="2"/>
    <x v="3"/>
    <x v="0"/>
    <x v="0"/>
    <x v="3"/>
    <x v="2"/>
    <n v="3"/>
    <n v="24"/>
    <n v="2887"/>
    <n v="0"/>
    <n v="5"/>
    <s v="Improved"/>
    <n v="1"/>
  </r>
  <r>
    <s v="ADM-241159"/>
    <d v="2024-05-22T00:00:00"/>
    <d v="2024-05-24T00:00:00"/>
    <x v="0"/>
    <s v="Q2"/>
    <x v="4"/>
    <x v="2"/>
    <x v="2"/>
    <x v="0"/>
    <x v="0"/>
    <x v="2"/>
    <x v="2"/>
    <n v="2"/>
    <n v="103"/>
    <n v="2447"/>
    <n v="0"/>
    <n v="5"/>
    <s v="Improved"/>
    <n v="1"/>
  </r>
  <r>
    <s v="ADM-241160"/>
    <d v="2024-05-23T00:00:00"/>
    <d v="2024-06-06T00:00:00"/>
    <x v="0"/>
    <s v="Q2"/>
    <x v="4"/>
    <x v="3"/>
    <x v="4"/>
    <x v="0"/>
    <x v="0"/>
    <x v="0"/>
    <x v="0"/>
    <n v="14"/>
    <n v="27"/>
    <n v="26049"/>
    <n v="1"/>
    <n v="4"/>
    <s v="Recovered"/>
    <n v="1"/>
  </r>
  <r>
    <s v="ADM-241161"/>
    <d v="2024-05-23T00:00:00"/>
    <d v="2024-05-29T00:00:00"/>
    <x v="0"/>
    <s v="Q2"/>
    <x v="4"/>
    <x v="3"/>
    <x v="3"/>
    <x v="0"/>
    <x v="0"/>
    <x v="3"/>
    <x v="2"/>
    <n v="6"/>
    <n v="29"/>
    <n v="4103"/>
    <n v="0"/>
    <n v="4"/>
    <s v="Improved"/>
    <n v="1"/>
  </r>
  <r>
    <s v="ADM-241162"/>
    <d v="2024-05-23T00:00:00"/>
    <d v="2024-06-14T00:00:00"/>
    <x v="0"/>
    <s v="Q2"/>
    <x v="4"/>
    <x v="3"/>
    <x v="4"/>
    <x v="0"/>
    <x v="0"/>
    <x v="0"/>
    <x v="0"/>
    <n v="22"/>
    <n v="60"/>
    <n v="23087"/>
    <n v="0"/>
    <n v="5"/>
    <s v="Recovered"/>
    <n v="1"/>
  </r>
  <r>
    <s v="ADM-241163"/>
    <d v="2024-05-24T00:00:00"/>
    <d v="2024-05-29T00:00:00"/>
    <x v="0"/>
    <s v="Q2"/>
    <x v="4"/>
    <x v="4"/>
    <x v="1"/>
    <x v="2"/>
    <x v="1"/>
    <x v="0"/>
    <x v="2"/>
    <n v="5"/>
    <m/>
    <n v="5269"/>
    <n v="0"/>
    <n v="3"/>
    <s v="Recovered"/>
    <n v="1"/>
  </r>
  <r>
    <s v="ADM-241164"/>
    <d v="2024-05-24T00:00:00"/>
    <d v="2024-05-26T00:00:00"/>
    <x v="0"/>
    <s v="Q2"/>
    <x v="4"/>
    <x v="4"/>
    <x v="3"/>
    <x v="0"/>
    <x v="1"/>
    <x v="3"/>
    <x v="1"/>
    <n v="2"/>
    <n v="20"/>
    <n v="1882"/>
    <n v="0"/>
    <n v="4"/>
    <s v="Recovered"/>
    <n v="1"/>
  </r>
  <r>
    <s v="ADM-241165"/>
    <d v="2024-05-24T00:00:00"/>
    <d v="2024-05-26T00:00:00"/>
    <x v="0"/>
    <s v="Q2"/>
    <x v="4"/>
    <x v="4"/>
    <x v="2"/>
    <x v="2"/>
    <x v="0"/>
    <x v="1"/>
    <x v="2"/>
    <n v="2"/>
    <m/>
    <n v="2418"/>
    <n v="0"/>
    <n v="3"/>
    <s v="Recovered"/>
    <n v="1"/>
  </r>
  <r>
    <s v="ADM-241166"/>
    <d v="2024-05-24T00:00:00"/>
    <d v="2024-05-31T00:00:00"/>
    <x v="0"/>
    <s v="Q2"/>
    <x v="4"/>
    <x v="4"/>
    <x v="4"/>
    <x v="0"/>
    <x v="1"/>
    <x v="1"/>
    <x v="2"/>
    <n v="7"/>
    <n v="54"/>
    <n v="8395"/>
    <n v="0"/>
    <n v="5"/>
    <s v="Recovered"/>
    <n v="1"/>
  </r>
  <r>
    <s v="ADM-241167"/>
    <d v="2024-05-24T00:00:00"/>
    <d v="2024-05-26T00:00:00"/>
    <x v="0"/>
    <s v="Q2"/>
    <x v="4"/>
    <x v="4"/>
    <x v="2"/>
    <x v="0"/>
    <x v="0"/>
    <x v="2"/>
    <x v="0"/>
    <n v="2"/>
    <n v="60"/>
    <n v="2321"/>
    <n v="0"/>
    <n v="5"/>
    <s v="Recovered"/>
    <n v="1"/>
  </r>
  <r>
    <s v="ADM-241168"/>
    <d v="2024-05-24T00:00:00"/>
    <d v="2024-05-27T00:00:00"/>
    <x v="0"/>
    <s v="Q2"/>
    <x v="4"/>
    <x v="4"/>
    <x v="4"/>
    <x v="2"/>
    <x v="1"/>
    <x v="4"/>
    <x v="2"/>
    <n v="3"/>
    <m/>
    <n v="3814"/>
    <n v="0"/>
    <n v="3"/>
    <s v="Improved"/>
    <n v="1"/>
  </r>
  <r>
    <s v="ADM-241169"/>
    <d v="2024-05-25T00:00:00"/>
    <d v="2024-05-31T00:00:00"/>
    <x v="0"/>
    <s v="Q2"/>
    <x v="4"/>
    <x v="5"/>
    <x v="4"/>
    <x v="0"/>
    <x v="0"/>
    <x v="1"/>
    <x v="0"/>
    <n v="6"/>
    <n v="41"/>
    <n v="6454"/>
    <n v="0"/>
    <n v="4"/>
    <s v="Recovered"/>
    <n v="1"/>
  </r>
  <r>
    <s v="ADM-241170"/>
    <d v="2024-05-25T00:00:00"/>
    <d v="2024-05-30T00:00:00"/>
    <x v="0"/>
    <s v="Q2"/>
    <x v="4"/>
    <x v="5"/>
    <x v="5"/>
    <x v="2"/>
    <x v="1"/>
    <x v="0"/>
    <x v="1"/>
    <n v="5"/>
    <m/>
    <n v="5519"/>
    <n v="0"/>
    <n v="5"/>
    <s v="Improved"/>
    <n v="1"/>
  </r>
  <r>
    <s v="ADM-241171"/>
    <d v="2024-05-26T00:00:00"/>
    <d v="2024-05-30T00:00:00"/>
    <x v="0"/>
    <s v="Q2"/>
    <x v="4"/>
    <x v="6"/>
    <x v="1"/>
    <x v="0"/>
    <x v="1"/>
    <x v="0"/>
    <x v="0"/>
    <n v="4"/>
    <n v="43"/>
    <n v="4808"/>
    <n v="0"/>
    <n v="5"/>
    <s v="Improved"/>
    <n v="1"/>
  </r>
  <r>
    <s v="ADM-241172"/>
    <d v="2024-05-26T00:00:00"/>
    <d v="2024-06-01T00:00:00"/>
    <x v="0"/>
    <s v="Q2"/>
    <x v="4"/>
    <x v="6"/>
    <x v="0"/>
    <x v="1"/>
    <x v="0"/>
    <x v="1"/>
    <x v="1"/>
    <n v="6"/>
    <m/>
    <n v="3931"/>
    <n v="0"/>
    <n v="4"/>
    <s v="Improved"/>
    <n v="1"/>
  </r>
  <r>
    <s v="ADM-241173"/>
    <d v="2024-05-27T00:00:00"/>
    <d v="2024-05-28T00:00:00"/>
    <x v="0"/>
    <s v="Q2"/>
    <x v="4"/>
    <x v="0"/>
    <x v="5"/>
    <x v="0"/>
    <x v="0"/>
    <x v="1"/>
    <x v="1"/>
    <n v="1"/>
    <n v="60"/>
    <n v="2241"/>
    <n v="0"/>
    <n v="5"/>
    <s v="Recovered"/>
    <n v="1"/>
  </r>
  <r>
    <s v="ADM-241174"/>
    <d v="2024-05-27T00:00:00"/>
    <d v="2024-06-02T00:00:00"/>
    <x v="0"/>
    <s v="Q2"/>
    <x v="4"/>
    <x v="0"/>
    <x v="3"/>
    <x v="0"/>
    <x v="1"/>
    <x v="3"/>
    <x v="0"/>
    <n v="6"/>
    <n v="27"/>
    <n v="4978"/>
    <n v="0"/>
    <n v="5"/>
    <s v="Recovered"/>
    <n v="1"/>
  </r>
  <r>
    <s v="ADM-241175"/>
    <d v="2024-05-27T00:00:00"/>
    <d v="2024-06-08T00:00:00"/>
    <x v="0"/>
    <s v="Q2"/>
    <x v="4"/>
    <x v="0"/>
    <x v="4"/>
    <x v="0"/>
    <x v="1"/>
    <x v="0"/>
    <x v="0"/>
    <n v="12"/>
    <n v="49"/>
    <n v="13436"/>
    <n v="1"/>
    <n v="5"/>
    <s v="Recovered"/>
    <n v="1"/>
  </r>
  <r>
    <s v="ADM-241176"/>
    <d v="2024-05-27T00:00:00"/>
    <d v="2024-05-31T00:00:00"/>
    <x v="0"/>
    <s v="Q2"/>
    <x v="4"/>
    <x v="0"/>
    <x v="2"/>
    <x v="0"/>
    <x v="0"/>
    <x v="1"/>
    <x v="2"/>
    <n v="4"/>
    <n v="80"/>
    <n v="3443"/>
    <n v="0"/>
    <n v="4"/>
    <s v="Recovered"/>
    <n v="1"/>
  </r>
  <r>
    <s v="ADM-241177"/>
    <d v="2024-05-27T00:00:00"/>
    <d v="2024-05-30T00:00:00"/>
    <x v="0"/>
    <s v="Q2"/>
    <x v="4"/>
    <x v="0"/>
    <x v="0"/>
    <x v="0"/>
    <x v="1"/>
    <x v="0"/>
    <x v="2"/>
    <n v="3"/>
    <n v="119"/>
    <n v="2709"/>
    <n v="0"/>
    <n v="4"/>
    <s v="Recovered"/>
    <n v="1"/>
  </r>
  <r>
    <s v="ADM-241178"/>
    <d v="2024-05-27T00:00:00"/>
    <d v="2024-05-29T00:00:00"/>
    <x v="0"/>
    <s v="Q2"/>
    <x v="4"/>
    <x v="0"/>
    <x v="3"/>
    <x v="0"/>
    <x v="0"/>
    <x v="3"/>
    <x v="2"/>
    <n v="2"/>
    <n v="46"/>
    <n v="1954"/>
    <n v="0"/>
    <n v="4"/>
    <s v="Recovered"/>
    <n v="1"/>
  </r>
  <r>
    <s v="ADM-241179"/>
    <d v="2024-05-27T00:00:00"/>
    <d v="2024-06-03T00:00:00"/>
    <x v="0"/>
    <s v="Q2"/>
    <x v="4"/>
    <x v="0"/>
    <x v="0"/>
    <x v="0"/>
    <x v="1"/>
    <x v="0"/>
    <x v="2"/>
    <n v="7"/>
    <n v="21"/>
    <n v="6037"/>
    <n v="0"/>
    <n v="4"/>
    <s v="Recovered"/>
    <n v="1"/>
  </r>
  <r>
    <s v="ADM-241180"/>
    <d v="2024-05-27T00:00:00"/>
    <d v="2024-05-31T00:00:00"/>
    <x v="0"/>
    <s v="Q2"/>
    <x v="4"/>
    <x v="0"/>
    <x v="3"/>
    <x v="0"/>
    <x v="1"/>
    <x v="3"/>
    <x v="0"/>
    <n v="4"/>
    <n v="68"/>
    <n v="3259"/>
    <n v="0"/>
    <n v="5"/>
    <s v="Recovered"/>
    <n v="1"/>
  </r>
  <r>
    <s v="ADM-241181"/>
    <d v="2024-05-27T00:00:00"/>
    <d v="2024-05-30T00:00:00"/>
    <x v="0"/>
    <s v="Q2"/>
    <x v="4"/>
    <x v="0"/>
    <x v="1"/>
    <x v="0"/>
    <x v="0"/>
    <x v="4"/>
    <x v="0"/>
    <n v="3"/>
    <n v="15"/>
    <n v="3274"/>
    <n v="0"/>
    <n v="5"/>
    <s v="Recovered"/>
    <n v="1"/>
  </r>
  <r>
    <s v="ADM-241182"/>
    <d v="2024-05-27T00:00:00"/>
    <d v="2024-05-31T00:00:00"/>
    <x v="0"/>
    <s v="Q2"/>
    <x v="4"/>
    <x v="0"/>
    <x v="3"/>
    <x v="0"/>
    <x v="0"/>
    <x v="3"/>
    <x v="2"/>
    <n v="4"/>
    <n v="39"/>
    <n v="4136"/>
    <n v="0"/>
    <n v="4"/>
    <s v="Improved"/>
    <n v="1"/>
  </r>
  <r>
    <s v="ADM-241183"/>
    <d v="2024-05-27T00:00:00"/>
    <d v="2024-06-03T00:00:00"/>
    <x v="0"/>
    <s v="Q2"/>
    <x v="4"/>
    <x v="0"/>
    <x v="0"/>
    <x v="0"/>
    <x v="1"/>
    <x v="4"/>
    <x v="2"/>
    <n v="7"/>
    <n v="13"/>
    <n v="4699"/>
    <n v="1"/>
    <n v="5"/>
    <s v="Improved"/>
    <n v="1"/>
  </r>
  <r>
    <s v="ADM-241184"/>
    <d v="2024-05-27T00:00:00"/>
    <d v="2024-05-29T00:00:00"/>
    <x v="0"/>
    <s v="Q2"/>
    <x v="4"/>
    <x v="0"/>
    <x v="2"/>
    <x v="0"/>
    <x v="0"/>
    <x v="2"/>
    <x v="0"/>
    <n v="2"/>
    <n v="70"/>
    <n v="1571"/>
    <n v="0"/>
    <n v="5"/>
    <s v="Recovered"/>
    <n v="1"/>
  </r>
  <r>
    <s v="ADM-241185"/>
    <d v="2024-05-28T00:00:00"/>
    <d v="2024-06-02T00:00:00"/>
    <x v="0"/>
    <s v="Q2"/>
    <x v="4"/>
    <x v="1"/>
    <x v="5"/>
    <x v="1"/>
    <x v="0"/>
    <x v="2"/>
    <x v="0"/>
    <n v="5"/>
    <m/>
    <n v="4345"/>
    <n v="0"/>
    <n v="4"/>
    <s v="Recovered"/>
    <n v="1"/>
  </r>
  <r>
    <s v="ADM-241186"/>
    <d v="2024-05-28T00:00:00"/>
    <d v="2024-05-29T00:00:00"/>
    <x v="0"/>
    <s v="Q2"/>
    <x v="4"/>
    <x v="1"/>
    <x v="5"/>
    <x v="1"/>
    <x v="1"/>
    <x v="0"/>
    <x v="2"/>
    <n v="1"/>
    <m/>
    <n v="1965"/>
    <n v="0"/>
    <n v="5"/>
    <s v="Recovered"/>
    <n v="1"/>
  </r>
  <r>
    <s v="ADM-241187"/>
    <d v="2024-05-28T00:00:00"/>
    <d v="2024-06-06T00:00:00"/>
    <x v="0"/>
    <s v="Q2"/>
    <x v="4"/>
    <x v="1"/>
    <x v="4"/>
    <x v="0"/>
    <x v="1"/>
    <x v="1"/>
    <x v="2"/>
    <n v="9"/>
    <n v="55"/>
    <n v="11251"/>
    <n v="0"/>
    <n v="3"/>
    <s v="Recovered"/>
    <n v="1"/>
  </r>
  <r>
    <s v="ADM-241188"/>
    <d v="2024-05-28T00:00:00"/>
    <d v="2024-05-29T00:00:00"/>
    <x v="0"/>
    <s v="Q2"/>
    <x v="4"/>
    <x v="1"/>
    <x v="2"/>
    <x v="2"/>
    <x v="0"/>
    <x v="2"/>
    <x v="2"/>
    <n v="1"/>
    <m/>
    <n v="1468"/>
    <n v="0"/>
    <n v="4"/>
    <s v="Recovered"/>
    <n v="1"/>
  </r>
  <r>
    <s v="ADM-241189"/>
    <d v="2024-05-28T00:00:00"/>
    <d v="2024-05-29T00:00:00"/>
    <x v="0"/>
    <s v="Q2"/>
    <x v="4"/>
    <x v="1"/>
    <x v="0"/>
    <x v="2"/>
    <x v="0"/>
    <x v="1"/>
    <x v="0"/>
    <n v="1"/>
    <m/>
    <n v="1791"/>
    <n v="0"/>
    <n v="5"/>
    <s v="Deceased"/>
    <n v="1"/>
  </r>
  <r>
    <s v="ADM-241190"/>
    <d v="2024-05-29T00:00:00"/>
    <d v="2024-05-31T00:00:00"/>
    <x v="0"/>
    <s v="Q2"/>
    <x v="4"/>
    <x v="2"/>
    <x v="5"/>
    <x v="2"/>
    <x v="1"/>
    <x v="2"/>
    <x v="2"/>
    <n v="2"/>
    <m/>
    <n v="2309"/>
    <n v="0"/>
    <n v="4"/>
    <s v="Improved"/>
    <n v="1"/>
  </r>
  <r>
    <s v="ADM-241191"/>
    <d v="2024-05-29T00:00:00"/>
    <d v="2024-06-08T00:00:00"/>
    <x v="0"/>
    <s v="Q2"/>
    <x v="4"/>
    <x v="2"/>
    <x v="3"/>
    <x v="0"/>
    <x v="1"/>
    <x v="3"/>
    <x v="2"/>
    <n v="10"/>
    <n v="37"/>
    <n v="7682"/>
    <n v="1"/>
    <n v="5"/>
    <s v="Recovered"/>
    <n v="1"/>
  </r>
  <r>
    <s v="ADM-241192"/>
    <d v="2024-05-29T00:00:00"/>
    <d v="2024-06-04T00:00:00"/>
    <x v="0"/>
    <s v="Q2"/>
    <x v="4"/>
    <x v="2"/>
    <x v="2"/>
    <x v="2"/>
    <x v="0"/>
    <x v="2"/>
    <x v="0"/>
    <n v="6"/>
    <m/>
    <n v="3631"/>
    <n v="0"/>
    <n v="4"/>
    <s v="Improved"/>
    <n v="1"/>
  </r>
  <r>
    <s v="ADM-241193"/>
    <d v="2024-05-29T00:00:00"/>
    <d v="2024-05-31T00:00:00"/>
    <x v="0"/>
    <s v="Q2"/>
    <x v="4"/>
    <x v="2"/>
    <x v="3"/>
    <x v="2"/>
    <x v="0"/>
    <x v="3"/>
    <x v="1"/>
    <n v="2"/>
    <m/>
    <n v="1969"/>
    <n v="0"/>
    <n v="3"/>
    <s v="Improved"/>
    <n v="1"/>
  </r>
  <r>
    <s v="ADM-241194"/>
    <d v="2024-05-29T00:00:00"/>
    <d v="2024-06-06T00:00:00"/>
    <x v="0"/>
    <s v="Q2"/>
    <x v="4"/>
    <x v="2"/>
    <x v="0"/>
    <x v="0"/>
    <x v="1"/>
    <x v="0"/>
    <x v="2"/>
    <n v="8"/>
    <n v="41"/>
    <n v="4412"/>
    <n v="0"/>
    <n v="3"/>
    <s v="Improved"/>
    <n v="1"/>
  </r>
  <r>
    <s v="ADM-241195"/>
    <d v="2024-05-29T00:00:00"/>
    <d v="2024-06-03T00:00:00"/>
    <x v="0"/>
    <s v="Q2"/>
    <x v="4"/>
    <x v="2"/>
    <x v="0"/>
    <x v="0"/>
    <x v="0"/>
    <x v="2"/>
    <x v="2"/>
    <n v="5"/>
    <n v="78"/>
    <n v="5057"/>
    <n v="0"/>
    <n v="5"/>
    <s v="Transferred"/>
    <n v="1"/>
  </r>
  <r>
    <s v="ADM-241196"/>
    <d v="2024-05-29T00:00:00"/>
    <d v="2024-06-01T00:00:00"/>
    <x v="0"/>
    <s v="Q2"/>
    <x v="4"/>
    <x v="2"/>
    <x v="2"/>
    <x v="0"/>
    <x v="0"/>
    <x v="2"/>
    <x v="1"/>
    <n v="3"/>
    <n v="48"/>
    <n v="2286"/>
    <n v="0"/>
    <n v="3"/>
    <s v="Recovered"/>
    <n v="1"/>
  </r>
  <r>
    <s v="ADM-241197"/>
    <d v="2024-05-29T00:00:00"/>
    <d v="2024-05-30T00:00:00"/>
    <x v="0"/>
    <s v="Q2"/>
    <x v="4"/>
    <x v="2"/>
    <x v="1"/>
    <x v="2"/>
    <x v="1"/>
    <x v="1"/>
    <x v="2"/>
    <n v="1"/>
    <m/>
    <n v="1461"/>
    <n v="0"/>
    <n v="4"/>
    <s v="Recovered"/>
    <n v="1"/>
  </r>
  <r>
    <s v="ADM-241198"/>
    <d v="2024-05-29T00:00:00"/>
    <d v="2024-05-31T00:00:00"/>
    <x v="0"/>
    <s v="Q2"/>
    <x v="4"/>
    <x v="2"/>
    <x v="5"/>
    <x v="2"/>
    <x v="1"/>
    <x v="2"/>
    <x v="2"/>
    <n v="2"/>
    <m/>
    <n v="2590"/>
    <n v="0"/>
    <n v="4"/>
    <s v="Improved"/>
    <n v="1"/>
  </r>
  <r>
    <s v="ADM-241199"/>
    <d v="2024-05-30T00:00:00"/>
    <d v="2024-06-03T00:00:00"/>
    <x v="0"/>
    <s v="Q2"/>
    <x v="4"/>
    <x v="3"/>
    <x v="5"/>
    <x v="2"/>
    <x v="0"/>
    <x v="0"/>
    <x v="0"/>
    <n v="4"/>
    <m/>
    <n v="4450"/>
    <n v="0"/>
    <n v="5"/>
    <s v="Recovered"/>
    <n v="1"/>
  </r>
  <r>
    <s v="ADM-241200"/>
    <d v="2024-05-30T00:00:00"/>
    <d v="2024-06-05T00:00:00"/>
    <x v="0"/>
    <s v="Q2"/>
    <x v="4"/>
    <x v="3"/>
    <x v="0"/>
    <x v="0"/>
    <x v="0"/>
    <x v="0"/>
    <x v="2"/>
    <n v="6"/>
    <n v="15"/>
    <n v="4547"/>
    <n v="0"/>
    <n v="5"/>
    <s v="Recovered"/>
    <n v="1"/>
  </r>
  <r>
    <s v="ADM-241201"/>
    <d v="2024-05-30T00:00:00"/>
    <d v="2024-06-10T00:00:00"/>
    <x v="0"/>
    <s v="Q2"/>
    <x v="4"/>
    <x v="3"/>
    <x v="4"/>
    <x v="2"/>
    <x v="0"/>
    <x v="0"/>
    <x v="0"/>
    <n v="11"/>
    <m/>
    <n v="12282"/>
    <n v="0"/>
    <n v="4"/>
    <s v="Recovered"/>
    <n v="1"/>
  </r>
  <r>
    <s v="ADM-241202"/>
    <d v="2024-05-30T00:00:00"/>
    <d v="2024-06-10T00:00:00"/>
    <x v="0"/>
    <s v="Q2"/>
    <x v="4"/>
    <x v="3"/>
    <x v="0"/>
    <x v="2"/>
    <x v="0"/>
    <x v="4"/>
    <x v="2"/>
    <n v="11"/>
    <m/>
    <n v="8719"/>
    <n v="0"/>
    <n v="4"/>
    <s v="Recovered"/>
    <n v="1"/>
  </r>
  <r>
    <s v="ADM-241203"/>
    <d v="2024-05-30T00:00:00"/>
    <d v="2024-05-31T00:00:00"/>
    <x v="0"/>
    <s v="Q2"/>
    <x v="4"/>
    <x v="3"/>
    <x v="5"/>
    <x v="2"/>
    <x v="1"/>
    <x v="1"/>
    <x v="0"/>
    <n v="1"/>
    <m/>
    <n v="2008"/>
    <n v="0"/>
    <n v="4"/>
    <s v="Improved"/>
    <n v="1"/>
  </r>
  <r>
    <s v="ADM-241204"/>
    <d v="2024-05-31T00:00:00"/>
    <d v="2024-06-03T00:00:00"/>
    <x v="0"/>
    <s v="Q2"/>
    <x v="4"/>
    <x v="4"/>
    <x v="5"/>
    <x v="2"/>
    <x v="1"/>
    <x v="2"/>
    <x v="2"/>
    <n v="3"/>
    <m/>
    <n v="3963"/>
    <n v="0"/>
    <n v="3"/>
    <s v="Improved"/>
    <n v="1"/>
  </r>
  <r>
    <s v="ADM-241205"/>
    <d v="2024-05-31T00:00:00"/>
    <d v="2024-06-05T00:00:00"/>
    <x v="0"/>
    <s v="Q2"/>
    <x v="4"/>
    <x v="4"/>
    <x v="0"/>
    <x v="0"/>
    <x v="0"/>
    <x v="1"/>
    <x v="2"/>
    <n v="5"/>
    <n v="53"/>
    <n v="3735"/>
    <n v="0"/>
    <n v="4"/>
    <s v="Improved"/>
    <n v="1"/>
  </r>
  <r>
    <s v="ADM-241206"/>
    <d v="2024-05-31T00:00:00"/>
    <d v="2024-06-04T00:00:00"/>
    <x v="0"/>
    <s v="Q2"/>
    <x v="4"/>
    <x v="4"/>
    <x v="2"/>
    <x v="0"/>
    <x v="0"/>
    <x v="2"/>
    <x v="0"/>
    <n v="4"/>
    <n v="54"/>
    <n v="4032"/>
    <n v="0"/>
    <n v="4"/>
    <s v="Improved"/>
    <n v="1"/>
  </r>
  <r>
    <s v="ADM-241207"/>
    <d v="2024-05-31T00:00:00"/>
    <d v="2024-06-03T00:00:00"/>
    <x v="0"/>
    <s v="Q2"/>
    <x v="4"/>
    <x v="4"/>
    <x v="2"/>
    <x v="0"/>
    <x v="0"/>
    <x v="1"/>
    <x v="2"/>
    <n v="3"/>
    <n v="77"/>
    <n v="2988"/>
    <n v="0"/>
    <n v="4"/>
    <s v="Improved"/>
    <n v="1"/>
  </r>
  <r>
    <s v="ADM-241208"/>
    <d v="2024-06-01T00:00:00"/>
    <d v="2024-06-02T00:00:00"/>
    <x v="0"/>
    <s v="Q2"/>
    <x v="5"/>
    <x v="5"/>
    <x v="5"/>
    <x v="0"/>
    <x v="1"/>
    <x v="2"/>
    <x v="2"/>
    <n v="1"/>
    <n v="18"/>
    <n v="2356"/>
    <n v="0"/>
    <n v="5"/>
    <s v="Improved"/>
    <n v="1"/>
  </r>
  <r>
    <s v="ADM-241209"/>
    <d v="2024-06-01T00:00:00"/>
    <d v="2024-06-07T00:00:00"/>
    <x v="0"/>
    <s v="Q2"/>
    <x v="5"/>
    <x v="5"/>
    <x v="1"/>
    <x v="0"/>
    <x v="0"/>
    <x v="2"/>
    <x v="0"/>
    <n v="6"/>
    <n v="292"/>
    <n v="4892"/>
    <n v="0"/>
    <n v="4"/>
    <s v="Recovered"/>
    <n v="1"/>
  </r>
  <r>
    <s v="ADM-241210"/>
    <d v="2024-06-01T00:00:00"/>
    <d v="2024-06-03T00:00:00"/>
    <x v="0"/>
    <s v="Q2"/>
    <x v="5"/>
    <x v="5"/>
    <x v="0"/>
    <x v="0"/>
    <x v="1"/>
    <x v="1"/>
    <x v="1"/>
    <n v="2"/>
    <n v="84"/>
    <n v="2291"/>
    <n v="1"/>
    <n v="5"/>
    <s v="Improved"/>
    <n v="1"/>
  </r>
  <r>
    <s v="ADM-241211"/>
    <d v="2024-06-01T00:00:00"/>
    <d v="2024-06-02T00:00:00"/>
    <x v="0"/>
    <s v="Q2"/>
    <x v="5"/>
    <x v="5"/>
    <x v="2"/>
    <x v="0"/>
    <x v="0"/>
    <x v="1"/>
    <x v="2"/>
    <n v="1"/>
    <n v="46"/>
    <n v="1465"/>
    <n v="0"/>
    <n v="3"/>
    <s v="Improved"/>
    <n v="1"/>
  </r>
  <r>
    <s v="ADM-241212"/>
    <d v="2024-06-02T00:00:00"/>
    <d v="2024-06-07T00:00:00"/>
    <x v="0"/>
    <s v="Q2"/>
    <x v="5"/>
    <x v="6"/>
    <x v="4"/>
    <x v="2"/>
    <x v="1"/>
    <x v="0"/>
    <x v="2"/>
    <n v="5"/>
    <m/>
    <n v="7235"/>
    <n v="0"/>
    <n v="4"/>
    <s v="Deceased"/>
    <n v="1"/>
  </r>
  <r>
    <s v="ADM-241213"/>
    <d v="2024-06-03T00:00:00"/>
    <d v="2024-06-05T00:00:00"/>
    <x v="0"/>
    <s v="Q2"/>
    <x v="5"/>
    <x v="0"/>
    <x v="3"/>
    <x v="0"/>
    <x v="0"/>
    <x v="3"/>
    <x v="2"/>
    <n v="2"/>
    <n v="20"/>
    <n v="2157"/>
    <n v="0"/>
    <n v="5"/>
    <s v="Improved"/>
    <n v="1"/>
  </r>
  <r>
    <s v="ADM-241214"/>
    <d v="2024-06-03T00:00:00"/>
    <d v="2024-06-04T00:00:00"/>
    <x v="0"/>
    <s v="Q2"/>
    <x v="5"/>
    <x v="0"/>
    <x v="1"/>
    <x v="2"/>
    <x v="1"/>
    <x v="2"/>
    <x v="2"/>
    <n v="1"/>
    <m/>
    <n v="1535"/>
    <n v="0"/>
    <n v="5"/>
    <s v="Recovered"/>
    <n v="1"/>
  </r>
  <r>
    <s v="ADM-241215"/>
    <d v="2024-06-03T00:00:00"/>
    <d v="2024-06-06T00:00:00"/>
    <x v="0"/>
    <s v="Q2"/>
    <x v="5"/>
    <x v="0"/>
    <x v="1"/>
    <x v="0"/>
    <x v="0"/>
    <x v="1"/>
    <x v="0"/>
    <n v="3"/>
    <n v="41"/>
    <n v="3282"/>
    <n v="0"/>
    <n v="4"/>
    <s v="Recovered"/>
    <n v="1"/>
  </r>
  <r>
    <s v="ADM-241216"/>
    <d v="2024-06-03T00:00:00"/>
    <d v="2024-06-11T00:00:00"/>
    <x v="0"/>
    <s v="Q2"/>
    <x v="5"/>
    <x v="0"/>
    <x v="1"/>
    <x v="2"/>
    <x v="0"/>
    <x v="0"/>
    <x v="0"/>
    <n v="8"/>
    <m/>
    <n v="7635"/>
    <n v="0"/>
    <n v="4"/>
    <s v="Recovered"/>
    <n v="1"/>
  </r>
  <r>
    <s v="ADM-241217"/>
    <d v="2024-06-03T00:00:00"/>
    <d v="2024-06-07T00:00:00"/>
    <x v="0"/>
    <s v="Q2"/>
    <x v="5"/>
    <x v="0"/>
    <x v="1"/>
    <x v="2"/>
    <x v="1"/>
    <x v="4"/>
    <x v="0"/>
    <n v="4"/>
    <m/>
    <n v="2674"/>
    <n v="0"/>
    <n v="4"/>
    <s v="Recovered"/>
    <n v="1"/>
  </r>
  <r>
    <s v="ADM-241218"/>
    <d v="2024-06-03T00:00:00"/>
    <d v="2024-06-05T00:00:00"/>
    <x v="0"/>
    <s v="Q2"/>
    <x v="5"/>
    <x v="0"/>
    <x v="1"/>
    <x v="1"/>
    <x v="1"/>
    <x v="4"/>
    <x v="2"/>
    <n v="2"/>
    <m/>
    <n v="3105"/>
    <n v="0"/>
    <n v="5"/>
    <s v="Recovered"/>
    <n v="1"/>
  </r>
  <r>
    <s v="ADM-241219"/>
    <d v="2024-06-03T00:00:00"/>
    <d v="2024-06-06T00:00:00"/>
    <x v="0"/>
    <s v="Q2"/>
    <x v="5"/>
    <x v="0"/>
    <x v="1"/>
    <x v="2"/>
    <x v="1"/>
    <x v="1"/>
    <x v="2"/>
    <n v="3"/>
    <m/>
    <n v="2800"/>
    <n v="0"/>
    <n v="5"/>
    <s v="Recovered"/>
    <n v="1"/>
  </r>
  <r>
    <s v="ADM-241220"/>
    <d v="2024-06-03T00:00:00"/>
    <d v="2024-06-05T00:00:00"/>
    <x v="0"/>
    <s v="Q2"/>
    <x v="5"/>
    <x v="0"/>
    <x v="1"/>
    <x v="0"/>
    <x v="1"/>
    <x v="1"/>
    <x v="1"/>
    <n v="2"/>
    <n v="46"/>
    <n v="3021"/>
    <n v="0"/>
    <n v="4"/>
    <s v="Recovered"/>
    <n v="1"/>
  </r>
  <r>
    <s v="ADM-241221"/>
    <d v="2024-06-03T00:00:00"/>
    <d v="2024-06-05T00:00:00"/>
    <x v="0"/>
    <s v="Q2"/>
    <x v="5"/>
    <x v="0"/>
    <x v="3"/>
    <x v="0"/>
    <x v="0"/>
    <x v="3"/>
    <x v="1"/>
    <n v="2"/>
    <n v="31"/>
    <n v="2270"/>
    <n v="0"/>
    <n v="5"/>
    <s v="Improved"/>
    <n v="1"/>
  </r>
  <r>
    <s v="ADM-241222"/>
    <d v="2024-06-04T00:00:00"/>
    <d v="2024-06-08T00:00:00"/>
    <x v="0"/>
    <s v="Q2"/>
    <x v="5"/>
    <x v="1"/>
    <x v="3"/>
    <x v="0"/>
    <x v="0"/>
    <x v="3"/>
    <x v="0"/>
    <n v="4"/>
    <n v="52"/>
    <n v="2803"/>
    <n v="0"/>
    <n v="4"/>
    <s v="Recovered"/>
    <n v="1"/>
  </r>
  <r>
    <s v="ADM-241223"/>
    <d v="2024-06-04T00:00:00"/>
    <d v="2024-06-11T00:00:00"/>
    <x v="0"/>
    <s v="Q2"/>
    <x v="5"/>
    <x v="1"/>
    <x v="0"/>
    <x v="0"/>
    <x v="1"/>
    <x v="1"/>
    <x v="2"/>
    <n v="7"/>
    <n v="35"/>
    <n v="6926"/>
    <n v="0"/>
    <n v="5"/>
    <s v="Improved"/>
    <n v="1"/>
  </r>
  <r>
    <s v="ADM-241224"/>
    <d v="2024-06-04T00:00:00"/>
    <d v="2024-06-11T00:00:00"/>
    <x v="0"/>
    <s v="Q2"/>
    <x v="5"/>
    <x v="1"/>
    <x v="0"/>
    <x v="0"/>
    <x v="1"/>
    <x v="0"/>
    <x v="0"/>
    <n v="7"/>
    <n v="34"/>
    <n v="6017"/>
    <n v="0"/>
    <n v="5"/>
    <s v="Recovered"/>
    <n v="1"/>
  </r>
  <r>
    <s v="ADM-241225"/>
    <d v="2024-06-04T00:00:00"/>
    <d v="2024-06-07T00:00:00"/>
    <x v="0"/>
    <s v="Q2"/>
    <x v="5"/>
    <x v="1"/>
    <x v="0"/>
    <x v="0"/>
    <x v="1"/>
    <x v="1"/>
    <x v="0"/>
    <n v="3"/>
    <n v="100"/>
    <n v="3809"/>
    <n v="1"/>
    <n v="3"/>
    <s v="Recovered"/>
    <n v="1"/>
  </r>
  <r>
    <s v="ADM-241226"/>
    <d v="2024-06-04T00:00:00"/>
    <d v="2024-06-08T00:00:00"/>
    <x v="0"/>
    <s v="Q2"/>
    <x v="5"/>
    <x v="1"/>
    <x v="3"/>
    <x v="0"/>
    <x v="1"/>
    <x v="3"/>
    <x v="2"/>
    <n v="4"/>
    <n v="48"/>
    <n v="3038"/>
    <n v="0"/>
    <n v="3"/>
    <s v="Recovered"/>
    <n v="1"/>
  </r>
  <r>
    <s v="ADM-241227"/>
    <d v="2024-06-05T00:00:00"/>
    <d v="2024-06-12T00:00:00"/>
    <x v="0"/>
    <s v="Q2"/>
    <x v="5"/>
    <x v="2"/>
    <x v="0"/>
    <x v="0"/>
    <x v="1"/>
    <x v="2"/>
    <x v="2"/>
    <n v="7"/>
    <n v="53"/>
    <n v="5425"/>
    <n v="0"/>
    <n v="5"/>
    <s v="Recovered"/>
    <n v="1"/>
  </r>
  <r>
    <s v="ADM-241228"/>
    <d v="2024-06-05T00:00:00"/>
    <d v="2024-06-11T00:00:00"/>
    <x v="0"/>
    <s v="Q2"/>
    <x v="5"/>
    <x v="2"/>
    <x v="2"/>
    <x v="0"/>
    <x v="0"/>
    <x v="2"/>
    <x v="2"/>
    <n v="6"/>
    <n v="15"/>
    <n v="4029"/>
    <n v="0"/>
    <n v="4"/>
    <s v="Improved"/>
    <n v="1"/>
  </r>
  <r>
    <s v="ADM-241229"/>
    <d v="2024-06-05T00:00:00"/>
    <d v="2024-06-09T00:00:00"/>
    <x v="0"/>
    <s v="Q2"/>
    <x v="5"/>
    <x v="2"/>
    <x v="0"/>
    <x v="0"/>
    <x v="1"/>
    <x v="0"/>
    <x v="0"/>
    <n v="4"/>
    <n v="111"/>
    <n v="3968"/>
    <n v="0"/>
    <n v="4"/>
    <s v="Recovered"/>
    <n v="1"/>
  </r>
  <r>
    <s v="ADM-241230"/>
    <d v="2024-06-05T00:00:00"/>
    <d v="2024-06-08T00:00:00"/>
    <x v="0"/>
    <s v="Q2"/>
    <x v="5"/>
    <x v="2"/>
    <x v="2"/>
    <x v="0"/>
    <x v="0"/>
    <x v="1"/>
    <x v="0"/>
    <n v="3"/>
    <n v="84"/>
    <n v="3045"/>
    <n v="0"/>
    <n v="3"/>
    <s v="Recovered"/>
    <n v="1"/>
  </r>
  <r>
    <s v="ADM-241231"/>
    <d v="2024-06-05T00:00:00"/>
    <d v="2024-06-07T00:00:00"/>
    <x v="0"/>
    <s v="Q2"/>
    <x v="5"/>
    <x v="2"/>
    <x v="3"/>
    <x v="0"/>
    <x v="1"/>
    <x v="3"/>
    <x v="1"/>
    <n v="2"/>
    <n v="65"/>
    <n v="2328"/>
    <n v="1"/>
    <n v="3"/>
    <s v="Improved"/>
    <n v="1"/>
  </r>
  <r>
    <s v="ADM-241232"/>
    <d v="2024-06-06T00:00:00"/>
    <d v="2024-06-09T00:00:00"/>
    <x v="0"/>
    <s v="Q2"/>
    <x v="5"/>
    <x v="3"/>
    <x v="3"/>
    <x v="0"/>
    <x v="0"/>
    <x v="3"/>
    <x v="0"/>
    <n v="3"/>
    <n v="27"/>
    <n v="2645"/>
    <n v="0"/>
    <n v="3"/>
    <s v="Recovered"/>
    <n v="1"/>
  </r>
  <r>
    <s v="ADM-241233"/>
    <d v="2024-06-06T00:00:00"/>
    <d v="2024-06-15T00:00:00"/>
    <x v="0"/>
    <s v="Q2"/>
    <x v="5"/>
    <x v="3"/>
    <x v="1"/>
    <x v="0"/>
    <x v="0"/>
    <x v="0"/>
    <x v="2"/>
    <n v="9"/>
    <n v="119"/>
    <n v="10065"/>
    <n v="0"/>
    <n v="3"/>
    <s v="Recovered"/>
    <n v="1"/>
  </r>
  <r>
    <s v="ADM-241234"/>
    <d v="2024-06-06T00:00:00"/>
    <d v="2024-06-13T00:00:00"/>
    <x v="0"/>
    <s v="Q2"/>
    <x v="5"/>
    <x v="3"/>
    <x v="0"/>
    <x v="0"/>
    <x v="0"/>
    <x v="0"/>
    <x v="0"/>
    <n v="7"/>
    <n v="56"/>
    <n v="4342"/>
    <n v="0"/>
    <n v="4"/>
    <s v="Recovered"/>
    <n v="1"/>
  </r>
  <r>
    <s v="ADM-241235"/>
    <d v="2024-06-06T00:00:00"/>
    <d v="2024-06-07T00:00:00"/>
    <x v="0"/>
    <s v="Q2"/>
    <x v="5"/>
    <x v="3"/>
    <x v="1"/>
    <x v="2"/>
    <x v="1"/>
    <x v="2"/>
    <x v="2"/>
    <n v="1"/>
    <m/>
    <n v="2338"/>
    <n v="0"/>
    <n v="4"/>
    <s v="Recovered"/>
    <n v="1"/>
  </r>
  <r>
    <s v="ADM-241236"/>
    <d v="2024-06-06T00:00:00"/>
    <d v="2024-06-10T00:00:00"/>
    <x v="0"/>
    <s v="Q2"/>
    <x v="5"/>
    <x v="3"/>
    <x v="0"/>
    <x v="0"/>
    <x v="1"/>
    <x v="4"/>
    <x v="2"/>
    <n v="4"/>
    <n v="25"/>
    <n v="2580"/>
    <n v="0"/>
    <n v="3"/>
    <s v="Improved"/>
    <n v="1"/>
  </r>
  <r>
    <s v="ADM-241237"/>
    <d v="2024-06-06T00:00:00"/>
    <d v="2024-06-12T00:00:00"/>
    <x v="0"/>
    <s v="Q2"/>
    <x v="5"/>
    <x v="3"/>
    <x v="4"/>
    <x v="2"/>
    <x v="1"/>
    <x v="0"/>
    <x v="1"/>
    <n v="6"/>
    <m/>
    <n v="8600"/>
    <n v="0"/>
    <n v="3"/>
    <s v="Recovered"/>
    <n v="1"/>
  </r>
  <r>
    <s v="ADM-241238"/>
    <d v="2024-06-07T00:00:00"/>
    <d v="2024-06-08T00:00:00"/>
    <x v="0"/>
    <s v="Q2"/>
    <x v="5"/>
    <x v="4"/>
    <x v="3"/>
    <x v="0"/>
    <x v="1"/>
    <x v="3"/>
    <x v="2"/>
    <n v="1"/>
    <n v="130"/>
    <n v="1787"/>
    <n v="0"/>
    <n v="3"/>
    <s v="Improved"/>
    <n v="1"/>
  </r>
  <r>
    <s v="ADM-241239"/>
    <d v="2024-06-07T00:00:00"/>
    <d v="2024-06-12T00:00:00"/>
    <x v="0"/>
    <s v="Q2"/>
    <x v="5"/>
    <x v="4"/>
    <x v="0"/>
    <x v="0"/>
    <x v="0"/>
    <x v="0"/>
    <x v="2"/>
    <n v="5"/>
    <n v="49"/>
    <n v="3071"/>
    <n v="0"/>
    <n v="5"/>
    <s v="Recovered"/>
    <n v="1"/>
  </r>
  <r>
    <s v="ADM-241240"/>
    <d v="2024-06-07T00:00:00"/>
    <d v="2024-06-14T00:00:00"/>
    <x v="0"/>
    <s v="Q2"/>
    <x v="5"/>
    <x v="4"/>
    <x v="0"/>
    <x v="0"/>
    <x v="0"/>
    <x v="0"/>
    <x v="0"/>
    <n v="7"/>
    <n v="84"/>
    <n v="6512"/>
    <n v="1"/>
    <n v="5"/>
    <s v="Improved"/>
    <n v="1"/>
  </r>
  <r>
    <s v="ADM-241241"/>
    <d v="2024-06-07T00:00:00"/>
    <d v="2024-06-12T00:00:00"/>
    <x v="0"/>
    <s v="Q2"/>
    <x v="5"/>
    <x v="4"/>
    <x v="4"/>
    <x v="0"/>
    <x v="1"/>
    <x v="0"/>
    <x v="2"/>
    <n v="5"/>
    <n v="69"/>
    <n v="5816"/>
    <n v="0"/>
    <n v="5"/>
    <s v="Improved"/>
    <n v="1"/>
  </r>
  <r>
    <s v="ADM-241242"/>
    <d v="2024-06-07T00:00:00"/>
    <d v="2024-06-10T00:00:00"/>
    <x v="0"/>
    <s v="Q2"/>
    <x v="5"/>
    <x v="4"/>
    <x v="4"/>
    <x v="2"/>
    <x v="1"/>
    <x v="0"/>
    <x v="0"/>
    <n v="3"/>
    <m/>
    <n v="4715"/>
    <n v="0"/>
    <n v="4"/>
    <s v="Recovered"/>
    <n v="1"/>
  </r>
  <r>
    <s v="ADM-241243"/>
    <d v="2024-06-07T00:00:00"/>
    <d v="2024-06-10T00:00:00"/>
    <x v="0"/>
    <s v="Q2"/>
    <x v="5"/>
    <x v="4"/>
    <x v="3"/>
    <x v="2"/>
    <x v="0"/>
    <x v="3"/>
    <x v="2"/>
    <n v="3"/>
    <m/>
    <n v="2922"/>
    <n v="0"/>
    <n v="4"/>
    <s v="Improved"/>
    <n v="1"/>
  </r>
  <r>
    <s v="ADM-241244"/>
    <d v="2024-06-08T00:00:00"/>
    <d v="2024-06-13T00:00:00"/>
    <x v="0"/>
    <s v="Q2"/>
    <x v="5"/>
    <x v="5"/>
    <x v="5"/>
    <x v="0"/>
    <x v="1"/>
    <x v="2"/>
    <x v="2"/>
    <n v="5"/>
    <n v="41"/>
    <n v="4927"/>
    <n v="0"/>
    <n v="3"/>
    <s v="Recovered"/>
    <n v="1"/>
  </r>
  <r>
    <s v="ADM-241245"/>
    <d v="2024-06-08T00:00:00"/>
    <d v="2024-06-11T00:00:00"/>
    <x v="0"/>
    <s v="Q2"/>
    <x v="5"/>
    <x v="5"/>
    <x v="0"/>
    <x v="0"/>
    <x v="0"/>
    <x v="0"/>
    <x v="0"/>
    <n v="3"/>
    <n v="75"/>
    <n v="2146"/>
    <n v="0"/>
    <n v="3"/>
    <s v="Recovered"/>
    <n v="1"/>
  </r>
  <r>
    <s v="ADM-241246"/>
    <d v="2024-06-08T00:00:00"/>
    <d v="2024-06-11T00:00:00"/>
    <x v="0"/>
    <s v="Q2"/>
    <x v="5"/>
    <x v="5"/>
    <x v="3"/>
    <x v="2"/>
    <x v="0"/>
    <x v="3"/>
    <x v="0"/>
    <n v="3"/>
    <m/>
    <n v="2141"/>
    <n v="0"/>
    <n v="5"/>
    <s v="Deceased"/>
    <n v="1"/>
  </r>
  <r>
    <s v="ADM-241247"/>
    <d v="2024-06-08T00:00:00"/>
    <d v="2024-06-11T00:00:00"/>
    <x v="0"/>
    <s v="Q2"/>
    <x v="5"/>
    <x v="5"/>
    <x v="1"/>
    <x v="0"/>
    <x v="1"/>
    <x v="0"/>
    <x v="0"/>
    <n v="3"/>
    <n v="131"/>
    <n v="3412"/>
    <n v="1"/>
    <n v="2"/>
    <s v="Recovered"/>
    <n v="1"/>
  </r>
  <r>
    <s v="ADM-241248"/>
    <d v="2024-06-09T00:00:00"/>
    <d v="2024-06-11T00:00:00"/>
    <x v="0"/>
    <s v="Q2"/>
    <x v="5"/>
    <x v="6"/>
    <x v="4"/>
    <x v="0"/>
    <x v="0"/>
    <x v="2"/>
    <x v="2"/>
    <n v="2"/>
    <n v="61"/>
    <n v="2975"/>
    <n v="0"/>
    <n v="4"/>
    <s v="Recovered"/>
    <n v="1"/>
  </r>
  <r>
    <s v="ADM-241249"/>
    <d v="2024-06-09T00:00:00"/>
    <d v="2024-06-12T00:00:00"/>
    <x v="0"/>
    <s v="Q2"/>
    <x v="5"/>
    <x v="6"/>
    <x v="3"/>
    <x v="0"/>
    <x v="1"/>
    <x v="3"/>
    <x v="2"/>
    <n v="3"/>
    <n v="56"/>
    <n v="2613"/>
    <n v="0"/>
    <n v="5"/>
    <s v="Improved"/>
    <n v="1"/>
  </r>
  <r>
    <s v="ADM-241250"/>
    <d v="2024-06-09T00:00:00"/>
    <d v="2024-06-10T00:00:00"/>
    <x v="0"/>
    <s v="Q2"/>
    <x v="5"/>
    <x v="6"/>
    <x v="5"/>
    <x v="0"/>
    <x v="1"/>
    <x v="1"/>
    <x v="2"/>
    <n v="1"/>
    <n v="51"/>
    <n v="1768"/>
    <n v="0"/>
    <n v="5"/>
    <s v="Recovered"/>
    <n v="1"/>
  </r>
  <r>
    <s v="ADM-241251"/>
    <d v="2024-06-09T00:00:00"/>
    <d v="2024-06-10T00:00:00"/>
    <x v="0"/>
    <s v="Q2"/>
    <x v="5"/>
    <x v="6"/>
    <x v="1"/>
    <x v="2"/>
    <x v="1"/>
    <x v="1"/>
    <x v="1"/>
    <n v="1"/>
    <m/>
    <n v="1581"/>
    <n v="0"/>
    <n v="5"/>
    <s v="Recovered"/>
    <n v="1"/>
  </r>
  <r>
    <s v="ADM-241252"/>
    <d v="2024-06-09T00:00:00"/>
    <d v="2024-06-17T00:00:00"/>
    <x v="0"/>
    <s v="Q2"/>
    <x v="5"/>
    <x v="6"/>
    <x v="3"/>
    <x v="0"/>
    <x v="1"/>
    <x v="3"/>
    <x v="0"/>
    <n v="8"/>
    <n v="29"/>
    <n v="5137"/>
    <n v="0"/>
    <n v="5"/>
    <s v="Recovered"/>
    <n v="1"/>
  </r>
  <r>
    <s v="ADM-241253"/>
    <d v="2024-06-09T00:00:00"/>
    <d v="2024-06-11T00:00:00"/>
    <x v="0"/>
    <s v="Q2"/>
    <x v="5"/>
    <x v="6"/>
    <x v="2"/>
    <x v="2"/>
    <x v="0"/>
    <x v="1"/>
    <x v="0"/>
    <n v="2"/>
    <m/>
    <n v="1627"/>
    <n v="0"/>
    <n v="4"/>
    <s v="Recovered"/>
    <n v="1"/>
  </r>
  <r>
    <s v="ADM-241254"/>
    <d v="2024-06-10T00:00:00"/>
    <d v="2024-06-13T00:00:00"/>
    <x v="0"/>
    <s v="Q2"/>
    <x v="5"/>
    <x v="0"/>
    <x v="1"/>
    <x v="2"/>
    <x v="0"/>
    <x v="2"/>
    <x v="1"/>
    <n v="3"/>
    <m/>
    <n v="3776"/>
    <n v="0"/>
    <n v="5"/>
    <s v="Improved"/>
    <n v="1"/>
  </r>
  <r>
    <s v="ADM-241255"/>
    <d v="2024-06-10T00:00:00"/>
    <d v="2024-06-16T00:00:00"/>
    <x v="0"/>
    <s v="Q2"/>
    <x v="5"/>
    <x v="0"/>
    <x v="0"/>
    <x v="2"/>
    <x v="0"/>
    <x v="2"/>
    <x v="0"/>
    <n v="6"/>
    <m/>
    <n v="5038"/>
    <n v="0"/>
    <n v="4"/>
    <s v="Recovered"/>
    <n v="1"/>
  </r>
  <r>
    <s v="ADM-241256"/>
    <d v="2024-06-10T00:00:00"/>
    <d v="2024-06-13T00:00:00"/>
    <x v="0"/>
    <s v="Q2"/>
    <x v="5"/>
    <x v="0"/>
    <x v="3"/>
    <x v="2"/>
    <x v="1"/>
    <x v="3"/>
    <x v="2"/>
    <n v="3"/>
    <m/>
    <n v="3281"/>
    <n v="0"/>
    <n v="3"/>
    <s v="Recovered"/>
    <n v="1"/>
  </r>
  <r>
    <s v="ADM-241257"/>
    <d v="2024-06-11T00:00:00"/>
    <d v="2024-06-20T00:00:00"/>
    <x v="0"/>
    <s v="Q2"/>
    <x v="5"/>
    <x v="1"/>
    <x v="5"/>
    <x v="0"/>
    <x v="1"/>
    <x v="0"/>
    <x v="0"/>
    <n v="9"/>
    <n v="37"/>
    <n v="8464"/>
    <n v="0"/>
    <n v="3"/>
    <s v="Recovered"/>
    <n v="1"/>
  </r>
  <r>
    <s v="ADM-241258"/>
    <d v="2024-06-11T00:00:00"/>
    <d v="2024-06-15T00:00:00"/>
    <x v="0"/>
    <s v="Q2"/>
    <x v="5"/>
    <x v="1"/>
    <x v="1"/>
    <x v="2"/>
    <x v="0"/>
    <x v="0"/>
    <x v="2"/>
    <n v="4"/>
    <m/>
    <n v="5083"/>
    <n v="0"/>
    <n v="4"/>
    <s v="Recovered"/>
    <n v="1"/>
  </r>
  <r>
    <s v="ADM-241259"/>
    <d v="2024-06-11T00:00:00"/>
    <d v="2024-06-16T00:00:00"/>
    <x v="0"/>
    <s v="Q2"/>
    <x v="5"/>
    <x v="1"/>
    <x v="0"/>
    <x v="0"/>
    <x v="0"/>
    <x v="4"/>
    <x v="2"/>
    <n v="5"/>
    <n v="49"/>
    <n v="3636"/>
    <n v="0"/>
    <n v="4"/>
    <s v="Recovered"/>
    <n v="1"/>
  </r>
  <r>
    <s v="ADM-241260"/>
    <d v="2024-06-11T00:00:00"/>
    <d v="2024-06-22T00:00:00"/>
    <x v="0"/>
    <s v="Q2"/>
    <x v="5"/>
    <x v="1"/>
    <x v="5"/>
    <x v="2"/>
    <x v="1"/>
    <x v="0"/>
    <x v="2"/>
    <n v="11"/>
    <m/>
    <n v="10716"/>
    <n v="0"/>
    <n v="3"/>
    <s v="Recovered"/>
    <n v="1"/>
  </r>
  <r>
    <s v="ADM-241261"/>
    <d v="2024-06-11T00:00:00"/>
    <d v="2024-06-14T00:00:00"/>
    <x v="0"/>
    <s v="Q2"/>
    <x v="5"/>
    <x v="1"/>
    <x v="5"/>
    <x v="2"/>
    <x v="1"/>
    <x v="0"/>
    <x v="0"/>
    <n v="3"/>
    <m/>
    <n v="4019"/>
    <n v="0"/>
    <n v="4"/>
    <s v="Transferred"/>
    <n v="1"/>
  </r>
  <r>
    <s v="ADM-241262"/>
    <d v="2024-06-11T00:00:00"/>
    <d v="2024-06-17T00:00:00"/>
    <x v="0"/>
    <s v="Q2"/>
    <x v="5"/>
    <x v="1"/>
    <x v="0"/>
    <x v="2"/>
    <x v="1"/>
    <x v="4"/>
    <x v="0"/>
    <n v="6"/>
    <m/>
    <n v="4737"/>
    <n v="0"/>
    <n v="4"/>
    <s v="Recovered"/>
    <n v="1"/>
  </r>
  <r>
    <s v="ADM-241263"/>
    <d v="2024-06-11T00:00:00"/>
    <d v="2024-06-13T00:00:00"/>
    <x v="0"/>
    <s v="Q2"/>
    <x v="5"/>
    <x v="1"/>
    <x v="0"/>
    <x v="1"/>
    <x v="1"/>
    <x v="1"/>
    <x v="0"/>
    <n v="2"/>
    <m/>
    <n v="2239"/>
    <n v="0"/>
    <n v="4"/>
    <s v="Recovered"/>
    <n v="1"/>
  </r>
  <r>
    <s v="ADM-241264"/>
    <d v="2024-06-11T00:00:00"/>
    <d v="2024-06-12T00:00:00"/>
    <x v="0"/>
    <s v="Q2"/>
    <x v="5"/>
    <x v="1"/>
    <x v="1"/>
    <x v="2"/>
    <x v="1"/>
    <x v="4"/>
    <x v="0"/>
    <n v="1"/>
    <m/>
    <n v="2792"/>
    <n v="0"/>
    <n v="4"/>
    <s v="Recovered"/>
    <n v="1"/>
  </r>
  <r>
    <s v="ADM-241265"/>
    <d v="2024-06-11T00:00:00"/>
    <d v="2024-06-15T00:00:00"/>
    <x v="0"/>
    <s v="Q2"/>
    <x v="5"/>
    <x v="1"/>
    <x v="2"/>
    <x v="2"/>
    <x v="0"/>
    <x v="1"/>
    <x v="2"/>
    <n v="4"/>
    <m/>
    <n v="3466"/>
    <n v="0"/>
    <n v="4"/>
    <s v="Recovered"/>
    <n v="1"/>
  </r>
  <r>
    <s v="ADM-241266"/>
    <d v="2024-06-11T00:00:00"/>
    <d v="2024-06-14T00:00:00"/>
    <x v="0"/>
    <s v="Q2"/>
    <x v="5"/>
    <x v="1"/>
    <x v="0"/>
    <x v="0"/>
    <x v="0"/>
    <x v="4"/>
    <x v="2"/>
    <n v="3"/>
    <n v="29"/>
    <n v="2601"/>
    <n v="0"/>
    <n v="5"/>
    <s v="Improved"/>
    <n v="1"/>
  </r>
  <r>
    <s v="ADM-241267"/>
    <d v="2024-06-12T00:00:00"/>
    <d v="2024-06-16T00:00:00"/>
    <x v="0"/>
    <s v="Q2"/>
    <x v="5"/>
    <x v="2"/>
    <x v="5"/>
    <x v="2"/>
    <x v="1"/>
    <x v="0"/>
    <x v="0"/>
    <n v="4"/>
    <m/>
    <n v="4640"/>
    <n v="0"/>
    <n v="4"/>
    <s v="Recovered"/>
    <n v="1"/>
  </r>
  <r>
    <s v="ADM-241268"/>
    <d v="2024-06-12T00:00:00"/>
    <d v="2024-06-21T00:00:00"/>
    <x v="0"/>
    <s v="Q2"/>
    <x v="5"/>
    <x v="2"/>
    <x v="5"/>
    <x v="0"/>
    <x v="0"/>
    <x v="0"/>
    <x v="1"/>
    <n v="9"/>
    <n v="16"/>
    <n v="6211"/>
    <n v="0"/>
    <n v="3"/>
    <s v="Recovered"/>
    <n v="1"/>
  </r>
  <r>
    <s v="ADM-241269"/>
    <d v="2024-06-12T00:00:00"/>
    <d v="2024-06-14T00:00:00"/>
    <x v="0"/>
    <s v="Q2"/>
    <x v="5"/>
    <x v="2"/>
    <x v="3"/>
    <x v="2"/>
    <x v="0"/>
    <x v="3"/>
    <x v="0"/>
    <n v="2"/>
    <m/>
    <n v="2145"/>
    <n v="0"/>
    <n v="3"/>
    <s v="Recovered"/>
    <n v="1"/>
  </r>
  <r>
    <s v="ADM-241270"/>
    <d v="2024-06-12T00:00:00"/>
    <d v="2024-06-13T00:00:00"/>
    <x v="0"/>
    <s v="Q2"/>
    <x v="5"/>
    <x v="2"/>
    <x v="0"/>
    <x v="0"/>
    <x v="0"/>
    <x v="4"/>
    <x v="2"/>
    <n v="1"/>
    <n v="40"/>
    <n v="2148"/>
    <n v="0"/>
    <n v="5"/>
    <s v="Recovered"/>
    <n v="1"/>
  </r>
  <r>
    <s v="ADM-241271"/>
    <d v="2024-06-12T00:00:00"/>
    <d v="2024-06-17T00:00:00"/>
    <x v="0"/>
    <s v="Q2"/>
    <x v="5"/>
    <x v="2"/>
    <x v="5"/>
    <x v="0"/>
    <x v="0"/>
    <x v="1"/>
    <x v="0"/>
    <n v="5"/>
    <n v="67"/>
    <n v="6595"/>
    <n v="0"/>
    <n v="5"/>
    <s v="Improved"/>
    <n v="1"/>
  </r>
  <r>
    <s v="ADM-241272"/>
    <d v="2024-06-12T00:00:00"/>
    <d v="2024-06-14T00:00:00"/>
    <x v="0"/>
    <s v="Q2"/>
    <x v="5"/>
    <x v="2"/>
    <x v="3"/>
    <x v="0"/>
    <x v="1"/>
    <x v="3"/>
    <x v="0"/>
    <n v="2"/>
    <n v="60"/>
    <n v="2075"/>
    <n v="0"/>
    <n v="4"/>
    <s v="Improved"/>
    <n v="1"/>
  </r>
  <r>
    <s v="ADM-241273"/>
    <d v="2024-06-13T00:00:00"/>
    <d v="2024-06-14T00:00:00"/>
    <x v="0"/>
    <s v="Q2"/>
    <x v="5"/>
    <x v="3"/>
    <x v="2"/>
    <x v="1"/>
    <x v="0"/>
    <x v="1"/>
    <x v="2"/>
    <n v="1"/>
    <m/>
    <n v="1601"/>
    <n v="0"/>
    <n v="4"/>
    <s v="Recovered"/>
    <n v="1"/>
  </r>
  <r>
    <s v="ADM-241274"/>
    <d v="2024-06-13T00:00:00"/>
    <d v="2024-06-30T00:00:00"/>
    <x v="0"/>
    <s v="Q2"/>
    <x v="5"/>
    <x v="3"/>
    <x v="4"/>
    <x v="1"/>
    <x v="1"/>
    <x v="4"/>
    <x v="0"/>
    <n v="17"/>
    <m/>
    <n v="21150"/>
    <n v="0"/>
    <n v="4"/>
    <s v="Improved"/>
    <n v="1"/>
  </r>
  <r>
    <s v="ADM-241275"/>
    <d v="2024-06-13T00:00:00"/>
    <d v="2024-06-15T00:00:00"/>
    <x v="0"/>
    <s v="Q2"/>
    <x v="5"/>
    <x v="3"/>
    <x v="2"/>
    <x v="2"/>
    <x v="0"/>
    <x v="2"/>
    <x v="2"/>
    <n v="2"/>
    <m/>
    <n v="1935"/>
    <n v="0"/>
    <n v="4"/>
    <s v="Recovered"/>
    <n v="1"/>
  </r>
  <r>
    <s v="ADM-241276"/>
    <d v="2024-06-13T00:00:00"/>
    <d v="2024-06-24T00:00:00"/>
    <x v="0"/>
    <s v="Q2"/>
    <x v="5"/>
    <x v="3"/>
    <x v="3"/>
    <x v="0"/>
    <x v="1"/>
    <x v="3"/>
    <x v="2"/>
    <n v="11"/>
    <n v="63"/>
    <n v="6999"/>
    <n v="0"/>
    <n v="3"/>
    <s v="Recovered"/>
    <n v="1"/>
  </r>
  <r>
    <s v="ADM-241277"/>
    <d v="2024-06-13T00:00:00"/>
    <d v="2024-06-20T00:00:00"/>
    <x v="0"/>
    <s v="Q2"/>
    <x v="5"/>
    <x v="3"/>
    <x v="0"/>
    <x v="0"/>
    <x v="1"/>
    <x v="4"/>
    <x v="0"/>
    <n v="7"/>
    <n v="37"/>
    <n v="4401"/>
    <n v="0"/>
    <n v="4"/>
    <s v="Improved"/>
    <n v="1"/>
  </r>
  <r>
    <s v="ADM-241278"/>
    <d v="2024-06-13T00:00:00"/>
    <d v="2024-06-20T00:00:00"/>
    <x v="0"/>
    <s v="Q2"/>
    <x v="5"/>
    <x v="3"/>
    <x v="4"/>
    <x v="0"/>
    <x v="0"/>
    <x v="4"/>
    <x v="1"/>
    <n v="7"/>
    <n v="19"/>
    <n v="9028"/>
    <n v="0"/>
    <n v="5"/>
    <s v="Improved"/>
    <n v="1"/>
  </r>
  <r>
    <s v="ADM-241279"/>
    <d v="2024-06-14T00:00:00"/>
    <d v="2024-06-15T00:00:00"/>
    <x v="0"/>
    <s v="Q2"/>
    <x v="5"/>
    <x v="4"/>
    <x v="2"/>
    <x v="1"/>
    <x v="0"/>
    <x v="1"/>
    <x v="2"/>
    <n v="1"/>
    <m/>
    <n v="1996"/>
    <n v="0"/>
    <n v="5"/>
    <s v="Improved"/>
    <n v="1"/>
  </r>
  <r>
    <s v="ADM-241280"/>
    <d v="2024-06-14T00:00:00"/>
    <d v="2024-06-15T00:00:00"/>
    <x v="0"/>
    <s v="Q2"/>
    <x v="5"/>
    <x v="4"/>
    <x v="2"/>
    <x v="2"/>
    <x v="0"/>
    <x v="2"/>
    <x v="0"/>
    <n v="1"/>
    <m/>
    <n v="1471"/>
    <n v="0"/>
    <n v="5"/>
    <s v="Recovered"/>
    <n v="1"/>
  </r>
  <r>
    <s v="ADM-241281"/>
    <d v="2024-06-14T00:00:00"/>
    <d v="2024-06-17T00:00:00"/>
    <x v="0"/>
    <s v="Q2"/>
    <x v="5"/>
    <x v="4"/>
    <x v="3"/>
    <x v="2"/>
    <x v="0"/>
    <x v="3"/>
    <x v="0"/>
    <n v="3"/>
    <m/>
    <n v="2926"/>
    <n v="0"/>
    <n v="5"/>
    <s v="Transferred"/>
    <n v="1"/>
  </r>
  <r>
    <s v="ADM-241282"/>
    <d v="2024-06-14T00:00:00"/>
    <d v="2024-06-18T00:00:00"/>
    <x v="0"/>
    <s v="Q2"/>
    <x v="5"/>
    <x v="4"/>
    <x v="3"/>
    <x v="0"/>
    <x v="1"/>
    <x v="3"/>
    <x v="0"/>
    <n v="4"/>
    <n v="12"/>
    <n v="3585"/>
    <n v="0"/>
    <n v="5"/>
    <s v="Improved"/>
    <n v="1"/>
  </r>
  <r>
    <s v="ADM-241283"/>
    <d v="2024-06-14T00:00:00"/>
    <d v="2024-06-16T00:00:00"/>
    <x v="0"/>
    <s v="Q2"/>
    <x v="5"/>
    <x v="4"/>
    <x v="0"/>
    <x v="0"/>
    <x v="1"/>
    <x v="0"/>
    <x v="1"/>
    <n v="2"/>
    <n v="76"/>
    <n v="2187"/>
    <n v="0"/>
    <n v="4"/>
    <s v="Recovered"/>
    <n v="1"/>
  </r>
  <r>
    <s v="ADM-241284"/>
    <d v="2024-06-14T00:00:00"/>
    <d v="2024-06-17T00:00:00"/>
    <x v="0"/>
    <s v="Q2"/>
    <x v="5"/>
    <x v="4"/>
    <x v="0"/>
    <x v="2"/>
    <x v="0"/>
    <x v="0"/>
    <x v="1"/>
    <n v="3"/>
    <m/>
    <n v="3416"/>
    <n v="0"/>
    <n v="4"/>
    <s v="Recovered"/>
    <n v="1"/>
  </r>
  <r>
    <s v="ADM-241285"/>
    <d v="2024-06-14T00:00:00"/>
    <d v="2024-06-17T00:00:00"/>
    <x v="0"/>
    <s v="Q2"/>
    <x v="5"/>
    <x v="4"/>
    <x v="0"/>
    <x v="0"/>
    <x v="1"/>
    <x v="2"/>
    <x v="1"/>
    <n v="3"/>
    <n v="25"/>
    <n v="2769"/>
    <n v="0"/>
    <n v="4"/>
    <s v="Recovered"/>
    <n v="1"/>
  </r>
  <r>
    <s v="ADM-241286"/>
    <d v="2024-06-14T00:00:00"/>
    <d v="2024-06-17T00:00:00"/>
    <x v="0"/>
    <s v="Q2"/>
    <x v="5"/>
    <x v="4"/>
    <x v="3"/>
    <x v="0"/>
    <x v="0"/>
    <x v="3"/>
    <x v="2"/>
    <n v="3"/>
    <n v="28"/>
    <n v="2530"/>
    <n v="0"/>
    <n v="5"/>
    <s v="Recovered"/>
    <n v="1"/>
  </r>
  <r>
    <s v="ADM-241287"/>
    <d v="2024-06-14T00:00:00"/>
    <d v="2024-06-19T00:00:00"/>
    <x v="0"/>
    <s v="Q2"/>
    <x v="5"/>
    <x v="4"/>
    <x v="5"/>
    <x v="2"/>
    <x v="1"/>
    <x v="1"/>
    <x v="1"/>
    <n v="5"/>
    <m/>
    <n v="5196"/>
    <n v="0"/>
    <n v="5"/>
    <s v="Recovered"/>
    <n v="1"/>
  </r>
  <r>
    <s v="ADM-241288"/>
    <d v="2024-06-14T00:00:00"/>
    <d v="2024-06-15T00:00:00"/>
    <x v="0"/>
    <s v="Q2"/>
    <x v="5"/>
    <x v="4"/>
    <x v="5"/>
    <x v="2"/>
    <x v="1"/>
    <x v="1"/>
    <x v="2"/>
    <n v="1"/>
    <m/>
    <n v="2267"/>
    <n v="0"/>
    <n v="4"/>
    <s v="Recovered"/>
    <n v="1"/>
  </r>
  <r>
    <s v="ADM-241289"/>
    <d v="2024-06-14T00:00:00"/>
    <d v="2024-06-15T00:00:00"/>
    <x v="0"/>
    <s v="Q2"/>
    <x v="5"/>
    <x v="4"/>
    <x v="5"/>
    <x v="2"/>
    <x v="1"/>
    <x v="1"/>
    <x v="2"/>
    <n v="1"/>
    <m/>
    <n v="1783"/>
    <n v="0"/>
    <n v="4"/>
    <s v="Recovered"/>
    <n v="1"/>
  </r>
  <r>
    <s v="ADM-241290"/>
    <d v="2024-06-15T00:00:00"/>
    <d v="2024-06-16T00:00:00"/>
    <x v="0"/>
    <s v="Q2"/>
    <x v="5"/>
    <x v="5"/>
    <x v="0"/>
    <x v="0"/>
    <x v="0"/>
    <x v="0"/>
    <x v="2"/>
    <n v="1"/>
    <n v="16"/>
    <n v="1499"/>
    <n v="0"/>
    <n v="5"/>
    <s v="Recovered"/>
    <n v="1"/>
  </r>
  <r>
    <s v="ADM-241291"/>
    <d v="2024-06-15T00:00:00"/>
    <d v="2024-06-17T00:00:00"/>
    <x v="0"/>
    <s v="Q2"/>
    <x v="5"/>
    <x v="5"/>
    <x v="5"/>
    <x v="0"/>
    <x v="1"/>
    <x v="2"/>
    <x v="1"/>
    <n v="2"/>
    <n v="66"/>
    <n v="3032"/>
    <n v="0"/>
    <n v="5"/>
    <s v="Recovered"/>
    <n v="1"/>
  </r>
  <r>
    <s v="ADM-241292"/>
    <d v="2024-06-15T00:00:00"/>
    <d v="2024-06-25T00:00:00"/>
    <x v="0"/>
    <s v="Q2"/>
    <x v="5"/>
    <x v="5"/>
    <x v="0"/>
    <x v="2"/>
    <x v="0"/>
    <x v="4"/>
    <x v="0"/>
    <n v="10"/>
    <m/>
    <n v="5893"/>
    <n v="0"/>
    <n v="5"/>
    <s v="Transferred"/>
    <n v="1"/>
  </r>
  <r>
    <s v="ADM-241293"/>
    <d v="2024-06-15T00:00:00"/>
    <d v="2024-06-22T00:00:00"/>
    <x v="0"/>
    <s v="Q2"/>
    <x v="5"/>
    <x v="5"/>
    <x v="3"/>
    <x v="2"/>
    <x v="0"/>
    <x v="3"/>
    <x v="2"/>
    <n v="7"/>
    <m/>
    <n v="6315"/>
    <n v="0"/>
    <n v="4"/>
    <s v="Improved"/>
    <n v="1"/>
  </r>
  <r>
    <s v="ADM-241294"/>
    <d v="2024-06-15T00:00:00"/>
    <d v="2024-06-20T00:00:00"/>
    <x v="0"/>
    <s v="Q2"/>
    <x v="5"/>
    <x v="5"/>
    <x v="1"/>
    <x v="0"/>
    <x v="1"/>
    <x v="2"/>
    <x v="2"/>
    <n v="5"/>
    <n v="58"/>
    <n v="5765"/>
    <n v="0"/>
    <n v="5"/>
    <s v="Recovered"/>
    <n v="1"/>
  </r>
  <r>
    <s v="ADM-241295"/>
    <d v="2024-06-15T00:00:00"/>
    <d v="2024-06-16T00:00:00"/>
    <x v="0"/>
    <s v="Q2"/>
    <x v="5"/>
    <x v="5"/>
    <x v="2"/>
    <x v="0"/>
    <x v="0"/>
    <x v="1"/>
    <x v="1"/>
    <n v="1"/>
    <n v="23"/>
    <n v="1418"/>
    <n v="0"/>
    <n v="4"/>
    <s v="Improved"/>
    <n v="1"/>
  </r>
  <r>
    <s v="ADM-241296"/>
    <d v="2024-06-15T00:00:00"/>
    <d v="2024-06-19T00:00:00"/>
    <x v="0"/>
    <s v="Q2"/>
    <x v="5"/>
    <x v="5"/>
    <x v="0"/>
    <x v="1"/>
    <x v="0"/>
    <x v="0"/>
    <x v="1"/>
    <n v="4"/>
    <m/>
    <n v="3576"/>
    <n v="0"/>
    <n v="4"/>
    <s v="Recovered"/>
    <n v="1"/>
  </r>
  <r>
    <s v="ADM-241297"/>
    <d v="2024-06-15T00:00:00"/>
    <d v="2024-06-17T00:00:00"/>
    <x v="0"/>
    <s v="Q2"/>
    <x v="5"/>
    <x v="5"/>
    <x v="0"/>
    <x v="1"/>
    <x v="0"/>
    <x v="0"/>
    <x v="2"/>
    <n v="2"/>
    <m/>
    <n v="2194"/>
    <n v="0"/>
    <n v="5"/>
    <s v="Recovered"/>
    <n v="1"/>
  </r>
  <r>
    <s v="ADM-241298"/>
    <d v="2024-06-15T00:00:00"/>
    <d v="2024-06-16T00:00:00"/>
    <x v="0"/>
    <s v="Q2"/>
    <x v="5"/>
    <x v="5"/>
    <x v="1"/>
    <x v="1"/>
    <x v="0"/>
    <x v="2"/>
    <x v="0"/>
    <n v="1"/>
    <m/>
    <n v="1986"/>
    <n v="0"/>
    <n v="4"/>
    <s v="Improved"/>
    <n v="1"/>
  </r>
  <r>
    <s v="ADM-241299"/>
    <d v="2024-06-16T00:00:00"/>
    <d v="2024-06-23T00:00:00"/>
    <x v="0"/>
    <s v="Q2"/>
    <x v="5"/>
    <x v="6"/>
    <x v="0"/>
    <x v="0"/>
    <x v="1"/>
    <x v="4"/>
    <x v="0"/>
    <n v="7"/>
    <n v="78"/>
    <n v="5525"/>
    <n v="0"/>
    <n v="4"/>
    <s v="Improved"/>
    <n v="1"/>
  </r>
  <r>
    <s v="ADM-241300"/>
    <d v="2024-06-16T00:00:00"/>
    <d v="2024-06-24T00:00:00"/>
    <x v="0"/>
    <s v="Q2"/>
    <x v="5"/>
    <x v="6"/>
    <x v="0"/>
    <x v="2"/>
    <x v="1"/>
    <x v="4"/>
    <x v="2"/>
    <n v="8"/>
    <m/>
    <n v="6559"/>
    <n v="0"/>
    <n v="4"/>
    <s v="Improved"/>
    <n v="1"/>
  </r>
  <r>
    <s v="ADM-241301"/>
    <d v="2024-06-16T00:00:00"/>
    <d v="2024-07-02T00:00:00"/>
    <x v="0"/>
    <s v="Q2"/>
    <x v="5"/>
    <x v="6"/>
    <x v="0"/>
    <x v="0"/>
    <x v="1"/>
    <x v="0"/>
    <x v="2"/>
    <n v="16"/>
    <n v="25"/>
    <n v="7631"/>
    <n v="1"/>
    <n v="5"/>
    <s v="Improved"/>
    <n v="1"/>
  </r>
  <r>
    <s v="ADM-241302"/>
    <d v="2024-06-16T00:00:00"/>
    <d v="2024-06-20T00:00:00"/>
    <x v="0"/>
    <s v="Q2"/>
    <x v="5"/>
    <x v="6"/>
    <x v="0"/>
    <x v="0"/>
    <x v="0"/>
    <x v="0"/>
    <x v="0"/>
    <n v="4"/>
    <n v="74"/>
    <n v="3551"/>
    <n v="0"/>
    <n v="4"/>
    <s v="Improved"/>
    <n v="1"/>
  </r>
  <r>
    <s v="ADM-241303"/>
    <d v="2024-06-16T00:00:00"/>
    <d v="2024-06-19T00:00:00"/>
    <x v="0"/>
    <s v="Q2"/>
    <x v="5"/>
    <x v="6"/>
    <x v="5"/>
    <x v="2"/>
    <x v="1"/>
    <x v="2"/>
    <x v="0"/>
    <n v="3"/>
    <m/>
    <n v="3980"/>
    <n v="0"/>
    <n v="4"/>
    <s v="Recovered"/>
    <n v="1"/>
  </r>
  <r>
    <s v="ADM-241304"/>
    <d v="2024-06-16T00:00:00"/>
    <d v="2024-06-22T00:00:00"/>
    <x v="0"/>
    <s v="Q2"/>
    <x v="5"/>
    <x v="6"/>
    <x v="5"/>
    <x v="2"/>
    <x v="1"/>
    <x v="4"/>
    <x v="0"/>
    <n v="6"/>
    <m/>
    <n v="7314"/>
    <n v="0"/>
    <n v="4"/>
    <s v="Recovered"/>
    <n v="1"/>
  </r>
  <r>
    <s v="ADM-241305"/>
    <d v="2024-06-16T00:00:00"/>
    <d v="2024-06-22T00:00:00"/>
    <x v="0"/>
    <s v="Q2"/>
    <x v="5"/>
    <x v="6"/>
    <x v="3"/>
    <x v="2"/>
    <x v="0"/>
    <x v="3"/>
    <x v="2"/>
    <n v="6"/>
    <m/>
    <n v="4185"/>
    <n v="0"/>
    <n v="5"/>
    <s v="Recovered"/>
    <n v="1"/>
  </r>
  <r>
    <s v="ADM-241306"/>
    <d v="2024-06-17T00:00:00"/>
    <d v="2024-06-21T00:00:00"/>
    <x v="0"/>
    <s v="Q2"/>
    <x v="5"/>
    <x v="0"/>
    <x v="4"/>
    <x v="2"/>
    <x v="1"/>
    <x v="4"/>
    <x v="2"/>
    <n v="4"/>
    <m/>
    <n v="5260"/>
    <n v="0"/>
    <n v="4"/>
    <s v="Improved"/>
    <n v="1"/>
  </r>
  <r>
    <s v="ADM-241307"/>
    <d v="2024-06-17T00:00:00"/>
    <d v="2024-06-19T00:00:00"/>
    <x v="0"/>
    <s v="Q2"/>
    <x v="5"/>
    <x v="0"/>
    <x v="3"/>
    <x v="2"/>
    <x v="1"/>
    <x v="3"/>
    <x v="2"/>
    <n v="2"/>
    <m/>
    <n v="1561"/>
    <n v="0"/>
    <n v="3"/>
    <s v="Improved"/>
    <n v="1"/>
  </r>
  <r>
    <s v="ADM-241308"/>
    <d v="2024-06-17T00:00:00"/>
    <d v="2024-06-21T00:00:00"/>
    <x v="0"/>
    <s v="Q2"/>
    <x v="5"/>
    <x v="0"/>
    <x v="3"/>
    <x v="0"/>
    <x v="1"/>
    <x v="3"/>
    <x v="2"/>
    <n v="4"/>
    <n v="50"/>
    <n v="2810"/>
    <n v="0"/>
    <n v="4"/>
    <s v="Improved"/>
    <n v="1"/>
  </r>
  <r>
    <s v="ADM-241309"/>
    <d v="2024-06-18T00:00:00"/>
    <d v="2024-06-21T00:00:00"/>
    <x v="0"/>
    <s v="Q2"/>
    <x v="5"/>
    <x v="1"/>
    <x v="0"/>
    <x v="1"/>
    <x v="1"/>
    <x v="1"/>
    <x v="0"/>
    <n v="3"/>
    <m/>
    <n v="1811"/>
    <n v="0"/>
    <n v="4"/>
    <s v="Improved"/>
    <n v="1"/>
  </r>
  <r>
    <s v="ADM-241310"/>
    <d v="2024-06-18T00:00:00"/>
    <d v="2024-06-23T00:00:00"/>
    <x v="0"/>
    <s v="Q2"/>
    <x v="5"/>
    <x v="1"/>
    <x v="5"/>
    <x v="2"/>
    <x v="1"/>
    <x v="1"/>
    <x v="2"/>
    <n v="5"/>
    <m/>
    <n v="6683"/>
    <n v="0"/>
    <n v="4"/>
    <s v="Recovered"/>
    <n v="1"/>
  </r>
  <r>
    <s v="ADM-241311"/>
    <d v="2024-06-18T00:00:00"/>
    <d v="2024-06-23T00:00:00"/>
    <x v="0"/>
    <s v="Q2"/>
    <x v="5"/>
    <x v="1"/>
    <x v="1"/>
    <x v="2"/>
    <x v="1"/>
    <x v="0"/>
    <x v="0"/>
    <n v="5"/>
    <m/>
    <n v="6464"/>
    <n v="0"/>
    <n v="5"/>
    <s v="Recovered"/>
    <n v="1"/>
  </r>
  <r>
    <s v="ADM-241312"/>
    <d v="2024-06-18T00:00:00"/>
    <d v="2024-06-20T00:00:00"/>
    <x v="0"/>
    <s v="Q2"/>
    <x v="5"/>
    <x v="1"/>
    <x v="3"/>
    <x v="0"/>
    <x v="1"/>
    <x v="3"/>
    <x v="2"/>
    <n v="2"/>
    <n v="51"/>
    <n v="2280"/>
    <n v="0"/>
    <n v="4"/>
    <s v="Recovered"/>
    <n v="1"/>
  </r>
  <r>
    <s v="ADM-241313"/>
    <d v="2024-06-18T00:00:00"/>
    <d v="2024-06-22T00:00:00"/>
    <x v="0"/>
    <s v="Q2"/>
    <x v="5"/>
    <x v="1"/>
    <x v="3"/>
    <x v="1"/>
    <x v="1"/>
    <x v="3"/>
    <x v="0"/>
    <n v="4"/>
    <m/>
    <n v="4285"/>
    <n v="0"/>
    <n v="4"/>
    <s v="Recovered"/>
    <n v="1"/>
  </r>
  <r>
    <s v="ADM-241314"/>
    <d v="2024-06-18T00:00:00"/>
    <d v="2024-06-22T00:00:00"/>
    <x v="0"/>
    <s v="Q2"/>
    <x v="5"/>
    <x v="1"/>
    <x v="3"/>
    <x v="1"/>
    <x v="1"/>
    <x v="3"/>
    <x v="2"/>
    <n v="4"/>
    <m/>
    <n v="2895"/>
    <n v="0"/>
    <n v="5"/>
    <s v="Improved"/>
    <n v="1"/>
  </r>
  <r>
    <s v="ADM-241315"/>
    <d v="2024-06-19T00:00:00"/>
    <d v="2024-06-23T00:00:00"/>
    <x v="0"/>
    <s v="Q2"/>
    <x v="5"/>
    <x v="2"/>
    <x v="1"/>
    <x v="2"/>
    <x v="1"/>
    <x v="2"/>
    <x v="0"/>
    <n v="4"/>
    <m/>
    <n v="6072"/>
    <n v="0"/>
    <n v="5"/>
    <s v="Recovered"/>
    <n v="1"/>
  </r>
  <r>
    <s v="ADM-241316"/>
    <d v="2024-06-19T00:00:00"/>
    <d v="2024-06-26T00:00:00"/>
    <x v="0"/>
    <s v="Q2"/>
    <x v="5"/>
    <x v="2"/>
    <x v="0"/>
    <x v="0"/>
    <x v="0"/>
    <x v="0"/>
    <x v="0"/>
    <n v="7"/>
    <n v="46"/>
    <n v="5491"/>
    <n v="0"/>
    <n v="4"/>
    <s v="Recovered"/>
    <n v="1"/>
  </r>
  <r>
    <s v="ADM-241317"/>
    <d v="2024-06-19T00:00:00"/>
    <d v="2024-06-22T00:00:00"/>
    <x v="0"/>
    <s v="Q2"/>
    <x v="5"/>
    <x v="2"/>
    <x v="1"/>
    <x v="0"/>
    <x v="0"/>
    <x v="4"/>
    <x v="0"/>
    <n v="3"/>
    <n v="230"/>
    <n v="3559"/>
    <n v="0"/>
    <n v="4"/>
    <s v="Recovered"/>
    <n v="1"/>
  </r>
  <r>
    <s v="ADM-241318"/>
    <d v="2024-06-19T00:00:00"/>
    <d v="2024-06-21T00:00:00"/>
    <x v="0"/>
    <s v="Q2"/>
    <x v="5"/>
    <x v="2"/>
    <x v="0"/>
    <x v="0"/>
    <x v="0"/>
    <x v="1"/>
    <x v="2"/>
    <n v="2"/>
    <n v="17"/>
    <n v="2167"/>
    <n v="0"/>
    <n v="5"/>
    <s v="Recovered"/>
    <n v="1"/>
  </r>
  <r>
    <s v="ADM-241319"/>
    <d v="2024-06-19T00:00:00"/>
    <d v="2024-06-21T00:00:00"/>
    <x v="0"/>
    <s v="Q2"/>
    <x v="5"/>
    <x v="2"/>
    <x v="3"/>
    <x v="0"/>
    <x v="0"/>
    <x v="3"/>
    <x v="2"/>
    <n v="2"/>
    <n v="66"/>
    <n v="1680"/>
    <n v="0"/>
    <n v="3"/>
    <s v="Recovered"/>
    <n v="1"/>
  </r>
  <r>
    <s v="ADM-241320"/>
    <d v="2024-06-19T00:00:00"/>
    <d v="2024-06-24T00:00:00"/>
    <x v="0"/>
    <s v="Q2"/>
    <x v="5"/>
    <x v="2"/>
    <x v="1"/>
    <x v="2"/>
    <x v="1"/>
    <x v="2"/>
    <x v="2"/>
    <n v="5"/>
    <m/>
    <n v="3486"/>
    <n v="0"/>
    <n v="4"/>
    <s v="Recovered"/>
    <n v="1"/>
  </r>
  <r>
    <s v="ADM-241321"/>
    <d v="2024-06-19T00:00:00"/>
    <d v="2024-06-21T00:00:00"/>
    <x v="0"/>
    <s v="Q2"/>
    <x v="5"/>
    <x v="2"/>
    <x v="3"/>
    <x v="0"/>
    <x v="1"/>
    <x v="3"/>
    <x v="2"/>
    <n v="2"/>
    <n v="108"/>
    <n v="1828"/>
    <n v="0"/>
    <n v="4"/>
    <s v="Improved"/>
    <n v="1"/>
  </r>
  <r>
    <s v="ADM-241322"/>
    <d v="2024-06-19T00:00:00"/>
    <d v="2024-06-23T00:00:00"/>
    <x v="0"/>
    <s v="Q2"/>
    <x v="5"/>
    <x v="2"/>
    <x v="3"/>
    <x v="0"/>
    <x v="1"/>
    <x v="3"/>
    <x v="2"/>
    <n v="4"/>
    <n v="26"/>
    <n v="3218"/>
    <n v="0"/>
    <n v="4"/>
    <s v="Improved"/>
    <n v="1"/>
  </r>
  <r>
    <s v="ADM-241323"/>
    <d v="2024-06-19T00:00:00"/>
    <d v="2024-06-21T00:00:00"/>
    <x v="0"/>
    <s v="Q2"/>
    <x v="5"/>
    <x v="2"/>
    <x v="3"/>
    <x v="0"/>
    <x v="1"/>
    <x v="3"/>
    <x v="2"/>
    <n v="2"/>
    <n v="75"/>
    <n v="1781"/>
    <n v="0"/>
    <n v="4"/>
    <s v="Improved"/>
    <n v="1"/>
  </r>
  <r>
    <s v="ADM-241324"/>
    <d v="2024-06-20T00:00:00"/>
    <d v="2024-06-23T00:00:00"/>
    <x v="0"/>
    <s v="Q2"/>
    <x v="5"/>
    <x v="3"/>
    <x v="4"/>
    <x v="0"/>
    <x v="1"/>
    <x v="4"/>
    <x v="1"/>
    <n v="3"/>
    <n v="56"/>
    <n v="5236"/>
    <n v="0"/>
    <n v="4"/>
    <s v="Improved"/>
    <n v="1"/>
  </r>
  <r>
    <s v="ADM-241325"/>
    <d v="2024-06-20T00:00:00"/>
    <d v="2024-06-21T00:00:00"/>
    <x v="0"/>
    <s v="Q2"/>
    <x v="5"/>
    <x v="3"/>
    <x v="1"/>
    <x v="2"/>
    <x v="1"/>
    <x v="2"/>
    <x v="0"/>
    <n v="1"/>
    <m/>
    <n v="1443"/>
    <n v="0"/>
    <n v="4"/>
    <s v="Improved"/>
    <n v="1"/>
  </r>
  <r>
    <s v="ADM-241326"/>
    <d v="2024-06-20T00:00:00"/>
    <d v="2024-06-25T00:00:00"/>
    <x v="0"/>
    <s v="Q2"/>
    <x v="5"/>
    <x v="3"/>
    <x v="0"/>
    <x v="0"/>
    <x v="0"/>
    <x v="4"/>
    <x v="0"/>
    <n v="5"/>
    <n v="70"/>
    <n v="2950"/>
    <n v="0"/>
    <n v="4"/>
    <s v="Recovered"/>
    <n v="1"/>
  </r>
  <r>
    <s v="ADM-241327"/>
    <d v="2024-06-20T00:00:00"/>
    <d v="2024-06-22T00:00:00"/>
    <x v="0"/>
    <s v="Q2"/>
    <x v="5"/>
    <x v="3"/>
    <x v="5"/>
    <x v="2"/>
    <x v="1"/>
    <x v="1"/>
    <x v="1"/>
    <n v="2"/>
    <m/>
    <n v="2938"/>
    <n v="0"/>
    <n v="3"/>
    <s v="Improved"/>
    <n v="1"/>
  </r>
  <r>
    <s v="ADM-241328"/>
    <d v="2024-06-21T00:00:00"/>
    <d v="2024-06-29T00:00:00"/>
    <x v="0"/>
    <s v="Q2"/>
    <x v="5"/>
    <x v="4"/>
    <x v="1"/>
    <x v="0"/>
    <x v="0"/>
    <x v="0"/>
    <x v="2"/>
    <n v="8"/>
    <n v="63"/>
    <n v="6202"/>
    <n v="0"/>
    <n v="5"/>
    <s v="Recovered"/>
    <n v="1"/>
  </r>
  <r>
    <s v="ADM-241329"/>
    <d v="2024-06-21T00:00:00"/>
    <d v="2024-06-29T00:00:00"/>
    <x v="0"/>
    <s v="Q2"/>
    <x v="5"/>
    <x v="4"/>
    <x v="0"/>
    <x v="0"/>
    <x v="0"/>
    <x v="4"/>
    <x v="0"/>
    <n v="8"/>
    <n v="22"/>
    <n v="6730"/>
    <n v="0"/>
    <n v="4"/>
    <s v="Recovered"/>
    <n v="1"/>
  </r>
  <r>
    <s v="ADM-241330"/>
    <d v="2024-06-21T00:00:00"/>
    <d v="2024-06-23T00:00:00"/>
    <x v="0"/>
    <s v="Q2"/>
    <x v="5"/>
    <x v="4"/>
    <x v="2"/>
    <x v="0"/>
    <x v="0"/>
    <x v="2"/>
    <x v="0"/>
    <n v="2"/>
    <n v="68"/>
    <n v="2517"/>
    <n v="0"/>
    <n v="5"/>
    <s v="Recovered"/>
    <n v="1"/>
  </r>
  <r>
    <s v="ADM-241331"/>
    <d v="2024-06-21T00:00:00"/>
    <d v="2024-06-24T00:00:00"/>
    <x v="0"/>
    <s v="Q2"/>
    <x v="5"/>
    <x v="4"/>
    <x v="0"/>
    <x v="2"/>
    <x v="1"/>
    <x v="0"/>
    <x v="1"/>
    <n v="3"/>
    <m/>
    <n v="2748"/>
    <n v="0"/>
    <n v="5"/>
    <s v="Recovered"/>
    <n v="1"/>
  </r>
  <r>
    <s v="ADM-241332"/>
    <d v="2024-06-21T00:00:00"/>
    <d v="2024-06-23T00:00:00"/>
    <x v="0"/>
    <s v="Q2"/>
    <x v="5"/>
    <x v="4"/>
    <x v="5"/>
    <x v="2"/>
    <x v="0"/>
    <x v="0"/>
    <x v="2"/>
    <n v="2"/>
    <m/>
    <n v="2303"/>
    <n v="0"/>
    <n v="4"/>
    <s v="Improved"/>
    <n v="1"/>
  </r>
  <r>
    <s v="ADM-241333"/>
    <d v="2024-06-21T00:00:00"/>
    <d v="2024-06-23T00:00:00"/>
    <x v="0"/>
    <s v="Q2"/>
    <x v="5"/>
    <x v="4"/>
    <x v="4"/>
    <x v="2"/>
    <x v="1"/>
    <x v="0"/>
    <x v="0"/>
    <n v="2"/>
    <m/>
    <n v="2748"/>
    <n v="1"/>
    <n v="4"/>
    <s v="Recovered"/>
    <n v="1"/>
  </r>
  <r>
    <s v="ADM-241334"/>
    <d v="2024-06-21T00:00:00"/>
    <d v="2024-06-22T00:00:00"/>
    <x v="0"/>
    <s v="Q2"/>
    <x v="5"/>
    <x v="4"/>
    <x v="2"/>
    <x v="0"/>
    <x v="0"/>
    <x v="2"/>
    <x v="1"/>
    <n v="1"/>
    <n v="47"/>
    <n v="814"/>
    <n v="0"/>
    <n v="4"/>
    <s v="Recovered"/>
    <n v="1"/>
  </r>
  <r>
    <s v="ADM-241335"/>
    <d v="2024-06-22T00:00:00"/>
    <d v="2024-06-25T00:00:00"/>
    <x v="0"/>
    <s v="Q2"/>
    <x v="5"/>
    <x v="5"/>
    <x v="1"/>
    <x v="1"/>
    <x v="1"/>
    <x v="2"/>
    <x v="2"/>
    <n v="3"/>
    <m/>
    <n v="4203"/>
    <n v="0"/>
    <n v="5"/>
    <s v="Recovered"/>
    <n v="1"/>
  </r>
  <r>
    <s v="ADM-241336"/>
    <d v="2024-06-22T00:00:00"/>
    <d v="2024-07-04T00:00:00"/>
    <x v="0"/>
    <s v="Q2"/>
    <x v="5"/>
    <x v="5"/>
    <x v="0"/>
    <x v="0"/>
    <x v="0"/>
    <x v="0"/>
    <x v="2"/>
    <n v="12"/>
    <n v="44"/>
    <n v="8467"/>
    <n v="1"/>
    <n v="5"/>
    <s v="Recovered"/>
    <n v="1"/>
  </r>
  <r>
    <s v="ADM-241337"/>
    <d v="2024-06-22T00:00:00"/>
    <d v="2024-07-12T00:00:00"/>
    <x v="0"/>
    <s v="Q2"/>
    <x v="5"/>
    <x v="5"/>
    <x v="5"/>
    <x v="0"/>
    <x v="0"/>
    <x v="2"/>
    <x v="2"/>
    <n v="20"/>
    <n v="80"/>
    <n v="23978"/>
    <n v="0"/>
    <n v="5"/>
    <s v="Recovered"/>
    <n v="1"/>
  </r>
  <r>
    <s v="ADM-241338"/>
    <d v="2024-06-22T00:00:00"/>
    <d v="2024-06-26T00:00:00"/>
    <x v="0"/>
    <s v="Q2"/>
    <x v="5"/>
    <x v="5"/>
    <x v="4"/>
    <x v="2"/>
    <x v="1"/>
    <x v="0"/>
    <x v="2"/>
    <n v="4"/>
    <m/>
    <n v="6122"/>
    <n v="0"/>
    <n v="4"/>
    <s v="Recovered"/>
    <n v="1"/>
  </r>
  <r>
    <s v="ADM-241339"/>
    <d v="2024-06-22T00:00:00"/>
    <d v="2024-07-07T00:00:00"/>
    <x v="0"/>
    <s v="Q2"/>
    <x v="5"/>
    <x v="5"/>
    <x v="0"/>
    <x v="0"/>
    <x v="0"/>
    <x v="0"/>
    <x v="0"/>
    <n v="15"/>
    <n v="41"/>
    <n v="8477"/>
    <n v="0"/>
    <n v="5"/>
    <s v="Recovered"/>
    <n v="1"/>
  </r>
  <r>
    <s v="ADM-241340"/>
    <d v="2024-06-23T00:00:00"/>
    <d v="2024-06-25T00:00:00"/>
    <x v="0"/>
    <s v="Q2"/>
    <x v="5"/>
    <x v="6"/>
    <x v="4"/>
    <x v="1"/>
    <x v="1"/>
    <x v="1"/>
    <x v="2"/>
    <n v="2"/>
    <m/>
    <n v="3133"/>
    <n v="0"/>
    <n v="4"/>
    <s v="Recovered"/>
    <n v="1"/>
  </r>
  <r>
    <s v="ADM-241341"/>
    <d v="2024-06-23T00:00:00"/>
    <d v="2024-06-28T00:00:00"/>
    <x v="0"/>
    <s v="Q2"/>
    <x v="5"/>
    <x v="6"/>
    <x v="2"/>
    <x v="0"/>
    <x v="0"/>
    <x v="1"/>
    <x v="0"/>
    <n v="5"/>
    <n v="87"/>
    <n v="4095"/>
    <n v="0"/>
    <n v="4"/>
    <s v="Recovered"/>
    <n v="1"/>
  </r>
  <r>
    <s v="ADM-241342"/>
    <d v="2024-06-23T00:00:00"/>
    <d v="2024-07-01T00:00:00"/>
    <x v="0"/>
    <s v="Q2"/>
    <x v="5"/>
    <x v="6"/>
    <x v="4"/>
    <x v="0"/>
    <x v="0"/>
    <x v="2"/>
    <x v="2"/>
    <n v="8"/>
    <n v="12"/>
    <n v="10640"/>
    <n v="0"/>
    <n v="4"/>
    <s v="Recovered"/>
    <n v="1"/>
  </r>
  <r>
    <s v="ADM-241343"/>
    <d v="2024-06-23T00:00:00"/>
    <d v="2024-06-25T00:00:00"/>
    <x v="0"/>
    <s v="Q2"/>
    <x v="5"/>
    <x v="6"/>
    <x v="0"/>
    <x v="0"/>
    <x v="0"/>
    <x v="4"/>
    <x v="2"/>
    <n v="2"/>
    <n v="37"/>
    <n v="1953"/>
    <n v="0"/>
    <n v="4"/>
    <s v="Recovered"/>
    <n v="1"/>
  </r>
  <r>
    <s v="ADM-241344"/>
    <d v="2024-06-24T00:00:00"/>
    <d v="2024-07-06T00:00:00"/>
    <x v="0"/>
    <s v="Q2"/>
    <x v="5"/>
    <x v="0"/>
    <x v="1"/>
    <x v="2"/>
    <x v="0"/>
    <x v="2"/>
    <x v="2"/>
    <n v="12"/>
    <m/>
    <n v="11651"/>
    <n v="0"/>
    <n v="5"/>
    <s v="Recovered"/>
    <n v="1"/>
  </r>
  <r>
    <s v="ADM-241345"/>
    <d v="2024-06-24T00:00:00"/>
    <d v="2024-06-25T00:00:00"/>
    <x v="0"/>
    <s v="Q2"/>
    <x v="5"/>
    <x v="0"/>
    <x v="2"/>
    <x v="0"/>
    <x v="0"/>
    <x v="2"/>
    <x v="0"/>
    <n v="1"/>
    <n v="27"/>
    <n v="1536"/>
    <n v="0"/>
    <n v="5"/>
    <s v="Recovered"/>
    <n v="1"/>
  </r>
  <r>
    <s v="ADM-241346"/>
    <d v="2024-06-25T00:00:00"/>
    <d v="2024-07-02T00:00:00"/>
    <x v="0"/>
    <s v="Q2"/>
    <x v="5"/>
    <x v="1"/>
    <x v="1"/>
    <x v="2"/>
    <x v="1"/>
    <x v="0"/>
    <x v="0"/>
    <n v="7"/>
    <m/>
    <n v="6932"/>
    <n v="0"/>
    <n v="4"/>
    <s v="Improved"/>
    <n v="1"/>
  </r>
  <r>
    <s v="ADM-241347"/>
    <d v="2024-06-25T00:00:00"/>
    <d v="2024-07-18T00:00:00"/>
    <x v="0"/>
    <s v="Q2"/>
    <x v="5"/>
    <x v="1"/>
    <x v="0"/>
    <x v="0"/>
    <x v="0"/>
    <x v="0"/>
    <x v="0"/>
    <n v="23"/>
    <n v="59"/>
    <n v="16215"/>
    <n v="1"/>
    <n v="4"/>
    <s v="Improved"/>
    <n v="1"/>
  </r>
  <r>
    <s v="ADM-241348"/>
    <d v="2024-06-25T00:00:00"/>
    <d v="2024-06-30T00:00:00"/>
    <x v="0"/>
    <s v="Q2"/>
    <x v="5"/>
    <x v="1"/>
    <x v="3"/>
    <x v="0"/>
    <x v="0"/>
    <x v="3"/>
    <x v="2"/>
    <n v="5"/>
    <n v="56"/>
    <n v="3555"/>
    <n v="0"/>
    <n v="4"/>
    <s v="Improved"/>
    <n v="1"/>
  </r>
  <r>
    <s v="ADM-241349"/>
    <d v="2024-06-25T00:00:00"/>
    <d v="2024-07-09T00:00:00"/>
    <x v="0"/>
    <s v="Q2"/>
    <x v="5"/>
    <x v="1"/>
    <x v="0"/>
    <x v="0"/>
    <x v="0"/>
    <x v="0"/>
    <x v="2"/>
    <n v="14"/>
    <n v="23"/>
    <n v="8953"/>
    <n v="0"/>
    <n v="5"/>
    <s v="Recovered"/>
    <n v="1"/>
  </r>
  <r>
    <s v="ADM-241350"/>
    <d v="2024-06-25T00:00:00"/>
    <d v="2024-06-30T00:00:00"/>
    <x v="0"/>
    <s v="Q2"/>
    <x v="5"/>
    <x v="1"/>
    <x v="1"/>
    <x v="0"/>
    <x v="1"/>
    <x v="2"/>
    <x v="2"/>
    <n v="5"/>
    <n v="67"/>
    <n v="3557"/>
    <n v="0"/>
    <n v="4"/>
    <s v="Recovered"/>
    <n v="1"/>
  </r>
  <r>
    <s v="ADM-241351"/>
    <d v="2024-06-25T00:00:00"/>
    <d v="2024-06-28T00:00:00"/>
    <x v="0"/>
    <s v="Q2"/>
    <x v="5"/>
    <x v="1"/>
    <x v="1"/>
    <x v="0"/>
    <x v="1"/>
    <x v="4"/>
    <x v="2"/>
    <n v="3"/>
    <n v="16"/>
    <n v="3479"/>
    <n v="0"/>
    <n v="5"/>
    <s v="Recovered"/>
    <n v="1"/>
  </r>
  <r>
    <s v="ADM-241352"/>
    <d v="2024-06-25T00:00:00"/>
    <d v="2024-06-27T00:00:00"/>
    <x v="0"/>
    <s v="Q2"/>
    <x v="5"/>
    <x v="1"/>
    <x v="4"/>
    <x v="2"/>
    <x v="0"/>
    <x v="1"/>
    <x v="0"/>
    <n v="2"/>
    <m/>
    <n v="3088"/>
    <n v="0"/>
    <n v="4"/>
    <s v="Recovered"/>
    <n v="1"/>
  </r>
  <r>
    <s v="ADM-241353"/>
    <d v="2024-06-25T00:00:00"/>
    <d v="2024-06-27T00:00:00"/>
    <x v="0"/>
    <s v="Q2"/>
    <x v="5"/>
    <x v="1"/>
    <x v="5"/>
    <x v="2"/>
    <x v="0"/>
    <x v="0"/>
    <x v="0"/>
    <n v="2"/>
    <m/>
    <n v="2669"/>
    <n v="0"/>
    <n v="4"/>
    <s v="Transferred"/>
    <n v="1"/>
  </r>
  <r>
    <s v="ADM-241354"/>
    <d v="2024-06-25T00:00:00"/>
    <d v="2024-06-27T00:00:00"/>
    <x v="0"/>
    <s v="Q2"/>
    <x v="5"/>
    <x v="1"/>
    <x v="2"/>
    <x v="2"/>
    <x v="0"/>
    <x v="2"/>
    <x v="0"/>
    <n v="2"/>
    <m/>
    <n v="2043"/>
    <n v="0"/>
    <n v="5"/>
    <s v="Recovered"/>
    <n v="1"/>
  </r>
  <r>
    <s v="ADM-241355"/>
    <d v="2024-06-25T00:00:00"/>
    <d v="2024-06-28T00:00:00"/>
    <x v="0"/>
    <s v="Q2"/>
    <x v="5"/>
    <x v="1"/>
    <x v="5"/>
    <x v="0"/>
    <x v="0"/>
    <x v="0"/>
    <x v="0"/>
    <n v="3"/>
    <n v="46"/>
    <n v="3573"/>
    <n v="0"/>
    <n v="5"/>
    <s v="Improved"/>
    <n v="1"/>
  </r>
  <r>
    <s v="ADM-241356"/>
    <d v="2024-06-25T00:00:00"/>
    <d v="2024-06-29T00:00:00"/>
    <x v="0"/>
    <s v="Q2"/>
    <x v="5"/>
    <x v="1"/>
    <x v="2"/>
    <x v="1"/>
    <x v="0"/>
    <x v="1"/>
    <x v="0"/>
    <n v="4"/>
    <m/>
    <n v="4198"/>
    <n v="0"/>
    <n v="5"/>
    <s v="Recovered"/>
    <n v="1"/>
  </r>
  <r>
    <s v="ADM-241357"/>
    <d v="2024-06-26T00:00:00"/>
    <d v="2024-06-29T00:00:00"/>
    <x v="0"/>
    <s v="Q2"/>
    <x v="5"/>
    <x v="2"/>
    <x v="1"/>
    <x v="2"/>
    <x v="0"/>
    <x v="4"/>
    <x v="0"/>
    <n v="3"/>
    <m/>
    <n v="3286"/>
    <n v="0"/>
    <n v="4"/>
    <s v="Recovered"/>
    <n v="1"/>
  </r>
  <r>
    <s v="ADM-241358"/>
    <d v="2024-06-26T00:00:00"/>
    <d v="2024-06-27T00:00:00"/>
    <x v="0"/>
    <s v="Q2"/>
    <x v="5"/>
    <x v="2"/>
    <x v="0"/>
    <x v="0"/>
    <x v="1"/>
    <x v="2"/>
    <x v="1"/>
    <n v="1"/>
    <n v="51"/>
    <n v="1661"/>
    <n v="0"/>
    <n v="5"/>
    <s v="Recovered"/>
    <n v="1"/>
  </r>
  <r>
    <s v="ADM-241359"/>
    <d v="2024-06-26T00:00:00"/>
    <d v="2024-06-29T00:00:00"/>
    <x v="0"/>
    <s v="Q2"/>
    <x v="5"/>
    <x v="2"/>
    <x v="1"/>
    <x v="2"/>
    <x v="1"/>
    <x v="4"/>
    <x v="0"/>
    <n v="3"/>
    <m/>
    <n v="3902"/>
    <n v="0"/>
    <n v="4"/>
    <s v="Recovered"/>
    <n v="1"/>
  </r>
  <r>
    <s v="ADM-241360"/>
    <d v="2024-06-26T00:00:00"/>
    <d v="2024-06-29T00:00:00"/>
    <x v="0"/>
    <s v="Q2"/>
    <x v="5"/>
    <x v="2"/>
    <x v="0"/>
    <x v="0"/>
    <x v="0"/>
    <x v="1"/>
    <x v="2"/>
    <n v="3"/>
    <n v="66"/>
    <n v="2153"/>
    <n v="0"/>
    <n v="4"/>
    <s v="Deceased"/>
    <n v="1"/>
  </r>
  <r>
    <s v="ADM-241361"/>
    <d v="2024-06-26T00:00:00"/>
    <d v="2024-07-02T00:00:00"/>
    <x v="0"/>
    <s v="Q2"/>
    <x v="5"/>
    <x v="2"/>
    <x v="4"/>
    <x v="2"/>
    <x v="0"/>
    <x v="0"/>
    <x v="2"/>
    <n v="6"/>
    <m/>
    <n v="7178"/>
    <n v="0"/>
    <n v="5"/>
    <s v="Recovered"/>
    <n v="1"/>
  </r>
  <r>
    <s v="ADM-241362"/>
    <d v="2024-06-26T00:00:00"/>
    <d v="2024-06-28T00:00:00"/>
    <x v="0"/>
    <s v="Q2"/>
    <x v="5"/>
    <x v="2"/>
    <x v="2"/>
    <x v="0"/>
    <x v="0"/>
    <x v="1"/>
    <x v="2"/>
    <n v="2"/>
    <n v="57"/>
    <n v="2073"/>
    <n v="0"/>
    <n v="4"/>
    <s v="Improved"/>
    <n v="1"/>
  </r>
  <r>
    <s v="ADM-241363"/>
    <d v="2024-06-27T00:00:00"/>
    <d v="2024-07-11T00:00:00"/>
    <x v="0"/>
    <s v="Q2"/>
    <x v="5"/>
    <x v="3"/>
    <x v="4"/>
    <x v="0"/>
    <x v="0"/>
    <x v="1"/>
    <x v="2"/>
    <n v="14"/>
    <n v="37"/>
    <n v="17242"/>
    <n v="0"/>
    <n v="5"/>
    <s v="Recovered"/>
    <n v="1"/>
  </r>
  <r>
    <s v="ADM-241364"/>
    <d v="2024-06-27T00:00:00"/>
    <d v="2024-07-10T00:00:00"/>
    <x v="0"/>
    <s v="Q2"/>
    <x v="5"/>
    <x v="3"/>
    <x v="0"/>
    <x v="0"/>
    <x v="1"/>
    <x v="1"/>
    <x v="0"/>
    <n v="13"/>
    <n v="47"/>
    <n v="9004"/>
    <n v="0"/>
    <n v="5"/>
    <s v="Recovered"/>
    <n v="1"/>
  </r>
  <r>
    <s v="ADM-241365"/>
    <d v="2024-06-27T00:00:00"/>
    <d v="2024-07-01T00:00:00"/>
    <x v="0"/>
    <s v="Q2"/>
    <x v="5"/>
    <x v="3"/>
    <x v="3"/>
    <x v="2"/>
    <x v="0"/>
    <x v="3"/>
    <x v="2"/>
    <n v="4"/>
    <m/>
    <n v="2912"/>
    <n v="0"/>
    <n v="5"/>
    <s v="Recovered"/>
    <n v="1"/>
  </r>
  <r>
    <s v="ADM-241366"/>
    <d v="2024-06-28T00:00:00"/>
    <d v="2024-06-30T00:00:00"/>
    <x v="0"/>
    <s v="Q2"/>
    <x v="5"/>
    <x v="4"/>
    <x v="0"/>
    <x v="2"/>
    <x v="0"/>
    <x v="0"/>
    <x v="0"/>
    <n v="2"/>
    <m/>
    <n v="2322"/>
    <n v="0"/>
    <n v="3"/>
    <s v="Recovered"/>
    <n v="1"/>
  </r>
  <r>
    <s v="ADM-241367"/>
    <d v="2024-06-28T00:00:00"/>
    <d v="2024-07-20T00:00:00"/>
    <x v="0"/>
    <s v="Q2"/>
    <x v="5"/>
    <x v="4"/>
    <x v="0"/>
    <x v="0"/>
    <x v="1"/>
    <x v="1"/>
    <x v="0"/>
    <n v="22"/>
    <n v="94"/>
    <n v="18116"/>
    <n v="0"/>
    <n v="4"/>
    <s v="Recovered"/>
    <n v="1"/>
  </r>
  <r>
    <s v="ADM-241368"/>
    <d v="2024-06-28T00:00:00"/>
    <d v="2024-07-09T00:00:00"/>
    <x v="0"/>
    <s v="Q2"/>
    <x v="5"/>
    <x v="4"/>
    <x v="4"/>
    <x v="2"/>
    <x v="0"/>
    <x v="0"/>
    <x v="0"/>
    <n v="11"/>
    <m/>
    <n v="11913"/>
    <n v="0"/>
    <n v="4"/>
    <s v="Recovered"/>
    <n v="1"/>
  </r>
  <r>
    <s v="ADM-241369"/>
    <d v="2024-06-28T00:00:00"/>
    <d v="2024-06-29T00:00:00"/>
    <x v="0"/>
    <s v="Q2"/>
    <x v="5"/>
    <x v="4"/>
    <x v="2"/>
    <x v="0"/>
    <x v="0"/>
    <x v="2"/>
    <x v="0"/>
    <n v="1"/>
    <n v="99"/>
    <n v="1366"/>
    <n v="0"/>
    <n v="3"/>
    <s v="Recovered"/>
    <n v="1"/>
  </r>
  <r>
    <s v="ADM-241370"/>
    <d v="2024-06-28T00:00:00"/>
    <d v="2024-07-02T00:00:00"/>
    <x v="0"/>
    <s v="Q2"/>
    <x v="5"/>
    <x v="4"/>
    <x v="5"/>
    <x v="2"/>
    <x v="0"/>
    <x v="2"/>
    <x v="0"/>
    <n v="4"/>
    <m/>
    <n v="4287"/>
    <n v="0"/>
    <n v="5"/>
    <s v="Recovered"/>
    <n v="1"/>
  </r>
  <r>
    <s v="ADM-241371"/>
    <d v="2024-06-28T00:00:00"/>
    <d v="2024-07-01T00:00:00"/>
    <x v="0"/>
    <s v="Q2"/>
    <x v="5"/>
    <x v="4"/>
    <x v="0"/>
    <x v="0"/>
    <x v="0"/>
    <x v="0"/>
    <x v="2"/>
    <n v="3"/>
    <n v="59"/>
    <n v="2047"/>
    <n v="1"/>
    <n v="4"/>
    <s v="Improved"/>
    <n v="1"/>
  </r>
  <r>
    <s v="ADM-241372"/>
    <d v="2024-06-28T00:00:00"/>
    <d v="2024-06-30T00:00:00"/>
    <x v="0"/>
    <s v="Q2"/>
    <x v="5"/>
    <x v="4"/>
    <x v="2"/>
    <x v="2"/>
    <x v="0"/>
    <x v="1"/>
    <x v="0"/>
    <n v="2"/>
    <m/>
    <n v="2519"/>
    <n v="0"/>
    <n v="4"/>
    <s v="Transferred"/>
    <n v="1"/>
  </r>
  <r>
    <s v="ADM-241373"/>
    <d v="2024-06-28T00:00:00"/>
    <d v="2024-07-01T00:00:00"/>
    <x v="0"/>
    <s v="Q2"/>
    <x v="5"/>
    <x v="4"/>
    <x v="1"/>
    <x v="2"/>
    <x v="0"/>
    <x v="0"/>
    <x v="2"/>
    <n v="3"/>
    <m/>
    <n v="4175"/>
    <n v="0"/>
    <n v="5"/>
    <s v="Transferred"/>
    <n v="1"/>
  </r>
  <r>
    <s v="ADM-241374"/>
    <d v="2024-06-28T00:00:00"/>
    <d v="2024-07-02T00:00:00"/>
    <x v="0"/>
    <s v="Q2"/>
    <x v="5"/>
    <x v="4"/>
    <x v="1"/>
    <x v="0"/>
    <x v="0"/>
    <x v="2"/>
    <x v="0"/>
    <n v="4"/>
    <n v="53"/>
    <n v="5159"/>
    <n v="0"/>
    <n v="3"/>
    <s v="Recovered"/>
    <n v="1"/>
  </r>
  <r>
    <s v="ADM-241375"/>
    <d v="2024-06-29T00:00:00"/>
    <d v="2024-07-04T00:00:00"/>
    <x v="0"/>
    <s v="Q2"/>
    <x v="5"/>
    <x v="5"/>
    <x v="0"/>
    <x v="2"/>
    <x v="1"/>
    <x v="4"/>
    <x v="2"/>
    <n v="5"/>
    <m/>
    <n v="4065"/>
    <n v="1"/>
    <n v="3"/>
    <s v="Recovered"/>
    <n v="1"/>
  </r>
  <r>
    <s v="ADM-241376"/>
    <d v="2024-06-29T00:00:00"/>
    <d v="2024-07-02T00:00:00"/>
    <x v="0"/>
    <s v="Q2"/>
    <x v="5"/>
    <x v="5"/>
    <x v="2"/>
    <x v="0"/>
    <x v="0"/>
    <x v="2"/>
    <x v="2"/>
    <n v="3"/>
    <n v="42"/>
    <n v="3150"/>
    <n v="0"/>
    <n v="3"/>
    <s v="Recovered"/>
    <n v="1"/>
  </r>
  <r>
    <s v="ADM-241377"/>
    <d v="2024-06-29T00:00:00"/>
    <d v="2024-07-14T00:00:00"/>
    <x v="0"/>
    <s v="Q2"/>
    <x v="5"/>
    <x v="5"/>
    <x v="0"/>
    <x v="2"/>
    <x v="1"/>
    <x v="0"/>
    <x v="2"/>
    <n v="15"/>
    <m/>
    <n v="10738"/>
    <n v="1"/>
    <n v="3"/>
    <s v="Recovered"/>
    <n v="1"/>
  </r>
  <r>
    <s v="ADM-241378"/>
    <d v="2024-06-29T00:00:00"/>
    <d v="2024-07-01T00:00:00"/>
    <x v="0"/>
    <s v="Q2"/>
    <x v="5"/>
    <x v="5"/>
    <x v="1"/>
    <x v="2"/>
    <x v="1"/>
    <x v="1"/>
    <x v="0"/>
    <n v="2"/>
    <m/>
    <n v="2131"/>
    <n v="0"/>
    <n v="3"/>
    <s v="Recovered"/>
    <n v="1"/>
  </r>
  <r>
    <s v="ADM-241379"/>
    <d v="2024-06-29T00:00:00"/>
    <d v="2024-07-04T00:00:00"/>
    <x v="0"/>
    <s v="Q2"/>
    <x v="5"/>
    <x v="5"/>
    <x v="3"/>
    <x v="0"/>
    <x v="1"/>
    <x v="3"/>
    <x v="0"/>
    <n v="5"/>
    <n v="78"/>
    <n v="3110"/>
    <n v="0"/>
    <n v="3"/>
    <s v="Recovered"/>
    <n v="1"/>
  </r>
  <r>
    <s v="ADM-241380"/>
    <d v="2024-06-29T00:00:00"/>
    <d v="2024-07-03T00:00:00"/>
    <x v="0"/>
    <s v="Q2"/>
    <x v="5"/>
    <x v="5"/>
    <x v="4"/>
    <x v="0"/>
    <x v="0"/>
    <x v="2"/>
    <x v="2"/>
    <n v="4"/>
    <n v="31"/>
    <n v="5299"/>
    <n v="0"/>
    <n v="4"/>
    <s v="Recovered"/>
    <n v="1"/>
  </r>
  <r>
    <s v="ADM-241381"/>
    <d v="2024-06-29T00:00:00"/>
    <d v="2024-07-06T00:00:00"/>
    <x v="0"/>
    <s v="Q2"/>
    <x v="5"/>
    <x v="5"/>
    <x v="5"/>
    <x v="2"/>
    <x v="1"/>
    <x v="0"/>
    <x v="2"/>
    <n v="7"/>
    <m/>
    <n v="6294"/>
    <n v="0"/>
    <n v="4"/>
    <s v="Recovered"/>
    <n v="1"/>
  </r>
  <r>
    <s v="ADM-241382"/>
    <d v="2024-06-30T00:00:00"/>
    <d v="2024-07-06T00:00:00"/>
    <x v="0"/>
    <s v="Q2"/>
    <x v="5"/>
    <x v="6"/>
    <x v="5"/>
    <x v="2"/>
    <x v="1"/>
    <x v="1"/>
    <x v="2"/>
    <n v="6"/>
    <m/>
    <n v="7505"/>
    <n v="0"/>
    <n v="4"/>
    <s v="Recovered"/>
    <n v="1"/>
  </r>
  <r>
    <s v="ADM-241383"/>
    <d v="2024-06-30T00:00:00"/>
    <d v="2024-07-04T00:00:00"/>
    <x v="0"/>
    <s v="Q2"/>
    <x v="5"/>
    <x v="6"/>
    <x v="0"/>
    <x v="2"/>
    <x v="0"/>
    <x v="1"/>
    <x v="0"/>
    <n v="4"/>
    <m/>
    <n v="3024"/>
    <n v="0"/>
    <n v="4"/>
    <s v="Deceased"/>
    <n v="1"/>
  </r>
  <r>
    <s v="ADM-241384"/>
    <d v="2024-06-30T00:00:00"/>
    <d v="2024-07-05T00:00:00"/>
    <x v="0"/>
    <s v="Q2"/>
    <x v="5"/>
    <x v="6"/>
    <x v="0"/>
    <x v="1"/>
    <x v="1"/>
    <x v="1"/>
    <x v="2"/>
    <n v="5"/>
    <m/>
    <n v="4042"/>
    <n v="0"/>
    <n v="4"/>
    <s v="Improved"/>
    <n v="1"/>
  </r>
  <r>
    <s v="ADM-241385"/>
    <d v="2024-06-30T00:00:00"/>
    <d v="2024-07-01T00:00:00"/>
    <x v="0"/>
    <s v="Q2"/>
    <x v="5"/>
    <x v="6"/>
    <x v="0"/>
    <x v="0"/>
    <x v="1"/>
    <x v="2"/>
    <x v="1"/>
    <n v="1"/>
    <n v="23"/>
    <n v="1517"/>
    <n v="0"/>
    <n v="5"/>
    <s v="Improved"/>
    <n v="1"/>
  </r>
  <r>
    <s v="ADM-241386"/>
    <d v="2024-06-30T00:00:00"/>
    <d v="2024-07-04T00:00:00"/>
    <x v="0"/>
    <s v="Q2"/>
    <x v="5"/>
    <x v="6"/>
    <x v="4"/>
    <x v="0"/>
    <x v="0"/>
    <x v="4"/>
    <x v="2"/>
    <n v="4"/>
    <n v="48"/>
    <n v="4762"/>
    <n v="0"/>
    <n v="4"/>
    <s v="Recovered"/>
    <n v="1"/>
  </r>
  <r>
    <s v="ADM-241387"/>
    <d v="2024-06-30T00:00:00"/>
    <d v="2024-07-08T00:00:00"/>
    <x v="0"/>
    <s v="Q2"/>
    <x v="5"/>
    <x v="6"/>
    <x v="1"/>
    <x v="2"/>
    <x v="1"/>
    <x v="4"/>
    <x v="0"/>
    <n v="8"/>
    <m/>
    <n v="10256"/>
    <n v="0"/>
    <n v="4"/>
    <s v="Recovered"/>
    <n v="1"/>
  </r>
  <r>
    <s v="ADM-241388"/>
    <d v="2024-07-01T00:00:00"/>
    <d v="2024-07-16T00:00:00"/>
    <x v="0"/>
    <s v="Q3"/>
    <x v="6"/>
    <x v="0"/>
    <x v="4"/>
    <x v="0"/>
    <x v="1"/>
    <x v="0"/>
    <x v="0"/>
    <n v="15"/>
    <n v="131"/>
    <n v="17654"/>
    <n v="0"/>
    <n v="3"/>
    <s v="Recovered"/>
    <n v="1"/>
  </r>
  <r>
    <s v="ADM-241389"/>
    <d v="2024-07-01T00:00:00"/>
    <d v="2024-07-06T00:00:00"/>
    <x v="0"/>
    <s v="Q3"/>
    <x v="6"/>
    <x v="0"/>
    <x v="1"/>
    <x v="2"/>
    <x v="0"/>
    <x v="0"/>
    <x v="0"/>
    <n v="5"/>
    <m/>
    <n v="4037"/>
    <n v="0"/>
    <n v="3"/>
    <s v="Deceased"/>
    <n v="1"/>
  </r>
  <r>
    <s v="ADM-241390"/>
    <d v="2024-07-01T00:00:00"/>
    <d v="2024-07-03T00:00:00"/>
    <x v="0"/>
    <s v="Q3"/>
    <x v="6"/>
    <x v="0"/>
    <x v="5"/>
    <x v="1"/>
    <x v="1"/>
    <x v="4"/>
    <x v="0"/>
    <n v="2"/>
    <m/>
    <n v="2889"/>
    <n v="0"/>
    <n v="5"/>
    <s v="Recovered"/>
    <n v="1"/>
  </r>
  <r>
    <s v="ADM-241391"/>
    <d v="2024-07-01T00:00:00"/>
    <d v="2024-07-03T00:00:00"/>
    <x v="0"/>
    <s v="Q3"/>
    <x v="6"/>
    <x v="0"/>
    <x v="3"/>
    <x v="2"/>
    <x v="0"/>
    <x v="3"/>
    <x v="0"/>
    <n v="2"/>
    <m/>
    <n v="2230"/>
    <n v="0"/>
    <n v="3"/>
    <s v="Recovered"/>
    <n v="1"/>
  </r>
  <r>
    <s v="ADM-241392"/>
    <d v="2024-07-01T00:00:00"/>
    <d v="2024-07-02T00:00:00"/>
    <x v="0"/>
    <s v="Q3"/>
    <x v="6"/>
    <x v="0"/>
    <x v="3"/>
    <x v="0"/>
    <x v="0"/>
    <x v="3"/>
    <x v="0"/>
    <n v="1"/>
    <n v="48"/>
    <n v="1997"/>
    <n v="0"/>
    <n v="4"/>
    <s v="Recovered"/>
    <n v="1"/>
  </r>
  <r>
    <s v="ADM-241393"/>
    <d v="2024-07-01T00:00:00"/>
    <d v="2024-07-03T00:00:00"/>
    <x v="0"/>
    <s v="Q3"/>
    <x v="6"/>
    <x v="0"/>
    <x v="2"/>
    <x v="0"/>
    <x v="0"/>
    <x v="1"/>
    <x v="0"/>
    <n v="2"/>
    <n v="20"/>
    <n v="2237"/>
    <n v="0"/>
    <n v="5"/>
    <s v="Recovered"/>
    <n v="1"/>
  </r>
  <r>
    <s v="ADM-241394"/>
    <d v="2024-07-01T00:00:00"/>
    <d v="2024-07-03T00:00:00"/>
    <x v="0"/>
    <s v="Q3"/>
    <x v="6"/>
    <x v="0"/>
    <x v="0"/>
    <x v="0"/>
    <x v="1"/>
    <x v="2"/>
    <x v="0"/>
    <n v="2"/>
    <n v="25"/>
    <n v="2349"/>
    <n v="0"/>
    <n v="3"/>
    <s v="Recovered"/>
    <n v="1"/>
  </r>
  <r>
    <s v="ADM-241395"/>
    <d v="2024-07-01T00:00:00"/>
    <d v="2024-07-03T00:00:00"/>
    <x v="0"/>
    <s v="Q3"/>
    <x v="6"/>
    <x v="0"/>
    <x v="4"/>
    <x v="0"/>
    <x v="1"/>
    <x v="1"/>
    <x v="2"/>
    <n v="2"/>
    <n v="22"/>
    <n v="3602"/>
    <n v="1"/>
    <n v="3"/>
    <s v="Recovered"/>
    <n v="1"/>
  </r>
  <r>
    <s v="ADM-241396"/>
    <d v="2024-07-02T00:00:00"/>
    <d v="2024-07-05T00:00:00"/>
    <x v="0"/>
    <s v="Q3"/>
    <x v="6"/>
    <x v="1"/>
    <x v="4"/>
    <x v="0"/>
    <x v="1"/>
    <x v="0"/>
    <x v="0"/>
    <n v="3"/>
    <n v="28"/>
    <n v="3192"/>
    <n v="0"/>
    <n v="4"/>
    <s v="Improved"/>
    <n v="1"/>
  </r>
  <r>
    <s v="ADM-241397"/>
    <d v="2024-07-02T00:00:00"/>
    <d v="2024-07-06T00:00:00"/>
    <x v="0"/>
    <s v="Q3"/>
    <x v="6"/>
    <x v="1"/>
    <x v="2"/>
    <x v="0"/>
    <x v="0"/>
    <x v="1"/>
    <x v="0"/>
    <n v="4"/>
    <n v="45"/>
    <n v="3122"/>
    <n v="0"/>
    <n v="5"/>
    <s v="Improved"/>
    <n v="1"/>
  </r>
  <r>
    <s v="ADM-241398"/>
    <d v="2024-07-02T00:00:00"/>
    <d v="2024-07-07T00:00:00"/>
    <x v="0"/>
    <s v="Q3"/>
    <x v="6"/>
    <x v="1"/>
    <x v="0"/>
    <x v="0"/>
    <x v="1"/>
    <x v="4"/>
    <x v="2"/>
    <n v="5"/>
    <n v="90"/>
    <n v="3894"/>
    <n v="0"/>
    <n v="5"/>
    <s v="Improved"/>
    <n v="1"/>
  </r>
  <r>
    <s v="ADM-241399"/>
    <d v="2024-07-02T00:00:00"/>
    <d v="2024-07-09T00:00:00"/>
    <x v="0"/>
    <s v="Q3"/>
    <x v="6"/>
    <x v="1"/>
    <x v="5"/>
    <x v="2"/>
    <x v="0"/>
    <x v="0"/>
    <x v="0"/>
    <n v="7"/>
    <m/>
    <n v="5508"/>
    <n v="1"/>
    <n v="4"/>
    <s v="Recovered"/>
    <n v="1"/>
  </r>
  <r>
    <s v="ADM-241400"/>
    <d v="2024-07-03T00:00:00"/>
    <d v="2024-07-04T00:00:00"/>
    <x v="0"/>
    <s v="Q3"/>
    <x v="6"/>
    <x v="2"/>
    <x v="2"/>
    <x v="0"/>
    <x v="0"/>
    <x v="2"/>
    <x v="2"/>
    <n v="1"/>
    <n v="52"/>
    <n v="1564"/>
    <n v="0"/>
    <n v="5"/>
    <s v="Improved"/>
    <n v="1"/>
  </r>
  <r>
    <s v="ADM-241401"/>
    <d v="2024-07-03T00:00:00"/>
    <d v="2024-07-04T00:00:00"/>
    <x v="0"/>
    <s v="Q3"/>
    <x v="6"/>
    <x v="2"/>
    <x v="3"/>
    <x v="0"/>
    <x v="1"/>
    <x v="3"/>
    <x v="2"/>
    <n v="1"/>
    <n v="22"/>
    <n v="1490"/>
    <n v="0"/>
    <n v="5"/>
    <s v="Recovered"/>
    <n v="1"/>
  </r>
  <r>
    <s v="ADM-241402"/>
    <d v="2024-07-03T00:00:00"/>
    <d v="2024-07-12T00:00:00"/>
    <x v="0"/>
    <s v="Q3"/>
    <x v="6"/>
    <x v="2"/>
    <x v="5"/>
    <x v="2"/>
    <x v="1"/>
    <x v="2"/>
    <x v="0"/>
    <n v="9"/>
    <m/>
    <n v="9587"/>
    <n v="0"/>
    <n v="4"/>
    <s v="Recovered"/>
    <n v="1"/>
  </r>
  <r>
    <s v="ADM-241403"/>
    <d v="2024-07-03T00:00:00"/>
    <d v="2024-07-09T00:00:00"/>
    <x v="0"/>
    <s v="Q3"/>
    <x v="6"/>
    <x v="2"/>
    <x v="2"/>
    <x v="0"/>
    <x v="0"/>
    <x v="2"/>
    <x v="0"/>
    <n v="6"/>
    <n v="40"/>
    <n v="3658"/>
    <n v="0"/>
    <n v="4"/>
    <s v="Recovered"/>
    <n v="1"/>
  </r>
  <r>
    <s v="ADM-241404"/>
    <d v="2024-07-03T00:00:00"/>
    <d v="2024-07-05T00:00:00"/>
    <x v="0"/>
    <s v="Q3"/>
    <x v="6"/>
    <x v="2"/>
    <x v="4"/>
    <x v="1"/>
    <x v="1"/>
    <x v="4"/>
    <x v="2"/>
    <n v="2"/>
    <m/>
    <n v="2190"/>
    <n v="0"/>
    <n v="5"/>
    <s v="Improved"/>
    <n v="1"/>
  </r>
  <r>
    <s v="ADM-241405"/>
    <d v="2024-07-03T00:00:00"/>
    <d v="2024-07-05T00:00:00"/>
    <x v="0"/>
    <s v="Q3"/>
    <x v="6"/>
    <x v="2"/>
    <x v="5"/>
    <x v="0"/>
    <x v="0"/>
    <x v="4"/>
    <x v="2"/>
    <n v="2"/>
    <n v="30"/>
    <n v="3581"/>
    <n v="0"/>
    <n v="4"/>
    <s v="Recovered"/>
    <n v="1"/>
  </r>
  <r>
    <s v="ADM-241406"/>
    <d v="2024-07-03T00:00:00"/>
    <d v="2024-07-10T00:00:00"/>
    <x v="0"/>
    <s v="Q3"/>
    <x v="6"/>
    <x v="2"/>
    <x v="5"/>
    <x v="2"/>
    <x v="0"/>
    <x v="2"/>
    <x v="2"/>
    <n v="7"/>
    <m/>
    <n v="8291"/>
    <n v="0"/>
    <n v="4"/>
    <s v="Recovered"/>
    <n v="1"/>
  </r>
  <r>
    <s v="ADM-241407"/>
    <d v="2024-07-03T00:00:00"/>
    <d v="2024-07-06T00:00:00"/>
    <x v="0"/>
    <s v="Q3"/>
    <x v="6"/>
    <x v="2"/>
    <x v="5"/>
    <x v="0"/>
    <x v="0"/>
    <x v="4"/>
    <x v="0"/>
    <n v="3"/>
    <n v="42"/>
    <n v="2684"/>
    <n v="0"/>
    <n v="5"/>
    <s v="Recovered"/>
    <n v="1"/>
  </r>
  <r>
    <s v="ADM-241408"/>
    <d v="2024-07-04T00:00:00"/>
    <d v="2024-07-14T00:00:00"/>
    <x v="0"/>
    <s v="Q3"/>
    <x v="6"/>
    <x v="3"/>
    <x v="1"/>
    <x v="2"/>
    <x v="1"/>
    <x v="4"/>
    <x v="0"/>
    <n v="10"/>
    <m/>
    <n v="7642"/>
    <n v="0"/>
    <n v="4"/>
    <s v="Improved"/>
    <n v="1"/>
  </r>
  <r>
    <s v="ADM-241409"/>
    <d v="2024-07-04T00:00:00"/>
    <d v="2024-07-05T00:00:00"/>
    <x v="0"/>
    <s v="Q3"/>
    <x v="6"/>
    <x v="3"/>
    <x v="3"/>
    <x v="2"/>
    <x v="0"/>
    <x v="3"/>
    <x v="0"/>
    <n v="1"/>
    <m/>
    <n v="1596"/>
    <n v="0"/>
    <n v="4"/>
    <s v="Improved"/>
    <n v="1"/>
  </r>
  <r>
    <s v="ADM-241410"/>
    <d v="2024-07-04T00:00:00"/>
    <d v="2024-07-12T00:00:00"/>
    <x v="0"/>
    <s v="Q3"/>
    <x v="6"/>
    <x v="3"/>
    <x v="0"/>
    <x v="0"/>
    <x v="0"/>
    <x v="2"/>
    <x v="2"/>
    <n v="8"/>
    <n v="17"/>
    <n v="5366"/>
    <n v="0"/>
    <n v="5"/>
    <s v="Recovered"/>
    <n v="1"/>
  </r>
  <r>
    <s v="ADM-241411"/>
    <d v="2024-07-04T00:00:00"/>
    <d v="2024-07-22T00:00:00"/>
    <x v="0"/>
    <s v="Q3"/>
    <x v="6"/>
    <x v="3"/>
    <x v="5"/>
    <x v="0"/>
    <x v="1"/>
    <x v="0"/>
    <x v="2"/>
    <n v="18"/>
    <n v="17"/>
    <n v="15857"/>
    <n v="0"/>
    <n v="4"/>
    <s v="Recovered"/>
    <n v="1"/>
  </r>
  <r>
    <s v="ADM-241412"/>
    <d v="2024-07-04T00:00:00"/>
    <d v="2024-07-06T00:00:00"/>
    <x v="0"/>
    <s v="Q3"/>
    <x v="6"/>
    <x v="3"/>
    <x v="3"/>
    <x v="0"/>
    <x v="1"/>
    <x v="3"/>
    <x v="0"/>
    <n v="2"/>
    <n v="36"/>
    <n v="1950"/>
    <n v="0"/>
    <n v="4"/>
    <s v="Recovered"/>
    <n v="1"/>
  </r>
  <r>
    <s v="ADM-241413"/>
    <d v="2024-07-04T00:00:00"/>
    <d v="2024-07-10T00:00:00"/>
    <x v="0"/>
    <s v="Q3"/>
    <x v="6"/>
    <x v="3"/>
    <x v="0"/>
    <x v="0"/>
    <x v="1"/>
    <x v="0"/>
    <x v="2"/>
    <n v="6"/>
    <n v="32"/>
    <n v="3163"/>
    <n v="0"/>
    <n v="5"/>
    <s v="Improved"/>
    <n v="1"/>
  </r>
  <r>
    <s v="ADM-241414"/>
    <d v="2024-07-05T00:00:00"/>
    <d v="2024-07-20T00:00:00"/>
    <x v="0"/>
    <s v="Q3"/>
    <x v="6"/>
    <x v="4"/>
    <x v="0"/>
    <x v="0"/>
    <x v="1"/>
    <x v="4"/>
    <x v="2"/>
    <n v="15"/>
    <n v="38"/>
    <n v="9701"/>
    <n v="1"/>
    <n v="5"/>
    <s v="Recovered"/>
    <n v="1"/>
  </r>
  <r>
    <s v="ADM-241415"/>
    <d v="2024-07-05T00:00:00"/>
    <d v="2024-07-11T00:00:00"/>
    <x v="0"/>
    <s v="Q3"/>
    <x v="6"/>
    <x v="4"/>
    <x v="1"/>
    <x v="2"/>
    <x v="1"/>
    <x v="1"/>
    <x v="0"/>
    <n v="6"/>
    <m/>
    <n v="5691"/>
    <n v="1"/>
    <n v="4"/>
    <s v="Improved"/>
    <n v="1"/>
  </r>
  <r>
    <s v="ADM-241416"/>
    <d v="2024-07-05T00:00:00"/>
    <d v="2024-07-07T00:00:00"/>
    <x v="0"/>
    <s v="Q3"/>
    <x v="6"/>
    <x v="4"/>
    <x v="2"/>
    <x v="2"/>
    <x v="0"/>
    <x v="1"/>
    <x v="2"/>
    <n v="2"/>
    <m/>
    <n v="1875"/>
    <n v="0"/>
    <n v="3"/>
    <s v="Recovered"/>
    <n v="1"/>
  </r>
  <r>
    <s v="ADM-241417"/>
    <d v="2024-07-05T00:00:00"/>
    <d v="2024-07-10T00:00:00"/>
    <x v="0"/>
    <s v="Q3"/>
    <x v="6"/>
    <x v="4"/>
    <x v="0"/>
    <x v="0"/>
    <x v="1"/>
    <x v="0"/>
    <x v="0"/>
    <n v="5"/>
    <n v="67"/>
    <n v="3397"/>
    <n v="0"/>
    <n v="5"/>
    <s v="Recovered"/>
    <n v="1"/>
  </r>
  <r>
    <s v="ADM-241418"/>
    <d v="2024-07-05T00:00:00"/>
    <d v="2024-07-14T00:00:00"/>
    <x v="0"/>
    <s v="Q3"/>
    <x v="6"/>
    <x v="4"/>
    <x v="0"/>
    <x v="0"/>
    <x v="1"/>
    <x v="1"/>
    <x v="0"/>
    <n v="9"/>
    <n v="27"/>
    <n v="6092"/>
    <n v="0"/>
    <n v="5"/>
    <s v="Recovered"/>
    <n v="1"/>
  </r>
  <r>
    <s v="ADM-241419"/>
    <d v="2024-07-05T00:00:00"/>
    <d v="2024-07-07T00:00:00"/>
    <x v="0"/>
    <s v="Q3"/>
    <x v="6"/>
    <x v="4"/>
    <x v="5"/>
    <x v="2"/>
    <x v="0"/>
    <x v="2"/>
    <x v="0"/>
    <n v="2"/>
    <m/>
    <n v="1754"/>
    <n v="0"/>
    <n v="4"/>
    <s v="Recovered"/>
    <n v="1"/>
  </r>
  <r>
    <s v="ADM-241420"/>
    <d v="2024-07-06T00:00:00"/>
    <d v="2024-07-11T00:00:00"/>
    <x v="0"/>
    <s v="Q3"/>
    <x v="6"/>
    <x v="5"/>
    <x v="0"/>
    <x v="0"/>
    <x v="0"/>
    <x v="1"/>
    <x v="0"/>
    <n v="5"/>
    <n v="24"/>
    <n v="4896"/>
    <n v="0"/>
    <n v="4"/>
    <s v="Improved"/>
    <n v="1"/>
  </r>
  <r>
    <s v="ADM-241421"/>
    <d v="2024-07-06T00:00:00"/>
    <d v="2024-07-08T00:00:00"/>
    <x v="0"/>
    <s v="Q3"/>
    <x v="6"/>
    <x v="5"/>
    <x v="5"/>
    <x v="2"/>
    <x v="0"/>
    <x v="4"/>
    <x v="0"/>
    <n v="2"/>
    <m/>
    <n v="3012"/>
    <n v="0"/>
    <n v="4"/>
    <s v="Improved"/>
    <n v="1"/>
  </r>
  <r>
    <s v="ADM-241422"/>
    <d v="2024-07-06T00:00:00"/>
    <d v="2024-07-08T00:00:00"/>
    <x v="0"/>
    <s v="Q3"/>
    <x v="6"/>
    <x v="5"/>
    <x v="4"/>
    <x v="1"/>
    <x v="1"/>
    <x v="4"/>
    <x v="2"/>
    <n v="2"/>
    <m/>
    <n v="2868"/>
    <n v="1"/>
    <n v="4"/>
    <s v="Recovered"/>
    <n v="1"/>
  </r>
  <r>
    <s v="ADM-241423"/>
    <d v="2024-07-06T00:00:00"/>
    <d v="2024-07-11T00:00:00"/>
    <x v="0"/>
    <s v="Q3"/>
    <x v="6"/>
    <x v="5"/>
    <x v="3"/>
    <x v="0"/>
    <x v="0"/>
    <x v="3"/>
    <x v="0"/>
    <n v="5"/>
    <n v="20"/>
    <n v="3104"/>
    <n v="0"/>
    <n v="5"/>
    <s v="Recovered"/>
    <n v="1"/>
  </r>
  <r>
    <s v="ADM-241424"/>
    <d v="2024-07-06T00:00:00"/>
    <d v="2024-07-09T00:00:00"/>
    <x v="0"/>
    <s v="Q3"/>
    <x v="6"/>
    <x v="5"/>
    <x v="5"/>
    <x v="0"/>
    <x v="0"/>
    <x v="1"/>
    <x v="1"/>
    <n v="3"/>
    <n v="37"/>
    <n v="3049"/>
    <n v="0"/>
    <n v="4"/>
    <s v="Improved"/>
    <n v="1"/>
  </r>
  <r>
    <s v="ADM-241425"/>
    <d v="2024-07-06T00:00:00"/>
    <d v="2024-07-07T00:00:00"/>
    <x v="0"/>
    <s v="Q3"/>
    <x v="6"/>
    <x v="5"/>
    <x v="2"/>
    <x v="0"/>
    <x v="0"/>
    <x v="1"/>
    <x v="1"/>
    <n v="1"/>
    <n v="57"/>
    <n v="1966"/>
    <n v="0"/>
    <n v="5"/>
    <s v="Recovered"/>
    <n v="1"/>
  </r>
  <r>
    <s v="ADM-241426"/>
    <d v="2024-07-06T00:00:00"/>
    <d v="2024-07-08T00:00:00"/>
    <x v="0"/>
    <s v="Q3"/>
    <x v="6"/>
    <x v="5"/>
    <x v="3"/>
    <x v="0"/>
    <x v="0"/>
    <x v="3"/>
    <x v="0"/>
    <n v="2"/>
    <n v="46"/>
    <n v="1639"/>
    <n v="0"/>
    <n v="3"/>
    <s v="Recovered"/>
    <n v="1"/>
  </r>
  <r>
    <s v="ADM-241427"/>
    <d v="2024-07-07T00:00:00"/>
    <d v="2024-07-09T00:00:00"/>
    <x v="0"/>
    <s v="Q3"/>
    <x v="6"/>
    <x v="6"/>
    <x v="0"/>
    <x v="0"/>
    <x v="0"/>
    <x v="4"/>
    <x v="0"/>
    <n v="2"/>
    <n v="145"/>
    <n v="2036"/>
    <n v="1"/>
    <n v="3"/>
    <s v="Recovered"/>
    <n v="1"/>
  </r>
  <r>
    <s v="ADM-241428"/>
    <d v="2024-07-07T00:00:00"/>
    <d v="2024-07-11T00:00:00"/>
    <x v="0"/>
    <s v="Q3"/>
    <x v="6"/>
    <x v="6"/>
    <x v="0"/>
    <x v="2"/>
    <x v="1"/>
    <x v="2"/>
    <x v="1"/>
    <n v="4"/>
    <m/>
    <n v="3518"/>
    <n v="1"/>
    <n v="4"/>
    <s v="Improved"/>
    <n v="1"/>
  </r>
  <r>
    <s v="ADM-241429"/>
    <d v="2024-07-07T00:00:00"/>
    <d v="2024-07-15T00:00:00"/>
    <x v="0"/>
    <s v="Q3"/>
    <x v="6"/>
    <x v="6"/>
    <x v="4"/>
    <x v="0"/>
    <x v="1"/>
    <x v="4"/>
    <x v="2"/>
    <n v="8"/>
    <n v="24"/>
    <n v="9610"/>
    <n v="0"/>
    <n v="4"/>
    <s v="Recovered"/>
    <n v="1"/>
  </r>
  <r>
    <s v="ADM-241430"/>
    <d v="2024-07-07T00:00:00"/>
    <d v="2024-07-11T00:00:00"/>
    <x v="0"/>
    <s v="Q3"/>
    <x v="6"/>
    <x v="6"/>
    <x v="2"/>
    <x v="1"/>
    <x v="0"/>
    <x v="1"/>
    <x v="0"/>
    <n v="4"/>
    <m/>
    <n v="2836"/>
    <n v="0"/>
    <n v="4"/>
    <s v="Improved"/>
    <n v="1"/>
  </r>
  <r>
    <s v="ADM-241431"/>
    <d v="2024-07-07T00:00:00"/>
    <d v="2024-07-10T00:00:00"/>
    <x v="0"/>
    <s v="Q3"/>
    <x v="6"/>
    <x v="6"/>
    <x v="3"/>
    <x v="0"/>
    <x v="0"/>
    <x v="3"/>
    <x v="0"/>
    <n v="3"/>
    <n v="125"/>
    <n v="2102"/>
    <n v="0"/>
    <n v="3"/>
    <s v="Recovered"/>
    <n v="1"/>
  </r>
  <r>
    <s v="ADM-241432"/>
    <d v="2024-07-07T00:00:00"/>
    <d v="2024-07-13T00:00:00"/>
    <x v="0"/>
    <s v="Q3"/>
    <x v="6"/>
    <x v="6"/>
    <x v="5"/>
    <x v="0"/>
    <x v="0"/>
    <x v="1"/>
    <x v="2"/>
    <n v="6"/>
    <n v="42"/>
    <n v="6368"/>
    <n v="0"/>
    <n v="5"/>
    <s v="Recovered"/>
    <n v="1"/>
  </r>
  <r>
    <s v="ADM-241433"/>
    <d v="2024-07-07T00:00:00"/>
    <d v="2024-07-08T00:00:00"/>
    <x v="0"/>
    <s v="Q3"/>
    <x v="6"/>
    <x v="6"/>
    <x v="4"/>
    <x v="0"/>
    <x v="1"/>
    <x v="1"/>
    <x v="2"/>
    <n v="1"/>
    <n v="36"/>
    <n v="2241"/>
    <n v="0"/>
    <n v="3"/>
    <s v="Recovered"/>
    <n v="1"/>
  </r>
  <r>
    <s v="ADM-241434"/>
    <d v="2024-07-08T00:00:00"/>
    <d v="2024-07-09T00:00:00"/>
    <x v="0"/>
    <s v="Q3"/>
    <x v="6"/>
    <x v="0"/>
    <x v="3"/>
    <x v="2"/>
    <x v="0"/>
    <x v="3"/>
    <x v="2"/>
    <n v="1"/>
    <m/>
    <n v="1429"/>
    <n v="0"/>
    <n v="5"/>
    <s v="Recovered"/>
    <n v="1"/>
  </r>
  <r>
    <s v="ADM-241435"/>
    <d v="2024-07-08T00:00:00"/>
    <d v="2024-07-23T00:00:00"/>
    <x v="0"/>
    <s v="Q3"/>
    <x v="6"/>
    <x v="0"/>
    <x v="3"/>
    <x v="0"/>
    <x v="0"/>
    <x v="3"/>
    <x v="2"/>
    <n v="15"/>
    <n v="37"/>
    <n v="10330"/>
    <n v="1"/>
    <n v="4"/>
    <s v="Transferred"/>
    <n v="1"/>
  </r>
  <r>
    <s v="ADM-241436"/>
    <d v="2024-07-08T00:00:00"/>
    <d v="2024-07-12T00:00:00"/>
    <x v="0"/>
    <s v="Q3"/>
    <x v="6"/>
    <x v="0"/>
    <x v="1"/>
    <x v="0"/>
    <x v="0"/>
    <x v="0"/>
    <x v="2"/>
    <n v="4"/>
    <n v="33"/>
    <n v="4349"/>
    <n v="0"/>
    <n v="5"/>
    <s v="Recovered"/>
    <n v="1"/>
  </r>
  <r>
    <s v="ADM-241437"/>
    <d v="2024-07-08T00:00:00"/>
    <d v="2024-07-10T00:00:00"/>
    <x v="0"/>
    <s v="Q3"/>
    <x v="6"/>
    <x v="0"/>
    <x v="5"/>
    <x v="0"/>
    <x v="0"/>
    <x v="4"/>
    <x v="0"/>
    <n v="2"/>
    <n v="40"/>
    <n v="3069"/>
    <n v="0"/>
    <n v="4"/>
    <s v="Improved"/>
    <n v="1"/>
  </r>
  <r>
    <s v="ADM-241438"/>
    <d v="2024-07-08T00:00:00"/>
    <d v="2024-07-09T00:00:00"/>
    <x v="0"/>
    <s v="Q3"/>
    <x v="6"/>
    <x v="0"/>
    <x v="4"/>
    <x v="2"/>
    <x v="1"/>
    <x v="1"/>
    <x v="2"/>
    <n v="1"/>
    <m/>
    <n v="2059"/>
    <n v="0"/>
    <n v="4"/>
    <s v="Recovered"/>
    <n v="1"/>
  </r>
  <r>
    <s v="ADM-241439"/>
    <d v="2024-07-08T00:00:00"/>
    <d v="2024-07-16T00:00:00"/>
    <x v="0"/>
    <s v="Q3"/>
    <x v="6"/>
    <x v="0"/>
    <x v="1"/>
    <x v="2"/>
    <x v="0"/>
    <x v="0"/>
    <x v="2"/>
    <n v="8"/>
    <m/>
    <n v="8755"/>
    <n v="0"/>
    <n v="4"/>
    <s v="Improved"/>
    <n v="1"/>
  </r>
  <r>
    <s v="ADM-241440"/>
    <d v="2024-07-08T00:00:00"/>
    <d v="2024-07-11T00:00:00"/>
    <x v="0"/>
    <s v="Q3"/>
    <x v="6"/>
    <x v="0"/>
    <x v="5"/>
    <x v="2"/>
    <x v="0"/>
    <x v="1"/>
    <x v="0"/>
    <n v="3"/>
    <m/>
    <n v="3255"/>
    <n v="1"/>
    <n v="3"/>
    <s v="Recovered"/>
    <n v="1"/>
  </r>
  <r>
    <s v="ADM-241441"/>
    <d v="2024-07-08T00:00:00"/>
    <d v="2024-07-19T00:00:00"/>
    <x v="0"/>
    <s v="Q3"/>
    <x v="6"/>
    <x v="0"/>
    <x v="0"/>
    <x v="0"/>
    <x v="0"/>
    <x v="4"/>
    <x v="0"/>
    <n v="11"/>
    <n v="49"/>
    <n v="7521"/>
    <n v="0"/>
    <n v="3"/>
    <s v="Recovered"/>
    <n v="1"/>
  </r>
  <r>
    <s v="ADM-241442"/>
    <d v="2024-07-08T00:00:00"/>
    <d v="2024-07-13T00:00:00"/>
    <x v="0"/>
    <s v="Q3"/>
    <x v="6"/>
    <x v="0"/>
    <x v="2"/>
    <x v="1"/>
    <x v="0"/>
    <x v="2"/>
    <x v="2"/>
    <n v="5"/>
    <m/>
    <n v="3748"/>
    <n v="0"/>
    <n v="4"/>
    <s v="Recovered"/>
    <n v="1"/>
  </r>
  <r>
    <s v="ADM-241443"/>
    <d v="2024-07-09T00:00:00"/>
    <d v="2024-07-31T00:00:00"/>
    <x v="0"/>
    <s v="Q3"/>
    <x v="6"/>
    <x v="1"/>
    <x v="0"/>
    <x v="1"/>
    <x v="1"/>
    <x v="0"/>
    <x v="2"/>
    <n v="22"/>
    <m/>
    <n v="13993"/>
    <n v="0"/>
    <n v="3"/>
    <s v="Recovered"/>
    <n v="1"/>
  </r>
  <r>
    <s v="ADM-241444"/>
    <d v="2024-07-09T00:00:00"/>
    <d v="2024-07-17T00:00:00"/>
    <x v="0"/>
    <s v="Q3"/>
    <x v="6"/>
    <x v="1"/>
    <x v="0"/>
    <x v="0"/>
    <x v="0"/>
    <x v="2"/>
    <x v="2"/>
    <n v="8"/>
    <n v="60"/>
    <n v="5786"/>
    <n v="0"/>
    <n v="3"/>
    <s v="Recovered"/>
    <n v="1"/>
  </r>
  <r>
    <s v="ADM-241445"/>
    <d v="2024-07-09T00:00:00"/>
    <d v="2024-07-12T00:00:00"/>
    <x v="0"/>
    <s v="Q3"/>
    <x v="6"/>
    <x v="1"/>
    <x v="0"/>
    <x v="2"/>
    <x v="1"/>
    <x v="1"/>
    <x v="0"/>
    <n v="3"/>
    <m/>
    <n v="2813"/>
    <n v="0"/>
    <n v="5"/>
    <s v="Improved"/>
    <n v="1"/>
  </r>
  <r>
    <s v="ADM-241446"/>
    <d v="2024-07-09T00:00:00"/>
    <d v="2024-07-13T00:00:00"/>
    <x v="0"/>
    <s v="Q3"/>
    <x v="6"/>
    <x v="1"/>
    <x v="4"/>
    <x v="0"/>
    <x v="0"/>
    <x v="1"/>
    <x v="0"/>
    <n v="4"/>
    <n v="26"/>
    <n v="4836"/>
    <n v="0"/>
    <n v="4"/>
    <s v="Recovered"/>
    <n v="1"/>
  </r>
  <r>
    <s v="ADM-241447"/>
    <d v="2024-07-09T00:00:00"/>
    <d v="2024-07-10T00:00:00"/>
    <x v="0"/>
    <s v="Q3"/>
    <x v="6"/>
    <x v="1"/>
    <x v="1"/>
    <x v="2"/>
    <x v="1"/>
    <x v="2"/>
    <x v="2"/>
    <n v="1"/>
    <m/>
    <n v="1569"/>
    <n v="0"/>
    <n v="5"/>
    <s v="Improved"/>
    <n v="1"/>
  </r>
  <r>
    <s v="ADM-241448"/>
    <d v="2024-07-10T00:00:00"/>
    <d v="2024-07-13T00:00:00"/>
    <x v="0"/>
    <s v="Q3"/>
    <x v="6"/>
    <x v="2"/>
    <x v="2"/>
    <x v="0"/>
    <x v="0"/>
    <x v="2"/>
    <x v="0"/>
    <n v="3"/>
    <n v="80"/>
    <n v="2628"/>
    <n v="0"/>
    <n v="3"/>
    <s v="Improved"/>
    <n v="1"/>
  </r>
  <r>
    <s v="ADM-241449"/>
    <d v="2024-07-11T00:00:00"/>
    <d v="2024-07-22T00:00:00"/>
    <x v="0"/>
    <s v="Q3"/>
    <x v="6"/>
    <x v="3"/>
    <x v="1"/>
    <x v="2"/>
    <x v="0"/>
    <x v="0"/>
    <x v="0"/>
    <n v="11"/>
    <m/>
    <n v="11694"/>
    <n v="0"/>
    <n v="4"/>
    <s v="Recovered"/>
    <n v="1"/>
  </r>
  <r>
    <s v="ADM-241450"/>
    <d v="2024-07-11T00:00:00"/>
    <d v="2024-07-12T00:00:00"/>
    <x v="0"/>
    <s v="Q3"/>
    <x v="6"/>
    <x v="3"/>
    <x v="2"/>
    <x v="0"/>
    <x v="0"/>
    <x v="1"/>
    <x v="2"/>
    <n v="1"/>
    <n v="58"/>
    <n v="1837"/>
    <n v="0"/>
    <n v="5"/>
    <s v="Recovered"/>
    <n v="1"/>
  </r>
  <r>
    <s v="ADM-241451"/>
    <d v="2024-07-11T00:00:00"/>
    <d v="2024-07-24T00:00:00"/>
    <x v="0"/>
    <s v="Q3"/>
    <x v="6"/>
    <x v="3"/>
    <x v="0"/>
    <x v="0"/>
    <x v="1"/>
    <x v="0"/>
    <x v="2"/>
    <n v="13"/>
    <n v="73"/>
    <n v="8387"/>
    <n v="0"/>
    <n v="4"/>
    <s v="Recovered"/>
    <n v="1"/>
  </r>
  <r>
    <s v="ADM-241452"/>
    <d v="2024-07-11T00:00:00"/>
    <d v="2024-08-01T00:00:00"/>
    <x v="0"/>
    <s v="Q3"/>
    <x v="6"/>
    <x v="3"/>
    <x v="0"/>
    <x v="0"/>
    <x v="1"/>
    <x v="0"/>
    <x v="2"/>
    <n v="21"/>
    <n v="37"/>
    <n v="15180"/>
    <n v="0"/>
    <n v="5"/>
    <s v="Recovered"/>
    <n v="1"/>
  </r>
  <r>
    <s v="ADM-241453"/>
    <d v="2024-07-11T00:00:00"/>
    <d v="2024-07-17T00:00:00"/>
    <x v="0"/>
    <s v="Q3"/>
    <x v="6"/>
    <x v="3"/>
    <x v="4"/>
    <x v="1"/>
    <x v="1"/>
    <x v="1"/>
    <x v="0"/>
    <n v="6"/>
    <m/>
    <n v="6419"/>
    <n v="0"/>
    <n v="4"/>
    <s v="Recovered"/>
    <n v="1"/>
  </r>
  <r>
    <s v="ADM-241454"/>
    <d v="2024-07-11T00:00:00"/>
    <d v="2024-07-25T00:00:00"/>
    <x v="0"/>
    <s v="Q3"/>
    <x v="6"/>
    <x v="3"/>
    <x v="0"/>
    <x v="0"/>
    <x v="0"/>
    <x v="2"/>
    <x v="0"/>
    <n v="14"/>
    <n v="41"/>
    <n v="10762"/>
    <n v="0"/>
    <n v="4"/>
    <s v="Recovered"/>
    <n v="1"/>
  </r>
  <r>
    <s v="ADM-241455"/>
    <d v="2024-07-11T00:00:00"/>
    <d v="2024-07-13T00:00:00"/>
    <x v="0"/>
    <s v="Q3"/>
    <x v="6"/>
    <x v="3"/>
    <x v="1"/>
    <x v="2"/>
    <x v="0"/>
    <x v="0"/>
    <x v="0"/>
    <n v="2"/>
    <m/>
    <n v="2208"/>
    <n v="0"/>
    <n v="4"/>
    <s v="Recovered"/>
    <n v="1"/>
  </r>
  <r>
    <s v="ADM-241456"/>
    <d v="2024-07-12T00:00:00"/>
    <d v="2024-07-15T00:00:00"/>
    <x v="0"/>
    <s v="Q3"/>
    <x v="6"/>
    <x v="4"/>
    <x v="4"/>
    <x v="2"/>
    <x v="0"/>
    <x v="4"/>
    <x v="2"/>
    <n v="3"/>
    <m/>
    <n v="4343"/>
    <n v="0"/>
    <n v="5"/>
    <s v="Improved"/>
    <n v="1"/>
  </r>
  <r>
    <s v="ADM-241457"/>
    <d v="2024-07-12T00:00:00"/>
    <d v="2024-07-17T00:00:00"/>
    <x v="0"/>
    <s v="Q3"/>
    <x v="6"/>
    <x v="4"/>
    <x v="4"/>
    <x v="0"/>
    <x v="0"/>
    <x v="4"/>
    <x v="0"/>
    <n v="5"/>
    <n v="36"/>
    <n v="6688"/>
    <n v="0"/>
    <n v="4"/>
    <s v="Improved"/>
    <n v="1"/>
  </r>
  <r>
    <s v="ADM-241458"/>
    <d v="2024-07-12T00:00:00"/>
    <d v="2024-07-13T00:00:00"/>
    <x v="0"/>
    <s v="Q3"/>
    <x v="6"/>
    <x v="4"/>
    <x v="2"/>
    <x v="2"/>
    <x v="0"/>
    <x v="2"/>
    <x v="2"/>
    <n v="1"/>
    <m/>
    <n v="1777"/>
    <n v="0"/>
    <n v="2"/>
    <s v="Recovered"/>
    <n v="1"/>
  </r>
  <r>
    <s v="ADM-241459"/>
    <d v="2024-07-12T00:00:00"/>
    <d v="2024-07-16T00:00:00"/>
    <x v="0"/>
    <s v="Q3"/>
    <x v="6"/>
    <x v="4"/>
    <x v="5"/>
    <x v="2"/>
    <x v="1"/>
    <x v="0"/>
    <x v="2"/>
    <n v="4"/>
    <m/>
    <n v="6699"/>
    <n v="0"/>
    <n v="5"/>
    <s v="Improved"/>
    <n v="1"/>
  </r>
  <r>
    <s v="ADM-241460"/>
    <d v="2024-07-12T00:00:00"/>
    <d v="2024-07-18T00:00:00"/>
    <x v="0"/>
    <s v="Q3"/>
    <x v="6"/>
    <x v="4"/>
    <x v="1"/>
    <x v="2"/>
    <x v="1"/>
    <x v="4"/>
    <x v="0"/>
    <n v="6"/>
    <m/>
    <n v="6829"/>
    <n v="1"/>
    <n v="3"/>
    <s v="Recovered"/>
    <n v="1"/>
  </r>
  <r>
    <s v="ADM-241461"/>
    <d v="2024-07-12T00:00:00"/>
    <d v="2024-07-14T00:00:00"/>
    <x v="0"/>
    <s v="Q3"/>
    <x v="6"/>
    <x v="4"/>
    <x v="3"/>
    <x v="0"/>
    <x v="1"/>
    <x v="3"/>
    <x v="0"/>
    <n v="2"/>
    <n v="54"/>
    <n v="2153"/>
    <n v="0"/>
    <n v="5"/>
    <s v="Recovered"/>
    <n v="1"/>
  </r>
  <r>
    <s v="ADM-241462"/>
    <d v="2024-07-13T00:00:00"/>
    <d v="2024-07-17T00:00:00"/>
    <x v="0"/>
    <s v="Q3"/>
    <x v="6"/>
    <x v="5"/>
    <x v="0"/>
    <x v="2"/>
    <x v="1"/>
    <x v="0"/>
    <x v="0"/>
    <n v="4"/>
    <m/>
    <n v="3877"/>
    <n v="0"/>
    <n v="5"/>
    <s v="Recovered"/>
    <n v="1"/>
  </r>
  <r>
    <s v="ADM-241463"/>
    <d v="2024-07-13T00:00:00"/>
    <d v="2024-07-25T00:00:00"/>
    <x v="0"/>
    <s v="Q3"/>
    <x v="6"/>
    <x v="5"/>
    <x v="0"/>
    <x v="0"/>
    <x v="1"/>
    <x v="4"/>
    <x v="2"/>
    <n v="12"/>
    <n v="38"/>
    <n v="7371"/>
    <n v="0"/>
    <n v="4"/>
    <s v="Recovered"/>
    <n v="1"/>
  </r>
  <r>
    <s v="ADM-241464"/>
    <d v="2024-07-13T00:00:00"/>
    <d v="2024-07-27T00:00:00"/>
    <x v="0"/>
    <s v="Q3"/>
    <x v="6"/>
    <x v="5"/>
    <x v="0"/>
    <x v="2"/>
    <x v="0"/>
    <x v="1"/>
    <x v="2"/>
    <n v="14"/>
    <m/>
    <n v="10977"/>
    <n v="0"/>
    <n v="4"/>
    <s v="Improved"/>
    <n v="1"/>
  </r>
  <r>
    <s v="ADM-241465"/>
    <d v="2024-07-13T00:00:00"/>
    <d v="2024-07-25T00:00:00"/>
    <x v="0"/>
    <s v="Q3"/>
    <x v="6"/>
    <x v="5"/>
    <x v="0"/>
    <x v="0"/>
    <x v="0"/>
    <x v="4"/>
    <x v="0"/>
    <n v="12"/>
    <n v="127"/>
    <n v="8689"/>
    <n v="0"/>
    <n v="3"/>
    <s v="Improved"/>
    <n v="1"/>
  </r>
  <r>
    <s v="ADM-241466"/>
    <d v="2024-07-13T00:00:00"/>
    <d v="2024-07-25T00:00:00"/>
    <x v="0"/>
    <s v="Q3"/>
    <x v="6"/>
    <x v="5"/>
    <x v="0"/>
    <x v="1"/>
    <x v="1"/>
    <x v="0"/>
    <x v="0"/>
    <n v="12"/>
    <m/>
    <n v="11015"/>
    <n v="0"/>
    <n v="5"/>
    <s v="Improved"/>
    <n v="1"/>
  </r>
  <r>
    <s v="ADM-241467"/>
    <d v="2024-07-13T00:00:00"/>
    <d v="2024-07-21T00:00:00"/>
    <x v="0"/>
    <s v="Q3"/>
    <x v="6"/>
    <x v="5"/>
    <x v="0"/>
    <x v="0"/>
    <x v="0"/>
    <x v="1"/>
    <x v="1"/>
    <n v="8"/>
    <n v="10"/>
    <n v="6171"/>
    <n v="0"/>
    <n v="5"/>
    <s v="Improved"/>
    <n v="1"/>
  </r>
  <r>
    <s v="ADM-241468"/>
    <d v="2024-07-13T00:00:00"/>
    <d v="2024-07-21T00:00:00"/>
    <x v="0"/>
    <s v="Q3"/>
    <x v="6"/>
    <x v="5"/>
    <x v="0"/>
    <x v="2"/>
    <x v="0"/>
    <x v="4"/>
    <x v="2"/>
    <n v="8"/>
    <m/>
    <n v="6089"/>
    <n v="0"/>
    <n v="4"/>
    <s v="Recovered"/>
    <n v="1"/>
  </r>
  <r>
    <s v="ADM-241469"/>
    <d v="2024-07-13T00:00:00"/>
    <d v="2024-07-22T00:00:00"/>
    <x v="0"/>
    <s v="Q3"/>
    <x v="6"/>
    <x v="5"/>
    <x v="1"/>
    <x v="0"/>
    <x v="0"/>
    <x v="4"/>
    <x v="0"/>
    <n v="9"/>
    <n v="79"/>
    <n v="11314"/>
    <n v="0"/>
    <n v="4"/>
    <s v="Recovered"/>
    <n v="1"/>
  </r>
  <r>
    <s v="ADM-241470"/>
    <d v="2024-07-13T00:00:00"/>
    <d v="2024-07-14T00:00:00"/>
    <x v="0"/>
    <s v="Q3"/>
    <x v="6"/>
    <x v="5"/>
    <x v="2"/>
    <x v="2"/>
    <x v="0"/>
    <x v="1"/>
    <x v="0"/>
    <n v="1"/>
    <m/>
    <n v="1359"/>
    <n v="0"/>
    <n v="5"/>
    <s v="Recovered"/>
    <n v="1"/>
  </r>
  <r>
    <s v="ADM-241471"/>
    <d v="2024-07-13T00:00:00"/>
    <d v="2024-07-17T00:00:00"/>
    <x v="0"/>
    <s v="Q3"/>
    <x v="6"/>
    <x v="5"/>
    <x v="0"/>
    <x v="2"/>
    <x v="1"/>
    <x v="4"/>
    <x v="1"/>
    <n v="4"/>
    <m/>
    <n v="3108"/>
    <n v="0"/>
    <n v="5"/>
    <s v="Recovered"/>
    <n v="1"/>
  </r>
  <r>
    <s v="ADM-241472"/>
    <d v="2024-07-13T00:00:00"/>
    <d v="2024-07-22T00:00:00"/>
    <x v="0"/>
    <s v="Q3"/>
    <x v="6"/>
    <x v="5"/>
    <x v="4"/>
    <x v="0"/>
    <x v="1"/>
    <x v="0"/>
    <x v="1"/>
    <n v="9"/>
    <n v="64"/>
    <n v="10542"/>
    <n v="0"/>
    <n v="4"/>
    <s v="Improved"/>
    <n v="1"/>
  </r>
  <r>
    <s v="ADM-241473"/>
    <d v="2024-07-14T00:00:00"/>
    <d v="2024-07-17T00:00:00"/>
    <x v="0"/>
    <s v="Q3"/>
    <x v="6"/>
    <x v="6"/>
    <x v="3"/>
    <x v="0"/>
    <x v="0"/>
    <x v="3"/>
    <x v="0"/>
    <n v="3"/>
    <n v="46"/>
    <n v="2662"/>
    <n v="0"/>
    <n v="4"/>
    <s v="Improved"/>
    <n v="1"/>
  </r>
  <r>
    <s v="ADM-241474"/>
    <d v="2024-07-14T00:00:00"/>
    <d v="2024-07-29T00:00:00"/>
    <x v="0"/>
    <s v="Q3"/>
    <x v="6"/>
    <x v="6"/>
    <x v="0"/>
    <x v="0"/>
    <x v="0"/>
    <x v="0"/>
    <x v="0"/>
    <n v="15"/>
    <n v="22"/>
    <n v="10036"/>
    <n v="1"/>
    <n v="4"/>
    <s v="Recovered"/>
    <n v="1"/>
  </r>
  <r>
    <s v="ADM-241475"/>
    <d v="2024-07-14T00:00:00"/>
    <d v="2024-07-18T00:00:00"/>
    <x v="0"/>
    <s v="Q3"/>
    <x v="6"/>
    <x v="6"/>
    <x v="5"/>
    <x v="2"/>
    <x v="1"/>
    <x v="0"/>
    <x v="2"/>
    <n v="4"/>
    <m/>
    <n v="4742"/>
    <n v="0"/>
    <n v="4"/>
    <s v="Recovered"/>
    <n v="1"/>
  </r>
  <r>
    <s v="ADM-241476"/>
    <d v="2024-07-14T00:00:00"/>
    <d v="2024-07-19T00:00:00"/>
    <x v="0"/>
    <s v="Q3"/>
    <x v="6"/>
    <x v="6"/>
    <x v="0"/>
    <x v="2"/>
    <x v="0"/>
    <x v="2"/>
    <x v="0"/>
    <n v="5"/>
    <m/>
    <n v="4207"/>
    <n v="0"/>
    <n v="4"/>
    <s v="Improved"/>
    <n v="1"/>
  </r>
  <r>
    <s v="ADM-241477"/>
    <d v="2024-07-14T00:00:00"/>
    <d v="2024-07-15T00:00:00"/>
    <x v="0"/>
    <s v="Q3"/>
    <x v="6"/>
    <x v="6"/>
    <x v="3"/>
    <x v="2"/>
    <x v="1"/>
    <x v="3"/>
    <x v="2"/>
    <n v="1"/>
    <m/>
    <n v="1925"/>
    <n v="0"/>
    <n v="5"/>
    <s v="Recovered"/>
    <n v="1"/>
  </r>
  <r>
    <s v="ADM-241478"/>
    <d v="2024-07-14T00:00:00"/>
    <d v="2024-07-15T00:00:00"/>
    <x v="0"/>
    <s v="Q3"/>
    <x v="6"/>
    <x v="6"/>
    <x v="2"/>
    <x v="0"/>
    <x v="0"/>
    <x v="1"/>
    <x v="0"/>
    <n v="1"/>
    <n v="74"/>
    <n v="1155"/>
    <n v="0"/>
    <n v="4"/>
    <s v="Recovered"/>
    <n v="1"/>
  </r>
  <r>
    <s v="ADM-241479"/>
    <d v="2024-07-15T00:00:00"/>
    <d v="2024-07-20T00:00:00"/>
    <x v="0"/>
    <s v="Q3"/>
    <x v="6"/>
    <x v="0"/>
    <x v="0"/>
    <x v="2"/>
    <x v="1"/>
    <x v="1"/>
    <x v="2"/>
    <n v="5"/>
    <m/>
    <n v="4374"/>
    <n v="0"/>
    <n v="4"/>
    <s v="Recovered"/>
    <n v="1"/>
  </r>
  <r>
    <s v="ADM-241480"/>
    <d v="2024-07-15T00:00:00"/>
    <d v="2024-07-16T00:00:00"/>
    <x v="0"/>
    <s v="Q3"/>
    <x v="6"/>
    <x v="0"/>
    <x v="1"/>
    <x v="0"/>
    <x v="1"/>
    <x v="1"/>
    <x v="0"/>
    <n v="1"/>
    <n v="14"/>
    <n v="1418"/>
    <n v="0"/>
    <n v="4"/>
    <s v="Recovered"/>
    <n v="1"/>
  </r>
  <r>
    <s v="ADM-241481"/>
    <d v="2024-07-15T00:00:00"/>
    <d v="2024-07-17T00:00:00"/>
    <x v="0"/>
    <s v="Q3"/>
    <x v="6"/>
    <x v="0"/>
    <x v="0"/>
    <x v="2"/>
    <x v="0"/>
    <x v="4"/>
    <x v="0"/>
    <n v="2"/>
    <m/>
    <n v="2539"/>
    <n v="0"/>
    <n v="4"/>
    <s v="Recovered"/>
    <n v="1"/>
  </r>
  <r>
    <s v="ADM-241482"/>
    <d v="2024-07-15T00:00:00"/>
    <d v="2024-07-23T00:00:00"/>
    <x v="0"/>
    <s v="Q3"/>
    <x v="6"/>
    <x v="0"/>
    <x v="2"/>
    <x v="0"/>
    <x v="0"/>
    <x v="1"/>
    <x v="0"/>
    <n v="8"/>
    <n v="37"/>
    <n v="6020"/>
    <n v="0"/>
    <n v="5"/>
    <s v="Transferred"/>
    <n v="1"/>
  </r>
  <r>
    <s v="ADM-241483"/>
    <d v="2024-07-15T00:00:00"/>
    <d v="2024-07-18T00:00:00"/>
    <x v="0"/>
    <s v="Q3"/>
    <x v="6"/>
    <x v="0"/>
    <x v="3"/>
    <x v="0"/>
    <x v="0"/>
    <x v="3"/>
    <x v="2"/>
    <n v="3"/>
    <n v="127"/>
    <n v="2740"/>
    <n v="0"/>
    <n v="3"/>
    <s v="Recovered"/>
    <n v="1"/>
  </r>
  <r>
    <s v="ADM-241484"/>
    <d v="2024-07-15T00:00:00"/>
    <d v="2024-07-23T00:00:00"/>
    <x v="0"/>
    <s v="Q3"/>
    <x v="6"/>
    <x v="0"/>
    <x v="1"/>
    <x v="0"/>
    <x v="1"/>
    <x v="0"/>
    <x v="0"/>
    <n v="8"/>
    <n v="43"/>
    <n v="8498"/>
    <n v="0"/>
    <n v="3"/>
    <s v="Recovered"/>
    <n v="1"/>
  </r>
  <r>
    <s v="ADM-241485"/>
    <d v="2024-07-15T00:00:00"/>
    <d v="2024-07-17T00:00:00"/>
    <x v="0"/>
    <s v="Q3"/>
    <x v="6"/>
    <x v="0"/>
    <x v="2"/>
    <x v="0"/>
    <x v="0"/>
    <x v="2"/>
    <x v="2"/>
    <n v="2"/>
    <n v="12"/>
    <n v="2519"/>
    <n v="0"/>
    <n v="4"/>
    <s v="Improved"/>
    <n v="1"/>
  </r>
  <r>
    <s v="ADM-241486"/>
    <d v="2024-07-15T00:00:00"/>
    <d v="2024-07-19T00:00:00"/>
    <x v="0"/>
    <s v="Q3"/>
    <x v="6"/>
    <x v="0"/>
    <x v="2"/>
    <x v="0"/>
    <x v="0"/>
    <x v="1"/>
    <x v="0"/>
    <n v="4"/>
    <n v="64"/>
    <n v="3498"/>
    <n v="0"/>
    <n v="5"/>
    <s v="Recovered"/>
    <n v="1"/>
  </r>
  <r>
    <s v="ADM-241487"/>
    <d v="2024-07-15T00:00:00"/>
    <d v="2024-07-22T00:00:00"/>
    <x v="0"/>
    <s v="Q3"/>
    <x v="6"/>
    <x v="0"/>
    <x v="1"/>
    <x v="0"/>
    <x v="0"/>
    <x v="0"/>
    <x v="1"/>
    <n v="7"/>
    <n v="35"/>
    <n v="6995"/>
    <n v="0"/>
    <n v="5"/>
    <s v="Recovered"/>
    <n v="1"/>
  </r>
  <r>
    <s v="ADM-241488"/>
    <d v="2024-07-15T00:00:00"/>
    <d v="2024-07-19T00:00:00"/>
    <x v="0"/>
    <s v="Q3"/>
    <x v="6"/>
    <x v="0"/>
    <x v="3"/>
    <x v="0"/>
    <x v="1"/>
    <x v="3"/>
    <x v="1"/>
    <n v="4"/>
    <n v="21"/>
    <n v="2822"/>
    <n v="0"/>
    <n v="5"/>
    <s v="Improved"/>
    <n v="1"/>
  </r>
  <r>
    <s v="ADM-241489"/>
    <d v="2024-07-16T00:00:00"/>
    <d v="2024-07-20T00:00:00"/>
    <x v="0"/>
    <s v="Q3"/>
    <x v="6"/>
    <x v="1"/>
    <x v="3"/>
    <x v="0"/>
    <x v="0"/>
    <x v="3"/>
    <x v="2"/>
    <n v="4"/>
    <n v="68"/>
    <n v="2689"/>
    <n v="0"/>
    <n v="4"/>
    <s v="Recovered"/>
    <n v="1"/>
  </r>
  <r>
    <s v="ADM-241490"/>
    <d v="2024-07-16T00:00:00"/>
    <d v="2024-07-17T00:00:00"/>
    <x v="0"/>
    <s v="Q3"/>
    <x v="6"/>
    <x v="1"/>
    <x v="4"/>
    <x v="2"/>
    <x v="0"/>
    <x v="2"/>
    <x v="0"/>
    <n v="1"/>
    <m/>
    <n v="2187"/>
    <n v="0"/>
    <n v="4"/>
    <s v="Recovered"/>
    <n v="1"/>
  </r>
  <r>
    <s v="ADM-241491"/>
    <d v="2024-07-16T00:00:00"/>
    <d v="2024-07-17T00:00:00"/>
    <x v="0"/>
    <s v="Q3"/>
    <x v="6"/>
    <x v="1"/>
    <x v="5"/>
    <x v="2"/>
    <x v="0"/>
    <x v="2"/>
    <x v="2"/>
    <n v="1"/>
    <m/>
    <n v="2200"/>
    <n v="0"/>
    <n v="4"/>
    <s v="Recovered"/>
    <n v="1"/>
  </r>
  <r>
    <s v="ADM-241492"/>
    <d v="2024-07-16T00:00:00"/>
    <d v="2024-07-21T00:00:00"/>
    <x v="0"/>
    <s v="Q3"/>
    <x v="6"/>
    <x v="1"/>
    <x v="2"/>
    <x v="0"/>
    <x v="0"/>
    <x v="2"/>
    <x v="2"/>
    <n v="5"/>
    <n v="71"/>
    <n v="3709"/>
    <n v="0"/>
    <n v="5"/>
    <s v="Improved"/>
    <n v="1"/>
  </r>
  <r>
    <s v="ADM-241493"/>
    <d v="2024-07-16T00:00:00"/>
    <d v="2024-07-20T00:00:00"/>
    <x v="0"/>
    <s v="Q3"/>
    <x v="6"/>
    <x v="1"/>
    <x v="2"/>
    <x v="0"/>
    <x v="0"/>
    <x v="1"/>
    <x v="1"/>
    <n v="4"/>
    <n v="19"/>
    <n v="3592"/>
    <n v="0"/>
    <n v="5"/>
    <s v="Recovered"/>
    <n v="1"/>
  </r>
  <r>
    <s v="ADM-241494"/>
    <d v="2024-07-17T00:00:00"/>
    <d v="2024-07-23T00:00:00"/>
    <x v="0"/>
    <s v="Q3"/>
    <x v="6"/>
    <x v="2"/>
    <x v="0"/>
    <x v="0"/>
    <x v="0"/>
    <x v="4"/>
    <x v="0"/>
    <n v="6"/>
    <n v="58"/>
    <n v="3429"/>
    <n v="0"/>
    <n v="4"/>
    <s v="Recovered"/>
    <n v="1"/>
  </r>
  <r>
    <s v="ADM-241495"/>
    <d v="2024-07-17T00:00:00"/>
    <d v="2024-07-23T00:00:00"/>
    <x v="0"/>
    <s v="Q3"/>
    <x v="6"/>
    <x v="2"/>
    <x v="3"/>
    <x v="0"/>
    <x v="0"/>
    <x v="3"/>
    <x v="2"/>
    <n v="6"/>
    <n v="70"/>
    <n v="3274"/>
    <n v="0"/>
    <n v="4"/>
    <s v="Recovered"/>
    <n v="1"/>
  </r>
  <r>
    <s v="ADM-241496"/>
    <d v="2024-07-17T00:00:00"/>
    <d v="2024-07-21T00:00:00"/>
    <x v="0"/>
    <s v="Q3"/>
    <x v="6"/>
    <x v="2"/>
    <x v="1"/>
    <x v="2"/>
    <x v="1"/>
    <x v="4"/>
    <x v="1"/>
    <n v="4"/>
    <m/>
    <n v="5063"/>
    <n v="0"/>
    <n v="5"/>
    <s v="Recovered"/>
    <n v="1"/>
  </r>
  <r>
    <s v="ADM-241497"/>
    <d v="2024-07-17T00:00:00"/>
    <d v="2024-07-19T00:00:00"/>
    <x v="0"/>
    <s v="Q3"/>
    <x v="6"/>
    <x v="2"/>
    <x v="4"/>
    <x v="2"/>
    <x v="1"/>
    <x v="0"/>
    <x v="2"/>
    <n v="2"/>
    <m/>
    <n v="3761"/>
    <n v="1"/>
    <n v="4"/>
    <s v="Improved"/>
    <n v="1"/>
  </r>
  <r>
    <s v="ADM-241498"/>
    <d v="2024-07-17T00:00:00"/>
    <d v="2024-07-18T00:00:00"/>
    <x v="0"/>
    <s v="Q3"/>
    <x v="6"/>
    <x v="2"/>
    <x v="1"/>
    <x v="2"/>
    <x v="0"/>
    <x v="1"/>
    <x v="0"/>
    <n v="1"/>
    <m/>
    <n v="1378"/>
    <n v="0"/>
    <n v="5"/>
    <s v="Recovered"/>
    <n v="1"/>
  </r>
  <r>
    <s v="ADM-241499"/>
    <d v="2024-07-17T00:00:00"/>
    <d v="2024-07-20T00:00:00"/>
    <x v="0"/>
    <s v="Q3"/>
    <x v="6"/>
    <x v="2"/>
    <x v="1"/>
    <x v="2"/>
    <x v="1"/>
    <x v="4"/>
    <x v="2"/>
    <n v="3"/>
    <m/>
    <n v="3029"/>
    <n v="0"/>
    <n v="4"/>
    <s v="Recovered"/>
    <n v="1"/>
  </r>
  <r>
    <s v="ADM-241500"/>
    <d v="2024-07-17T00:00:00"/>
    <d v="2024-07-20T00:00:00"/>
    <x v="0"/>
    <s v="Q3"/>
    <x v="6"/>
    <x v="2"/>
    <x v="3"/>
    <x v="0"/>
    <x v="1"/>
    <x v="3"/>
    <x v="2"/>
    <n v="3"/>
    <n v="42"/>
    <n v="1883"/>
    <n v="0"/>
    <n v="5"/>
    <s v="Improved"/>
    <n v="1"/>
  </r>
  <r>
    <s v="ADM-241501"/>
    <d v="2024-07-17T00:00:00"/>
    <d v="2024-07-19T00:00:00"/>
    <x v="0"/>
    <s v="Q3"/>
    <x v="6"/>
    <x v="2"/>
    <x v="3"/>
    <x v="1"/>
    <x v="1"/>
    <x v="3"/>
    <x v="2"/>
    <n v="2"/>
    <m/>
    <n v="1707"/>
    <n v="0"/>
    <n v="4"/>
    <s v="Recovered"/>
    <n v="1"/>
  </r>
  <r>
    <s v="ADM-241502"/>
    <d v="2024-07-17T00:00:00"/>
    <d v="2024-07-18T00:00:00"/>
    <x v="0"/>
    <s v="Q3"/>
    <x v="6"/>
    <x v="2"/>
    <x v="3"/>
    <x v="2"/>
    <x v="0"/>
    <x v="3"/>
    <x v="1"/>
    <n v="1"/>
    <m/>
    <n v="1710"/>
    <n v="0"/>
    <n v="4"/>
    <s v="Recovered"/>
    <n v="1"/>
  </r>
  <r>
    <s v="ADM-241503"/>
    <d v="2024-07-17T00:00:00"/>
    <d v="2024-07-23T00:00:00"/>
    <x v="0"/>
    <s v="Q3"/>
    <x v="6"/>
    <x v="2"/>
    <x v="2"/>
    <x v="0"/>
    <x v="0"/>
    <x v="2"/>
    <x v="2"/>
    <n v="6"/>
    <n v="13"/>
    <n v="3894"/>
    <n v="0"/>
    <n v="3"/>
    <s v="Recovered"/>
    <n v="1"/>
  </r>
  <r>
    <s v="ADM-241504"/>
    <d v="2024-07-17T00:00:00"/>
    <d v="2024-07-18T00:00:00"/>
    <x v="0"/>
    <s v="Q3"/>
    <x v="6"/>
    <x v="2"/>
    <x v="2"/>
    <x v="0"/>
    <x v="0"/>
    <x v="2"/>
    <x v="1"/>
    <n v="1"/>
    <n v="66"/>
    <n v="1513"/>
    <n v="0"/>
    <n v="5"/>
    <s v="Recovered"/>
    <n v="1"/>
  </r>
  <r>
    <s v="ADM-241505"/>
    <d v="2024-07-18T00:00:00"/>
    <d v="2024-07-22T00:00:00"/>
    <x v="0"/>
    <s v="Q3"/>
    <x v="6"/>
    <x v="3"/>
    <x v="3"/>
    <x v="0"/>
    <x v="0"/>
    <x v="3"/>
    <x v="0"/>
    <n v="4"/>
    <n v="54"/>
    <n v="2481"/>
    <n v="0"/>
    <n v="4"/>
    <s v="Recovered"/>
    <n v="1"/>
  </r>
  <r>
    <s v="ADM-241506"/>
    <d v="2024-07-18T00:00:00"/>
    <d v="2024-07-24T00:00:00"/>
    <x v="0"/>
    <s v="Q3"/>
    <x v="6"/>
    <x v="3"/>
    <x v="0"/>
    <x v="0"/>
    <x v="0"/>
    <x v="2"/>
    <x v="0"/>
    <n v="6"/>
    <n v="64"/>
    <n v="4176"/>
    <n v="0"/>
    <n v="5"/>
    <s v="Recovered"/>
    <n v="1"/>
  </r>
  <r>
    <s v="ADM-241507"/>
    <d v="2024-07-18T00:00:00"/>
    <d v="2024-07-24T00:00:00"/>
    <x v="0"/>
    <s v="Q3"/>
    <x v="6"/>
    <x v="3"/>
    <x v="2"/>
    <x v="2"/>
    <x v="0"/>
    <x v="1"/>
    <x v="2"/>
    <n v="6"/>
    <m/>
    <n v="4462"/>
    <n v="0"/>
    <n v="5"/>
    <s v="Recovered"/>
    <n v="1"/>
  </r>
  <r>
    <s v="ADM-241508"/>
    <d v="2024-07-18T00:00:00"/>
    <d v="2024-07-26T00:00:00"/>
    <x v="0"/>
    <s v="Q3"/>
    <x v="6"/>
    <x v="3"/>
    <x v="2"/>
    <x v="0"/>
    <x v="0"/>
    <x v="1"/>
    <x v="2"/>
    <n v="8"/>
    <n v="94"/>
    <n v="7296"/>
    <n v="0"/>
    <n v="3"/>
    <s v="Recovered"/>
    <n v="1"/>
  </r>
  <r>
    <s v="ADM-241509"/>
    <d v="2024-07-18T00:00:00"/>
    <d v="2024-07-19T00:00:00"/>
    <x v="0"/>
    <s v="Q3"/>
    <x v="6"/>
    <x v="3"/>
    <x v="1"/>
    <x v="2"/>
    <x v="1"/>
    <x v="1"/>
    <x v="1"/>
    <n v="1"/>
    <m/>
    <n v="2313"/>
    <n v="0"/>
    <n v="5"/>
    <s v="Recovered"/>
    <n v="1"/>
  </r>
  <r>
    <s v="ADM-241510"/>
    <d v="2024-07-18T00:00:00"/>
    <d v="2024-07-25T00:00:00"/>
    <x v="0"/>
    <s v="Q3"/>
    <x v="6"/>
    <x v="3"/>
    <x v="0"/>
    <x v="1"/>
    <x v="0"/>
    <x v="1"/>
    <x v="0"/>
    <n v="7"/>
    <m/>
    <n v="5152"/>
    <n v="0"/>
    <n v="4"/>
    <s v="Improved"/>
    <n v="1"/>
  </r>
  <r>
    <s v="ADM-241511"/>
    <d v="2024-07-18T00:00:00"/>
    <d v="2024-07-21T00:00:00"/>
    <x v="0"/>
    <s v="Q3"/>
    <x v="6"/>
    <x v="3"/>
    <x v="1"/>
    <x v="2"/>
    <x v="0"/>
    <x v="0"/>
    <x v="1"/>
    <n v="3"/>
    <m/>
    <n v="3205"/>
    <n v="0"/>
    <n v="4"/>
    <s v="Improved"/>
    <n v="1"/>
  </r>
  <r>
    <s v="ADM-241512"/>
    <d v="2024-07-18T00:00:00"/>
    <d v="2024-07-19T00:00:00"/>
    <x v="0"/>
    <s v="Q3"/>
    <x v="6"/>
    <x v="3"/>
    <x v="2"/>
    <x v="0"/>
    <x v="0"/>
    <x v="2"/>
    <x v="0"/>
    <n v="1"/>
    <n v="45"/>
    <n v="1530"/>
    <n v="0"/>
    <n v="5"/>
    <s v="Recovered"/>
    <n v="1"/>
  </r>
  <r>
    <s v="ADM-241513"/>
    <d v="2024-07-18T00:00:00"/>
    <d v="2024-07-24T00:00:00"/>
    <x v="0"/>
    <s v="Q3"/>
    <x v="6"/>
    <x v="3"/>
    <x v="4"/>
    <x v="2"/>
    <x v="1"/>
    <x v="4"/>
    <x v="0"/>
    <n v="6"/>
    <m/>
    <n v="8485"/>
    <n v="0"/>
    <n v="4"/>
    <s v="Improved"/>
    <n v="1"/>
  </r>
  <r>
    <s v="ADM-241514"/>
    <d v="2024-07-18T00:00:00"/>
    <d v="2024-07-27T00:00:00"/>
    <x v="0"/>
    <s v="Q3"/>
    <x v="6"/>
    <x v="3"/>
    <x v="1"/>
    <x v="2"/>
    <x v="1"/>
    <x v="0"/>
    <x v="2"/>
    <n v="9"/>
    <m/>
    <n v="10849"/>
    <n v="0"/>
    <n v="4"/>
    <s v="Improved"/>
    <n v="1"/>
  </r>
  <r>
    <s v="ADM-241515"/>
    <d v="2024-07-19T00:00:00"/>
    <d v="2024-07-21T00:00:00"/>
    <x v="0"/>
    <s v="Q3"/>
    <x v="6"/>
    <x v="4"/>
    <x v="5"/>
    <x v="2"/>
    <x v="0"/>
    <x v="0"/>
    <x v="0"/>
    <n v="2"/>
    <m/>
    <n v="2854"/>
    <n v="0"/>
    <n v="4"/>
    <s v="Recovered"/>
    <n v="1"/>
  </r>
  <r>
    <s v="ADM-241516"/>
    <d v="2024-07-19T00:00:00"/>
    <d v="2024-07-20T00:00:00"/>
    <x v="0"/>
    <s v="Q3"/>
    <x v="6"/>
    <x v="4"/>
    <x v="0"/>
    <x v="0"/>
    <x v="0"/>
    <x v="1"/>
    <x v="2"/>
    <n v="1"/>
    <n v="47"/>
    <n v="1663"/>
    <n v="0"/>
    <n v="5"/>
    <s v="Improved"/>
    <n v="1"/>
  </r>
  <r>
    <s v="ADM-241517"/>
    <d v="2024-07-19T00:00:00"/>
    <d v="2024-07-21T00:00:00"/>
    <x v="0"/>
    <s v="Q3"/>
    <x v="6"/>
    <x v="4"/>
    <x v="0"/>
    <x v="0"/>
    <x v="1"/>
    <x v="0"/>
    <x v="0"/>
    <n v="2"/>
    <n v="16"/>
    <n v="2242"/>
    <n v="1"/>
    <n v="5"/>
    <s v="Recovered"/>
    <n v="1"/>
  </r>
  <r>
    <s v="ADM-241518"/>
    <d v="2024-07-19T00:00:00"/>
    <d v="2024-07-23T00:00:00"/>
    <x v="0"/>
    <s v="Q3"/>
    <x v="6"/>
    <x v="4"/>
    <x v="0"/>
    <x v="0"/>
    <x v="1"/>
    <x v="2"/>
    <x v="2"/>
    <n v="4"/>
    <n v="18"/>
    <n v="3733"/>
    <n v="0"/>
    <n v="4"/>
    <s v="Recovered"/>
    <n v="1"/>
  </r>
  <r>
    <s v="ADM-241519"/>
    <d v="2024-07-19T00:00:00"/>
    <d v="2024-07-22T00:00:00"/>
    <x v="0"/>
    <s v="Q3"/>
    <x v="6"/>
    <x v="4"/>
    <x v="0"/>
    <x v="0"/>
    <x v="0"/>
    <x v="4"/>
    <x v="2"/>
    <n v="3"/>
    <n v="42"/>
    <n v="3275"/>
    <n v="0"/>
    <n v="4"/>
    <s v="Recovered"/>
    <n v="1"/>
  </r>
  <r>
    <s v="ADM-241520"/>
    <d v="2024-07-19T00:00:00"/>
    <d v="2024-07-22T00:00:00"/>
    <x v="0"/>
    <s v="Q3"/>
    <x v="6"/>
    <x v="4"/>
    <x v="4"/>
    <x v="0"/>
    <x v="1"/>
    <x v="2"/>
    <x v="2"/>
    <n v="3"/>
    <n v="141"/>
    <n v="4913"/>
    <n v="0"/>
    <n v="5"/>
    <s v="Recovered"/>
    <n v="1"/>
  </r>
  <r>
    <s v="ADM-241521"/>
    <d v="2024-07-19T00:00:00"/>
    <d v="2024-07-22T00:00:00"/>
    <x v="0"/>
    <s v="Q3"/>
    <x v="6"/>
    <x v="4"/>
    <x v="2"/>
    <x v="0"/>
    <x v="0"/>
    <x v="1"/>
    <x v="2"/>
    <n v="3"/>
    <n v="80"/>
    <n v="2594"/>
    <n v="0"/>
    <n v="4"/>
    <s v="Recovered"/>
    <n v="1"/>
  </r>
  <r>
    <s v="ADM-241522"/>
    <d v="2024-07-19T00:00:00"/>
    <d v="2024-07-20T00:00:00"/>
    <x v="0"/>
    <s v="Q3"/>
    <x v="6"/>
    <x v="4"/>
    <x v="3"/>
    <x v="0"/>
    <x v="0"/>
    <x v="3"/>
    <x v="0"/>
    <n v="1"/>
    <n v="11"/>
    <n v="1055"/>
    <n v="0"/>
    <n v="5"/>
    <s v="Improved"/>
    <n v="1"/>
  </r>
  <r>
    <s v="ADM-241523"/>
    <d v="2024-07-20T00:00:00"/>
    <d v="2024-07-21T00:00:00"/>
    <x v="0"/>
    <s v="Q3"/>
    <x v="6"/>
    <x v="5"/>
    <x v="5"/>
    <x v="0"/>
    <x v="1"/>
    <x v="0"/>
    <x v="0"/>
    <n v="1"/>
    <n v="74"/>
    <n v="1945"/>
    <n v="0"/>
    <n v="4"/>
    <s v="Recovered"/>
    <n v="1"/>
  </r>
  <r>
    <s v="ADM-241524"/>
    <d v="2024-07-20T00:00:00"/>
    <d v="2024-07-25T00:00:00"/>
    <x v="0"/>
    <s v="Q3"/>
    <x v="6"/>
    <x v="5"/>
    <x v="1"/>
    <x v="2"/>
    <x v="1"/>
    <x v="4"/>
    <x v="2"/>
    <n v="5"/>
    <m/>
    <n v="5455"/>
    <n v="0"/>
    <n v="5"/>
    <s v="Improved"/>
    <n v="1"/>
  </r>
  <r>
    <s v="ADM-241525"/>
    <d v="2024-07-20T00:00:00"/>
    <d v="2024-07-22T00:00:00"/>
    <x v="0"/>
    <s v="Q3"/>
    <x v="6"/>
    <x v="5"/>
    <x v="1"/>
    <x v="0"/>
    <x v="1"/>
    <x v="4"/>
    <x v="2"/>
    <n v="2"/>
    <n v="178"/>
    <n v="2133"/>
    <n v="1"/>
    <n v="3"/>
    <s v="Improved"/>
    <n v="1"/>
  </r>
  <r>
    <s v="ADM-241526"/>
    <d v="2024-07-21T00:00:00"/>
    <d v="2024-07-25T00:00:00"/>
    <x v="0"/>
    <s v="Q3"/>
    <x v="6"/>
    <x v="6"/>
    <x v="5"/>
    <x v="0"/>
    <x v="0"/>
    <x v="0"/>
    <x v="0"/>
    <n v="4"/>
    <n v="85"/>
    <n v="5368"/>
    <n v="0"/>
    <n v="4"/>
    <s v="Recovered"/>
    <n v="1"/>
  </r>
  <r>
    <s v="ADM-241527"/>
    <d v="2024-07-21T00:00:00"/>
    <d v="2024-07-25T00:00:00"/>
    <x v="0"/>
    <s v="Q3"/>
    <x v="6"/>
    <x v="6"/>
    <x v="1"/>
    <x v="2"/>
    <x v="0"/>
    <x v="4"/>
    <x v="0"/>
    <n v="4"/>
    <m/>
    <n v="5451"/>
    <n v="0"/>
    <n v="5"/>
    <s v="Recovered"/>
    <n v="1"/>
  </r>
  <r>
    <s v="ADM-241528"/>
    <d v="2024-07-21T00:00:00"/>
    <d v="2024-07-23T00:00:00"/>
    <x v="0"/>
    <s v="Q3"/>
    <x v="6"/>
    <x v="6"/>
    <x v="4"/>
    <x v="2"/>
    <x v="1"/>
    <x v="0"/>
    <x v="2"/>
    <n v="2"/>
    <m/>
    <n v="3474"/>
    <n v="1"/>
    <n v="3"/>
    <s v="Recovered"/>
    <n v="1"/>
  </r>
  <r>
    <s v="ADM-241529"/>
    <d v="2024-07-21T00:00:00"/>
    <d v="2024-08-01T00:00:00"/>
    <x v="0"/>
    <s v="Q3"/>
    <x v="6"/>
    <x v="6"/>
    <x v="4"/>
    <x v="0"/>
    <x v="1"/>
    <x v="0"/>
    <x v="2"/>
    <n v="11"/>
    <n v="127"/>
    <n v="11008"/>
    <n v="0"/>
    <n v="3"/>
    <s v="Improved"/>
    <n v="1"/>
  </r>
  <r>
    <s v="ADM-241530"/>
    <d v="2024-07-21T00:00:00"/>
    <d v="2024-07-24T00:00:00"/>
    <x v="0"/>
    <s v="Q3"/>
    <x v="6"/>
    <x v="6"/>
    <x v="1"/>
    <x v="2"/>
    <x v="0"/>
    <x v="0"/>
    <x v="0"/>
    <n v="3"/>
    <m/>
    <n v="3607"/>
    <n v="0"/>
    <n v="4"/>
    <s v="Recovered"/>
    <n v="1"/>
  </r>
  <r>
    <s v="ADM-241531"/>
    <d v="2024-07-21T00:00:00"/>
    <d v="2024-07-23T00:00:00"/>
    <x v="0"/>
    <s v="Q3"/>
    <x v="6"/>
    <x v="6"/>
    <x v="0"/>
    <x v="0"/>
    <x v="0"/>
    <x v="0"/>
    <x v="0"/>
    <n v="2"/>
    <n v="67"/>
    <n v="2581"/>
    <n v="0"/>
    <n v="5"/>
    <s v="Improved"/>
    <n v="1"/>
  </r>
  <r>
    <s v="ADM-241532"/>
    <d v="2024-07-21T00:00:00"/>
    <d v="2024-07-22T00:00:00"/>
    <x v="0"/>
    <s v="Q3"/>
    <x v="6"/>
    <x v="6"/>
    <x v="0"/>
    <x v="1"/>
    <x v="1"/>
    <x v="4"/>
    <x v="1"/>
    <n v="1"/>
    <m/>
    <n v="1260"/>
    <n v="1"/>
    <n v="4"/>
    <s v="Improved"/>
    <n v="1"/>
  </r>
  <r>
    <s v="ADM-241533"/>
    <d v="2024-07-22T00:00:00"/>
    <d v="2024-07-23T00:00:00"/>
    <x v="0"/>
    <s v="Q3"/>
    <x v="6"/>
    <x v="0"/>
    <x v="3"/>
    <x v="2"/>
    <x v="1"/>
    <x v="3"/>
    <x v="2"/>
    <n v="1"/>
    <m/>
    <n v="1428"/>
    <n v="0"/>
    <n v="4"/>
    <s v="Improved"/>
    <n v="1"/>
  </r>
  <r>
    <s v="ADM-241534"/>
    <d v="2024-07-22T00:00:00"/>
    <d v="2024-07-27T00:00:00"/>
    <x v="0"/>
    <s v="Q3"/>
    <x v="6"/>
    <x v="0"/>
    <x v="3"/>
    <x v="0"/>
    <x v="1"/>
    <x v="3"/>
    <x v="2"/>
    <n v="5"/>
    <n v="41"/>
    <n v="3159"/>
    <n v="0"/>
    <n v="4"/>
    <s v="Improved"/>
    <n v="1"/>
  </r>
  <r>
    <s v="ADM-241535"/>
    <d v="2024-07-22T00:00:00"/>
    <d v="2024-08-03T00:00:00"/>
    <x v="0"/>
    <s v="Q3"/>
    <x v="6"/>
    <x v="0"/>
    <x v="4"/>
    <x v="0"/>
    <x v="1"/>
    <x v="0"/>
    <x v="0"/>
    <n v="12"/>
    <n v="89"/>
    <n v="17861"/>
    <n v="0"/>
    <n v="5"/>
    <s v="Transferred"/>
    <n v="1"/>
  </r>
  <r>
    <s v="ADM-241536"/>
    <d v="2024-07-22T00:00:00"/>
    <d v="2024-07-24T00:00:00"/>
    <x v="0"/>
    <s v="Q3"/>
    <x v="6"/>
    <x v="0"/>
    <x v="3"/>
    <x v="2"/>
    <x v="1"/>
    <x v="3"/>
    <x v="2"/>
    <n v="2"/>
    <m/>
    <n v="1914"/>
    <n v="0"/>
    <n v="5"/>
    <s v="Recovered"/>
    <n v="1"/>
  </r>
  <r>
    <s v="ADM-241537"/>
    <d v="2024-07-22T00:00:00"/>
    <d v="2024-07-26T00:00:00"/>
    <x v="0"/>
    <s v="Q3"/>
    <x v="6"/>
    <x v="0"/>
    <x v="1"/>
    <x v="2"/>
    <x v="1"/>
    <x v="1"/>
    <x v="2"/>
    <n v="4"/>
    <m/>
    <n v="4423"/>
    <n v="0"/>
    <n v="4"/>
    <s v="Improved"/>
    <n v="1"/>
  </r>
  <r>
    <s v="ADM-241538"/>
    <d v="2024-07-22T00:00:00"/>
    <d v="2024-07-23T00:00:00"/>
    <x v="0"/>
    <s v="Q3"/>
    <x v="6"/>
    <x v="0"/>
    <x v="4"/>
    <x v="0"/>
    <x v="0"/>
    <x v="1"/>
    <x v="2"/>
    <n v="1"/>
    <n v="120"/>
    <n v="1849"/>
    <n v="0"/>
    <n v="3"/>
    <s v="Deceased"/>
    <n v="1"/>
  </r>
  <r>
    <s v="ADM-241539"/>
    <d v="2024-07-22T00:00:00"/>
    <d v="2024-07-27T00:00:00"/>
    <x v="0"/>
    <s v="Q3"/>
    <x v="6"/>
    <x v="0"/>
    <x v="0"/>
    <x v="0"/>
    <x v="1"/>
    <x v="2"/>
    <x v="2"/>
    <n v="5"/>
    <n v="105"/>
    <n v="3412"/>
    <n v="1"/>
    <n v="3"/>
    <s v="Recovered"/>
    <n v="1"/>
  </r>
  <r>
    <s v="ADM-241540"/>
    <d v="2024-07-22T00:00:00"/>
    <d v="2024-08-05T00:00:00"/>
    <x v="0"/>
    <s v="Q3"/>
    <x v="6"/>
    <x v="0"/>
    <x v="4"/>
    <x v="0"/>
    <x v="0"/>
    <x v="0"/>
    <x v="2"/>
    <n v="14"/>
    <n v="89"/>
    <n v="12700"/>
    <n v="1"/>
    <n v="4"/>
    <s v="Improved"/>
    <n v="1"/>
  </r>
  <r>
    <s v="ADM-241541"/>
    <d v="2024-07-22T00:00:00"/>
    <d v="2024-07-26T00:00:00"/>
    <x v="0"/>
    <s v="Q3"/>
    <x v="6"/>
    <x v="0"/>
    <x v="1"/>
    <x v="0"/>
    <x v="1"/>
    <x v="4"/>
    <x v="0"/>
    <n v="4"/>
    <n v="66"/>
    <n v="4357"/>
    <n v="0"/>
    <n v="3"/>
    <s v="Recovered"/>
    <n v="1"/>
  </r>
  <r>
    <s v="ADM-241542"/>
    <d v="2024-07-23T00:00:00"/>
    <d v="2024-07-27T00:00:00"/>
    <x v="0"/>
    <s v="Q3"/>
    <x v="6"/>
    <x v="1"/>
    <x v="0"/>
    <x v="2"/>
    <x v="1"/>
    <x v="4"/>
    <x v="0"/>
    <n v="4"/>
    <m/>
    <n v="2895"/>
    <n v="0"/>
    <n v="4"/>
    <s v="Recovered"/>
    <n v="1"/>
  </r>
  <r>
    <s v="ADM-241543"/>
    <d v="2024-07-23T00:00:00"/>
    <d v="2024-07-27T00:00:00"/>
    <x v="0"/>
    <s v="Q3"/>
    <x v="6"/>
    <x v="1"/>
    <x v="0"/>
    <x v="2"/>
    <x v="0"/>
    <x v="0"/>
    <x v="2"/>
    <n v="4"/>
    <m/>
    <n v="3109"/>
    <n v="0"/>
    <n v="4"/>
    <s v="Improved"/>
    <n v="1"/>
  </r>
  <r>
    <s v="ADM-241544"/>
    <d v="2024-07-23T00:00:00"/>
    <d v="2024-08-02T00:00:00"/>
    <x v="0"/>
    <s v="Q3"/>
    <x v="6"/>
    <x v="1"/>
    <x v="4"/>
    <x v="1"/>
    <x v="0"/>
    <x v="4"/>
    <x v="2"/>
    <n v="10"/>
    <m/>
    <n v="9214"/>
    <n v="0"/>
    <n v="5"/>
    <s v="Improved"/>
    <n v="1"/>
  </r>
  <r>
    <s v="ADM-241545"/>
    <d v="2024-07-24T00:00:00"/>
    <d v="2024-07-26T00:00:00"/>
    <x v="0"/>
    <s v="Q3"/>
    <x v="6"/>
    <x v="2"/>
    <x v="4"/>
    <x v="0"/>
    <x v="0"/>
    <x v="4"/>
    <x v="0"/>
    <n v="2"/>
    <n v="82"/>
    <n v="3041"/>
    <n v="0"/>
    <n v="5"/>
    <s v="Recovered"/>
    <n v="1"/>
  </r>
  <r>
    <s v="ADM-241546"/>
    <d v="2024-07-24T00:00:00"/>
    <d v="2024-07-29T00:00:00"/>
    <x v="0"/>
    <s v="Q3"/>
    <x v="6"/>
    <x v="2"/>
    <x v="0"/>
    <x v="1"/>
    <x v="1"/>
    <x v="2"/>
    <x v="2"/>
    <n v="5"/>
    <m/>
    <n v="4142"/>
    <n v="1"/>
    <n v="3"/>
    <s v="Recovered"/>
    <n v="1"/>
  </r>
  <r>
    <s v="ADM-241547"/>
    <d v="2024-07-24T00:00:00"/>
    <d v="2024-07-25T00:00:00"/>
    <x v="0"/>
    <s v="Q3"/>
    <x v="6"/>
    <x v="2"/>
    <x v="3"/>
    <x v="2"/>
    <x v="1"/>
    <x v="3"/>
    <x v="2"/>
    <n v="1"/>
    <m/>
    <n v="1474"/>
    <n v="0"/>
    <n v="3"/>
    <s v="Transferred"/>
    <n v="1"/>
  </r>
  <r>
    <s v="ADM-241548"/>
    <d v="2024-07-25T00:00:00"/>
    <d v="2024-07-26T00:00:00"/>
    <x v="0"/>
    <s v="Q3"/>
    <x v="6"/>
    <x v="3"/>
    <x v="1"/>
    <x v="2"/>
    <x v="0"/>
    <x v="0"/>
    <x v="2"/>
    <n v="1"/>
    <m/>
    <n v="2197"/>
    <n v="0"/>
    <n v="5"/>
    <s v="Recovered"/>
    <n v="1"/>
  </r>
  <r>
    <s v="ADM-241549"/>
    <d v="2024-07-25T00:00:00"/>
    <d v="2024-08-03T00:00:00"/>
    <x v="0"/>
    <s v="Q3"/>
    <x v="6"/>
    <x v="3"/>
    <x v="4"/>
    <x v="2"/>
    <x v="1"/>
    <x v="2"/>
    <x v="1"/>
    <n v="9"/>
    <m/>
    <n v="9671"/>
    <n v="1"/>
    <n v="4"/>
    <s v="Recovered"/>
    <n v="1"/>
  </r>
  <r>
    <s v="ADM-241550"/>
    <d v="2024-07-25T00:00:00"/>
    <d v="2024-07-31T00:00:00"/>
    <x v="0"/>
    <s v="Q3"/>
    <x v="6"/>
    <x v="3"/>
    <x v="2"/>
    <x v="2"/>
    <x v="0"/>
    <x v="1"/>
    <x v="0"/>
    <n v="6"/>
    <m/>
    <n v="4277"/>
    <n v="0"/>
    <n v="5"/>
    <s v="Recovered"/>
    <n v="1"/>
  </r>
  <r>
    <s v="ADM-241551"/>
    <d v="2024-07-25T00:00:00"/>
    <d v="2024-07-28T00:00:00"/>
    <x v="0"/>
    <s v="Q3"/>
    <x v="6"/>
    <x v="3"/>
    <x v="0"/>
    <x v="0"/>
    <x v="0"/>
    <x v="4"/>
    <x v="0"/>
    <n v="3"/>
    <n v="77"/>
    <n v="3327"/>
    <n v="1"/>
    <n v="4"/>
    <s v="Improved"/>
    <n v="1"/>
  </r>
  <r>
    <s v="ADM-241552"/>
    <d v="2024-07-26T00:00:00"/>
    <d v="2024-08-04T00:00:00"/>
    <x v="0"/>
    <s v="Q3"/>
    <x v="6"/>
    <x v="4"/>
    <x v="5"/>
    <x v="0"/>
    <x v="0"/>
    <x v="1"/>
    <x v="2"/>
    <n v="9"/>
    <n v="61"/>
    <n v="8007"/>
    <n v="0"/>
    <n v="5"/>
    <s v="Recovered"/>
    <n v="1"/>
  </r>
  <r>
    <s v="ADM-241553"/>
    <d v="2024-07-26T00:00:00"/>
    <d v="2024-07-29T00:00:00"/>
    <x v="0"/>
    <s v="Q3"/>
    <x v="6"/>
    <x v="4"/>
    <x v="2"/>
    <x v="0"/>
    <x v="0"/>
    <x v="1"/>
    <x v="2"/>
    <n v="3"/>
    <n v="44"/>
    <n v="2179"/>
    <n v="0"/>
    <n v="4"/>
    <s v="Recovered"/>
    <n v="1"/>
  </r>
  <r>
    <s v="ADM-241554"/>
    <d v="2024-07-26T00:00:00"/>
    <d v="2024-07-29T00:00:00"/>
    <x v="0"/>
    <s v="Q3"/>
    <x v="6"/>
    <x v="4"/>
    <x v="2"/>
    <x v="1"/>
    <x v="0"/>
    <x v="1"/>
    <x v="0"/>
    <n v="3"/>
    <m/>
    <n v="3299"/>
    <n v="0"/>
    <n v="3"/>
    <s v="Recovered"/>
    <n v="1"/>
  </r>
  <r>
    <s v="ADM-241555"/>
    <d v="2024-07-26T00:00:00"/>
    <d v="2024-07-27T00:00:00"/>
    <x v="0"/>
    <s v="Q3"/>
    <x v="6"/>
    <x v="4"/>
    <x v="1"/>
    <x v="2"/>
    <x v="0"/>
    <x v="2"/>
    <x v="2"/>
    <n v="1"/>
    <m/>
    <n v="2358"/>
    <n v="0"/>
    <n v="5"/>
    <s v="Recovered"/>
    <n v="1"/>
  </r>
  <r>
    <s v="ADM-241556"/>
    <d v="2024-07-26T00:00:00"/>
    <d v="2024-08-01T00:00:00"/>
    <x v="0"/>
    <s v="Q3"/>
    <x v="6"/>
    <x v="4"/>
    <x v="0"/>
    <x v="0"/>
    <x v="1"/>
    <x v="4"/>
    <x v="0"/>
    <n v="6"/>
    <n v="20"/>
    <n v="5324"/>
    <n v="0"/>
    <n v="4"/>
    <s v="Recovered"/>
    <n v="1"/>
  </r>
  <r>
    <s v="ADM-241557"/>
    <d v="2024-07-26T00:00:00"/>
    <d v="2024-07-30T00:00:00"/>
    <x v="0"/>
    <s v="Q3"/>
    <x v="6"/>
    <x v="4"/>
    <x v="5"/>
    <x v="0"/>
    <x v="1"/>
    <x v="1"/>
    <x v="2"/>
    <n v="4"/>
    <n v="136"/>
    <n v="3342"/>
    <n v="0"/>
    <n v="4"/>
    <s v="Recovered"/>
    <n v="1"/>
  </r>
  <r>
    <s v="ADM-241558"/>
    <d v="2024-07-26T00:00:00"/>
    <d v="2024-07-27T00:00:00"/>
    <x v="0"/>
    <s v="Q3"/>
    <x v="6"/>
    <x v="4"/>
    <x v="3"/>
    <x v="0"/>
    <x v="1"/>
    <x v="3"/>
    <x v="2"/>
    <n v="1"/>
    <n v="25"/>
    <n v="899"/>
    <n v="0"/>
    <n v="5"/>
    <s v="Improved"/>
    <n v="1"/>
  </r>
  <r>
    <s v="ADM-241559"/>
    <d v="2024-07-26T00:00:00"/>
    <d v="2024-07-29T00:00:00"/>
    <x v="0"/>
    <s v="Q3"/>
    <x v="6"/>
    <x v="4"/>
    <x v="2"/>
    <x v="0"/>
    <x v="0"/>
    <x v="2"/>
    <x v="0"/>
    <n v="3"/>
    <n v="103"/>
    <n v="2728"/>
    <n v="1"/>
    <n v="4"/>
    <s v="Improved"/>
    <n v="1"/>
  </r>
  <r>
    <s v="ADM-241560"/>
    <d v="2024-07-26T00:00:00"/>
    <d v="2024-07-30T00:00:00"/>
    <x v="0"/>
    <s v="Q3"/>
    <x v="6"/>
    <x v="4"/>
    <x v="3"/>
    <x v="0"/>
    <x v="0"/>
    <x v="3"/>
    <x v="2"/>
    <n v="4"/>
    <n v="84"/>
    <n v="3084"/>
    <n v="0"/>
    <n v="3"/>
    <s v="Recovered"/>
    <n v="1"/>
  </r>
  <r>
    <s v="ADM-241561"/>
    <d v="2024-07-26T00:00:00"/>
    <d v="2024-07-29T00:00:00"/>
    <x v="0"/>
    <s v="Q3"/>
    <x v="6"/>
    <x v="4"/>
    <x v="1"/>
    <x v="2"/>
    <x v="0"/>
    <x v="0"/>
    <x v="1"/>
    <n v="3"/>
    <m/>
    <n v="3529"/>
    <n v="0"/>
    <n v="4"/>
    <s v="Improved"/>
    <n v="1"/>
  </r>
  <r>
    <s v="ADM-241562"/>
    <d v="2024-07-26T00:00:00"/>
    <d v="2024-08-07T00:00:00"/>
    <x v="0"/>
    <s v="Q3"/>
    <x v="6"/>
    <x v="4"/>
    <x v="4"/>
    <x v="0"/>
    <x v="0"/>
    <x v="0"/>
    <x v="2"/>
    <n v="12"/>
    <n v="38"/>
    <n v="14689"/>
    <n v="0"/>
    <n v="3"/>
    <s v="Recovered"/>
    <n v="1"/>
  </r>
  <r>
    <s v="ADM-241563"/>
    <d v="2024-07-26T00:00:00"/>
    <d v="2024-08-06T00:00:00"/>
    <x v="0"/>
    <s v="Q3"/>
    <x v="6"/>
    <x v="4"/>
    <x v="4"/>
    <x v="0"/>
    <x v="1"/>
    <x v="1"/>
    <x v="2"/>
    <n v="11"/>
    <n v="48"/>
    <n v="14826"/>
    <n v="0"/>
    <n v="5"/>
    <s v="Recovered"/>
    <n v="1"/>
  </r>
  <r>
    <s v="ADM-241564"/>
    <d v="2024-07-26T00:00:00"/>
    <d v="2024-07-29T00:00:00"/>
    <x v="0"/>
    <s v="Q3"/>
    <x v="6"/>
    <x v="4"/>
    <x v="1"/>
    <x v="2"/>
    <x v="1"/>
    <x v="2"/>
    <x v="2"/>
    <n v="3"/>
    <m/>
    <n v="3454"/>
    <n v="0"/>
    <n v="4"/>
    <s v="Recovered"/>
    <n v="1"/>
  </r>
  <r>
    <s v="ADM-241565"/>
    <d v="2024-07-26T00:00:00"/>
    <d v="2024-07-30T00:00:00"/>
    <x v="0"/>
    <s v="Q3"/>
    <x v="6"/>
    <x v="4"/>
    <x v="3"/>
    <x v="2"/>
    <x v="0"/>
    <x v="3"/>
    <x v="2"/>
    <n v="4"/>
    <m/>
    <n v="2548"/>
    <n v="0"/>
    <n v="5"/>
    <s v="Recovered"/>
    <n v="1"/>
  </r>
  <r>
    <s v="ADM-241566"/>
    <d v="2024-07-26T00:00:00"/>
    <d v="2024-07-29T00:00:00"/>
    <x v="0"/>
    <s v="Q3"/>
    <x v="6"/>
    <x v="4"/>
    <x v="5"/>
    <x v="2"/>
    <x v="0"/>
    <x v="4"/>
    <x v="0"/>
    <n v="3"/>
    <m/>
    <n v="4473"/>
    <n v="0"/>
    <n v="3"/>
    <s v="Improved"/>
    <n v="1"/>
  </r>
  <r>
    <s v="ADM-241567"/>
    <d v="2024-07-27T00:00:00"/>
    <d v="2024-07-28T00:00:00"/>
    <x v="0"/>
    <s v="Q3"/>
    <x v="6"/>
    <x v="5"/>
    <x v="3"/>
    <x v="2"/>
    <x v="1"/>
    <x v="3"/>
    <x v="0"/>
    <n v="1"/>
    <m/>
    <n v="1460"/>
    <n v="0"/>
    <n v="3"/>
    <s v="Transferred"/>
    <n v="1"/>
  </r>
  <r>
    <s v="ADM-241568"/>
    <d v="2024-07-27T00:00:00"/>
    <d v="2024-07-28T00:00:00"/>
    <x v="0"/>
    <s v="Q3"/>
    <x v="6"/>
    <x v="5"/>
    <x v="1"/>
    <x v="2"/>
    <x v="1"/>
    <x v="2"/>
    <x v="0"/>
    <n v="1"/>
    <m/>
    <n v="2190"/>
    <n v="0"/>
    <n v="5"/>
    <s v="Recovered"/>
    <n v="1"/>
  </r>
  <r>
    <s v="ADM-241569"/>
    <d v="2024-07-27T00:00:00"/>
    <d v="2024-08-04T00:00:00"/>
    <x v="0"/>
    <s v="Q3"/>
    <x v="6"/>
    <x v="5"/>
    <x v="0"/>
    <x v="1"/>
    <x v="1"/>
    <x v="0"/>
    <x v="0"/>
    <n v="8"/>
    <m/>
    <n v="6347"/>
    <n v="0"/>
    <n v="4"/>
    <s v="Recovered"/>
    <n v="1"/>
  </r>
  <r>
    <s v="ADM-241570"/>
    <d v="2024-07-27T00:00:00"/>
    <d v="2024-07-28T00:00:00"/>
    <x v="0"/>
    <s v="Q3"/>
    <x v="6"/>
    <x v="5"/>
    <x v="5"/>
    <x v="0"/>
    <x v="1"/>
    <x v="4"/>
    <x v="0"/>
    <n v="1"/>
    <n v="33"/>
    <n v="1573"/>
    <n v="0"/>
    <n v="2"/>
    <s v="Recovered"/>
    <n v="1"/>
  </r>
  <r>
    <s v="ADM-241571"/>
    <d v="2024-07-27T00:00:00"/>
    <d v="2024-08-02T00:00:00"/>
    <x v="0"/>
    <s v="Q3"/>
    <x v="6"/>
    <x v="5"/>
    <x v="0"/>
    <x v="2"/>
    <x v="1"/>
    <x v="4"/>
    <x v="0"/>
    <n v="6"/>
    <m/>
    <n v="4238"/>
    <n v="0"/>
    <n v="4"/>
    <s v="Recovered"/>
    <n v="1"/>
  </r>
  <r>
    <s v="ADM-241572"/>
    <d v="2024-07-27T00:00:00"/>
    <d v="2024-07-30T00:00:00"/>
    <x v="0"/>
    <s v="Q3"/>
    <x v="6"/>
    <x v="5"/>
    <x v="4"/>
    <x v="0"/>
    <x v="0"/>
    <x v="1"/>
    <x v="0"/>
    <n v="3"/>
    <n v="20"/>
    <n v="5111"/>
    <n v="0"/>
    <n v="5"/>
    <s v="Recovered"/>
    <n v="1"/>
  </r>
  <r>
    <s v="ADM-241573"/>
    <d v="2024-07-27T00:00:00"/>
    <d v="2024-07-30T00:00:00"/>
    <x v="0"/>
    <s v="Q3"/>
    <x v="6"/>
    <x v="5"/>
    <x v="0"/>
    <x v="2"/>
    <x v="0"/>
    <x v="1"/>
    <x v="2"/>
    <n v="3"/>
    <m/>
    <n v="2880"/>
    <n v="0"/>
    <n v="4"/>
    <s v="Transferred"/>
    <n v="1"/>
  </r>
  <r>
    <s v="ADM-241574"/>
    <d v="2024-07-28T00:00:00"/>
    <d v="2024-07-31T00:00:00"/>
    <x v="0"/>
    <s v="Q3"/>
    <x v="6"/>
    <x v="6"/>
    <x v="0"/>
    <x v="0"/>
    <x v="1"/>
    <x v="2"/>
    <x v="2"/>
    <n v="3"/>
    <n v="26"/>
    <n v="3369"/>
    <n v="0"/>
    <n v="4"/>
    <s v="Recovered"/>
    <n v="1"/>
  </r>
  <r>
    <s v="ADM-241575"/>
    <d v="2024-07-28T00:00:00"/>
    <d v="2024-07-29T00:00:00"/>
    <x v="0"/>
    <s v="Q3"/>
    <x v="6"/>
    <x v="6"/>
    <x v="2"/>
    <x v="0"/>
    <x v="0"/>
    <x v="1"/>
    <x v="2"/>
    <n v="1"/>
    <n v="26"/>
    <n v="1841"/>
    <n v="0"/>
    <n v="5"/>
    <s v="Recovered"/>
    <n v="1"/>
  </r>
  <r>
    <s v="ADM-241576"/>
    <d v="2024-07-28T00:00:00"/>
    <d v="2024-08-12T00:00:00"/>
    <x v="0"/>
    <s v="Q3"/>
    <x v="6"/>
    <x v="6"/>
    <x v="0"/>
    <x v="0"/>
    <x v="1"/>
    <x v="2"/>
    <x v="2"/>
    <n v="15"/>
    <n v="76"/>
    <n v="8082"/>
    <n v="0"/>
    <n v="5"/>
    <s v="Recovered"/>
    <n v="1"/>
  </r>
  <r>
    <s v="ADM-241577"/>
    <d v="2024-07-28T00:00:00"/>
    <d v="2024-07-31T00:00:00"/>
    <x v="0"/>
    <s v="Q3"/>
    <x v="6"/>
    <x v="6"/>
    <x v="3"/>
    <x v="0"/>
    <x v="1"/>
    <x v="3"/>
    <x v="2"/>
    <n v="3"/>
    <n v="16"/>
    <n v="2653"/>
    <n v="0"/>
    <n v="5"/>
    <s v="Recovered"/>
    <n v="1"/>
  </r>
  <r>
    <s v="ADM-241578"/>
    <d v="2024-07-28T00:00:00"/>
    <d v="2024-08-01T00:00:00"/>
    <x v="0"/>
    <s v="Q3"/>
    <x v="6"/>
    <x v="6"/>
    <x v="0"/>
    <x v="0"/>
    <x v="1"/>
    <x v="4"/>
    <x v="2"/>
    <n v="4"/>
    <n v="60"/>
    <n v="3332"/>
    <n v="0"/>
    <n v="4"/>
    <s v="Recovered"/>
    <n v="1"/>
  </r>
  <r>
    <s v="ADM-241579"/>
    <d v="2024-07-29T00:00:00"/>
    <d v="2024-08-01T00:00:00"/>
    <x v="0"/>
    <s v="Q3"/>
    <x v="6"/>
    <x v="0"/>
    <x v="3"/>
    <x v="0"/>
    <x v="1"/>
    <x v="3"/>
    <x v="0"/>
    <n v="3"/>
    <n v="50"/>
    <n v="3044"/>
    <n v="0"/>
    <n v="4"/>
    <s v="Recovered"/>
    <n v="1"/>
  </r>
  <r>
    <s v="ADM-241580"/>
    <d v="2024-07-29T00:00:00"/>
    <d v="2024-08-07T00:00:00"/>
    <x v="0"/>
    <s v="Q3"/>
    <x v="6"/>
    <x v="0"/>
    <x v="0"/>
    <x v="0"/>
    <x v="1"/>
    <x v="4"/>
    <x v="0"/>
    <n v="9"/>
    <n v="32"/>
    <n v="6778"/>
    <n v="0"/>
    <n v="4"/>
    <s v="Improved"/>
    <n v="1"/>
  </r>
  <r>
    <s v="ADM-241581"/>
    <d v="2024-07-29T00:00:00"/>
    <d v="2024-08-09T00:00:00"/>
    <x v="0"/>
    <s v="Q3"/>
    <x v="6"/>
    <x v="0"/>
    <x v="1"/>
    <x v="0"/>
    <x v="0"/>
    <x v="4"/>
    <x v="1"/>
    <n v="11"/>
    <n v="64"/>
    <n v="14245"/>
    <n v="0"/>
    <n v="3"/>
    <s v="Improved"/>
    <n v="1"/>
  </r>
  <r>
    <s v="ADM-241582"/>
    <d v="2024-07-29T00:00:00"/>
    <d v="2024-08-04T00:00:00"/>
    <x v="0"/>
    <s v="Q3"/>
    <x v="6"/>
    <x v="0"/>
    <x v="1"/>
    <x v="2"/>
    <x v="1"/>
    <x v="2"/>
    <x v="1"/>
    <n v="6"/>
    <m/>
    <n v="7391"/>
    <n v="0"/>
    <n v="4"/>
    <s v="Recovered"/>
    <n v="1"/>
  </r>
  <r>
    <s v="ADM-241583"/>
    <d v="2024-07-29T00:00:00"/>
    <d v="2024-08-04T00:00:00"/>
    <x v="0"/>
    <s v="Q3"/>
    <x v="6"/>
    <x v="0"/>
    <x v="0"/>
    <x v="0"/>
    <x v="0"/>
    <x v="0"/>
    <x v="2"/>
    <n v="6"/>
    <n v="15"/>
    <n v="6043"/>
    <n v="0"/>
    <n v="4"/>
    <s v="Recovered"/>
    <n v="1"/>
  </r>
  <r>
    <s v="ADM-241584"/>
    <d v="2024-07-29T00:00:00"/>
    <d v="2024-08-02T00:00:00"/>
    <x v="0"/>
    <s v="Q3"/>
    <x v="6"/>
    <x v="0"/>
    <x v="0"/>
    <x v="2"/>
    <x v="0"/>
    <x v="0"/>
    <x v="0"/>
    <n v="4"/>
    <m/>
    <n v="2943"/>
    <n v="0"/>
    <n v="5"/>
    <s v="Recovered"/>
    <n v="1"/>
  </r>
  <r>
    <s v="ADM-241585"/>
    <d v="2024-07-30T00:00:00"/>
    <d v="2024-07-31T00:00:00"/>
    <x v="0"/>
    <s v="Q3"/>
    <x v="6"/>
    <x v="1"/>
    <x v="3"/>
    <x v="0"/>
    <x v="1"/>
    <x v="3"/>
    <x v="2"/>
    <n v="1"/>
    <n v="32"/>
    <n v="1837"/>
    <n v="0"/>
    <n v="5"/>
    <s v="Improved"/>
    <n v="1"/>
  </r>
  <r>
    <s v="ADM-241586"/>
    <d v="2024-07-30T00:00:00"/>
    <d v="2024-08-08T00:00:00"/>
    <x v="0"/>
    <s v="Q3"/>
    <x v="6"/>
    <x v="1"/>
    <x v="4"/>
    <x v="1"/>
    <x v="0"/>
    <x v="4"/>
    <x v="1"/>
    <n v="9"/>
    <m/>
    <n v="13539"/>
    <n v="0"/>
    <n v="5"/>
    <s v="Recovered"/>
    <n v="1"/>
  </r>
  <r>
    <s v="ADM-241587"/>
    <d v="2024-07-30T00:00:00"/>
    <d v="2024-08-06T00:00:00"/>
    <x v="0"/>
    <s v="Q3"/>
    <x v="6"/>
    <x v="1"/>
    <x v="1"/>
    <x v="2"/>
    <x v="1"/>
    <x v="4"/>
    <x v="2"/>
    <n v="7"/>
    <m/>
    <n v="8323"/>
    <n v="0"/>
    <n v="4"/>
    <s v="Recovered"/>
    <n v="1"/>
  </r>
  <r>
    <s v="ADM-241588"/>
    <d v="2024-07-30T00:00:00"/>
    <d v="2024-08-04T00:00:00"/>
    <x v="0"/>
    <s v="Q3"/>
    <x v="6"/>
    <x v="1"/>
    <x v="2"/>
    <x v="0"/>
    <x v="0"/>
    <x v="2"/>
    <x v="2"/>
    <n v="5"/>
    <n v="40"/>
    <n v="3627"/>
    <n v="1"/>
    <n v="4"/>
    <s v="Recovered"/>
    <n v="1"/>
  </r>
  <r>
    <s v="ADM-241589"/>
    <d v="2024-07-31T00:00:00"/>
    <d v="2024-08-01T00:00:00"/>
    <x v="0"/>
    <s v="Q3"/>
    <x v="6"/>
    <x v="2"/>
    <x v="2"/>
    <x v="2"/>
    <x v="0"/>
    <x v="2"/>
    <x v="1"/>
    <n v="1"/>
    <m/>
    <n v="1592"/>
    <n v="0"/>
    <n v="4"/>
    <s v="Recovered"/>
    <n v="1"/>
  </r>
  <r>
    <s v="ADM-241590"/>
    <d v="2024-07-31T00:00:00"/>
    <d v="2024-08-09T00:00:00"/>
    <x v="0"/>
    <s v="Q3"/>
    <x v="6"/>
    <x v="2"/>
    <x v="1"/>
    <x v="2"/>
    <x v="1"/>
    <x v="0"/>
    <x v="2"/>
    <n v="9"/>
    <m/>
    <n v="11317"/>
    <n v="1"/>
    <n v="4"/>
    <s v="Recovered"/>
    <n v="1"/>
  </r>
  <r>
    <s v="ADM-241591"/>
    <d v="2024-07-31T00:00:00"/>
    <d v="2024-08-04T00:00:00"/>
    <x v="0"/>
    <s v="Q3"/>
    <x v="6"/>
    <x v="2"/>
    <x v="4"/>
    <x v="0"/>
    <x v="1"/>
    <x v="4"/>
    <x v="0"/>
    <n v="4"/>
    <n v="61"/>
    <n v="6163"/>
    <n v="0"/>
    <n v="4"/>
    <s v="Recovered"/>
    <n v="1"/>
  </r>
  <r>
    <s v="ADM-241592"/>
    <d v="2024-08-01T00:00:00"/>
    <d v="2024-08-08T00:00:00"/>
    <x v="0"/>
    <s v="Q3"/>
    <x v="7"/>
    <x v="3"/>
    <x v="1"/>
    <x v="2"/>
    <x v="1"/>
    <x v="0"/>
    <x v="0"/>
    <n v="7"/>
    <m/>
    <n v="8810"/>
    <n v="0"/>
    <n v="3"/>
    <s v="Recovered"/>
    <n v="1"/>
  </r>
  <r>
    <s v="ADM-241593"/>
    <d v="2024-08-01T00:00:00"/>
    <d v="2024-08-05T00:00:00"/>
    <x v="0"/>
    <s v="Q3"/>
    <x v="7"/>
    <x v="3"/>
    <x v="3"/>
    <x v="0"/>
    <x v="0"/>
    <x v="3"/>
    <x v="0"/>
    <n v="4"/>
    <n v="69"/>
    <n v="3170"/>
    <n v="0"/>
    <n v="5"/>
    <s v="Recovered"/>
    <n v="1"/>
  </r>
  <r>
    <s v="ADM-241594"/>
    <d v="2024-08-01T00:00:00"/>
    <d v="2024-08-08T00:00:00"/>
    <x v="0"/>
    <s v="Q3"/>
    <x v="7"/>
    <x v="3"/>
    <x v="1"/>
    <x v="0"/>
    <x v="1"/>
    <x v="1"/>
    <x v="2"/>
    <n v="7"/>
    <n v="115"/>
    <n v="7147"/>
    <n v="0"/>
    <n v="5"/>
    <s v="Improved"/>
    <n v="1"/>
  </r>
  <r>
    <s v="ADM-241595"/>
    <d v="2024-08-01T00:00:00"/>
    <d v="2024-08-07T00:00:00"/>
    <x v="0"/>
    <s v="Q3"/>
    <x v="7"/>
    <x v="3"/>
    <x v="5"/>
    <x v="2"/>
    <x v="0"/>
    <x v="1"/>
    <x v="0"/>
    <n v="6"/>
    <m/>
    <n v="5072"/>
    <n v="0"/>
    <n v="4"/>
    <s v="Improved"/>
    <n v="1"/>
  </r>
  <r>
    <s v="ADM-241596"/>
    <d v="2024-08-01T00:00:00"/>
    <d v="2024-08-04T00:00:00"/>
    <x v="0"/>
    <s v="Q3"/>
    <x v="7"/>
    <x v="3"/>
    <x v="2"/>
    <x v="2"/>
    <x v="0"/>
    <x v="1"/>
    <x v="2"/>
    <n v="3"/>
    <m/>
    <n v="2616"/>
    <n v="0"/>
    <n v="4"/>
    <s v="Recovered"/>
    <n v="1"/>
  </r>
  <r>
    <s v="ADM-241597"/>
    <d v="2024-08-02T00:00:00"/>
    <d v="2024-08-18T00:00:00"/>
    <x v="0"/>
    <s v="Q3"/>
    <x v="7"/>
    <x v="4"/>
    <x v="1"/>
    <x v="0"/>
    <x v="1"/>
    <x v="0"/>
    <x v="2"/>
    <n v="16"/>
    <n v="149"/>
    <n v="16352"/>
    <n v="0"/>
    <n v="4"/>
    <s v="Recovered"/>
    <n v="1"/>
  </r>
  <r>
    <s v="ADM-241598"/>
    <d v="2024-08-02T00:00:00"/>
    <d v="2024-08-05T00:00:00"/>
    <x v="0"/>
    <s v="Q3"/>
    <x v="7"/>
    <x v="4"/>
    <x v="3"/>
    <x v="0"/>
    <x v="1"/>
    <x v="3"/>
    <x v="0"/>
    <n v="3"/>
    <n v="38"/>
    <n v="2361"/>
    <n v="0"/>
    <n v="4"/>
    <s v="Improved"/>
    <n v="1"/>
  </r>
  <r>
    <s v="ADM-241599"/>
    <d v="2024-08-02T00:00:00"/>
    <d v="2024-08-05T00:00:00"/>
    <x v="0"/>
    <s v="Q3"/>
    <x v="7"/>
    <x v="4"/>
    <x v="2"/>
    <x v="0"/>
    <x v="0"/>
    <x v="1"/>
    <x v="2"/>
    <n v="3"/>
    <n v="78"/>
    <n v="3506"/>
    <n v="0"/>
    <n v="5"/>
    <s v="Deceased"/>
    <n v="1"/>
  </r>
  <r>
    <s v="ADM-241600"/>
    <d v="2024-08-02T00:00:00"/>
    <d v="2024-08-12T00:00:00"/>
    <x v="0"/>
    <s v="Q3"/>
    <x v="7"/>
    <x v="4"/>
    <x v="4"/>
    <x v="0"/>
    <x v="0"/>
    <x v="2"/>
    <x v="2"/>
    <n v="10"/>
    <n v="81"/>
    <n v="11671"/>
    <n v="0"/>
    <n v="4"/>
    <s v="Recovered"/>
    <n v="1"/>
  </r>
  <r>
    <s v="ADM-241601"/>
    <d v="2024-08-03T00:00:00"/>
    <d v="2024-08-06T00:00:00"/>
    <x v="0"/>
    <s v="Q3"/>
    <x v="7"/>
    <x v="5"/>
    <x v="0"/>
    <x v="2"/>
    <x v="0"/>
    <x v="2"/>
    <x v="2"/>
    <n v="3"/>
    <m/>
    <n v="3675"/>
    <n v="0"/>
    <n v="4"/>
    <s v="Recovered"/>
    <n v="1"/>
  </r>
  <r>
    <s v="ADM-241602"/>
    <d v="2024-08-03T00:00:00"/>
    <d v="2024-08-04T00:00:00"/>
    <x v="0"/>
    <s v="Q3"/>
    <x v="7"/>
    <x v="5"/>
    <x v="2"/>
    <x v="0"/>
    <x v="0"/>
    <x v="2"/>
    <x v="0"/>
    <n v="1"/>
    <n v="45"/>
    <n v="1374"/>
    <n v="1"/>
    <n v="3"/>
    <s v="Recovered"/>
    <n v="1"/>
  </r>
  <r>
    <s v="ADM-241603"/>
    <d v="2024-08-04T00:00:00"/>
    <d v="2024-08-05T00:00:00"/>
    <x v="0"/>
    <s v="Q3"/>
    <x v="7"/>
    <x v="6"/>
    <x v="2"/>
    <x v="2"/>
    <x v="0"/>
    <x v="2"/>
    <x v="1"/>
    <n v="1"/>
    <m/>
    <n v="1391"/>
    <n v="1"/>
    <n v="3"/>
    <s v="Recovered"/>
    <n v="1"/>
  </r>
  <r>
    <s v="ADM-241604"/>
    <d v="2024-08-04T00:00:00"/>
    <d v="2024-08-10T00:00:00"/>
    <x v="0"/>
    <s v="Q3"/>
    <x v="7"/>
    <x v="6"/>
    <x v="1"/>
    <x v="2"/>
    <x v="1"/>
    <x v="2"/>
    <x v="2"/>
    <n v="6"/>
    <m/>
    <n v="6768"/>
    <n v="0"/>
    <n v="4"/>
    <s v="Recovered"/>
    <n v="1"/>
  </r>
  <r>
    <s v="ADM-241605"/>
    <d v="2024-08-04T00:00:00"/>
    <d v="2024-08-06T00:00:00"/>
    <x v="0"/>
    <s v="Q3"/>
    <x v="7"/>
    <x v="6"/>
    <x v="4"/>
    <x v="0"/>
    <x v="1"/>
    <x v="0"/>
    <x v="2"/>
    <n v="2"/>
    <n v="48"/>
    <n v="3761"/>
    <n v="0"/>
    <n v="4"/>
    <s v="Recovered"/>
    <n v="1"/>
  </r>
  <r>
    <s v="ADM-241606"/>
    <d v="2024-08-04T00:00:00"/>
    <d v="2024-08-06T00:00:00"/>
    <x v="0"/>
    <s v="Q3"/>
    <x v="7"/>
    <x v="6"/>
    <x v="3"/>
    <x v="0"/>
    <x v="0"/>
    <x v="3"/>
    <x v="0"/>
    <n v="2"/>
    <n v="48"/>
    <n v="1928"/>
    <n v="0"/>
    <n v="4"/>
    <s v="Recovered"/>
    <n v="1"/>
  </r>
  <r>
    <s v="ADM-241607"/>
    <d v="2024-08-04T00:00:00"/>
    <d v="2024-08-07T00:00:00"/>
    <x v="0"/>
    <s v="Q3"/>
    <x v="7"/>
    <x v="6"/>
    <x v="2"/>
    <x v="0"/>
    <x v="0"/>
    <x v="1"/>
    <x v="2"/>
    <n v="3"/>
    <n v="34"/>
    <n v="3334"/>
    <n v="0"/>
    <n v="4"/>
    <s v="Improved"/>
    <n v="1"/>
  </r>
  <r>
    <s v="ADM-241608"/>
    <d v="2024-08-05T00:00:00"/>
    <d v="2024-08-12T00:00:00"/>
    <x v="0"/>
    <s v="Q3"/>
    <x v="7"/>
    <x v="0"/>
    <x v="0"/>
    <x v="0"/>
    <x v="1"/>
    <x v="4"/>
    <x v="2"/>
    <n v="7"/>
    <n v="38"/>
    <n v="5601"/>
    <n v="0"/>
    <n v="5"/>
    <s v="Recovered"/>
    <n v="1"/>
  </r>
  <r>
    <s v="ADM-241609"/>
    <d v="2024-08-05T00:00:00"/>
    <d v="2024-08-07T00:00:00"/>
    <x v="0"/>
    <s v="Q3"/>
    <x v="7"/>
    <x v="0"/>
    <x v="2"/>
    <x v="0"/>
    <x v="0"/>
    <x v="2"/>
    <x v="0"/>
    <n v="2"/>
    <n v="170"/>
    <n v="1888"/>
    <n v="0"/>
    <n v="4"/>
    <s v="Recovered"/>
    <n v="1"/>
  </r>
  <r>
    <s v="ADM-241610"/>
    <d v="2024-08-05T00:00:00"/>
    <d v="2024-08-11T00:00:00"/>
    <x v="0"/>
    <s v="Q3"/>
    <x v="7"/>
    <x v="0"/>
    <x v="3"/>
    <x v="0"/>
    <x v="0"/>
    <x v="3"/>
    <x v="0"/>
    <n v="6"/>
    <n v="32"/>
    <n v="4306"/>
    <n v="0"/>
    <n v="3"/>
    <s v="Recovered"/>
    <n v="1"/>
  </r>
  <r>
    <s v="ADM-241611"/>
    <d v="2024-08-05T00:00:00"/>
    <d v="2024-08-11T00:00:00"/>
    <x v="0"/>
    <s v="Q3"/>
    <x v="7"/>
    <x v="0"/>
    <x v="0"/>
    <x v="1"/>
    <x v="1"/>
    <x v="0"/>
    <x v="2"/>
    <n v="6"/>
    <m/>
    <n v="4855"/>
    <n v="0"/>
    <n v="4"/>
    <s v="Improved"/>
    <n v="1"/>
  </r>
  <r>
    <s v="ADM-241612"/>
    <d v="2024-08-05T00:00:00"/>
    <d v="2024-08-11T00:00:00"/>
    <x v="0"/>
    <s v="Q3"/>
    <x v="7"/>
    <x v="0"/>
    <x v="1"/>
    <x v="2"/>
    <x v="1"/>
    <x v="1"/>
    <x v="2"/>
    <n v="6"/>
    <m/>
    <n v="3975"/>
    <n v="0"/>
    <n v="4"/>
    <s v="Improved"/>
    <n v="1"/>
  </r>
  <r>
    <s v="ADM-241613"/>
    <d v="2024-08-05T00:00:00"/>
    <d v="2024-08-12T00:00:00"/>
    <x v="0"/>
    <s v="Q3"/>
    <x v="7"/>
    <x v="0"/>
    <x v="0"/>
    <x v="0"/>
    <x v="0"/>
    <x v="1"/>
    <x v="0"/>
    <n v="7"/>
    <n v="132"/>
    <n v="6019"/>
    <n v="0"/>
    <n v="3"/>
    <s v="Transferred"/>
    <n v="1"/>
  </r>
  <r>
    <s v="ADM-241614"/>
    <d v="2024-08-06T00:00:00"/>
    <d v="2024-08-09T00:00:00"/>
    <x v="0"/>
    <s v="Q3"/>
    <x v="7"/>
    <x v="1"/>
    <x v="4"/>
    <x v="0"/>
    <x v="0"/>
    <x v="4"/>
    <x v="1"/>
    <n v="3"/>
    <n v="40"/>
    <n v="5135"/>
    <n v="0"/>
    <n v="4"/>
    <s v="Deceased"/>
    <n v="1"/>
  </r>
  <r>
    <s v="ADM-241615"/>
    <d v="2024-08-06T00:00:00"/>
    <d v="2024-08-08T00:00:00"/>
    <x v="0"/>
    <s v="Q3"/>
    <x v="7"/>
    <x v="1"/>
    <x v="5"/>
    <x v="2"/>
    <x v="1"/>
    <x v="4"/>
    <x v="0"/>
    <n v="2"/>
    <m/>
    <n v="2734"/>
    <n v="0"/>
    <n v="5"/>
    <s v="Improved"/>
    <n v="1"/>
  </r>
  <r>
    <s v="ADM-241616"/>
    <d v="2024-08-06T00:00:00"/>
    <d v="2024-08-09T00:00:00"/>
    <x v="0"/>
    <s v="Q3"/>
    <x v="7"/>
    <x v="1"/>
    <x v="0"/>
    <x v="0"/>
    <x v="1"/>
    <x v="2"/>
    <x v="1"/>
    <n v="3"/>
    <n v="43"/>
    <n v="2469"/>
    <n v="0"/>
    <n v="5"/>
    <s v="Improved"/>
    <n v="1"/>
  </r>
  <r>
    <s v="ADM-241617"/>
    <d v="2024-08-06T00:00:00"/>
    <d v="2024-08-08T00:00:00"/>
    <x v="0"/>
    <s v="Q3"/>
    <x v="7"/>
    <x v="1"/>
    <x v="5"/>
    <x v="2"/>
    <x v="1"/>
    <x v="4"/>
    <x v="2"/>
    <n v="2"/>
    <m/>
    <n v="2984"/>
    <n v="0"/>
    <n v="5"/>
    <s v="Transferred"/>
    <n v="1"/>
  </r>
  <r>
    <s v="ADM-241618"/>
    <d v="2024-08-06T00:00:00"/>
    <d v="2024-08-09T00:00:00"/>
    <x v="0"/>
    <s v="Q3"/>
    <x v="7"/>
    <x v="1"/>
    <x v="5"/>
    <x v="2"/>
    <x v="1"/>
    <x v="1"/>
    <x v="2"/>
    <n v="3"/>
    <m/>
    <n v="3902"/>
    <n v="0"/>
    <n v="5"/>
    <s v="Improved"/>
    <n v="1"/>
  </r>
  <r>
    <s v="ADM-241619"/>
    <d v="2024-08-06T00:00:00"/>
    <d v="2024-08-10T00:00:00"/>
    <x v="0"/>
    <s v="Q3"/>
    <x v="7"/>
    <x v="1"/>
    <x v="1"/>
    <x v="2"/>
    <x v="1"/>
    <x v="4"/>
    <x v="0"/>
    <n v="4"/>
    <m/>
    <n v="4276"/>
    <n v="0"/>
    <n v="4"/>
    <s v="Recovered"/>
    <n v="1"/>
  </r>
  <r>
    <s v="ADM-241620"/>
    <d v="2024-08-07T00:00:00"/>
    <d v="2024-08-08T00:00:00"/>
    <x v="0"/>
    <s v="Q3"/>
    <x v="7"/>
    <x v="2"/>
    <x v="4"/>
    <x v="2"/>
    <x v="1"/>
    <x v="2"/>
    <x v="2"/>
    <n v="1"/>
    <m/>
    <n v="2744"/>
    <n v="0"/>
    <n v="5"/>
    <s v="Recovered"/>
    <n v="1"/>
  </r>
  <r>
    <s v="ADM-241621"/>
    <d v="2024-08-07T00:00:00"/>
    <d v="2024-08-10T00:00:00"/>
    <x v="0"/>
    <s v="Q3"/>
    <x v="7"/>
    <x v="2"/>
    <x v="4"/>
    <x v="0"/>
    <x v="1"/>
    <x v="1"/>
    <x v="2"/>
    <n v="3"/>
    <n v="59"/>
    <n v="3849"/>
    <n v="0"/>
    <n v="4"/>
    <s v="Improved"/>
    <n v="1"/>
  </r>
  <r>
    <s v="ADM-241622"/>
    <d v="2024-08-07T00:00:00"/>
    <d v="2024-08-20T00:00:00"/>
    <x v="0"/>
    <s v="Q3"/>
    <x v="7"/>
    <x v="2"/>
    <x v="0"/>
    <x v="0"/>
    <x v="0"/>
    <x v="4"/>
    <x v="2"/>
    <n v="13"/>
    <n v="38"/>
    <n v="8302"/>
    <n v="0"/>
    <n v="4"/>
    <s v="Transferred"/>
    <n v="1"/>
  </r>
  <r>
    <s v="ADM-241623"/>
    <d v="2024-08-07T00:00:00"/>
    <d v="2024-08-08T00:00:00"/>
    <x v="0"/>
    <s v="Q3"/>
    <x v="7"/>
    <x v="2"/>
    <x v="2"/>
    <x v="0"/>
    <x v="0"/>
    <x v="1"/>
    <x v="0"/>
    <n v="1"/>
    <n v="105"/>
    <n v="1554"/>
    <n v="0"/>
    <n v="4"/>
    <s v="Recovered"/>
    <n v="1"/>
  </r>
  <r>
    <s v="ADM-241624"/>
    <d v="2024-08-07T00:00:00"/>
    <d v="2024-08-11T00:00:00"/>
    <x v="0"/>
    <s v="Q3"/>
    <x v="7"/>
    <x v="2"/>
    <x v="4"/>
    <x v="2"/>
    <x v="0"/>
    <x v="1"/>
    <x v="1"/>
    <n v="4"/>
    <m/>
    <n v="7106"/>
    <n v="0"/>
    <n v="3"/>
    <s v="Recovered"/>
    <n v="1"/>
  </r>
  <r>
    <s v="ADM-241625"/>
    <d v="2024-08-07T00:00:00"/>
    <d v="2024-08-13T00:00:00"/>
    <x v="0"/>
    <s v="Q3"/>
    <x v="7"/>
    <x v="2"/>
    <x v="4"/>
    <x v="0"/>
    <x v="0"/>
    <x v="0"/>
    <x v="1"/>
    <n v="6"/>
    <n v="28"/>
    <n v="7168"/>
    <n v="0"/>
    <n v="3"/>
    <s v="Improved"/>
    <n v="1"/>
  </r>
  <r>
    <s v="ADM-241626"/>
    <d v="2024-08-07T00:00:00"/>
    <d v="2024-08-12T00:00:00"/>
    <x v="0"/>
    <s v="Q3"/>
    <x v="7"/>
    <x v="2"/>
    <x v="1"/>
    <x v="2"/>
    <x v="0"/>
    <x v="0"/>
    <x v="2"/>
    <n v="5"/>
    <m/>
    <n v="6985"/>
    <n v="0"/>
    <n v="4"/>
    <s v="Improved"/>
    <n v="1"/>
  </r>
  <r>
    <s v="ADM-241627"/>
    <d v="2024-08-07T00:00:00"/>
    <d v="2024-08-10T00:00:00"/>
    <x v="0"/>
    <s v="Q3"/>
    <x v="7"/>
    <x v="2"/>
    <x v="3"/>
    <x v="0"/>
    <x v="1"/>
    <x v="3"/>
    <x v="0"/>
    <n v="3"/>
    <n v="48"/>
    <n v="2605"/>
    <n v="0"/>
    <n v="5"/>
    <s v="Improved"/>
    <n v="1"/>
  </r>
  <r>
    <s v="ADM-241628"/>
    <d v="2024-08-07T00:00:00"/>
    <d v="2024-08-11T00:00:00"/>
    <x v="0"/>
    <s v="Q3"/>
    <x v="7"/>
    <x v="2"/>
    <x v="0"/>
    <x v="0"/>
    <x v="1"/>
    <x v="4"/>
    <x v="0"/>
    <n v="4"/>
    <n v="90"/>
    <n v="3379"/>
    <n v="0"/>
    <n v="4"/>
    <s v="Recovered"/>
    <n v="1"/>
  </r>
  <r>
    <s v="ADM-241629"/>
    <d v="2024-08-08T00:00:00"/>
    <d v="2024-08-14T00:00:00"/>
    <x v="0"/>
    <s v="Q3"/>
    <x v="7"/>
    <x v="3"/>
    <x v="0"/>
    <x v="0"/>
    <x v="0"/>
    <x v="2"/>
    <x v="2"/>
    <n v="6"/>
    <n v="53"/>
    <n v="4497"/>
    <n v="0"/>
    <n v="4"/>
    <s v="Recovered"/>
    <n v="1"/>
  </r>
  <r>
    <s v="ADM-241630"/>
    <d v="2024-08-08T00:00:00"/>
    <d v="2024-08-18T00:00:00"/>
    <x v="0"/>
    <s v="Q3"/>
    <x v="7"/>
    <x v="3"/>
    <x v="4"/>
    <x v="0"/>
    <x v="0"/>
    <x v="0"/>
    <x v="2"/>
    <n v="10"/>
    <n v="31"/>
    <n v="14122"/>
    <n v="0"/>
    <n v="4"/>
    <s v="Improved"/>
    <n v="1"/>
  </r>
  <r>
    <s v="ADM-241631"/>
    <d v="2024-08-09T00:00:00"/>
    <d v="2024-08-15T00:00:00"/>
    <x v="0"/>
    <s v="Q3"/>
    <x v="7"/>
    <x v="4"/>
    <x v="5"/>
    <x v="0"/>
    <x v="1"/>
    <x v="1"/>
    <x v="2"/>
    <n v="6"/>
    <n v="72"/>
    <n v="6608"/>
    <n v="0"/>
    <n v="4"/>
    <s v="Improved"/>
    <n v="1"/>
  </r>
  <r>
    <s v="ADM-241632"/>
    <d v="2024-08-09T00:00:00"/>
    <d v="2024-08-11T00:00:00"/>
    <x v="0"/>
    <s v="Q3"/>
    <x v="7"/>
    <x v="4"/>
    <x v="1"/>
    <x v="2"/>
    <x v="1"/>
    <x v="2"/>
    <x v="0"/>
    <n v="2"/>
    <m/>
    <n v="2574"/>
    <n v="0"/>
    <n v="5"/>
    <s v="Recovered"/>
    <n v="1"/>
  </r>
  <r>
    <s v="ADM-241633"/>
    <d v="2024-08-09T00:00:00"/>
    <d v="2024-08-21T00:00:00"/>
    <x v="0"/>
    <s v="Q3"/>
    <x v="7"/>
    <x v="4"/>
    <x v="0"/>
    <x v="0"/>
    <x v="0"/>
    <x v="0"/>
    <x v="2"/>
    <n v="12"/>
    <n v="59"/>
    <n v="7735"/>
    <n v="0"/>
    <n v="5"/>
    <s v="Deceased"/>
    <n v="1"/>
  </r>
  <r>
    <s v="ADM-241634"/>
    <d v="2024-08-09T00:00:00"/>
    <d v="2024-08-12T00:00:00"/>
    <x v="0"/>
    <s v="Q3"/>
    <x v="7"/>
    <x v="4"/>
    <x v="4"/>
    <x v="2"/>
    <x v="0"/>
    <x v="4"/>
    <x v="0"/>
    <n v="3"/>
    <m/>
    <n v="4356"/>
    <n v="1"/>
    <n v="3"/>
    <s v="Recovered"/>
    <n v="1"/>
  </r>
  <r>
    <s v="ADM-241635"/>
    <d v="2024-08-09T00:00:00"/>
    <d v="2024-08-16T00:00:00"/>
    <x v="0"/>
    <s v="Q3"/>
    <x v="7"/>
    <x v="4"/>
    <x v="5"/>
    <x v="0"/>
    <x v="0"/>
    <x v="0"/>
    <x v="0"/>
    <n v="7"/>
    <n v="36"/>
    <n v="6419"/>
    <n v="0"/>
    <n v="4"/>
    <s v="Recovered"/>
    <n v="1"/>
  </r>
  <r>
    <s v="ADM-241636"/>
    <d v="2024-08-09T00:00:00"/>
    <d v="2024-08-13T00:00:00"/>
    <x v="0"/>
    <s v="Q3"/>
    <x v="7"/>
    <x v="4"/>
    <x v="3"/>
    <x v="2"/>
    <x v="1"/>
    <x v="3"/>
    <x v="2"/>
    <n v="4"/>
    <m/>
    <n v="3587"/>
    <n v="0"/>
    <n v="3"/>
    <s v="Transferred"/>
    <n v="1"/>
  </r>
  <r>
    <s v="ADM-241637"/>
    <d v="2024-08-09T00:00:00"/>
    <d v="2024-08-12T00:00:00"/>
    <x v="0"/>
    <s v="Q3"/>
    <x v="7"/>
    <x v="4"/>
    <x v="1"/>
    <x v="2"/>
    <x v="1"/>
    <x v="1"/>
    <x v="2"/>
    <n v="3"/>
    <m/>
    <n v="3452"/>
    <n v="0"/>
    <n v="4"/>
    <s v="Recovered"/>
    <n v="1"/>
  </r>
  <r>
    <s v="ADM-241638"/>
    <d v="2024-08-09T00:00:00"/>
    <d v="2024-08-11T00:00:00"/>
    <x v="0"/>
    <s v="Q3"/>
    <x v="7"/>
    <x v="4"/>
    <x v="1"/>
    <x v="2"/>
    <x v="0"/>
    <x v="4"/>
    <x v="2"/>
    <n v="2"/>
    <m/>
    <n v="2186"/>
    <n v="1"/>
    <n v="4"/>
    <s v="Recovered"/>
    <n v="1"/>
  </r>
  <r>
    <s v="ADM-241639"/>
    <d v="2024-08-09T00:00:00"/>
    <d v="2024-08-12T00:00:00"/>
    <x v="0"/>
    <s v="Q3"/>
    <x v="7"/>
    <x v="4"/>
    <x v="2"/>
    <x v="0"/>
    <x v="0"/>
    <x v="2"/>
    <x v="0"/>
    <n v="3"/>
    <n v="39"/>
    <n v="3268"/>
    <n v="0"/>
    <n v="5"/>
    <s v="Improved"/>
    <n v="1"/>
  </r>
  <r>
    <s v="ADM-241640"/>
    <d v="2024-08-10T00:00:00"/>
    <d v="2024-08-12T00:00:00"/>
    <x v="0"/>
    <s v="Q3"/>
    <x v="7"/>
    <x v="5"/>
    <x v="0"/>
    <x v="2"/>
    <x v="0"/>
    <x v="0"/>
    <x v="0"/>
    <n v="2"/>
    <m/>
    <n v="2415"/>
    <n v="0"/>
    <n v="5"/>
    <s v="Recovered"/>
    <n v="1"/>
  </r>
  <r>
    <s v="ADM-241641"/>
    <d v="2024-08-10T00:00:00"/>
    <d v="2024-08-12T00:00:00"/>
    <x v="0"/>
    <s v="Q3"/>
    <x v="7"/>
    <x v="5"/>
    <x v="2"/>
    <x v="2"/>
    <x v="0"/>
    <x v="2"/>
    <x v="2"/>
    <n v="2"/>
    <m/>
    <n v="1404"/>
    <n v="0"/>
    <n v="5"/>
    <s v="Recovered"/>
    <n v="1"/>
  </r>
  <r>
    <s v="ADM-241642"/>
    <d v="2024-08-10T00:00:00"/>
    <d v="2024-08-16T00:00:00"/>
    <x v="0"/>
    <s v="Q3"/>
    <x v="7"/>
    <x v="5"/>
    <x v="1"/>
    <x v="0"/>
    <x v="1"/>
    <x v="0"/>
    <x v="0"/>
    <n v="6"/>
    <n v="103"/>
    <n v="7275"/>
    <n v="0"/>
    <n v="3"/>
    <s v="Recovered"/>
    <n v="1"/>
  </r>
  <r>
    <s v="ADM-241643"/>
    <d v="2024-08-10T00:00:00"/>
    <d v="2024-09-02T00:00:00"/>
    <x v="0"/>
    <s v="Q3"/>
    <x v="7"/>
    <x v="5"/>
    <x v="4"/>
    <x v="0"/>
    <x v="1"/>
    <x v="0"/>
    <x v="2"/>
    <n v="23"/>
    <n v="124"/>
    <n v="25856"/>
    <n v="1"/>
    <n v="3"/>
    <s v="Improved"/>
    <n v="1"/>
  </r>
  <r>
    <s v="ADM-241644"/>
    <d v="2024-08-10T00:00:00"/>
    <d v="2024-08-12T00:00:00"/>
    <x v="0"/>
    <s v="Q3"/>
    <x v="7"/>
    <x v="5"/>
    <x v="2"/>
    <x v="0"/>
    <x v="0"/>
    <x v="2"/>
    <x v="2"/>
    <n v="2"/>
    <n v="122"/>
    <n v="2313"/>
    <n v="0"/>
    <n v="4"/>
    <s v="Recovered"/>
    <n v="1"/>
  </r>
  <r>
    <s v="ADM-241645"/>
    <d v="2024-08-10T00:00:00"/>
    <d v="2024-08-15T00:00:00"/>
    <x v="0"/>
    <s v="Q3"/>
    <x v="7"/>
    <x v="5"/>
    <x v="2"/>
    <x v="0"/>
    <x v="0"/>
    <x v="2"/>
    <x v="1"/>
    <n v="5"/>
    <n v="138"/>
    <n v="4813"/>
    <n v="0"/>
    <n v="3"/>
    <s v="Recovered"/>
    <n v="1"/>
  </r>
  <r>
    <s v="ADM-241646"/>
    <d v="2024-08-10T00:00:00"/>
    <d v="2024-08-18T00:00:00"/>
    <x v="0"/>
    <s v="Q3"/>
    <x v="7"/>
    <x v="5"/>
    <x v="1"/>
    <x v="2"/>
    <x v="1"/>
    <x v="4"/>
    <x v="0"/>
    <n v="8"/>
    <m/>
    <n v="7395"/>
    <n v="0"/>
    <n v="5"/>
    <s v="Deceased"/>
    <n v="1"/>
  </r>
  <r>
    <s v="ADM-241647"/>
    <d v="2024-08-10T00:00:00"/>
    <d v="2024-08-14T00:00:00"/>
    <x v="0"/>
    <s v="Q3"/>
    <x v="7"/>
    <x v="5"/>
    <x v="1"/>
    <x v="2"/>
    <x v="0"/>
    <x v="2"/>
    <x v="2"/>
    <n v="4"/>
    <m/>
    <n v="5175"/>
    <n v="0"/>
    <n v="4"/>
    <s v="Recovered"/>
    <n v="1"/>
  </r>
  <r>
    <s v="ADM-241648"/>
    <d v="2024-08-11T00:00:00"/>
    <d v="2024-08-16T00:00:00"/>
    <x v="0"/>
    <s v="Q3"/>
    <x v="7"/>
    <x v="6"/>
    <x v="0"/>
    <x v="0"/>
    <x v="1"/>
    <x v="4"/>
    <x v="0"/>
    <n v="5"/>
    <n v="23"/>
    <n v="3593"/>
    <n v="0"/>
    <n v="5"/>
    <s v="Improved"/>
    <n v="1"/>
  </r>
  <r>
    <s v="ADM-241649"/>
    <d v="2024-08-11T00:00:00"/>
    <d v="2024-08-12T00:00:00"/>
    <x v="0"/>
    <s v="Q3"/>
    <x v="7"/>
    <x v="6"/>
    <x v="2"/>
    <x v="0"/>
    <x v="0"/>
    <x v="2"/>
    <x v="2"/>
    <n v="1"/>
    <n v="43"/>
    <n v="1885"/>
    <n v="0"/>
    <n v="4"/>
    <s v="Recovered"/>
    <n v="1"/>
  </r>
  <r>
    <s v="ADM-241650"/>
    <d v="2024-08-11T00:00:00"/>
    <d v="2024-08-14T00:00:00"/>
    <x v="0"/>
    <s v="Q3"/>
    <x v="7"/>
    <x v="6"/>
    <x v="2"/>
    <x v="0"/>
    <x v="0"/>
    <x v="1"/>
    <x v="1"/>
    <n v="3"/>
    <n v="62"/>
    <n v="3312"/>
    <n v="0"/>
    <n v="4"/>
    <s v="Improved"/>
    <n v="1"/>
  </r>
  <r>
    <s v="ADM-241651"/>
    <d v="2024-08-11T00:00:00"/>
    <d v="2024-08-25T00:00:00"/>
    <x v="0"/>
    <s v="Q3"/>
    <x v="7"/>
    <x v="6"/>
    <x v="5"/>
    <x v="0"/>
    <x v="1"/>
    <x v="0"/>
    <x v="0"/>
    <n v="14"/>
    <n v="110"/>
    <n v="13261"/>
    <n v="0"/>
    <n v="4"/>
    <s v="Recovered"/>
    <n v="1"/>
  </r>
  <r>
    <s v="ADM-241652"/>
    <d v="2024-08-11T00:00:00"/>
    <d v="2024-08-13T00:00:00"/>
    <x v="0"/>
    <s v="Q3"/>
    <x v="7"/>
    <x v="6"/>
    <x v="0"/>
    <x v="2"/>
    <x v="0"/>
    <x v="0"/>
    <x v="2"/>
    <n v="2"/>
    <m/>
    <n v="1973"/>
    <n v="0"/>
    <n v="5"/>
    <s v="Recovered"/>
    <n v="1"/>
  </r>
  <r>
    <s v="ADM-241653"/>
    <d v="2024-08-12T00:00:00"/>
    <d v="2024-08-18T00:00:00"/>
    <x v="0"/>
    <s v="Q3"/>
    <x v="7"/>
    <x v="0"/>
    <x v="1"/>
    <x v="0"/>
    <x v="1"/>
    <x v="0"/>
    <x v="2"/>
    <n v="6"/>
    <n v="14"/>
    <n v="7572"/>
    <n v="0"/>
    <n v="5"/>
    <s v="Recovered"/>
    <n v="1"/>
  </r>
  <r>
    <s v="ADM-241654"/>
    <d v="2024-08-12T00:00:00"/>
    <d v="2024-08-26T00:00:00"/>
    <x v="0"/>
    <s v="Q3"/>
    <x v="7"/>
    <x v="0"/>
    <x v="0"/>
    <x v="0"/>
    <x v="0"/>
    <x v="0"/>
    <x v="2"/>
    <n v="14"/>
    <n v="49"/>
    <n v="6833"/>
    <n v="0"/>
    <n v="4"/>
    <s v="Improved"/>
    <n v="1"/>
  </r>
  <r>
    <s v="ADM-241655"/>
    <d v="2024-08-12T00:00:00"/>
    <d v="2024-08-16T00:00:00"/>
    <x v="0"/>
    <s v="Q3"/>
    <x v="7"/>
    <x v="0"/>
    <x v="4"/>
    <x v="2"/>
    <x v="1"/>
    <x v="1"/>
    <x v="0"/>
    <n v="4"/>
    <m/>
    <n v="5404"/>
    <n v="0"/>
    <n v="5"/>
    <s v="Recovered"/>
    <n v="1"/>
  </r>
  <r>
    <s v="ADM-241656"/>
    <d v="2024-08-12T00:00:00"/>
    <d v="2024-08-13T00:00:00"/>
    <x v="0"/>
    <s v="Q3"/>
    <x v="7"/>
    <x v="0"/>
    <x v="2"/>
    <x v="0"/>
    <x v="0"/>
    <x v="1"/>
    <x v="0"/>
    <n v="1"/>
    <n v="96"/>
    <n v="1849"/>
    <n v="0"/>
    <n v="3"/>
    <s v="Recovered"/>
    <n v="1"/>
  </r>
  <r>
    <s v="ADM-241657"/>
    <d v="2024-08-12T00:00:00"/>
    <d v="2024-08-13T00:00:00"/>
    <x v="0"/>
    <s v="Q3"/>
    <x v="7"/>
    <x v="0"/>
    <x v="0"/>
    <x v="2"/>
    <x v="1"/>
    <x v="0"/>
    <x v="2"/>
    <n v="1"/>
    <m/>
    <n v="1237"/>
    <n v="0"/>
    <n v="3"/>
    <s v="Improved"/>
    <n v="1"/>
  </r>
  <r>
    <s v="ADM-241658"/>
    <d v="2024-08-12T00:00:00"/>
    <d v="2024-08-15T00:00:00"/>
    <x v="0"/>
    <s v="Q3"/>
    <x v="7"/>
    <x v="0"/>
    <x v="5"/>
    <x v="2"/>
    <x v="1"/>
    <x v="4"/>
    <x v="0"/>
    <n v="3"/>
    <m/>
    <n v="3733"/>
    <n v="0"/>
    <n v="4"/>
    <s v="Improved"/>
    <n v="1"/>
  </r>
  <r>
    <s v="ADM-241659"/>
    <d v="2024-08-13T00:00:00"/>
    <d v="2024-08-14T00:00:00"/>
    <x v="0"/>
    <s v="Q3"/>
    <x v="7"/>
    <x v="1"/>
    <x v="2"/>
    <x v="0"/>
    <x v="0"/>
    <x v="2"/>
    <x v="2"/>
    <n v="1"/>
    <n v="43"/>
    <n v="1516"/>
    <n v="0"/>
    <n v="5"/>
    <s v="Recovered"/>
    <n v="1"/>
  </r>
  <r>
    <s v="ADM-241660"/>
    <d v="2024-08-13T00:00:00"/>
    <d v="2024-08-16T00:00:00"/>
    <x v="0"/>
    <s v="Q3"/>
    <x v="7"/>
    <x v="1"/>
    <x v="5"/>
    <x v="2"/>
    <x v="0"/>
    <x v="2"/>
    <x v="1"/>
    <n v="3"/>
    <m/>
    <n v="3337"/>
    <n v="0"/>
    <n v="4"/>
    <s v="Improved"/>
    <n v="1"/>
  </r>
  <r>
    <s v="ADM-241661"/>
    <d v="2024-08-13T00:00:00"/>
    <d v="2024-08-16T00:00:00"/>
    <x v="0"/>
    <s v="Q3"/>
    <x v="7"/>
    <x v="1"/>
    <x v="1"/>
    <x v="2"/>
    <x v="1"/>
    <x v="1"/>
    <x v="2"/>
    <n v="3"/>
    <m/>
    <n v="4795"/>
    <n v="0"/>
    <n v="4"/>
    <s v="Recovered"/>
    <n v="1"/>
  </r>
  <r>
    <s v="ADM-241662"/>
    <d v="2024-08-13T00:00:00"/>
    <d v="2024-08-19T00:00:00"/>
    <x v="0"/>
    <s v="Q3"/>
    <x v="7"/>
    <x v="1"/>
    <x v="1"/>
    <x v="0"/>
    <x v="0"/>
    <x v="1"/>
    <x v="2"/>
    <n v="6"/>
    <n v="47"/>
    <n v="6038"/>
    <n v="1"/>
    <n v="5"/>
    <s v="Recovered"/>
    <n v="1"/>
  </r>
  <r>
    <s v="ADM-241663"/>
    <d v="2024-08-13T00:00:00"/>
    <d v="2024-08-15T00:00:00"/>
    <x v="0"/>
    <s v="Q3"/>
    <x v="7"/>
    <x v="1"/>
    <x v="5"/>
    <x v="2"/>
    <x v="1"/>
    <x v="4"/>
    <x v="0"/>
    <n v="2"/>
    <m/>
    <n v="2871"/>
    <n v="0"/>
    <n v="3"/>
    <s v="Recovered"/>
    <n v="1"/>
  </r>
  <r>
    <s v="ADM-241664"/>
    <d v="2024-08-13T00:00:00"/>
    <d v="2024-08-28T00:00:00"/>
    <x v="0"/>
    <s v="Q3"/>
    <x v="7"/>
    <x v="1"/>
    <x v="0"/>
    <x v="0"/>
    <x v="1"/>
    <x v="2"/>
    <x v="0"/>
    <n v="15"/>
    <n v="58"/>
    <n v="9700"/>
    <n v="0"/>
    <n v="4"/>
    <s v="Recovered"/>
    <n v="1"/>
  </r>
  <r>
    <s v="ADM-241665"/>
    <d v="2024-08-14T00:00:00"/>
    <d v="2024-08-17T00:00:00"/>
    <x v="0"/>
    <s v="Q3"/>
    <x v="7"/>
    <x v="2"/>
    <x v="1"/>
    <x v="2"/>
    <x v="0"/>
    <x v="4"/>
    <x v="2"/>
    <n v="3"/>
    <m/>
    <n v="4691"/>
    <n v="0"/>
    <n v="3"/>
    <s v="Recovered"/>
    <n v="1"/>
  </r>
  <r>
    <s v="ADM-241666"/>
    <d v="2024-08-14T00:00:00"/>
    <d v="2024-08-17T00:00:00"/>
    <x v="0"/>
    <s v="Q3"/>
    <x v="7"/>
    <x v="2"/>
    <x v="0"/>
    <x v="0"/>
    <x v="0"/>
    <x v="0"/>
    <x v="0"/>
    <n v="3"/>
    <n v="60"/>
    <n v="2721"/>
    <n v="0"/>
    <n v="3"/>
    <s v="Recovered"/>
    <n v="1"/>
  </r>
  <r>
    <s v="ADM-241667"/>
    <d v="2024-08-14T00:00:00"/>
    <d v="2024-08-20T00:00:00"/>
    <x v="0"/>
    <s v="Q3"/>
    <x v="7"/>
    <x v="2"/>
    <x v="3"/>
    <x v="0"/>
    <x v="0"/>
    <x v="3"/>
    <x v="2"/>
    <n v="6"/>
    <n v="75"/>
    <n v="4894"/>
    <n v="0"/>
    <n v="5"/>
    <s v="Recovered"/>
    <n v="1"/>
  </r>
  <r>
    <s v="ADM-241668"/>
    <d v="2024-08-14T00:00:00"/>
    <d v="2024-08-19T00:00:00"/>
    <x v="0"/>
    <s v="Q3"/>
    <x v="7"/>
    <x v="2"/>
    <x v="5"/>
    <x v="2"/>
    <x v="0"/>
    <x v="2"/>
    <x v="2"/>
    <n v="5"/>
    <m/>
    <n v="5786"/>
    <n v="1"/>
    <n v="3"/>
    <s v="Recovered"/>
    <n v="1"/>
  </r>
  <r>
    <s v="ADM-241669"/>
    <d v="2024-08-14T00:00:00"/>
    <d v="2024-08-25T00:00:00"/>
    <x v="0"/>
    <s v="Q3"/>
    <x v="7"/>
    <x v="2"/>
    <x v="0"/>
    <x v="0"/>
    <x v="1"/>
    <x v="0"/>
    <x v="2"/>
    <n v="11"/>
    <n v="40"/>
    <n v="8674"/>
    <n v="0"/>
    <n v="5"/>
    <s v="Improved"/>
    <n v="1"/>
  </r>
  <r>
    <s v="ADM-241670"/>
    <d v="2024-08-14T00:00:00"/>
    <d v="2024-08-21T00:00:00"/>
    <x v="0"/>
    <s v="Q3"/>
    <x v="7"/>
    <x v="2"/>
    <x v="4"/>
    <x v="1"/>
    <x v="1"/>
    <x v="0"/>
    <x v="2"/>
    <n v="7"/>
    <m/>
    <n v="9273"/>
    <n v="1"/>
    <n v="3"/>
    <s v="Recovered"/>
    <n v="1"/>
  </r>
  <r>
    <s v="ADM-241671"/>
    <d v="2024-08-15T00:00:00"/>
    <d v="2024-08-18T00:00:00"/>
    <x v="0"/>
    <s v="Q3"/>
    <x v="7"/>
    <x v="3"/>
    <x v="3"/>
    <x v="0"/>
    <x v="0"/>
    <x v="3"/>
    <x v="0"/>
    <n v="3"/>
    <n v="102"/>
    <n v="2555"/>
    <n v="0"/>
    <n v="4"/>
    <s v="Recovered"/>
    <n v="1"/>
  </r>
  <r>
    <s v="ADM-241672"/>
    <d v="2024-08-15T00:00:00"/>
    <d v="2024-08-20T00:00:00"/>
    <x v="0"/>
    <s v="Q3"/>
    <x v="7"/>
    <x v="3"/>
    <x v="2"/>
    <x v="0"/>
    <x v="0"/>
    <x v="2"/>
    <x v="1"/>
    <n v="5"/>
    <n v="79"/>
    <n v="2795"/>
    <n v="1"/>
    <n v="3"/>
    <s v="Recovered"/>
    <n v="1"/>
  </r>
  <r>
    <s v="ADM-241673"/>
    <d v="2024-08-15T00:00:00"/>
    <d v="2024-08-18T00:00:00"/>
    <x v="0"/>
    <s v="Q3"/>
    <x v="7"/>
    <x v="3"/>
    <x v="1"/>
    <x v="2"/>
    <x v="1"/>
    <x v="1"/>
    <x v="0"/>
    <n v="3"/>
    <m/>
    <n v="3123"/>
    <n v="0"/>
    <n v="5"/>
    <s v="Improved"/>
    <n v="1"/>
  </r>
  <r>
    <s v="ADM-241674"/>
    <d v="2024-08-15T00:00:00"/>
    <d v="2024-08-16T00:00:00"/>
    <x v="0"/>
    <s v="Q3"/>
    <x v="7"/>
    <x v="3"/>
    <x v="2"/>
    <x v="0"/>
    <x v="0"/>
    <x v="2"/>
    <x v="2"/>
    <n v="1"/>
    <n v="136"/>
    <n v="1292"/>
    <n v="0"/>
    <n v="3"/>
    <s v="Transferred"/>
    <n v="1"/>
  </r>
  <r>
    <s v="ADM-241675"/>
    <d v="2024-08-16T00:00:00"/>
    <d v="2024-08-21T00:00:00"/>
    <x v="0"/>
    <s v="Q3"/>
    <x v="7"/>
    <x v="4"/>
    <x v="0"/>
    <x v="0"/>
    <x v="1"/>
    <x v="0"/>
    <x v="0"/>
    <n v="5"/>
    <n v="117"/>
    <n v="5336"/>
    <n v="0"/>
    <n v="4"/>
    <s v="Improved"/>
    <n v="1"/>
  </r>
  <r>
    <s v="ADM-241676"/>
    <d v="2024-08-16T00:00:00"/>
    <d v="2024-08-23T00:00:00"/>
    <x v="0"/>
    <s v="Q3"/>
    <x v="7"/>
    <x v="4"/>
    <x v="0"/>
    <x v="0"/>
    <x v="1"/>
    <x v="0"/>
    <x v="0"/>
    <n v="7"/>
    <n v="24"/>
    <n v="5267"/>
    <n v="0"/>
    <n v="5"/>
    <s v="Recovered"/>
    <n v="1"/>
  </r>
  <r>
    <s v="ADM-241677"/>
    <d v="2024-08-16T00:00:00"/>
    <d v="2024-08-23T00:00:00"/>
    <x v="0"/>
    <s v="Q3"/>
    <x v="7"/>
    <x v="4"/>
    <x v="4"/>
    <x v="0"/>
    <x v="0"/>
    <x v="0"/>
    <x v="1"/>
    <n v="7"/>
    <n v="182"/>
    <n v="12289"/>
    <n v="1"/>
    <n v="4"/>
    <s v="Improved"/>
    <n v="1"/>
  </r>
  <r>
    <s v="ADM-241678"/>
    <d v="2024-08-16T00:00:00"/>
    <d v="2024-08-18T00:00:00"/>
    <x v="0"/>
    <s v="Q3"/>
    <x v="7"/>
    <x v="4"/>
    <x v="2"/>
    <x v="0"/>
    <x v="0"/>
    <x v="2"/>
    <x v="2"/>
    <n v="2"/>
    <n v="113"/>
    <n v="2165"/>
    <n v="1"/>
    <n v="3"/>
    <s v="Recovered"/>
    <n v="1"/>
  </r>
  <r>
    <s v="ADM-241679"/>
    <d v="2024-08-16T00:00:00"/>
    <d v="2024-08-21T00:00:00"/>
    <x v="0"/>
    <s v="Q3"/>
    <x v="7"/>
    <x v="4"/>
    <x v="3"/>
    <x v="0"/>
    <x v="1"/>
    <x v="3"/>
    <x v="2"/>
    <n v="5"/>
    <n v="81"/>
    <n v="3588"/>
    <n v="0"/>
    <n v="5"/>
    <s v="Recovered"/>
    <n v="1"/>
  </r>
  <r>
    <s v="ADM-241680"/>
    <d v="2024-08-17T00:00:00"/>
    <d v="2024-08-19T00:00:00"/>
    <x v="0"/>
    <s v="Q3"/>
    <x v="7"/>
    <x v="5"/>
    <x v="2"/>
    <x v="0"/>
    <x v="0"/>
    <x v="1"/>
    <x v="2"/>
    <n v="2"/>
    <n v="46"/>
    <n v="1708"/>
    <n v="0"/>
    <n v="4"/>
    <s v="Improved"/>
    <n v="1"/>
  </r>
  <r>
    <s v="ADM-241681"/>
    <d v="2024-08-17T00:00:00"/>
    <d v="2024-08-30T00:00:00"/>
    <x v="0"/>
    <s v="Q3"/>
    <x v="7"/>
    <x v="5"/>
    <x v="0"/>
    <x v="0"/>
    <x v="0"/>
    <x v="2"/>
    <x v="2"/>
    <n v="13"/>
    <n v="60"/>
    <n v="8907"/>
    <n v="0"/>
    <n v="3"/>
    <s v="Improved"/>
    <n v="1"/>
  </r>
  <r>
    <s v="ADM-241682"/>
    <d v="2024-08-17T00:00:00"/>
    <d v="2024-08-18T00:00:00"/>
    <x v="0"/>
    <s v="Q3"/>
    <x v="7"/>
    <x v="5"/>
    <x v="3"/>
    <x v="0"/>
    <x v="1"/>
    <x v="3"/>
    <x v="0"/>
    <n v="1"/>
    <n v="62"/>
    <n v="1325"/>
    <n v="0"/>
    <n v="5"/>
    <s v="Recovered"/>
    <n v="1"/>
  </r>
  <r>
    <s v="ADM-241683"/>
    <d v="2024-08-18T00:00:00"/>
    <d v="2024-08-21T00:00:00"/>
    <x v="0"/>
    <s v="Q3"/>
    <x v="7"/>
    <x v="6"/>
    <x v="2"/>
    <x v="2"/>
    <x v="0"/>
    <x v="1"/>
    <x v="0"/>
    <n v="3"/>
    <m/>
    <n v="2482"/>
    <n v="0"/>
    <n v="5"/>
    <s v="Recovered"/>
    <n v="1"/>
  </r>
  <r>
    <s v="ADM-241684"/>
    <d v="2024-08-18T00:00:00"/>
    <d v="2024-08-23T00:00:00"/>
    <x v="0"/>
    <s v="Q3"/>
    <x v="7"/>
    <x v="6"/>
    <x v="0"/>
    <x v="0"/>
    <x v="0"/>
    <x v="4"/>
    <x v="0"/>
    <n v="5"/>
    <n v="46"/>
    <n v="3034"/>
    <n v="0"/>
    <n v="4"/>
    <s v="Improved"/>
    <n v="1"/>
  </r>
  <r>
    <s v="ADM-241685"/>
    <d v="2024-08-18T00:00:00"/>
    <d v="2024-08-23T00:00:00"/>
    <x v="0"/>
    <s v="Q3"/>
    <x v="7"/>
    <x v="6"/>
    <x v="0"/>
    <x v="0"/>
    <x v="0"/>
    <x v="1"/>
    <x v="2"/>
    <n v="5"/>
    <n v="25"/>
    <n v="4347"/>
    <n v="0"/>
    <n v="4"/>
    <s v="Improved"/>
    <n v="1"/>
  </r>
  <r>
    <s v="ADM-241686"/>
    <d v="2024-08-19T00:00:00"/>
    <d v="2024-08-20T00:00:00"/>
    <x v="0"/>
    <s v="Q3"/>
    <x v="7"/>
    <x v="0"/>
    <x v="0"/>
    <x v="0"/>
    <x v="1"/>
    <x v="0"/>
    <x v="2"/>
    <n v="1"/>
    <n v="12"/>
    <n v="1662"/>
    <n v="0"/>
    <n v="4"/>
    <s v="Recovered"/>
    <n v="1"/>
  </r>
  <r>
    <s v="ADM-241687"/>
    <d v="2024-08-19T00:00:00"/>
    <d v="2024-08-24T00:00:00"/>
    <x v="0"/>
    <s v="Q3"/>
    <x v="7"/>
    <x v="0"/>
    <x v="0"/>
    <x v="2"/>
    <x v="1"/>
    <x v="4"/>
    <x v="0"/>
    <n v="5"/>
    <m/>
    <n v="4063"/>
    <n v="0"/>
    <n v="4"/>
    <s v="Recovered"/>
    <n v="1"/>
  </r>
  <r>
    <s v="ADM-241688"/>
    <d v="2024-08-19T00:00:00"/>
    <d v="2024-08-21T00:00:00"/>
    <x v="0"/>
    <s v="Q3"/>
    <x v="7"/>
    <x v="0"/>
    <x v="2"/>
    <x v="2"/>
    <x v="0"/>
    <x v="1"/>
    <x v="1"/>
    <n v="2"/>
    <m/>
    <n v="1942"/>
    <n v="0"/>
    <n v="4"/>
    <s v="Recovered"/>
    <n v="1"/>
  </r>
  <r>
    <s v="ADM-241689"/>
    <d v="2024-08-19T00:00:00"/>
    <d v="2024-08-27T00:00:00"/>
    <x v="0"/>
    <s v="Q3"/>
    <x v="7"/>
    <x v="0"/>
    <x v="3"/>
    <x v="0"/>
    <x v="0"/>
    <x v="3"/>
    <x v="2"/>
    <n v="8"/>
    <n v="27"/>
    <n v="6053"/>
    <n v="0"/>
    <n v="3"/>
    <s v="Recovered"/>
    <n v="1"/>
  </r>
  <r>
    <s v="ADM-241690"/>
    <d v="2024-08-19T00:00:00"/>
    <d v="2024-08-22T00:00:00"/>
    <x v="0"/>
    <s v="Q3"/>
    <x v="7"/>
    <x v="0"/>
    <x v="4"/>
    <x v="2"/>
    <x v="0"/>
    <x v="0"/>
    <x v="0"/>
    <n v="3"/>
    <m/>
    <n v="3626"/>
    <n v="0"/>
    <n v="3"/>
    <s v="Recovered"/>
    <n v="1"/>
  </r>
  <r>
    <s v="ADM-241691"/>
    <d v="2024-08-19T00:00:00"/>
    <d v="2024-08-20T00:00:00"/>
    <x v="0"/>
    <s v="Q3"/>
    <x v="7"/>
    <x v="0"/>
    <x v="1"/>
    <x v="2"/>
    <x v="1"/>
    <x v="0"/>
    <x v="2"/>
    <n v="1"/>
    <m/>
    <n v="869"/>
    <n v="0"/>
    <n v="5"/>
    <s v="Transferred"/>
    <n v="1"/>
  </r>
  <r>
    <s v="ADM-241692"/>
    <d v="2024-08-19T00:00:00"/>
    <d v="2024-08-28T00:00:00"/>
    <x v="0"/>
    <s v="Q3"/>
    <x v="7"/>
    <x v="0"/>
    <x v="1"/>
    <x v="2"/>
    <x v="1"/>
    <x v="0"/>
    <x v="2"/>
    <n v="9"/>
    <m/>
    <n v="11251"/>
    <n v="1"/>
    <n v="4"/>
    <s v="Improved"/>
    <n v="1"/>
  </r>
  <r>
    <s v="ADM-241693"/>
    <d v="2024-08-19T00:00:00"/>
    <d v="2024-08-25T00:00:00"/>
    <x v="0"/>
    <s v="Q3"/>
    <x v="7"/>
    <x v="0"/>
    <x v="1"/>
    <x v="2"/>
    <x v="1"/>
    <x v="0"/>
    <x v="0"/>
    <n v="6"/>
    <m/>
    <n v="7264"/>
    <n v="0"/>
    <n v="4"/>
    <s v="Recovered"/>
    <n v="1"/>
  </r>
  <r>
    <s v="ADM-241694"/>
    <d v="2024-08-20T00:00:00"/>
    <d v="2024-08-24T00:00:00"/>
    <x v="0"/>
    <s v="Q3"/>
    <x v="7"/>
    <x v="1"/>
    <x v="4"/>
    <x v="2"/>
    <x v="1"/>
    <x v="0"/>
    <x v="0"/>
    <n v="4"/>
    <m/>
    <n v="6582"/>
    <n v="1"/>
    <n v="4"/>
    <s v="Transferred"/>
    <n v="1"/>
  </r>
  <r>
    <s v="ADM-241695"/>
    <d v="2024-08-20T00:00:00"/>
    <d v="2024-08-22T00:00:00"/>
    <x v="0"/>
    <s v="Q3"/>
    <x v="7"/>
    <x v="1"/>
    <x v="5"/>
    <x v="2"/>
    <x v="0"/>
    <x v="1"/>
    <x v="2"/>
    <n v="2"/>
    <m/>
    <n v="2802"/>
    <n v="0"/>
    <n v="4"/>
    <s v="Deceased"/>
    <n v="1"/>
  </r>
  <r>
    <s v="ADM-241696"/>
    <d v="2024-08-20T00:00:00"/>
    <d v="2024-08-24T00:00:00"/>
    <x v="0"/>
    <s v="Q3"/>
    <x v="7"/>
    <x v="1"/>
    <x v="1"/>
    <x v="2"/>
    <x v="1"/>
    <x v="4"/>
    <x v="0"/>
    <n v="4"/>
    <m/>
    <n v="3584"/>
    <n v="0"/>
    <n v="4"/>
    <s v="Recovered"/>
    <n v="1"/>
  </r>
  <r>
    <s v="ADM-241697"/>
    <d v="2024-08-20T00:00:00"/>
    <d v="2024-08-21T00:00:00"/>
    <x v="0"/>
    <s v="Q3"/>
    <x v="7"/>
    <x v="1"/>
    <x v="2"/>
    <x v="0"/>
    <x v="0"/>
    <x v="1"/>
    <x v="1"/>
    <n v="1"/>
    <n v="16"/>
    <n v="1281"/>
    <n v="0"/>
    <n v="5"/>
    <s v="Recovered"/>
    <n v="1"/>
  </r>
  <r>
    <s v="ADM-241698"/>
    <d v="2024-08-20T00:00:00"/>
    <d v="2024-08-23T00:00:00"/>
    <x v="0"/>
    <s v="Q3"/>
    <x v="7"/>
    <x v="1"/>
    <x v="2"/>
    <x v="0"/>
    <x v="0"/>
    <x v="2"/>
    <x v="2"/>
    <n v="3"/>
    <n v="33"/>
    <n v="2695"/>
    <n v="0"/>
    <n v="4"/>
    <s v="Improved"/>
    <n v="1"/>
  </r>
  <r>
    <s v="ADM-241699"/>
    <d v="2024-08-20T00:00:00"/>
    <d v="2024-08-22T00:00:00"/>
    <x v="0"/>
    <s v="Q3"/>
    <x v="7"/>
    <x v="1"/>
    <x v="1"/>
    <x v="2"/>
    <x v="0"/>
    <x v="4"/>
    <x v="2"/>
    <n v="2"/>
    <m/>
    <n v="2585"/>
    <n v="0"/>
    <n v="3"/>
    <s v="Recovered"/>
    <n v="1"/>
  </r>
  <r>
    <s v="ADM-241700"/>
    <d v="2024-08-20T00:00:00"/>
    <d v="2024-08-22T00:00:00"/>
    <x v="0"/>
    <s v="Q3"/>
    <x v="7"/>
    <x v="1"/>
    <x v="5"/>
    <x v="2"/>
    <x v="0"/>
    <x v="4"/>
    <x v="2"/>
    <n v="2"/>
    <m/>
    <n v="2648"/>
    <n v="0"/>
    <n v="4"/>
    <s v="Improved"/>
    <n v="1"/>
  </r>
  <r>
    <s v="ADM-241701"/>
    <d v="2024-08-20T00:00:00"/>
    <d v="2024-08-21T00:00:00"/>
    <x v="0"/>
    <s v="Q3"/>
    <x v="7"/>
    <x v="1"/>
    <x v="0"/>
    <x v="0"/>
    <x v="1"/>
    <x v="4"/>
    <x v="1"/>
    <n v="1"/>
    <n v="35"/>
    <n v="1511"/>
    <n v="0"/>
    <n v="5"/>
    <s v="Improved"/>
    <n v="1"/>
  </r>
  <r>
    <s v="ADM-241702"/>
    <d v="2024-08-21T00:00:00"/>
    <d v="2024-08-23T00:00:00"/>
    <x v="0"/>
    <s v="Q3"/>
    <x v="7"/>
    <x v="2"/>
    <x v="5"/>
    <x v="2"/>
    <x v="0"/>
    <x v="1"/>
    <x v="2"/>
    <n v="2"/>
    <m/>
    <n v="2203"/>
    <n v="0"/>
    <n v="3"/>
    <s v="Transferred"/>
    <n v="1"/>
  </r>
  <r>
    <s v="ADM-241703"/>
    <d v="2024-08-21T00:00:00"/>
    <d v="2024-08-24T00:00:00"/>
    <x v="0"/>
    <s v="Q3"/>
    <x v="7"/>
    <x v="2"/>
    <x v="4"/>
    <x v="0"/>
    <x v="0"/>
    <x v="0"/>
    <x v="0"/>
    <n v="3"/>
    <n v="49"/>
    <n v="3887"/>
    <n v="0"/>
    <n v="3"/>
    <s v="Improved"/>
    <n v="1"/>
  </r>
  <r>
    <s v="ADM-241704"/>
    <d v="2024-08-21T00:00:00"/>
    <d v="2024-08-22T00:00:00"/>
    <x v="0"/>
    <s v="Q3"/>
    <x v="7"/>
    <x v="2"/>
    <x v="3"/>
    <x v="0"/>
    <x v="0"/>
    <x v="3"/>
    <x v="0"/>
    <n v="1"/>
    <n v="121"/>
    <n v="1262"/>
    <n v="1"/>
    <n v="3"/>
    <s v="Recovered"/>
    <n v="1"/>
  </r>
  <r>
    <s v="ADM-241705"/>
    <d v="2024-08-21T00:00:00"/>
    <d v="2024-08-22T00:00:00"/>
    <x v="0"/>
    <s v="Q3"/>
    <x v="7"/>
    <x v="2"/>
    <x v="1"/>
    <x v="0"/>
    <x v="1"/>
    <x v="0"/>
    <x v="2"/>
    <n v="1"/>
    <n v="44"/>
    <n v="2132"/>
    <n v="0"/>
    <n v="5"/>
    <s v="Recovered"/>
    <n v="1"/>
  </r>
  <r>
    <s v="ADM-241706"/>
    <d v="2024-08-21T00:00:00"/>
    <d v="2024-08-25T00:00:00"/>
    <x v="0"/>
    <s v="Q3"/>
    <x v="7"/>
    <x v="2"/>
    <x v="0"/>
    <x v="0"/>
    <x v="1"/>
    <x v="1"/>
    <x v="0"/>
    <n v="4"/>
    <n v="113"/>
    <n v="3143"/>
    <n v="1"/>
    <n v="3"/>
    <s v="Recovered"/>
    <n v="1"/>
  </r>
  <r>
    <s v="ADM-241707"/>
    <d v="2024-08-22T00:00:00"/>
    <d v="2024-09-03T00:00:00"/>
    <x v="0"/>
    <s v="Q3"/>
    <x v="7"/>
    <x v="3"/>
    <x v="0"/>
    <x v="0"/>
    <x v="0"/>
    <x v="4"/>
    <x v="0"/>
    <n v="12"/>
    <n v="52"/>
    <n v="10039"/>
    <n v="0"/>
    <n v="4"/>
    <s v="Recovered"/>
    <n v="1"/>
  </r>
  <r>
    <s v="ADM-241708"/>
    <d v="2024-08-22T00:00:00"/>
    <d v="2024-08-29T00:00:00"/>
    <x v="0"/>
    <s v="Q3"/>
    <x v="7"/>
    <x v="3"/>
    <x v="0"/>
    <x v="0"/>
    <x v="1"/>
    <x v="2"/>
    <x v="2"/>
    <n v="7"/>
    <n v="87"/>
    <n v="3872"/>
    <n v="0"/>
    <n v="4"/>
    <s v="Improved"/>
    <n v="1"/>
  </r>
  <r>
    <s v="ADM-241709"/>
    <d v="2024-08-22T00:00:00"/>
    <d v="2024-09-04T00:00:00"/>
    <x v="0"/>
    <s v="Q3"/>
    <x v="7"/>
    <x v="3"/>
    <x v="1"/>
    <x v="0"/>
    <x v="1"/>
    <x v="0"/>
    <x v="1"/>
    <n v="13"/>
    <n v="36"/>
    <n v="11258"/>
    <n v="0"/>
    <n v="5"/>
    <s v="Improved"/>
    <n v="1"/>
  </r>
  <r>
    <s v="ADM-241710"/>
    <d v="2024-08-22T00:00:00"/>
    <d v="2024-08-24T00:00:00"/>
    <x v="0"/>
    <s v="Q3"/>
    <x v="7"/>
    <x v="3"/>
    <x v="2"/>
    <x v="0"/>
    <x v="0"/>
    <x v="1"/>
    <x v="2"/>
    <n v="2"/>
    <n v="21"/>
    <n v="2066"/>
    <n v="0"/>
    <n v="5"/>
    <s v="Improved"/>
    <n v="1"/>
  </r>
  <r>
    <s v="ADM-241711"/>
    <d v="2024-08-22T00:00:00"/>
    <d v="2024-08-27T00:00:00"/>
    <x v="0"/>
    <s v="Q3"/>
    <x v="7"/>
    <x v="3"/>
    <x v="1"/>
    <x v="2"/>
    <x v="1"/>
    <x v="0"/>
    <x v="0"/>
    <n v="5"/>
    <m/>
    <n v="5174"/>
    <n v="0"/>
    <n v="4"/>
    <s v="Recovered"/>
    <n v="1"/>
  </r>
  <r>
    <s v="ADM-241712"/>
    <d v="2024-08-22T00:00:00"/>
    <d v="2024-08-26T00:00:00"/>
    <x v="0"/>
    <s v="Q3"/>
    <x v="7"/>
    <x v="3"/>
    <x v="2"/>
    <x v="0"/>
    <x v="0"/>
    <x v="1"/>
    <x v="0"/>
    <n v="4"/>
    <n v="93"/>
    <n v="3352"/>
    <n v="0"/>
    <n v="3"/>
    <s v="Recovered"/>
    <n v="1"/>
  </r>
  <r>
    <s v="ADM-241713"/>
    <d v="2024-08-23T00:00:00"/>
    <d v="2024-08-30T00:00:00"/>
    <x v="0"/>
    <s v="Q3"/>
    <x v="7"/>
    <x v="4"/>
    <x v="1"/>
    <x v="2"/>
    <x v="1"/>
    <x v="2"/>
    <x v="0"/>
    <n v="7"/>
    <m/>
    <n v="9241"/>
    <n v="0"/>
    <n v="5"/>
    <s v="Improved"/>
    <n v="1"/>
  </r>
  <r>
    <s v="ADM-241714"/>
    <d v="2024-08-23T00:00:00"/>
    <d v="2024-08-26T00:00:00"/>
    <x v="0"/>
    <s v="Q3"/>
    <x v="7"/>
    <x v="4"/>
    <x v="3"/>
    <x v="2"/>
    <x v="0"/>
    <x v="3"/>
    <x v="2"/>
    <n v="3"/>
    <m/>
    <n v="2595"/>
    <n v="1"/>
    <n v="4"/>
    <s v="Improved"/>
    <n v="1"/>
  </r>
  <r>
    <s v="ADM-241715"/>
    <d v="2024-08-23T00:00:00"/>
    <d v="2024-08-25T00:00:00"/>
    <x v="0"/>
    <s v="Q3"/>
    <x v="7"/>
    <x v="4"/>
    <x v="4"/>
    <x v="0"/>
    <x v="1"/>
    <x v="1"/>
    <x v="0"/>
    <n v="2"/>
    <n v="78"/>
    <n v="2781"/>
    <n v="1"/>
    <n v="4"/>
    <s v="Recovered"/>
    <n v="1"/>
  </r>
  <r>
    <s v="ADM-241716"/>
    <d v="2024-08-23T00:00:00"/>
    <d v="2024-08-25T00:00:00"/>
    <x v="0"/>
    <s v="Q3"/>
    <x v="7"/>
    <x v="4"/>
    <x v="2"/>
    <x v="0"/>
    <x v="0"/>
    <x v="2"/>
    <x v="0"/>
    <n v="2"/>
    <n v="48"/>
    <n v="2370"/>
    <n v="0"/>
    <n v="4"/>
    <s v="Improved"/>
    <n v="1"/>
  </r>
  <r>
    <s v="ADM-241717"/>
    <d v="2024-08-23T00:00:00"/>
    <d v="2024-09-08T00:00:00"/>
    <x v="0"/>
    <s v="Q3"/>
    <x v="7"/>
    <x v="4"/>
    <x v="0"/>
    <x v="1"/>
    <x v="0"/>
    <x v="0"/>
    <x v="0"/>
    <n v="16"/>
    <m/>
    <n v="12864"/>
    <n v="0"/>
    <n v="5"/>
    <s v="Recovered"/>
    <n v="1"/>
  </r>
  <r>
    <s v="ADM-241718"/>
    <d v="2024-08-24T00:00:00"/>
    <d v="2024-08-26T00:00:00"/>
    <x v="0"/>
    <s v="Q3"/>
    <x v="7"/>
    <x v="5"/>
    <x v="0"/>
    <x v="2"/>
    <x v="1"/>
    <x v="4"/>
    <x v="0"/>
    <n v="2"/>
    <m/>
    <n v="2257"/>
    <n v="0"/>
    <n v="3"/>
    <s v="Improved"/>
    <n v="1"/>
  </r>
  <r>
    <s v="ADM-241719"/>
    <d v="2024-08-24T00:00:00"/>
    <d v="2024-08-27T00:00:00"/>
    <x v="0"/>
    <s v="Q3"/>
    <x v="7"/>
    <x v="5"/>
    <x v="3"/>
    <x v="0"/>
    <x v="1"/>
    <x v="3"/>
    <x v="2"/>
    <n v="3"/>
    <n v="21"/>
    <n v="2978"/>
    <n v="0"/>
    <n v="4"/>
    <s v="Improved"/>
    <n v="1"/>
  </r>
  <r>
    <s v="ADM-241720"/>
    <d v="2024-08-24T00:00:00"/>
    <d v="2024-08-28T00:00:00"/>
    <x v="0"/>
    <s v="Q3"/>
    <x v="7"/>
    <x v="5"/>
    <x v="1"/>
    <x v="2"/>
    <x v="0"/>
    <x v="0"/>
    <x v="2"/>
    <n v="4"/>
    <m/>
    <n v="3952"/>
    <n v="0"/>
    <n v="5"/>
    <s v="Recovered"/>
    <n v="1"/>
  </r>
  <r>
    <s v="ADM-241721"/>
    <d v="2024-08-24T00:00:00"/>
    <d v="2024-08-25T00:00:00"/>
    <x v="0"/>
    <s v="Q3"/>
    <x v="7"/>
    <x v="5"/>
    <x v="3"/>
    <x v="0"/>
    <x v="1"/>
    <x v="3"/>
    <x v="0"/>
    <n v="1"/>
    <n v="97"/>
    <n v="1511"/>
    <n v="1"/>
    <n v="3"/>
    <s v="Recovered"/>
    <n v="1"/>
  </r>
  <r>
    <s v="ADM-241722"/>
    <d v="2024-08-24T00:00:00"/>
    <d v="2024-08-29T00:00:00"/>
    <x v="0"/>
    <s v="Q3"/>
    <x v="7"/>
    <x v="5"/>
    <x v="5"/>
    <x v="2"/>
    <x v="1"/>
    <x v="4"/>
    <x v="2"/>
    <n v="5"/>
    <m/>
    <n v="3630"/>
    <n v="0"/>
    <n v="5"/>
    <s v="Recovered"/>
    <n v="1"/>
  </r>
  <r>
    <s v="ADM-241723"/>
    <d v="2024-08-25T00:00:00"/>
    <d v="2024-08-26T00:00:00"/>
    <x v="0"/>
    <s v="Q3"/>
    <x v="7"/>
    <x v="6"/>
    <x v="2"/>
    <x v="2"/>
    <x v="0"/>
    <x v="1"/>
    <x v="2"/>
    <n v="1"/>
    <m/>
    <n v="1503"/>
    <n v="0"/>
    <n v="5"/>
    <s v="Recovered"/>
    <n v="1"/>
  </r>
  <r>
    <s v="ADM-241724"/>
    <d v="2024-08-25T00:00:00"/>
    <d v="2024-08-29T00:00:00"/>
    <x v="0"/>
    <s v="Q3"/>
    <x v="7"/>
    <x v="6"/>
    <x v="2"/>
    <x v="0"/>
    <x v="0"/>
    <x v="1"/>
    <x v="2"/>
    <n v="4"/>
    <n v="29"/>
    <n v="3328"/>
    <n v="0"/>
    <n v="4"/>
    <s v="Recovered"/>
    <n v="1"/>
  </r>
  <r>
    <s v="ADM-241725"/>
    <d v="2024-08-25T00:00:00"/>
    <d v="2024-08-29T00:00:00"/>
    <x v="0"/>
    <s v="Q3"/>
    <x v="7"/>
    <x v="6"/>
    <x v="5"/>
    <x v="2"/>
    <x v="1"/>
    <x v="1"/>
    <x v="0"/>
    <n v="4"/>
    <m/>
    <n v="3734"/>
    <n v="0"/>
    <n v="4"/>
    <s v="Recovered"/>
    <n v="1"/>
  </r>
  <r>
    <s v="ADM-241726"/>
    <d v="2024-08-25T00:00:00"/>
    <d v="2024-08-26T00:00:00"/>
    <x v="0"/>
    <s v="Q3"/>
    <x v="7"/>
    <x v="6"/>
    <x v="2"/>
    <x v="2"/>
    <x v="0"/>
    <x v="2"/>
    <x v="0"/>
    <n v="1"/>
    <m/>
    <n v="1842"/>
    <n v="0"/>
    <n v="4"/>
    <s v="Recovered"/>
    <n v="1"/>
  </r>
  <r>
    <s v="ADM-241727"/>
    <d v="2024-08-25T00:00:00"/>
    <d v="2024-08-27T00:00:00"/>
    <x v="0"/>
    <s v="Q3"/>
    <x v="7"/>
    <x v="6"/>
    <x v="1"/>
    <x v="2"/>
    <x v="0"/>
    <x v="0"/>
    <x v="0"/>
    <n v="2"/>
    <m/>
    <n v="2199"/>
    <n v="0"/>
    <n v="5"/>
    <s v="Recovered"/>
    <n v="1"/>
  </r>
  <r>
    <s v="ADM-241728"/>
    <d v="2024-08-25T00:00:00"/>
    <d v="2024-08-28T00:00:00"/>
    <x v="0"/>
    <s v="Q3"/>
    <x v="7"/>
    <x v="6"/>
    <x v="2"/>
    <x v="0"/>
    <x v="0"/>
    <x v="2"/>
    <x v="2"/>
    <n v="3"/>
    <n v="73"/>
    <n v="2523"/>
    <n v="0"/>
    <n v="5"/>
    <s v="Improved"/>
    <n v="1"/>
  </r>
  <r>
    <s v="ADM-241729"/>
    <d v="2024-08-25T00:00:00"/>
    <d v="2024-09-01T00:00:00"/>
    <x v="0"/>
    <s v="Q3"/>
    <x v="7"/>
    <x v="6"/>
    <x v="2"/>
    <x v="0"/>
    <x v="0"/>
    <x v="1"/>
    <x v="2"/>
    <n v="7"/>
    <n v="55"/>
    <n v="4621"/>
    <n v="0"/>
    <n v="5"/>
    <s v="Deceased"/>
    <n v="1"/>
  </r>
  <r>
    <s v="ADM-241730"/>
    <d v="2024-08-26T00:00:00"/>
    <d v="2024-08-29T00:00:00"/>
    <x v="0"/>
    <s v="Q3"/>
    <x v="7"/>
    <x v="0"/>
    <x v="1"/>
    <x v="2"/>
    <x v="0"/>
    <x v="4"/>
    <x v="2"/>
    <n v="3"/>
    <m/>
    <n v="3565"/>
    <n v="0"/>
    <n v="4"/>
    <s v="Recovered"/>
    <n v="1"/>
  </r>
  <r>
    <s v="ADM-241731"/>
    <d v="2024-08-27T00:00:00"/>
    <d v="2024-09-02T00:00:00"/>
    <x v="0"/>
    <s v="Q3"/>
    <x v="7"/>
    <x v="1"/>
    <x v="1"/>
    <x v="0"/>
    <x v="1"/>
    <x v="4"/>
    <x v="2"/>
    <n v="6"/>
    <n v="19"/>
    <n v="4694"/>
    <n v="0"/>
    <n v="4"/>
    <s v="Transferred"/>
    <n v="1"/>
  </r>
  <r>
    <s v="ADM-241732"/>
    <d v="2024-08-27T00:00:00"/>
    <d v="2024-08-28T00:00:00"/>
    <x v="0"/>
    <s v="Q3"/>
    <x v="7"/>
    <x v="1"/>
    <x v="4"/>
    <x v="0"/>
    <x v="0"/>
    <x v="4"/>
    <x v="2"/>
    <n v="1"/>
    <n v="24"/>
    <n v="1821"/>
    <n v="0"/>
    <n v="5"/>
    <s v="Recovered"/>
    <n v="1"/>
  </r>
  <r>
    <s v="ADM-241733"/>
    <d v="2024-08-27T00:00:00"/>
    <d v="2024-08-31T00:00:00"/>
    <x v="0"/>
    <s v="Q3"/>
    <x v="7"/>
    <x v="1"/>
    <x v="5"/>
    <x v="2"/>
    <x v="1"/>
    <x v="4"/>
    <x v="1"/>
    <n v="4"/>
    <m/>
    <n v="4363"/>
    <n v="0"/>
    <n v="4"/>
    <s v="Improved"/>
    <n v="1"/>
  </r>
  <r>
    <s v="ADM-241734"/>
    <d v="2024-08-27T00:00:00"/>
    <d v="2024-08-30T00:00:00"/>
    <x v="0"/>
    <s v="Q3"/>
    <x v="7"/>
    <x v="1"/>
    <x v="3"/>
    <x v="0"/>
    <x v="1"/>
    <x v="3"/>
    <x v="2"/>
    <n v="3"/>
    <n v="39"/>
    <n v="1860"/>
    <n v="0"/>
    <n v="4"/>
    <s v="Recovered"/>
    <n v="1"/>
  </r>
  <r>
    <s v="ADM-241735"/>
    <d v="2024-08-28T00:00:00"/>
    <d v="2024-09-04T00:00:00"/>
    <x v="0"/>
    <s v="Q3"/>
    <x v="7"/>
    <x v="2"/>
    <x v="4"/>
    <x v="0"/>
    <x v="1"/>
    <x v="0"/>
    <x v="0"/>
    <n v="7"/>
    <n v="39"/>
    <n v="9121"/>
    <n v="0"/>
    <n v="4"/>
    <s v="Recovered"/>
    <n v="1"/>
  </r>
  <r>
    <s v="ADM-241736"/>
    <d v="2024-08-28T00:00:00"/>
    <d v="2024-09-03T00:00:00"/>
    <x v="0"/>
    <s v="Q3"/>
    <x v="7"/>
    <x v="2"/>
    <x v="4"/>
    <x v="2"/>
    <x v="1"/>
    <x v="0"/>
    <x v="0"/>
    <n v="6"/>
    <m/>
    <n v="5790"/>
    <n v="0"/>
    <n v="3"/>
    <s v="Improved"/>
    <n v="1"/>
  </r>
  <r>
    <s v="ADM-241737"/>
    <d v="2024-08-28T00:00:00"/>
    <d v="2024-09-01T00:00:00"/>
    <x v="0"/>
    <s v="Q3"/>
    <x v="7"/>
    <x v="2"/>
    <x v="3"/>
    <x v="0"/>
    <x v="1"/>
    <x v="3"/>
    <x v="0"/>
    <n v="4"/>
    <n v="44"/>
    <n v="3450"/>
    <n v="0"/>
    <n v="4"/>
    <s v="Recovered"/>
    <n v="1"/>
  </r>
  <r>
    <s v="ADM-241738"/>
    <d v="2024-08-28T00:00:00"/>
    <d v="2024-08-31T00:00:00"/>
    <x v="0"/>
    <s v="Q3"/>
    <x v="7"/>
    <x v="2"/>
    <x v="5"/>
    <x v="2"/>
    <x v="1"/>
    <x v="4"/>
    <x v="2"/>
    <n v="3"/>
    <m/>
    <n v="3706"/>
    <n v="0"/>
    <n v="5"/>
    <s v="Recovered"/>
    <n v="1"/>
  </r>
  <r>
    <s v="ADM-241739"/>
    <d v="2024-08-29T00:00:00"/>
    <d v="2024-09-01T00:00:00"/>
    <x v="0"/>
    <s v="Q3"/>
    <x v="7"/>
    <x v="3"/>
    <x v="5"/>
    <x v="2"/>
    <x v="0"/>
    <x v="0"/>
    <x v="2"/>
    <n v="3"/>
    <m/>
    <n v="2763"/>
    <n v="0"/>
    <n v="5"/>
    <s v="Improved"/>
    <n v="1"/>
  </r>
  <r>
    <s v="ADM-241740"/>
    <d v="2024-08-29T00:00:00"/>
    <d v="2024-09-02T00:00:00"/>
    <x v="0"/>
    <s v="Q3"/>
    <x v="7"/>
    <x v="3"/>
    <x v="2"/>
    <x v="0"/>
    <x v="0"/>
    <x v="2"/>
    <x v="2"/>
    <n v="4"/>
    <n v="14"/>
    <n v="3144"/>
    <n v="0"/>
    <n v="5"/>
    <s v="Recovered"/>
    <n v="1"/>
  </r>
  <r>
    <s v="ADM-241741"/>
    <d v="2024-08-29T00:00:00"/>
    <d v="2024-08-30T00:00:00"/>
    <x v="0"/>
    <s v="Q3"/>
    <x v="7"/>
    <x v="3"/>
    <x v="3"/>
    <x v="0"/>
    <x v="1"/>
    <x v="3"/>
    <x v="2"/>
    <n v="1"/>
    <n v="28"/>
    <n v="1011"/>
    <n v="0"/>
    <n v="5"/>
    <s v="Recovered"/>
    <n v="1"/>
  </r>
  <r>
    <s v="ADM-241742"/>
    <d v="2024-08-29T00:00:00"/>
    <d v="2024-09-01T00:00:00"/>
    <x v="0"/>
    <s v="Q3"/>
    <x v="7"/>
    <x v="3"/>
    <x v="1"/>
    <x v="2"/>
    <x v="1"/>
    <x v="4"/>
    <x v="0"/>
    <n v="3"/>
    <m/>
    <n v="3460"/>
    <n v="0"/>
    <n v="5"/>
    <s v="Recovered"/>
    <n v="1"/>
  </r>
  <r>
    <s v="ADM-241743"/>
    <d v="2024-08-29T00:00:00"/>
    <d v="2024-09-01T00:00:00"/>
    <x v="0"/>
    <s v="Q3"/>
    <x v="7"/>
    <x v="3"/>
    <x v="3"/>
    <x v="0"/>
    <x v="0"/>
    <x v="3"/>
    <x v="2"/>
    <n v="3"/>
    <n v="98"/>
    <n v="2464"/>
    <n v="0"/>
    <n v="4"/>
    <s v="Recovered"/>
    <n v="1"/>
  </r>
  <r>
    <s v="ADM-241744"/>
    <d v="2024-08-29T00:00:00"/>
    <d v="2024-09-03T00:00:00"/>
    <x v="0"/>
    <s v="Q3"/>
    <x v="7"/>
    <x v="3"/>
    <x v="5"/>
    <x v="1"/>
    <x v="0"/>
    <x v="1"/>
    <x v="0"/>
    <n v="5"/>
    <m/>
    <n v="6097"/>
    <n v="0"/>
    <n v="4"/>
    <s v="Recovered"/>
    <n v="1"/>
  </r>
  <r>
    <s v="ADM-241745"/>
    <d v="2024-08-29T00:00:00"/>
    <d v="2024-09-04T00:00:00"/>
    <x v="0"/>
    <s v="Q3"/>
    <x v="7"/>
    <x v="3"/>
    <x v="4"/>
    <x v="2"/>
    <x v="0"/>
    <x v="0"/>
    <x v="0"/>
    <n v="6"/>
    <m/>
    <n v="5547"/>
    <n v="0"/>
    <n v="5"/>
    <s v="Recovered"/>
    <n v="1"/>
  </r>
  <r>
    <s v="ADM-241746"/>
    <d v="2024-08-30T00:00:00"/>
    <d v="2024-08-31T00:00:00"/>
    <x v="0"/>
    <s v="Q3"/>
    <x v="7"/>
    <x v="4"/>
    <x v="2"/>
    <x v="2"/>
    <x v="0"/>
    <x v="2"/>
    <x v="2"/>
    <n v="1"/>
    <m/>
    <n v="1487"/>
    <n v="0"/>
    <n v="5"/>
    <s v="Recovered"/>
    <n v="1"/>
  </r>
  <r>
    <s v="ADM-241747"/>
    <d v="2024-08-30T00:00:00"/>
    <d v="2024-08-31T00:00:00"/>
    <x v="0"/>
    <s v="Q3"/>
    <x v="7"/>
    <x v="4"/>
    <x v="3"/>
    <x v="0"/>
    <x v="0"/>
    <x v="3"/>
    <x v="2"/>
    <n v="1"/>
    <n v="94"/>
    <n v="1518"/>
    <n v="0"/>
    <n v="3"/>
    <s v="Improved"/>
    <n v="1"/>
  </r>
  <r>
    <s v="ADM-241748"/>
    <d v="2024-08-30T00:00:00"/>
    <d v="2024-09-04T00:00:00"/>
    <x v="0"/>
    <s v="Q3"/>
    <x v="7"/>
    <x v="4"/>
    <x v="5"/>
    <x v="2"/>
    <x v="0"/>
    <x v="0"/>
    <x v="0"/>
    <n v="5"/>
    <m/>
    <n v="5545"/>
    <n v="0"/>
    <n v="4"/>
    <s v="Recovered"/>
    <n v="1"/>
  </r>
  <r>
    <s v="ADM-241749"/>
    <d v="2024-08-30T00:00:00"/>
    <d v="2024-09-03T00:00:00"/>
    <x v="0"/>
    <s v="Q3"/>
    <x v="7"/>
    <x v="4"/>
    <x v="3"/>
    <x v="0"/>
    <x v="0"/>
    <x v="3"/>
    <x v="0"/>
    <n v="4"/>
    <n v="31"/>
    <n v="2872"/>
    <n v="0"/>
    <n v="4"/>
    <s v="Improved"/>
    <n v="1"/>
  </r>
  <r>
    <s v="ADM-241750"/>
    <d v="2024-08-30T00:00:00"/>
    <d v="2024-08-31T00:00:00"/>
    <x v="0"/>
    <s v="Q3"/>
    <x v="7"/>
    <x v="4"/>
    <x v="3"/>
    <x v="1"/>
    <x v="1"/>
    <x v="3"/>
    <x v="2"/>
    <n v="1"/>
    <m/>
    <n v="1304"/>
    <n v="0"/>
    <n v="4"/>
    <s v="Recovered"/>
    <n v="1"/>
  </r>
  <r>
    <s v="ADM-241751"/>
    <d v="2024-08-30T00:00:00"/>
    <d v="2024-08-31T00:00:00"/>
    <x v="0"/>
    <s v="Q3"/>
    <x v="7"/>
    <x v="4"/>
    <x v="3"/>
    <x v="1"/>
    <x v="0"/>
    <x v="3"/>
    <x v="0"/>
    <n v="1"/>
    <m/>
    <n v="1217"/>
    <n v="0"/>
    <n v="4"/>
    <s v="Transferred"/>
    <n v="1"/>
  </r>
  <r>
    <s v="ADM-241752"/>
    <d v="2024-08-30T00:00:00"/>
    <d v="2024-09-01T00:00:00"/>
    <x v="0"/>
    <s v="Q3"/>
    <x v="7"/>
    <x v="4"/>
    <x v="5"/>
    <x v="2"/>
    <x v="1"/>
    <x v="4"/>
    <x v="0"/>
    <n v="2"/>
    <m/>
    <n v="2486"/>
    <n v="1"/>
    <n v="4"/>
    <s v="Improved"/>
    <n v="1"/>
  </r>
  <r>
    <s v="ADM-241753"/>
    <d v="2024-08-30T00:00:00"/>
    <d v="2024-09-07T00:00:00"/>
    <x v="0"/>
    <s v="Q3"/>
    <x v="7"/>
    <x v="4"/>
    <x v="3"/>
    <x v="0"/>
    <x v="1"/>
    <x v="3"/>
    <x v="0"/>
    <n v="8"/>
    <n v="93"/>
    <n v="6322"/>
    <n v="0"/>
    <n v="3"/>
    <s v="Recovered"/>
    <n v="1"/>
  </r>
  <r>
    <s v="ADM-241754"/>
    <d v="2024-08-30T00:00:00"/>
    <d v="2024-09-03T00:00:00"/>
    <x v="0"/>
    <s v="Q3"/>
    <x v="7"/>
    <x v="4"/>
    <x v="5"/>
    <x v="2"/>
    <x v="0"/>
    <x v="4"/>
    <x v="2"/>
    <n v="4"/>
    <m/>
    <n v="4486"/>
    <n v="1"/>
    <n v="4"/>
    <s v="Recovered"/>
    <n v="1"/>
  </r>
  <r>
    <s v="ADM-241755"/>
    <d v="2024-08-30T00:00:00"/>
    <d v="2024-08-31T00:00:00"/>
    <x v="0"/>
    <s v="Q3"/>
    <x v="7"/>
    <x v="4"/>
    <x v="3"/>
    <x v="2"/>
    <x v="0"/>
    <x v="3"/>
    <x v="2"/>
    <n v="1"/>
    <m/>
    <n v="1763"/>
    <n v="0"/>
    <n v="4"/>
    <s v="Improved"/>
    <n v="1"/>
  </r>
  <r>
    <s v="ADM-241756"/>
    <d v="2024-08-31T00:00:00"/>
    <d v="2024-09-07T00:00:00"/>
    <x v="0"/>
    <s v="Q3"/>
    <x v="7"/>
    <x v="5"/>
    <x v="0"/>
    <x v="0"/>
    <x v="0"/>
    <x v="0"/>
    <x v="2"/>
    <n v="7"/>
    <n v="102"/>
    <n v="5867"/>
    <n v="0"/>
    <n v="3"/>
    <s v="Improved"/>
    <n v="1"/>
  </r>
  <r>
    <s v="ADM-241757"/>
    <d v="2024-08-31T00:00:00"/>
    <d v="2024-09-01T00:00:00"/>
    <x v="0"/>
    <s v="Q3"/>
    <x v="7"/>
    <x v="5"/>
    <x v="5"/>
    <x v="2"/>
    <x v="0"/>
    <x v="0"/>
    <x v="2"/>
    <n v="1"/>
    <m/>
    <n v="1906"/>
    <n v="0"/>
    <n v="3"/>
    <s v="Recovered"/>
    <n v="1"/>
  </r>
  <r>
    <s v="ADM-241758"/>
    <d v="2024-08-31T00:00:00"/>
    <d v="2024-09-01T00:00:00"/>
    <x v="0"/>
    <s v="Q3"/>
    <x v="7"/>
    <x v="5"/>
    <x v="2"/>
    <x v="1"/>
    <x v="0"/>
    <x v="1"/>
    <x v="2"/>
    <n v="1"/>
    <m/>
    <n v="1888"/>
    <n v="1"/>
    <n v="3"/>
    <s v="Recovered"/>
    <n v="1"/>
  </r>
  <r>
    <s v="ADM-241759"/>
    <d v="2024-08-31T00:00:00"/>
    <d v="2024-09-03T00:00:00"/>
    <x v="0"/>
    <s v="Q3"/>
    <x v="7"/>
    <x v="5"/>
    <x v="2"/>
    <x v="0"/>
    <x v="0"/>
    <x v="2"/>
    <x v="2"/>
    <n v="3"/>
    <n v="255"/>
    <n v="2038"/>
    <n v="0"/>
    <n v="4"/>
    <s v="Recovered"/>
    <n v="1"/>
  </r>
  <r>
    <s v="ADM-241760"/>
    <d v="2024-08-31T00:00:00"/>
    <d v="2024-09-03T00:00:00"/>
    <x v="0"/>
    <s v="Q3"/>
    <x v="7"/>
    <x v="5"/>
    <x v="3"/>
    <x v="0"/>
    <x v="1"/>
    <x v="3"/>
    <x v="2"/>
    <n v="3"/>
    <n v="121"/>
    <n v="2665"/>
    <n v="0"/>
    <n v="3"/>
    <s v="Recovered"/>
    <n v="1"/>
  </r>
  <r>
    <s v="ADM-241761"/>
    <d v="2024-09-01T00:00:00"/>
    <d v="2024-09-07T00:00:00"/>
    <x v="0"/>
    <s v="Q3"/>
    <x v="8"/>
    <x v="6"/>
    <x v="2"/>
    <x v="0"/>
    <x v="0"/>
    <x v="1"/>
    <x v="1"/>
    <n v="6"/>
    <n v="112"/>
    <n v="4095"/>
    <n v="0"/>
    <n v="3"/>
    <s v="Improved"/>
    <n v="1"/>
  </r>
  <r>
    <s v="ADM-241762"/>
    <d v="2024-09-01T00:00:00"/>
    <d v="2024-09-10T00:00:00"/>
    <x v="0"/>
    <s v="Q3"/>
    <x v="8"/>
    <x v="6"/>
    <x v="0"/>
    <x v="0"/>
    <x v="1"/>
    <x v="1"/>
    <x v="2"/>
    <n v="9"/>
    <n v="39"/>
    <n v="6677"/>
    <n v="0"/>
    <n v="5"/>
    <s v="Improved"/>
    <n v="1"/>
  </r>
  <r>
    <s v="ADM-241763"/>
    <d v="2024-09-01T00:00:00"/>
    <d v="2024-09-02T00:00:00"/>
    <x v="0"/>
    <s v="Q3"/>
    <x v="8"/>
    <x v="6"/>
    <x v="2"/>
    <x v="0"/>
    <x v="0"/>
    <x v="1"/>
    <x v="0"/>
    <n v="1"/>
    <n v="33"/>
    <n v="1483"/>
    <n v="0"/>
    <n v="4"/>
    <s v="Recovered"/>
    <n v="1"/>
  </r>
  <r>
    <s v="ADM-241764"/>
    <d v="2024-09-01T00:00:00"/>
    <d v="2024-09-04T00:00:00"/>
    <x v="0"/>
    <s v="Q3"/>
    <x v="8"/>
    <x v="6"/>
    <x v="5"/>
    <x v="2"/>
    <x v="0"/>
    <x v="4"/>
    <x v="2"/>
    <n v="3"/>
    <m/>
    <n v="4834"/>
    <n v="0"/>
    <n v="4"/>
    <s v="Recovered"/>
    <n v="1"/>
  </r>
  <r>
    <s v="ADM-241765"/>
    <d v="2024-09-01T00:00:00"/>
    <d v="2024-09-02T00:00:00"/>
    <x v="0"/>
    <s v="Q3"/>
    <x v="8"/>
    <x v="6"/>
    <x v="3"/>
    <x v="2"/>
    <x v="1"/>
    <x v="3"/>
    <x v="2"/>
    <n v="1"/>
    <m/>
    <n v="1038"/>
    <n v="0"/>
    <n v="4"/>
    <s v="Recovered"/>
    <n v="1"/>
  </r>
  <r>
    <s v="ADM-241766"/>
    <d v="2024-09-01T00:00:00"/>
    <d v="2024-09-03T00:00:00"/>
    <x v="0"/>
    <s v="Q3"/>
    <x v="8"/>
    <x v="6"/>
    <x v="4"/>
    <x v="2"/>
    <x v="1"/>
    <x v="0"/>
    <x v="2"/>
    <n v="2"/>
    <m/>
    <n v="3662"/>
    <n v="0"/>
    <n v="4"/>
    <s v="Recovered"/>
    <n v="1"/>
  </r>
  <r>
    <s v="ADM-241767"/>
    <d v="2024-09-01T00:00:00"/>
    <d v="2024-09-02T00:00:00"/>
    <x v="0"/>
    <s v="Q3"/>
    <x v="8"/>
    <x v="6"/>
    <x v="0"/>
    <x v="2"/>
    <x v="1"/>
    <x v="4"/>
    <x v="0"/>
    <n v="1"/>
    <m/>
    <n v="1986"/>
    <n v="0"/>
    <n v="4"/>
    <s v="Recovered"/>
    <n v="1"/>
  </r>
  <r>
    <s v="ADM-241768"/>
    <d v="2024-09-01T00:00:00"/>
    <d v="2024-09-03T00:00:00"/>
    <x v="0"/>
    <s v="Q3"/>
    <x v="8"/>
    <x v="6"/>
    <x v="2"/>
    <x v="0"/>
    <x v="0"/>
    <x v="2"/>
    <x v="2"/>
    <n v="2"/>
    <n v="29"/>
    <n v="2361"/>
    <n v="0"/>
    <n v="5"/>
    <s v="Recovered"/>
    <n v="1"/>
  </r>
  <r>
    <s v="ADM-241769"/>
    <d v="2024-09-02T00:00:00"/>
    <d v="2024-09-03T00:00:00"/>
    <x v="0"/>
    <s v="Q3"/>
    <x v="8"/>
    <x v="0"/>
    <x v="2"/>
    <x v="2"/>
    <x v="0"/>
    <x v="2"/>
    <x v="1"/>
    <n v="1"/>
    <m/>
    <n v="1684"/>
    <n v="0"/>
    <n v="4"/>
    <s v="Recovered"/>
    <n v="1"/>
  </r>
  <r>
    <s v="ADM-241770"/>
    <d v="2024-09-02T00:00:00"/>
    <d v="2024-09-04T00:00:00"/>
    <x v="0"/>
    <s v="Q3"/>
    <x v="8"/>
    <x v="0"/>
    <x v="4"/>
    <x v="2"/>
    <x v="1"/>
    <x v="4"/>
    <x v="2"/>
    <n v="2"/>
    <m/>
    <n v="2976"/>
    <n v="0"/>
    <n v="4"/>
    <s v="Recovered"/>
    <n v="1"/>
  </r>
  <r>
    <s v="ADM-241771"/>
    <d v="2024-09-02T00:00:00"/>
    <d v="2024-09-08T00:00:00"/>
    <x v="0"/>
    <s v="Q3"/>
    <x v="8"/>
    <x v="0"/>
    <x v="0"/>
    <x v="0"/>
    <x v="0"/>
    <x v="0"/>
    <x v="0"/>
    <n v="6"/>
    <n v="16"/>
    <n v="3509"/>
    <n v="1"/>
    <n v="5"/>
    <s v="Improved"/>
    <n v="1"/>
  </r>
  <r>
    <s v="ADM-241772"/>
    <d v="2024-09-02T00:00:00"/>
    <d v="2024-09-05T00:00:00"/>
    <x v="0"/>
    <s v="Q3"/>
    <x v="8"/>
    <x v="0"/>
    <x v="4"/>
    <x v="0"/>
    <x v="1"/>
    <x v="1"/>
    <x v="2"/>
    <n v="3"/>
    <n v="127"/>
    <n v="3597"/>
    <n v="0"/>
    <n v="3"/>
    <s v="Improved"/>
    <n v="1"/>
  </r>
  <r>
    <s v="ADM-241773"/>
    <d v="2024-09-02T00:00:00"/>
    <d v="2024-09-08T00:00:00"/>
    <x v="0"/>
    <s v="Q3"/>
    <x v="8"/>
    <x v="0"/>
    <x v="4"/>
    <x v="2"/>
    <x v="1"/>
    <x v="4"/>
    <x v="2"/>
    <n v="6"/>
    <m/>
    <n v="8809"/>
    <n v="0"/>
    <n v="5"/>
    <s v="Recovered"/>
    <n v="1"/>
  </r>
  <r>
    <s v="ADM-241774"/>
    <d v="2024-09-02T00:00:00"/>
    <d v="2024-09-09T00:00:00"/>
    <x v="0"/>
    <s v="Q3"/>
    <x v="8"/>
    <x v="0"/>
    <x v="2"/>
    <x v="0"/>
    <x v="0"/>
    <x v="2"/>
    <x v="0"/>
    <n v="7"/>
    <n v="37"/>
    <n v="4851"/>
    <n v="0"/>
    <n v="4"/>
    <s v="Improved"/>
    <n v="1"/>
  </r>
  <r>
    <s v="ADM-241775"/>
    <d v="2024-09-02T00:00:00"/>
    <d v="2024-09-03T00:00:00"/>
    <x v="0"/>
    <s v="Q3"/>
    <x v="8"/>
    <x v="0"/>
    <x v="3"/>
    <x v="0"/>
    <x v="1"/>
    <x v="3"/>
    <x v="0"/>
    <n v="1"/>
    <n v="48"/>
    <n v="1083"/>
    <n v="0"/>
    <n v="5"/>
    <s v="Improved"/>
    <n v="1"/>
  </r>
  <r>
    <s v="ADM-241776"/>
    <d v="2024-09-03T00:00:00"/>
    <d v="2024-09-07T00:00:00"/>
    <x v="0"/>
    <s v="Q3"/>
    <x v="8"/>
    <x v="1"/>
    <x v="3"/>
    <x v="0"/>
    <x v="1"/>
    <x v="3"/>
    <x v="0"/>
    <n v="4"/>
    <n v="77"/>
    <n v="2983"/>
    <n v="0"/>
    <n v="4"/>
    <s v="Improved"/>
    <n v="1"/>
  </r>
  <r>
    <s v="ADM-241777"/>
    <d v="2024-09-03T00:00:00"/>
    <d v="2024-09-08T00:00:00"/>
    <x v="0"/>
    <s v="Q3"/>
    <x v="8"/>
    <x v="1"/>
    <x v="3"/>
    <x v="0"/>
    <x v="1"/>
    <x v="3"/>
    <x v="2"/>
    <n v="5"/>
    <n v="21"/>
    <n v="3410"/>
    <n v="1"/>
    <n v="3"/>
    <s v="Improved"/>
    <n v="1"/>
  </r>
  <r>
    <s v="ADM-241778"/>
    <d v="2024-09-03T00:00:00"/>
    <d v="2024-09-05T00:00:00"/>
    <x v="0"/>
    <s v="Q3"/>
    <x v="8"/>
    <x v="1"/>
    <x v="5"/>
    <x v="2"/>
    <x v="0"/>
    <x v="4"/>
    <x v="0"/>
    <n v="2"/>
    <m/>
    <n v="2290"/>
    <n v="0"/>
    <n v="4"/>
    <s v="Recovered"/>
    <n v="1"/>
  </r>
  <r>
    <s v="ADM-241779"/>
    <d v="2024-09-03T00:00:00"/>
    <d v="2024-09-09T00:00:00"/>
    <x v="0"/>
    <s v="Q3"/>
    <x v="8"/>
    <x v="1"/>
    <x v="0"/>
    <x v="2"/>
    <x v="1"/>
    <x v="0"/>
    <x v="2"/>
    <n v="6"/>
    <m/>
    <n v="5204"/>
    <n v="0"/>
    <n v="5"/>
    <s v="Recovered"/>
    <n v="1"/>
  </r>
  <r>
    <s v="ADM-241780"/>
    <d v="2024-09-03T00:00:00"/>
    <d v="2024-09-06T00:00:00"/>
    <x v="0"/>
    <s v="Q3"/>
    <x v="8"/>
    <x v="1"/>
    <x v="0"/>
    <x v="0"/>
    <x v="1"/>
    <x v="1"/>
    <x v="2"/>
    <n v="3"/>
    <n v="46"/>
    <n v="2572"/>
    <n v="0"/>
    <n v="4"/>
    <s v="Recovered"/>
    <n v="1"/>
  </r>
  <r>
    <s v="ADM-241781"/>
    <d v="2024-09-03T00:00:00"/>
    <d v="2024-09-09T00:00:00"/>
    <x v="0"/>
    <s v="Q3"/>
    <x v="8"/>
    <x v="1"/>
    <x v="0"/>
    <x v="2"/>
    <x v="0"/>
    <x v="4"/>
    <x v="2"/>
    <n v="6"/>
    <m/>
    <n v="4340"/>
    <n v="0"/>
    <n v="4"/>
    <s v="Improved"/>
    <n v="1"/>
  </r>
  <r>
    <s v="ADM-241782"/>
    <d v="2024-09-03T00:00:00"/>
    <d v="2024-09-08T00:00:00"/>
    <x v="0"/>
    <s v="Q3"/>
    <x v="8"/>
    <x v="1"/>
    <x v="0"/>
    <x v="0"/>
    <x v="0"/>
    <x v="0"/>
    <x v="2"/>
    <n v="5"/>
    <n v="114"/>
    <n v="4565"/>
    <n v="0"/>
    <n v="4"/>
    <s v="Improved"/>
    <n v="1"/>
  </r>
  <r>
    <s v="ADM-241783"/>
    <d v="2024-09-04T00:00:00"/>
    <d v="2024-09-07T00:00:00"/>
    <x v="0"/>
    <s v="Q3"/>
    <x v="8"/>
    <x v="2"/>
    <x v="1"/>
    <x v="2"/>
    <x v="1"/>
    <x v="0"/>
    <x v="2"/>
    <n v="3"/>
    <m/>
    <n v="3067"/>
    <n v="1"/>
    <n v="5"/>
    <s v="Recovered"/>
    <n v="1"/>
  </r>
  <r>
    <s v="ADM-241784"/>
    <d v="2024-09-04T00:00:00"/>
    <d v="2024-09-07T00:00:00"/>
    <x v="0"/>
    <s v="Q3"/>
    <x v="8"/>
    <x v="2"/>
    <x v="1"/>
    <x v="2"/>
    <x v="0"/>
    <x v="4"/>
    <x v="1"/>
    <n v="3"/>
    <m/>
    <n v="4510"/>
    <n v="0"/>
    <n v="5"/>
    <s v="Deceased"/>
    <n v="1"/>
  </r>
  <r>
    <s v="ADM-241785"/>
    <d v="2024-09-04T00:00:00"/>
    <d v="2024-09-16T00:00:00"/>
    <x v="0"/>
    <s v="Q3"/>
    <x v="8"/>
    <x v="2"/>
    <x v="4"/>
    <x v="0"/>
    <x v="1"/>
    <x v="1"/>
    <x v="2"/>
    <n v="12"/>
    <n v="28"/>
    <n v="14883"/>
    <n v="0"/>
    <n v="4"/>
    <s v="Recovered"/>
    <n v="1"/>
  </r>
  <r>
    <s v="ADM-241786"/>
    <d v="2024-09-04T00:00:00"/>
    <d v="2024-09-10T00:00:00"/>
    <x v="0"/>
    <s v="Q3"/>
    <x v="8"/>
    <x v="2"/>
    <x v="0"/>
    <x v="2"/>
    <x v="0"/>
    <x v="1"/>
    <x v="0"/>
    <n v="6"/>
    <m/>
    <n v="4165"/>
    <n v="0"/>
    <n v="4"/>
    <s v="Recovered"/>
    <n v="1"/>
  </r>
  <r>
    <s v="ADM-241787"/>
    <d v="2024-09-04T00:00:00"/>
    <d v="2024-09-15T00:00:00"/>
    <x v="0"/>
    <s v="Q3"/>
    <x v="8"/>
    <x v="2"/>
    <x v="1"/>
    <x v="2"/>
    <x v="0"/>
    <x v="0"/>
    <x v="2"/>
    <n v="11"/>
    <m/>
    <n v="12551"/>
    <n v="0"/>
    <n v="5"/>
    <s v="Recovered"/>
    <n v="1"/>
  </r>
  <r>
    <s v="ADM-241788"/>
    <d v="2024-09-04T00:00:00"/>
    <d v="2024-09-10T00:00:00"/>
    <x v="0"/>
    <s v="Q3"/>
    <x v="8"/>
    <x v="2"/>
    <x v="0"/>
    <x v="0"/>
    <x v="0"/>
    <x v="1"/>
    <x v="2"/>
    <n v="6"/>
    <n v="38"/>
    <n v="5269"/>
    <n v="0"/>
    <n v="4"/>
    <s v="Recovered"/>
    <n v="1"/>
  </r>
  <r>
    <s v="ADM-241789"/>
    <d v="2024-09-04T00:00:00"/>
    <d v="2024-09-05T00:00:00"/>
    <x v="0"/>
    <s v="Q3"/>
    <x v="8"/>
    <x v="2"/>
    <x v="0"/>
    <x v="0"/>
    <x v="0"/>
    <x v="2"/>
    <x v="2"/>
    <n v="1"/>
    <n v="99"/>
    <n v="1808"/>
    <n v="1"/>
    <n v="3"/>
    <s v="Recovered"/>
    <n v="1"/>
  </r>
  <r>
    <s v="ADM-241790"/>
    <d v="2024-09-04T00:00:00"/>
    <d v="2024-09-06T00:00:00"/>
    <x v="0"/>
    <s v="Q3"/>
    <x v="8"/>
    <x v="2"/>
    <x v="2"/>
    <x v="1"/>
    <x v="0"/>
    <x v="1"/>
    <x v="0"/>
    <n v="2"/>
    <m/>
    <n v="2317"/>
    <n v="0"/>
    <n v="4"/>
    <s v="Recovered"/>
    <n v="1"/>
  </r>
  <r>
    <s v="ADM-241791"/>
    <d v="2024-09-05T00:00:00"/>
    <d v="2024-09-14T00:00:00"/>
    <x v="0"/>
    <s v="Q3"/>
    <x v="8"/>
    <x v="3"/>
    <x v="1"/>
    <x v="2"/>
    <x v="1"/>
    <x v="4"/>
    <x v="1"/>
    <n v="9"/>
    <m/>
    <n v="10832"/>
    <n v="0"/>
    <n v="4"/>
    <s v="Transferred"/>
    <n v="1"/>
  </r>
  <r>
    <s v="ADM-241792"/>
    <d v="2024-09-05T00:00:00"/>
    <d v="2024-09-07T00:00:00"/>
    <x v="0"/>
    <s v="Q3"/>
    <x v="8"/>
    <x v="3"/>
    <x v="4"/>
    <x v="0"/>
    <x v="0"/>
    <x v="1"/>
    <x v="0"/>
    <n v="2"/>
    <n v="83"/>
    <n v="3973"/>
    <n v="0"/>
    <n v="5"/>
    <s v="Improved"/>
    <n v="1"/>
  </r>
  <r>
    <s v="ADM-241793"/>
    <d v="2024-09-05T00:00:00"/>
    <d v="2024-09-12T00:00:00"/>
    <x v="0"/>
    <s v="Q3"/>
    <x v="8"/>
    <x v="3"/>
    <x v="3"/>
    <x v="2"/>
    <x v="0"/>
    <x v="3"/>
    <x v="2"/>
    <n v="7"/>
    <m/>
    <n v="4526"/>
    <n v="0"/>
    <n v="4"/>
    <s v="Improved"/>
    <n v="1"/>
  </r>
  <r>
    <s v="ADM-241794"/>
    <d v="2024-09-06T00:00:00"/>
    <d v="2024-09-07T00:00:00"/>
    <x v="0"/>
    <s v="Q3"/>
    <x v="8"/>
    <x v="4"/>
    <x v="3"/>
    <x v="0"/>
    <x v="1"/>
    <x v="3"/>
    <x v="0"/>
    <n v="1"/>
    <n v="11"/>
    <n v="1609"/>
    <n v="0"/>
    <n v="4"/>
    <s v="Recovered"/>
    <n v="1"/>
  </r>
  <r>
    <s v="ADM-241795"/>
    <d v="2024-09-06T00:00:00"/>
    <d v="2024-09-17T00:00:00"/>
    <x v="0"/>
    <s v="Q3"/>
    <x v="8"/>
    <x v="4"/>
    <x v="0"/>
    <x v="1"/>
    <x v="0"/>
    <x v="0"/>
    <x v="2"/>
    <n v="11"/>
    <m/>
    <n v="8553"/>
    <n v="1"/>
    <n v="4"/>
    <s v="Recovered"/>
    <n v="1"/>
  </r>
  <r>
    <s v="ADM-241796"/>
    <d v="2024-09-06T00:00:00"/>
    <d v="2024-09-12T00:00:00"/>
    <x v="0"/>
    <s v="Q3"/>
    <x v="8"/>
    <x v="4"/>
    <x v="0"/>
    <x v="0"/>
    <x v="0"/>
    <x v="4"/>
    <x v="0"/>
    <n v="6"/>
    <n v="18"/>
    <n v="4802"/>
    <n v="0"/>
    <n v="4"/>
    <s v="Recovered"/>
    <n v="1"/>
  </r>
  <r>
    <s v="ADM-241797"/>
    <d v="2024-09-06T00:00:00"/>
    <d v="2024-09-08T00:00:00"/>
    <x v="0"/>
    <s v="Q3"/>
    <x v="8"/>
    <x v="4"/>
    <x v="3"/>
    <x v="2"/>
    <x v="1"/>
    <x v="3"/>
    <x v="2"/>
    <n v="2"/>
    <m/>
    <n v="1857"/>
    <n v="0"/>
    <n v="4"/>
    <s v="Recovered"/>
    <n v="1"/>
  </r>
  <r>
    <s v="ADM-241798"/>
    <d v="2024-09-06T00:00:00"/>
    <d v="2024-09-13T00:00:00"/>
    <x v="0"/>
    <s v="Q3"/>
    <x v="8"/>
    <x v="4"/>
    <x v="4"/>
    <x v="0"/>
    <x v="1"/>
    <x v="0"/>
    <x v="0"/>
    <n v="7"/>
    <n v="79"/>
    <n v="7909"/>
    <n v="0"/>
    <n v="5"/>
    <s v="Recovered"/>
    <n v="1"/>
  </r>
  <r>
    <s v="ADM-241799"/>
    <d v="2024-09-06T00:00:00"/>
    <d v="2024-09-11T00:00:00"/>
    <x v="0"/>
    <s v="Q3"/>
    <x v="8"/>
    <x v="4"/>
    <x v="0"/>
    <x v="0"/>
    <x v="0"/>
    <x v="0"/>
    <x v="1"/>
    <n v="5"/>
    <n v="77"/>
    <n v="4596"/>
    <n v="0"/>
    <n v="4"/>
    <s v="Improved"/>
    <n v="1"/>
  </r>
  <r>
    <s v="ADM-241800"/>
    <d v="2024-09-06T00:00:00"/>
    <d v="2024-09-10T00:00:00"/>
    <x v="0"/>
    <s v="Q3"/>
    <x v="8"/>
    <x v="4"/>
    <x v="1"/>
    <x v="2"/>
    <x v="0"/>
    <x v="4"/>
    <x v="2"/>
    <n v="4"/>
    <m/>
    <n v="3927"/>
    <n v="0"/>
    <n v="5"/>
    <s v="Recovered"/>
    <n v="1"/>
  </r>
  <r>
    <s v="ADM-241801"/>
    <d v="2024-09-06T00:00:00"/>
    <d v="2024-09-18T00:00:00"/>
    <x v="0"/>
    <s v="Q3"/>
    <x v="8"/>
    <x v="4"/>
    <x v="0"/>
    <x v="0"/>
    <x v="0"/>
    <x v="0"/>
    <x v="0"/>
    <n v="12"/>
    <n v="89"/>
    <n v="10138"/>
    <n v="0"/>
    <n v="5"/>
    <s v="Recovered"/>
    <n v="1"/>
  </r>
  <r>
    <s v="ADM-241802"/>
    <d v="2024-09-06T00:00:00"/>
    <d v="2024-09-07T00:00:00"/>
    <x v="0"/>
    <s v="Q3"/>
    <x v="8"/>
    <x v="4"/>
    <x v="2"/>
    <x v="2"/>
    <x v="0"/>
    <x v="2"/>
    <x v="2"/>
    <n v="1"/>
    <m/>
    <n v="768"/>
    <n v="0"/>
    <n v="3"/>
    <s v="Recovered"/>
    <n v="1"/>
  </r>
  <r>
    <s v="ADM-241803"/>
    <d v="2024-09-06T00:00:00"/>
    <d v="2024-09-28T00:00:00"/>
    <x v="0"/>
    <s v="Q3"/>
    <x v="8"/>
    <x v="4"/>
    <x v="0"/>
    <x v="0"/>
    <x v="0"/>
    <x v="4"/>
    <x v="0"/>
    <n v="22"/>
    <n v="52"/>
    <n v="12211"/>
    <n v="0"/>
    <n v="4"/>
    <s v="Improved"/>
    <n v="1"/>
  </r>
  <r>
    <s v="ADM-241804"/>
    <d v="2024-09-06T00:00:00"/>
    <d v="2024-09-08T00:00:00"/>
    <x v="0"/>
    <s v="Q3"/>
    <x v="8"/>
    <x v="4"/>
    <x v="2"/>
    <x v="0"/>
    <x v="0"/>
    <x v="2"/>
    <x v="2"/>
    <n v="2"/>
    <n v="17"/>
    <n v="1587"/>
    <n v="0"/>
    <n v="5"/>
    <s v="Improved"/>
    <n v="1"/>
  </r>
  <r>
    <s v="ADM-241805"/>
    <d v="2024-09-06T00:00:00"/>
    <d v="2024-09-14T00:00:00"/>
    <x v="0"/>
    <s v="Q3"/>
    <x v="8"/>
    <x v="4"/>
    <x v="4"/>
    <x v="0"/>
    <x v="0"/>
    <x v="4"/>
    <x v="0"/>
    <n v="8"/>
    <n v="18"/>
    <n v="7737"/>
    <n v="0"/>
    <n v="4"/>
    <s v="Improved"/>
    <n v="1"/>
  </r>
  <r>
    <s v="ADM-241806"/>
    <d v="2024-09-07T00:00:00"/>
    <d v="2024-09-09T00:00:00"/>
    <x v="0"/>
    <s v="Q3"/>
    <x v="8"/>
    <x v="5"/>
    <x v="0"/>
    <x v="2"/>
    <x v="0"/>
    <x v="1"/>
    <x v="2"/>
    <n v="2"/>
    <m/>
    <n v="1983"/>
    <n v="0"/>
    <n v="4"/>
    <s v="Improved"/>
    <n v="1"/>
  </r>
  <r>
    <s v="ADM-241807"/>
    <d v="2024-09-07T00:00:00"/>
    <d v="2024-09-08T00:00:00"/>
    <x v="0"/>
    <s v="Q3"/>
    <x v="8"/>
    <x v="5"/>
    <x v="3"/>
    <x v="0"/>
    <x v="1"/>
    <x v="3"/>
    <x v="0"/>
    <n v="1"/>
    <n v="91"/>
    <n v="1466"/>
    <n v="1"/>
    <n v="3"/>
    <s v="Recovered"/>
    <n v="1"/>
  </r>
  <r>
    <s v="ADM-241808"/>
    <d v="2024-09-07T00:00:00"/>
    <d v="2024-09-12T00:00:00"/>
    <x v="0"/>
    <s v="Q3"/>
    <x v="8"/>
    <x v="5"/>
    <x v="0"/>
    <x v="0"/>
    <x v="0"/>
    <x v="4"/>
    <x v="2"/>
    <n v="5"/>
    <n v="41"/>
    <n v="3900"/>
    <n v="0"/>
    <n v="5"/>
    <s v="Improved"/>
    <n v="1"/>
  </r>
  <r>
    <s v="ADM-241809"/>
    <d v="2024-09-07T00:00:00"/>
    <d v="2024-09-16T00:00:00"/>
    <x v="0"/>
    <s v="Q3"/>
    <x v="8"/>
    <x v="5"/>
    <x v="5"/>
    <x v="2"/>
    <x v="1"/>
    <x v="1"/>
    <x v="1"/>
    <n v="9"/>
    <m/>
    <n v="9261"/>
    <n v="0"/>
    <n v="5"/>
    <s v="Recovered"/>
    <n v="1"/>
  </r>
  <r>
    <s v="ADM-241810"/>
    <d v="2024-09-07T00:00:00"/>
    <d v="2024-09-10T00:00:00"/>
    <x v="0"/>
    <s v="Q3"/>
    <x v="8"/>
    <x v="5"/>
    <x v="3"/>
    <x v="0"/>
    <x v="0"/>
    <x v="3"/>
    <x v="2"/>
    <n v="3"/>
    <n v="55"/>
    <n v="3013"/>
    <n v="0"/>
    <n v="5"/>
    <s v="Recovered"/>
    <n v="1"/>
  </r>
  <r>
    <s v="ADM-241811"/>
    <d v="2024-09-07T00:00:00"/>
    <d v="2024-09-10T00:00:00"/>
    <x v="0"/>
    <s v="Q3"/>
    <x v="8"/>
    <x v="5"/>
    <x v="1"/>
    <x v="2"/>
    <x v="1"/>
    <x v="0"/>
    <x v="1"/>
    <n v="3"/>
    <m/>
    <n v="2768"/>
    <n v="0"/>
    <n v="5"/>
    <s v="Recovered"/>
    <n v="1"/>
  </r>
  <r>
    <s v="ADM-241812"/>
    <d v="2024-09-07T00:00:00"/>
    <d v="2024-09-08T00:00:00"/>
    <x v="0"/>
    <s v="Q3"/>
    <x v="8"/>
    <x v="5"/>
    <x v="2"/>
    <x v="0"/>
    <x v="0"/>
    <x v="2"/>
    <x v="2"/>
    <n v="1"/>
    <n v="29"/>
    <n v="1000"/>
    <n v="0"/>
    <n v="4"/>
    <s v="Improved"/>
    <n v="1"/>
  </r>
  <r>
    <s v="ADM-241813"/>
    <d v="2024-09-08T00:00:00"/>
    <d v="2024-09-11T00:00:00"/>
    <x v="0"/>
    <s v="Q3"/>
    <x v="8"/>
    <x v="6"/>
    <x v="2"/>
    <x v="0"/>
    <x v="0"/>
    <x v="1"/>
    <x v="0"/>
    <n v="3"/>
    <n v="21"/>
    <n v="2844"/>
    <n v="0"/>
    <n v="3"/>
    <s v="Improved"/>
    <n v="1"/>
  </r>
  <r>
    <s v="ADM-241814"/>
    <d v="2024-09-08T00:00:00"/>
    <d v="2024-09-11T00:00:00"/>
    <x v="0"/>
    <s v="Q3"/>
    <x v="8"/>
    <x v="6"/>
    <x v="1"/>
    <x v="2"/>
    <x v="0"/>
    <x v="1"/>
    <x v="0"/>
    <n v="3"/>
    <m/>
    <n v="3621"/>
    <n v="0"/>
    <n v="5"/>
    <s v="Improved"/>
    <n v="1"/>
  </r>
  <r>
    <s v="ADM-241815"/>
    <d v="2024-09-08T00:00:00"/>
    <d v="2024-09-10T00:00:00"/>
    <x v="0"/>
    <s v="Q3"/>
    <x v="8"/>
    <x v="6"/>
    <x v="1"/>
    <x v="2"/>
    <x v="0"/>
    <x v="4"/>
    <x v="0"/>
    <n v="2"/>
    <m/>
    <n v="3144"/>
    <n v="0"/>
    <n v="4"/>
    <s v="Recovered"/>
    <n v="1"/>
  </r>
  <r>
    <s v="ADM-241816"/>
    <d v="2024-09-08T00:00:00"/>
    <d v="2024-09-12T00:00:00"/>
    <x v="0"/>
    <s v="Q3"/>
    <x v="8"/>
    <x v="6"/>
    <x v="2"/>
    <x v="0"/>
    <x v="0"/>
    <x v="2"/>
    <x v="1"/>
    <n v="4"/>
    <n v="79"/>
    <n v="2537"/>
    <n v="0"/>
    <n v="5"/>
    <s v="Recovered"/>
    <n v="1"/>
  </r>
  <r>
    <s v="ADM-241817"/>
    <d v="2024-09-08T00:00:00"/>
    <d v="2024-09-18T00:00:00"/>
    <x v="0"/>
    <s v="Q3"/>
    <x v="8"/>
    <x v="6"/>
    <x v="5"/>
    <x v="2"/>
    <x v="1"/>
    <x v="0"/>
    <x v="0"/>
    <n v="10"/>
    <m/>
    <n v="5919"/>
    <n v="0"/>
    <n v="4"/>
    <s v="Recovered"/>
    <n v="1"/>
  </r>
  <r>
    <s v="ADM-241818"/>
    <d v="2024-09-08T00:00:00"/>
    <d v="2024-09-10T00:00:00"/>
    <x v="0"/>
    <s v="Q3"/>
    <x v="8"/>
    <x v="6"/>
    <x v="0"/>
    <x v="0"/>
    <x v="1"/>
    <x v="1"/>
    <x v="1"/>
    <n v="2"/>
    <n v="36"/>
    <n v="2508"/>
    <n v="0"/>
    <n v="4"/>
    <s v="Recovered"/>
    <n v="1"/>
  </r>
  <r>
    <s v="ADM-241819"/>
    <d v="2024-09-09T00:00:00"/>
    <d v="2024-09-18T00:00:00"/>
    <x v="0"/>
    <s v="Q3"/>
    <x v="8"/>
    <x v="0"/>
    <x v="2"/>
    <x v="0"/>
    <x v="0"/>
    <x v="1"/>
    <x v="2"/>
    <n v="9"/>
    <n v="37"/>
    <n v="6655"/>
    <n v="0"/>
    <n v="5"/>
    <s v="Improved"/>
    <n v="1"/>
  </r>
  <r>
    <s v="ADM-241820"/>
    <d v="2024-09-09T00:00:00"/>
    <d v="2024-09-26T00:00:00"/>
    <x v="0"/>
    <s v="Q3"/>
    <x v="8"/>
    <x v="0"/>
    <x v="0"/>
    <x v="2"/>
    <x v="0"/>
    <x v="4"/>
    <x v="2"/>
    <n v="17"/>
    <m/>
    <n v="15033"/>
    <n v="0"/>
    <n v="5"/>
    <s v="Recovered"/>
    <n v="1"/>
  </r>
  <r>
    <s v="ADM-241821"/>
    <d v="2024-09-09T00:00:00"/>
    <d v="2024-09-12T00:00:00"/>
    <x v="0"/>
    <s v="Q3"/>
    <x v="8"/>
    <x v="0"/>
    <x v="3"/>
    <x v="0"/>
    <x v="0"/>
    <x v="3"/>
    <x v="1"/>
    <n v="3"/>
    <n v="85"/>
    <n v="2321"/>
    <n v="0"/>
    <n v="4"/>
    <s v="Recovered"/>
    <n v="1"/>
  </r>
  <r>
    <s v="ADM-241822"/>
    <d v="2024-09-09T00:00:00"/>
    <d v="2024-09-11T00:00:00"/>
    <x v="0"/>
    <s v="Q3"/>
    <x v="8"/>
    <x v="0"/>
    <x v="3"/>
    <x v="0"/>
    <x v="1"/>
    <x v="3"/>
    <x v="0"/>
    <n v="2"/>
    <n v="69"/>
    <n v="2117"/>
    <n v="0"/>
    <n v="5"/>
    <s v="Recovered"/>
    <n v="1"/>
  </r>
  <r>
    <s v="ADM-241823"/>
    <d v="2024-09-10T00:00:00"/>
    <d v="2024-09-12T00:00:00"/>
    <x v="0"/>
    <s v="Q3"/>
    <x v="8"/>
    <x v="1"/>
    <x v="1"/>
    <x v="2"/>
    <x v="1"/>
    <x v="0"/>
    <x v="1"/>
    <n v="2"/>
    <m/>
    <n v="2115"/>
    <n v="0"/>
    <n v="4"/>
    <s v="Recovered"/>
    <n v="1"/>
  </r>
  <r>
    <s v="ADM-241824"/>
    <d v="2024-09-10T00:00:00"/>
    <d v="2024-09-14T00:00:00"/>
    <x v="0"/>
    <s v="Q3"/>
    <x v="8"/>
    <x v="1"/>
    <x v="0"/>
    <x v="2"/>
    <x v="1"/>
    <x v="1"/>
    <x v="2"/>
    <n v="4"/>
    <m/>
    <n v="3029"/>
    <n v="0"/>
    <n v="5"/>
    <s v="Recovered"/>
    <n v="1"/>
  </r>
  <r>
    <s v="ADM-241825"/>
    <d v="2024-09-10T00:00:00"/>
    <d v="2024-09-14T00:00:00"/>
    <x v="0"/>
    <s v="Q3"/>
    <x v="8"/>
    <x v="1"/>
    <x v="0"/>
    <x v="0"/>
    <x v="1"/>
    <x v="1"/>
    <x v="2"/>
    <n v="4"/>
    <n v="62"/>
    <n v="3143"/>
    <n v="0"/>
    <n v="5"/>
    <s v="Improved"/>
    <n v="1"/>
  </r>
  <r>
    <s v="ADM-241826"/>
    <d v="2024-09-10T00:00:00"/>
    <d v="2024-09-12T00:00:00"/>
    <x v="0"/>
    <s v="Q3"/>
    <x v="8"/>
    <x v="1"/>
    <x v="2"/>
    <x v="0"/>
    <x v="0"/>
    <x v="2"/>
    <x v="2"/>
    <n v="2"/>
    <n v="57"/>
    <n v="2394"/>
    <n v="0"/>
    <n v="3"/>
    <s v="Recovered"/>
    <n v="1"/>
  </r>
  <r>
    <s v="ADM-241827"/>
    <d v="2024-09-10T00:00:00"/>
    <d v="2024-09-15T00:00:00"/>
    <x v="0"/>
    <s v="Q3"/>
    <x v="8"/>
    <x v="1"/>
    <x v="0"/>
    <x v="0"/>
    <x v="1"/>
    <x v="0"/>
    <x v="2"/>
    <n v="5"/>
    <n v="62"/>
    <n v="4276"/>
    <n v="0"/>
    <n v="5"/>
    <s v="Recovered"/>
    <n v="1"/>
  </r>
  <r>
    <s v="ADM-241828"/>
    <d v="2024-09-10T00:00:00"/>
    <d v="2024-09-11T00:00:00"/>
    <x v="0"/>
    <s v="Q3"/>
    <x v="8"/>
    <x v="1"/>
    <x v="3"/>
    <x v="0"/>
    <x v="1"/>
    <x v="3"/>
    <x v="1"/>
    <n v="1"/>
    <n v="16"/>
    <n v="1010"/>
    <n v="0"/>
    <n v="5"/>
    <s v="Recovered"/>
    <n v="1"/>
  </r>
  <r>
    <s v="ADM-241829"/>
    <d v="2024-09-10T00:00:00"/>
    <d v="2024-09-13T00:00:00"/>
    <x v="0"/>
    <s v="Q3"/>
    <x v="8"/>
    <x v="1"/>
    <x v="5"/>
    <x v="2"/>
    <x v="0"/>
    <x v="2"/>
    <x v="0"/>
    <n v="3"/>
    <m/>
    <n v="2860"/>
    <n v="0"/>
    <n v="4"/>
    <s v="Improved"/>
    <n v="1"/>
  </r>
  <r>
    <s v="ADM-241830"/>
    <d v="2024-09-10T00:00:00"/>
    <d v="2024-09-11T00:00:00"/>
    <x v="0"/>
    <s v="Q3"/>
    <x v="8"/>
    <x v="1"/>
    <x v="4"/>
    <x v="0"/>
    <x v="0"/>
    <x v="2"/>
    <x v="0"/>
    <n v="1"/>
    <n v="21"/>
    <n v="2597"/>
    <n v="1"/>
    <n v="3"/>
    <s v="Recovered"/>
    <n v="1"/>
  </r>
  <r>
    <s v="ADM-241831"/>
    <d v="2024-09-11T00:00:00"/>
    <d v="2024-09-19T00:00:00"/>
    <x v="0"/>
    <s v="Q3"/>
    <x v="8"/>
    <x v="2"/>
    <x v="5"/>
    <x v="2"/>
    <x v="0"/>
    <x v="0"/>
    <x v="1"/>
    <n v="8"/>
    <m/>
    <n v="7825"/>
    <n v="0"/>
    <n v="5"/>
    <s v="Recovered"/>
    <n v="1"/>
  </r>
  <r>
    <s v="ADM-241832"/>
    <d v="2024-09-11T00:00:00"/>
    <d v="2024-09-21T00:00:00"/>
    <x v="0"/>
    <s v="Q3"/>
    <x v="8"/>
    <x v="2"/>
    <x v="1"/>
    <x v="2"/>
    <x v="0"/>
    <x v="0"/>
    <x v="0"/>
    <n v="10"/>
    <m/>
    <n v="10874"/>
    <n v="0"/>
    <n v="5"/>
    <s v="Improved"/>
    <n v="1"/>
  </r>
  <r>
    <s v="ADM-241833"/>
    <d v="2024-09-11T00:00:00"/>
    <d v="2024-09-15T00:00:00"/>
    <x v="0"/>
    <s v="Q3"/>
    <x v="8"/>
    <x v="2"/>
    <x v="4"/>
    <x v="0"/>
    <x v="0"/>
    <x v="2"/>
    <x v="2"/>
    <n v="4"/>
    <n v="59"/>
    <n v="7165"/>
    <n v="0"/>
    <n v="4"/>
    <s v="Recovered"/>
    <n v="1"/>
  </r>
  <r>
    <s v="ADM-241834"/>
    <d v="2024-09-11T00:00:00"/>
    <d v="2024-09-17T00:00:00"/>
    <x v="0"/>
    <s v="Q3"/>
    <x v="8"/>
    <x v="2"/>
    <x v="5"/>
    <x v="2"/>
    <x v="1"/>
    <x v="4"/>
    <x v="2"/>
    <n v="6"/>
    <m/>
    <n v="5703"/>
    <n v="0"/>
    <n v="4"/>
    <s v="Recovered"/>
    <n v="1"/>
  </r>
  <r>
    <s v="ADM-241835"/>
    <d v="2024-09-11T00:00:00"/>
    <d v="2024-09-12T00:00:00"/>
    <x v="0"/>
    <s v="Q3"/>
    <x v="8"/>
    <x v="2"/>
    <x v="3"/>
    <x v="0"/>
    <x v="1"/>
    <x v="3"/>
    <x v="0"/>
    <n v="1"/>
    <n v="11"/>
    <n v="1085"/>
    <n v="0"/>
    <n v="3"/>
    <s v="Recovered"/>
    <n v="1"/>
  </r>
  <r>
    <s v="ADM-241836"/>
    <d v="2024-09-11T00:00:00"/>
    <d v="2024-09-13T00:00:00"/>
    <x v="0"/>
    <s v="Q3"/>
    <x v="8"/>
    <x v="2"/>
    <x v="2"/>
    <x v="0"/>
    <x v="0"/>
    <x v="2"/>
    <x v="2"/>
    <n v="2"/>
    <n v="163"/>
    <n v="1985"/>
    <n v="0"/>
    <n v="2"/>
    <s v="Improved"/>
    <n v="1"/>
  </r>
  <r>
    <s v="ADM-241837"/>
    <d v="2024-09-11T00:00:00"/>
    <d v="2024-09-13T00:00:00"/>
    <x v="0"/>
    <s v="Q3"/>
    <x v="8"/>
    <x v="2"/>
    <x v="3"/>
    <x v="0"/>
    <x v="0"/>
    <x v="3"/>
    <x v="2"/>
    <n v="2"/>
    <n v="117"/>
    <n v="2093"/>
    <n v="0"/>
    <n v="3"/>
    <s v="Improved"/>
    <n v="1"/>
  </r>
  <r>
    <s v="ADM-241838"/>
    <d v="2024-09-11T00:00:00"/>
    <d v="2024-09-17T00:00:00"/>
    <x v="0"/>
    <s v="Q3"/>
    <x v="8"/>
    <x v="2"/>
    <x v="5"/>
    <x v="1"/>
    <x v="1"/>
    <x v="2"/>
    <x v="2"/>
    <n v="6"/>
    <m/>
    <n v="6858"/>
    <n v="0"/>
    <n v="4"/>
    <s v="Improved"/>
    <n v="1"/>
  </r>
  <r>
    <s v="ADM-241839"/>
    <d v="2024-09-12T00:00:00"/>
    <d v="2024-09-22T00:00:00"/>
    <x v="0"/>
    <s v="Q3"/>
    <x v="8"/>
    <x v="3"/>
    <x v="0"/>
    <x v="1"/>
    <x v="0"/>
    <x v="4"/>
    <x v="0"/>
    <n v="10"/>
    <m/>
    <n v="7721"/>
    <n v="1"/>
    <n v="3"/>
    <s v="Deceased"/>
    <n v="1"/>
  </r>
  <r>
    <s v="ADM-241840"/>
    <d v="2024-09-12T00:00:00"/>
    <d v="2024-09-14T00:00:00"/>
    <x v="0"/>
    <s v="Q3"/>
    <x v="8"/>
    <x v="3"/>
    <x v="3"/>
    <x v="2"/>
    <x v="0"/>
    <x v="3"/>
    <x v="2"/>
    <n v="2"/>
    <m/>
    <n v="1627"/>
    <n v="0"/>
    <n v="3"/>
    <s v="Improved"/>
    <n v="1"/>
  </r>
  <r>
    <s v="ADM-241841"/>
    <d v="2024-09-12T00:00:00"/>
    <d v="2024-09-21T00:00:00"/>
    <x v="0"/>
    <s v="Q3"/>
    <x v="8"/>
    <x v="3"/>
    <x v="1"/>
    <x v="2"/>
    <x v="0"/>
    <x v="0"/>
    <x v="0"/>
    <n v="9"/>
    <m/>
    <n v="10386"/>
    <n v="0"/>
    <n v="4"/>
    <s v="Recovered"/>
    <n v="1"/>
  </r>
  <r>
    <s v="ADM-241842"/>
    <d v="2024-09-12T00:00:00"/>
    <d v="2024-09-16T00:00:00"/>
    <x v="0"/>
    <s v="Q3"/>
    <x v="8"/>
    <x v="3"/>
    <x v="0"/>
    <x v="2"/>
    <x v="1"/>
    <x v="1"/>
    <x v="2"/>
    <n v="4"/>
    <m/>
    <n v="3050"/>
    <n v="0"/>
    <n v="4"/>
    <s v="Improved"/>
    <n v="1"/>
  </r>
  <r>
    <s v="ADM-241843"/>
    <d v="2024-09-12T00:00:00"/>
    <d v="2024-09-15T00:00:00"/>
    <x v="0"/>
    <s v="Q3"/>
    <x v="8"/>
    <x v="3"/>
    <x v="1"/>
    <x v="2"/>
    <x v="0"/>
    <x v="2"/>
    <x v="2"/>
    <n v="3"/>
    <m/>
    <n v="3902"/>
    <n v="0"/>
    <n v="4"/>
    <s v="Recovered"/>
    <n v="1"/>
  </r>
  <r>
    <s v="ADM-241844"/>
    <d v="2024-09-12T00:00:00"/>
    <d v="2024-09-17T00:00:00"/>
    <x v="0"/>
    <s v="Q3"/>
    <x v="8"/>
    <x v="3"/>
    <x v="4"/>
    <x v="0"/>
    <x v="0"/>
    <x v="0"/>
    <x v="2"/>
    <n v="5"/>
    <n v="22"/>
    <n v="5480"/>
    <n v="0"/>
    <n v="4"/>
    <s v="Recovered"/>
    <n v="1"/>
  </r>
  <r>
    <s v="ADM-241845"/>
    <d v="2024-09-13T00:00:00"/>
    <d v="2024-09-15T00:00:00"/>
    <x v="0"/>
    <s v="Q3"/>
    <x v="8"/>
    <x v="4"/>
    <x v="4"/>
    <x v="1"/>
    <x v="0"/>
    <x v="0"/>
    <x v="2"/>
    <n v="2"/>
    <m/>
    <n v="3091"/>
    <n v="0"/>
    <n v="5"/>
    <s v="Improved"/>
    <n v="1"/>
  </r>
  <r>
    <s v="ADM-241846"/>
    <d v="2024-09-13T00:00:00"/>
    <d v="2024-09-16T00:00:00"/>
    <x v="0"/>
    <s v="Q3"/>
    <x v="8"/>
    <x v="4"/>
    <x v="1"/>
    <x v="0"/>
    <x v="0"/>
    <x v="4"/>
    <x v="2"/>
    <n v="3"/>
    <n v="73"/>
    <n v="3379"/>
    <n v="0"/>
    <n v="4"/>
    <s v="Improved"/>
    <n v="1"/>
  </r>
  <r>
    <s v="ADM-241847"/>
    <d v="2024-09-13T00:00:00"/>
    <d v="2024-09-14T00:00:00"/>
    <x v="0"/>
    <s v="Q3"/>
    <x v="8"/>
    <x v="4"/>
    <x v="1"/>
    <x v="0"/>
    <x v="0"/>
    <x v="0"/>
    <x v="0"/>
    <n v="1"/>
    <n v="44"/>
    <n v="2260"/>
    <n v="0"/>
    <n v="4"/>
    <s v="Recovered"/>
    <n v="1"/>
  </r>
  <r>
    <s v="ADM-241848"/>
    <d v="2024-09-13T00:00:00"/>
    <d v="2024-09-14T00:00:00"/>
    <x v="0"/>
    <s v="Q3"/>
    <x v="8"/>
    <x v="4"/>
    <x v="5"/>
    <x v="2"/>
    <x v="1"/>
    <x v="0"/>
    <x v="1"/>
    <n v="1"/>
    <m/>
    <n v="1892"/>
    <n v="0"/>
    <n v="4"/>
    <s v="Recovered"/>
    <n v="1"/>
  </r>
  <r>
    <s v="ADM-241849"/>
    <d v="2024-09-13T00:00:00"/>
    <d v="2024-09-14T00:00:00"/>
    <x v="0"/>
    <s v="Q3"/>
    <x v="8"/>
    <x v="4"/>
    <x v="2"/>
    <x v="2"/>
    <x v="0"/>
    <x v="1"/>
    <x v="1"/>
    <n v="1"/>
    <m/>
    <n v="1028"/>
    <n v="0"/>
    <n v="5"/>
    <s v="Improved"/>
    <n v="1"/>
  </r>
  <r>
    <s v="ADM-241850"/>
    <d v="2024-09-13T00:00:00"/>
    <d v="2024-09-15T00:00:00"/>
    <x v="0"/>
    <s v="Q3"/>
    <x v="8"/>
    <x v="4"/>
    <x v="3"/>
    <x v="2"/>
    <x v="1"/>
    <x v="3"/>
    <x v="0"/>
    <n v="2"/>
    <m/>
    <n v="2319"/>
    <n v="0"/>
    <n v="5"/>
    <s v="Recovered"/>
    <n v="1"/>
  </r>
  <r>
    <s v="ADM-241851"/>
    <d v="2024-09-13T00:00:00"/>
    <d v="2024-09-14T00:00:00"/>
    <x v="0"/>
    <s v="Q3"/>
    <x v="8"/>
    <x v="4"/>
    <x v="2"/>
    <x v="1"/>
    <x v="0"/>
    <x v="2"/>
    <x v="2"/>
    <n v="1"/>
    <m/>
    <n v="1266"/>
    <n v="0"/>
    <n v="4"/>
    <s v="Deceased"/>
    <n v="1"/>
  </r>
  <r>
    <s v="ADM-241852"/>
    <d v="2024-09-14T00:00:00"/>
    <d v="2024-09-22T00:00:00"/>
    <x v="0"/>
    <s v="Q3"/>
    <x v="8"/>
    <x v="5"/>
    <x v="1"/>
    <x v="2"/>
    <x v="0"/>
    <x v="2"/>
    <x v="0"/>
    <n v="8"/>
    <m/>
    <n v="6961"/>
    <n v="0"/>
    <n v="4"/>
    <s v="Recovered"/>
    <n v="1"/>
  </r>
  <r>
    <s v="ADM-241853"/>
    <d v="2024-09-14T00:00:00"/>
    <d v="2024-09-19T00:00:00"/>
    <x v="0"/>
    <s v="Q3"/>
    <x v="8"/>
    <x v="5"/>
    <x v="1"/>
    <x v="0"/>
    <x v="0"/>
    <x v="1"/>
    <x v="2"/>
    <n v="5"/>
    <n v="26"/>
    <n v="5860"/>
    <n v="0"/>
    <n v="4"/>
    <s v="Recovered"/>
    <n v="1"/>
  </r>
  <r>
    <s v="ADM-241854"/>
    <d v="2024-09-14T00:00:00"/>
    <d v="2024-09-18T00:00:00"/>
    <x v="0"/>
    <s v="Q3"/>
    <x v="8"/>
    <x v="5"/>
    <x v="1"/>
    <x v="2"/>
    <x v="0"/>
    <x v="0"/>
    <x v="1"/>
    <n v="4"/>
    <m/>
    <n v="4900"/>
    <n v="0"/>
    <n v="3"/>
    <s v="Improved"/>
    <n v="1"/>
  </r>
  <r>
    <s v="ADM-241855"/>
    <d v="2024-09-14T00:00:00"/>
    <d v="2024-09-16T00:00:00"/>
    <x v="0"/>
    <s v="Q3"/>
    <x v="8"/>
    <x v="5"/>
    <x v="1"/>
    <x v="2"/>
    <x v="1"/>
    <x v="1"/>
    <x v="1"/>
    <n v="2"/>
    <m/>
    <n v="3656"/>
    <n v="0"/>
    <n v="3"/>
    <s v="Recovered"/>
    <n v="1"/>
  </r>
  <r>
    <s v="ADM-241856"/>
    <d v="2024-09-14T00:00:00"/>
    <d v="2024-09-17T00:00:00"/>
    <x v="0"/>
    <s v="Q3"/>
    <x v="8"/>
    <x v="5"/>
    <x v="2"/>
    <x v="2"/>
    <x v="0"/>
    <x v="1"/>
    <x v="1"/>
    <n v="3"/>
    <m/>
    <n v="2833"/>
    <n v="0"/>
    <n v="5"/>
    <s v="Recovered"/>
    <n v="1"/>
  </r>
  <r>
    <s v="ADM-241857"/>
    <d v="2024-09-15T00:00:00"/>
    <d v="2024-09-21T00:00:00"/>
    <x v="0"/>
    <s v="Q3"/>
    <x v="8"/>
    <x v="6"/>
    <x v="4"/>
    <x v="0"/>
    <x v="1"/>
    <x v="1"/>
    <x v="0"/>
    <n v="6"/>
    <n v="51"/>
    <n v="6194"/>
    <n v="0"/>
    <n v="5"/>
    <s v="Recovered"/>
    <n v="1"/>
  </r>
  <r>
    <s v="ADM-241858"/>
    <d v="2024-09-15T00:00:00"/>
    <d v="2024-09-23T00:00:00"/>
    <x v="0"/>
    <s v="Q3"/>
    <x v="8"/>
    <x v="6"/>
    <x v="0"/>
    <x v="0"/>
    <x v="0"/>
    <x v="4"/>
    <x v="2"/>
    <n v="8"/>
    <n v="51"/>
    <n v="6081"/>
    <n v="0"/>
    <n v="4"/>
    <s v="Recovered"/>
    <n v="1"/>
  </r>
  <r>
    <s v="ADM-241859"/>
    <d v="2024-09-15T00:00:00"/>
    <d v="2024-09-21T00:00:00"/>
    <x v="0"/>
    <s v="Q3"/>
    <x v="8"/>
    <x v="6"/>
    <x v="0"/>
    <x v="0"/>
    <x v="1"/>
    <x v="2"/>
    <x v="2"/>
    <n v="6"/>
    <n v="67"/>
    <n v="4964"/>
    <n v="0"/>
    <n v="5"/>
    <s v="Recovered"/>
    <n v="1"/>
  </r>
  <r>
    <s v="ADM-241860"/>
    <d v="2024-09-16T00:00:00"/>
    <d v="2024-09-20T00:00:00"/>
    <x v="0"/>
    <s v="Q3"/>
    <x v="8"/>
    <x v="0"/>
    <x v="2"/>
    <x v="2"/>
    <x v="0"/>
    <x v="1"/>
    <x v="1"/>
    <n v="4"/>
    <m/>
    <n v="3432"/>
    <n v="0"/>
    <n v="4"/>
    <s v="Recovered"/>
    <n v="1"/>
  </r>
  <r>
    <s v="ADM-241861"/>
    <d v="2024-09-16T00:00:00"/>
    <d v="2024-09-27T00:00:00"/>
    <x v="0"/>
    <s v="Q3"/>
    <x v="8"/>
    <x v="0"/>
    <x v="0"/>
    <x v="0"/>
    <x v="1"/>
    <x v="4"/>
    <x v="2"/>
    <n v="11"/>
    <n v="31"/>
    <n v="7510"/>
    <n v="0"/>
    <n v="4"/>
    <s v="Recovered"/>
    <n v="1"/>
  </r>
  <r>
    <s v="ADM-241862"/>
    <d v="2024-09-16T00:00:00"/>
    <d v="2024-09-19T00:00:00"/>
    <x v="0"/>
    <s v="Q3"/>
    <x v="8"/>
    <x v="0"/>
    <x v="4"/>
    <x v="0"/>
    <x v="1"/>
    <x v="1"/>
    <x v="2"/>
    <n v="3"/>
    <n v="85"/>
    <n v="3779"/>
    <n v="0"/>
    <n v="3"/>
    <s v="Recovered"/>
    <n v="1"/>
  </r>
  <r>
    <s v="ADM-241863"/>
    <d v="2024-09-16T00:00:00"/>
    <d v="2024-09-17T00:00:00"/>
    <x v="0"/>
    <s v="Q3"/>
    <x v="8"/>
    <x v="0"/>
    <x v="2"/>
    <x v="2"/>
    <x v="0"/>
    <x v="2"/>
    <x v="0"/>
    <n v="1"/>
    <m/>
    <n v="1704"/>
    <n v="0"/>
    <n v="4"/>
    <s v="Recovered"/>
    <n v="1"/>
  </r>
  <r>
    <s v="ADM-241864"/>
    <d v="2024-09-16T00:00:00"/>
    <d v="2024-09-21T00:00:00"/>
    <x v="0"/>
    <s v="Q3"/>
    <x v="8"/>
    <x v="0"/>
    <x v="0"/>
    <x v="2"/>
    <x v="1"/>
    <x v="1"/>
    <x v="1"/>
    <n v="5"/>
    <m/>
    <n v="3375"/>
    <n v="0"/>
    <n v="4"/>
    <s v="Improved"/>
    <n v="1"/>
  </r>
  <r>
    <s v="ADM-241865"/>
    <d v="2024-09-16T00:00:00"/>
    <d v="2024-09-29T00:00:00"/>
    <x v="0"/>
    <s v="Q3"/>
    <x v="8"/>
    <x v="0"/>
    <x v="0"/>
    <x v="0"/>
    <x v="0"/>
    <x v="4"/>
    <x v="0"/>
    <n v="13"/>
    <n v="40"/>
    <n v="9654"/>
    <n v="0"/>
    <n v="5"/>
    <s v="Recovered"/>
    <n v="1"/>
  </r>
  <r>
    <s v="ADM-241866"/>
    <d v="2024-09-16T00:00:00"/>
    <d v="2024-09-18T00:00:00"/>
    <x v="0"/>
    <s v="Q3"/>
    <x v="8"/>
    <x v="0"/>
    <x v="2"/>
    <x v="0"/>
    <x v="0"/>
    <x v="2"/>
    <x v="2"/>
    <n v="2"/>
    <n v="39"/>
    <n v="2484"/>
    <n v="0"/>
    <n v="3"/>
    <s v="Recovered"/>
    <n v="1"/>
  </r>
  <r>
    <s v="ADM-241867"/>
    <d v="2024-09-16T00:00:00"/>
    <d v="2024-09-27T00:00:00"/>
    <x v="0"/>
    <s v="Q3"/>
    <x v="8"/>
    <x v="0"/>
    <x v="1"/>
    <x v="0"/>
    <x v="0"/>
    <x v="0"/>
    <x v="2"/>
    <n v="11"/>
    <n v="15"/>
    <n v="15223"/>
    <n v="0"/>
    <n v="3"/>
    <s v="Improved"/>
    <n v="1"/>
  </r>
  <r>
    <s v="ADM-241868"/>
    <d v="2024-09-16T00:00:00"/>
    <d v="2024-09-20T00:00:00"/>
    <x v="0"/>
    <s v="Q3"/>
    <x v="8"/>
    <x v="0"/>
    <x v="5"/>
    <x v="2"/>
    <x v="1"/>
    <x v="4"/>
    <x v="0"/>
    <n v="4"/>
    <m/>
    <n v="4590"/>
    <n v="0"/>
    <n v="4"/>
    <s v="Recovered"/>
    <n v="1"/>
  </r>
  <r>
    <s v="ADM-241869"/>
    <d v="2024-09-16T00:00:00"/>
    <d v="2024-09-26T00:00:00"/>
    <x v="0"/>
    <s v="Q3"/>
    <x v="8"/>
    <x v="0"/>
    <x v="0"/>
    <x v="0"/>
    <x v="0"/>
    <x v="2"/>
    <x v="0"/>
    <n v="10"/>
    <n v="42"/>
    <n v="8763"/>
    <n v="0"/>
    <n v="5"/>
    <s v="Recovered"/>
    <n v="1"/>
  </r>
  <r>
    <s v="ADM-241870"/>
    <d v="2024-09-17T00:00:00"/>
    <d v="2024-09-21T00:00:00"/>
    <x v="0"/>
    <s v="Q3"/>
    <x v="8"/>
    <x v="1"/>
    <x v="2"/>
    <x v="0"/>
    <x v="0"/>
    <x v="1"/>
    <x v="1"/>
    <n v="4"/>
    <n v="24"/>
    <n v="3634"/>
    <n v="0"/>
    <n v="4"/>
    <s v="Recovered"/>
    <n v="1"/>
  </r>
  <r>
    <s v="ADM-241871"/>
    <d v="2024-09-17T00:00:00"/>
    <d v="2024-09-20T00:00:00"/>
    <x v="0"/>
    <s v="Q3"/>
    <x v="8"/>
    <x v="1"/>
    <x v="2"/>
    <x v="1"/>
    <x v="0"/>
    <x v="1"/>
    <x v="2"/>
    <n v="3"/>
    <m/>
    <n v="2494"/>
    <n v="0"/>
    <n v="3"/>
    <s v="Recovered"/>
    <n v="1"/>
  </r>
  <r>
    <s v="ADM-241872"/>
    <d v="2024-09-17T00:00:00"/>
    <d v="2024-09-22T00:00:00"/>
    <x v="0"/>
    <s v="Q3"/>
    <x v="8"/>
    <x v="1"/>
    <x v="3"/>
    <x v="2"/>
    <x v="0"/>
    <x v="3"/>
    <x v="1"/>
    <n v="5"/>
    <m/>
    <n v="3318"/>
    <n v="0"/>
    <n v="4"/>
    <s v="Improved"/>
    <n v="1"/>
  </r>
  <r>
    <s v="ADM-241873"/>
    <d v="2024-09-17T00:00:00"/>
    <d v="2024-09-30T00:00:00"/>
    <x v="0"/>
    <s v="Q3"/>
    <x v="8"/>
    <x v="1"/>
    <x v="0"/>
    <x v="0"/>
    <x v="0"/>
    <x v="1"/>
    <x v="0"/>
    <n v="13"/>
    <n v="37"/>
    <n v="6557"/>
    <n v="0"/>
    <n v="4"/>
    <s v="Recovered"/>
    <n v="1"/>
  </r>
  <r>
    <s v="ADM-241874"/>
    <d v="2024-09-18T00:00:00"/>
    <d v="2024-09-19T00:00:00"/>
    <x v="0"/>
    <s v="Q3"/>
    <x v="8"/>
    <x v="2"/>
    <x v="2"/>
    <x v="2"/>
    <x v="0"/>
    <x v="2"/>
    <x v="1"/>
    <n v="1"/>
    <m/>
    <n v="2082"/>
    <n v="0"/>
    <n v="5"/>
    <s v="Recovered"/>
    <n v="1"/>
  </r>
  <r>
    <s v="ADM-241875"/>
    <d v="2024-09-18T00:00:00"/>
    <d v="2024-09-24T00:00:00"/>
    <x v="0"/>
    <s v="Q3"/>
    <x v="8"/>
    <x v="2"/>
    <x v="5"/>
    <x v="2"/>
    <x v="0"/>
    <x v="1"/>
    <x v="2"/>
    <n v="6"/>
    <m/>
    <n v="8260"/>
    <n v="0"/>
    <n v="4"/>
    <s v="Recovered"/>
    <n v="1"/>
  </r>
  <r>
    <s v="ADM-241876"/>
    <d v="2024-09-18T00:00:00"/>
    <d v="2024-09-22T00:00:00"/>
    <x v="0"/>
    <s v="Q3"/>
    <x v="8"/>
    <x v="2"/>
    <x v="3"/>
    <x v="0"/>
    <x v="1"/>
    <x v="3"/>
    <x v="2"/>
    <n v="4"/>
    <n v="72"/>
    <n v="3525"/>
    <n v="0"/>
    <n v="4"/>
    <s v="Recovered"/>
    <n v="1"/>
  </r>
  <r>
    <s v="ADM-241877"/>
    <d v="2024-09-18T00:00:00"/>
    <d v="2024-10-02T00:00:00"/>
    <x v="0"/>
    <s v="Q3"/>
    <x v="8"/>
    <x v="2"/>
    <x v="4"/>
    <x v="0"/>
    <x v="1"/>
    <x v="2"/>
    <x v="0"/>
    <n v="14"/>
    <n v="16"/>
    <n v="14712"/>
    <n v="0"/>
    <n v="5"/>
    <s v="Improved"/>
    <n v="1"/>
  </r>
  <r>
    <s v="ADM-241878"/>
    <d v="2024-09-18T00:00:00"/>
    <d v="2024-09-20T00:00:00"/>
    <x v="0"/>
    <s v="Q3"/>
    <x v="8"/>
    <x v="2"/>
    <x v="2"/>
    <x v="0"/>
    <x v="0"/>
    <x v="2"/>
    <x v="1"/>
    <n v="2"/>
    <n v="49"/>
    <n v="2327"/>
    <n v="0"/>
    <n v="4"/>
    <s v="Recovered"/>
    <n v="1"/>
  </r>
  <r>
    <s v="ADM-241879"/>
    <d v="2024-09-18T00:00:00"/>
    <d v="2024-09-28T00:00:00"/>
    <x v="0"/>
    <s v="Q3"/>
    <x v="8"/>
    <x v="2"/>
    <x v="1"/>
    <x v="2"/>
    <x v="0"/>
    <x v="1"/>
    <x v="2"/>
    <n v="10"/>
    <m/>
    <n v="9832"/>
    <n v="0"/>
    <n v="5"/>
    <s v="Recovered"/>
    <n v="1"/>
  </r>
  <r>
    <s v="ADM-241880"/>
    <d v="2024-09-18T00:00:00"/>
    <d v="2024-09-23T00:00:00"/>
    <x v="0"/>
    <s v="Q3"/>
    <x v="8"/>
    <x v="2"/>
    <x v="1"/>
    <x v="1"/>
    <x v="1"/>
    <x v="1"/>
    <x v="2"/>
    <n v="5"/>
    <m/>
    <n v="5756"/>
    <n v="0"/>
    <n v="5"/>
    <s v="Recovered"/>
    <n v="1"/>
  </r>
  <r>
    <s v="ADM-241881"/>
    <d v="2024-09-19T00:00:00"/>
    <d v="2024-09-21T00:00:00"/>
    <x v="0"/>
    <s v="Q3"/>
    <x v="8"/>
    <x v="3"/>
    <x v="3"/>
    <x v="2"/>
    <x v="1"/>
    <x v="3"/>
    <x v="0"/>
    <n v="2"/>
    <m/>
    <n v="2501"/>
    <n v="0"/>
    <n v="4"/>
    <s v="Improved"/>
    <n v="1"/>
  </r>
  <r>
    <s v="ADM-241882"/>
    <d v="2024-09-19T00:00:00"/>
    <d v="2024-09-28T00:00:00"/>
    <x v="0"/>
    <s v="Q3"/>
    <x v="8"/>
    <x v="3"/>
    <x v="0"/>
    <x v="0"/>
    <x v="0"/>
    <x v="4"/>
    <x v="1"/>
    <n v="9"/>
    <n v="57"/>
    <n v="6725"/>
    <n v="0"/>
    <n v="5"/>
    <s v="Improved"/>
    <n v="1"/>
  </r>
  <r>
    <s v="ADM-241883"/>
    <d v="2024-09-19T00:00:00"/>
    <d v="2024-09-26T00:00:00"/>
    <x v="0"/>
    <s v="Q3"/>
    <x v="8"/>
    <x v="3"/>
    <x v="4"/>
    <x v="2"/>
    <x v="1"/>
    <x v="1"/>
    <x v="2"/>
    <n v="7"/>
    <m/>
    <n v="8920"/>
    <n v="0"/>
    <n v="3"/>
    <s v="Recovered"/>
    <n v="1"/>
  </r>
  <r>
    <s v="ADM-241884"/>
    <d v="2024-09-19T00:00:00"/>
    <d v="2024-09-26T00:00:00"/>
    <x v="0"/>
    <s v="Q3"/>
    <x v="8"/>
    <x v="3"/>
    <x v="1"/>
    <x v="0"/>
    <x v="1"/>
    <x v="1"/>
    <x v="2"/>
    <n v="7"/>
    <n v="26"/>
    <n v="6665"/>
    <n v="1"/>
    <n v="4"/>
    <s v="Improved"/>
    <n v="1"/>
  </r>
  <r>
    <s v="ADM-241885"/>
    <d v="2024-09-19T00:00:00"/>
    <d v="2024-09-23T00:00:00"/>
    <x v="0"/>
    <s v="Q3"/>
    <x v="8"/>
    <x v="3"/>
    <x v="2"/>
    <x v="0"/>
    <x v="0"/>
    <x v="1"/>
    <x v="2"/>
    <n v="4"/>
    <n v="30"/>
    <n v="3791"/>
    <n v="0"/>
    <n v="5"/>
    <s v="Improved"/>
    <n v="1"/>
  </r>
  <r>
    <s v="ADM-241886"/>
    <d v="2024-09-19T00:00:00"/>
    <d v="2024-09-20T00:00:00"/>
    <x v="0"/>
    <s v="Q3"/>
    <x v="8"/>
    <x v="3"/>
    <x v="2"/>
    <x v="0"/>
    <x v="0"/>
    <x v="2"/>
    <x v="2"/>
    <n v="1"/>
    <n v="40"/>
    <n v="885"/>
    <n v="0"/>
    <n v="5"/>
    <s v="Recovered"/>
    <n v="1"/>
  </r>
  <r>
    <s v="ADM-241887"/>
    <d v="2024-09-19T00:00:00"/>
    <d v="2024-09-22T00:00:00"/>
    <x v="0"/>
    <s v="Q3"/>
    <x v="8"/>
    <x v="3"/>
    <x v="1"/>
    <x v="2"/>
    <x v="0"/>
    <x v="1"/>
    <x v="2"/>
    <n v="3"/>
    <m/>
    <n v="3831"/>
    <n v="0"/>
    <n v="5"/>
    <s v="Improved"/>
    <n v="1"/>
  </r>
  <r>
    <s v="ADM-241888"/>
    <d v="2024-09-19T00:00:00"/>
    <d v="2024-09-22T00:00:00"/>
    <x v="0"/>
    <s v="Q3"/>
    <x v="8"/>
    <x v="3"/>
    <x v="1"/>
    <x v="0"/>
    <x v="1"/>
    <x v="4"/>
    <x v="0"/>
    <n v="3"/>
    <n v="20"/>
    <n v="3498"/>
    <n v="0"/>
    <n v="4"/>
    <s v="Improved"/>
    <n v="1"/>
  </r>
  <r>
    <s v="ADM-241889"/>
    <d v="2024-09-19T00:00:00"/>
    <d v="2024-09-23T00:00:00"/>
    <x v="0"/>
    <s v="Q3"/>
    <x v="8"/>
    <x v="3"/>
    <x v="1"/>
    <x v="2"/>
    <x v="1"/>
    <x v="0"/>
    <x v="0"/>
    <n v="4"/>
    <m/>
    <n v="5802"/>
    <n v="0"/>
    <n v="4"/>
    <s v="Improved"/>
    <n v="1"/>
  </r>
  <r>
    <s v="ADM-241890"/>
    <d v="2024-09-20T00:00:00"/>
    <d v="2024-09-21T00:00:00"/>
    <x v="0"/>
    <s v="Q3"/>
    <x v="8"/>
    <x v="4"/>
    <x v="0"/>
    <x v="2"/>
    <x v="0"/>
    <x v="4"/>
    <x v="0"/>
    <n v="1"/>
    <m/>
    <n v="1244"/>
    <n v="0"/>
    <n v="4"/>
    <s v="Recovered"/>
    <n v="1"/>
  </r>
  <r>
    <s v="ADM-241891"/>
    <d v="2024-09-20T00:00:00"/>
    <d v="2024-09-24T00:00:00"/>
    <x v="0"/>
    <s v="Q3"/>
    <x v="8"/>
    <x v="4"/>
    <x v="4"/>
    <x v="2"/>
    <x v="0"/>
    <x v="1"/>
    <x v="2"/>
    <n v="4"/>
    <m/>
    <n v="6142"/>
    <n v="0"/>
    <n v="5"/>
    <s v="Recovered"/>
    <n v="1"/>
  </r>
  <r>
    <s v="ADM-241892"/>
    <d v="2024-09-20T00:00:00"/>
    <d v="2024-09-22T00:00:00"/>
    <x v="0"/>
    <s v="Q3"/>
    <x v="8"/>
    <x v="4"/>
    <x v="1"/>
    <x v="2"/>
    <x v="1"/>
    <x v="4"/>
    <x v="0"/>
    <n v="2"/>
    <m/>
    <n v="2175"/>
    <n v="0"/>
    <n v="3"/>
    <s v="Improved"/>
    <n v="1"/>
  </r>
  <r>
    <s v="ADM-241893"/>
    <d v="2024-09-20T00:00:00"/>
    <d v="2024-09-24T00:00:00"/>
    <x v="0"/>
    <s v="Q3"/>
    <x v="8"/>
    <x v="4"/>
    <x v="0"/>
    <x v="2"/>
    <x v="0"/>
    <x v="4"/>
    <x v="2"/>
    <n v="4"/>
    <m/>
    <n v="2936"/>
    <n v="1"/>
    <n v="3"/>
    <s v="Recovered"/>
    <n v="1"/>
  </r>
  <r>
    <s v="ADM-241894"/>
    <d v="2024-09-20T00:00:00"/>
    <d v="2024-09-29T00:00:00"/>
    <x v="0"/>
    <s v="Q3"/>
    <x v="8"/>
    <x v="4"/>
    <x v="1"/>
    <x v="2"/>
    <x v="1"/>
    <x v="0"/>
    <x v="1"/>
    <n v="9"/>
    <m/>
    <n v="9004"/>
    <n v="0"/>
    <n v="4"/>
    <s v="Recovered"/>
    <n v="1"/>
  </r>
  <r>
    <s v="ADM-241895"/>
    <d v="2024-09-21T00:00:00"/>
    <d v="2024-10-06T00:00:00"/>
    <x v="0"/>
    <s v="Q3"/>
    <x v="8"/>
    <x v="5"/>
    <x v="1"/>
    <x v="2"/>
    <x v="0"/>
    <x v="1"/>
    <x v="0"/>
    <n v="15"/>
    <m/>
    <n v="15693"/>
    <n v="0"/>
    <n v="4"/>
    <s v="Recovered"/>
    <n v="1"/>
  </r>
  <r>
    <s v="ADM-241896"/>
    <d v="2024-09-21T00:00:00"/>
    <d v="2024-09-23T00:00:00"/>
    <x v="0"/>
    <s v="Q3"/>
    <x v="8"/>
    <x v="5"/>
    <x v="2"/>
    <x v="2"/>
    <x v="0"/>
    <x v="2"/>
    <x v="0"/>
    <n v="2"/>
    <m/>
    <n v="2377"/>
    <n v="0"/>
    <n v="4"/>
    <s v="Improved"/>
    <n v="1"/>
  </r>
  <r>
    <s v="ADM-241897"/>
    <d v="2024-09-21T00:00:00"/>
    <d v="2024-09-25T00:00:00"/>
    <x v="0"/>
    <s v="Q3"/>
    <x v="8"/>
    <x v="5"/>
    <x v="1"/>
    <x v="2"/>
    <x v="0"/>
    <x v="0"/>
    <x v="2"/>
    <n v="4"/>
    <m/>
    <n v="5224"/>
    <n v="0"/>
    <n v="3"/>
    <s v="Improved"/>
    <n v="1"/>
  </r>
  <r>
    <s v="ADM-241898"/>
    <d v="2024-09-21T00:00:00"/>
    <d v="2024-09-24T00:00:00"/>
    <x v="0"/>
    <s v="Q3"/>
    <x v="8"/>
    <x v="5"/>
    <x v="3"/>
    <x v="2"/>
    <x v="1"/>
    <x v="3"/>
    <x v="2"/>
    <n v="3"/>
    <m/>
    <n v="2969"/>
    <n v="0"/>
    <n v="5"/>
    <s v="Recovered"/>
    <n v="1"/>
  </r>
  <r>
    <s v="ADM-241899"/>
    <d v="2024-09-21T00:00:00"/>
    <d v="2024-09-22T00:00:00"/>
    <x v="0"/>
    <s v="Q3"/>
    <x v="8"/>
    <x v="5"/>
    <x v="2"/>
    <x v="0"/>
    <x v="0"/>
    <x v="1"/>
    <x v="0"/>
    <n v="1"/>
    <n v="90"/>
    <n v="1709"/>
    <n v="0"/>
    <n v="4"/>
    <s v="Recovered"/>
    <n v="1"/>
  </r>
  <r>
    <s v="ADM-241900"/>
    <d v="2024-09-21T00:00:00"/>
    <d v="2024-09-23T00:00:00"/>
    <x v="0"/>
    <s v="Q3"/>
    <x v="8"/>
    <x v="5"/>
    <x v="1"/>
    <x v="2"/>
    <x v="1"/>
    <x v="1"/>
    <x v="2"/>
    <n v="2"/>
    <m/>
    <n v="2355"/>
    <n v="0"/>
    <n v="4"/>
    <s v="Improved"/>
    <n v="1"/>
  </r>
  <r>
    <s v="ADM-241901"/>
    <d v="2024-09-22T00:00:00"/>
    <d v="2024-09-29T00:00:00"/>
    <x v="0"/>
    <s v="Q3"/>
    <x v="8"/>
    <x v="6"/>
    <x v="1"/>
    <x v="2"/>
    <x v="1"/>
    <x v="0"/>
    <x v="0"/>
    <n v="7"/>
    <m/>
    <n v="7587"/>
    <n v="0"/>
    <n v="4"/>
    <s v="Improved"/>
    <n v="1"/>
  </r>
  <r>
    <s v="ADM-241902"/>
    <d v="2024-09-22T00:00:00"/>
    <d v="2024-09-24T00:00:00"/>
    <x v="0"/>
    <s v="Q3"/>
    <x v="8"/>
    <x v="6"/>
    <x v="2"/>
    <x v="0"/>
    <x v="0"/>
    <x v="1"/>
    <x v="0"/>
    <n v="2"/>
    <n v="46"/>
    <n v="1992"/>
    <n v="0"/>
    <n v="4"/>
    <s v="Improved"/>
    <n v="1"/>
  </r>
  <r>
    <s v="ADM-241903"/>
    <d v="2024-09-22T00:00:00"/>
    <d v="2024-09-28T00:00:00"/>
    <x v="0"/>
    <s v="Q3"/>
    <x v="8"/>
    <x v="6"/>
    <x v="4"/>
    <x v="2"/>
    <x v="0"/>
    <x v="4"/>
    <x v="2"/>
    <n v="6"/>
    <m/>
    <n v="10344"/>
    <n v="0"/>
    <n v="5"/>
    <s v="Recovered"/>
    <n v="1"/>
  </r>
  <r>
    <s v="ADM-241904"/>
    <d v="2024-09-22T00:00:00"/>
    <d v="2024-09-28T00:00:00"/>
    <x v="0"/>
    <s v="Q3"/>
    <x v="8"/>
    <x v="6"/>
    <x v="0"/>
    <x v="0"/>
    <x v="1"/>
    <x v="0"/>
    <x v="0"/>
    <n v="6"/>
    <n v="72"/>
    <n v="4702"/>
    <n v="1"/>
    <n v="3"/>
    <s v="Improved"/>
    <n v="1"/>
  </r>
  <r>
    <s v="ADM-241905"/>
    <d v="2024-09-22T00:00:00"/>
    <d v="2024-09-24T00:00:00"/>
    <x v="0"/>
    <s v="Q3"/>
    <x v="8"/>
    <x v="6"/>
    <x v="1"/>
    <x v="2"/>
    <x v="1"/>
    <x v="0"/>
    <x v="2"/>
    <n v="2"/>
    <m/>
    <n v="3345"/>
    <n v="1"/>
    <n v="4"/>
    <s v="Recovered"/>
    <n v="1"/>
  </r>
  <r>
    <s v="ADM-241906"/>
    <d v="2024-09-22T00:00:00"/>
    <d v="2024-09-24T00:00:00"/>
    <x v="0"/>
    <s v="Q3"/>
    <x v="8"/>
    <x v="6"/>
    <x v="1"/>
    <x v="2"/>
    <x v="1"/>
    <x v="0"/>
    <x v="2"/>
    <n v="2"/>
    <m/>
    <n v="3544"/>
    <n v="0"/>
    <n v="4"/>
    <s v="Improved"/>
    <n v="1"/>
  </r>
  <r>
    <s v="ADM-241907"/>
    <d v="2024-09-22T00:00:00"/>
    <d v="2024-10-02T00:00:00"/>
    <x v="0"/>
    <s v="Q3"/>
    <x v="8"/>
    <x v="6"/>
    <x v="0"/>
    <x v="0"/>
    <x v="1"/>
    <x v="0"/>
    <x v="2"/>
    <n v="10"/>
    <n v="59"/>
    <n v="7496"/>
    <n v="0"/>
    <n v="5"/>
    <s v="Recovered"/>
    <n v="1"/>
  </r>
  <r>
    <s v="ADM-241908"/>
    <d v="2024-09-22T00:00:00"/>
    <d v="2024-09-26T00:00:00"/>
    <x v="0"/>
    <s v="Q3"/>
    <x v="8"/>
    <x v="6"/>
    <x v="4"/>
    <x v="0"/>
    <x v="1"/>
    <x v="4"/>
    <x v="2"/>
    <n v="4"/>
    <n v="109"/>
    <n v="5056"/>
    <n v="0"/>
    <n v="4"/>
    <s v="Recovered"/>
    <n v="1"/>
  </r>
  <r>
    <s v="ADM-241909"/>
    <d v="2024-09-22T00:00:00"/>
    <d v="2024-09-23T00:00:00"/>
    <x v="0"/>
    <s v="Q3"/>
    <x v="8"/>
    <x v="6"/>
    <x v="4"/>
    <x v="2"/>
    <x v="0"/>
    <x v="1"/>
    <x v="0"/>
    <n v="1"/>
    <m/>
    <n v="2139"/>
    <n v="0"/>
    <n v="5"/>
    <s v="Recovered"/>
    <n v="1"/>
  </r>
  <r>
    <s v="ADM-241910"/>
    <d v="2024-09-22T00:00:00"/>
    <d v="2024-09-26T00:00:00"/>
    <x v="0"/>
    <s v="Q3"/>
    <x v="8"/>
    <x v="6"/>
    <x v="1"/>
    <x v="2"/>
    <x v="1"/>
    <x v="4"/>
    <x v="0"/>
    <n v="4"/>
    <m/>
    <n v="4947"/>
    <n v="0"/>
    <n v="5"/>
    <s v="Improved"/>
    <n v="1"/>
  </r>
  <r>
    <s v="ADM-241911"/>
    <d v="2024-09-23T00:00:00"/>
    <d v="2024-09-24T00:00:00"/>
    <x v="0"/>
    <s v="Q3"/>
    <x v="8"/>
    <x v="0"/>
    <x v="0"/>
    <x v="2"/>
    <x v="0"/>
    <x v="1"/>
    <x v="1"/>
    <n v="1"/>
    <m/>
    <n v="1263"/>
    <n v="1"/>
    <n v="4"/>
    <s v="Recovered"/>
    <n v="1"/>
  </r>
  <r>
    <s v="ADM-241912"/>
    <d v="2024-09-23T00:00:00"/>
    <d v="2024-09-27T00:00:00"/>
    <x v="0"/>
    <s v="Q3"/>
    <x v="8"/>
    <x v="0"/>
    <x v="3"/>
    <x v="2"/>
    <x v="0"/>
    <x v="3"/>
    <x v="2"/>
    <n v="4"/>
    <m/>
    <n v="2532"/>
    <n v="0"/>
    <n v="5"/>
    <s v="Recovered"/>
    <n v="1"/>
  </r>
  <r>
    <s v="ADM-241913"/>
    <d v="2024-09-23T00:00:00"/>
    <d v="2024-09-29T00:00:00"/>
    <x v="0"/>
    <s v="Q3"/>
    <x v="8"/>
    <x v="0"/>
    <x v="3"/>
    <x v="0"/>
    <x v="0"/>
    <x v="3"/>
    <x v="0"/>
    <n v="6"/>
    <n v="16"/>
    <n v="4330"/>
    <n v="0"/>
    <n v="4"/>
    <s v="Improved"/>
    <n v="1"/>
  </r>
  <r>
    <s v="ADM-241914"/>
    <d v="2024-09-23T00:00:00"/>
    <d v="2024-10-06T00:00:00"/>
    <x v="0"/>
    <s v="Q3"/>
    <x v="8"/>
    <x v="0"/>
    <x v="1"/>
    <x v="2"/>
    <x v="1"/>
    <x v="0"/>
    <x v="2"/>
    <n v="13"/>
    <m/>
    <n v="13188"/>
    <n v="1"/>
    <n v="3"/>
    <s v="Improved"/>
    <n v="1"/>
  </r>
  <r>
    <s v="ADM-241915"/>
    <d v="2024-09-23T00:00:00"/>
    <d v="2024-09-24T00:00:00"/>
    <x v="0"/>
    <s v="Q3"/>
    <x v="8"/>
    <x v="0"/>
    <x v="1"/>
    <x v="2"/>
    <x v="1"/>
    <x v="0"/>
    <x v="0"/>
    <n v="1"/>
    <m/>
    <n v="1860"/>
    <n v="1"/>
    <n v="4"/>
    <s v="Recovered"/>
    <n v="1"/>
  </r>
  <r>
    <s v="ADM-241916"/>
    <d v="2024-09-23T00:00:00"/>
    <d v="2024-09-24T00:00:00"/>
    <x v="0"/>
    <s v="Q3"/>
    <x v="8"/>
    <x v="0"/>
    <x v="3"/>
    <x v="0"/>
    <x v="0"/>
    <x v="3"/>
    <x v="0"/>
    <n v="1"/>
    <n v="57"/>
    <n v="1294"/>
    <n v="0"/>
    <n v="4"/>
    <s v="Improved"/>
    <n v="1"/>
  </r>
  <r>
    <s v="ADM-241917"/>
    <d v="2024-09-23T00:00:00"/>
    <d v="2024-09-30T00:00:00"/>
    <x v="0"/>
    <s v="Q3"/>
    <x v="8"/>
    <x v="0"/>
    <x v="3"/>
    <x v="0"/>
    <x v="1"/>
    <x v="3"/>
    <x v="0"/>
    <n v="7"/>
    <n v="97"/>
    <n v="3864"/>
    <n v="1"/>
    <n v="2"/>
    <s v="Improved"/>
    <n v="1"/>
  </r>
  <r>
    <s v="ADM-241918"/>
    <d v="2024-09-23T00:00:00"/>
    <d v="2024-09-24T00:00:00"/>
    <x v="0"/>
    <s v="Q3"/>
    <x v="8"/>
    <x v="0"/>
    <x v="3"/>
    <x v="0"/>
    <x v="1"/>
    <x v="3"/>
    <x v="0"/>
    <n v="1"/>
    <n v="56"/>
    <n v="1786"/>
    <n v="0"/>
    <n v="5"/>
    <s v="Improved"/>
    <n v="1"/>
  </r>
  <r>
    <s v="ADM-241919"/>
    <d v="2024-09-23T00:00:00"/>
    <d v="2024-09-26T00:00:00"/>
    <x v="0"/>
    <s v="Q3"/>
    <x v="8"/>
    <x v="0"/>
    <x v="2"/>
    <x v="0"/>
    <x v="0"/>
    <x v="2"/>
    <x v="2"/>
    <n v="3"/>
    <n v="65"/>
    <n v="2776"/>
    <n v="1"/>
    <n v="4"/>
    <s v="Recovered"/>
    <n v="1"/>
  </r>
  <r>
    <s v="ADM-241920"/>
    <d v="2024-09-23T00:00:00"/>
    <d v="2024-09-25T00:00:00"/>
    <x v="0"/>
    <s v="Q3"/>
    <x v="8"/>
    <x v="0"/>
    <x v="1"/>
    <x v="2"/>
    <x v="0"/>
    <x v="2"/>
    <x v="1"/>
    <n v="2"/>
    <m/>
    <n v="2509"/>
    <n v="0"/>
    <n v="4"/>
    <s v="Improved"/>
    <n v="1"/>
  </r>
  <r>
    <s v="ADM-241921"/>
    <d v="2024-09-24T00:00:00"/>
    <d v="2024-09-25T00:00:00"/>
    <x v="0"/>
    <s v="Q3"/>
    <x v="8"/>
    <x v="1"/>
    <x v="2"/>
    <x v="0"/>
    <x v="0"/>
    <x v="1"/>
    <x v="2"/>
    <n v="1"/>
    <n v="26"/>
    <n v="1559"/>
    <n v="0"/>
    <n v="5"/>
    <s v="Recovered"/>
    <n v="1"/>
  </r>
  <r>
    <s v="ADM-241922"/>
    <d v="2024-09-24T00:00:00"/>
    <d v="2024-09-27T00:00:00"/>
    <x v="0"/>
    <s v="Q3"/>
    <x v="8"/>
    <x v="1"/>
    <x v="4"/>
    <x v="2"/>
    <x v="0"/>
    <x v="4"/>
    <x v="2"/>
    <n v="3"/>
    <m/>
    <n v="3389"/>
    <n v="0"/>
    <n v="5"/>
    <s v="Recovered"/>
    <n v="1"/>
  </r>
  <r>
    <s v="ADM-241923"/>
    <d v="2024-09-24T00:00:00"/>
    <d v="2024-09-25T00:00:00"/>
    <x v="0"/>
    <s v="Q3"/>
    <x v="8"/>
    <x v="1"/>
    <x v="3"/>
    <x v="2"/>
    <x v="1"/>
    <x v="3"/>
    <x v="2"/>
    <n v="1"/>
    <m/>
    <n v="1667"/>
    <n v="0"/>
    <n v="5"/>
    <s v="Recovered"/>
    <n v="1"/>
  </r>
  <r>
    <s v="ADM-241924"/>
    <d v="2024-09-25T00:00:00"/>
    <d v="2024-10-16T00:00:00"/>
    <x v="0"/>
    <s v="Q3"/>
    <x v="8"/>
    <x v="2"/>
    <x v="0"/>
    <x v="2"/>
    <x v="1"/>
    <x v="0"/>
    <x v="0"/>
    <n v="21"/>
    <m/>
    <n v="16701"/>
    <n v="0"/>
    <n v="4"/>
    <s v="Recovered"/>
    <n v="1"/>
  </r>
  <r>
    <s v="ADM-241925"/>
    <d v="2024-09-25T00:00:00"/>
    <d v="2024-09-27T00:00:00"/>
    <x v="0"/>
    <s v="Q3"/>
    <x v="8"/>
    <x v="2"/>
    <x v="1"/>
    <x v="2"/>
    <x v="0"/>
    <x v="4"/>
    <x v="0"/>
    <n v="2"/>
    <m/>
    <n v="2728"/>
    <n v="0"/>
    <n v="4"/>
    <s v="Improved"/>
    <n v="1"/>
  </r>
  <r>
    <s v="ADM-241926"/>
    <d v="2024-09-25T00:00:00"/>
    <d v="2024-09-26T00:00:00"/>
    <x v="0"/>
    <s v="Q3"/>
    <x v="8"/>
    <x v="2"/>
    <x v="4"/>
    <x v="0"/>
    <x v="1"/>
    <x v="4"/>
    <x v="2"/>
    <n v="1"/>
    <n v="44"/>
    <n v="2561"/>
    <n v="0"/>
    <n v="4"/>
    <s v="Recovered"/>
    <n v="1"/>
  </r>
  <r>
    <s v="ADM-241927"/>
    <d v="2024-09-25T00:00:00"/>
    <d v="2024-09-26T00:00:00"/>
    <x v="0"/>
    <s v="Q3"/>
    <x v="8"/>
    <x v="2"/>
    <x v="1"/>
    <x v="2"/>
    <x v="0"/>
    <x v="1"/>
    <x v="2"/>
    <n v="1"/>
    <m/>
    <n v="1652"/>
    <n v="0"/>
    <n v="5"/>
    <s v="Transferred"/>
    <n v="1"/>
  </r>
  <r>
    <s v="ADM-241928"/>
    <d v="2024-09-25T00:00:00"/>
    <d v="2024-09-26T00:00:00"/>
    <x v="0"/>
    <s v="Q3"/>
    <x v="8"/>
    <x v="2"/>
    <x v="3"/>
    <x v="2"/>
    <x v="0"/>
    <x v="3"/>
    <x v="2"/>
    <n v="1"/>
    <m/>
    <n v="1425"/>
    <n v="0"/>
    <n v="5"/>
    <s v="Recovered"/>
    <n v="1"/>
  </r>
  <r>
    <s v="ADM-241929"/>
    <d v="2024-09-25T00:00:00"/>
    <d v="2024-09-26T00:00:00"/>
    <x v="0"/>
    <s v="Q3"/>
    <x v="8"/>
    <x v="2"/>
    <x v="1"/>
    <x v="2"/>
    <x v="0"/>
    <x v="2"/>
    <x v="0"/>
    <n v="1"/>
    <m/>
    <n v="2088"/>
    <n v="0"/>
    <n v="4"/>
    <s v="Recovered"/>
    <n v="1"/>
  </r>
  <r>
    <s v="ADM-241930"/>
    <d v="2024-09-25T00:00:00"/>
    <d v="2024-09-27T00:00:00"/>
    <x v="0"/>
    <s v="Q3"/>
    <x v="8"/>
    <x v="2"/>
    <x v="3"/>
    <x v="0"/>
    <x v="0"/>
    <x v="3"/>
    <x v="2"/>
    <n v="2"/>
    <n v="32"/>
    <n v="2241"/>
    <n v="0"/>
    <n v="4"/>
    <s v="Recovered"/>
    <n v="1"/>
  </r>
  <r>
    <s v="ADM-241931"/>
    <d v="2024-09-25T00:00:00"/>
    <d v="2024-09-28T00:00:00"/>
    <x v="0"/>
    <s v="Q3"/>
    <x v="8"/>
    <x v="2"/>
    <x v="5"/>
    <x v="2"/>
    <x v="1"/>
    <x v="4"/>
    <x v="0"/>
    <n v="3"/>
    <m/>
    <n v="3621"/>
    <n v="0"/>
    <n v="4"/>
    <s v="Improved"/>
    <n v="1"/>
  </r>
  <r>
    <s v="ADM-241932"/>
    <d v="2024-09-26T00:00:00"/>
    <d v="2024-09-28T00:00:00"/>
    <x v="0"/>
    <s v="Q3"/>
    <x v="8"/>
    <x v="3"/>
    <x v="0"/>
    <x v="0"/>
    <x v="0"/>
    <x v="0"/>
    <x v="1"/>
    <n v="2"/>
    <n v="10"/>
    <n v="2345"/>
    <n v="0"/>
    <n v="4"/>
    <s v="Improved"/>
    <n v="1"/>
  </r>
  <r>
    <s v="ADM-241933"/>
    <d v="2024-09-26T00:00:00"/>
    <d v="2024-09-29T00:00:00"/>
    <x v="0"/>
    <s v="Q3"/>
    <x v="8"/>
    <x v="3"/>
    <x v="2"/>
    <x v="0"/>
    <x v="0"/>
    <x v="2"/>
    <x v="0"/>
    <n v="3"/>
    <n v="176"/>
    <n v="2805"/>
    <n v="0"/>
    <n v="3"/>
    <s v="Improved"/>
    <n v="1"/>
  </r>
  <r>
    <s v="ADM-241934"/>
    <d v="2024-09-26T00:00:00"/>
    <d v="2024-10-07T00:00:00"/>
    <x v="0"/>
    <s v="Q3"/>
    <x v="8"/>
    <x v="3"/>
    <x v="0"/>
    <x v="0"/>
    <x v="0"/>
    <x v="1"/>
    <x v="2"/>
    <n v="11"/>
    <n v="44"/>
    <n v="6771"/>
    <n v="0"/>
    <n v="3"/>
    <s v="Improved"/>
    <n v="1"/>
  </r>
  <r>
    <s v="ADM-241935"/>
    <d v="2024-09-26T00:00:00"/>
    <d v="2024-10-03T00:00:00"/>
    <x v="0"/>
    <s v="Q3"/>
    <x v="8"/>
    <x v="3"/>
    <x v="3"/>
    <x v="0"/>
    <x v="0"/>
    <x v="3"/>
    <x v="1"/>
    <n v="7"/>
    <n v="54"/>
    <n v="4266"/>
    <n v="0"/>
    <n v="5"/>
    <s v="Recovered"/>
    <n v="1"/>
  </r>
  <r>
    <s v="ADM-241936"/>
    <d v="2024-09-26T00:00:00"/>
    <d v="2024-10-01T00:00:00"/>
    <x v="0"/>
    <s v="Q3"/>
    <x v="8"/>
    <x v="3"/>
    <x v="2"/>
    <x v="0"/>
    <x v="0"/>
    <x v="2"/>
    <x v="0"/>
    <n v="5"/>
    <n v="95"/>
    <n v="3907"/>
    <n v="0"/>
    <n v="3"/>
    <s v="Recovered"/>
    <n v="1"/>
  </r>
  <r>
    <s v="ADM-241937"/>
    <d v="2024-09-27T00:00:00"/>
    <d v="2024-10-02T00:00:00"/>
    <x v="0"/>
    <s v="Q3"/>
    <x v="8"/>
    <x v="4"/>
    <x v="0"/>
    <x v="0"/>
    <x v="0"/>
    <x v="2"/>
    <x v="0"/>
    <n v="5"/>
    <n v="51"/>
    <n v="3973"/>
    <n v="0"/>
    <n v="2"/>
    <s v="Improved"/>
    <n v="1"/>
  </r>
  <r>
    <s v="ADM-241938"/>
    <d v="2024-09-27T00:00:00"/>
    <d v="2024-09-30T00:00:00"/>
    <x v="0"/>
    <s v="Q3"/>
    <x v="8"/>
    <x v="4"/>
    <x v="2"/>
    <x v="0"/>
    <x v="0"/>
    <x v="1"/>
    <x v="1"/>
    <n v="3"/>
    <n v="83"/>
    <n v="2971"/>
    <n v="0"/>
    <n v="4"/>
    <s v="Recovered"/>
    <n v="1"/>
  </r>
  <r>
    <s v="ADM-241939"/>
    <d v="2024-09-27T00:00:00"/>
    <d v="2024-10-01T00:00:00"/>
    <x v="0"/>
    <s v="Q3"/>
    <x v="8"/>
    <x v="4"/>
    <x v="5"/>
    <x v="1"/>
    <x v="0"/>
    <x v="1"/>
    <x v="0"/>
    <n v="4"/>
    <m/>
    <n v="5451"/>
    <n v="0"/>
    <n v="5"/>
    <s v="Improved"/>
    <n v="1"/>
  </r>
  <r>
    <s v="ADM-241940"/>
    <d v="2024-09-27T00:00:00"/>
    <d v="2024-09-28T00:00:00"/>
    <x v="0"/>
    <s v="Q3"/>
    <x v="8"/>
    <x v="4"/>
    <x v="3"/>
    <x v="2"/>
    <x v="0"/>
    <x v="3"/>
    <x v="1"/>
    <n v="1"/>
    <m/>
    <n v="1808"/>
    <n v="0"/>
    <n v="4"/>
    <s v="Transferred"/>
    <n v="1"/>
  </r>
  <r>
    <s v="ADM-241941"/>
    <d v="2024-09-27T00:00:00"/>
    <d v="2024-09-28T00:00:00"/>
    <x v="0"/>
    <s v="Q3"/>
    <x v="8"/>
    <x v="4"/>
    <x v="2"/>
    <x v="1"/>
    <x v="0"/>
    <x v="1"/>
    <x v="2"/>
    <n v="1"/>
    <m/>
    <n v="1392"/>
    <n v="0"/>
    <n v="4"/>
    <s v="Recovered"/>
    <n v="1"/>
  </r>
  <r>
    <s v="ADM-241942"/>
    <d v="2024-09-27T00:00:00"/>
    <d v="2024-09-30T00:00:00"/>
    <x v="0"/>
    <s v="Q3"/>
    <x v="8"/>
    <x v="4"/>
    <x v="0"/>
    <x v="2"/>
    <x v="1"/>
    <x v="4"/>
    <x v="1"/>
    <n v="3"/>
    <m/>
    <n v="2581"/>
    <n v="0"/>
    <n v="5"/>
    <s v="Recovered"/>
    <n v="1"/>
  </r>
  <r>
    <s v="ADM-241943"/>
    <d v="2024-09-27T00:00:00"/>
    <d v="2024-10-09T00:00:00"/>
    <x v="0"/>
    <s v="Q3"/>
    <x v="8"/>
    <x v="4"/>
    <x v="5"/>
    <x v="0"/>
    <x v="1"/>
    <x v="4"/>
    <x v="0"/>
    <n v="12"/>
    <n v="29"/>
    <n v="8862"/>
    <n v="0"/>
    <n v="5"/>
    <s v="Recovered"/>
    <n v="1"/>
  </r>
  <r>
    <s v="ADM-241944"/>
    <d v="2024-09-27T00:00:00"/>
    <d v="2024-10-05T00:00:00"/>
    <x v="0"/>
    <s v="Q3"/>
    <x v="8"/>
    <x v="4"/>
    <x v="1"/>
    <x v="2"/>
    <x v="0"/>
    <x v="2"/>
    <x v="2"/>
    <n v="8"/>
    <m/>
    <n v="10475"/>
    <n v="0"/>
    <n v="5"/>
    <s v="Recovered"/>
    <n v="1"/>
  </r>
  <r>
    <s v="ADM-241945"/>
    <d v="2024-09-27T00:00:00"/>
    <d v="2024-09-30T00:00:00"/>
    <x v="0"/>
    <s v="Q3"/>
    <x v="8"/>
    <x v="4"/>
    <x v="4"/>
    <x v="2"/>
    <x v="0"/>
    <x v="4"/>
    <x v="0"/>
    <n v="3"/>
    <m/>
    <n v="4196"/>
    <n v="0"/>
    <n v="5"/>
    <s v="Recovered"/>
    <n v="1"/>
  </r>
  <r>
    <s v="ADM-241946"/>
    <d v="2024-09-28T00:00:00"/>
    <d v="2024-10-03T00:00:00"/>
    <x v="0"/>
    <s v="Q3"/>
    <x v="8"/>
    <x v="5"/>
    <x v="1"/>
    <x v="2"/>
    <x v="0"/>
    <x v="2"/>
    <x v="2"/>
    <n v="5"/>
    <m/>
    <n v="4666"/>
    <n v="0"/>
    <n v="4"/>
    <s v="Recovered"/>
    <n v="1"/>
  </r>
  <r>
    <s v="ADM-241947"/>
    <d v="2024-09-28T00:00:00"/>
    <d v="2024-10-03T00:00:00"/>
    <x v="0"/>
    <s v="Q3"/>
    <x v="8"/>
    <x v="5"/>
    <x v="4"/>
    <x v="0"/>
    <x v="1"/>
    <x v="0"/>
    <x v="2"/>
    <n v="5"/>
    <n v="34"/>
    <n v="5792"/>
    <n v="0"/>
    <n v="5"/>
    <s v="Recovered"/>
    <n v="1"/>
  </r>
  <r>
    <s v="ADM-241948"/>
    <d v="2024-09-28T00:00:00"/>
    <d v="2024-10-04T00:00:00"/>
    <x v="0"/>
    <s v="Q3"/>
    <x v="8"/>
    <x v="5"/>
    <x v="3"/>
    <x v="0"/>
    <x v="0"/>
    <x v="3"/>
    <x v="0"/>
    <n v="6"/>
    <n v="32"/>
    <n v="3590"/>
    <n v="1"/>
    <n v="4"/>
    <s v="Recovered"/>
    <n v="1"/>
  </r>
  <r>
    <s v="ADM-241949"/>
    <d v="2024-09-28T00:00:00"/>
    <d v="2024-10-09T00:00:00"/>
    <x v="0"/>
    <s v="Q3"/>
    <x v="8"/>
    <x v="5"/>
    <x v="0"/>
    <x v="2"/>
    <x v="1"/>
    <x v="0"/>
    <x v="2"/>
    <n v="11"/>
    <m/>
    <n v="7630"/>
    <n v="1"/>
    <n v="4"/>
    <s v="Recovered"/>
    <n v="1"/>
  </r>
  <r>
    <s v="ADM-241950"/>
    <d v="2024-09-28T00:00:00"/>
    <d v="2024-10-01T00:00:00"/>
    <x v="0"/>
    <s v="Q3"/>
    <x v="8"/>
    <x v="5"/>
    <x v="0"/>
    <x v="0"/>
    <x v="1"/>
    <x v="2"/>
    <x v="0"/>
    <n v="3"/>
    <n v="63"/>
    <n v="3153"/>
    <n v="0"/>
    <n v="4"/>
    <s v="Recovered"/>
    <n v="1"/>
  </r>
  <r>
    <s v="ADM-241951"/>
    <d v="2024-09-28T00:00:00"/>
    <d v="2024-10-03T00:00:00"/>
    <x v="0"/>
    <s v="Q3"/>
    <x v="8"/>
    <x v="5"/>
    <x v="0"/>
    <x v="0"/>
    <x v="1"/>
    <x v="2"/>
    <x v="2"/>
    <n v="5"/>
    <n v="42"/>
    <n v="4202"/>
    <n v="1"/>
    <n v="5"/>
    <s v="Improved"/>
    <n v="1"/>
  </r>
  <r>
    <s v="ADM-241952"/>
    <d v="2024-09-28T00:00:00"/>
    <d v="2024-10-04T00:00:00"/>
    <x v="0"/>
    <s v="Q3"/>
    <x v="8"/>
    <x v="5"/>
    <x v="1"/>
    <x v="0"/>
    <x v="1"/>
    <x v="1"/>
    <x v="0"/>
    <n v="6"/>
    <n v="150"/>
    <n v="6172"/>
    <n v="1"/>
    <n v="3"/>
    <s v="Recovered"/>
    <n v="1"/>
  </r>
  <r>
    <s v="ADM-241953"/>
    <d v="2024-09-29T00:00:00"/>
    <d v="2024-10-05T00:00:00"/>
    <x v="0"/>
    <s v="Q3"/>
    <x v="8"/>
    <x v="6"/>
    <x v="0"/>
    <x v="2"/>
    <x v="1"/>
    <x v="4"/>
    <x v="0"/>
    <n v="6"/>
    <m/>
    <n v="4493"/>
    <n v="0"/>
    <n v="4"/>
    <s v="Recovered"/>
    <n v="1"/>
  </r>
  <r>
    <s v="ADM-241954"/>
    <d v="2024-09-29T00:00:00"/>
    <d v="2024-10-03T00:00:00"/>
    <x v="0"/>
    <s v="Q3"/>
    <x v="8"/>
    <x v="6"/>
    <x v="1"/>
    <x v="2"/>
    <x v="1"/>
    <x v="0"/>
    <x v="2"/>
    <n v="4"/>
    <m/>
    <n v="5043"/>
    <n v="0"/>
    <n v="5"/>
    <s v="Recovered"/>
    <n v="1"/>
  </r>
  <r>
    <s v="ADM-241955"/>
    <d v="2024-09-29T00:00:00"/>
    <d v="2024-10-02T00:00:00"/>
    <x v="0"/>
    <s v="Q3"/>
    <x v="8"/>
    <x v="6"/>
    <x v="0"/>
    <x v="1"/>
    <x v="0"/>
    <x v="1"/>
    <x v="2"/>
    <n v="3"/>
    <m/>
    <n v="2784"/>
    <n v="0"/>
    <n v="4"/>
    <s v="Recovered"/>
    <n v="1"/>
  </r>
  <r>
    <s v="ADM-241956"/>
    <d v="2024-09-29T00:00:00"/>
    <d v="2024-10-01T00:00:00"/>
    <x v="0"/>
    <s v="Q3"/>
    <x v="8"/>
    <x v="6"/>
    <x v="0"/>
    <x v="0"/>
    <x v="0"/>
    <x v="4"/>
    <x v="0"/>
    <n v="2"/>
    <n v="62"/>
    <n v="2164"/>
    <n v="0"/>
    <n v="4"/>
    <s v="Recovered"/>
    <n v="1"/>
  </r>
  <r>
    <s v="ADM-241957"/>
    <d v="2024-09-29T00:00:00"/>
    <d v="2024-09-30T00:00:00"/>
    <x v="0"/>
    <s v="Q3"/>
    <x v="8"/>
    <x v="6"/>
    <x v="1"/>
    <x v="0"/>
    <x v="1"/>
    <x v="1"/>
    <x v="2"/>
    <n v="1"/>
    <n v="69"/>
    <n v="2097"/>
    <n v="0"/>
    <n v="4"/>
    <s v="Recovered"/>
    <n v="1"/>
  </r>
  <r>
    <s v="ADM-241958"/>
    <d v="2024-09-29T00:00:00"/>
    <d v="2024-10-03T00:00:00"/>
    <x v="0"/>
    <s v="Q3"/>
    <x v="8"/>
    <x v="6"/>
    <x v="4"/>
    <x v="0"/>
    <x v="0"/>
    <x v="4"/>
    <x v="2"/>
    <n v="4"/>
    <n v="57"/>
    <n v="4942"/>
    <n v="1"/>
    <n v="5"/>
    <s v="Transferred"/>
    <n v="1"/>
  </r>
  <r>
    <s v="ADM-241959"/>
    <d v="2024-09-30T00:00:00"/>
    <d v="2024-10-03T00:00:00"/>
    <x v="0"/>
    <s v="Q3"/>
    <x v="8"/>
    <x v="0"/>
    <x v="1"/>
    <x v="2"/>
    <x v="0"/>
    <x v="4"/>
    <x v="1"/>
    <n v="3"/>
    <m/>
    <n v="4386"/>
    <n v="0"/>
    <n v="5"/>
    <s v="Recovered"/>
    <n v="1"/>
  </r>
  <r>
    <s v="ADM-241960"/>
    <d v="2024-09-30T00:00:00"/>
    <d v="2024-10-09T00:00:00"/>
    <x v="0"/>
    <s v="Q3"/>
    <x v="8"/>
    <x v="0"/>
    <x v="0"/>
    <x v="2"/>
    <x v="1"/>
    <x v="4"/>
    <x v="0"/>
    <n v="9"/>
    <m/>
    <n v="5741"/>
    <n v="0"/>
    <n v="4"/>
    <s v="Recovered"/>
    <n v="1"/>
  </r>
  <r>
    <s v="ADM-241961"/>
    <d v="2024-09-30T00:00:00"/>
    <d v="2024-10-01T00:00:00"/>
    <x v="0"/>
    <s v="Q3"/>
    <x v="8"/>
    <x v="0"/>
    <x v="2"/>
    <x v="1"/>
    <x v="0"/>
    <x v="1"/>
    <x v="2"/>
    <n v="1"/>
    <m/>
    <n v="1371"/>
    <n v="0"/>
    <n v="5"/>
    <s v="Recovered"/>
    <n v="1"/>
  </r>
  <r>
    <s v="ADM-241962"/>
    <d v="2024-09-30T00:00:00"/>
    <d v="2024-10-02T00:00:00"/>
    <x v="0"/>
    <s v="Q3"/>
    <x v="8"/>
    <x v="0"/>
    <x v="4"/>
    <x v="0"/>
    <x v="1"/>
    <x v="4"/>
    <x v="1"/>
    <n v="2"/>
    <n v="130"/>
    <n v="3600"/>
    <n v="0"/>
    <n v="3"/>
    <s v="Improved"/>
    <n v="1"/>
  </r>
  <r>
    <s v="ADM-241963"/>
    <d v="2024-09-30T00:00:00"/>
    <d v="2024-10-02T00:00:00"/>
    <x v="0"/>
    <s v="Q3"/>
    <x v="8"/>
    <x v="0"/>
    <x v="1"/>
    <x v="0"/>
    <x v="1"/>
    <x v="1"/>
    <x v="2"/>
    <n v="2"/>
    <n v="116"/>
    <n v="2291"/>
    <n v="1"/>
    <n v="3"/>
    <s v="Improved"/>
    <n v="1"/>
  </r>
  <r>
    <s v="ADM-241964"/>
    <d v="2024-09-30T00:00:00"/>
    <d v="2024-10-03T00:00:00"/>
    <x v="0"/>
    <s v="Q3"/>
    <x v="8"/>
    <x v="0"/>
    <x v="1"/>
    <x v="2"/>
    <x v="1"/>
    <x v="2"/>
    <x v="1"/>
    <n v="3"/>
    <m/>
    <n v="4290"/>
    <n v="0"/>
    <n v="5"/>
    <s v="Improved"/>
    <n v="1"/>
  </r>
  <r>
    <s v="ADM-241965"/>
    <d v="2024-10-01T00:00:00"/>
    <d v="2024-10-03T00:00:00"/>
    <x v="0"/>
    <s v="Q4"/>
    <x v="9"/>
    <x v="1"/>
    <x v="1"/>
    <x v="2"/>
    <x v="1"/>
    <x v="1"/>
    <x v="1"/>
    <n v="2"/>
    <m/>
    <n v="1946"/>
    <n v="0"/>
    <n v="3"/>
    <s v="Improved"/>
    <n v="1"/>
  </r>
  <r>
    <s v="ADM-241966"/>
    <d v="2024-10-01T00:00:00"/>
    <d v="2024-10-07T00:00:00"/>
    <x v="0"/>
    <s v="Q4"/>
    <x v="9"/>
    <x v="1"/>
    <x v="4"/>
    <x v="0"/>
    <x v="1"/>
    <x v="1"/>
    <x v="2"/>
    <n v="6"/>
    <n v="34"/>
    <n v="7549"/>
    <n v="0"/>
    <n v="4"/>
    <s v="Recovered"/>
    <n v="1"/>
  </r>
  <r>
    <s v="ADM-241967"/>
    <d v="2024-10-01T00:00:00"/>
    <d v="2024-10-26T00:00:00"/>
    <x v="0"/>
    <s v="Q4"/>
    <x v="9"/>
    <x v="1"/>
    <x v="0"/>
    <x v="0"/>
    <x v="1"/>
    <x v="0"/>
    <x v="1"/>
    <n v="25"/>
    <n v="26"/>
    <n v="16649"/>
    <n v="0"/>
    <n v="4"/>
    <s v="Recovered"/>
    <n v="1"/>
  </r>
  <r>
    <s v="ADM-241968"/>
    <d v="2024-10-01T00:00:00"/>
    <d v="2024-10-04T00:00:00"/>
    <x v="0"/>
    <s v="Q4"/>
    <x v="9"/>
    <x v="1"/>
    <x v="2"/>
    <x v="0"/>
    <x v="0"/>
    <x v="2"/>
    <x v="0"/>
    <n v="3"/>
    <n v="70"/>
    <n v="3716"/>
    <n v="0"/>
    <n v="5"/>
    <s v="Improved"/>
    <n v="1"/>
  </r>
  <r>
    <s v="ADM-241969"/>
    <d v="2024-10-01T00:00:00"/>
    <d v="2024-10-03T00:00:00"/>
    <x v="0"/>
    <s v="Q4"/>
    <x v="9"/>
    <x v="1"/>
    <x v="3"/>
    <x v="0"/>
    <x v="0"/>
    <x v="3"/>
    <x v="0"/>
    <n v="2"/>
    <n v="21"/>
    <n v="1838"/>
    <n v="0"/>
    <n v="4"/>
    <s v="Recovered"/>
    <n v="1"/>
  </r>
  <r>
    <s v="ADM-241970"/>
    <d v="2024-10-01T00:00:00"/>
    <d v="2024-10-04T00:00:00"/>
    <x v="0"/>
    <s v="Q4"/>
    <x v="9"/>
    <x v="1"/>
    <x v="1"/>
    <x v="2"/>
    <x v="0"/>
    <x v="4"/>
    <x v="1"/>
    <n v="3"/>
    <m/>
    <n v="4049"/>
    <n v="1"/>
    <n v="4"/>
    <s v="Recovered"/>
    <n v="1"/>
  </r>
  <r>
    <s v="ADM-241971"/>
    <d v="2024-10-01T00:00:00"/>
    <d v="2024-10-07T00:00:00"/>
    <x v="0"/>
    <s v="Q4"/>
    <x v="9"/>
    <x v="1"/>
    <x v="2"/>
    <x v="0"/>
    <x v="0"/>
    <x v="2"/>
    <x v="2"/>
    <n v="6"/>
    <n v="18"/>
    <n v="5757"/>
    <n v="0"/>
    <n v="3"/>
    <s v="Recovered"/>
    <n v="1"/>
  </r>
  <r>
    <s v="ADM-241972"/>
    <d v="2024-10-02T00:00:00"/>
    <d v="2024-10-04T00:00:00"/>
    <x v="0"/>
    <s v="Q4"/>
    <x v="9"/>
    <x v="2"/>
    <x v="1"/>
    <x v="2"/>
    <x v="1"/>
    <x v="1"/>
    <x v="0"/>
    <n v="2"/>
    <m/>
    <n v="2557"/>
    <n v="1"/>
    <n v="5"/>
    <s v="Recovered"/>
    <n v="1"/>
  </r>
  <r>
    <s v="ADM-241973"/>
    <d v="2024-10-02T00:00:00"/>
    <d v="2024-10-06T00:00:00"/>
    <x v="0"/>
    <s v="Q4"/>
    <x v="9"/>
    <x v="2"/>
    <x v="3"/>
    <x v="0"/>
    <x v="1"/>
    <x v="3"/>
    <x v="2"/>
    <n v="4"/>
    <n v="95"/>
    <n v="3449"/>
    <n v="0"/>
    <n v="4"/>
    <s v="Recovered"/>
    <n v="1"/>
  </r>
  <r>
    <s v="ADM-241974"/>
    <d v="2024-10-02T00:00:00"/>
    <d v="2024-10-04T00:00:00"/>
    <x v="0"/>
    <s v="Q4"/>
    <x v="9"/>
    <x v="2"/>
    <x v="1"/>
    <x v="2"/>
    <x v="1"/>
    <x v="1"/>
    <x v="2"/>
    <n v="2"/>
    <m/>
    <n v="2848"/>
    <n v="0"/>
    <n v="4"/>
    <s v="Recovered"/>
    <n v="1"/>
  </r>
  <r>
    <s v="ADM-241975"/>
    <d v="2024-10-02T00:00:00"/>
    <d v="2024-10-03T00:00:00"/>
    <x v="0"/>
    <s v="Q4"/>
    <x v="9"/>
    <x v="2"/>
    <x v="1"/>
    <x v="2"/>
    <x v="0"/>
    <x v="1"/>
    <x v="2"/>
    <n v="1"/>
    <m/>
    <n v="1600"/>
    <n v="0"/>
    <n v="4"/>
    <s v="Recovered"/>
    <n v="1"/>
  </r>
  <r>
    <s v="ADM-241976"/>
    <d v="2024-10-02T00:00:00"/>
    <d v="2024-10-07T00:00:00"/>
    <x v="0"/>
    <s v="Q4"/>
    <x v="9"/>
    <x v="2"/>
    <x v="4"/>
    <x v="0"/>
    <x v="0"/>
    <x v="0"/>
    <x v="2"/>
    <n v="5"/>
    <n v="31"/>
    <n v="5832"/>
    <n v="0"/>
    <n v="5"/>
    <s v="Recovered"/>
    <n v="1"/>
  </r>
  <r>
    <s v="ADM-241977"/>
    <d v="2024-10-02T00:00:00"/>
    <d v="2024-10-06T00:00:00"/>
    <x v="0"/>
    <s v="Q4"/>
    <x v="9"/>
    <x v="2"/>
    <x v="2"/>
    <x v="0"/>
    <x v="0"/>
    <x v="2"/>
    <x v="2"/>
    <n v="4"/>
    <n v="119"/>
    <n v="3527"/>
    <n v="0"/>
    <n v="3"/>
    <s v="Recovered"/>
    <n v="1"/>
  </r>
  <r>
    <s v="ADM-241978"/>
    <d v="2024-10-02T00:00:00"/>
    <d v="2024-10-06T00:00:00"/>
    <x v="0"/>
    <s v="Q4"/>
    <x v="9"/>
    <x v="2"/>
    <x v="0"/>
    <x v="0"/>
    <x v="0"/>
    <x v="0"/>
    <x v="2"/>
    <n v="4"/>
    <n v="55"/>
    <n v="3901"/>
    <n v="1"/>
    <n v="4"/>
    <s v="Recovered"/>
    <n v="1"/>
  </r>
  <r>
    <s v="ADM-241979"/>
    <d v="2024-10-03T00:00:00"/>
    <d v="2024-10-06T00:00:00"/>
    <x v="0"/>
    <s v="Q4"/>
    <x v="9"/>
    <x v="3"/>
    <x v="3"/>
    <x v="0"/>
    <x v="0"/>
    <x v="3"/>
    <x v="2"/>
    <n v="3"/>
    <n v="58"/>
    <n v="2199"/>
    <n v="0"/>
    <n v="5"/>
    <s v="Recovered"/>
    <n v="1"/>
  </r>
  <r>
    <s v="ADM-241980"/>
    <d v="2024-10-03T00:00:00"/>
    <d v="2024-10-06T00:00:00"/>
    <x v="0"/>
    <s v="Q4"/>
    <x v="9"/>
    <x v="3"/>
    <x v="2"/>
    <x v="0"/>
    <x v="0"/>
    <x v="2"/>
    <x v="0"/>
    <n v="3"/>
    <n v="46"/>
    <n v="2474"/>
    <n v="0"/>
    <n v="3"/>
    <s v="Recovered"/>
    <n v="1"/>
  </r>
  <r>
    <s v="ADM-241981"/>
    <d v="2024-10-03T00:00:00"/>
    <d v="2024-10-19T00:00:00"/>
    <x v="0"/>
    <s v="Q4"/>
    <x v="9"/>
    <x v="3"/>
    <x v="4"/>
    <x v="0"/>
    <x v="0"/>
    <x v="0"/>
    <x v="1"/>
    <n v="16"/>
    <n v="103"/>
    <n v="17424"/>
    <n v="0"/>
    <n v="3"/>
    <s v="Recovered"/>
    <n v="1"/>
  </r>
  <r>
    <s v="ADM-241982"/>
    <d v="2024-10-03T00:00:00"/>
    <d v="2024-10-04T00:00:00"/>
    <x v="0"/>
    <s v="Q4"/>
    <x v="9"/>
    <x v="3"/>
    <x v="4"/>
    <x v="2"/>
    <x v="0"/>
    <x v="2"/>
    <x v="0"/>
    <n v="1"/>
    <m/>
    <n v="2604"/>
    <n v="1"/>
    <n v="4"/>
    <s v="Recovered"/>
    <n v="1"/>
  </r>
  <r>
    <s v="ADM-241983"/>
    <d v="2024-10-03T00:00:00"/>
    <d v="2024-10-09T00:00:00"/>
    <x v="0"/>
    <s v="Q4"/>
    <x v="9"/>
    <x v="3"/>
    <x v="0"/>
    <x v="2"/>
    <x v="1"/>
    <x v="0"/>
    <x v="2"/>
    <n v="6"/>
    <m/>
    <n v="4036"/>
    <n v="0"/>
    <n v="5"/>
    <s v="Recovered"/>
    <n v="1"/>
  </r>
  <r>
    <s v="ADM-241984"/>
    <d v="2024-10-03T00:00:00"/>
    <d v="2024-10-05T00:00:00"/>
    <x v="0"/>
    <s v="Q4"/>
    <x v="9"/>
    <x v="3"/>
    <x v="2"/>
    <x v="0"/>
    <x v="0"/>
    <x v="1"/>
    <x v="2"/>
    <n v="2"/>
    <n v="91"/>
    <n v="2782"/>
    <n v="0"/>
    <n v="3"/>
    <s v="Recovered"/>
    <n v="1"/>
  </r>
  <r>
    <s v="ADM-241985"/>
    <d v="2024-10-03T00:00:00"/>
    <d v="2024-10-05T00:00:00"/>
    <x v="0"/>
    <s v="Q4"/>
    <x v="9"/>
    <x v="3"/>
    <x v="3"/>
    <x v="1"/>
    <x v="1"/>
    <x v="3"/>
    <x v="2"/>
    <n v="2"/>
    <m/>
    <n v="2381"/>
    <n v="0"/>
    <n v="5"/>
    <s v="Transferred"/>
    <n v="1"/>
  </r>
  <r>
    <s v="ADM-241986"/>
    <d v="2024-10-03T00:00:00"/>
    <d v="2024-10-06T00:00:00"/>
    <x v="0"/>
    <s v="Q4"/>
    <x v="9"/>
    <x v="3"/>
    <x v="0"/>
    <x v="2"/>
    <x v="1"/>
    <x v="4"/>
    <x v="1"/>
    <n v="3"/>
    <m/>
    <n v="2395"/>
    <n v="0"/>
    <n v="4"/>
    <s v="Improved"/>
    <n v="1"/>
  </r>
  <r>
    <s v="ADM-241987"/>
    <d v="2024-10-04T00:00:00"/>
    <d v="2024-10-11T00:00:00"/>
    <x v="0"/>
    <s v="Q4"/>
    <x v="9"/>
    <x v="4"/>
    <x v="4"/>
    <x v="0"/>
    <x v="1"/>
    <x v="0"/>
    <x v="0"/>
    <n v="7"/>
    <n v="77"/>
    <n v="8647"/>
    <n v="0"/>
    <n v="3"/>
    <s v="Improved"/>
    <n v="1"/>
  </r>
  <r>
    <s v="ADM-241988"/>
    <d v="2024-10-04T00:00:00"/>
    <d v="2024-10-09T00:00:00"/>
    <x v="0"/>
    <s v="Q4"/>
    <x v="9"/>
    <x v="4"/>
    <x v="1"/>
    <x v="2"/>
    <x v="1"/>
    <x v="0"/>
    <x v="1"/>
    <n v="5"/>
    <m/>
    <n v="5576"/>
    <n v="0"/>
    <n v="4"/>
    <s v="Recovered"/>
    <n v="1"/>
  </r>
  <r>
    <s v="ADM-241989"/>
    <d v="2024-10-04T00:00:00"/>
    <d v="2024-10-06T00:00:00"/>
    <x v="0"/>
    <s v="Q4"/>
    <x v="9"/>
    <x v="4"/>
    <x v="3"/>
    <x v="2"/>
    <x v="1"/>
    <x v="3"/>
    <x v="0"/>
    <n v="2"/>
    <m/>
    <n v="1747"/>
    <n v="0"/>
    <n v="4"/>
    <s v="Recovered"/>
    <n v="1"/>
  </r>
  <r>
    <s v="ADM-241990"/>
    <d v="2024-10-04T00:00:00"/>
    <d v="2024-10-05T00:00:00"/>
    <x v="0"/>
    <s v="Q4"/>
    <x v="9"/>
    <x v="4"/>
    <x v="4"/>
    <x v="0"/>
    <x v="0"/>
    <x v="1"/>
    <x v="2"/>
    <n v="1"/>
    <n v="58"/>
    <n v="1695"/>
    <n v="0"/>
    <n v="4"/>
    <s v="Improved"/>
    <n v="1"/>
  </r>
  <r>
    <s v="ADM-241991"/>
    <d v="2024-10-04T00:00:00"/>
    <d v="2024-10-08T00:00:00"/>
    <x v="0"/>
    <s v="Q4"/>
    <x v="9"/>
    <x v="4"/>
    <x v="2"/>
    <x v="0"/>
    <x v="0"/>
    <x v="1"/>
    <x v="2"/>
    <n v="4"/>
    <n v="107"/>
    <n v="3344"/>
    <n v="0"/>
    <n v="3"/>
    <s v="Transferred"/>
    <n v="1"/>
  </r>
  <r>
    <s v="ADM-241992"/>
    <d v="2024-10-04T00:00:00"/>
    <d v="2024-10-09T00:00:00"/>
    <x v="0"/>
    <s v="Q4"/>
    <x v="9"/>
    <x v="4"/>
    <x v="4"/>
    <x v="0"/>
    <x v="1"/>
    <x v="1"/>
    <x v="2"/>
    <n v="5"/>
    <n v="89"/>
    <n v="8622"/>
    <n v="1"/>
    <n v="4"/>
    <s v="Improved"/>
    <n v="1"/>
  </r>
  <r>
    <s v="ADM-241993"/>
    <d v="2024-10-04T00:00:00"/>
    <d v="2024-10-08T00:00:00"/>
    <x v="0"/>
    <s v="Q4"/>
    <x v="9"/>
    <x v="4"/>
    <x v="0"/>
    <x v="0"/>
    <x v="0"/>
    <x v="0"/>
    <x v="2"/>
    <n v="4"/>
    <n v="31"/>
    <n v="3833"/>
    <n v="0"/>
    <n v="3"/>
    <s v="Recovered"/>
    <n v="1"/>
  </r>
  <r>
    <s v="ADM-241994"/>
    <d v="2024-10-04T00:00:00"/>
    <d v="2024-10-05T00:00:00"/>
    <x v="0"/>
    <s v="Q4"/>
    <x v="9"/>
    <x v="4"/>
    <x v="5"/>
    <x v="2"/>
    <x v="0"/>
    <x v="0"/>
    <x v="2"/>
    <n v="1"/>
    <m/>
    <n v="1889"/>
    <n v="1"/>
    <n v="5"/>
    <s v="Recovered"/>
    <n v="1"/>
  </r>
  <r>
    <s v="ADM-241995"/>
    <d v="2024-10-05T00:00:00"/>
    <d v="2024-10-06T00:00:00"/>
    <x v="0"/>
    <s v="Q4"/>
    <x v="9"/>
    <x v="5"/>
    <x v="3"/>
    <x v="2"/>
    <x v="1"/>
    <x v="3"/>
    <x v="2"/>
    <n v="1"/>
    <m/>
    <n v="1298"/>
    <n v="1"/>
    <n v="4"/>
    <s v="Improved"/>
    <n v="1"/>
  </r>
  <r>
    <s v="ADM-241996"/>
    <d v="2024-10-05T00:00:00"/>
    <d v="2024-10-08T00:00:00"/>
    <x v="0"/>
    <s v="Q4"/>
    <x v="9"/>
    <x v="5"/>
    <x v="0"/>
    <x v="0"/>
    <x v="1"/>
    <x v="1"/>
    <x v="2"/>
    <n v="3"/>
    <n v="56"/>
    <n v="2739"/>
    <n v="0"/>
    <n v="5"/>
    <s v="Improved"/>
    <n v="1"/>
  </r>
  <r>
    <s v="ADM-241997"/>
    <d v="2024-10-05T00:00:00"/>
    <d v="2024-10-12T00:00:00"/>
    <x v="0"/>
    <s v="Q4"/>
    <x v="9"/>
    <x v="5"/>
    <x v="2"/>
    <x v="0"/>
    <x v="0"/>
    <x v="1"/>
    <x v="1"/>
    <n v="7"/>
    <n v="38"/>
    <n v="4076"/>
    <n v="0"/>
    <n v="4"/>
    <s v="Recovered"/>
    <n v="1"/>
  </r>
  <r>
    <s v="ADM-241998"/>
    <d v="2024-10-05T00:00:00"/>
    <d v="2024-10-08T00:00:00"/>
    <x v="0"/>
    <s v="Q4"/>
    <x v="9"/>
    <x v="5"/>
    <x v="0"/>
    <x v="0"/>
    <x v="0"/>
    <x v="0"/>
    <x v="0"/>
    <n v="3"/>
    <n v="90"/>
    <n v="2515"/>
    <n v="0"/>
    <n v="4"/>
    <s v="Recovered"/>
    <n v="1"/>
  </r>
  <r>
    <s v="ADM-241999"/>
    <d v="2024-10-05T00:00:00"/>
    <d v="2024-10-09T00:00:00"/>
    <x v="0"/>
    <s v="Q4"/>
    <x v="9"/>
    <x v="5"/>
    <x v="4"/>
    <x v="1"/>
    <x v="1"/>
    <x v="0"/>
    <x v="0"/>
    <n v="4"/>
    <m/>
    <n v="4352"/>
    <n v="0"/>
    <n v="4"/>
    <s v="Recovered"/>
    <n v="1"/>
  </r>
  <r>
    <s v="ADM-242000"/>
    <d v="2024-10-06T00:00:00"/>
    <d v="2024-10-13T00:00:00"/>
    <x v="0"/>
    <s v="Q4"/>
    <x v="9"/>
    <x v="6"/>
    <x v="5"/>
    <x v="2"/>
    <x v="1"/>
    <x v="0"/>
    <x v="0"/>
    <n v="7"/>
    <m/>
    <n v="7318"/>
    <n v="0"/>
    <n v="5"/>
    <s v="Improved"/>
    <n v="1"/>
  </r>
  <r>
    <s v="ADM-242001"/>
    <d v="2024-10-06T00:00:00"/>
    <d v="2024-10-12T00:00:00"/>
    <x v="0"/>
    <s v="Q4"/>
    <x v="9"/>
    <x v="6"/>
    <x v="4"/>
    <x v="0"/>
    <x v="0"/>
    <x v="4"/>
    <x v="2"/>
    <n v="6"/>
    <n v="36"/>
    <n v="7063"/>
    <n v="0"/>
    <n v="4"/>
    <s v="Transferred"/>
    <n v="1"/>
  </r>
  <r>
    <s v="ADM-242002"/>
    <d v="2024-10-06T00:00:00"/>
    <d v="2024-10-09T00:00:00"/>
    <x v="0"/>
    <s v="Q4"/>
    <x v="9"/>
    <x v="6"/>
    <x v="3"/>
    <x v="2"/>
    <x v="1"/>
    <x v="3"/>
    <x v="0"/>
    <n v="3"/>
    <m/>
    <n v="2729"/>
    <n v="0"/>
    <n v="4"/>
    <s v="Recovered"/>
    <n v="1"/>
  </r>
  <r>
    <s v="ADM-242003"/>
    <d v="2024-10-07T00:00:00"/>
    <d v="2024-10-10T00:00:00"/>
    <x v="0"/>
    <s v="Q4"/>
    <x v="9"/>
    <x v="0"/>
    <x v="3"/>
    <x v="0"/>
    <x v="1"/>
    <x v="3"/>
    <x v="2"/>
    <n v="3"/>
    <n v="92"/>
    <n v="2432"/>
    <n v="0"/>
    <n v="3"/>
    <s v="Transferred"/>
    <n v="1"/>
  </r>
  <r>
    <s v="ADM-242004"/>
    <d v="2024-10-07T00:00:00"/>
    <d v="2024-10-14T00:00:00"/>
    <x v="0"/>
    <s v="Q4"/>
    <x v="9"/>
    <x v="0"/>
    <x v="0"/>
    <x v="0"/>
    <x v="1"/>
    <x v="0"/>
    <x v="2"/>
    <n v="7"/>
    <n v="123"/>
    <n v="5400"/>
    <n v="0"/>
    <n v="5"/>
    <s v="Recovered"/>
    <n v="1"/>
  </r>
  <r>
    <s v="ADM-242005"/>
    <d v="2024-10-07T00:00:00"/>
    <d v="2024-10-08T00:00:00"/>
    <x v="0"/>
    <s v="Q4"/>
    <x v="9"/>
    <x v="0"/>
    <x v="5"/>
    <x v="2"/>
    <x v="1"/>
    <x v="0"/>
    <x v="2"/>
    <n v="1"/>
    <m/>
    <n v="2013"/>
    <n v="0"/>
    <n v="4"/>
    <s v="Recovered"/>
    <n v="1"/>
  </r>
  <r>
    <s v="ADM-242006"/>
    <d v="2024-10-07T00:00:00"/>
    <d v="2024-10-08T00:00:00"/>
    <x v="0"/>
    <s v="Q4"/>
    <x v="9"/>
    <x v="0"/>
    <x v="5"/>
    <x v="0"/>
    <x v="0"/>
    <x v="1"/>
    <x v="0"/>
    <n v="1"/>
    <n v="88"/>
    <n v="1851"/>
    <n v="0"/>
    <n v="5"/>
    <s v="Recovered"/>
    <n v="1"/>
  </r>
  <r>
    <s v="ADM-242007"/>
    <d v="2024-10-07T00:00:00"/>
    <d v="2024-10-13T00:00:00"/>
    <x v="0"/>
    <s v="Q4"/>
    <x v="9"/>
    <x v="0"/>
    <x v="0"/>
    <x v="0"/>
    <x v="0"/>
    <x v="4"/>
    <x v="0"/>
    <n v="6"/>
    <n v="44"/>
    <n v="4546"/>
    <n v="0"/>
    <n v="4"/>
    <s v="Transferred"/>
    <n v="1"/>
  </r>
  <r>
    <s v="ADM-242008"/>
    <d v="2024-10-07T00:00:00"/>
    <d v="2024-10-09T00:00:00"/>
    <x v="0"/>
    <s v="Q4"/>
    <x v="9"/>
    <x v="0"/>
    <x v="1"/>
    <x v="0"/>
    <x v="1"/>
    <x v="4"/>
    <x v="2"/>
    <n v="2"/>
    <n v="43"/>
    <n v="2883"/>
    <n v="0"/>
    <n v="4"/>
    <s v="Transferred"/>
    <n v="1"/>
  </r>
  <r>
    <s v="ADM-242009"/>
    <d v="2024-10-08T00:00:00"/>
    <d v="2024-10-10T00:00:00"/>
    <x v="0"/>
    <s v="Q4"/>
    <x v="9"/>
    <x v="1"/>
    <x v="0"/>
    <x v="0"/>
    <x v="0"/>
    <x v="0"/>
    <x v="2"/>
    <n v="2"/>
    <n v="15"/>
    <n v="1958"/>
    <n v="0"/>
    <n v="5"/>
    <s v="Recovered"/>
    <n v="1"/>
  </r>
  <r>
    <s v="ADM-242010"/>
    <d v="2024-10-08T00:00:00"/>
    <d v="2024-10-12T00:00:00"/>
    <x v="0"/>
    <s v="Q4"/>
    <x v="9"/>
    <x v="1"/>
    <x v="3"/>
    <x v="2"/>
    <x v="1"/>
    <x v="3"/>
    <x v="0"/>
    <n v="4"/>
    <m/>
    <n v="3808"/>
    <n v="0"/>
    <n v="5"/>
    <s v="Recovered"/>
    <n v="1"/>
  </r>
  <r>
    <s v="ADM-242011"/>
    <d v="2024-10-08T00:00:00"/>
    <d v="2024-10-12T00:00:00"/>
    <x v="0"/>
    <s v="Q4"/>
    <x v="9"/>
    <x v="1"/>
    <x v="3"/>
    <x v="1"/>
    <x v="1"/>
    <x v="3"/>
    <x v="2"/>
    <n v="4"/>
    <m/>
    <n v="2687"/>
    <n v="0"/>
    <n v="4"/>
    <s v="Improved"/>
    <n v="1"/>
  </r>
  <r>
    <s v="ADM-242012"/>
    <d v="2024-10-08T00:00:00"/>
    <d v="2024-10-11T00:00:00"/>
    <x v="0"/>
    <s v="Q4"/>
    <x v="9"/>
    <x v="1"/>
    <x v="4"/>
    <x v="0"/>
    <x v="0"/>
    <x v="0"/>
    <x v="2"/>
    <n v="3"/>
    <n v="37"/>
    <n v="4453"/>
    <n v="0"/>
    <n v="4"/>
    <s v="Recovered"/>
    <n v="1"/>
  </r>
  <r>
    <s v="ADM-242013"/>
    <d v="2024-10-08T00:00:00"/>
    <d v="2024-10-18T00:00:00"/>
    <x v="0"/>
    <s v="Q4"/>
    <x v="9"/>
    <x v="1"/>
    <x v="4"/>
    <x v="0"/>
    <x v="1"/>
    <x v="4"/>
    <x v="0"/>
    <n v="10"/>
    <n v="59"/>
    <n v="15457"/>
    <n v="0"/>
    <n v="4"/>
    <s v="Recovered"/>
    <n v="1"/>
  </r>
  <r>
    <s v="ADM-242014"/>
    <d v="2024-10-08T00:00:00"/>
    <d v="2024-10-10T00:00:00"/>
    <x v="0"/>
    <s v="Q4"/>
    <x v="9"/>
    <x v="1"/>
    <x v="2"/>
    <x v="2"/>
    <x v="0"/>
    <x v="2"/>
    <x v="0"/>
    <n v="2"/>
    <m/>
    <n v="1845"/>
    <n v="0"/>
    <n v="4"/>
    <s v="Recovered"/>
    <n v="1"/>
  </r>
  <r>
    <s v="ADM-242015"/>
    <d v="2024-10-08T00:00:00"/>
    <d v="2024-10-13T00:00:00"/>
    <x v="0"/>
    <s v="Q4"/>
    <x v="9"/>
    <x v="1"/>
    <x v="1"/>
    <x v="0"/>
    <x v="1"/>
    <x v="1"/>
    <x v="1"/>
    <n v="5"/>
    <n v="122"/>
    <n v="5705"/>
    <n v="0"/>
    <n v="4"/>
    <s v="Improved"/>
    <n v="1"/>
  </r>
  <r>
    <s v="ADM-242016"/>
    <d v="2024-10-09T00:00:00"/>
    <d v="2024-10-13T00:00:00"/>
    <x v="0"/>
    <s v="Q4"/>
    <x v="9"/>
    <x v="2"/>
    <x v="3"/>
    <x v="0"/>
    <x v="1"/>
    <x v="3"/>
    <x v="2"/>
    <n v="4"/>
    <n v="19"/>
    <n v="3458"/>
    <n v="0"/>
    <n v="4"/>
    <s v="Recovered"/>
    <n v="1"/>
  </r>
  <r>
    <s v="ADM-242017"/>
    <d v="2024-10-09T00:00:00"/>
    <d v="2024-10-13T00:00:00"/>
    <x v="0"/>
    <s v="Q4"/>
    <x v="9"/>
    <x v="2"/>
    <x v="5"/>
    <x v="2"/>
    <x v="0"/>
    <x v="1"/>
    <x v="0"/>
    <n v="4"/>
    <m/>
    <n v="5084"/>
    <n v="1"/>
    <n v="3"/>
    <s v="Recovered"/>
    <n v="1"/>
  </r>
  <r>
    <s v="ADM-242018"/>
    <d v="2024-10-09T00:00:00"/>
    <d v="2024-10-13T00:00:00"/>
    <x v="0"/>
    <s v="Q4"/>
    <x v="9"/>
    <x v="2"/>
    <x v="3"/>
    <x v="1"/>
    <x v="0"/>
    <x v="3"/>
    <x v="0"/>
    <n v="4"/>
    <m/>
    <n v="2956"/>
    <n v="0"/>
    <n v="5"/>
    <s v="Improved"/>
    <n v="1"/>
  </r>
  <r>
    <s v="ADM-242019"/>
    <d v="2024-10-09T00:00:00"/>
    <d v="2024-10-14T00:00:00"/>
    <x v="0"/>
    <s v="Q4"/>
    <x v="9"/>
    <x v="2"/>
    <x v="1"/>
    <x v="2"/>
    <x v="1"/>
    <x v="2"/>
    <x v="2"/>
    <n v="5"/>
    <m/>
    <n v="5458"/>
    <n v="0"/>
    <n v="3"/>
    <s v="Improved"/>
    <n v="1"/>
  </r>
  <r>
    <s v="ADM-242020"/>
    <d v="2024-10-09T00:00:00"/>
    <d v="2024-10-11T00:00:00"/>
    <x v="0"/>
    <s v="Q4"/>
    <x v="9"/>
    <x v="2"/>
    <x v="1"/>
    <x v="2"/>
    <x v="0"/>
    <x v="1"/>
    <x v="0"/>
    <n v="2"/>
    <m/>
    <n v="2662"/>
    <n v="0"/>
    <n v="5"/>
    <s v="Transferred"/>
    <n v="1"/>
  </r>
  <r>
    <s v="ADM-242021"/>
    <d v="2024-10-09T00:00:00"/>
    <d v="2024-10-16T00:00:00"/>
    <x v="0"/>
    <s v="Q4"/>
    <x v="9"/>
    <x v="2"/>
    <x v="5"/>
    <x v="0"/>
    <x v="1"/>
    <x v="2"/>
    <x v="2"/>
    <n v="7"/>
    <n v="93"/>
    <n v="8093"/>
    <n v="0"/>
    <n v="3"/>
    <s v="Recovered"/>
    <n v="1"/>
  </r>
  <r>
    <s v="ADM-242022"/>
    <d v="2024-10-09T00:00:00"/>
    <d v="2024-10-13T00:00:00"/>
    <x v="0"/>
    <s v="Q4"/>
    <x v="9"/>
    <x v="2"/>
    <x v="4"/>
    <x v="2"/>
    <x v="1"/>
    <x v="0"/>
    <x v="2"/>
    <n v="4"/>
    <m/>
    <n v="4414"/>
    <n v="1"/>
    <n v="4"/>
    <s v="Transferred"/>
    <n v="1"/>
  </r>
  <r>
    <s v="ADM-242023"/>
    <d v="2024-10-09T00:00:00"/>
    <d v="2024-10-13T00:00:00"/>
    <x v="0"/>
    <s v="Q4"/>
    <x v="9"/>
    <x v="2"/>
    <x v="4"/>
    <x v="0"/>
    <x v="1"/>
    <x v="0"/>
    <x v="0"/>
    <n v="4"/>
    <n v="104"/>
    <n v="5488"/>
    <n v="0"/>
    <n v="4"/>
    <s v="Improved"/>
    <n v="1"/>
  </r>
  <r>
    <s v="ADM-242024"/>
    <d v="2024-10-09T00:00:00"/>
    <d v="2024-10-22T00:00:00"/>
    <x v="0"/>
    <s v="Q4"/>
    <x v="9"/>
    <x v="2"/>
    <x v="4"/>
    <x v="0"/>
    <x v="1"/>
    <x v="0"/>
    <x v="0"/>
    <n v="13"/>
    <n v="86"/>
    <n v="17177"/>
    <n v="1"/>
    <n v="5"/>
    <s v="Improved"/>
    <n v="1"/>
  </r>
  <r>
    <s v="ADM-242025"/>
    <d v="2024-10-09T00:00:00"/>
    <d v="2024-10-15T00:00:00"/>
    <x v="0"/>
    <s v="Q4"/>
    <x v="9"/>
    <x v="2"/>
    <x v="1"/>
    <x v="2"/>
    <x v="1"/>
    <x v="0"/>
    <x v="0"/>
    <n v="6"/>
    <m/>
    <n v="7236"/>
    <n v="0"/>
    <n v="4"/>
    <s v="Recovered"/>
    <n v="1"/>
  </r>
  <r>
    <s v="ADM-242026"/>
    <d v="2024-10-09T00:00:00"/>
    <d v="2024-10-12T00:00:00"/>
    <x v="0"/>
    <s v="Q4"/>
    <x v="9"/>
    <x v="2"/>
    <x v="5"/>
    <x v="2"/>
    <x v="1"/>
    <x v="0"/>
    <x v="1"/>
    <n v="3"/>
    <m/>
    <n v="3097"/>
    <n v="0"/>
    <n v="5"/>
    <s v="Improved"/>
    <n v="1"/>
  </r>
  <r>
    <s v="ADM-242027"/>
    <d v="2024-10-09T00:00:00"/>
    <d v="2024-10-22T00:00:00"/>
    <x v="0"/>
    <s v="Q4"/>
    <x v="9"/>
    <x v="2"/>
    <x v="0"/>
    <x v="0"/>
    <x v="0"/>
    <x v="0"/>
    <x v="0"/>
    <n v="13"/>
    <n v="98"/>
    <n v="9235"/>
    <n v="0"/>
    <n v="3"/>
    <s v="Improved"/>
    <n v="1"/>
  </r>
  <r>
    <s v="ADM-242028"/>
    <d v="2024-10-10T00:00:00"/>
    <d v="2024-10-11T00:00:00"/>
    <x v="0"/>
    <s v="Q4"/>
    <x v="9"/>
    <x v="3"/>
    <x v="2"/>
    <x v="0"/>
    <x v="0"/>
    <x v="1"/>
    <x v="0"/>
    <n v="1"/>
    <n v="40"/>
    <n v="1548"/>
    <n v="0"/>
    <n v="5"/>
    <s v="Recovered"/>
    <n v="1"/>
  </r>
  <r>
    <s v="ADM-242029"/>
    <d v="2024-10-10T00:00:00"/>
    <d v="2024-10-20T00:00:00"/>
    <x v="0"/>
    <s v="Q4"/>
    <x v="9"/>
    <x v="3"/>
    <x v="4"/>
    <x v="0"/>
    <x v="0"/>
    <x v="1"/>
    <x v="2"/>
    <n v="10"/>
    <n v="80"/>
    <n v="12403"/>
    <n v="0"/>
    <n v="5"/>
    <s v="Improved"/>
    <n v="1"/>
  </r>
  <r>
    <s v="ADM-242030"/>
    <d v="2024-10-10T00:00:00"/>
    <d v="2024-10-14T00:00:00"/>
    <x v="0"/>
    <s v="Q4"/>
    <x v="9"/>
    <x v="3"/>
    <x v="1"/>
    <x v="2"/>
    <x v="1"/>
    <x v="4"/>
    <x v="2"/>
    <n v="4"/>
    <m/>
    <n v="5965"/>
    <n v="0"/>
    <n v="4"/>
    <s v="Improved"/>
    <n v="1"/>
  </r>
  <r>
    <s v="ADM-242031"/>
    <d v="2024-10-10T00:00:00"/>
    <d v="2024-10-15T00:00:00"/>
    <x v="0"/>
    <s v="Q4"/>
    <x v="9"/>
    <x v="3"/>
    <x v="3"/>
    <x v="0"/>
    <x v="0"/>
    <x v="3"/>
    <x v="0"/>
    <n v="5"/>
    <n v="40"/>
    <n v="4148"/>
    <n v="0"/>
    <n v="4"/>
    <s v="Improved"/>
    <n v="1"/>
  </r>
  <r>
    <s v="ADM-242032"/>
    <d v="2024-10-10T00:00:00"/>
    <d v="2024-10-14T00:00:00"/>
    <x v="0"/>
    <s v="Q4"/>
    <x v="9"/>
    <x v="3"/>
    <x v="0"/>
    <x v="2"/>
    <x v="0"/>
    <x v="4"/>
    <x v="0"/>
    <n v="4"/>
    <m/>
    <n v="3538"/>
    <n v="0"/>
    <n v="5"/>
    <s v="Recovered"/>
    <n v="1"/>
  </r>
  <r>
    <s v="ADM-242033"/>
    <d v="2024-10-10T00:00:00"/>
    <d v="2024-10-14T00:00:00"/>
    <x v="0"/>
    <s v="Q4"/>
    <x v="9"/>
    <x v="3"/>
    <x v="5"/>
    <x v="2"/>
    <x v="1"/>
    <x v="2"/>
    <x v="2"/>
    <n v="4"/>
    <m/>
    <n v="5002"/>
    <n v="0"/>
    <n v="5"/>
    <s v="Recovered"/>
    <n v="1"/>
  </r>
  <r>
    <s v="ADM-242034"/>
    <d v="2024-10-10T00:00:00"/>
    <d v="2024-10-14T00:00:00"/>
    <x v="0"/>
    <s v="Q4"/>
    <x v="9"/>
    <x v="3"/>
    <x v="3"/>
    <x v="0"/>
    <x v="1"/>
    <x v="3"/>
    <x v="0"/>
    <n v="4"/>
    <n v="57"/>
    <n v="2909"/>
    <n v="0"/>
    <n v="4"/>
    <s v="Improved"/>
    <n v="1"/>
  </r>
  <r>
    <s v="ADM-242035"/>
    <d v="2024-10-10T00:00:00"/>
    <d v="2024-10-15T00:00:00"/>
    <x v="0"/>
    <s v="Q4"/>
    <x v="9"/>
    <x v="3"/>
    <x v="1"/>
    <x v="2"/>
    <x v="0"/>
    <x v="4"/>
    <x v="2"/>
    <n v="5"/>
    <m/>
    <n v="4932"/>
    <n v="0"/>
    <n v="4"/>
    <s v="Improved"/>
    <n v="1"/>
  </r>
  <r>
    <s v="ADM-242036"/>
    <d v="2024-10-10T00:00:00"/>
    <d v="2024-10-19T00:00:00"/>
    <x v="0"/>
    <s v="Q4"/>
    <x v="9"/>
    <x v="3"/>
    <x v="1"/>
    <x v="0"/>
    <x v="0"/>
    <x v="0"/>
    <x v="1"/>
    <n v="9"/>
    <n v="61"/>
    <n v="8810"/>
    <n v="0"/>
    <n v="4"/>
    <s v="Recovered"/>
    <n v="1"/>
  </r>
  <r>
    <s v="ADM-242037"/>
    <d v="2024-10-10T00:00:00"/>
    <d v="2024-10-11T00:00:00"/>
    <x v="0"/>
    <s v="Q4"/>
    <x v="9"/>
    <x v="3"/>
    <x v="2"/>
    <x v="0"/>
    <x v="0"/>
    <x v="2"/>
    <x v="2"/>
    <n v="1"/>
    <n v="102"/>
    <n v="1220"/>
    <n v="1"/>
    <n v="3"/>
    <s v="Recovered"/>
    <n v="1"/>
  </r>
  <r>
    <s v="ADM-242038"/>
    <d v="2024-10-11T00:00:00"/>
    <d v="2024-10-24T00:00:00"/>
    <x v="0"/>
    <s v="Q4"/>
    <x v="9"/>
    <x v="4"/>
    <x v="4"/>
    <x v="0"/>
    <x v="1"/>
    <x v="0"/>
    <x v="2"/>
    <n v="13"/>
    <n v="93"/>
    <n v="17401"/>
    <n v="0"/>
    <n v="3"/>
    <s v="Recovered"/>
    <n v="1"/>
  </r>
  <r>
    <s v="ADM-242039"/>
    <d v="2024-10-11T00:00:00"/>
    <d v="2024-10-12T00:00:00"/>
    <x v="0"/>
    <s v="Q4"/>
    <x v="9"/>
    <x v="4"/>
    <x v="2"/>
    <x v="0"/>
    <x v="0"/>
    <x v="1"/>
    <x v="2"/>
    <n v="1"/>
    <n v="56"/>
    <n v="785"/>
    <n v="0"/>
    <n v="3"/>
    <s v="Recovered"/>
    <n v="1"/>
  </r>
  <r>
    <s v="ADM-242040"/>
    <d v="2024-10-11T00:00:00"/>
    <d v="2024-10-13T00:00:00"/>
    <x v="0"/>
    <s v="Q4"/>
    <x v="9"/>
    <x v="4"/>
    <x v="5"/>
    <x v="2"/>
    <x v="0"/>
    <x v="1"/>
    <x v="0"/>
    <n v="2"/>
    <m/>
    <n v="2217"/>
    <n v="1"/>
    <n v="4"/>
    <s v="Recovered"/>
    <n v="1"/>
  </r>
  <r>
    <s v="ADM-242041"/>
    <d v="2024-10-11T00:00:00"/>
    <d v="2024-10-16T00:00:00"/>
    <x v="0"/>
    <s v="Q4"/>
    <x v="9"/>
    <x v="4"/>
    <x v="4"/>
    <x v="0"/>
    <x v="1"/>
    <x v="1"/>
    <x v="0"/>
    <n v="5"/>
    <n v="47"/>
    <n v="5460"/>
    <n v="0"/>
    <n v="4"/>
    <s v="Recovered"/>
    <n v="1"/>
  </r>
  <r>
    <s v="ADM-242042"/>
    <d v="2024-10-11T00:00:00"/>
    <d v="2024-10-22T00:00:00"/>
    <x v="0"/>
    <s v="Q4"/>
    <x v="9"/>
    <x v="4"/>
    <x v="5"/>
    <x v="0"/>
    <x v="1"/>
    <x v="4"/>
    <x v="2"/>
    <n v="11"/>
    <n v="24"/>
    <n v="12412"/>
    <n v="1"/>
    <n v="3"/>
    <s v="Improved"/>
    <n v="1"/>
  </r>
  <r>
    <s v="ADM-242043"/>
    <d v="2024-10-11T00:00:00"/>
    <d v="2024-10-14T00:00:00"/>
    <x v="0"/>
    <s v="Q4"/>
    <x v="9"/>
    <x v="4"/>
    <x v="2"/>
    <x v="0"/>
    <x v="0"/>
    <x v="2"/>
    <x v="0"/>
    <n v="3"/>
    <n v="43"/>
    <n v="2476"/>
    <n v="0"/>
    <n v="4"/>
    <s v="Improved"/>
    <n v="1"/>
  </r>
  <r>
    <s v="ADM-242044"/>
    <d v="2024-10-11T00:00:00"/>
    <d v="2024-10-16T00:00:00"/>
    <x v="0"/>
    <s v="Q4"/>
    <x v="9"/>
    <x v="4"/>
    <x v="0"/>
    <x v="2"/>
    <x v="0"/>
    <x v="0"/>
    <x v="1"/>
    <n v="5"/>
    <m/>
    <n v="3367"/>
    <n v="1"/>
    <n v="5"/>
    <s v="Improved"/>
    <n v="1"/>
  </r>
  <r>
    <s v="ADM-242045"/>
    <d v="2024-10-11T00:00:00"/>
    <d v="2024-10-14T00:00:00"/>
    <x v="0"/>
    <s v="Q4"/>
    <x v="9"/>
    <x v="4"/>
    <x v="4"/>
    <x v="2"/>
    <x v="1"/>
    <x v="4"/>
    <x v="2"/>
    <n v="3"/>
    <m/>
    <n v="5194"/>
    <n v="0"/>
    <n v="4"/>
    <s v="Recovered"/>
    <n v="1"/>
  </r>
  <r>
    <s v="ADM-242046"/>
    <d v="2024-10-11T00:00:00"/>
    <d v="2024-10-14T00:00:00"/>
    <x v="0"/>
    <s v="Q4"/>
    <x v="9"/>
    <x v="4"/>
    <x v="0"/>
    <x v="2"/>
    <x v="1"/>
    <x v="2"/>
    <x v="0"/>
    <n v="3"/>
    <m/>
    <n v="2763"/>
    <n v="0"/>
    <n v="5"/>
    <s v="Improved"/>
    <n v="1"/>
  </r>
  <r>
    <s v="ADM-242047"/>
    <d v="2024-10-11T00:00:00"/>
    <d v="2024-10-16T00:00:00"/>
    <x v="0"/>
    <s v="Q4"/>
    <x v="9"/>
    <x v="4"/>
    <x v="1"/>
    <x v="2"/>
    <x v="0"/>
    <x v="0"/>
    <x v="2"/>
    <n v="5"/>
    <m/>
    <n v="5544"/>
    <n v="0"/>
    <n v="4"/>
    <s v="Recovered"/>
    <n v="1"/>
  </r>
  <r>
    <s v="ADM-242048"/>
    <d v="2024-10-11T00:00:00"/>
    <d v="2024-10-13T00:00:00"/>
    <x v="0"/>
    <s v="Q4"/>
    <x v="9"/>
    <x v="4"/>
    <x v="2"/>
    <x v="0"/>
    <x v="0"/>
    <x v="2"/>
    <x v="0"/>
    <n v="2"/>
    <n v="44"/>
    <n v="2151"/>
    <n v="0"/>
    <n v="4"/>
    <s v="Recovered"/>
    <n v="1"/>
  </r>
  <r>
    <s v="ADM-242049"/>
    <d v="2024-10-11T00:00:00"/>
    <d v="2024-10-14T00:00:00"/>
    <x v="0"/>
    <s v="Q4"/>
    <x v="9"/>
    <x v="4"/>
    <x v="4"/>
    <x v="2"/>
    <x v="1"/>
    <x v="4"/>
    <x v="0"/>
    <n v="3"/>
    <m/>
    <n v="5667"/>
    <n v="0"/>
    <n v="4"/>
    <s v="Improved"/>
    <n v="1"/>
  </r>
  <r>
    <s v="ADM-242050"/>
    <d v="2024-10-11T00:00:00"/>
    <d v="2024-10-20T00:00:00"/>
    <x v="0"/>
    <s v="Q4"/>
    <x v="9"/>
    <x v="4"/>
    <x v="5"/>
    <x v="0"/>
    <x v="1"/>
    <x v="4"/>
    <x v="2"/>
    <n v="9"/>
    <n v="122"/>
    <n v="7968"/>
    <n v="0"/>
    <n v="4"/>
    <s v="Deceased"/>
    <n v="1"/>
  </r>
  <r>
    <s v="ADM-242051"/>
    <d v="2024-10-12T00:00:00"/>
    <d v="2024-10-23T00:00:00"/>
    <x v="0"/>
    <s v="Q4"/>
    <x v="9"/>
    <x v="5"/>
    <x v="4"/>
    <x v="0"/>
    <x v="0"/>
    <x v="4"/>
    <x v="1"/>
    <n v="11"/>
    <n v="26"/>
    <n v="14912"/>
    <n v="0"/>
    <n v="4"/>
    <s v="Recovered"/>
    <n v="1"/>
  </r>
  <r>
    <s v="ADM-242052"/>
    <d v="2024-10-12T00:00:00"/>
    <d v="2024-10-16T00:00:00"/>
    <x v="0"/>
    <s v="Q4"/>
    <x v="9"/>
    <x v="5"/>
    <x v="5"/>
    <x v="2"/>
    <x v="1"/>
    <x v="1"/>
    <x v="0"/>
    <n v="4"/>
    <m/>
    <n v="4653"/>
    <n v="0"/>
    <n v="4"/>
    <s v="Improved"/>
    <n v="1"/>
  </r>
  <r>
    <s v="ADM-242053"/>
    <d v="2024-10-12T00:00:00"/>
    <d v="2024-10-13T00:00:00"/>
    <x v="0"/>
    <s v="Q4"/>
    <x v="9"/>
    <x v="5"/>
    <x v="3"/>
    <x v="0"/>
    <x v="1"/>
    <x v="3"/>
    <x v="2"/>
    <n v="1"/>
    <n v="134"/>
    <n v="1529"/>
    <n v="0"/>
    <n v="3"/>
    <s v="Improved"/>
    <n v="1"/>
  </r>
  <r>
    <s v="ADM-242054"/>
    <d v="2024-10-13T00:00:00"/>
    <d v="2024-10-17T00:00:00"/>
    <x v="0"/>
    <s v="Q4"/>
    <x v="9"/>
    <x v="6"/>
    <x v="3"/>
    <x v="0"/>
    <x v="0"/>
    <x v="3"/>
    <x v="0"/>
    <n v="4"/>
    <n v="106"/>
    <n v="3206"/>
    <n v="0"/>
    <n v="4"/>
    <s v="Recovered"/>
    <n v="1"/>
  </r>
  <r>
    <s v="ADM-242055"/>
    <d v="2024-10-13T00:00:00"/>
    <d v="2024-10-21T00:00:00"/>
    <x v="0"/>
    <s v="Q4"/>
    <x v="9"/>
    <x v="6"/>
    <x v="0"/>
    <x v="0"/>
    <x v="1"/>
    <x v="1"/>
    <x v="2"/>
    <n v="8"/>
    <n v="52"/>
    <n v="6321"/>
    <n v="0"/>
    <n v="4"/>
    <s v="Improved"/>
    <n v="1"/>
  </r>
  <r>
    <s v="ADM-242056"/>
    <d v="2024-10-13T00:00:00"/>
    <d v="2024-10-18T00:00:00"/>
    <x v="0"/>
    <s v="Q4"/>
    <x v="9"/>
    <x v="6"/>
    <x v="0"/>
    <x v="2"/>
    <x v="0"/>
    <x v="4"/>
    <x v="2"/>
    <n v="5"/>
    <m/>
    <n v="2498"/>
    <n v="1"/>
    <n v="4"/>
    <s v="Recovered"/>
    <n v="1"/>
  </r>
  <r>
    <s v="ADM-242057"/>
    <d v="2024-10-13T00:00:00"/>
    <d v="2024-10-14T00:00:00"/>
    <x v="0"/>
    <s v="Q4"/>
    <x v="9"/>
    <x v="6"/>
    <x v="5"/>
    <x v="2"/>
    <x v="0"/>
    <x v="1"/>
    <x v="0"/>
    <n v="1"/>
    <m/>
    <n v="1934"/>
    <n v="1"/>
    <n v="4"/>
    <s v="Improved"/>
    <n v="1"/>
  </r>
  <r>
    <s v="ADM-242058"/>
    <d v="2024-10-14T00:00:00"/>
    <d v="2024-10-16T00:00:00"/>
    <x v="0"/>
    <s v="Q4"/>
    <x v="9"/>
    <x v="0"/>
    <x v="4"/>
    <x v="1"/>
    <x v="1"/>
    <x v="2"/>
    <x v="0"/>
    <n v="2"/>
    <m/>
    <n v="2297"/>
    <n v="1"/>
    <n v="4"/>
    <s v="Recovered"/>
    <n v="1"/>
  </r>
  <r>
    <s v="ADM-242059"/>
    <d v="2024-10-14T00:00:00"/>
    <d v="2024-10-17T00:00:00"/>
    <x v="0"/>
    <s v="Q4"/>
    <x v="9"/>
    <x v="0"/>
    <x v="2"/>
    <x v="2"/>
    <x v="0"/>
    <x v="2"/>
    <x v="0"/>
    <n v="3"/>
    <m/>
    <n v="2611"/>
    <n v="0"/>
    <n v="5"/>
    <s v="Recovered"/>
    <n v="1"/>
  </r>
  <r>
    <s v="ADM-242060"/>
    <d v="2024-10-14T00:00:00"/>
    <d v="2024-10-17T00:00:00"/>
    <x v="0"/>
    <s v="Q4"/>
    <x v="9"/>
    <x v="0"/>
    <x v="0"/>
    <x v="0"/>
    <x v="1"/>
    <x v="1"/>
    <x v="2"/>
    <n v="3"/>
    <n v="39"/>
    <n v="3041"/>
    <n v="0"/>
    <n v="5"/>
    <s v="Recovered"/>
    <n v="1"/>
  </r>
  <r>
    <s v="ADM-242061"/>
    <d v="2024-10-14T00:00:00"/>
    <d v="2024-10-15T00:00:00"/>
    <x v="0"/>
    <s v="Q4"/>
    <x v="9"/>
    <x v="0"/>
    <x v="1"/>
    <x v="2"/>
    <x v="1"/>
    <x v="1"/>
    <x v="2"/>
    <n v="1"/>
    <m/>
    <n v="1477"/>
    <n v="1"/>
    <n v="3"/>
    <s v="Recovered"/>
    <n v="1"/>
  </r>
  <r>
    <s v="ADM-242062"/>
    <d v="2024-10-14T00:00:00"/>
    <d v="2024-10-15T00:00:00"/>
    <x v="0"/>
    <s v="Q4"/>
    <x v="9"/>
    <x v="0"/>
    <x v="2"/>
    <x v="2"/>
    <x v="0"/>
    <x v="1"/>
    <x v="2"/>
    <n v="1"/>
    <m/>
    <n v="1457"/>
    <n v="0"/>
    <n v="4"/>
    <s v="Recovered"/>
    <n v="1"/>
  </r>
  <r>
    <s v="ADM-242063"/>
    <d v="2024-10-14T00:00:00"/>
    <d v="2024-10-19T00:00:00"/>
    <x v="0"/>
    <s v="Q4"/>
    <x v="9"/>
    <x v="0"/>
    <x v="5"/>
    <x v="2"/>
    <x v="0"/>
    <x v="1"/>
    <x v="2"/>
    <n v="5"/>
    <m/>
    <n v="4393"/>
    <n v="0"/>
    <n v="5"/>
    <s v="Transferred"/>
    <n v="1"/>
  </r>
  <r>
    <s v="ADM-242064"/>
    <d v="2024-10-14T00:00:00"/>
    <d v="2024-10-22T00:00:00"/>
    <x v="0"/>
    <s v="Q4"/>
    <x v="9"/>
    <x v="0"/>
    <x v="4"/>
    <x v="0"/>
    <x v="0"/>
    <x v="0"/>
    <x v="0"/>
    <n v="8"/>
    <n v="35"/>
    <n v="9322"/>
    <n v="0"/>
    <n v="3"/>
    <s v="Recovered"/>
    <n v="1"/>
  </r>
  <r>
    <s v="ADM-242065"/>
    <d v="2024-10-14T00:00:00"/>
    <d v="2024-10-16T00:00:00"/>
    <x v="0"/>
    <s v="Q4"/>
    <x v="9"/>
    <x v="0"/>
    <x v="3"/>
    <x v="2"/>
    <x v="1"/>
    <x v="3"/>
    <x v="2"/>
    <n v="2"/>
    <m/>
    <n v="2042"/>
    <n v="0"/>
    <n v="4"/>
    <s v="Recovered"/>
    <n v="1"/>
  </r>
  <r>
    <s v="ADM-242066"/>
    <d v="2024-10-14T00:00:00"/>
    <d v="2024-10-21T00:00:00"/>
    <x v="0"/>
    <s v="Q4"/>
    <x v="9"/>
    <x v="0"/>
    <x v="1"/>
    <x v="2"/>
    <x v="1"/>
    <x v="1"/>
    <x v="2"/>
    <n v="7"/>
    <m/>
    <n v="8125"/>
    <n v="0"/>
    <n v="4"/>
    <s v="Improved"/>
    <n v="1"/>
  </r>
  <r>
    <s v="ADM-242067"/>
    <d v="2024-10-14T00:00:00"/>
    <d v="2024-10-17T00:00:00"/>
    <x v="0"/>
    <s v="Q4"/>
    <x v="9"/>
    <x v="0"/>
    <x v="1"/>
    <x v="0"/>
    <x v="0"/>
    <x v="2"/>
    <x v="1"/>
    <n v="3"/>
    <n v="51"/>
    <n v="4262"/>
    <n v="1"/>
    <n v="3"/>
    <s v="Improved"/>
    <n v="1"/>
  </r>
  <r>
    <s v="ADM-242068"/>
    <d v="2024-10-15T00:00:00"/>
    <d v="2024-10-16T00:00:00"/>
    <x v="0"/>
    <s v="Q4"/>
    <x v="9"/>
    <x v="1"/>
    <x v="4"/>
    <x v="0"/>
    <x v="1"/>
    <x v="1"/>
    <x v="0"/>
    <n v="1"/>
    <n v="48"/>
    <n v="2080"/>
    <n v="0"/>
    <n v="5"/>
    <s v="Improved"/>
    <n v="1"/>
  </r>
  <r>
    <s v="ADM-242069"/>
    <d v="2024-10-15T00:00:00"/>
    <d v="2024-10-17T00:00:00"/>
    <x v="0"/>
    <s v="Q4"/>
    <x v="9"/>
    <x v="1"/>
    <x v="4"/>
    <x v="1"/>
    <x v="1"/>
    <x v="4"/>
    <x v="0"/>
    <n v="2"/>
    <m/>
    <n v="3406"/>
    <n v="0"/>
    <n v="3"/>
    <s v="Improved"/>
    <n v="1"/>
  </r>
  <r>
    <s v="ADM-242070"/>
    <d v="2024-10-15T00:00:00"/>
    <d v="2024-10-17T00:00:00"/>
    <x v="0"/>
    <s v="Q4"/>
    <x v="9"/>
    <x v="1"/>
    <x v="1"/>
    <x v="2"/>
    <x v="0"/>
    <x v="0"/>
    <x v="2"/>
    <n v="2"/>
    <m/>
    <n v="3060"/>
    <n v="0"/>
    <n v="5"/>
    <s v="Recovered"/>
    <n v="1"/>
  </r>
  <r>
    <s v="ADM-242071"/>
    <d v="2024-10-15T00:00:00"/>
    <d v="2024-10-16T00:00:00"/>
    <x v="0"/>
    <s v="Q4"/>
    <x v="9"/>
    <x v="1"/>
    <x v="3"/>
    <x v="0"/>
    <x v="1"/>
    <x v="3"/>
    <x v="2"/>
    <n v="1"/>
    <n v="22"/>
    <n v="1226"/>
    <n v="0"/>
    <n v="4"/>
    <s v="Transferred"/>
    <n v="1"/>
  </r>
  <r>
    <s v="ADM-242072"/>
    <d v="2024-10-15T00:00:00"/>
    <d v="2024-10-23T00:00:00"/>
    <x v="0"/>
    <s v="Q4"/>
    <x v="9"/>
    <x v="1"/>
    <x v="2"/>
    <x v="2"/>
    <x v="0"/>
    <x v="2"/>
    <x v="2"/>
    <n v="8"/>
    <m/>
    <n v="4905"/>
    <n v="0"/>
    <n v="4"/>
    <s v="Recovered"/>
    <n v="1"/>
  </r>
  <r>
    <s v="ADM-242073"/>
    <d v="2024-10-15T00:00:00"/>
    <d v="2024-10-20T00:00:00"/>
    <x v="0"/>
    <s v="Q4"/>
    <x v="9"/>
    <x v="1"/>
    <x v="4"/>
    <x v="0"/>
    <x v="0"/>
    <x v="4"/>
    <x v="2"/>
    <n v="5"/>
    <n v="45"/>
    <n v="5947"/>
    <n v="0"/>
    <n v="3"/>
    <s v="Improved"/>
    <n v="1"/>
  </r>
  <r>
    <s v="ADM-242074"/>
    <d v="2024-10-16T00:00:00"/>
    <d v="2024-10-17T00:00:00"/>
    <x v="0"/>
    <s v="Q4"/>
    <x v="9"/>
    <x v="2"/>
    <x v="2"/>
    <x v="0"/>
    <x v="0"/>
    <x v="2"/>
    <x v="0"/>
    <n v="1"/>
    <n v="81"/>
    <n v="1438"/>
    <n v="0"/>
    <n v="4"/>
    <s v="Recovered"/>
    <n v="1"/>
  </r>
  <r>
    <s v="ADM-242075"/>
    <d v="2024-10-16T00:00:00"/>
    <d v="2024-10-26T00:00:00"/>
    <x v="0"/>
    <s v="Q4"/>
    <x v="9"/>
    <x v="2"/>
    <x v="1"/>
    <x v="2"/>
    <x v="1"/>
    <x v="1"/>
    <x v="2"/>
    <n v="10"/>
    <m/>
    <n v="7887"/>
    <n v="0"/>
    <n v="5"/>
    <s v="Improved"/>
    <n v="1"/>
  </r>
  <r>
    <s v="ADM-242076"/>
    <d v="2024-10-16T00:00:00"/>
    <d v="2024-10-18T00:00:00"/>
    <x v="0"/>
    <s v="Q4"/>
    <x v="9"/>
    <x v="2"/>
    <x v="0"/>
    <x v="2"/>
    <x v="1"/>
    <x v="0"/>
    <x v="0"/>
    <n v="2"/>
    <m/>
    <n v="1300"/>
    <n v="0"/>
    <n v="5"/>
    <s v="Improved"/>
    <n v="1"/>
  </r>
  <r>
    <s v="ADM-242077"/>
    <d v="2024-10-16T00:00:00"/>
    <d v="2024-10-19T00:00:00"/>
    <x v="0"/>
    <s v="Q4"/>
    <x v="9"/>
    <x v="2"/>
    <x v="5"/>
    <x v="2"/>
    <x v="1"/>
    <x v="1"/>
    <x v="0"/>
    <n v="3"/>
    <m/>
    <n v="4982"/>
    <n v="1"/>
    <n v="4"/>
    <s v="Recovered"/>
    <n v="1"/>
  </r>
  <r>
    <s v="ADM-242078"/>
    <d v="2024-10-16T00:00:00"/>
    <d v="2024-10-18T00:00:00"/>
    <x v="0"/>
    <s v="Q4"/>
    <x v="9"/>
    <x v="2"/>
    <x v="2"/>
    <x v="0"/>
    <x v="0"/>
    <x v="2"/>
    <x v="0"/>
    <n v="2"/>
    <n v="86"/>
    <n v="1937"/>
    <n v="0"/>
    <n v="4"/>
    <s v="Recovered"/>
    <n v="1"/>
  </r>
  <r>
    <s v="ADM-242079"/>
    <d v="2024-10-16T00:00:00"/>
    <d v="2024-10-21T00:00:00"/>
    <x v="0"/>
    <s v="Q4"/>
    <x v="9"/>
    <x v="2"/>
    <x v="2"/>
    <x v="0"/>
    <x v="0"/>
    <x v="2"/>
    <x v="1"/>
    <n v="5"/>
    <n v="92"/>
    <n v="4852"/>
    <n v="0"/>
    <n v="4"/>
    <s v="Recovered"/>
    <n v="1"/>
  </r>
  <r>
    <s v="ADM-242080"/>
    <d v="2024-10-16T00:00:00"/>
    <d v="2024-10-18T00:00:00"/>
    <x v="0"/>
    <s v="Q4"/>
    <x v="9"/>
    <x v="2"/>
    <x v="0"/>
    <x v="1"/>
    <x v="0"/>
    <x v="4"/>
    <x v="0"/>
    <n v="2"/>
    <m/>
    <n v="2315"/>
    <n v="0"/>
    <n v="5"/>
    <s v="Recovered"/>
    <n v="1"/>
  </r>
  <r>
    <s v="ADM-242081"/>
    <d v="2024-10-16T00:00:00"/>
    <d v="2024-10-24T00:00:00"/>
    <x v="0"/>
    <s v="Q4"/>
    <x v="9"/>
    <x v="2"/>
    <x v="0"/>
    <x v="2"/>
    <x v="1"/>
    <x v="2"/>
    <x v="2"/>
    <n v="8"/>
    <m/>
    <n v="7077"/>
    <n v="0"/>
    <n v="4"/>
    <s v="Recovered"/>
    <n v="1"/>
  </r>
  <r>
    <s v="ADM-242082"/>
    <d v="2024-10-16T00:00:00"/>
    <d v="2024-10-24T00:00:00"/>
    <x v="0"/>
    <s v="Q4"/>
    <x v="9"/>
    <x v="2"/>
    <x v="4"/>
    <x v="0"/>
    <x v="1"/>
    <x v="0"/>
    <x v="2"/>
    <n v="8"/>
    <n v="108"/>
    <n v="11804"/>
    <n v="0"/>
    <n v="3"/>
    <s v="Recovered"/>
    <n v="1"/>
  </r>
  <r>
    <s v="ADM-242083"/>
    <d v="2024-10-17T00:00:00"/>
    <d v="2024-10-26T00:00:00"/>
    <x v="0"/>
    <s v="Q4"/>
    <x v="9"/>
    <x v="3"/>
    <x v="5"/>
    <x v="2"/>
    <x v="0"/>
    <x v="1"/>
    <x v="2"/>
    <n v="9"/>
    <m/>
    <n v="9661"/>
    <n v="0"/>
    <n v="4"/>
    <s v="Recovered"/>
    <n v="1"/>
  </r>
  <r>
    <s v="ADM-242084"/>
    <d v="2024-10-17T00:00:00"/>
    <d v="2024-10-19T00:00:00"/>
    <x v="0"/>
    <s v="Q4"/>
    <x v="9"/>
    <x v="3"/>
    <x v="5"/>
    <x v="2"/>
    <x v="0"/>
    <x v="4"/>
    <x v="0"/>
    <n v="2"/>
    <m/>
    <n v="2617"/>
    <n v="0"/>
    <n v="5"/>
    <s v="Improved"/>
    <n v="1"/>
  </r>
  <r>
    <s v="ADM-242085"/>
    <d v="2024-10-17T00:00:00"/>
    <d v="2024-10-23T00:00:00"/>
    <x v="0"/>
    <s v="Q4"/>
    <x v="9"/>
    <x v="3"/>
    <x v="0"/>
    <x v="2"/>
    <x v="1"/>
    <x v="0"/>
    <x v="0"/>
    <n v="6"/>
    <m/>
    <n v="4189"/>
    <n v="1"/>
    <n v="3"/>
    <s v="Transferred"/>
    <n v="1"/>
  </r>
  <r>
    <s v="ADM-242086"/>
    <d v="2024-10-17T00:00:00"/>
    <d v="2024-10-20T00:00:00"/>
    <x v="0"/>
    <s v="Q4"/>
    <x v="9"/>
    <x v="3"/>
    <x v="1"/>
    <x v="2"/>
    <x v="1"/>
    <x v="0"/>
    <x v="0"/>
    <n v="3"/>
    <m/>
    <n v="3863"/>
    <n v="0"/>
    <n v="4"/>
    <s v="Recovered"/>
    <n v="1"/>
  </r>
  <r>
    <s v="ADM-242087"/>
    <d v="2024-10-17T00:00:00"/>
    <d v="2024-10-25T00:00:00"/>
    <x v="0"/>
    <s v="Q4"/>
    <x v="9"/>
    <x v="3"/>
    <x v="0"/>
    <x v="0"/>
    <x v="1"/>
    <x v="0"/>
    <x v="0"/>
    <n v="8"/>
    <n v="25"/>
    <n v="4277"/>
    <n v="0"/>
    <n v="4"/>
    <s v="Recovered"/>
    <n v="1"/>
  </r>
  <r>
    <s v="ADM-242088"/>
    <d v="2024-10-17T00:00:00"/>
    <d v="2024-10-22T00:00:00"/>
    <x v="0"/>
    <s v="Q4"/>
    <x v="9"/>
    <x v="3"/>
    <x v="4"/>
    <x v="2"/>
    <x v="0"/>
    <x v="0"/>
    <x v="0"/>
    <n v="5"/>
    <m/>
    <n v="7797"/>
    <n v="0"/>
    <n v="5"/>
    <s v="Improved"/>
    <n v="1"/>
  </r>
  <r>
    <s v="ADM-242089"/>
    <d v="2024-10-18T00:00:00"/>
    <d v="2024-10-21T00:00:00"/>
    <x v="0"/>
    <s v="Q4"/>
    <x v="9"/>
    <x v="4"/>
    <x v="2"/>
    <x v="0"/>
    <x v="0"/>
    <x v="1"/>
    <x v="0"/>
    <n v="3"/>
    <n v="35"/>
    <n v="3023"/>
    <n v="0"/>
    <n v="5"/>
    <s v="Improved"/>
    <n v="1"/>
  </r>
  <r>
    <s v="ADM-242090"/>
    <d v="2024-10-18T00:00:00"/>
    <d v="2024-10-23T00:00:00"/>
    <x v="0"/>
    <s v="Q4"/>
    <x v="9"/>
    <x v="4"/>
    <x v="0"/>
    <x v="0"/>
    <x v="1"/>
    <x v="4"/>
    <x v="2"/>
    <n v="5"/>
    <n v="50"/>
    <n v="4060"/>
    <n v="0"/>
    <n v="5"/>
    <s v="Improved"/>
    <n v="1"/>
  </r>
  <r>
    <s v="ADM-242091"/>
    <d v="2024-10-18T00:00:00"/>
    <d v="2024-10-26T00:00:00"/>
    <x v="0"/>
    <s v="Q4"/>
    <x v="9"/>
    <x v="4"/>
    <x v="0"/>
    <x v="0"/>
    <x v="0"/>
    <x v="0"/>
    <x v="0"/>
    <n v="8"/>
    <n v="210"/>
    <n v="6656"/>
    <n v="0"/>
    <n v="3"/>
    <s v="Recovered"/>
    <n v="1"/>
  </r>
  <r>
    <s v="ADM-242092"/>
    <d v="2024-10-18T00:00:00"/>
    <d v="2024-10-19T00:00:00"/>
    <x v="0"/>
    <s v="Q4"/>
    <x v="9"/>
    <x v="4"/>
    <x v="1"/>
    <x v="2"/>
    <x v="0"/>
    <x v="0"/>
    <x v="0"/>
    <n v="1"/>
    <m/>
    <n v="1622"/>
    <n v="0"/>
    <n v="5"/>
    <s v="Recovered"/>
    <n v="1"/>
  </r>
  <r>
    <s v="ADM-242093"/>
    <d v="2024-10-18T00:00:00"/>
    <d v="2024-10-25T00:00:00"/>
    <x v="0"/>
    <s v="Q4"/>
    <x v="9"/>
    <x v="4"/>
    <x v="0"/>
    <x v="0"/>
    <x v="1"/>
    <x v="4"/>
    <x v="0"/>
    <n v="7"/>
    <n v="89"/>
    <n v="5616"/>
    <n v="0"/>
    <n v="4"/>
    <s v="Recovered"/>
    <n v="1"/>
  </r>
  <r>
    <s v="ADM-242094"/>
    <d v="2024-10-18T00:00:00"/>
    <d v="2024-10-19T00:00:00"/>
    <x v="0"/>
    <s v="Q4"/>
    <x v="9"/>
    <x v="4"/>
    <x v="5"/>
    <x v="2"/>
    <x v="1"/>
    <x v="4"/>
    <x v="1"/>
    <n v="1"/>
    <m/>
    <n v="1630"/>
    <n v="0"/>
    <n v="5"/>
    <s v="Improved"/>
    <n v="1"/>
  </r>
  <r>
    <s v="ADM-242095"/>
    <d v="2024-10-18T00:00:00"/>
    <d v="2024-11-05T00:00:00"/>
    <x v="0"/>
    <s v="Q4"/>
    <x v="9"/>
    <x v="4"/>
    <x v="0"/>
    <x v="0"/>
    <x v="1"/>
    <x v="0"/>
    <x v="2"/>
    <n v="18"/>
    <n v="92"/>
    <n v="12967"/>
    <n v="0"/>
    <n v="3"/>
    <s v="Recovered"/>
    <n v="1"/>
  </r>
  <r>
    <s v="ADM-242096"/>
    <d v="2024-10-18T00:00:00"/>
    <d v="2024-10-19T00:00:00"/>
    <x v="0"/>
    <s v="Q4"/>
    <x v="9"/>
    <x v="4"/>
    <x v="1"/>
    <x v="2"/>
    <x v="1"/>
    <x v="4"/>
    <x v="2"/>
    <n v="1"/>
    <m/>
    <n v="1727"/>
    <n v="0"/>
    <n v="5"/>
    <s v="Recovered"/>
    <n v="1"/>
  </r>
  <r>
    <s v="ADM-242097"/>
    <d v="2024-10-19T00:00:00"/>
    <d v="2024-10-26T00:00:00"/>
    <x v="0"/>
    <s v="Q4"/>
    <x v="9"/>
    <x v="5"/>
    <x v="0"/>
    <x v="0"/>
    <x v="0"/>
    <x v="1"/>
    <x v="0"/>
    <n v="7"/>
    <n v="35"/>
    <n v="5679"/>
    <n v="0"/>
    <n v="4"/>
    <s v="Improved"/>
    <n v="1"/>
  </r>
  <r>
    <s v="ADM-242098"/>
    <d v="2024-10-19T00:00:00"/>
    <d v="2024-10-20T00:00:00"/>
    <x v="0"/>
    <s v="Q4"/>
    <x v="9"/>
    <x v="5"/>
    <x v="5"/>
    <x v="2"/>
    <x v="0"/>
    <x v="0"/>
    <x v="2"/>
    <n v="1"/>
    <m/>
    <n v="1651"/>
    <n v="0"/>
    <n v="4"/>
    <s v="Recovered"/>
    <n v="1"/>
  </r>
  <r>
    <s v="ADM-242099"/>
    <d v="2024-10-19T00:00:00"/>
    <d v="2024-10-20T00:00:00"/>
    <x v="0"/>
    <s v="Q4"/>
    <x v="9"/>
    <x v="5"/>
    <x v="2"/>
    <x v="0"/>
    <x v="0"/>
    <x v="2"/>
    <x v="2"/>
    <n v="1"/>
    <n v="77"/>
    <n v="1976"/>
    <n v="0"/>
    <n v="4"/>
    <s v="Improved"/>
    <n v="1"/>
  </r>
  <r>
    <s v="ADM-242100"/>
    <d v="2024-10-19T00:00:00"/>
    <d v="2024-10-21T00:00:00"/>
    <x v="0"/>
    <s v="Q4"/>
    <x v="9"/>
    <x v="5"/>
    <x v="3"/>
    <x v="0"/>
    <x v="1"/>
    <x v="3"/>
    <x v="0"/>
    <n v="2"/>
    <n v="27"/>
    <n v="2605"/>
    <n v="1"/>
    <n v="5"/>
    <s v="Recovered"/>
    <n v="1"/>
  </r>
  <r>
    <s v="ADM-242101"/>
    <d v="2024-10-19T00:00:00"/>
    <d v="2024-10-30T00:00:00"/>
    <x v="0"/>
    <s v="Q4"/>
    <x v="9"/>
    <x v="5"/>
    <x v="0"/>
    <x v="0"/>
    <x v="1"/>
    <x v="1"/>
    <x v="2"/>
    <n v="11"/>
    <n v="43"/>
    <n v="7272"/>
    <n v="0"/>
    <n v="3"/>
    <s v="Improved"/>
    <n v="1"/>
  </r>
  <r>
    <s v="ADM-242102"/>
    <d v="2024-10-19T00:00:00"/>
    <d v="2024-10-22T00:00:00"/>
    <x v="0"/>
    <s v="Q4"/>
    <x v="9"/>
    <x v="5"/>
    <x v="3"/>
    <x v="0"/>
    <x v="0"/>
    <x v="3"/>
    <x v="1"/>
    <n v="3"/>
    <n v="286"/>
    <n v="2148"/>
    <n v="0"/>
    <n v="3"/>
    <s v="Recovered"/>
    <n v="1"/>
  </r>
  <r>
    <s v="ADM-242103"/>
    <d v="2024-10-19T00:00:00"/>
    <d v="2024-10-22T00:00:00"/>
    <x v="0"/>
    <s v="Q4"/>
    <x v="9"/>
    <x v="5"/>
    <x v="1"/>
    <x v="1"/>
    <x v="0"/>
    <x v="0"/>
    <x v="0"/>
    <n v="3"/>
    <m/>
    <n v="3554"/>
    <n v="0"/>
    <n v="4"/>
    <s v="Improved"/>
    <n v="1"/>
  </r>
  <r>
    <s v="ADM-242104"/>
    <d v="2024-10-19T00:00:00"/>
    <d v="2024-10-25T00:00:00"/>
    <x v="0"/>
    <s v="Q4"/>
    <x v="9"/>
    <x v="5"/>
    <x v="5"/>
    <x v="0"/>
    <x v="1"/>
    <x v="0"/>
    <x v="0"/>
    <n v="6"/>
    <n v="34"/>
    <n v="5846"/>
    <n v="1"/>
    <n v="4"/>
    <s v="Recovered"/>
    <n v="1"/>
  </r>
  <r>
    <s v="ADM-242105"/>
    <d v="2024-10-19T00:00:00"/>
    <d v="2024-10-26T00:00:00"/>
    <x v="0"/>
    <s v="Q4"/>
    <x v="9"/>
    <x v="5"/>
    <x v="1"/>
    <x v="2"/>
    <x v="1"/>
    <x v="0"/>
    <x v="2"/>
    <n v="7"/>
    <m/>
    <n v="7567"/>
    <n v="1"/>
    <n v="3"/>
    <s v="Improved"/>
    <n v="1"/>
  </r>
  <r>
    <s v="ADM-242106"/>
    <d v="2024-10-19T00:00:00"/>
    <d v="2024-10-21T00:00:00"/>
    <x v="0"/>
    <s v="Q4"/>
    <x v="9"/>
    <x v="5"/>
    <x v="2"/>
    <x v="0"/>
    <x v="0"/>
    <x v="1"/>
    <x v="2"/>
    <n v="2"/>
    <n v="58"/>
    <n v="2090"/>
    <n v="0"/>
    <n v="5"/>
    <s v="Transferred"/>
    <n v="1"/>
  </r>
  <r>
    <s v="ADM-242107"/>
    <d v="2024-10-19T00:00:00"/>
    <d v="2024-10-25T00:00:00"/>
    <x v="0"/>
    <s v="Q4"/>
    <x v="9"/>
    <x v="5"/>
    <x v="2"/>
    <x v="0"/>
    <x v="0"/>
    <x v="1"/>
    <x v="0"/>
    <n v="6"/>
    <n v="26"/>
    <n v="5008"/>
    <n v="0"/>
    <n v="4"/>
    <s v="Improved"/>
    <n v="1"/>
  </r>
  <r>
    <s v="ADM-242108"/>
    <d v="2024-10-20T00:00:00"/>
    <d v="2024-10-25T00:00:00"/>
    <x v="0"/>
    <s v="Q4"/>
    <x v="9"/>
    <x v="6"/>
    <x v="5"/>
    <x v="2"/>
    <x v="0"/>
    <x v="0"/>
    <x v="0"/>
    <n v="5"/>
    <m/>
    <n v="5570"/>
    <n v="0"/>
    <n v="5"/>
    <s v="Improved"/>
    <n v="1"/>
  </r>
  <r>
    <s v="ADM-242109"/>
    <d v="2024-10-20T00:00:00"/>
    <d v="2024-11-08T00:00:00"/>
    <x v="0"/>
    <s v="Q4"/>
    <x v="9"/>
    <x v="6"/>
    <x v="0"/>
    <x v="1"/>
    <x v="1"/>
    <x v="0"/>
    <x v="0"/>
    <n v="19"/>
    <m/>
    <n v="12536"/>
    <n v="0"/>
    <n v="5"/>
    <s v="Recovered"/>
    <n v="1"/>
  </r>
  <r>
    <s v="ADM-242110"/>
    <d v="2024-10-20T00:00:00"/>
    <d v="2024-10-27T00:00:00"/>
    <x v="0"/>
    <s v="Q4"/>
    <x v="9"/>
    <x v="6"/>
    <x v="4"/>
    <x v="2"/>
    <x v="0"/>
    <x v="4"/>
    <x v="0"/>
    <n v="7"/>
    <m/>
    <n v="10163"/>
    <n v="0"/>
    <n v="5"/>
    <s v="Recovered"/>
    <n v="1"/>
  </r>
  <r>
    <s v="ADM-242111"/>
    <d v="2024-10-20T00:00:00"/>
    <d v="2024-10-22T00:00:00"/>
    <x v="0"/>
    <s v="Q4"/>
    <x v="9"/>
    <x v="6"/>
    <x v="1"/>
    <x v="2"/>
    <x v="0"/>
    <x v="2"/>
    <x v="0"/>
    <n v="2"/>
    <m/>
    <n v="3010"/>
    <n v="0"/>
    <n v="4"/>
    <s v="Transferred"/>
    <n v="1"/>
  </r>
  <r>
    <s v="ADM-242112"/>
    <d v="2024-10-20T00:00:00"/>
    <d v="2024-10-31T00:00:00"/>
    <x v="0"/>
    <s v="Q4"/>
    <x v="9"/>
    <x v="6"/>
    <x v="2"/>
    <x v="0"/>
    <x v="0"/>
    <x v="1"/>
    <x v="0"/>
    <n v="11"/>
    <n v="193"/>
    <n v="6736"/>
    <n v="0"/>
    <n v="3"/>
    <s v="Transferred"/>
    <n v="1"/>
  </r>
  <r>
    <s v="ADM-242113"/>
    <d v="2024-10-20T00:00:00"/>
    <d v="2024-10-25T00:00:00"/>
    <x v="0"/>
    <s v="Q4"/>
    <x v="9"/>
    <x v="6"/>
    <x v="0"/>
    <x v="0"/>
    <x v="0"/>
    <x v="1"/>
    <x v="0"/>
    <n v="5"/>
    <n v="26"/>
    <n v="3449"/>
    <n v="0"/>
    <n v="4"/>
    <s v="Improved"/>
    <n v="1"/>
  </r>
  <r>
    <s v="ADM-242114"/>
    <d v="2024-10-20T00:00:00"/>
    <d v="2024-10-25T00:00:00"/>
    <x v="0"/>
    <s v="Q4"/>
    <x v="9"/>
    <x v="6"/>
    <x v="5"/>
    <x v="1"/>
    <x v="1"/>
    <x v="2"/>
    <x v="0"/>
    <n v="5"/>
    <m/>
    <n v="5597"/>
    <n v="0"/>
    <n v="5"/>
    <s v="Improved"/>
    <n v="1"/>
  </r>
  <r>
    <s v="ADM-242115"/>
    <d v="2024-10-21T00:00:00"/>
    <d v="2024-10-25T00:00:00"/>
    <x v="0"/>
    <s v="Q4"/>
    <x v="9"/>
    <x v="0"/>
    <x v="5"/>
    <x v="2"/>
    <x v="0"/>
    <x v="1"/>
    <x v="1"/>
    <n v="4"/>
    <m/>
    <n v="4261"/>
    <n v="0"/>
    <n v="5"/>
    <s v="Recovered"/>
    <n v="1"/>
  </r>
  <r>
    <s v="ADM-242116"/>
    <d v="2024-10-21T00:00:00"/>
    <d v="2024-10-25T00:00:00"/>
    <x v="0"/>
    <s v="Q4"/>
    <x v="9"/>
    <x v="0"/>
    <x v="0"/>
    <x v="0"/>
    <x v="0"/>
    <x v="0"/>
    <x v="0"/>
    <n v="4"/>
    <n v="40"/>
    <n v="3816"/>
    <n v="0"/>
    <n v="5"/>
    <s v="Improved"/>
    <n v="1"/>
  </r>
  <r>
    <s v="ADM-242117"/>
    <d v="2024-10-21T00:00:00"/>
    <d v="2024-10-23T00:00:00"/>
    <x v="0"/>
    <s v="Q4"/>
    <x v="9"/>
    <x v="0"/>
    <x v="5"/>
    <x v="2"/>
    <x v="0"/>
    <x v="2"/>
    <x v="2"/>
    <n v="2"/>
    <m/>
    <n v="2887"/>
    <n v="0"/>
    <n v="5"/>
    <s v="Recovered"/>
    <n v="1"/>
  </r>
  <r>
    <s v="ADM-242118"/>
    <d v="2024-10-21T00:00:00"/>
    <d v="2024-10-22T00:00:00"/>
    <x v="0"/>
    <s v="Q4"/>
    <x v="9"/>
    <x v="0"/>
    <x v="0"/>
    <x v="2"/>
    <x v="1"/>
    <x v="0"/>
    <x v="1"/>
    <n v="1"/>
    <m/>
    <n v="1663"/>
    <n v="0"/>
    <n v="4"/>
    <s v="Recovered"/>
    <n v="1"/>
  </r>
  <r>
    <s v="ADM-242119"/>
    <d v="2024-10-21T00:00:00"/>
    <d v="2024-10-22T00:00:00"/>
    <x v="0"/>
    <s v="Q4"/>
    <x v="9"/>
    <x v="0"/>
    <x v="3"/>
    <x v="2"/>
    <x v="1"/>
    <x v="3"/>
    <x v="2"/>
    <n v="1"/>
    <m/>
    <n v="1342"/>
    <n v="0"/>
    <n v="3"/>
    <s v="Recovered"/>
    <n v="1"/>
  </r>
  <r>
    <s v="ADM-242120"/>
    <d v="2024-10-21T00:00:00"/>
    <d v="2024-10-26T00:00:00"/>
    <x v="0"/>
    <s v="Q4"/>
    <x v="9"/>
    <x v="0"/>
    <x v="4"/>
    <x v="0"/>
    <x v="1"/>
    <x v="0"/>
    <x v="1"/>
    <n v="5"/>
    <n v="44"/>
    <n v="5036"/>
    <n v="0"/>
    <n v="4"/>
    <s v="Improved"/>
    <n v="1"/>
  </r>
  <r>
    <s v="ADM-242121"/>
    <d v="2024-10-22T00:00:00"/>
    <d v="2024-10-25T00:00:00"/>
    <x v="0"/>
    <s v="Q4"/>
    <x v="9"/>
    <x v="1"/>
    <x v="5"/>
    <x v="0"/>
    <x v="1"/>
    <x v="1"/>
    <x v="0"/>
    <n v="3"/>
    <n v="26"/>
    <n v="3709"/>
    <n v="0"/>
    <n v="4"/>
    <s v="Recovered"/>
    <n v="1"/>
  </r>
  <r>
    <s v="ADM-242122"/>
    <d v="2024-10-22T00:00:00"/>
    <d v="2024-10-26T00:00:00"/>
    <x v="0"/>
    <s v="Q4"/>
    <x v="9"/>
    <x v="1"/>
    <x v="1"/>
    <x v="2"/>
    <x v="0"/>
    <x v="4"/>
    <x v="0"/>
    <n v="4"/>
    <m/>
    <n v="4983"/>
    <n v="0"/>
    <n v="5"/>
    <s v="Deceased"/>
    <n v="1"/>
  </r>
  <r>
    <s v="ADM-242123"/>
    <d v="2024-10-22T00:00:00"/>
    <d v="2024-10-30T00:00:00"/>
    <x v="0"/>
    <s v="Q4"/>
    <x v="9"/>
    <x v="1"/>
    <x v="1"/>
    <x v="1"/>
    <x v="0"/>
    <x v="0"/>
    <x v="2"/>
    <n v="8"/>
    <m/>
    <n v="8652"/>
    <n v="0"/>
    <n v="4"/>
    <s v="Improved"/>
    <n v="1"/>
  </r>
  <r>
    <s v="ADM-242124"/>
    <d v="2024-10-23T00:00:00"/>
    <d v="2024-10-26T00:00:00"/>
    <x v="0"/>
    <s v="Q4"/>
    <x v="9"/>
    <x v="2"/>
    <x v="0"/>
    <x v="0"/>
    <x v="1"/>
    <x v="0"/>
    <x v="2"/>
    <n v="3"/>
    <n v="84"/>
    <n v="2986"/>
    <n v="0"/>
    <n v="4"/>
    <s v="Improved"/>
    <n v="1"/>
  </r>
  <r>
    <s v="ADM-242125"/>
    <d v="2024-10-23T00:00:00"/>
    <d v="2024-10-27T00:00:00"/>
    <x v="0"/>
    <s v="Q4"/>
    <x v="9"/>
    <x v="2"/>
    <x v="5"/>
    <x v="2"/>
    <x v="1"/>
    <x v="2"/>
    <x v="0"/>
    <n v="4"/>
    <m/>
    <n v="4002"/>
    <n v="0"/>
    <n v="5"/>
    <s v="Improved"/>
    <n v="1"/>
  </r>
  <r>
    <s v="ADM-242126"/>
    <d v="2024-10-23T00:00:00"/>
    <d v="2024-10-25T00:00:00"/>
    <x v="0"/>
    <s v="Q4"/>
    <x v="9"/>
    <x v="2"/>
    <x v="5"/>
    <x v="2"/>
    <x v="0"/>
    <x v="2"/>
    <x v="0"/>
    <n v="2"/>
    <m/>
    <n v="2990"/>
    <n v="0"/>
    <n v="5"/>
    <s v="Recovered"/>
    <n v="1"/>
  </r>
  <r>
    <s v="ADM-242127"/>
    <d v="2024-10-23T00:00:00"/>
    <d v="2024-10-24T00:00:00"/>
    <x v="0"/>
    <s v="Q4"/>
    <x v="9"/>
    <x v="2"/>
    <x v="2"/>
    <x v="2"/>
    <x v="0"/>
    <x v="2"/>
    <x v="2"/>
    <n v="1"/>
    <m/>
    <n v="1512"/>
    <n v="0"/>
    <n v="3"/>
    <s v="Improved"/>
    <n v="1"/>
  </r>
  <r>
    <s v="ADM-242128"/>
    <d v="2024-10-23T00:00:00"/>
    <d v="2024-10-24T00:00:00"/>
    <x v="0"/>
    <s v="Q4"/>
    <x v="9"/>
    <x v="2"/>
    <x v="3"/>
    <x v="1"/>
    <x v="1"/>
    <x v="3"/>
    <x v="1"/>
    <n v="1"/>
    <m/>
    <n v="1508"/>
    <n v="0"/>
    <n v="5"/>
    <s v="Recovered"/>
    <n v="1"/>
  </r>
  <r>
    <s v="ADM-242129"/>
    <d v="2024-10-23T00:00:00"/>
    <d v="2024-11-02T00:00:00"/>
    <x v="0"/>
    <s v="Q4"/>
    <x v="9"/>
    <x v="2"/>
    <x v="0"/>
    <x v="0"/>
    <x v="0"/>
    <x v="2"/>
    <x v="0"/>
    <n v="10"/>
    <n v="16"/>
    <n v="6311"/>
    <n v="0"/>
    <n v="4"/>
    <s v="Recovered"/>
    <n v="1"/>
  </r>
  <r>
    <s v="ADM-242130"/>
    <d v="2024-10-23T00:00:00"/>
    <d v="2024-10-28T00:00:00"/>
    <x v="0"/>
    <s v="Q4"/>
    <x v="9"/>
    <x v="2"/>
    <x v="0"/>
    <x v="2"/>
    <x v="0"/>
    <x v="0"/>
    <x v="0"/>
    <n v="5"/>
    <m/>
    <n v="4147"/>
    <n v="0"/>
    <n v="4"/>
    <s v="Improved"/>
    <n v="1"/>
  </r>
  <r>
    <s v="ADM-242131"/>
    <d v="2024-10-23T00:00:00"/>
    <d v="2024-10-31T00:00:00"/>
    <x v="0"/>
    <s v="Q4"/>
    <x v="9"/>
    <x v="2"/>
    <x v="5"/>
    <x v="0"/>
    <x v="1"/>
    <x v="4"/>
    <x v="0"/>
    <n v="8"/>
    <n v="139"/>
    <n v="8574"/>
    <n v="0"/>
    <n v="4"/>
    <s v="Recovered"/>
    <n v="1"/>
  </r>
  <r>
    <s v="ADM-242132"/>
    <d v="2024-10-24T00:00:00"/>
    <d v="2024-10-25T00:00:00"/>
    <x v="0"/>
    <s v="Q4"/>
    <x v="9"/>
    <x v="3"/>
    <x v="3"/>
    <x v="0"/>
    <x v="1"/>
    <x v="3"/>
    <x v="2"/>
    <n v="1"/>
    <n v="15"/>
    <n v="1315"/>
    <n v="1"/>
    <n v="3"/>
    <s v="Transferred"/>
    <n v="1"/>
  </r>
  <r>
    <s v="ADM-242133"/>
    <d v="2024-10-24T00:00:00"/>
    <d v="2024-11-04T00:00:00"/>
    <x v="0"/>
    <s v="Q4"/>
    <x v="9"/>
    <x v="3"/>
    <x v="4"/>
    <x v="0"/>
    <x v="0"/>
    <x v="0"/>
    <x v="2"/>
    <n v="11"/>
    <n v="37"/>
    <n v="14187"/>
    <n v="0"/>
    <n v="4"/>
    <s v="Recovered"/>
    <n v="1"/>
  </r>
  <r>
    <s v="ADM-242134"/>
    <d v="2024-10-24T00:00:00"/>
    <d v="2024-10-29T00:00:00"/>
    <x v="0"/>
    <s v="Q4"/>
    <x v="9"/>
    <x v="3"/>
    <x v="1"/>
    <x v="2"/>
    <x v="0"/>
    <x v="0"/>
    <x v="0"/>
    <n v="5"/>
    <m/>
    <n v="3817"/>
    <n v="0"/>
    <n v="4"/>
    <s v="Recovered"/>
    <n v="1"/>
  </r>
  <r>
    <s v="ADM-242135"/>
    <d v="2024-10-24T00:00:00"/>
    <d v="2024-10-30T00:00:00"/>
    <x v="0"/>
    <s v="Q4"/>
    <x v="9"/>
    <x v="3"/>
    <x v="0"/>
    <x v="0"/>
    <x v="0"/>
    <x v="4"/>
    <x v="0"/>
    <n v="6"/>
    <n v="19"/>
    <n v="4080"/>
    <n v="0"/>
    <n v="4"/>
    <s v="Recovered"/>
    <n v="1"/>
  </r>
  <r>
    <s v="ADM-242136"/>
    <d v="2024-10-24T00:00:00"/>
    <d v="2024-10-27T00:00:00"/>
    <x v="0"/>
    <s v="Q4"/>
    <x v="9"/>
    <x v="3"/>
    <x v="2"/>
    <x v="0"/>
    <x v="0"/>
    <x v="1"/>
    <x v="1"/>
    <n v="3"/>
    <n v="50"/>
    <n v="1921"/>
    <n v="0"/>
    <n v="4"/>
    <s v="Recovered"/>
    <n v="1"/>
  </r>
  <r>
    <s v="ADM-242137"/>
    <d v="2024-10-24T00:00:00"/>
    <d v="2024-10-27T00:00:00"/>
    <x v="0"/>
    <s v="Q4"/>
    <x v="9"/>
    <x v="3"/>
    <x v="3"/>
    <x v="2"/>
    <x v="1"/>
    <x v="3"/>
    <x v="0"/>
    <n v="3"/>
    <m/>
    <n v="2697"/>
    <n v="0"/>
    <n v="4"/>
    <s v="Recovered"/>
    <n v="1"/>
  </r>
  <r>
    <s v="ADM-242138"/>
    <d v="2024-10-24T00:00:00"/>
    <d v="2024-10-31T00:00:00"/>
    <x v="0"/>
    <s v="Q4"/>
    <x v="9"/>
    <x v="3"/>
    <x v="3"/>
    <x v="0"/>
    <x v="0"/>
    <x v="3"/>
    <x v="2"/>
    <n v="7"/>
    <n v="102"/>
    <n v="6224"/>
    <n v="0"/>
    <n v="3"/>
    <s v="Improved"/>
    <n v="1"/>
  </r>
  <r>
    <s v="ADM-242139"/>
    <d v="2024-10-24T00:00:00"/>
    <d v="2024-10-29T00:00:00"/>
    <x v="0"/>
    <s v="Q4"/>
    <x v="9"/>
    <x v="3"/>
    <x v="1"/>
    <x v="1"/>
    <x v="0"/>
    <x v="1"/>
    <x v="0"/>
    <n v="5"/>
    <m/>
    <n v="5623"/>
    <n v="0"/>
    <n v="5"/>
    <s v="Improved"/>
    <n v="1"/>
  </r>
  <r>
    <s v="ADM-242140"/>
    <d v="2024-10-25T00:00:00"/>
    <d v="2024-10-28T00:00:00"/>
    <x v="0"/>
    <s v="Q4"/>
    <x v="9"/>
    <x v="4"/>
    <x v="4"/>
    <x v="0"/>
    <x v="0"/>
    <x v="0"/>
    <x v="2"/>
    <n v="3"/>
    <n v="97"/>
    <n v="4988"/>
    <n v="0"/>
    <n v="4"/>
    <s v="Recovered"/>
    <n v="1"/>
  </r>
  <r>
    <s v="ADM-242141"/>
    <d v="2024-10-25T00:00:00"/>
    <d v="2024-11-02T00:00:00"/>
    <x v="0"/>
    <s v="Q4"/>
    <x v="9"/>
    <x v="4"/>
    <x v="0"/>
    <x v="0"/>
    <x v="1"/>
    <x v="0"/>
    <x v="2"/>
    <n v="8"/>
    <n v="166"/>
    <n v="5308"/>
    <n v="1"/>
    <n v="2"/>
    <s v="Recovered"/>
    <n v="1"/>
  </r>
  <r>
    <s v="ADM-242142"/>
    <d v="2024-10-25T00:00:00"/>
    <d v="2024-10-27T00:00:00"/>
    <x v="0"/>
    <s v="Q4"/>
    <x v="9"/>
    <x v="4"/>
    <x v="2"/>
    <x v="2"/>
    <x v="0"/>
    <x v="1"/>
    <x v="2"/>
    <n v="2"/>
    <m/>
    <n v="1772"/>
    <n v="0"/>
    <n v="5"/>
    <s v="Recovered"/>
    <n v="1"/>
  </r>
  <r>
    <s v="ADM-242143"/>
    <d v="2024-10-25T00:00:00"/>
    <d v="2024-10-28T00:00:00"/>
    <x v="0"/>
    <s v="Q4"/>
    <x v="9"/>
    <x v="4"/>
    <x v="2"/>
    <x v="2"/>
    <x v="0"/>
    <x v="1"/>
    <x v="2"/>
    <n v="3"/>
    <m/>
    <n v="2416"/>
    <n v="0"/>
    <n v="4"/>
    <s v="Transferred"/>
    <n v="1"/>
  </r>
  <r>
    <s v="ADM-242144"/>
    <d v="2024-10-25T00:00:00"/>
    <d v="2024-11-06T00:00:00"/>
    <x v="0"/>
    <s v="Q4"/>
    <x v="9"/>
    <x v="4"/>
    <x v="4"/>
    <x v="2"/>
    <x v="1"/>
    <x v="0"/>
    <x v="0"/>
    <n v="12"/>
    <m/>
    <n v="12321"/>
    <n v="0"/>
    <n v="5"/>
    <s v="Improved"/>
    <n v="1"/>
  </r>
  <r>
    <s v="ADM-242145"/>
    <d v="2024-10-25T00:00:00"/>
    <d v="2024-10-31T00:00:00"/>
    <x v="0"/>
    <s v="Q4"/>
    <x v="9"/>
    <x v="4"/>
    <x v="4"/>
    <x v="0"/>
    <x v="0"/>
    <x v="2"/>
    <x v="1"/>
    <n v="6"/>
    <n v="79"/>
    <n v="8615"/>
    <n v="0"/>
    <n v="5"/>
    <s v="Recovered"/>
    <n v="1"/>
  </r>
  <r>
    <s v="ADM-242146"/>
    <d v="2024-10-25T00:00:00"/>
    <d v="2024-10-27T00:00:00"/>
    <x v="0"/>
    <s v="Q4"/>
    <x v="9"/>
    <x v="4"/>
    <x v="3"/>
    <x v="0"/>
    <x v="1"/>
    <x v="3"/>
    <x v="2"/>
    <n v="2"/>
    <n v="91"/>
    <n v="2181"/>
    <n v="0"/>
    <n v="3"/>
    <s v="Improved"/>
    <n v="1"/>
  </r>
  <r>
    <s v="ADM-242147"/>
    <d v="2024-10-25T00:00:00"/>
    <d v="2024-10-28T00:00:00"/>
    <x v="0"/>
    <s v="Q4"/>
    <x v="9"/>
    <x v="4"/>
    <x v="0"/>
    <x v="0"/>
    <x v="0"/>
    <x v="4"/>
    <x v="0"/>
    <n v="3"/>
    <n v="70"/>
    <n v="2849"/>
    <n v="0"/>
    <n v="4"/>
    <s v="Improved"/>
    <n v="1"/>
  </r>
  <r>
    <s v="ADM-242148"/>
    <d v="2024-10-25T00:00:00"/>
    <d v="2024-10-26T00:00:00"/>
    <x v="0"/>
    <s v="Q4"/>
    <x v="9"/>
    <x v="4"/>
    <x v="2"/>
    <x v="0"/>
    <x v="0"/>
    <x v="1"/>
    <x v="0"/>
    <n v="1"/>
    <n v="51"/>
    <n v="1635"/>
    <n v="0"/>
    <n v="4"/>
    <s v="Recovered"/>
    <n v="1"/>
  </r>
  <r>
    <s v="ADM-242149"/>
    <d v="2024-10-26T00:00:00"/>
    <d v="2024-11-02T00:00:00"/>
    <x v="0"/>
    <s v="Q4"/>
    <x v="9"/>
    <x v="5"/>
    <x v="1"/>
    <x v="2"/>
    <x v="0"/>
    <x v="0"/>
    <x v="0"/>
    <n v="7"/>
    <m/>
    <n v="9592"/>
    <n v="0"/>
    <n v="5"/>
    <s v="Improved"/>
    <n v="1"/>
  </r>
  <r>
    <s v="ADM-242150"/>
    <d v="2024-10-26T00:00:00"/>
    <d v="2024-11-01T00:00:00"/>
    <x v="0"/>
    <s v="Q4"/>
    <x v="9"/>
    <x v="5"/>
    <x v="2"/>
    <x v="0"/>
    <x v="0"/>
    <x v="2"/>
    <x v="0"/>
    <n v="6"/>
    <n v="106"/>
    <n v="3909"/>
    <n v="0"/>
    <n v="4"/>
    <s v="Recovered"/>
    <n v="1"/>
  </r>
  <r>
    <s v="ADM-242151"/>
    <d v="2024-10-26T00:00:00"/>
    <d v="2024-10-29T00:00:00"/>
    <x v="0"/>
    <s v="Q4"/>
    <x v="9"/>
    <x v="5"/>
    <x v="2"/>
    <x v="1"/>
    <x v="0"/>
    <x v="2"/>
    <x v="2"/>
    <n v="3"/>
    <m/>
    <n v="2306"/>
    <n v="0"/>
    <n v="5"/>
    <s v="Improved"/>
    <n v="1"/>
  </r>
  <r>
    <s v="ADM-242152"/>
    <d v="2024-10-26T00:00:00"/>
    <d v="2024-11-01T00:00:00"/>
    <x v="0"/>
    <s v="Q4"/>
    <x v="9"/>
    <x v="5"/>
    <x v="5"/>
    <x v="2"/>
    <x v="0"/>
    <x v="0"/>
    <x v="0"/>
    <n v="6"/>
    <m/>
    <n v="7060"/>
    <n v="0"/>
    <n v="4"/>
    <s v="Recovered"/>
    <n v="1"/>
  </r>
  <r>
    <s v="ADM-242153"/>
    <d v="2024-10-26T00:00:00"/>
    <d v="2024-11-01T00:00:00"/>
    <x v="0"/>
    <s v="Q4"/>
    <x v="9"/>
    <x v="5"/>
    <x v="4"/>
    <x v="0"/>
    <x v="0"/>
    <x v="1"/>
    <x v="2"/>
    <n v="6"/>
    <n v="16"/>
    <n v="5253"/>
    <n v="0"/>
    <n v="5"/>
    <s v="Recovered"/>
    <n v="1"/>
  </r>
  <r>
    <s v="ADM-242154"/>
    <d v="2024-10-26T00:00:00"/>
    <d v="2024-10-28T00:00:00"/>
    <x v="0"/>
    <s v="Q4"/>
    <x v="9"/>
    <x v="5"/>
    <x v="1"/>
    <x v="1"/>
    <x v="0"/>
    <x v="0"/>
    <x v="0"/>
    <n v="2"/>
    <m/>
    <n v="2863"/>
    <n v="0"/>
    <n v="4"/>
    <s v="Recovered"/>
    <n v="1"/>
  </r>
  <r>
    <s v="ADM-242155"/>
    <d v="2024-10-26T00:00:00"/>
    <d v="2024-10-29T00:00:00"/>
    <x v="0"/>
    <s v="Q4"/>
    <x v="9"/>
    <x v="5"/>
    <x v="1"/>
    <x v="2"/>
    <x v="1"/>
    <x v="2"/>
    <x v="1"/>
    <n v="3"/>
    <m/>
    <n v="4303"/>
    <n v="0"/>
    <n v="5"/>
    <s v="Recovered"/>
    <n v="1"/>
  </r>
  <r>
    <s v="ADM-242156"/>
    <d v="2024-10-27T00:00:00"/>
    <d v="2024-10-28T00:00:00"/>
    <x v="0"/>
    <s v="Q4"/>
    <x v="9"/>
    <x v="6"/>
    <x v="3"/>
    <x v="1"/>
    <x v="1"/>
    <x v="3"/>
    <x v="2"/>
    <n v="1"/>
    <m/>
    <n v="1643"/>
    <n v="0"/>
    <n v="4"/>
    <s v="Recovered"/>
    <n v="1"/>
  </r>
  <r>
    <s v="ADM-242157"/>
    <d v="2024-10-27T00:00:00"/>
    <d v="2024-10-28T00:00:00"/>
    <x v="0"/>
    <s v="Q4"/>
    <x v="9"/>
    <x v="6"/>
    <x v="1"/>
    <x v="2"/>
    <x v="0"/>
    <x v="0"/>
    <x v="0"/>
    <n v="1"/>
    <m/>
    <n v="1776"/>
    <n v="1"/>
    <n v="4"/>
    <s v="Recovered"/>
    <n v="1"/>
  </r>
  <r>
    <s v="ADM-242158"/>
    <d v="2024-10-27T00:00:00"/>
    <d v="2024-10-29T00:00:00"/>
    <x v="0"/>
    <s v="Q4"/>
    <x v="9"/>
    <x v="6"/>
    <x v="5"/>
    <x v="2"/>
    <x v="1"/>
    <x v="4"/>
    <x v="0"/>
    <n v="2"/>
    <m/>
    <n v="2795"/>
    <n v="1"/>
    <n v="5"/>
    <s v="Improved"/>
    <n v="1"/>
  </r>
  <r>
    <s v="ADM-242159"/>
    <d v="2024-10-27T00:00:00"/>
    <d v="2024-11-03T00:00:00"/>
    <x v="0"/>
    <s v="Q4"/>
    <x v="9"/>
    <x v="6"/>
    <x v="5"/>
    <x v="0"/>
    <x v="1"/>
    <x v="4"/>
    <x v="0"/>
    <n v="7"/>
    <n v="35"/>
    <n v="8053"/>
    <n v="0"/>
    <n v="5"/>
    <s v="Recovered"/>
    <n v="1"/>
  </r>
  <r>
    <s v="ADM-242160"/>
    <d v="2024-10-27T00:00:00"/>
    <d v="2024-10-31T00:00:00"/>
    <x v="0"/>
    <s v="Q4"/>
    <x v="9"/>
    <x v="6"/>
    <x v="0"/>
    <x v="0"/>
    <x v="0"/>
    <x v="4"/>
    <x v="0"/>
    <n v="4"/>
    <n v="134"/>
    <n v="3376"/>
    <n v="0"/>
    <n v="3"/>
    <s v="Improved"/>
    <n v="1"/>
  </r>
  <r>
    <s v="ADM-242161"/>
    <d v="2024-10-27T00:00:00"/>
    <d v="2024-10-29T00:00:00"/>
    <x v="0"/>
    <s v="Q4"/>
    <x v="9"/>
    <x v="6"/>
    <x v="3"/>
    <x v="2"/>
    <x v="1"/>
    <x v="3"/>
    <x v="2"/>
    <n v="2"/>
    <m/>
    <n v="1223"/>
    <n v="1"/>
    <n v="3"/>
    <s v="Improved"/>
    <n v="1"/>
  </r>
  <r>
    <s v="ADM-242162"/>
    <d v="2024-10-28T00:00:00"/>
    <d v="2024-11-02T00:00:00"/>
    <x v="0"/>
    <s v="Q4"/>
    <x v="9"/>
    <x v="0"/>
    <x v="4"/>
    <x v="0"/>
    <x v="1"/>
    <x v="0"/>
    <x v="1"/>
    <n v="5"/>
    <n v="60"/>
    <n v="8778"/>
    <n v="0"/>
    <n v="5"/>
    <s v="Recovered"/>
    <n v="1"/>
  </r>
  <r>
    <s v="ADM-242163"/>
    <d v="2024-10-28T00:00:00"/>
    <d v="2024-10-31T00:00:00"/>
    <x v="0"/>
    <s v="Q4"/>
    <x v="9"/>
    <x v="0"/>
    <x v="5"/>
    <x v="2"/>
    <x v="0"/>
    <x v="0"/>
    <x v="2"/>
    <n v="3"/>
    <m/>
    <n v="4113"/>
    <n v="0"/>
    <n v="4"/>
    <s v="Improved"/>
    <n v="1"/>
  </r>
  <r>
    <s v="ADM-242164"/>
    <d v="2024-10-28T00:00:00"/>
    <d v="2024-10-31T00:00:00"/>
    <x v="0"/>
    <s v="Q4"/>
    <x v="9"/>
    <x v="0"/>
    <x v="2"/>
    <x v="0"/>
    <x v="0"/>
    <x v="2"/>
    <x v="2"/>
    <n v="3"/>
    <n v="26"/>
    <n v="3742"/>
    <n v="0"/>
    <n v="4"/>
    <s v="Improved"/>
    <n v="1"/>
  </r>
  <r>
    <s v="ADM-242165"/>
    <d v="2024-10-28T00:00:00"/>
    <d v="2024-11-01T00:00:00"/>
    <x v="0"/>
    <s v="Q4"/>
    <x v="9"/>
    <x v="0"/>
    <x v="0"/>
    <x v="1"/>
    <x v="1"/>
    <x v="2"/>
    <x v="2"/>
    <n v="4"/>
    <m/>
    <n v="2531"/>
    <n v="0"/>
    <n v="5"/>
    <s v="Recovered"/>
    <n v="1"/>
  </r>
  <r>
    <s v="ADM-242166"/>
    <d v="2024-10-28T00:00:00"/>
    <d v="2024-11-02T00:00:00"/>
    <x v="0"/>
    <s v="Q4"/>
    <x v="9"/>
    <x v="0"/>
    <x v="3"/>
    <x v="0"/>
    <x v="0"/>
    <x v="3"/>
    <x v="2"/>
    <n v="5"/>
    <n v="42"/>
    <n v="3853"/>
    <n v="0"/>
    <n v="4"/>
    <s v="Recovered"/>
    <n v="1"/>
  </r>
  <r>
    <s v="ADM-242167"/>
    <d v="2024-10-28T00:00:00"/>
    <d v="2024-10-30T00:00:00"/>
    <x v="0"/>
    <s v="Q4"/>
    <x v="9"/>
    <x v="0"/>
    <x v="3"/>
    <x v="0"/>
    <x v="0"/>
    <x v="3"/>
    <x v="0"/>
    <n v="2"/>
    <n v="46"/>
    <n v="1977"/>
    <n v="0"/>
    <n v="4"/>
    <s v="Improved"/>
    <n v="1"/>
  </r>
  <r>
    <s v="ADM-242168"/>
    <d v="2024-10-29T00:00:00"/>
    <d v="2024-11-02T00:00:00"/>
    <x v="0"/>
    <s v="Q4"/>
    <x v="9"/>
    <x v="1"/>
    <x v="2"/>
    <x v="1"/>
    <x v="0"/>
    <x v="1"/>
    <x v="2"/>
    <n v="4"/>
    <m/>
    <n v="4318"/>
    <n v="0"/>
    <n v="5"/>
    <s v="Recovered"/>
    <n v="1"/>
  </r>
  <r>
    <s v="ADM-242169"/>
    <d v="2024-10-29T00:00:00"/>
    <d v="2024-10-30T00:00:00"/>
    <x v="0"/>
    <s v="Q4"/>
    <x v="9"/>
    <x v="1"/>
    <x v="1"/>
    <x v="2"/>
    <x v="0"/>
    <x v="4"/>
    <x v="2"/>
    <n v="1"/>
    <m/>
    <n v="1731"/>
    <n v="1"/>
    <n v="3"/>
    <s v="Recovered"/>
    <n v="1"/>
  </r>
  <r>
    <s v="ADM-242170"/>
    <d v="2024-10-29T00:00:00"/>
    <d v="2024-10-30T00:00:00"/>
    <x v="0"/>
    <s v="Q4"/>
    <x v="9"/>
    <x v="1"/>
    <x v="3"/>
    <x v="0"/>
    <x v="0"/>
    <x v="3"/>
    <x v="2"/>
    <n v="1"/>
    <n v="72"/>
    <n v="1226"/>
    <n v="0"/>
    <n v="3"/>
    <s v="Improved"/>
    <n v="1"/>
  </r>
  <r>
    <s v="ADM-242171"/>
    <d v="2024-10-29T00:00:00"/>
    <d v="2024-11-01T00:00:00"/>
    <x v="0"/>
    <s v="Q4"/>
    <x v="9"/>
    <x v="1"/>
    <x v="0"/>
    <x v="0"/>
    <x v="1"/>
    <x v="0"/>
    <x v="0"/>
    <n v="3"/>
    <n v="26"/>
    <n v="2547"/>
    <n v="0"/>
    <n v="4"/>
    <s v="Recovered"/>
    <n v="1"/>
  </r>
  <r>
    <s v="ADM-242172"/>
    <d v="2024-10-29T00:00:00"/>
    <d v="2024-11-12T00:00:00"/>
    <x v="0"/>
    <s v="Q4"/>
    <x v="9"/>
    <x v="1"/>
    <x v="0"/>
    <x v="0"/>
    <x v="0"/>
    <x v="0"/>
    <x v="1"/>
    <n v="14"/>
    <n v="42"/>
    <n v="10183"/>
    <n v="0"/>
    <n v="4"/>
    <s v="Improved"/>
    <n v="1"/>
  </r>
  <r>
    <s v="ADM-242173"/>
    <d v="2024-10-29T00:00:00"/>
    <d v="2024-11-02T00:00:00"/>
    <x v="0"/>
    <s v="Q4"/>
    <x v="9"/>
    <x v="1"/>
    <x v="1"/>
    <x v="2"/>
    <x v="1"/>
    <x v="4"/>
    <x v="0"/>
    <n v="4"/>
    <m/>
    <n v="3913"/>
    <n v="0"/>
    <n v="5"/>
    <s v="Recovered"/>
    <n v="1"/>
  </r>
  <r>
    <s v="ADM-242174"/>
    <d v="2024-10-30T00:00:00"/>
    <d v="2024-11-03T00:00:00"/>
    <x v="0"/>
    <s v="Q4"/>
    <x v="9"/>
    <x v="2"/>
    <x v="0"/>
    <x v="0"/>
    <x v="0"/>
    <x v="4"/>
    <x v="2"/>
    <n v="4"/>
    <n v="40"/>
    <n v="4641"/>
    <n v="0"/>
    <n v="3"/>
    <s v="Recovered"/>
    <n v="1"/>
  </r>
  <r>
    <s v="ADM-242175"/>
    <d v="2024-10-30T00:00:00"/>
    <d v="2024-11-05T00:00:00"/>
    <x v="0"/>
    <s v="Q4"/>
    <x v="9"/>
    <x v="2"/>
    <x v="0"/>
    <x v="0"/>
    <x v="1"/>
    <x v="0"/>
    <x v="2"/>
    <n v="6"/>
    <n v="75"/>
    <n v="4798"/>
    <n v="1"/>
    <n v="3"/>
    <s v="Improved"/>
    <n v="1"/>
  </r>
  <r>
    <s v="ADM-242176"/>
    <d v="2024-10-30T00:00:00"/>
    <d v="2024-10-31T00:00:00"/>
    <x v="0"/>
    <s v="Q4"/>
    <x v="9"/>
    <x v="2"/>
    <x v="1"/>
    <x v="2"/>
    <x v="1"/>
    <x v="0"/>
    <x v="0"/>
    <n v="1"/>
    <m/>
    <n v="1353"/>
    <n v="0"/>
    <n v="4"/>
    <s v="Recovered"/>
    <n v="1"/>
  </r>
  <r>
    <s v="ADM-242177"/>
    <d v="2024-10-30T00:00:00"/>
    <d v="2024-11-01T00:00:00"/>
    <x v="0"/>
    <s v="Q4"/>
    <x v="9"/>
    <x v="2"/>
    <x v="1"/>
    <x v="0"/>
    <x v="0"/>
    <x v="0"/>
    <x v="2"/>
    <n v="2"/>
    <n v="56"/>
    <n v="2945"/>
    <n v="0"/>
    <n v="4"/>
    <s v="Improved"/>
    <n v="1"/>
  </r>
  <r>
    <s v="ADM-242178"/>
    <d v="2024-10-30T00:00:00"/>
    <d v="2024-11-05T00:00:00"/>
    <x v="0"/>
    <s v="Q4"/>
    <x v="9"/>
    <x v="2"/>
    <x v="1"/>
    <x v="2"/>
    <x v="1"/>
    <x v="2"/>
    <x v="0"/>
    <n v="6"/>
    <m/>
    <n v="6472"/>
    <n v="0"/>
    <n v="4"/>
    <s v="Recovered"/>
    <n v="1"/>
  </r>
  <r>
    <s v="ADM-242179"/>
    <d v="2024-10-30T00:00:00"/>
    <d v="2024-10-31T00:00:00"/>
    <x v="0"/>
    <s v="Q4"/>
    <x v="9"/>
    <x v="2"/>
    <x v="0"/>
    <x v="0"/>
    <x v="1"/>
    <x v="0"/>
    <x v="1"/>
    <n v="1"/>
    <n v="72"/>
    <n v="1695"/>
    <n v="0"/>
    <n v="5"/>
    <s v="Recovered"/>
    <n v="1"/>
  </r>
  <r>
    <s v="ADM-242180"/>
    <d v="2024-10-30T00:00:00"/>
    <d v="2024-11-02T00:00:00"/>
    <x v="0"/>
    <s v="Q4"/>
    <x v="9"/>
    <x v="2"/>
    <x v="4"/>
    <x v="0"/>
    <x v="0"/>
    <x v="2"/>
    <x v="0"/>
    <n v="3"/>
    <n v="33"/>
    <n v="3958"/>
    <n v="0"/>
    <n v="5"/>
    <s v="Recovered"/>
    <n v="1"/>
  </r>
  <r>
    <s v="ADM-242181"/>
    <d v="2024-10-30T00:00:00"/>
    <d v="2024-11-03T00:00:00"/>
    <x v="0"/>
    <s v="Q4"/>
    <x v="9"/>
    <x v="2"/>
    <x v="3"/>
    <x v="0"/>
    <x v="1"/>
    <x v="3"/>
    <x v="2"/>
    <n v="4"/>
    <n v="70"/>
    <n v="3105"/>
    <n v="0"/>
    <n v="5"/>
    <s v="Recovered"/>
    <n v="1"/>
  </r>
  <r>
    <s v="ADM-242182"/>
    <d v="2024-10-30T00:00:00"/>
    <d v="2024-11-03T00:00:00"/>
    <x v="0"/>
    <s v="Q4"/>
    <x v="9"/>
    <x v="2"/>
    <x v="0"/>
    <x v="0"/>
    <x v="1"/>
    <x v="4"/>
    <x v="2"/>
    <n v="4"/>
    <n v="42"/>
    <n v="3399"/>
    <n v="0"/>
    <n v="5"/>
    <s v="Recovered"/>
    <n v="1"/>
  </r>
  <r>
    <s v="ADM-242183"/>
    <d v="2024-10-30T00:00:00"/>
    <d v="2024-11-03T00:00:00"/>
    <x v="0"/>
    <s v="Q4"/>
    <x v="9"/>
    <x v="2"/>
    <x v="5"/>
    <x v="2"/>
    <x v="0"/>
    <x v="2"/>
    <x v="2"/>
    <n v="4"/>
    <m/>
    <n v="4161"/>
    <n v="0"/>
    <n v="4"/>
    <s v="Improved"/>
    <n v="1"/>
  </r>
  <r>
    <s v="ADM-242184"/>
    <d v="2024-10-30T00:00:00"/>
    <d v="2024-11-03T00:00:00"/>
    <x v="0"/>
    <s v="Q4"/>
    <x v="9"/>
    <x v="2"/>
    <x v="3"/>
    <x v="0"/>
    <x v="1"/>
    <x v="3"/>
    <x v="1"/>
    <n v="4"/>
    <n v="17"/>
    <n v="2925"/>
    <n v="0"/>
    <n v="4"/>
    <s v="Recovered"/>
    <n v="1"/>
  </r>
  <r>
    <s v="ADM-242185"/>
    <d v="2024-10-30T00:00:00"/>
    <d v="2024-11-03T00:00:00"/>
    <x v="0"/>
    <s v="Q4"/>
    <x v="9"/>
    <x v="2"/>
    <x v="4"/>
    <x v="0"/>
    <x v="1"/>
    <x v="1"/>
    <x v="2"/>
    <n v="4"/>
    <n v="15"/>
    <n v="4735"/>
    <n v="0"/>
    <n v="5"/>
    <s v="Improved"/>
    <n v="1"/>
  </r>
  <r>
    <s v="ADM-242186"/>
    <d v="2024-10-30T00:00:00"/>
    <d v="2024-11-04T00:00:00"/>
    <x v="0"/>
    <s v="Q4"/>
    <x v="9"/>
    <x v="2"/>
    <x v="1"/>
    <x v="2"/>
    <x v="0"/>
    <x v="1"/>
    <x v="1"/>
    <n v="5"/>
    <m/>
    <n v="5281"/>
    <n v="0"/>
    <n v="5"/>
    <s v="Recovered"/>
    <n v="1"/>
  </r>
  <r>
    <s v="ADM-242187"/>
    <d v="2024-10-30T00:00:00"/>
    <d v="2024-11-01T00:00:00"/>
    <x v="0"/>
    <s v="Q4"/>
    <x v="9"/>
    <x v="2"/>
    <x v="1"/>
    <x v="2"/>
    <x v="1"/>
    <x v="4"/>
    <x v="0"/>
    <n v="2"/>
    <m/>
    <n v="2863"/>
    <n v="0"/>
    <n v="5"/>
    <s v="Recovered"/>
    <n v="1"/>
  </r>
  <r>
    <s v="ADM-242188"/>
    <d v="2024-10-30T00:00:00"/>
    <d v="2024-11-09T00:00:00"/>
    <x v="0"/>
    <s v="Q4"/>
    <x v="9"/>
    <x v="2"/>
    <x v="4"/>
    <x v="2"/>
    <x v="0"/>
    <x v="0"/>
    <x v="2"/>
    <n v="10"/>
    <m/>
    <n v="10016"/>
    <n v="0"/>
    <n v="5"/>
    <s v="Recovered"/>
    <n v="1"/>
  </r>
  <r>
    <s v="ADM-242189"/>
    <d v="2024-10-30T00:00:00"/>
    <d v="2024-11-03T00:00:00"/>
    <x v="0"/>
    <s v="Q4"/>
    <x v="9"/>
    <x v="2"/>
    <x v="0"/>
    <x v="0"/>
    <x v="0"/>
    <x v="1"/>
    <x v="0"/>
    <n v="4"/>
    <n v="135"/>
    <n v="3715"/>
    <n v="0"/>
    <n v="3"/>
    <s v="Improved"/>
    <n v="1"/>
  </r>
  <r>
    <s v="ADM-242190"/>
    <d v="2024-10-30T00:00:00"/>
    <d v="2024-11-03T00:00:00"/>
    <x v="0"/>
    <s v="Q4"/>
    <x v="9"/>
    <x v="2"/>
    <x v="1"/>
    <x v="2"/>
    <x v="0"/>
    <x v="2"/>
    <x v="0"/>
    <n v="4"/>
    <m/>
    <n v="3476"/>
    <n v="0"/>
    <n v="5"/>
    <s v="Improved"/>
    <n v="1"/>
  </r>
  <r>
    <s v="ADM-242191"/>
    <d v="2024-10-31T00:00:00"/>
    <d v="2024-11-01T00:00:00"/>
    <x v="0"/>
    <s v="Q4"/>
    <x v="9"/>
    <x v="3"/>
    <x v="0"/>
    <x v="0"/>
    <x v="1"/>
    <x v="1"/>
    <x v="0"/>
    <n v="1"/>
    <n v="76"/>
    <n v="2008"/>
    <n v="0"/>
    <n v="3"/>
    <s v="Recovered"/>
    <n v="1"/>
  </r>
  <r>
    <s v="ADM-242192"/>
    <d v="2024-10-31T00:00:00"/>
    <d v="2024-11-02T00:00:00"/>
    <x v="0"/>
    <s v="Q4"/>
    <x v="9"/>
    <x v="3"/>
    <x v="1"/>
    <x v="2"/>
    <x v="0"/>
    <x v="0"/>
    <x v="0"/>
    <n v="2"/>
    <m/>
    <n v="2227"/>
    <n v="0"/>
    <n v="5"/>
    <s v="Recovered"/>
    <n v="1"/>
  </r>
  <r>
    <s v="ADM-242193"/>
    <d v="2024-10-31T00:00:00"/>
    <d v="2024-11-03T00:00:00"/>
    <x v="0"/>
    <s v="Q4"/>
    <x v="9"/>
    <x v="3"/>
    <x v="3"/>
    <x v="2"/>
    <x v="1"/>
    <x v="3"/>
    <x v="0"/>
    <n v="3"/>
    <m/>
    <n v="2918"/>
    <n v="0"/>
    <n v="4"/>
    <s v="Recovered"/>
    <n v="1"/>
  </r>
  <r>
    <s v="ADM-242194"/>
    <d v="2024-10-31T00:00:00"/>
    <d v="2024-11-05T00:00:00"/>
    <x v="0"/>
    <s v="Q4"/>
    <x v="9"/>
    <x v="3"/>
    <x v="0"/>
    <x v="0"/>
    <x v="1"/>
    <x v="1"/>
    <x v="0"/>
    <n v="5"/>
    <n v="48"/>
    <n v="4229"/>
    <n v="0"/>
    <n v="4"/>
    <s v="Improved"/>
    <n v="1"/>
  </r>
  <r>
    <s v="ADM-242195"/>
    <d v="2024-10-31T00:00:00"/>
    <d v="2024-11-01T00:00:00"/>
    <x v="0"/>
    <s v="Q4"/>
    <x v="9"/>
    <x v="3"/>
    <x v="5"/>
    <x v="2"/>
    <x v="1"/>
    <x v="0"/>
    <x v="2"/>
    <n v="1"/>
    <m/>
    <n v="2035"/>
    <n v="0"/>
    <n v="5"/>
    <s v="Improved"/>
    <n v="1"/>
  </r>
  <r>
    <s v="ADM-242196"/>
    <d v="2024-10-31T00:00:00"/>
    <d v="2024-11-02T00:00:00"/>
    <x v="0"/>
    <s v="Q4"/>
    <x v="9"/>
    <x v="3"/>
    <x v="2"/>
    <x v="1"/>
    <x v="0"/>
    <x v="1"/>
    <x v="1"/>
    <n v="2"/>
    <m/>
    <n v="2282"/>
    <n v="0"/>
    <n v="5"/>
    <s v="Recovered"/>
    <n v="1"/>
  </r>
  <r>
    <s v="ADM-242197"/>
    <d v="2024-11-01T00:00:00"/>
    <d v="2024-11-02T00:00:00"/>
    <x v="0"/>
    <s v="Q4"/>
    <x v="10"/>
    <x v="4"/>
    <x v="3"/>
    <x v="0"/>
    <x v="1"/>
    <x v="3"/>
    <x v="2"/>
    <n v="1"/>
    <n v="27"/>
    <n v="1495"/>
    <n v="0"/>
    <n v="5"/>
    <s v="Recovered"/>
    <n v="1"/>
  </r>
  <r>
    <s v="ADM-242198"/>
    <d v="2024-11-01T00:00:00"/>
    <d v="2024-11-10T00:00:00"/>
    <x v="0"/>
    <s v="Q4"/>
    <x v="10"/>
    <x v="4"/>
    <x v="4"/>
    <x v="0"/>
    <x v="0"/>
    <x v="1"/>
    <x v="0"/>
    <n v="9"/>
    <n v="46"/>
    <n v="11576"/>
    <n v="0"/>
    <n v="5"/>
    <s v="Improved"/>
    <n v="1"/>
  </r>
  <r>
    <s v="ADM-242199"/>
    <d v="2024-11-01T00:00:00"/>
    <d v="2024-11-03T00:00:00"/>
    <x v="0"/>
    <s v="Q4"/>
    <x v="10"/>
    <x v="4"/>
    <x v="3"/>
    <x v="0"/>
    <x v="1"/>
    <x v="3"/>
    <x v="0"/>
    <n v="2"/>
    <n v="85"/>
    <n v="1948"/>
    <n v="0"/>
    <n v="5"/>
    <s v="Recovered"/>
    <n v="1"/>
  </r>
  <r>
    <s v="ADM-242200"/>
    <d v="2024-11-01T00:00:00"/>
    <d v="2024-11-02T00:00:00"/>
    <x v="0"/>
    <s v="Q4"/>
    <x v="10"/>
    <x v="4"/>
    <x v="3"/>
    <x v="0"/>
    <x v="0"/>
    <x v="3"/>
    <x v="2"/>
    <n v="1"/>
    <n v="72"/>
    <n v="1320"/>
    <n v="1"/>
    <n v="5"/>
    <s v="Recovered"/>
    <n v="1"/>
  </r>
  <r>
    <s v="ADM-242201"/>
    <d v="2024-11-01T00:00:00"/>
    <d v="2024-11-16T00:00:00"/>
    <x v="0"/>
    <s v="Q4"/>
    <x v="10"/>
    <x v="4"/>
    <x v="0"/>
    <x v="0"/>
    <x v="0"/>
    <x v="1"/>
    <x v="2"/>
    <n v="15"/>
    <n v="37"/>
    <n v="5330"/>
    <n v="0"/>
    <n v="4"/>
    <s v="Recovered"/>
    <n v="1"/>
  </r>
  <r>
    <s v="ADM-242202"/>
    <d v="2024-11-01T00:00:00"/>
    <d v="2024-11-05T00:00:00"/>
    <x v="0"/>
    <s v="Q4"/>
    <x v="10"/>
    <x v="4"/>
    <x v="3"/>
    <x v="0"/>
    <x v="0"/>
    <x v="3"/>
    <x v="0"/>
    <n v="4"/>
    <n v="54"/>
    <n v="3407"/>
    <n v="0"/>
    <n v="4"/>
    <s v="Transferred"/>
    <n v="1"/>
  </r>
  <r>
    <s v="ADM-242203"/>
    <d v="2024-11-01T00:00:00"/>
    <d v="2024-11-07T00:00:00"/>
    <x v="0"/>
    <s v="Q4"/>
    <x v="10"/>
    <x v="4"/>
    <x v="0"/>
    <x v="2"/>
    <x v="1"/>
    <x v="0"/>
    <x v="0"/>
    <n v="6"/>
    <m/>
    <n v="5260"/>
    <n v="0"/>
    <n v="4"/>
    <s v="Recovered"/>
    <n v="1"/>
  </r>
  <r>
    <s v="ADM-242204"/>
    <d v="2024-11-02T00:00:00"/>
    <d v="2024-11-04T00:00:00"/>
    <x v="0"/>
    <s v="Q4"/>
    <x v="10"/>
    <x v="5"/>
    <x v="1"/>
    <x v="0"/>
    <x v="1"/>
    <x v="1"/>
    <x v="2"/>
    <n v="2"/>
    <n v="71"/>
    <n v="2779"/>
    <n v="0"/>
    <n v="5"/>
    <s v="Recovered"/>
    <n v="1"/>
  </r>
  <r>
    <s v="ADM-242205"/>
    <d v="2024-11-02T00:00:00"/>
    <d v="2024-11-04T00:00:00"/>
    <x v="0"/>
    <s v="Q4"/>
    <x v="10"/>
    <x v="5"/>
    <x v="1"/>
    <x v="2"/>
    <x v="1"/>
    <x v="4"/>
    <x v="1"/>
    <n v="2"/>
    <m/>
    <n v="2915"/>
    <n v="0"/>
    <n v="3"/>
    <s v="Recovered"/>
    <n v="1"/>
  </r>
  <r>
    <s v="ADM-242206"/>
    <d v="2024-11-02T00:00:00"/>
    <d v="2024-11-04T00:00:00"/>
    <x v="0"/>
    <s v="Q4"/>
    <x v="10"/>
    <x v="5"/>
    <x v="4"/>
    <x v="2"/>
    <x v="1"/>
    <x v="4"/>
    <x v="2"/>
    <n v="2"/>
    <m/>
    <n v="4186"/>
    <n v="1"/>
    <n v="4"/>
    <s v="Improved"/>
    <n v="1"/>
  </r>
  <r>
    <s v="ADM-242207"/>
    <d v="2024-11-02T00:00:00"/>
    <d v="2024-11-06T00:00:00"/>
    <x v="0"/>
    <s v="Q4"/>
    <x v="10"/>
    <x v="5"/>
    <x v="2"/>
    <x v="0"/>
    <x v="0"/>
    <x v="2"/>
    <x v="2"/>
    <n v="4"/>
    <n v="20"/>
    <n v="3913"/>
    <n v="0"/>
    <n v="4"/>
    <s v="Transferred"/>
    <n v="1"/>
  </r>
  <r>
    <s v="ADM-242208"/>
    <d v="2024-11-02T00:00:00"/>
    <d v="2024-11-09T00:00:00"/>
    <x v="0"/>
    <s v="Q4"/>
    <x v="10"/>
    <x v="5"/>
    <x v="5"/>
    <x v="2"/>
    <x v="1"/>
    <x v="4"/>
    <x v="2"/>
    <n v="7"/>
    <m/>
    <n v="7072"/>
    <n v="0"/>
    <n v="5"/>
    <s v="Recovered"/>
    <n v="1"/>
  </r>
  <r>
    <s v="ADM-242209"/>
    <d v="2024-11-02T00:00:00"/>
    <d v="2024-11-09T00:00:00"/>
    <x v="0"/>
    <s v="Q4"/>
    <x v="10"/>
    <x v="5"/>
    <x v="0"/>
    <x v="0"/>
    <x v="1"/>
    <x v="4"/>
    <x v="1"/>
    <n v="7"/>
    <n v="66"/>
    <n v="5398"/>
    <n v="0"/>
    <n v="5"/>
    <s v="Recovered"/>
    <n v="1"/>
  </r>
  <r>
    <s v="ADM-242210"/>
    <d v="2024-11-02T00:00:00"/>
    <d v="2024-11-03T00:00:00"/>
    <x v="0"/>
    <s v="Q4"/>
    <x v="10"/>
    <x v="5"/>
    <x v="2"/>
    <x v="0"/>
    <x v="0"/>
    <x v="1"/>
    <x v="2"/>
    <n v="1"/>
    <n v="27"/>
    <n v="1578"/>
    <n v="0"/>
    <n v="4"/>
    <s v="Recovered"/>
    <n v="1"/>
  </r>
  <r>
    <s v="ADM-242211"/>
    <d v="2024-11-02T00:00:00"/>
    <d v="2024-11-12T00:00:00"/>
    <x v="0"/>
    <s v="Q4"/>
    <x v="10"/>
    <x v="5"/>
    <x v="0"/>
    <x v="2"/>
    <x v="1"/>
    <x v="4"/>
    <x v="2"/>
    <n v="10"/>
    <m/>
    <n v="8299"/>
    <n v="0"/>
    <n v="5"/>
    <s v="Improved"/>
    <n v="1"/>
  </r>
  <r>
    <s v="ADM-242212"/>
    <d v="2024-11-02T00:00:00"/>
    <d v="2024-11-04T00:00:00"/>
    <x v="0"/>
    <s v="Q4"/>
    <x v="10"/>
    <x v="5"/>
    <x v="4"/>
    <x v="2"/>
    <x v="1"/>
    <x v="1"/>
    <x v="0"/>
    <n v="2"/>
    <m/>
    <n v="2678"/>
    <n v="0"/>
    <n v="4"/>
    <s v="Transferred"/>
    <n v="1"/>
  </r>
  <r>
    <s v="ADM-242213"/>
    <d v="2024-11-03T00:00:00"/>
    <d v="2024-11-10T00:00:00"/>
    <x v="0"/>
    <s v="Q4"/>
    <x v="10"/>
    <x v="6"/>
    <x v="4"/>
    <x v="0"/>
    <x v="0"/>
    <x v="2"/>
    <x v="0"/>
    <n v="7"/>
    <n v="39"/>
    <n v="8167"/>
    <n v="0"/>
    <n v="4"/>
    <s v="Recovered"/>
    <n v="1"/>
  </r>
  <r>
    <s v="ADM-242214"/>
    <d v="2024-11-03T00:00:00"/>
    <d v="2024-11-06T00:00:00"/>
    <x v="0"/>
    <s v="Q4"/>
    <x v="10"/>
    <x v="6"/>
    <x v="3"/>
    <x v="2"/>
    <x v="0"/>
    <x v="3"/>
    <x v="0"/>
    <n v="3"/>
    <m/>
    <n v="1997"/>
    <n v="0"/>
    <n v="4"/>
    <s v="Recovered"/>
    <n v="1"/>
  </r>
  <r>
    <s v="ADM-242215"/>
    <d v="2024-11-03T00:00:00"/>
    <d v="2024-11-07T00:00:00"/>
    <x v="0"/>
    <s v="Q4"/>
    <x v="10"/>
    <x v="6"/>
    <x v="1"/>
    <x v="2"/>
    <x v="1"/>
    <x v="1"/>
    <x v="2"/>
    <n v="4"/>
    <m/>
    <n v="5099"/>
    <n v="1"/>
    <n v="4"/>
    <s v="Improved"/>
    <n v="1"/>
  </r>
  <r>
    <s v="ADM-242216"/>
    <d v="2024-11-03T00:00:00"/>
    <d v="2024-11-09T00:00:00"/>
    <x v="0"/>
    <s v="Q4"/>
    <x v="10"/>
    <x v="6"/>
    <x v="4"/>
    <x v="0"/>
    <x v="0"/>
    <x v="4"/>
    <x v="0"/>
    <n v="6"/>
    <n v="36"/>
    <n v="9106"/>
    <n v="0"/>
    <n v="3"/>
    <s v="Recovered"/>
    <n v="1"/>
  </r>
  <r>
    <s v="ADM-242217"/>
    <d v="2024-11-03T00:00:00"/>
    <d v="2024-11-06T00:00:00"/>
    <x v="0"/>
    <s v="Q4"/>
    <x v="10"/>
    <x v="6"/>
    <x v="2"/>
    <x v="0"/>
    <x v="0"/>
    <x v="2"/>
    <x v="2"/>
    <n v="3"/>
    <n v="19"/>
    <n v="2554"/>
    <n v="0"/>
    <n v="3"/>
    <s v="Improved"/>
    <n v="1"/>
  </r>
  <r>
    <s v="ADM-242218"/>
    <d v="2024-11-03T00:00:00"/>
    <d v="2024-11-09T00:00:00"/>
    <x v="0"/>
    <s v="Q4"/>
    <x v="10"/>
    <x v="6"/>
    <x v="4"/>
    <x v="0"/>
    <x v="1"/>
    <x v="1"/>
    <x v="2"/>
    <n v="6"/>
    <n v="20"/>
    <n v="8900"/>
    <n v="0"/>
    <n v="5"/>
    <s v="Recovered"/>
    <n v="1"/>
  </r>
  <r>
    <s v="ADM-242219"/>
    <d v="2024-11-04T00:00:00"/>
    <d v="2024-11-08T00:00:00"/>
    <x v="0"/>
    <s v="Q4"/>
    <x v="10"/>
    <x v="0"/>
    <x v="4"/>
    <x v="2"/>
    <x v="0"/>
    <x v="4"/>
    <x v="0"/>
    <n v="4"/>
    <m/>
    <n v="5595"/>
    <n v="1"/>
    <n v="5"/>
    <s v="Recovered"/>
    <n v="1"/>
  </r>
  <r>
    <s v="ADM-242220"/>
    <d v="2024-11-04T00:00:00"/>
    <d v="2024-11-07T00:00:00"/>
    <x v="0"/>
    <s v="Q4"/>
    <x v="10"/>
    <x v="0"/>
    <x v="5"/>
    <x v="0"/>
    <x v="1"/>
    <x v="0"/>
    <x v="0"/>
    <n v="3"/>
    <n v="30"/>
    <n v="3580"/>
    <n v="0"/>
    <n v="4"/>
    <s v="Recovered"/>
    <n v="1"/>
  </r>
  <r>
    <s v="ADM-242221"/>
    <d v="2024-11-04T00:00:00"/>
    <d v="2024-11-13T00:00:00"/>
    <x v="0"/>
    <s v="Q4"/>
    <x v="10"/>
    <x v="0"/>
    <x v="1"/>
    <x v="2"/>
    <x v="0"/>
    <x v="0"/>
    <x v="1"/>
    <n v="9"/>
    <m/>
    <n v="6065"/>
    <n v="0"/>
    <n v="4"/>
    <s v="Improved"/>
    <n v="1"/>
  </r>
  <r>
    <s v="ADM-242222"/>
    <d v="2024-11-04T00:00:00"/>
    <d v="2024-11-06T00:00:00"/>
    <x v="0"/>
    <s v="Q4"/>
    <x v="10"/>
    <x v="0"/>
    <x v="5"/>
    <x v="1"/>
    <x v="1"/>
    <x v="1"/>
    <x v="2"/>
    <n v="2"/>
    <m/>
    <n v="2567"/>
    <n v="0"/>
    <n v="3"/>
    <s v="Recovered"/>
    <n v="1"/>
  </r>
  <r>
    <s v="ADM-242223"/>
    <d v="2024-11-04T00:00:00"/>
    <d v="2024-11-09T00:00:00"/>
    <x v="0"/>
    <s v="Q4"/>
    <x v="10"/>
    <x v="0"/>
    <x v="2"/>
    <x v="1"/>
    <x v="0"/>
    <x v="1"/>
    <x v="0"/>
    <n v="5"/>
    <m/>
    <n v="4787"/>
    <n v="0"/>
    <n v="4"/>
    <s v="Recovered"/>
    <n v="1"/>
  </r>
  <r>
    <s v="ADM-242224"/>
    <d v="2024-11-04T00:00:00"/>
    <d v="2024-11-08T00:00:00"/>
    <x v="0"/>
    <s v="Q4"/>
    <x v="10"/>
    <x v="0"/>
    <x v="0"/>
    <x v="1"/>
    <x v="1"/>
    <x v="0"/>
    <x v="2"/>
    <n v="4"/>
    <m/>
    <n v="3074"/>
    <n v="0"/>
    <n v="3"/>
    <s v="Recovered"/>
    <n v="1"/>
  </r>
  <r>
    <s v="ADM-242225"/>
    <d v="2024-11-04T00:00:00"/>
    <d v="2024-11-09T00:00:00"/>
    <x v="0"/>
    <s v="Q4"/>
    <x v="10"/>
    <x v="0"/>
    <x v="5"/>
    <x v="2"/>
    <x v="1"/>
    <x v="0"/>
    <x v="2"/>
    <n v="5"/>
    <m/>
    <n v="3948"/>
    <n v="0"/>
    <n v="4"/>
    <s v="Recovered"/>
    <n v="1"/>
  </r>
  <r>
    <s v="ADM-242226"/>
    <d v="2024-11-04T00:00:00"/>
    <d v="2024-11-24T00:00:00"/>
    <x v="0"/>
    <s v="Q4"/>
    <x v="10"/>
    <x v="0"/>
    <x v="0"/>
    <x v="2"/>
    <x v="0"/>
    <x v="0"/>
    <x v="2"/>
    <n v="20"/>
    <m/>
    <n v="13000"/>
    <n v="0"/>
    <n v="5"/>
    <s v="Improved"/>
    <n v="1"/>
  </r>
  <r>
    <s v="ADM-242227"/>
    <d v="2024-11-05T00:00:00"/>
    <d v="2024-11-08T00:00:00"/>
    <x v="0"/>
    <s v="Q4"/>
    <x v="10"/>
    <x v="1"/>
    <x v="3"/>
    <x v="0"/>
    <x v="1"/>
    <x v="3"/>
    <x v="1"/>
    <n v="3"/>
    <n v="48"/>
    <n v="1918"/>
    <n v="0"/>
    <n v="5"/>
    <s v="Recovered"/>
    <n v="1"/>
  </r>
  <r>
    <s v="ADM-242228"/>
    <d v="2024-11-05T00:00:00"/>
    <d v="2024-11-06T00:00:00"/>
    <x v="0"/>
    <s v="Q4"/>
    <x v="10"/>
    <x v="1"/>
    <x v="3"/>
    <x v="0"/>
    <x v="1"/>
    <x v="3"/>
    <x v="2"/>
    <n v="1"/>
    <n v="64"/>
    <n v="1552"/>
    <n v="0"/>
    <n v="4"/>
    <s v="Recovered"/>
    <n v="1"/>
  </r>
  <r>
    <s v="ADM-242229"/>
    <d v="2024-11-05T00:00:00"/>
    <d v="2024-11-06T00:00:00"/>
    <x v="0"/>
    <s v="Q4"/>
    <x v="10"/>
    <x v="1"/>
    <x v="4"/>
    <x v="2"/>
    <x v="0"/>
    <x v="1"/>
    <x v="2"/>
    <n v="1"/>
    <m/>
    <n v="2606"/>
    <n v="0"/>
    <n v="3"/>
    <s v="Recovered"/>
    <n v="1"/>
  </r>
  <r>
    <s v="ADM-242230"/>
    <d v="2024-11-05T00:00:00"/>
    <d v="2024-11-16T00:00:00"/>
    <x v="0"/>
    <s v="Q4"/>
    <x v="10"/>
    <x v="1"/>
    <x v="0"/>
    <x v="0"/>
    <x v="0"/>
    <x v="1"/>
    <x v="2"/>
    <n v="11"/>
    <n v="30"/>
    <n v="7092"/>
    <n v="0"/>
    <n v="5"/>
    <s v="Recovered"/>
    <n v="1"/>
  </r>
  <r>
    <s v="ADM-242231"/>
    <d v="2024-11-05T00:00:00"/>
    <d v="2024-11-09T00:00:00"/>
    <x v="0"/>
    <s v="Q4"/>
    <x v="10"/>
    <x v="1"/>
    <x v="2"/>
    <x v="0"/>
    <x v="0"/>
    <x v="2"/>
    <x v="2"/>
    <n v="4"/>
    <n v="29"/>
    <n v="3158"/>
    <n v="1"/>
    <n v="3"/>
    <s v="Recovered"/>
    <n v="1"/>
  </r>
  <r>
    <s v="ADM-242232"/>
    <d v="2024-11-05T00:00:00"/>
    <d v="2024-11-08T00:00:00"/>
    <x v="0"/>
    <s v="Q4"/>
    <x v="10"/>
    <x v="1"/>
    <x v="0"/>
    <x v="0"/>
    <x v="0"/>
    <x v="4"/>
    <x v="0"/>
    <n v="3"/>
    <n v="92"/>
    <n v="3187"/>
    <n v="0"/>
    <n v="3"/>
    <s v="Improved"/>
    <n v="1"/>
  </r>
  <r>
    <s v="ADM-242233"/>
    <d v="2024-11-06T00:00:00"/>
    <d v="2024-11-18T00:00:00"/>
    <x v="0"/>
    <s v="Q4"/>
    <x v="10"/>
    <x v="2"/>
    <x v="0"/>
    <x v="0"/>
    <x v="0"/>
    <x v="0"/>
    <x v="2"/>
    <n v="12"/>
    <n v="121"/>
    <n v="9661"/>
    <n v="0"/>
    <n v="5"/>
    <s v="Recovered"/>
    <n v="1"/>
  </r>
  <r>
    <s v="ADM-242234"/>
    <d v="2024-11-06T00:00:00"/>
    <d v="2024-11-10T00:00:00"/>
    <x v="0"/>
    <s v="Q4"/>
    <x v="10"/>
    <x v="2"/>
    <x v="2"/>
    <x v="0"/>
    <x v="0"/>
    <x v="2"/>
    <x v="2"/>
    <n v="4"/>
    <n v="53"/>
    <n v="2799"/>
    <n v="0"/>
    <n v="4"/>
    <s v="Improved"/>
    <n v="1"/>
  </r>
  <r>
    <s v="ADM-242235"/>
    <d v="2024-11-06T00:00:00"/>
    <d v="2024-11-08T00:00:00"/>
    <x v="0"/>
    <s v="Q4"/>
    <x v="10"/>
    <x v="2"/>
    <x v="0"/>
    <x v="2"/>
    <x v="1"/>
    <x v="4"/>
    <x v="1"/>
    <n v="2"/>
    <m/>
    <n v="2038"/>
    <n v="0"/>
    <n v="4"/>
    <s v="Recovered"/>
    <n v="1"/>
  </r>
  <r>
    <s v="ADM-242236"/>
    <d v="2024-11-06T00:00:00"/>
    <d v="2024-11-15T00:00:00"/>
    <x v="0"/>
    <s v="Q4"/>
    <x v="10"/>
    <x v="2"/>
    <x v="4"/>
    <x v="0"/>
    <x v="1"/>
    <x v="4"/>
    <x v="2"/>
    <n v="9"/>
    <n v="45"/>
    <n v="12576"/>
    <n v="0"/>
    <n v="4"/>
    <s v="Recovered"/>
    <n v="1"/>
  </r>
  <r>
    <s v="ADM-242237"/>
    <d v="2024-11-06T00:00:00"/>
    <d v="2024-11-07T00:00:00"/>
    <x v="0"/>
    <s v="Q4"/>
    <x v="10"/>
    <x v="2"/>
    <x v="3"/>
    <x v="0"/>
    <x v="1"/>
    <x v="3"/>
    <x v="0"/>
    <n v="1"/>
    <n v="32"/>
    <n v="1058"/>
    <n v="1"/>
    <n v="4"/>
    <s v="Recovered"/>
    <n v="1"/>
  </r>
  <r>
    <s v="ADM-242238"/>
    <d v="2024-11-07T00:00:00"/>
    <d v="2024-11-14T00:00:00"/>
    <x v="0"/>
    <s v="Q4"/>
    <x v="10"/>
    <x v="3"/>
    <x v="4"/>
    <x v="0"/>
    <x v="1"/>
    <x v="2"/>
    <x v="0"/>
    <n v="7"/>
    <n v="31"/>
    <n v="8923"/>
    <n v="1"/>
    <n v="4"/>
    <s v="Recovered"/>
    <n v="1"/>
  </r>
  <r>
    <s v="ADM-242239"/>
    <d v="2024-11-07T00:00:00"/>
    <d v="2024-11-15T00:00:00"/>
    <x v="0"/>
    <s v="Q4"/>
    <x v="10"/>
    <x v="3"/>
    <x v="4"/>
    <x v="0"/>
    <x v="1"/>
    <x v="2"/>
    <x v="0"/>
    <n v="8"/>
    <n v="53"/>
    <n v="7424"/>
    <n v="0"/>
    <n v="5"/>
    <s v="Recovered"/>
    <n v="1"/>
  </r>
  <r>
    <s v="ADM-242240"/>
    <d v="2024-11-07T00:00:00"/>
    <d v="2024-11-14T00:00:00"/>
    <x v="0"/>
    <s v="Q4"/>
    <x v="10"/>
    <x v="3"/>
    <x v="0"/>
    <x v="0"/>
    <x v="1"/>
    <x v="1"/>
    <x v="1"/>
    <n v="7"/>
    <n v="68"/>
    <n v="6412"/>
    <n v="0"/>
    <n v="3"/>
    <s v="Improved"/>
    <n v="1"/>
  </r>
  <r>
    <s v="ADM-242241"/>
    <d v="2024-11-07T00:00:00"/>
    <d v="2024-11-13T00:00:00"/>
    <x v="0"/>
    <s v="Q4"/>
    <x v="10"/>
    <x v="3"/>
    <x v="0"/>
    <x v="0"/>
    <x v="0"/>
    <x v="4"/>
    <x v="2"/>
    <n v="6"/>
    <n v="106"/>
    <n v="4994"/>
    <n v="0"/>
    <n v="4"/>
    <s v="Recovered"/>
    <n v="1"/>
  </r>
  <r>
    <s v="ADM-242242"/>
    <d v="2024-11-07T00:00:00"/>
    <d v="2024-11-21T00:00:00"/>
    <x v="0"/>
    <s v="Q4"/>
    <x v="10"/>
    <x v="3"/>
    <x v="5"/>
    <x v="0"/>
    <x v="0"/>
    <x v="0"/>
    <x v="0"/>
    <n v="14"/>
    <n v="71"/>
    <n v="12547"/>
    <n v="0"/>
    <n v="5"/>
    <s v="Improved"/>
    <n v="1"/>
  </r>
  <r>
    <s v="ADM-242243"/>
    <d v="2024-11-07T00:00:00"/>
    <d v="2024-11-10T00:00:00"/>
    <x v="0"/>
    <s v="Q4"/>
    <x v="10"/>
    <x v="3"/>
    <x v="3"/>
    <x v="2"/>
    <x v="0"/>
    <x v="3"/>
    <x v="2"/>
    <n v="3"/>
    <m/>
    <n v="3162"/>
    <n v="0"/>
    <n v="4"/>
    <s v="Recovered"/>
    <n v="1"/>
  </r>
  <r>
    <s v="ADM-242244"/>
    <d v="2024-11-08T00:00:00"/>
    <d v="2024-11-10T00:00:00"/>
    <x v="0"/>
    <s v="Q4"/>
    <x v="10"/>
    <x v="4"/>
    <x v="5"/>
    <x v="2"/>
    <x v="1"/>
    <x v="4"/>
    <x v="0"/>
    <n v="2"/>
    <m/>
    <n v="1693"/>
    <n v="0"/>
    <n v="4"/>
    <s v="Improved"/>
    <n v="1"/>
  </r>
  <r>
    <s v="ADM-242245"/>
    <d v="2024-11-08T00:00:00"/>
    <d v="2024-11-28T00:00:00"/>
    <x v="0"/>
    <s v="Q4"/>
    <x v="10"/>
    <x v="4"/>
    <x v="0"/>
    <x v="0"/>
    <x v="0"/>
    <x v="0"/>
    <x v="2"/>
    <n v="20"/>
    <n v="119"/>
    <n v="14479"/>
    <n v="0"/>
    <n v="3"/>
    <s v="Improved"/>
    <n v="1"/>
  </r>
  <r>
    <s v="ADM-242246"/>
    <d v="2024-11-08T00:00:00"/>
    <d v="2024-11-09T00:00:00"/>
    <x v="0"/>
    <s v="Q4"/>
    <x v="10"/>
    <x v="4"/>
    <x v="2"/>
    <x v="0"/>
    <x v="0"/>
    <x v="1"/>
    <x v="0"/>
    <n v="1"/>
    <n v="35"/>
    <n v="1250"/>
    <n v="0"/>
    <n v="4"/>
    <s v="Recovered"/>
    <n v="1"/>
  </r>
  <r>
    <s v="ADM-242247"/>
    <d v="2024-11-08T00:00:00"/>
    <d v="2024-11-11T00:00:00"/>
    <x v="0"/>
    <s v="Q4"/>
    <x v="10"/>
    <x v="4"/>
    <x v="1"/>
    <x v="2"/>
    <x v="0"/>
    <x v="1"/>
    <x v="1"/>
    <n v="3"/>
    <m/>
    <n v="3280"/>
    <n v="0"/>
    <n v="5"/>
    <s v="Recovered"/>
    <n v="1"/>
  </r>
  <r>
    <s v="ADM-242248"/>
    <d v="2024-11-08T00:00:00"/>
    <d v="2024-11-09T00:00:00"/>
    <x v="0"/>
    <s v="Q4"/>
    <x v="10"/>
    <x v="4"/>
    <x v="5"/>
    <x v="2"/>
    <x v="1"/>
    <x v="0"/>
    <x v="2"/>
    <n v="1"/>
    <m/>
    <n v="1841"/>
    <n v="0"/>
    <n v="4"/>
    <s v="Improved"/>
    <n v="1"/>
  </r>
  <r>
    <s v="ADM-242249"/>
    <d v="2024-11-08T00:00:00"/>
    <d v="2024-11-13T00:00:00"/>
    <x v="0"/>
    <s v="Q4"/>
    <x v="10"/>
    <x v="4"/>
    <x v="1"/>
    <x v="2"/>
    <x v="1"/>
    <x v="0"/>
    <x v="2"/>
    <n v="5"/>
    <m/>
    <n v="6131"/>
    <n v="0"/>
    <n v="4"/>
    <s v="Improved"/>
    <n v="1"/>
  </r>
  <r>
    <s v="ADM-242250"/>
    <d v="2024-11-09T00:00:00"/>
    <d v="2024-11-12T00:00:00"/>
    <x v="0"/>
    <s v="Q4"/>
    <x v="10"/>
    <x v="5"/>
    <x v="1"/>
    <x v="2"/>
    <x v="0"/>
    <x v="1"/>
    <x v="2"/>
    <n v="3"/>
    <m/>
    <n v="4245"/>
    <n v="0"/>
    <n v="4"/>
    <s v="Improved"/>
    <n v="1"/>
  </r>
  <r>
    <s v="ADM-242251"/>
    <d v="2024-11-09T00:00:00"/>
    <d v="2024-11-12T00:00:00"/>
    <x v="0"/>
    <s v="Q4"/>
    <x v="10"/>
    <x v="5"/>
    <x v="1"/>
    <x v="0"/>
    <x v="0"/>
    <x v="2"/>
    <x v="2"/>
    <n v="3"/>
    <n v="40"/>
    <n v="3494"/>
    <n v="0"/>
    <n v="3"/>
    <s v="Improved"/>
    <n v="1"/>
  </r>
  <r>
    <s v="ADM-242252"/>
    <d v="2024-11-09T00:00:00"/>
    <d v="2024-11-10T00:00:00"/>
    <x v="0"/>
    <s v="Q4"/>
    <x v="10"/>
    <x v="5"/>
    <x v="3"/>
    <x v="0"/>
    <x v="1"/>
    <x v="3"/>
    <x v="2"/>
    <n v="1"/>
    <n v="60"/>
    <n v="1264"/>
    <n v="1"/>
    <n v="3"/>
    <s v="Recovered"/>
    <n v="1"/>
  </r>
  <r>
    <s v="ADM-242253"/>
    <d v="2024-11-09T00:00:00"/>
    <d v="2024-11-10T00:00:00"/>
    <x v="0"/>
    <s v="Q4"/>
    <x v="10"/>
    <x v="5"/>
    <x v="1"/>
    <x v="0"/>
    <x v="1"/>
    <x v="2"/>
    <x v="2"/>
    <n v="1"/>
    <n v="35"/>
    <n v="1574"/>
    <n v="0"/>
    <n v="5"/>
    <s v="Recovered"/>
    <n v="1"/>
  </r>
  <r>
    <s v="ADM-242254"/>
    <d v="2024-11-09T00:00:00"/>
    <d v="2024-11-10T00:00:00"/>
    <x v="0"/>
    <s v="Q4"/>
    <x v="10"/>
    <x v="5"/>
    <x v="0"/>
    <x v="1"/>
    <x v="0"/>
    <x v="4"/>
    <x v="1"/>
    <n v="1"/>
    <m/>
    <n v="1566"/>
    <n v="1"/>
    <n v="5"/>
    <s v="Recovered"/>
    <n v="1"/>
  </r>
  <r>
    <s v="ADM-242255"/>
    <d v="2024-11-10T00:00:00"/>
    <d v="2024-11-16T00:00:00"/>
    <x v="0"/>
    <s v="Q4"/>
    <x v="10"/>
    <x v="6"/>
    <x v="0"/>
    <x v="0"/>
    <x v="1"/>
    <x v="1"/>
    <x v="0"/>
    <n v="6"/>
    <n v="52"/>
    <n v="4802"/>
    <n v="0"/>
    <n v="4"/>
    <s v="Recovered"/>
    <n v="1"/>
  </r>
  <r>
    <s v="ADM-242256"/>
    <d v="2024-11-10T00:00:00"/>
    <d v="2024-11-13T00:00:00"/>
    <x v="0"/>
    <s v="Q4"/>
    <x v="10"/>
    <x v="6"/>
    <x v="5"/>
    <x v="2"/>
    <x v="1"/>
    <x v="0"/>
    <x v="0"/>
    <n v="3"/>
    <m/>
    <n v="3633"/>
    <n v="1"/>
    <n v="4"/>
    <s v="Improved"/>
    <n v="1"/>
  </r>
  <r>
    <s v="ADM-242257"/>
    <d v="2024-11-10T00:00:00"/>
    <d v="2024-11-11T00:00:00"/>
    <x v="0"/>
    <s v="Q4"/>
    <x v="10"/>
    <x v="6"/>
    <x v="1"/>
    <x v="2"/>
    <x v="1"/>
    <x v="2"/>
    <x v="2"/>
    <n v="1"/>
    <m/>
    <n v="1662"/>
    <n v="0"/>
    <n v="4"/>
    <s v="Recovered"/>
    <n v="1"/>
  </r>
  <r>
    <s v="ADM-242258"/>
    <d v="2024-11-10T00:00:00"/>
    <d v="2024-11-26T00:00:00"/>
    <x v="0"/>
    <s v="Q4"/>
    <x v="10"/>
    <x v="6"/>
    <x v="0"/>
    <x v="0"/>
    <x v="0"/>
    <x v="0"/>
    <x v="0"/>
    <n v="16"/>
    <n v="18"/>
    <n v="10792"/>
    <n v="0"/>
    <n v="4"/>
    <s v="Recovered"/>
    <n v="1"/>
  </r>
  <r>
    <s v="ADM-242259"/>
    <d v="2024-11-10T00:00:00"/>
    <d v="2024-11-19T00:00:00"/>
    <x v="0"/>
    <s v="Q4"/>
    <x v="10"/>
    <x v="6"/>
    <x v="4"/>
    <x v="0"/>
    <x v="1"/>
    <x v="0"/>
    <x v="2"/>
    <n v="9"/>
    <n v="100"/>
    <n v="13763"/>
    <n v="0"/>
    <n v="3"/>
    <s v="Recovered"/>
    <n v="1"/>
  </r>
  <r>
    <s v="ADM-242260"/>
    <d v="2024-11-10T00:00:00"/>
    <d v="2024-11-18T00:00:00"/>
    <x v="0"/>
    <s v="Q4"/>
    <x v="10"/>
    <x v="6"/>
    <x v="0"/>
    <x v="0"/>
    <x v="1"/>
    <x v="2"/>
    <x v="2"/>
    <n v="8"/>
    <n v="95"/>
    <n v="5170"/>
    <n v="0"/>
    <n v="4"/>
    <s v="Recovered"/>
    <n v="1"/>
  </r>
  <r>
    <s v="ADM-242261"/>
    <d v="2024-11-10T00:00:00"/>
    <d v="2024-11-12T00:00:00"/>
    <x v="0"/>
    <s v="Q4"/>
    <x v="10"/>
    <x v="6"/>
    <x v="3"/>
    <x v="2"/>
    <x v="0"/>
    <x v="3"/>
    <x v="2"/>
    <n v="2"/>
    <m/>
    <n v="1924"/>
    <n v="0"/>
    <n v="4"/>
    <s v="Recovered"/>
    <n v="1"/>
  </r>
  <r>
    <s v="ADM-242262"/>
    <d v="2024-11-10T00:00:00"/>
    <d v="2024-11-13T00:00:00"/>
    <x v="0"/>
    <s v="Q4"/>
    <x v="10"/>
    <x v="6"/>
    <x v="3"/>
    <x v="0"/>
    <x v="1"/>
    <x v="3"/>
    <x v="0"/>
    <n v="3"/>
    <n v="53"/>
    <n v="1651"/>
    <n v="0"/>
    <n v="4"/>
    <s v="Recovered"/>
    <n v="1"/>
  </r>
  <r>
    <s v="ADM-242263"/>
    <d v="2024-11-10T00:00:00"/>
    <d v="2024-11-12T00:00:00"/>
    <x v="0"/>
    <s v="Q4"/>
    <x v="10"/>
    <x v="6"/>
    <x v="2"/>
    <x v="0"/>
    <x v="0"/>
    <x v="2"/>
    <x v="2"/>
    <n v="2"/>
    <n v="92"/>
    <n v="2250"/>
    <n v="0"/>
    <n v="4"/>
    <s v="Recovered"/>
    <n v="1"/>
  </r>
  <r>
    <s v="ADM-242264"/>
    <d v="2024-11-10T00:00:00"/>
    <d v="2024-11-11T00:00:00"/>
    <x v="0"/>
    <s v="Q4"/>
    <x v="10"/>
    <x v="6"/>
    <x v="0"/>
    <x v="0"/>
    <x v="1"/>
    <x v="4"/>
    <x v="2"/>
    <n v="1"/>
    <n v="44"/>
    <n v="1219"/>
    <n v="0"/>
    <n v="5"/>
    <s v="Recovered"/>
    <n v="1"/>
  </r>
  <r>
    <s v="ADM-242265"/>
    <d v="2024-11-10T00:00:00"/>
    <d v="2024-11-13T00:00:00"/>
    <x v="0"/>
    <s v="Q4"/>
    <x v="10"/>
    <x v="6"/>
    <x v="1"/>
    <x v="2"/>
    <x v="0"/>
    <x v="0"/>
    <x v="0"/>
    <n v="3"/>
    <m/>
    <n v="3612"/>
    <n v="0"/>
    <n v="5"/>
    <s v="Improved"/>
    <n v="1"/>
  </r>
  <r>
    <s v="ADM-242266"/>
    <d v="2024-11-10T00:00:00"/>
    <d v="2024-11-11T00:00:00"/>
    <x v="0"/>
    <s v="Q4"/>
    <x v="10"/>
    <x v="6"/>
    <x v="0"/>
    <x v="2"/>
    <x v="0"/>
    <x v="4"/>
    <x v="2"/>
    <n v="1"/>
    <m/>
    <n v="1474"/>
    <n v="0"/>
    <n v="3"/>
    <s v="Improved"/>
    <n v="1"/>
  </r>
  <r>
    <s v="ADM-242267"/>
    <d v="2024-11-10T00:00:00"/>
    <d v="2024-11-25T00:00:00"/>
    <x v="0"/>
    <s v="Q4"/>
    <x v="10"/>
    <x v="6"/>
    <x v="4"/>
    <x v="0"/>
    <x v="1"/>
    <x v="1"/>
    <x v="2"/>
    <n v="15"/>
    <n v="21"/>
    <n v="15546"/>
    <n v="0"/>
    <n v="4"/>
    <s v="Recovered"/>
    <n v="1"/>
  </r>
  <r>
    <s v="ADM-242268"/>
    <d v="2024-11-10T00:00:00"/>
    <d v="2024-11-26T00:00:00"/>
    <x v="0"/>
    <s v="Q4"/>
    <x v="10"/>
    <x v="6"/>
    <x v="4"/>
    <x v="0"/>
    <x v="1"/>
    <x v="0"/>
    <x v="0"/>
    <n v="16"/>
    <n v="46"/>
    <n v="21577"/>
    <n v="1"/>
    <n v="4"/>
    <s v="Improved"/>
    <n v="1"/>
  </r>
  <r>
    <s v="ADM-242269"/>
    <d v="2024-11-10T00:00:00"/>
    <d v="2024-11-14T00:00:00"/>
    <x v="0"/>
    <s v="Q4"/>
    <x v="10"/>
    <x v="6"/>
    <x v="5"/>
    <x v="0"/>
    <x v="1"/>
    <x v="2"/>
    <x v="0"/>
    <n v="4"/>
    <n v="21"/>
    <n v="3960"/>
    <n v="0"/>
    <n v="5"/>
    <s v="Recovered"/>
    <n v="1"/>
  </r>
  <r>
    <s v="ADM-242270"/>
    <d v="2024-11-11T00:00:00"/>
    <d v="2024-11-13T00:00:00"/>
    <x v="0"/>
    <s v="Q4"/>
    <x v="10"/>
    <x v="0"/>
    <x v="0"/>
    <x v="2"/>
    <x v="0"/>
    <x v="4"/>
    <x v="2"/>
    <n v="2"/>
    <m/>
    <n v="2215"/>
    <n v="0"/>
    <n v="4"/>
    <s v="Improved"/>
    <n v="1"/>
  </r>
  <r>
    <s v="ADM-242271"/>
    <d v="2024-11-11T00:00:00"/>
    <d v="2024-11-12T00:00:00"/>
    <x v="0"/>
    <s v="Q4"/>
    <x v="10"/>
    <x v="0"/>
    <x v="3"/>
    <x v="0"/>
    <x v="1"/>
    <x v="3"/>
    <x v="0"/>
    <n v="1"/>
    <n v="29"/>
    <n v="1168"/>
    <n v="0"/>
    <n v="5"/>
    <s v="Recovered"/>
    <n v="1"/>
  </r>
  <r>
    <s v="ADM-242272"/>
    <d v="2024-11-11T00:00:00"/>
    <d v="2024-11-14T00:00:00"/>
    <x v="0"/>
    <s v="Q4"/>
    <x v="10"/>
    <x v="0"/>
    <x v="5"/>
    <x v="2"/>
    <x v="0"/>
    <x v="0"/>
    <x v="0"/>
    <n v="3"/>
    <m/>
    <n v="3648"/>
    <n v="0"/>
    <n v="4"/>
    <s v="Improved"/>
    <n v="1"/>
  </r>
  <r>
    <s v="ADM-242273"/>
    <d v="2024-11-11T00:00:00"/>
    <d v="2024-11-12T00:00:00"/>
    <x v="0"/>
    <s v="Q4"/>
    <x v="10"/>
    <x v="0"/>
    <x v="3"/>
    <x v="0"/>
    <x v="0"/>
    <x v="3"/>
    <x v="2"/>
    <n v="1"/>
    <n v="13"/>
    <n v="1845"/>
    <n v="0"/>
    <n v="5"/>
    <s v="Improved"/>
    <n v="1"/>
  </r>
  <r>
    <s v="ADM-242274"/>
    <d v="2024-11-11T00:00:00"/>
    <d v="2024-11-27T00:00:00"/>
    <x v="0"/>
    <s v="Q4"/>
    <x v="10"/>
    <x v="0"/>
    <x v="0"/>
    <x v="0"/>
    <x v="0"/>
    <x v="0"/>
    <x v="2"/>
    <n v="16"/>
    <n v="45"/>
    <n v="12592"/>
    <n v="0"/>
    <n v="5"/>
    <s v="Recovered"/>
    <n v="1"/>
  </r>
  <r>
    <s v="ADM-242275"/>
    <d v="2024-11-11T00:00:00"/>
    <d v="2024-11-15T00:00:00"/>
    <x v="0"/>
    <s v="Q4"/>
    <x v="10"/>
    <x v="0"/>
    <x v="2"/>
    <x v="0"/>
    <x v="0"/>
    <x v="1"/>
    <x v="0"/>
    <n v="4"/>
    <n v="13"/>
    <n v="3873"/>
    <n v="0"/>
    <n v="3"/>
    <s v="Recovered"/>
    <n v="1"/>
  </r>
  <r>
    <s v="ADM-242276"/>
    <d v="2024-11-11T00:00:00"/>
    <d v="2024-11-15T00:00:00"/>
    <x v="0"/>
    <s v="Q4"/>
    <x v="10"/>
    <x v="0"/>
    <x v="2"/>
    <x v="2"/>
    <x v="0"/>
    <x v="1"/>
    <x v="2"/>
    <n v="4"/>
    <m/>
    <n v="2458"/>
    <n v="0"/>
    <n v="5"/>
    <s v="Recovered"/>
    <n v="1"/>
  </r>
  <r>
    <s v="ADM-242277"/>
    <d v="2024-11-11T00:00:00"/>
    <d v="2024-11-15T00:00:00"/>
    <x v="0"/>
    <s v="Q4"/>
    <x v="10"/>
    <x v="0"/>
    <x v="1"/>
    <x v="2"/>
    <x v="0"/>
    <x v="0"/>
    <x v="0"/>
    <n v="4"/>
    <m/>
    <n v="3500"/>
    <n v="0"/>
    <n v="3"/>
    <s v="Improved"/>
    <n v="1"/>
  </r>
  <r>
    <s v="ADM-242278"/>
    <d v="2024-11-11T00:00:00"/>
    <d v="2024-11-14T00:00:00"/>
    <x v="0"/>
    <s v="Q4"/>
    <x v="10"/>
    <x v="0"/>
    <x v="3"/>
    <x v="0"/>
    <x v="1"/>
    <x v="3"/>
    <x v="1"/>
    <n v="3"/>
    <n v="50"/>
    <n v="2866"/>
    <n v="0"/>
    <n v="4"/>
    <s v="Deceased"/>
    <n v="1"/>
  </r>
  <r>
    <s v="ADM-242279"/>
    <d v="2024-11-11T00:00:00"/>
    <d v="2024-11-12T00:00:00"/>
    <x v="0"/>
    <s v="Q4"/>
    <x v="10"/>
    <x v="0"/>
    <x v="3"/>
    <x v="0"/>
    <x v="1"/>
    <x v="3"/>
    <x v="0"/>
    <n v="1"/>
    <n v="38"/>
    <n v="1213"/>
    <n v="0"/>
    <n v="5"/>
    <s v="Improved"/>
    <n v="1"/>
  </r>
  <r>
    <s v="ADM-242280"/>
    <d v="2024-11-12T00:00:00"/>
    <d v="2024-12-04T00:00:00"/>
    <x v="0"/>
    <s v="Q4"/>
    <x v="10"/>
    <x v="1"/>
    <x v="0"/>
    <x v="0"/>
    <x v="1"/>
    <x v="0"/>
    <x v="1"/>
    <n v="22"/>
    <n v="36"/>
    <n v="12281"/>
    <n v="0"/>
    <n v="4"/>
    <s v="Improved"/>
    <n v="1"/>
  </r>
  <r>
    <s v="ADM-242281"/>
    <d v="2024-11-12T00:00:00"/>
    <d v="2024-11-14T00:00:00"/>
    <x v="0"/>
    <s v="Q4"/>
    <x v="10"/>
    <x v="1"/>
    <x v="1"/>
    <x v="2"/>
    <x v="0"/>
    <x v="1"/>
    <x v="0"/>
    <n v="2"/>
    <m/>
    <n v="3259"/>
    <n v="0"/>
    <n v="5"/>
    <s v="Recovered"/>
    <n v="1"/>
  </r>
  <r>
    <s v="ADM-242282"/>
    <d v="2024-11-12T00:00:00"/>
    <d v="2024-11-14T00:00:00"/>
    <x v="0"/>
    <s v="Q4"/>
    <x v="10"/>
    <x v="1"/>
    <x v="3"/>
    <x v="0"/>
    <x v="1"/>
    <x v="3"/>
    <x v="2"/>
    <n v="2"/>
    <n v="11"/>
    <n v="2001"/>
    <n v="0"/>
    <n v="4"/>
    <s v="Recovered"/>
    <n v="1"/>
  </r>
  <r>
    <s v="ADM-242283"/>
    <d v="2024-11-12T00:00:00"/>
    <d v="2024-11-16T00:00:00"/>
    <x v="0"/>
    <s v="Q4"/>
    <x v="10"/>
    <x v="1"/>
    <x v="3"/>
    <x v="2"/>
    <x v="1"/>
    <x v="3"/>
    <x v="0"/>
    <n v="4"/>
    <m/>
    <n v="3262"/>
    <n v="0"/>
    <n v="4"/>
    <s v="Recovered"/>
    <n v="1"/>
  </r>
  <r>
    <s v="ADM-242284"/>
    <d v="2024-11-12T00:00:00"/>
    <d v="2024-11-15T00:00:00"/>
    <x v="0"/>
    <s v="Q4"/>
    <x v="10"/>
    <x v="1"/>
    <x v="0"/>
    <x v="0"/>
    <x v="0"/>
    <x v="1"/>
    <x v="2"/>
    <n v="3"/>
    <n v="46"/>
    <n v="2153"/>
    <n v="0"/>
    <n v="5"/>
    <s v="Improved"/>
    <n v="1"/>
  </r>
  <r>
    <s v="ADM-242285"/>
    <d v="2024-11-12T00:00:00"/>
    <d v="2024-11-13T00:00:00"/>
    <x v="0"/>
    <s v="Q4"/>
    <x v="10"/>
    <x v="1"/>
    <x v="1"/>
    <x v="2"/>
    <x v="0"/>
    <x v="0"/>
    <x v="2"/>
    <n v="1"/>
    <m/>
    <n v="1782"/>
    <n v="1"/>
    <n v="3"/>
    <s v="Improved"/>
    <n v="1"/>
  </r>
  <r>
    <s v="ADM-242286"/>
    <d v="2024-11-12T00:00:00"/>
    <d v="2024-11-17T00:00:00"/>
    <x v="0"/>
    <s v="Q4"/>
    <x v="10"/>
    <x v="1"/>
    <x v="0"/>
    <x v="0"/>
    <x v="1"/>
    <x v="0"/>
    <x v="0"/>
    <n v="5"/>
    <n v="41"/>
    <n v="3258"/>
    <n v="0"/>
    <n v="4"/>
    <s v="Recovered"/>
    <n v="1"/>
  </r>
  <r>
    <s v="ADM-242287"/>
    <d v="2024-11-12T00:00:00"/>
    <d v="2024-11-14T00:00:00"/>
    <x v="0"/>
    <s v="Q4"/>
    <x v="10"/>
    <x v="1"/>
    <x v="3"/>
    <x v="0"/>
    <x v="1"/>
    <x v="3"/>
    <x v="0"/>
    <n v="2"/>
    <n v="33"/>
    <n v="1980"/>
    <n v="0"/>
    <n v="4"/>
    <s v="Transferred"/>
    <n v="1"/>
  </r>
  <r>
    <s v="ADM-242288"/>
    <d v="2024-11-13T00:00:00"/>
    <d v="2024-11-16T00:00:00"/>
    <x v="0"/>
    <s v="Q4"/>
    <x v="10"/>
    <x v="2"/>
    <x v="3"/>
    <x v="0"/>
    <x v="1"/>
    <x v="3"/>
    <x v="0"/>
    <n v="3"/>
    <n v="21"/>
    <n v="2367"/>
    <n v="0"/>
    <n v="4"/>
    <s v="Recovered"/>
    <n v="1"/>
  </r>
  <r>
    <s v="ADM-242289"/>
    <d v="2024-11-13T00:00:00"/>
    <d v="2024-11-16T00:00:00"/>
    <x v="0"/>
    <s v="Q4"/>
    <x v="10"/>
    <x v="2"/>
    <x v="1"/>
    <x v="2"/>
    <x v="0"/>
    <x v="4"/>
    <x v="2"/>
    <n v="3"/>
    <m/>
    <n v="3436"/>
    <n v="0"/>
    <n v="5"/>
    <s v="Improved"/>
    <n v="1"/>
  </r>
  <r>
    <s v="ADM-242290"/>
    <d v="2024-11-13T00:00:00"/>
    <d v="2024-11-18T00:00:00"/>
    <x v="0"/>
    <s v="Q4"/>
    <x v="10"/>
    <x v="2"/>
    <x v="2"/>
    <x v="0"/>
    <x v="0"/>
    <x v="1"/>
    <x v="0"/>
    <n v="5"/>
    <n v="48"/>
    <n v="3286"/>
    <n v="0"/>
    <n v="5"/>
    <s v="Improved"/>
    <n v="1"/>
  </r>
  <r>
    <s v="ADM-242291"/>
    <d v="2024-11-13T00:00:00"/>
    <d v="2024-11-15T00:00:00"/>
    <x v="0"/>
    <s v="Q4"/>
    <x v="10"/>
    <x v="2"/>
    <x v="4"/>
    <x v="0"/>
    <x v="0"/>
    <x v="2"/>
    <x v="2"/>
    <n v="2"/>
    <n v="37"/>
    <n v="2998"/>
    <n v="0"/>
    <n v="4"/>
    <s v="Improved"/>
    <n v="1"/>
  </r>
  <r>
    <s v="ADM-242292"/>
    <d v="2024-11-13T00:00:00"/>
    <d v="2024-11-15T00:00:00"/>
    <x v="0"/>
    <s v="Q4"/>
    <x v="10"/>
    <x v="2"/>
    <x v="1"/>
    <x v="2"/>
    <x v="0"/>
    <x v="1"/>
    <x v="2"/>
    <n v="2"/>
    <m/>
    <n v="4107"/>
    <n v="0"/>
    <n v="4"/>
    <s v="Improved"/>
    <n v="1"/>
  </r>
  <r>
    <s v="ADM-242293"/>
    <d v="2024-11-13T00:00:00"/>
    <d v="2024-11-19T00:00:00"/>
    <x v="0"/>
    <s v="Q4"/>
    <x v="10"/>
    <x v="2"/>
    <x v="4"/>
    <x v="0"/>
    <x v="1"/>
    <x v="2"/>
    <x v="2"/>
    <n v="6"/>
    <n v="28"/>
    <n v="7184"/>
    <n v="0"/>
    <n v="5"/>
    <s v="Recovered"/>
    <n v="1"/>
  </r>
  <r>
    <s v="ADM-242294"/>
    <d v="2024-11-14T00:00:00"/>
    <d v="2024-11-16T00:00:00"/>
    <x v="0"/>
    <s v="Q4"/>
    <x v="10"/>
    <x v="3"/>
    <x v="3"/>
    <x v="0"/>
    <x v="0"/>
    <x v="3"/>
    <x v="2"/>
    <n v="2"/>
    <n v="41"/>
    <n v="1841"/>
    <n v="0"/>
    <n v="4"/>
    <s v="Recovered"/>
    <n v="1"/>
  </r>
  <r>
    <s v="ADM-242295"/>
    <d v="2024-11-14T00:00:00"/>
    <d v="2024-11-15T00:00:00"/>
    <x v="0"/>
    <s v="Q4"/>
    <x v="10"/>
    <x v="3"/>
    <x v="2"/>
    <x v="1"/>
    <x v="0"/>
    <x v="2"/>
    <x v="2"/>
    <n v="1"/>
    <m/>
    <n v="1334"/>
    <n v="0"/>
    <n v="5"/>
    <s v="Improved"/>
    <n v="1"/>
  </r>
  <r>
    <s v="ADM-242296"/>
    <d v="2024-11-14T00:00:00"/>
    <d v="2024-11-21T00:00:00"/>
    <x v="0"/>
    <s v="Q4"/>
    <x v="10"/>
    <x v="3"/>
    <x v="4"/>
    <x v="0"/>
    <x v="0"/>
    <x v="4"/>
    <x v="2"/>
    <n v="7"/>
    <n v="118"/>
    <n v="10147"/>
    <n v="0"/>
    <n v="3"/>
    <s v="Recovered"/>
    <n v="1"/>
  </r>
  <r>
    <s v="ADM-242297"/>
    <d v="2024-11-14T00:00:00"/>
    <d v="2024-11-15T00:00:00"/>
    <x v="0"/>
    <s v="Q4"/>
    <x v="10"/>
    <x v="3"/>
    <x v="2"/>
    <x v="0"/>
    <x v="0"/>
    <x v="2"/>
    <x v="2"/>
    <n v="1"/>
    <n v="56"/>
    <n v="1477"/>
    <n v="0"/>
    <n v="5"/>
    <s v="Recovered"/>
    <n v="1"/>
  </r>
  <r>
    <s v="ADM-242298"/>
    <d v="2024-11-14T00:00:00"/>
    <d v="2024-11-19T00:00:00"/>
    <x v="0"/>
    <s v="Q4"/>
    <x v="10"/>
    <x v="3"/>
    <x v="3"/>
    <x v="0"/>
    <x v="1"/>
    <x v="3"/>
    <x v="2"/>
    <n v="5"/>
    <n v="52"/>
    <n v="3661"/>
    <n v="0"/>
    <n v="4"/>
    <s v="Recovered"/>
    <n v="1"/>
  </r>
  <r>
    <s v="ADM-242299"/>
    <d v="2024-11-14T00:00:00"/>
    <d v="2024-11-21T00:00:00"/>
    <x v="0"/>
    <s v="Q4"/>
    <x v="10"/>
    <x v="3"/>
    <x v="4"/>
    <x v="0"/>
    <x v="0"/>
    <x v="4"/>
    <x v="0"/>
    <n v="7"/>
    <n v="36"/>
    <n v="7176"/>
    <n v="0"/>
    <n v="4"/>
    <s v="Recovered"/>
    <n v="1"/>
  </r>
  <r>
    <s v="ADM-242300"/>
    <d v="2024-11-14T00:00:00"/>
    <d v="2024-11-17T00:00:00"/>
    <x v="0"/>
    <s v="Q4"/>
    <x v="10"/>
    <x v="3"/>
    <x v="5"/>
    <x v="2"/>
    <x v="0"/>
    <x v="2"/>
    <x v="2"/>
    <n v="3"/>
    <m/>
    <n v="3710"/>
    <n v="0"/>
    <n v="4"/>
    <s v="Recovered"/>
    <n v="1"/>
  </r>
  <r>
    <s v="ADM-242301"/>
    <d v="2024-11-14T00:00:00"/>
    <d v="2024-11-23T00:00:00"/>
    <x v="0"/>
    <s v="Q4"/>
    <x v="10"/>
    <x v="3"/>
    <x v="4"/>
    <x v="0"/>
    <x v="0"/>
    <x v="0"/>
    <x v="0"/>
    <n v="9"/>
    <n v="33"/>
    <n v="11325"/>
    <n v="0"/>
    <n v="5"/>
    <s v="Improved"/>
    <n v="1"/>
  </r>
  <r>
    <s v="ADM-242302"/>
    <d v="2024-11-15T00:00:00"/>
    <d v="2024-11-17T00:00:00"/>
    <x v="0"/>
    <s v="Q4"/>
    <x v="10"/>
    <x v="4"/>
    <x v="5"/>
    <x v="2"/>
    <x v="0"/>
    <x v="1"/>
    <x v="2"/>
    <n v="2"/>
    <m/>
    <n v="2497"/>
    <n v="0"/>
    <n v="4"/>
    <s v="Improved"/>
    <n v="1"/>
  </r>
  <r>
    <s v="ADM-242303"/>
    <d v="2024-11-15T00:00:00"/>
    <d v="2024-11-27T00:00:00"/>
    <x v="0"/>
    <s v="Q4"/>
    <x v="10"/>
    <x v="4"/>
    <x v="1"/>
    <x v="0"/>
    <x v="1"/>
    <x v="0"/>
    <x v="2"/>
    <n v="12"/>
    <n v="42"/>
    <n v="13406"/>
    <n v="0"/>
    <n v="4"/>
    <s v="Improved"/>
    <n v="1"/>
  </r>
  <r>
    <s v="ADM-242304"/>
    <d v="2024-11-15T00:00:00"/>
    <d v="2024-11-18T00:00:00"/>
    <x v="0"/>
    <s v="Q4"/>
    <x v="10"/>
    <x v="4"/>
    <x v="1"/>
    <x v="2"/>
    <x v="0"/>
    <x v="1"/>
    <x v="0"/>
    <n v="3"/>
    <m/>
    <n v="5247"/>
    <n v="1"/>
    <n v="3"/>
    <s v="Improved"/>
    <n v="1"/>
  </r>
  <r>
    <s v="ADM-242305"/>
    <d v="2024-11-15T00:00:00"/>
    <d v="2024-11-21T00:00:00"/>
    <x v="0"/>
    <s v="Q4"/>
    <x v="10"/>
    <x v="4"/>
    <x v="0"/>
    <x v="0"/>
    <x v="1"/>
    <x v="2"/>
    <x v="0"/>
    <n v="6"/>
    <n v="95"/>
    <n v="4044"/>
    <n v="0"/>
    <n v="2"/>
    <s v="Recovered"/>
    <n v="1"/>
  </r>
  <r>
    <s v="ADM-242306"/>
    <d v="2024-11-15T00:00:00"/>
    <d v="2024-11-18T00:00:00"/>
    <x v="0"/>
    <s v="Q4"/>
    <x v="10"/>
    <x v="4"/>
    <x v="3"/>
    <x v="2"/>
    <x v="1"/>
    <x v="3"/>
    <x v="0"/>
    <n v="3"/>
    <m/>
    <n v="2745"/>
    <n v="0"/>
    <n v="5"/>
    <s v="Recovered"/>
    <n v="1"/>
  </r>
  <r>
    <s v="ADM-242307"/>
    <d v="2024-11-15T00:00:00"/>
    <d v="2024-11-17T00:00:00"/>
    <x v="0"/>
    <s v="Q4"/>
    <x v="10"/>
    <x v="4"/>
    <x v="0"/>
    <x v="0"/>
    <x v="0"/>
    <x v="4"/>
    <x v="0"/>
    <n v="2"/>
    <n v="96"/>
    <n v="1827"/>
    <n v="1"/>
    <n v="3"/>
    <s v="Improved"/>
    <n v="1"/>
  </r>
  <r>
    <s v="ADM-242308"/>
    <d v="2024-11-15T00:00:00"/>
    <d v="2024-11-19T00:00:00"/>
    <x v="0"/>
    <s v="Q4"/>
    <x v="10"/>
    <x v="4"/>
    <x v="0"/>
    <x v="2"/>
    <x v="0"/>
    <x v="4"/>
    <x v="0"/>
    <n v="4"/>
    <m/>
    <n v="3909"/>
    <n v="0"/>
    <n v="4"/>
    <s v="Recovered"/>
    <n v="1"/>
  </r>
  <r>
    <s v="ADM-242309"/>
    <d v="2024-11-15T00:00:00"/>
    <d v="2024-11-18T00:00:00"/>
    <x v="0"/>
    <s v="Q4"/>
    <x v="10"/>
    <x v="4"/>
    <x v="3"/>
    <x v="0"/>
    <x v="1"/>
    <x v="3"/>
    <x v="0"/>
    <n v="3"/>
    <n v="35"/>
    <n v="2633"/>
    <n v="0"/>
    <n v="5"/>
    <s v="Improved"/>
    <n v="1"/>
  </r>
  <r>
    <s v="ADM-242310"/>
    <d v="2024-11-15T00:00:00"/>
    <d v="2024-11-17T00:00:00"/>
    <x v="0"/>
    <s v="Q4"/>
    <x v="10"/>
    <x v="4"/>
    <x v="4"/>
    <x v="0"/>
    <x v="0"/>
    <x v="1"/>
    <x v="2"/>
    <n v="2"/>
    <n v="42"/>
    <n v="2693"/>
    <n v="1"/>
    <n v="4"/>
    <s v="Improved"/>
    <n v="1"/>
  </r>
  <r>
    <s v="ADM-242311"/>
    <d v="2024-11-15T00:00:00"/>
    <d v="2024-11-19T00:00:00"/>
    <x v="0"/>
    <s v="Q4"/>
    <x v="10"/>
    <x v="4"/>
    <x v="3"/>
    <x v="0"/>
    <x v="1"/>
    <x v="3"/>
    <x v="0"/>
    <n v="4"/>
    <n v="90"/>
    <n v="2917"/>
    <n v="0"/>
    <n v="4"/>
    <s v="Recovered"/>
    <n v="1"/>
  </r>
  <r>
    <s v="ADM-242312"/>
    <d v="2024-11-16T00:00:00"/>
    <d v="2024-11-17T00:00:00"/>
    <x v="0"/>
    <s v="Q4"/>
    <x v="10"/>
    <x v="5"/>
    <x v="0"/>
    <x v="2"/>
    <x v="0"/>
    <x v="4"/>
    <x v="0"/>
    <n v="1"/>
    <m/>
    <n v="1083"/>
    <n v="1"/>
    <n v="4"/>
    <s v="Improved"/>
    <n v="1"/>
  </r>
  <r>
    <s v="ADM-242313"/>
    <d v="2024-11-16T00:00:00"/>
    <d v="2024-11-20T00:00:00"/>
    <x v="0"/>
    <s v="Q4"/>
    <x v="10"/>
    <x v="5"/>
    <x v="3"/>
    <x v="0"/>
    <x v="1"/>
    <x v="3"/>
    <x v="2"/>
    <n v="4"/>
    <n v="176"/>
    <n v="3019"/>
    <n v="0"/>
    <n v="3"/>
    <s v="Recovered"/>
    <n v="1"/>
  </r>
  <r>
    <s v="ADM-242314"/>
    <d v="2024-11-16T00:00:00"/>
    <d v="2024-11-22T00:00:00"/>
    <x v="0"/>
    <s v="Q4"/>
    <x v="10"/>
    <x v="5"/>
    <x v="3"/>
    <x v="0"/>
    <x v="1"/>
    <x v="3"/>
    <x v="1"/>
    <n v="6"/>
    <n v="43"/>
    <n v="2913"/>
    <n v="0"/>
    <n v="5"/>
    <s v="Recovered"/>
    <n v="1"/>
  </r>
  <r>
    <s v="ADM-242315"/>
    <d v="2024-11-16T00:00:00"/>
    <d v="2024-11-18T00:00:00"/>
    <x v="0"/>
    <s v="Q4"/>
    <x v="10"/>
    <x v="5"/>
    <x v="1"/>
    <x v="2"/>
    <x v="1"/>
    <x v="0"/>
    <x v="0"/>
    <n v="2"/>
    <m/>
    <n v="2771"/>
    <n v="0"/>
    <n v="5"/>
    <s v="Recovered"/>
    <n v="1"/>
  </r>
  <r>
    <s v="ADM-242316"/>
    <d v="2024-11-16T00:00:00"/>
    <d v="2024-11-17T00:00:00"/>
    <x v="0"/>
    <s v="Q4"/>
    <x v="10"/>
    <x v="5"/>
    <x v="5"/>
    <x v="2"/>
    <x v="0"/>
    <x v="2"/>
    <x v="0"/>
    <n v="1"/>
    <m/>
    <n v="2018"/>
    <n v="0"/>
    <n v="5"/>
    <s v="Recovered"/>
    <n v="1"/>
  </r>
  <r>
    <s v="ADM-242317"/>
    <d v="2024-11-17T00:00:00"/>
    <d v="2024-11-23T00:00:00"/>
    <x v="0"/>
    <s v="Q4"/>
    <x v="10"/>
    <x v="6"/>
    <x v="3"/>
    <x v="0"/>
    <x v="1"/>
    <x v="3"/>
    <x v="0"/>
    <n v="6"/>
    <n v="72"/>
    <n v="4349"/>
    <n v="0"/>
    <n v="4"/>
    <s v="Recovered"/>
    <n v="1"/>
  </r>
  <r>
    <s v="ADM-242318"/>
    <d v="2024-11-17T00:00:00"/>
    <d v="2024-11-24T00:00:00"/>
    <x v="0"/>
    <s v="Q4"/>
    <x v="10"/>
    <x v="6"/>
    <x v="5"/>
    <x v="0"/>
    <x v="1"/>
    <x v="0"/>
    <x v="0"/>
    <n v="7"/>
    <n v="39"/>
    <n v="5502"/>
    <n v="0"/>
    <n v="5"/>
    <s v="Recovered"/>
    <n v="1"/>
  </r>
  <r>
    <s v="ADM-242319"/>
    <d v="2024-11-17T00:00:00"/>
    <d v="2024-11-21T00:00:00"/>
    <x v="0"/>
    <s v="Q4"/>
    <x v="10"/>
    <x v="6"/>
    <x v="2"/>
    <x v="1"/>
    <x v="0"/>
    <x v="2"/>
    <x v="2"/>
    <n v="4"/>
    <m/>
    <n v="4692"/>
    <n v="0"/>
    <n v="4"/>
    <s v="Recovered"/>
    <n v="1"/>
  </r>
  <r>
    <s v="ADM-242320"/>
    <d v="2024-11-17T00:00:00"/>
    <d v="2024-11-23T00:00:00"/>
    <x v="0"/>
    <s v="Q4"/>
    <x v="10"/>
    <x v="6"/>
    <x v="4"/>
    <x v="0"/>
    <x v="1"/>
    <x v="2"/>
    <x v="1"/>
    <n v="6"/>
    <n v="61"/>
    <n v="8510"/>
    <n v="0"/>
    <n v="5"/>
    <s v="Improved"/>
    <n v="1"/>
  </r>
  <r>
    <s v="ADM-242321"/>
    <d v="2024-11-17T00:00:00"/>
    <d v="2024-11-21T00:00:00"/>
    <x v="0"/>
    <s v="Q4"/>
    <x v="10"/>
    <x v="6"/>
    <x v="0"/>
    <x v="1"/>
    <x v="0"/>
    <x v="4"/>
    <x v="0"/>
    <n v="4"/>
    <m/>
    <n v="3210"/>
    <n v="0"/>
    <n v="4"/>
    <s v="Recovered"/>
    <n v="1"/>
  </r>
  <r>
    <s v="ADM-242322"/>
    <d v="2024-11-17T00:00:00"/>
    <d v="2024-11-19T00:00:00"/>
    <x v="0"/>
    <s v="Q4"/>
    <x v="10"/>
    <x v="6"/>
    <x v="5"/>
    <x v="0"/>
    <x v="1"/>
    <x v="1"/>
    <x v="0"/>
    <n v="2"/>
    <n v="22"/>
    <n v="3746"/>
    <n v="0"/>
    <n v="5"/>
    <s v="Recovered"/>
    <n v="1"/>
  </r>
  <r>
    <s v="ADM-242323"/>
    <d v="2024-11-17T00:00:00"/>
    <d v="2024-11-26T00:00:00"/>
    <x v="0"/>
    <s v="Q4"/>
    <x v="10"/>
    <x v="6"/>
    <x v="3"/>
    <x v="0"/>
    <x v="0"/>
    <x v="3"/>
    <x v="2"/>
    <n v="9"/>
    <n v="37"/>
    <n v="5925"/>
    <n v="0"/>
    <n v="4"/>
    <s v="Recovered"/>
    <n v="1"/>
  </r>
  <r>
    <s v="ADM-242324"/>
    <d v="2024-11-17T00:00:00"/>
    <d v="2024-11-21T00:00:00"/>
    <x v="0"/>
    <s v="Q4"/>
    <x v="10"/>
    <x v="6"/>
    <x v="3"/>
    <x v="0"/>
    <x v="0"/>
    <x v="3"/>
    <x v="1"/>
    <n v="4"/>
    <n v="106"/>
    <n v="2183"/>
    <n v="0"/>
    <n v="4"/>
    <s v="Recovered"/>
    <n v="1"/>
  </r>
  <r>
    <s v="ADM-242325"/>
    <d v="2024-11-17T00:00:00"/>
    <d v="2024-11-26T00:00:00"/>
    <x v="0"/>
    <s v="Q4"/>
    <x v="10"/>
    <x v="6"/>
    <x v="0"/>
    <x v="0"/>
    <x v="0"/>
    <x v="1"/>
    <x v="0"/>
    <n v="9"/>
    <n v="31"/>
    <n v="6172"/>
    <n v="0"/>
    <n v="5"/>
    <s v="Recovered"/>
    <n v="1"/>
  </r>
  <r>
    <s v="ADM-242326"/>
    <d v="2024-11-18T00:00:00"/>
    <d v="2024-11-21T00:00:00"/>
    <x v="0"/>
    <s v="Q4"/>
    <x v="10"/>
    <x v="0"/>
    <x v="5"/>
    <x v="2"/>
    <x v="1"/>
    <x v="4"/>
    <x v="0"/>
    <n v="3"/>
    <m/>
    <n v="2785"/>
    <n v="0"/>
    <n v="5"/>
    <s v="Improved"/>
    <n v="1"/>
  </r>
  <r>
    <s v="ADM-242327"/>
    <d v="2024-11-18T00:00:00"/>
    <d v="2024-11-21T00:00:00"/>
    <x v="0"/>
    <s v="Q4"/>
    <x v="10"/>
    <x v="0"/>
    <x v="0"/>
    <x v="0"/>
    <x v="0"/>
    <x v="4"/>
    <x v="0"/>
    <n v="3"/>
    <n v="109"/>
    <n v="1870"/>
    <n v="0"/>
    <n v="5"/>
    <s v="Recovered"/>
    <n v="1"/>
  </r>
  <r>
    <s v="ADM-242328"/>
    <d v="2024-11-18T00:00:00"/>
    <d v="2024-11-20T00:00:00"/>
    <x v="0"/>
    <s v="Q4"/>
    <x v="10"/>
    <x v="0"/>
    <x v="2"/>
    <x v="0"/>
    <x v="0"/>
    <x v="2"/>
    <x v="2"/>
    <n v="2"/>
    <n v="20"/>
    <n v="2034"/>
    <n v="0"/>
    <n v="4"/>
    <s v="Transferred"/>
    <n v="1"/>
  </r>
  <r>
    <s v="ADM-242329"/>
    <d v="2024-11-18T00:00:00"/>
    <d v="2024-11-22T00:00:00"/>
    <x v="0"/>
    <s v="Q4"/>
    <x v="10"/>
    <x v="0"/>
    <x v="4"/>
    <x v="0"/>
    <x v="1"/>
    <x v="1"/>
    <x v="0"/>
    <n v="4"/>
    <n v="45"/>
    <n v="4879"/>
    <n v="0"/>
    <n v="4"/>
    <s v="Recovered"/>
    <n v="1"/>
  </r>
  <r>
    <s v="ADM-242330"/>
    <d v="2024-11-18T00:00:00"/>
    <d v="2024-11-19T00:00:00"/>
    <x v="0"/>
    <s v="Q4"/>
    <x v="10"/>
    <x v="0"/>
    <x v="0"/>
    <x v="0"/>
    <x v="0"/>
    <x v="1"/>
    <x v="0"/>
    <n v="1"/>
    <n v="107"/>
    <n v="1784"/>
    <n v="0"/>
    <n v="3"/>
    <s v="Recovered"/>
    <n v="1"/>
  </r>
  <r>
    <s v="ADM-242331"/>
    <d v="2024-11-18T00:00:00"/>
    <d v="2024-11-24T00:00:00"/>
    <x v="0"/>
    <s v="Q4"/>
    <x v="10"/>
    <x v="0"/>
    <x v="4"/>
    <x v="2"/>
    <x v="0"/>
    <x v="0"/>
    <x v="0"/>
    <n v="6"/>
    <m/>
    <n v="8447"/>
    <n v="0"/>
    <n v="3"/>
    <s v="Recovered"/>
    <n v="1"/>
  </r>
  <r>
    <s v="ADM-242332"/>
    <d v="2024-11-18T00:00:00"/>
    <d v="2024-11-20T00:00:00"/>
    <x v="0"/>
    <s v="Q4"/>
    <x v="10"/>
    <x v="0"/>
    <x v="0"/>
    <x v="2"/>
    <x v="0"/>
    <x v="0"/>
    <x v="2"/>
    <n v="2"/>
    <m/>
    <n v="2124"/>
    <n v="0"/>
    <n v="4"/>
    <s v="Improved"/>
    <n v="1"/>
  </r>
  <r>
    <s v="ADM-242333"/>
    <d v="2024-11-18T00:00:00"/>
    <d v="2024-12-01T00:00:00"/>
    <x v="0"/>
    <s v="Q4"/>
    <x v="10"/>
    <x v="0"/>
    <x v="0"/>
    <x v="0"/>
    <x v="0"/>
    <x v="1"/>
    <x v="2"/>
    <n v="13"/>
    <n v="66"/>
    <n v="8019"/>
    <n v="0"/>
    <n v="4"/>
    <s v="Recovered"/>
    <n v="1"/>
  </r>
  <r>
    <s v="ADM-242334"/>
    <d v="2024-11-18T00:00:00"/>
    <d v="2024-11-20T00:00:00"/>
    <x v="0"/>
    <s v="Q4"/>
    <x v="10"/>
    <x v="0"/>
    <x v="2"/>
    <x v="0"/>
    <x v="0"/>
    <x v="1"/>
    <x v="2"/>
    <n v="2"/>
    <n v="110"/>
    <n v="2490"/>
    <n v="0"/>
    <n v="3"/>
    <s v="Recovered"/>
    <n v="1"/>
  </r>
  <r>
    <s v="ADM-242335"/>
    <d v="2024-11-18T00:00:00"/>
    <d v="2024-11-24T00:00:00"/>
    <x v="0"/>
    <s v="Q4"/>
    <x v="10"/>
    <x v="0"/>
    <x v="4"/>
    <x v="0"/>
    <x v="1"/>
    <x v="2"/>
    <x v="2"/>
    <n v="6"/>
    <n v="24"/>
    <n v="8294"/>
    <n v="0"/>
    <n v="4"/>
    <s v="Improved"/>
    <n v="1"/>
  </r>
  <r>
    <s v="ADM-242336"/>
    <d v="2024-11-18T00:00:00"/>
    <d v="2024-11-24T00:00:00"/>
    <x v="0"/>
    <s v="Q4"/>
    <x v="10"/>
    <x v="0"/>
    <x v="5"/>
    <x v="2"/>
    <x v="1"/>
    <x v="0"/>
    <x v="0"/>
    <n v="6"/>
    <m/>
    <n v="4500"/>
    <n v="0"/>
    <n v="5"/>
    <s v="Recovered"/>
    <n v="1"/>
  </r>
  <r>
    <s v="ADM-242337"/>
    <d v="2024-11-18T00:00:00"/>
    <d v="2024-11-19T00:00:00"/>
    <x v="0"/>
    <s v="Q4"/>
    <x v="10"/>
    <x v="0"/>
    <x v="0"/>
    <x v="0"/>
    <x v="0"/>
    <x v="4"/>
    <x v="0"/>
    <n v="1"/>
    <n v="33"/>
    <n v="1679"/>
    <n v="0"/>
    <n v="5"/>
    <s v="Recovered"/>
    <n v="1"/>
  </r>
  <r>
    <s v="ADM-242338"/>
    <d v="2024-11-18T00:00:00"/>
    <d v="2024-11-22T00:00:00"/>
    <x v="0"/>
    <s v="Q4"/>
    <x v="10"/>
    <x v="0"/>
    <x v="3"/>
    <x v="0"/>
    <x v="1"/>
    <x v="3"/>
    <x v="0"/>
    <n v="4"/>
    <n v="139"/>
    <n v="2851"/>
    <n v="0"/>
    <n v="3"/>
    <s v="Recovered"/>
    <n v="1"/>
  </r>
  <r>
    <s v="ADM-242339"/>
    <d v="2024-11-18T00:00:00"/>
    <d v="2024-11-26T00:00:00"/>
    <x v="0"/>
    <s v="Q4"/>
    <x v="10"/>
    <x v="0"/>
    <x v="4"/>
    <x v="0"/>
    <x v="1"/>
    <x v="0"/>
    <x v="0"/>
    <n v="8"/>
    <n v="47"/>
    <n v="10595"/>
    <n v="0"/>
    <n v="5"/>
    <s v="Improved"/>
    <n v="1"/>
  </r>
  <r>
    <s v="ADM-242340"/>
    <d v="2024-11-19T00:00:00"/>
    <d v="2024-11-22T00:00:00"/>
    <x v="0"/>
    <s v="Q4"/>
    <x v="10"/>
    <x v="1"/>
    <x v="1"/>
    <x v="0"/>
    <x v="1"/>
    <x v="0"/>
    <x v="2"/>
    <n v="3"/>
    <n v="41"/>
    <n v="3227"/>
    <n v="0"/>
    <n v="5"/>
    <s v="Recovered"/>
    <n v="1"/>
  </r>
  <r>
    <s v="ADM-242341"/>
    <d v="2024-11-19T00:00:00"/>
    <d v="2024-12-02T00:00:00"/>
    <x v="0"/>
    <s v="Q4"/>
    <x v="10"/>
    <x v="1"/>
    <x v="0"/>
    <x v="0"/>
    <x v="0"/>
    <x v="0"/>
    <x v="1"/>
    <n v="13"/>
    <n v="54"/>
    <n v="9228"/>
    <n v="1"/>
    <n v="3"/>
    <s v="Recovered"/>
    <n v="1"/>
  </r>
  <r>
    <s v="ADM-242342"/>
    <d v="2024-11-19T00:00:00"/>
    <d v="2024-11-22T00:00:00"/>
    <x v="0"/>
    <s v="Q4"/>
    <x v="10"/>
    <x v="1"/>
    <x v="4"/>
    <x v="0"/>
    <x v="0"/>
    <x v="4"/>
    <x v="1"/>
    <n v="3"/>
    <n v="38"/>
    <n v="3612"/>
    <n v="0"/>
    <n v="5"/>
    <s v="Recovered"/>
    <n v="1"/>
  </r>
  <r>
    <s v="ADM-242343"/>
    <d v="2024-11-19T00:00:00"/>
    <d v="2024-11-20T00:00:00"/>
    <x v="0"/>
    <s v="Q4"/>
    <x v="10"/>
    <x v="1"/>
    <x v="0"/>
    <x v="2"/>
    <x v="0"/>
    <x v="4"/>
    <x v="0"/>
    <n v="1"/>
    <m/>
    <n v="1986"/>
    <n v="0"/>
    <n v="2"/>
    <s v="Recovered"/>
    <n v="1"/>
  </r>
  <r>
    <s v="ADM-242344"/>
    <d v="2024-11-19T00:00:00"/>
    <d v="2024-11-25T00:00:00"/>
    <x v="0"/>
    <s v="Q4"/>
    <x v="10"/>
    <x v="1"/>
    <x v="1"/>
    <x v="2"/>
    <x v="0"/>
    <x v="4"/>
    <x v="0"/>
    <n v="6"/>
    <m/>
    <n v="8172"/>
    <n v="0"/>
    <n v="4"/>
    <s v="Recovered"/>
    <n v="1"/>
  </r>
  <r>
    <s v="ADM-242345"/>
    <d v="2024-11-19T00:00:00"/>
    <d v="2024-11-20T00:00:00"/>
    <x v="0"/>
    <s v="Q4"/>
    <x v="10"/>
    <x v="1"/>
    <x v="2"/>
    <x v="0"/>
    <x v="0"/>
    <x v="2"/>
    <x v="2"/>
    <n v="1"/>
    <n v="166"/>
    <n v="1697"/>
    <n v="0"/>
    <n v="2"/>
    <s v="Recovered"/>
    <n v="1"/>
  </r>
  <r>
    <s v="ADM-242346"/>
    <d v="2024-11-19T00:00:00"/>
    <d v="2024-11-21T00:00:00"/>
    <x v="0"/>
    <s v="Q4"/>
    <x v="10"/>
    <x v="1"/>
    <x v="2"/>
    <x v="0"/>
    <x v="0"/>
    <x v="2"/>
    <x v="2"/>
    <n v="2"/>
    <n v="47"/>
    <n v="2720"/>
    <n v="0"/>
    <n v="4"/>
    <s v="Improved"/>
    <n v="1"/>
  </r>
  <r>
    <s v="ADM-242347"/>
    <d v="2024-11-19T00:00:00"/>
    <d v="2024-11-23T00:00:00"/>
    <x v="0"/>
    <s v="Q4"/>
    <x v="10"/>
    <x v="1"/>
    <x v="2"/>
    <x v="2"/>
    <x v="0"/>
    <x v="1"/>
    <x v="1"/>
    <n v="4"/>
    <m/>
    <n v="2329"/>
    <n v="0"/>
    <n v="5"/>
    <s v="Recovered"/>
    <n v="1"/>
  </r>
  <r>
    <s v="ADM-242348"/>
    <d v="2024-11-19T00:00:00"/>
    <d v="2024-11-25T00:00:00"/>
    <x v="0"/>
    <s v="Q4"/>
    <x v="10"/>
    <x v="1"/>
    <x v="4"/>
    <x v="0"/>
    <x v="0"/>
    <x v="0"/>
    <x v="0"/>
    <n v="6"/>
    <n v="41"/>
    <n v="6878"/>
    <n v="1"/>
    <n v="4"/>
    <s v="Recovered"/>
    <n v="1"/>
  </r>
  <r>
    <s v="ADM-242349"/>
    <d v="2024-11-19T00:00:00"/>
    <d v="2024-11-24T00:00:00"/>
    <x v="0"/>
    <s v="Q4"/>
    <x v="10"/>
    <x v="1"/>
    <x v="2"/>
    <x v="0"/>
    <x v="0"/>
    <x v="2"/>
    <x v="2"/>
    <n v="5"/>
    <n v="103"/>
    <n v="4009"/>
    <n v="0"/>
    <n v="3"/>
    <s v="Recovered"/>
    <n v="1"/>
  </r>
  <r>
    <s v="ADM-242350"/>
    <d v="2024-11-19T00:00:00"/>
    <d v="2024-11-27T00:00:00"/>
    <x v="0"/>
    <s v="Q4"/>
    <x v="10"/>
    <x v="1"/>
    <x v="0"/>
    <x v="2"/>
    <x v="1"/>
    <x v="0"/>
    <x v="0"/>
    <n v="8"/>
    <m/>
    <n v="6105"/>
    <n v="0"/>
    <n v="4"/>
    <s v="Recovered"/>
    <n v="1"/>
  </r>
  <r>
    <s v="ADM-242351"/>
    <d v="2024-11-19T00:00:00"/>
    <d v="2024-11-22T00:00:00"/>
    <x v="0"/>
    <s v="Q4"/>
    <x v="10"/>
    <x v="1"/>
    <x v="1"/>
    <x v="2"/>
    <x v="1"/>
    <x v="0"/>
    <x v="1"/>
    <n v="3"/>
    <m/>
    <n v="3256"/>
    <n v="0"/>
    <n v="5"/>
    <s v="Recovered"/>
    <n v="1"/>
  </r>
  <r>
    <s v="ADM-242352"/>
    <d v="2024-11-20T00:00:00"/>
    <d v="2024-11-23T00:00:00"/>
    <x v="0"/>
    <s v="Q4"/>
    <x v="10"/>
    <x v="2"/>
    <x v="2"/>
    <x v="1"/>
    <x v="0"/>
    <x v="1"/>
    <x v="0"/>
    <n v="3"/>
    <m/>
    <n v="3605"/>
    <n v="0"/>
    <n v="3"/>
    <s v="Recovered"/>
    <n v="1"/>
  </r>
  <r>
    <s v="ADM-242353"/>
    <d v="2024-11-20T00:00:00"/>
    <d v="2024-11-21T00:00:00"/>
    <x v="0"/>
    <s v="Q4"/>
    <x v="10"/>
    <x v="2"/>
    <x v="1"/>
    <x v="2"/>
    <x v="1"/>
    <x v="0"/>
    <x v="2"/>
    <n v="1"/>
    <m/>
    <n v="1728"/>
    <n v="0"/>
    <n v="4"/>
    <s v="Recovered"/>
    <n v="1"/>
  </r>
  <r>
    <s v="ADM-242354"/>
    <d v="2024-11-20T00:00:00"/>
    <d v="2024-11-29T00:00:00"/>
    <x v="0"/>
    <s v="Q4"/>
    <x v="10"/>
    <x v="2"/>
    <x v="0"/>
    <x v="2"/>
    <x v="1"/>
    <x v="0"/>
    <x v="2"/>
    <n v="9"/>
    <m/>
    <n v="7317"/>
    <n v="1"/>
    <n v="4"/>
    <s v="Transferred"/>
    <n v="1"/>
  </r>
  <r>
    <s v="ADM-242355"/>
    <d v="2024-11-20T00:00:00"/>
    <d v="2024-11-24T00:00:00"/>
    <x v="0"/>
    <s v="Q4"/>
    <x v="10"/>
    <x v="2"/>
    <x v="1"/>
    <x v="1"/>
    <x v="1"/>
    <x v="1"/>
    <x v="2"/>
    <n v="4"/>
    <m/>
    <n v="4952"/>
    <n v="0"/>
    <n v="5"/>
    <s v="Recovered"/>
    <n v="1"/>
  </r>
  <r>
    <s v="ADM-242356"/>
    <d v="2024-11-20T00:00:00"/>
    <d v="2024-11-22T00:00:00"/>
    <x v="0"/>
    <s v="Q4"/>
    <x v="10"/>
    <x v="2"/>
    <x v="0"/>
    <x v="0"/>
    <x v="1"/>
    <x v="0"/>
    <x v="0"/>
    <n v="2"/>
    <n v="37"/>
    <n v="2152"/>
    <n v="1"/>
    <n v="2"/>
    <s v="Improved"/>
    <n v="1"/>
  </r>
  <r>
    <s v="ADM-242357"/>
    <d v="2024-11-20T00:00:00"/>
    <d v="2024-11-23T00:00:00"/>
    <x v="0"/>
    <s v="Q4"/>
    <x v="10"/>
    <x v="2"/>
    <x v="4"/>
    <x v="2"/>
    <x v="0"/>
    <x v="0"/>
    <x v="0"/>
    <n v="3"/>
    <m/>
    <n v="4811"/>
    <n v="0"/>
    <n v="4"/>
    <s v="Recovered"/>
    <n v="1"/>
  </r>
  <r>
    <s v="ADM-242358"/>
    <d v="2024-11-20T00:00:00"/>
    <d v="2024-11-21T00:00:00"/>
    <x v="0"/>
    <s v="Q4"/>
    <x v="10"/>
    <x v="2"/>
    <x v="3"/>
    <x v="0"/>
    <x v="0"/>
    <x v="3"/>
    <x v="2"/>
    <n v="1"/>
    <n v="105"/>
    <n v="1794"/>
    <n v="0"/>
    <n v="3"/>
    <s v="Recovered"/>
    <n v="1"/>
  </r>
  <r>
    <s v="ADM-242359"/>
    <d v="2024-11-20T00:00:00"/>
    <d v="2024-11-27T00:00:00"/>
    <x v="0"/>
    <s v="Q4"/>
    <x v="10"/>
    <x v="2"/>
    <x v="0"/>
    <x v="0"/>
    <x v="1"/>
    <x v="0"/>
    <x v="2"/>
    <n v="7"/>
    <n v="93"/>
    <n v="5958"/>
    <n v="0"/>
    <n v="3"/>
    <s v="Recovered"/>
    <n v="1"/>
  </r>
  <r>
    <s v="ADM-242360"/>
    <d v="2024-11-20T00:00:00"/>
    <d v="2024-11-23T00:00:00"/>
    <x v="0"/>
    <s v="Q4"/>
    <x v="10"/>
    <x v="2"/>
    <x v="1"/>
    <x v="0"/>
    <x v="1"/>
    <x v="0"/>
    <x v="0"/>
    <n v="3"/>
    <n v="59"/>
    <n v="3739"/>
    <n v="0"/>
    <n v="4"/>
    <s v="Recovered"/>
    <n v="1"/>
  </r>
  <r>
    <s v="ADM-242361"/>
    <d v="2024-11-20T00:00:00"/>
    <d v="2024-11-22T00:00:00"/>
    <x v="0"/>
    <s v="Q4"/>
    <x v="10"/>
    <x v="2"/>
    <x v="4"/>
    <x v="0"/>
    <x v="1"/>
    <x v="2"/>
    <x v="2"/>
    <n v="2"/>
    <n v="81"/>
    <n v="3040"/>
    <n v="0"/>
    <n v="4"/>
    <s v="Recovered"/>
    <n v="1"/>
  </r>
  <r>
    <s v="ADM-242362"/>
    <d v="2024-11-20T00:00:00"/>
    <d v="2024-11-23T00:00:00"/>
    <x v="0"/>
    <s v="Q4"/>
    <x v="10"/>
    <x v="2"/>
    <x v="2"/>
    <x v="0"/>
    <x v="0"/>
    <x v="1"/>
    <x v="2"/>
    <n v="3"/>
    <n v="53"/>
    <n v="3183"/>
    <n v="0"/>
    <n v="5"/>
    <s v="Recovered"/>
    <n v="1"/>
  </r>
  <r>
    <s v="ADM-242363"/>
    <d v="2024-11-20T00:00:00"/>
    <d v="2024-11-22T00:00:00"/>
    <x v="0"/>
    <s v="Q4"/>
    <x v="10"/>
    <x v="2"/>
    <x v="2"/>
    <x v="1"/>
    <x v="0"/>
    <x v="1"/>
    <x v="0"/>
    <n v="2"/>
    <m/>
    <n v="2064"/>
    <n v="0"/>
    <n v="5"/>
    <s v="Recovered"/>
    <n v="1"/>
  </r>
  <r>
    <s v="ADM-242364"/>
    <d v="2024-11-21T00:00:00"/>
    <d v="2024-11-26T00:00:00"/>
    <x v="0"/>
    <s v="Q4"/>
    <x v="10"/>
    <x v="3"/>
    <x v="4"/>
    <x v="0"/>
    <x v="1"/>
    <x v="0"/>
    <x v="2"/>
    <n v="5"/>
    <n v="120"/>
    <n v="6501"/>
    <n v="0"/>
    <n v="4"/>
    <s v="Recovered"/>
    <n v="1"/>
  </r>
  <r>
    <s v="ADM-242365"/>
    <d v="2024-11-21T00:00:00"/>
    <d v="2024-11-22T00:00:00"/>
    <x v="0"/>
    <s v="Q4"/>
    <x v="10"/>
    <x v="3"/>
    <x v="1"/>
    <x v="2"/>
    <x v="1"/>
    <x v="4"/>
    <x v="2"/>
    <n v="1"/>
    <m/>
    <n v="2004"/>
    <n v="0"/>
    <n v="5"/>
    <s v="Recovered"/>
    <n v="1"/>
  </r>
  <r>
    <s v="ADM-242366"/>
    <d v="2024-11-21T00:00:00"/>
    <d v="2024-11-22T00:00:00"/>
    <x v="0"/>
    <s v="Q4"/>
    <x v="10"/>
    <x v="3"/>
    <x v="5"/>
    <x v="2"/>
    <x v="0"/>
    <x v="2"/>
    <x v="0"/>
    <n v="1"/>
    <m/>
    <n v="1866"/>
    <n v="0"/>
    <n v="4"/>
    <s v="Transferred"/>
    <n v="1"/>
  </r>
  <r>
    <s v="ADM-242367"/>
    <d v="2024-11-21T00:00:00"/>
    <d v="2024-11-25T00:00:00"/>
    <x v="0"/>
    <s v="Q4"/>
    <x v="10"/>
    <x v="3"/>
    <x v="2"/>
    <x v="2"/>
    <x v="0"/>
    <x v="2"/>
    <x v="2"/>
    <n v="4"/>
    <m/>
    <n v="3130"/>
    <n v="0"/>
    <n v="2"/>
    <s v="Transferred"/>
    <n v="1"/>
  </r>
  <r>
    <s v="ADM-242368"/>
    <d v="2024-11-21T00:00:00"/>
    <d v="2024-11-24T00:00:00"/>
    <x v="0"/>
    <s v="Q4"/>
    <x v="10"/>
    <x v="3"/>
    <x v="1"/>
    <x v="2"/>
    <x v="0"/>
    <x v="0"/>
    <x v="2"/>
    <n v="3"/>
    <m/>
    <n v="4795"/>
    <n v="0"/>
    <n v="5"/>
    <s v="Recovered"/>
    <n v="1"/>
  </r>
  <r>
    <s v="ADM-242369"/>
    <d v="2024-11-21T00:00:00"/>
    <d v="2024-11-24T00:00:00"/>
    <x v="0"/>
    <s v="Q4"/>
    <x v="10"/>
    <x v="3"/>
    <x v="3"/>
    <x v="0"/>
    <x v="1"/>
    <x v="3"/>
    <x v="1"/>
    <n v="3"/>
    <n v="36"/>
    <n v="2706"/>
    <n v="0"/>
    <n v="4"/>
    <s v="Improved"/>
    <n v="1"/>
  </r>
  <r>
    <s v="ADM-242370"/>
    <d v="2024-11-21T00:00:00"/>
    <d v="2024-12-01T00:00:00"/>
    <x v="0"/>
    <s v="Q4"/>
    <x v="10"/>
    <x v="3"/>
    <x v="0"/>
    <x v="0"/>
    <x v="0"/>
    <x v="0"/>
    <x v="2"/>
    <n v="10"/>
    <n v="37"/>
    <n v="7738"/>
    <n v="0"/>
    <n v="4"/>
    <s v="Improved"/>
    <n v="1"/>
  </r>
  <r>
    <s v="ADM-242371"/>
    <d v="2024-11-22T00:00:00"/>
    <d v="2024-11-27T00:00:00"/>
    <x v="0"/>
    <s v="Q4"/>
    <x v="10"/>
    <x v="4"/>
    <x v="5"/>
    <x v="0"/>
    <x v="0"/>
    <x v="0"/>
    <x v="2"/>
    <n v="5"/>
    <n v="86"/>
    <n v="6056"/>
    <n v="0"/>
    <n v="4"/>
    <s v="Improved"/>
    <n v="1"/>
  </r>
  <r>
    <s v="ADM-242372"/>
    <d v="2024-11-22T00:00:00"/>
    <d v="2024-11-27T00:00:00"/>
    <x v="0"/>
    <s v="Q4"/>
    <x v="10"/>
    <x v="4"/>
    <x v="0"/>
    <x v="0"/>
    <x v="0"/>
    <x v="0"/>
    <x v="0"/>
    <n v="5"/>
    <n v="65"/>
    <n v="4348"/>
    <n v="0"/>
    <n v="4"/>
    <s v="Transferred"/>
    <n v="1"/>
  </r>
  <r>
    <s v="ADM-242373"/>
    <d v="2024-11-22T00:00:00"/>
    <d v="2024-11-24T00:00:00"/>
    <x v="0"/>
    <s v="Q4"/>
    <x v="10"/>
    <x v="4"/>
    <x v="3"/>
    <x v="0"/>
    <x v="0"/>
    <x v="3"/>
    <x v="0"/>
    <n v="2"/>
    <n v="49"/>
    <n v="1971"/>
    <n v="0"/>
    <n v="4"/>
    <s v="Recovered"/>
    <n v="1"/>
  </r>
  <r>
    <s v="ADM-242374"/>
    <d v="2024-11-22T00:00:00"/>
    <d v="2024-12-05T00:00:00"/>
    <x v="0"/>
    <s v="Q4"/>
    <x v="10"/>
    <x v="4"/>
    <x v="0"/>
    <x v="0"/>
    <x v="0"/>
    <x v="0"/>
    <x v="0"/>
    <n v="13"/>
    <n v="37"/>
    <n v="6124"/>
    <n v="1"/>
    <n v="4"/>
    <s v="Recovered"/>
    <n v="1"/>
  </r>
  <r>
    <s v="ADM-242375"/>
    <d v="2024-11-22T00:00:00"/>
    <d v="2024-11-26T00:00:00"/>
    <x v="0"/>
    <s v="Q4"/>
    <x v="10"/>
    <x v="4"/>
    <x v="5"/>
    <x v="2"/>
    <x v="0"/>
    <x v="1"/>
    <x v="2"/>
    <n v="4"/>
    <m/>
    <n v="4342"/>
    <n v="0"/>
    <n v="4"/>
    <s v="Recovered"/>
    <n v="1"/>
  </r>
  <r>
    <s v="ADM-242376"/>
    <d v="2024-11-22T00:00:00"/>
    <d v="2024-11-24T00:00:00"/>
    <x v="0"/>
    <s v="Q4"/>
    <x v="10"/>
    <x v="4"/>
    <x v="1"/>
    <x v="2"/>
    <x v="0"/>
    <x v="1"/>
    <x v="0"/>
    <n v="2"/>
    <m/>
    <n v="2351"/>
    <n v="0"/>
    <n v="4"/>
    <s v="Deceased"/>
    <n v="1"/>
  </r>
  <r>
    <s v="ADM-242377"/>
    <d v="2024-11-23T00:00:00"/>
    <d v="2024-11-25T00:00:00"/>
    <x v="0"/>
    <s v="Q4"/>
    <x v="10"/>
    <x v="5"/>
    <x v="0"/>
    <x v="0"/>
    <x v="0"/>
    <x v="2"/>
    <x v="2"/>
    <n v="2"/>
    <n v="44"/>
    <n v="2061"/>
    <n v="0"/>
    <n v="4"/>
    <s v="Recovered"/>
    <n v="1"/>
  </r>
  <r>
    <s v="ADM-242378"/>
    <d v="2024-11-23T00:00:00"/>
    <d v="2024-11-28T00:00:00"/>
    <x v="0"/>
    <s v="Q4"/>
    <x v="10"/>
    <x v="5"/>
    <x v="2"/>
    <x v="0"/>
    <x v="0"/>
    <x v="2"/>
    <x v="2"/>
    <n v="5"/>
    <n v="57"/>
    <n v="3843"/>
    <n v="0"/>
    <n v="3"/>
    <s v="Recovered"/>
    <n v="1"/>
  </r>
  <r>
    <s v="ADM-242379"/>
    <d v="2024-11-23T00:00:00"/>
    <d v="2024-11-29T00:00:00"/>
    <x v="0"/>
    <s v="Q4"/>
    <x v="10"/>
    <x v="5"/>
    <x v="5"/>
    <x v="2"/>
    <x v="1"/>
    <x v="0"/>
    <x v="0"/>
    <n v="6"/>
    <m/>
    <n v="7404"/>
    <n v="0"/>
    <n v="5"/>
    <s v="Improved"/>
    <n v="1"/>
  </r>
  <r>
    <s v="ADM-242380"/>
    <d v="2024-11-23T00:00:00"/>
    <d v="2024-11-26T00:00:00"/>
    <x v="0"/>
    <s v="Q4"/>
    <x v="10"/>
    <x v="5"/>
    <x v="2"/>
    <x v="2"/>
    <x v="0"/>
    <x v="2"/>
    <x v="0"/>
    <n v="3"/>
    <m/>
    <n v="2721"/>
    <n v="0"/>
    <n v="5"/>
    <s v="Recovered"/>
    <n v="1"/>
  </r>
  <r>
    <s v="ADM-242381"/>
    <d v="2024-11-23T00:00:00"/>
    <d v="2024-11-25T00:00:00"/>
    <x v="0"/>
    <s v="Q4"/>
    <x v="10"/>
    <x v="5"/>
    <x v="2"/>
    <x v="0"/>
    <x v="0"/>
    <x v="2"/>
    <x v="2"/>
    <n v="2"/>
    <n v="52"/>
    <n v="1836"/>
    <n v="0"/>
    <n v="5"/>
    <s v="Recovered"/>
    <n v="1"/>
  </r>
  <r>
    <s v="ADM-242382"/>
    <d v="2024-11-23T00:00:00"/>
    <d v="2024-11-29T00:00:00"/>
    <x v="0"/>
    <s v="Q4"/>
    <x v="10"/>
    <x v="5"/>
    <x v="5"/>
    <x v="2"/>
    <x v="1"/>
    <x v="4"/>
    <x v="0"/>
    <n v="6"/>
    <m/>
    <n v="4033"/>
    <n v="0"/>
    <n v="4"/>
    <s v="Transferred"/>
    <n v="1"/>
  </r>
  <r>
    <s v="ADM-242383"/>
    <d v="2024-11-24T00:00:00"/>
    <d v="2024-11-27T00:00:00"/>
    <x v="0"/>
    <s v="Q4"/>
    <x v="10"/>
    <x v="6"/>
    <x v="3"/>
    <x v="2"/>
    <x v="1"/>
    <x v="3"/>
    <x v="1"/>
    <n v="3"/>
    <m/>
    <n v="2609"/>
    <n v="0"/>
    <n v="4"/>
    <s v="Improved"/>
    <n v="1"/>
  </r>
  <r>
    <s v="ADM-242384"/>
    <d v="2024-11-24T00:00:00"/>
    <d v="2024-11-25T00:00:00"/>
    <x v="0"/>
    <s v="Q4"/>
    <x v="10"/>
    <x v="6"/>
    <x v="5"/>
    <x v="2"/>
    <x v="0"/>
    <x v="0"/>
    <x v="1"/>
    <n v="1"/>
    <m/>
    <n v="2114"/>
    <n v="0"/>
    <n v="5"/>
    <s v="Improved"/>
    <n v="1"/>
  </r>
  <r>
    <s v="ADM-242385"/>
    <d v="2024-11-24T00:00:00"/>
    <d v="2024-12-01T00:00:00"/>
    <x v="0"/>
    <s v="Q4"/>
    <x v="10"/>
    <x v="6"/>
    <x v="4"/>
    <x v="0"/>
    <x v="0"/>
    <x v="4"/>
    <x v="2"/>
    <n v="7"/>
    <n v="40"/>
    <n v="8388"/>
    <n v="0"/>
    <n v="3"/>
    <s v="Improved"/>
    <n v="1"/>
  </r>
  <r>
    <s v="ADM-242386"/>
    <d v="2024-11-24T00:00:00"/>
    <d v="2024-11-25T00:00:00"/>
    <x v="0"/>
    <s v="Q4"/>
    <x v="10"/>
    <x v="6"/>
    <x v="1"/>
    <x v="2"/>
    <x v="1"/>
    <x v="2"/>
    <x v="2"/>
    <n v="1"/>
    <m/>
    <n v="1014"/>
    <n v="0"/>
    <n v="3"/>
    <s v="Recovered"/>
    <n v="1"/>
  </r>
  <r>
    <s v="ADM-242387"/>
    <d v="2024-11-24T00:00:00"/>
    <d v="2024-11-26T00:00:00"/>
    <x v="0"/>
    <s v="Q4"/>
    <x v="10"/>
    <x v="6"/>
    <x v="0"/>
    <x v="1"/>
    <x v="0"/>
    <x v="4"/>
    <x v="0"/>
    <n v="2"/>
    <m/>
    <n v="2072"/>
    <n v="0"/>
    <n v="4"/>
    <s v="Recovered"/>
    <n v="1"/>
  </r>
  <r>
    <s v="ADM-242388"/>
    <d v="2024-11-24T00:00:00"/>
    <d v="2024-11-26T00:00:00"/>
    <x v="0"/>
    <s v="Q4"/>
    <x v="10"/>
    <x v="6"/>
    <x v="5"/>
    <x v="2"/>
    <x v="1"/>
    <x v="1"/>
    <x v="2"/>
    <n v="2"/>
    <m/>
    <n v="3380"/>
    <n v="1"/>
    <n v="4"/>
    <s v="Recovered"/>
    <n v="1"/>
  </r>
  <r>
    <s v="ADM-242389"/>
    <d v="2024-11-24T00:00:00"/>
    <d v="2024-11-28T00:00:00"/>
    <x v="0"/>
    <s v="Q4"/>
    <x v="10"/>
    <x v="6"/>
    <x v="5"/>
    <x v="2"/>
    <x v="1"/>
    <x v="4"/>
    <x v="1"/>
    <n v="4"/>
    <m/>
    <n v="3884"/>
    <n v="0"/>
    <n v="4"/>
    <s v="Improved"/>
    <n v="1"/>
  </r>
  <r>
    <s v="ADM-242390"/>
    <d v="2024-11-24T00:00:00"/>
    <d v="2024-11-26T00:00:00"/>
    <x v="0"/>
    <s v="Q4"/>
    <x v="10"/>
    <x v="6"/>
    <x v="2"/>
    <x v="0"/>
    <x v="0"/>
    <x v="1"/>
    <x v="2"/>
    <n v="2"/>
    <n v="75"/>
    <n v="2084"/>
    <n v="0"/>
    <n v="5"/>
    <s v="Recovered"/>
    <n v="1"/>
  </r>
  <r>
    <s v="ADM-242391"/>
    <d v="2024-11-25T00:00:00"/>
    <d v="2024-12-06T00:00:00"/>
    <x v="0"/>
    <s v="Q4"/>
    <x v="10"/>
    <x v="0"/>
    <x v="0"/>
    <x v="0"/>
    <x v="0"/>
    <x v="0"/>
    <x v="0"/>
    <n v="11"/>
    <n v="56"/>
    <n v="7818"/>
    <n v="0"/>
    <n v="4"/>
    <s v="Recovered"/>
    <n v="1"/>
  </r>
  <r>
    <s v="ADM-242392"/>
    <d v="2024-11-25T00:00:00"/>
    <d v="2024-11-27T00:00:00"/>
    <x v="0"/>
    <s v="Q4"/>
    <x v="10"/>
    <x v="0"/>
    <x v="0"/>
    <x v="0"/>
    <x v="1"/>
    <x v="4"/>
    <x v="2"/>
    <n v="2"/>
    <n v="67"/>
    <n v="2353"/>
    <n v="0"/>
    <n v="3"/>
    <s v="Recovered"/>
    <n v="1"/>
  </r>
  <r>
    <s v="ADM-242393"/>
    <d v="2024-11-25T00:00:00"/>
    <d v="2024-12-02T00:00:00"/>
    <x v="0"/>
    <s v="Q4"/>
    <x v="10"/>
    <x v="0"/>
    <x v="0"/>
    <x v="2"/>
    <x v="0"/>
    <x v="0"/>
    <x v="1"/>
    <n v="7"/>
    <m/>
    <n v="5972"/>
    <n v="0"/>
    <n v="4"/>
    <s v="Recovered"/>
    <n v="1"/>
  </r>
  <r>
    <s v="ADM-242394"/>
    <d v="2024-11-25T00:00:00"/>
    <d v="2024-11-26T00:00:00"/>
    <x v="0"/>
    <s v="Q4"/>
    <x v="10"/>
    <x v="0"/>
    <x v="2"/>
    <x v="1"/>
    <x v="0"/>
    <x v="2"/>
    <x v="0"/>
    <n v="1"/>
    <m/>
    <n v="1400"/>
    <n v="0"/>
    <n v="5"/>
    <s v="Recovered"/>
    <n v="1"/>
  </r>
  <r>
    <s v="ADM-242395"/>
    <d v="2024-11-25T00:00:00"/>
    <d v="2024-11-30T00:00:00"/>
    <x v="0"/>
    <s v="Q4"/>
    <x v="10"/>
    <x v="0"/>
    <x v="3"/>
    <x v="0"/>
    <x v="1"/>
    <x v="3"/>
    <x v="2"/>
    <n v="5"/>
    <n v="29"/>
    <n v="2919"/>
    <n v="0"/>
    <n v="5"/>
    <s v="Improved"/>
    <n v="1"/>
  </r>
  <r>
    <s v="ADM-242396"/>
    <d v="2024-11-25T00:00:00"/>
    <d v="2024-11-30T00:00:00"/>
    <x v="0"/>
    <s v="Q4"/>
    <x v="10"/>
    <x v="0"/>
    <x v="3"/>
    <x v="2"/>
    <x v="1"/>
    <x v="3"/>
    <x v="2"/>
    <n v="5"/>
    <m/>
    <n v="3639"/>
    <n v="0"/>
    <n v="4"/>
    <s v="Improved"/>
    <n v="1"/>
  </r>
  <r>
    <s v="ADM-242397"/>
    <d v="2024-11-25T00:00:00"/>
    <d v="2024-11-28T00:00:00"/>
    <x v="0"/>
    <s v="Q4"/>
    <x v="10"/>
    <x v="0"/>
    <x v="1"/>
    <x v="2"/>
    <x v="1"/>
    <x v="4"/>
    <x v="2"/>
    <n v="3"/>
    <m/>
    <n v="4939"/>
    <n v="0"/>
    <n v="4"/>
    <s v="Recovered"/>
    <n v="1"/>
  </r>
  <r>
    <s v="ADM-242398"/>
    <d v="2024-11-25T00:00:00"/>
    <d v="2024-11-30T00:00:00"/>
    <x v="0"/>
    <s v="Q4"/>
    <x v="10"/>
    <x v="0"/>
    <x v="1"/>
    <x v="2"/>
    <x v="0"/>
    <x v="0"/>
    <x v="0"/>
    <n v="5"/>
    <m/>
    <n v="5788"/>
    <n v="0"/>
    <n v="5"/>
    <s v="Improved"/>
    <n v="1"/>
  </r>
  <r>
    <s v="ADM-242399"/>
    <d v="2024-11-25T00:00:00"/>
    <d v="2024-11-28T00:00:00"/>
    <x v="0"/>
    <s v="Q4"/>
    <x v="10"/>
    <x v="0"/>
    <x v="4"/>
    <x v="0"/>
    <x v="1"/>
    <x v="4"/>
    <x v="1"/>
    <n v="3"/>
    <n v="49"/>
    <n v="4228"/>
    <n v="0"/>
    <n v="5"/>
    <s v="Recovered"/>
    <n v="1"/>
  </r>
  <r>
    <s v="ADM-242400"/>
    <d v="2024-11-25T00:00:00"/>
    <d v="2024-11-26T00:00:00"/>
    <x v="0"/>
    <s v="Q4"/>
    <x v="10"/>
    <x v="0"/>
    <x v="1"/>
    <x v="1"/>
    <x v="0"/>
    <x v="1"/>
    <x v="0"/>
    <n v="1"/>
    <m/>
    <n v="1951"/>
    <n v="0"/>
    <n v="5"/>
    <s v="Recovered"/>
    <n v="1"/>
  </r>
  <r>
    <s v="ADM-242401"/>
    <d v="2024-11-25T00:00:00"/>
    <d v="2024-11-29T00:00:00"/>
    <x v="0"/>
    <s v="Q4"/>
    <x v="10"/>
    <x v="0"/>
    <x v="1"/>
    <x v="1"/>
    <x v="0"/>
    <x v="4"/>
    <x v="0"/>
    <n v="4"/>
    <m/>
    <n v="6975"/>
    <n v="0"/>
    <n v="5"/>
    <s v="Recovered"/>
    <n v="1"/>
  </r>
  <r>
    <s v="ADM-242402"/>
    <d v="2024-11-25T00:00:00"/>
    <d v="2024-11-27T00:00:00"/>
    <x v="0"/>
    <s v="Q4"/>
    <x v="10"/>
    <x v="0"/>
    <x v="1"/>
    <x v="1"/>
    <x v="1"/>
    <x v="1"/>
    <x v="0"/>
    <n v="2"/>
    <m/>
    <n v="3158"/>
    <n v="0"/>
    <n v="5"/>
    <s v="Recovered"/>
    <n v="1"/>
  </r>
  <r>
    <s v="ADM-242403"/>
    <d v="2024-11-26T00:00:00"/>
    <d v="2024-12-10T00:00:00"/>
    <x v="0"/>
    <s v="Q4"/>
    <x v="10"/>
    <x v="1"/>
    <x v="0"/>
    <x v="0"/>
    <x v="1"/>
    <x v="1"/>
    <x v="0"/>
    <n v="14"/>
    <n v="31"/>
    <n v="8866"/>
    <n v="0"/>
    <n v="3"/>
    <s v="Recovered"/>
    <n v="1"/>
  </r>
  <r>
    <s v="ADM-242404"/>
    <d v="2024-11-26T00:00:00"/>
    <d v="2024-11-29T00:00:00"/>
    <x v="0"/>
    <s v="Q4"/>
    <x v="10"/>
    <x v="1"/>
    <x v="3"/>
    <x v="0"/>
    <x v="1"/>
    <x v="3"/>
    <x v="0"/>
    <n v="3"/>
    <n v="30"/>
    <n v="2914"/>
    <n v="0"/>
    <n v="4"/>
    <s v="Improved"/>
    <n v="1"/>
  </r>
  <r>
    <s v="ADM-242405"/>
    <d v="2024-11-27T00:00:00"/>
    <d v="2024-11-30T00:00:00"/>
    <x v="0"/>
    <s v="Q4"/>
    <x v="10"/>
    <x v="2"/>
    <x v="1"/>
    <x v="0"/>
    <x v="1"/>
    <x v="0"/>
    <x v="1"/>
    <n v="3"/>
    <n v="34"/>
    <n v="4787"/>
    <n v="0"/>
    <n v="4"/>
    <s v="Recovered"/>
    <n v="1"/>
  </r>
  <r>
    <s v="ADM-242406"/>
    <d v="2024-11-27T00:00:00"/>
    <d v="2024-12-01T00:00:00"/>
    <x v="0"/>
    <s v="Q4"/>
    <x v="10"/>
    <x v="2"/>
    <x v="1"/>
    <x v="2"/>
    <x v="0"/>
    <x v="4"/>
    <x v="0"/>
    <n v="4"/>
    <m/>
    <n v="5036"/>
    <n v="0"/>
    <n v="4"/>
    <s v="Recovered"/>
    <n v="1"/>
  </r>
  <r>
    <s v="ADM-242407"/>
    <d v="2024-11-27T00:00:00"/>
    <d v="2024-12-02T00:00:00"/>
    <x v="0"/>
    <s v="Q4"/>
    <x v="10"/>
    <x v="2"/>
    <x v="3"/>
    <x v="0"/>
    <x v="1"/>
    <x v="3"/>
    <x v="1"/>
    <n v="5"/>
    <n v="62"/>
    <n v="3262"/>
    <n v="0"/>
    <n v="4"/>
    <s v="Improved"/>
    <n v="1"/>
  </r>
  <r>
    <s v="ADM-242408"/>
    <d v="2024-11-27T00:00:00"/>
    <d v="2024-12-01T00:00:00"/>
    <x v="0"/>
    <s v="Q4"/>
    <x v="10"/>
    <x v="2"/>
    <x v="1"/>
    <x v="2"/>
    <x v="1"/>
    <x v="0"/>
    <x v="2"/>
    <n v="4"/>
    <m/>
    <n v="3981"/>
    <n v="0"/>
    <n v="4"/>
    <s v="Improved"/>
    <n v="1"/>
  </r>
  <r>
    <s v="ADM-242409"/>
    <d v="2024-11-27T00:00:00"/>
    <d v="2024-12-01T00:00:00"/>
    <x v="0"/>
    <s v="Q4"/>
    <x v="10"/>
    <x v="2"/>
    <x v="0"/>
    <x v="2"/>
    <x v="0"/>
    <x v="4"/>
    <x v="1"/>
    <n v="4"/>
    <m/>
    <n v="3604"/>
    <n v="0"/>
    <n v="4"/>
    <s v="Recovered"/>
    <n v="1"/>
  </r>
  <r>
    <s v="ADM-242410"/>
    <d v="2024-11-27T00:00:00"/>
    <d v="2024-11-30T00:00:00"/>
    <x v="0"/>
    <s v="Q4"/>
    <x v="10"/>
    <x v="2"/>
    <x v="1"/>
    <x v="2"/>
    <x v="0"/>
    <x v="4"/>
    <x v="0"/>
    <n v="3"/>
    <m/>
    <n v="2333"/>
    <n v="0"/>
    <n v="3"/>
    <s v="Recovered"/>
    <n v="1"/>
  </r>
  <r>
    <s v="ADM-242411"/>
    <d v="2024-11-27T00:00:00"/>
    <d v="2024-12-01T00:00:00"/>
    <x v="0"/>
    <s v="Q4"/>
    <x v="10"/>
    <x v="2"/>
    <x v="2"/>
    <x v="2"/>
    <x v="0"/>
    <x v="2"/>
    <x v="2"/>
    <n v="4"/>
    <m/>
    <n v="2589"/>
    <n v="0"/>
    <n v="5"/>
    <s v="Recovered"/>
    <n v="1"/>
  </r>
  <r>
    <s v="ADM-242412"/>
    <d v="2024-11-27T00:00:00"/>
    <d v="2024-12-03T00:00:00"/>
    <x v="0"/>
    <s v="Q4"/>
    <x v="10"/>
    <x v="2"/>
    <x v="0"/>
    <x v="0"/>
    <x v="1"/>
    <x v="0"/>
    <x v="2"/>
    <n v="6"/>
    <n v="23"/>
    <n v="5568"/>
    <n v="1"/>
    <n v="4"/>
    <s v="Recovered"/>
    <n v="1"/>
  </r>
  <r>
    <s v="ADM-242413"/>
    <d v="2024-11-27T00:00:00"/>
    <d v="2024-11-29T00:00:00"/>
    <x v="0"/>
    <s v="Q4"/>
    <x v="10"/>
    <x v="2"/>
    <x v="0"/>
    <x v="0"/>
    <x v="1"/>
    <x v="4"/>
    <x v="0"/>
    <n v="2"/>
    <n v="38"/>
    <n v="2218"/>
    <n v="0"/>
    <n v="4"/>
    <s v="Improved"/>
    <n v="1"/>
  </r>
  <r>
    <s v="ADM-242414"/>
    <d v="2024-11-28T00:00:00"/>
    <d v="2024-12-02T00:00:00"/>
    <x v="0"/>
    <s v="Q4"/>
    <x v="10"/>
    <x v="3"/>
    <x v="2"/>
    <x v="0"/>
    <x v="0"/>
    <x v="1"/>
    <x v="0"/>
    <n v="4"/>
    <n v="24"/>
    <n v="3780"/>
    <n v="0"/>
    <n v="5"/>
    <s v="Recovered"/>
    <n v="1"/>
  </r>
  <r>
    <s v="ADM-242415"/>
    <d v="2024-11-28T00:00:00"/>
    <d v="2024-12-01T00:00:00"/>
    <x v="0"/>
    <s v="Q4"/>
    <x v="10"/>
    <x v="3"/>
    <x v="5"/>
    <x v="2"/>
    <x v="1"/>
    <x v="2"/>
    <x v="1"/>
    <n v="3"/>
    <m/>
    <n v="4233"/>
    <n v="0"/>
    <n v="3"/>
    <s v="Improved"/>
    <n v="1"/>
  </r>
  <r>
    <s v="ADM-242416"/>
    <d v="2024-11-28T00:00:00"/>
    <d v="2024-11-29T00:00:00"/>
    <x v="0"/>
    <s v="Q4"/>
    <x v="10"/>
    <x v="3"/>
    <x v="1"/>
    <x v="2"/>
    <x v="1"/>
    <x v="1"/>
    <x v="0"/>
    <n v="1"/>
    <m/>
    <n v="2176"/>
    <n v="0"/>
    <n v="4"/>
    <s v="Improved"/>
    <n v="1"/>
  </r>
  <r>
    <s v="ADM-242417"/>
    <d v="2024-11-28T00:00:00"/>
    <d v="2024-12-03T00:00:00"/>
    <x v="0"/>
    <s v="Q4"/>
    <x v="10"/>
    <x v="3"/>
    <x v="2"/>
    <x v="0"/>
    <x v="0"/>
    <x v="2"/>
    <x v="0"/>
    <n v="5"/>
    <n v="55"/>
    <n v="3900"/>
    <n v="0"/>
    <n v="4"/>
    <s v="Recovered"/>
    <n v="1"/>
  </r>
  <r>
    <s v="ADM-242418"/>
    <d v="2024-11-28T00:00:00"/>
    <d v="2024-12-07T00:00:00"/>
    <x v="0"/>
    <s v="Q4"/>
    <x v="10"/>
    <x v="3"/>
    <x v="0"/>
    <x v="0"/>
    <x v="0"/>
    <x v="0"/>
    <x v="2"/>
    <n v="9"/>
    <n v="79"/>
    <n v="6558"/>
    <n v="0"/>
    <n v="5"/>
    <s v="Recovered"/>
    <n v="1"/>
  </r>
  <r>
    <s v="ADM-242419"/>
    <d v="2024-11-29T00:00:00"/>
    <d v="2024-12-01T00:00:00"/>
    <x v="0"/>
    <s v="Q4"/>
    <x v="10"/>
    <x v="4"/>
    <x v="2"/>
    <x v="2"/>
    <x v="0"/>
    <x v="1"/>
    <x v="0"/>
    <n v="2"/>
    <m/>
    <n v="2218"/>
    <n v="0"/>
    <n v="4"/>
    <s v="Improved"/>
    <n v="1"/>
  </r>
  <r>
    <s v="ADM-242420"/>
    <d v="2024-11-29T00:00:00"/>
    <d v="2024-12-09T00:00:00"/>
    <x v="0"/>
    <s v="Q4"/>
    <x v="10"/>
    <x v="4"/>
    <x v="1"/>
    <x v="0"/>
    <x v="1"/>
    <x v="2"/>
    <x v="2"/>
    <n v="10"/>
    <n v="47"/>
    <n v="11559"/>
    <n v="0"/>
    <n v="4"/>
    <s v="Recovered"/>
    <n v="1"/>
  </r>
  <r>
    <s v="ADM-242421"/>
    <d v="2024-11-29T00:00:00"/>
    <d v="2024-12-04T00:00:00"/>
    <x v="0"/>
    <s v="Q4"/>
    <x v="10"/>
    <x v="4"/>
    <x v="4"/>
    <x v="0"/>
    <x v="0"/>
    <x v="1"/>
    <x v="0"/>
    <n v="5"/>
    <n v="35"/>
    <n v="8300"/>
    <n v="1"/>
    <n v="4"/>
    <s v="Recovered"/>
    <n v="1"/>
  </r>
  <r>
    <s v="ADM-242422"/>
    <d v="2024-11-29T00:00:00"/>
    <d v="2024-11-30T00:00:00"/>
    <x v="0"/>
    <s v="Q4"/>
    <x v="10"/>
    <x v="4"/>
    <x v="0"/>
    <x v="1"/>
    <x v="1"/>
    <x v="2"/>
    <x v="1"/>
    <n v="1"/>
    <m/>
    <n v="1533"/>
    <n v="0"/>
    <n v="5"/>
    <s v="Improved"/>
    <n v="1"/>
  </r>
  <r>
    <s v="ADM-242423"/>
    <d v="2024-11-29T00:00:00"/>
    <d v="2024-11-30T00:00:00"/>
    <x v="0"/>
    <s v="Q4"/>
    <x v="10"/>
    <x v="4"/>
    <x v="4"/>
    <x v="0"/>
    <x v="0"/>
    <x v="4"/>
    <x v="0"/>
    <n v="1"/>
    <n v="90"/>
    <n v="2077"/>
    <n v="0"/>
    <n v="3"/>
    <s v="Improved"/>
    <n v="1"/>
  </r>
  <r>
    <s v="ADM-242424"/>
    <d v="2024-11-29T00:00:00"/>
    <d v="2024-11-30T00:00:00"/>
    <x v="0"/>
    <s v="Q4"/>
    <x v="10"/>
    <x v="4"/>
    <x v="1"/>
    <x v="2"/>
    <x v="0"/>
    <x v="2"/>
    <x v="2"/>
    <n v="1"/>
    <m/>
    <n v="1973"/>
    <n v="0"/>
    <n v="5"/>
    <s v="Improved"/>
    <n v="1"/>
  </r>
  <r>
    <s v="ADM-242425"/>
    <d v="2024-11-29T00:00:00"/>
    <d v="2024-12-07T00:00:00"/>
    <x v="0"/>
    <s v="Q4"/>
    <x v="10"/>
    <x v="4"/>
    <x v="0"/>
    <x v="0"/>
    <x v="1"/>
    <x v="2"/>
    <x v="2"/>
    <n v="8"/>
    <n v="93"/>
    <n v="5023"/>
    <n v="0"/>
    <n v="4"/>
    <s v="Recovered"/>
    <n v="1"/>
  </r>
  <r>
    <s v="ADM-242426"/>
    <d v="2024-11-30T00:00:00"/>
    <d v="2024-12-01T00:00:00"/>
    <x v="0"/>
    <s v="Q4"/>
    <x v="10"/>
    <x v="5"/>
    <x v="2"/>
    <x v="1"/>
    <x v="0"/>
    <x v="2"/>
    <x v="2"/>
    <n v="1"/>
    <m/>
    <n v="1406"/>
    <n v="0"/>
    <n v="3"/>
    <s v="Recovered"/>
    <n v="1"/>
  </r>
  <r>
    <s v="ADM-242427"/>
    <d v="2024-11-30T00:00:00"/>
    <d v="2024-12-10T00:00:00"/>
    <x v="0"/>
    <s v="Q4"/>
    <x v="10"/>
    <x v="5"/>
    <x v="1"/>
    <x v="2"/>
    <x v="0"/>
    <x v="0"/>
    <x v="2"/>
    <n v="10"/>
    <m/>
    <n v="10255"/>
    <n v="0"/>
    <n v="5"/>
    <s v="Recovered"/>
    <n v="1"/>
  </r>
  <r>
    <s v="ADM-242428"/>
    <d v="2024-11-30T00:00:00"/>
    <d v="2024-12-05T00:00:00"/>
    <x v="0"/>
    <s v="Q4"/>
    <x v="10"/>
    <x v="5"/>
    <x v="5"/>
    <x v="2"/>
    <x v="1"/>
    <x v="0"/>
    <x v="0"/>
    <n v="5"/>
    <m/>
    <n v="6257"/>
    <n v="0"/>
    <n v="4"/>
    <s v="Recovered"/>
    <n v="1"/>
  </r>
  <r>
    <s v="ADM-242429"/>
    <d v="2024-11-30T00:00:00"/>
    <d v="2024-12-02T00:00:00"/>
    <x v="0"/>
    <s v="Q4"/>
    <x v="10"/>
    <x v="5"/>
    <x v="2"/>
    <x v="1"/>
    <x v="0"/>
    <x v="2"/>
    <x v="2"/>
    <n v="2"/>
    <m/>
    <n v="2217"/>
    <n v="0"/>
    <n v="4"/>
    <s v="Improved"/>
    <n v="1"/>
  </r>
  <r>
    <s v="ADM-242430"/>
    <d v="2024-11-30T00:00:00"/>
    <d v="2024-12-08T00:00:00"/>
    <x v="0"/>
    <s v="Q4"/>
    <x v="10"/>
    <x v="5"/>
    <x v="4"/>
    <x v="0"/>
    <x v="1"/>
    <x v="4"/>
    <x v="1"/>
    <n v="8"/>
    <n v="80"/>
    <n v="10165"/>
    <n v="1"/>
    <n v="3"/>
    <s v="Recovered"/>
    <n v="1"/>
  </r>
  <r>
    <s v="ADM-242431"/>
    <d v="2024-11-30T00:00:00"/>
    <d v="2024-12-05T00:00:00"/>
    <x v="0"/>
    <s v="Q4"/>
    <x v="10"/>
    <x v="5"/>
    <x v="3"/>
    <x v="0"/>
    <x v="1"/>
    <x v="3"/>
    <x v="0"/>
    <n v="5"/>
    <n v="34"/>
    <n v="3382"/>
    <n v="0"/>
    <n v="5"/>
    <s v="Recovered"/>
    <n v="1"/>
  </r>
  <r>
    <s v="ADM-242432"/>
    <d v="2024-12-01T00:00:00"/>
    <d v="2024-12-05T00:00:00"/>
    <x v="0"/>
    <s v="Q4"/>
    <x v="11"/>
    <x v="6"/>
    <x v="0"/>
    <x v="1"/>
    <x v="1"/>
    <x v="0"/>
    <x v="0"/>
    <n v="4"/>
    <m/>
    <n v="3049"/>
    <n v="0"/>
    <n v="4"/>
    <s v="Improved"/>
    <n v="1"/>
  </r>
  <r>
    <s v="ADM-242433"/>
    <d v="2024-12-01T00:00:00"/>
    <d v="2024-12-06T00:00:00"/>
    <x v="0"/>
    <s v="Q4"/>
    <x v="11"/>
    <x v="6"/>
    <x v="0"/>
    <x v="0"/>
    <x v="0"/>
    <x v="0"/>
    <x v="0"/>
    <n v="5"/>
    <n v="49"/>
    <n v="4227"/>
    <n v="0"/>
    <n v="4"/>
    <s v="Recovered"/>
    <n v="1"/>
  </r>
  <r>
    <s v="ADM-242434"/>
    <d v="2024-12-01T00:00:00"/>
    <d v="2024-12-03T00:00:00"/>
    <x v="0"/>
    <s v="Q4"/>
    <x v="11"/>
    <x v="6"/>
    <x v="0"/>
    <x v="0"/>
    <x v="0"/>
    <x v="0"/>
    <x v="2"/>
    <n v="2"/>
    <n v="28"/>
    <n v="2602"/>
    <n v="0"/>
    <n v="3"/>
    <s v="Improved"/>
    <n v="1"/>
  </r>
  <r>
    <s v="ADM-242435"/>
    <d v="2024-12-01T00:00:00"/>
    <d v="2024-12-05T00:00:00"/>
    <x v="0"/>
    <s v="Q4"/>
    <x v="11"/>
    <x v="6"/>
    <x v="4"/>
    <x v="2"/>
    <x v="1"/>
    <x v="4"/>
    <x v="2"/>
    <n v="4"/>
    <m/>
    <n v="5536"/>
    <n v="0"/>
    <n v="4"/>
    <s v="Improved"/>
    <n v="1"/>
  </r>
  <r>
    <s v="ADM-242436"/>
    <d v="2024-12-01T00:00:00"/>
    <d v="2024-12-06T00:00:00"/>
    <x v="0"/>
    <s v="Q4"/>
    <x v="11"/>
    <x v="6"/>
    <x v="0"/>
    <x v="0"/>
    <x v="1"/>
    <x v="2"/>
    <x v="2"/>
    <n v="5"/>
    <n v="59"/>
    <n v="4049"/>
    <n v="1"/>
    <n v="4"/>
    <s v="Improved"/>
    <n v="1"/>
  </r>
  <r>
    <s v="ADM-242437"/>
    <d v="2024-12-01T00:00:00"/>
    <d v="2024-12-05T00:00:00"/>
    <x v="0"/>
    <s v="Q4"/>
    <x v="11"/>
    <x v="6"/>
    <x v="0"/>
    <x v="0"/>
    <x v="0"/>
    <x v="0"/>
    <x v="2"/>
    <n v="4"/>
    <n v="95"/>
    <n v="2648"/>
    <n v="0"/>
    <n v="4"/>
    <s v="Improved"/>
    <n v="1"/>
  </r>
  <r>
    <s v="ADM-242438"/>
    <d v="2024-12-01T00:00:00"/>
    <d v="2024-12-02T00:00:00"/>
    <x v="0"/>
    <s v="Q4"/>
    <x v="11"/>
    <x v="6"/>
    <x v="2"/>
    <x v="0"/>
    <x v="0"/>
    <x v="2"/>
    <x v="1"/>
    <n v="1"/>
    <n v="82"/>
    <n v="1764"/>
    <n v="0"/>
    <n v="5"/>
    <s v="Recovered"/>
    <n v="1"/>
  </r>
  <r>
    <s v="ADM-242439"/>
    <d v="2024-12-02T00:00:00"/>
    <d v="2024-12-04T00:00:00"/>
    <x v="0"/>
    <s v="Q4"/>
    <x v="11"/>
    <x v="0"/>
    <x v="3"/>
    <x v="2"/>
    <x v="0"/>
    <x v="3"/>
    <x v="2"/>
    <n v="2"/>
    <m/>
    <n v="1730"/>
    <n v="0"/>
    <n v="4"/>
    <s v="Improved"/>
    <n v="1"/>
  </r>
  <r>
    <s v="ADM-242440"/>
    <d v="2024-12-02T00:00:00"/>
    <d v="2024-12-10T00:00:00"/>
    <x v="0"/>
    <s v="Q4"/>
    <x v="11"/>
    <x v="0"/>
    <x v="3"/>
    <x v="2"/>
    <x v="0"/>
    <x v="3"/>
    <x v="1"/>
    <n v="8"/>
    <m/>
    <n v="4649"/>
    <n v="0"/>
    <n v="4"/>
    <s v="Recovered"/>
    <n v="1"/>
  </r>
  <r>
    <s v="ADM-242441"/>
    <d v="2024-12-02T00:00:00"/>
    <d v="2024-12-04T00:00:00"/>
    <x v="0"/>
    <s v="Q4"/>
    <x v="11"/>
    <x v="0"/>
    <x v="3"/>
    <x v="0"/>
    <x v="1"/>
    <x v="3"/>
    <x v="2"/>
    <n v="2"/>
    <n v="66"/>
    <n v="1797"/>
    <n v="0"/>
    <n v="5"/>
    <s v="Recovered"/>
    <n v="1"/>
  </r>
  <r>
    <s v="ADM-242442"/>
    <d v="2024-12-02T00:00:00"/>
    <d v="2024-12-03T00:00:00"/>
    <x v="0"/>
    <s v="Q4"/>
    <x v="11"/>
    <x v="0"/>
    <x v="3"/>
    <x v="0"/>
    <x v="1"/>
    <x v="3"/>
    <x v="0"/>
    <n v="1"/>
    <n v="57"/>
    <n v="1355"/>
    <n v="0"/>
    <n v="5"/>
    <s v="Recovered"/>
    <n v="1"/>
  </r>
  <r>
    <s v="ADM-242443"/>
    <d v="2024-12-02T00:00:00"/>
    <d v="2024-12-07T00:00:00"/>
    <x v="0"/>
    <s v="Q4"/>
    <x v="11"/>
    <x v="0"/>
    <x v="3"/>
    <x v="0"/>
    <x v="1"/>
    <x v="3"/>
    <x v="0"/>
    <n v="5"/>
    <n v="31"/>
    <n v="4568"/>
    <n v="0"/>
    <n v="4"/>
    <s v="Recovered"/>
    <n v="1"/>
  </r>
  <r>
    <s v="ADM-242444"/>
    <d v="2024-12-02T00:00:00"/>
    <d v="2024-12-09T00:00:00"/>
    <x v="0"/>
    <s v="Q4"/>
    <x v="11"/>
    <x v="0"/>
    <x v="1"/>
    <x v="2"/>
    <x v="1"/>
    <x v="0"/>
    <x v="2"/>
    <n v="7"/>
    <m/>
    <n v="9671"/>
    <n v="0"/>
    <n v="4"/>
    <s v="Recovered"/>
    <n v="1"/>
  </r>
  <r>
    <s v="ADM-242445"/>
    <d v="2024-12-02T00:00:00"/>
    <d v="2024-12-15T00:00:00"/>
    <x v="0"/>
    <s v="Q4"/>
    <x v="11"/>
    <x v="0"/>
    <x v="0"/>
    <x v="0"/>
    <x v="0"/>
    <x v="0"/>
    <x v="2"/>
    <n v="13"/>
    <n v="79"/>
    <n v="9528"/>
    <n v="0"/>
    <n v="4"/>
    <s v="Transferred"/>
    <n v="1"/>
  </r>
  <r>
    <s v="ADM-242446"/>
    <d v="2024-12-03T00:00:00"/>
    <d v="2024-12-11T00:00:00"/>
    <x v="0"/>
    <s v="Q4"/>
    <x v="11"/>
    <x v="1"/>
    <x v="0"/>
    <x v="0"/>
    <x v="1"/>
    <x v="4"/>
    <x v="0"/>
    <n v="8"/>
    <n v="25"/>
    <n v="6675"/>
    <n v="1"/>
    <n v="3"/>
    <s v="Recovered"/>
    <n v="1"/>
  </r>
  <r>
    <s v="ADM-242447"/>
    <d v="2024-12-03T00:00:00"/>
    <d v="2024-12-10T00:00:00"/>
    <x v="0"/>
    <s v="Q4"/>
    <x v="11"/>
    <x v="1"/>
    <x v="0"/>
    <x v="0"/>
    <x v="0"/>
    <x v="1"/>
    <x v="0"/>
    <n v="7"/>
    <n v="56"/>
    <n v="4501"/>
    <n v="0"/>
    <n v="5"/>
    <s v="Recovered"/>
    <n v="1"/>
  </r>
  <r>
    <s v="ADM-242448"/>
    <d v="2024-12-03T00:00:00"/>
    <d v="2024-12-05T00:00:00"/>
    <x v="0"/>
    <s v="Q4"/>
    <x v="11"/>
    <x v="1"/>
    <x v="4"/>
    <x v="0"/>
    <x v="0"/>
    <x v="4"/>
    <x v="2"/>
    <n v="2"/>
    <n v="44"/>
    <n v="2562"/>
    <n v="0"/>
    <n v="5"/>
    <s v="Improved"/>
    <n v="1"/>
  </r>
  <r>
    <s v="ADM-242449"/>
    <d v="2024-12-03T00:00:00"/>
    <d v="2024-12-06T00:00:00"/>
    <x v="0"/>
    <s v="Q4"/>
    <x v="11"/>
    <x v="1"/>
    <x v="0"/>
    <x v="2"/>
    <x v="1"/>
    <x v="4"/>
    <x v="2"/>
    <n v="3"/>
    <m/>
    <n v="2718"/>
    <n v="1"/>
    <n v="4"/>
    <s v="Deceased"/>
    <n v="1"/>
  </r>
  <r>
    <s v="ADM-242450"/>
    <d v="2024-12-03T00:00:00"/>
    <d v="2024-12-12T00:00:00"/>
    <x v="0"/>
    <s v="Q4"/>
    <x v="11"/>
    <x v="1"/>
    <x v="4"/>
    <x v="0"/>
    <x v="1"/>
    <x v="0"/>
    <x v="2"/>
    <n v="9"/>
    <n v="40"/>
    <n v="13751"/>
    <n v="1"/>
    <n v="4"/>
    <s v="Improved"/>
    <n v="1"/>
  </r>
  <r>
    <s v="ADM-242451"/>
    <d v="2024-12-03T00:00:00"/>
    <d v="2024-12-04T00:00:00"/>
    <x v="0"/>
    <s v="Q4"/>
    <x v="11"/>
    <x v="1"/>
    <x v="4"/>
    <x v="0"/>
    <x v="1"/>
    <x v="2"/>
    <x v="2"/>
    <n v="1"/>
    <n v="36"/>
    <n v="1886"/>
    <n v="0"/>
    <n v="5"/>
    <s v="Improved"/>
    <n v="1"/>
  </r>
  <r>
    <s v="ADM-242452"/>
    <d v="2024-12-03T00:00:00"/>
    <d v="2024-12-10T00:00:00"/>
    <x v="0"/>
    <s v="Q4"/>
    <x v="11"/>
    <x v="1"/>
    <x v="0"/>
    <x v="0"/>
    <x v="1"/>
    <x v="4"/>
    <x v="0"/>
    <n v="7"/>
    <n v="80"/>
    <n v="4201"/>
    <n v="0"/>
    <n v="5"/>
    <s v="Recovered"/>
    <n v="1"/>
  </r>
  <r>
    <s v="ADM-242453"/>
    <d v="2024-12-03T00:00:00"/>
    <d v="2024-12-07T00:00:00"/>
    <x v="0"/>
    <s v="Q4"/>
    <x v="11"/>
    <x v="1"/>
    <x v="1"/>
    <x v="2"/>
    <x v="0"/>
    <x v="4"/>
    <x v="2"/>
    <n v="4"/>
    <m/>
    <n v="5640"/>
    <n v="0"/>
    <n v="5"/>
    <s v="Recovered"/>
    <n v="1"/>
  </r>
  <r>
    <s v="ADM-242454"/>
    <d v="2024-12-03T00:00:00"/>
    <d v="2024-12-05T00:00:00"/>
    <x v="0"/>
    <s v="Q4"/>
    <x v="11"/>
    <x v="1"/>
    <x v="0"/>
    <x v="0"/>
    <x v="0"/>
    <x v="2"/>
    <x v="0"/>
    <n v="2"/>
    <n v="109"/>
    <n v="2334"/>
    <n v="0"/>
    <n v="4"/>
    <s v="Recovered"/>
    <n v="1"/>
  </r>
  <r>
    <s v="ADM-242455"/>
    <d v="2024-12-03T00:00:00"/>
    <d v="2024-12-07T00:00:00"/>
    <x v="0"/>
    <s v="Q4"/>
    <x v="11"/>
    <x v="1"/>
    <x v="3"/>
    <x v="0"/>
    <x v="1"/>
    <x v="3"/>
    <x v="2"/>
    <n v="4"/>
    <n v="52"/>
    <n v="3646"/>
    <n v="0"/>
    <n v="4"/>
    <s v="Improved"/>
    <n v="1"/>
  </r>
  <r>
    <s v="ADM-242456"/>
    <d v="2024-12-03T00:00:00"/>
    <d v="2024-12-08T00:00:00"/>
    <x v="0"/>
    <s v="Q4"/>
    <x v="11"/>
    <x v="1"/>
    <x v="1"/>
    <x v="0"/>
    <x v="1"/>
    <x v="0"/>
    <x v="2"/>
    <n v="5"/>
    <n v="64"/>
    <n v="6299"/>
    <n v="0"/>
    <n v="4"/>
    <s v="Recovered"/>
    <n v="1"/>
  </r>
  <r>
    <s v="ADM-242457"/>
    <d v="2024-12-03T00:00:00"/>
    <d v="2024-12-05T00:00:00"/>
    <x v="0"/>
    <s v="Q4"/>
    <x v="11"/>
    <x v="1"/>
    <x v="2"/>
    <x v="0"/>
    <x v="0"/>
    <x v="2"/>
    <x v="0"/>
    <n v="2"/>
    <n v="156"/>
    <n v="1885"/>
    <n v="0"/>
    <n v="4"/>
    <s v="Recovered"/>
    <n v="1"/>
  </r>
  <r>
    <s v="ADM-242458"/>
    <d v="2024-12-03T00:00:00"/>
    <d v="2024-12-04T00:00:00"/>
    <x v="0"/>
    <s v="Q4"/>
    <x v="11"/>
    <x v="1"/>
    <x v="4"/>
    <x v="1"/>
    <x v="1"/>
    <x v="4"/>
    <x v="0"/>
    <n v="1"/>
    <m/>
    <n v="2152"/>
    <n v="0"/>
    <n v="4"/>
    <s v="Recovered"/>
    <n v="1"/>
  </r>
  <r>
    <s v="ADM-242459"/>
    <d v="2024-12-03T00:00:00"/>
    <d v="2024-12-16T00:00:00"/>
    <x v="0"/>
    <s v="Q4"/>
    <x v="11"/>
    <x v="1"/>
    <x v="0"/>
    <x v="0"/>
    <x v="1"/>
    <x v="4"/>
    <x v="0"/>
    <n v="13"/>
    <n v="75"/>
    <n v="9207"/>
    <n v="1"/>
    <n v="3"/>
    <s v="Recovered"/>
    <n v="1"/>
  </r>
  <r>
    <s v="ADM-242460"/>
    <d v="2024-12-03T00:00:00"/>
    <d v="2024-12-05T00:00:00"/>
    <x v="0"/>
    <s v="Q4"/>
    <x v="11"/>
    <x v="1"/>
    <x v="0"/>
    <x v="0"/>
    <x v="0"/>
    <x v="1"/>
    <x v="2"/>
    <n v="2"/>
    <n v="164"/>
    <n v="2416"/>
    <n v="0"/>
    <n v="3"/>
    <s v="Improved"/>
    <n v="1"/>
  </r>
  <r>
    <s v="ADM-242461"/>
    <d v="2024-12-04T00:00:00"/>
    <d v="2024-12-09T00:00:00"/>
    <x v="0"/>
    <s v="Q4"/>
    <x v="11"/>
    <x v="2"/>
    <x v="5"/>
    <x v="0"/>
    <x v="0"/>
    <x v="4"/>
    <x v="2"/>
    <n v="5"/>
    <n v="184"/>
    <n v="5606"/>
    <n v="0"/>
    <n v="2"/>
    <s v="Recovered"/>
    <n v="1"/>
  </r>
  <r>
    <s v="ADM-242462"/>
    <d v="2024-12-04T00:00:00"/>
    <d v="2024-12-05T00:00:00"/>
    <x v="0"/>
    <s v="Q4"/>
    <x v="11"/>
    <x v="2"/>
    <x v="5"/>
    <x v="2"/>
    <x v="1"/>
    <x v="4"/>
    <x v="1"/>
    <n v="1"/>
    <m/>
    <n v="1237"/>
    <n v="0"/>
    <n v="4"/>
    <s v="Recovered"/>
    <n v="1"/>
  </r>
  <r>
    <s v="ADM-242463"/>
    <d v="2024-12-04T00:00:00"/>
    <d v="2024-12-13T00:00:00"/>
    <x v="0"/>
    <s v="Q4"/>
    <x v="11"/>
    <x v="2"/>
    <x v="0"/>
    <x v="0"/>
    <x v="0"/>
    <x v="0"/>
    <x v="0"/>
    <n v="9"/>
    <n v="55"/>
    <n v="6895"/>
    <n v="1"/>
    <n v="3"/>
    <s v="Recovered"/>
    <n v="1"/>
  </r>
  <r>
    <s v="ADM-242464"/>
    <d v="2024-12-04T00:00:00"/>
    <d v="2024-12-09T00:00:00"/>
    <x v="0"/>
    <s v="Q4"/>
    <x v="11"/>
    <x v="2"/>
    <x v="5"/>
    <x v="2"/>
    <x v="0"/>
    <x v="0"/>
    <x v="2"/>
    <n v="5"/>
    <m/>
    <n v="5596"/>
    <n v="0"/>
    <n v="5"/>
    <s v="Recovered"/>
    <n v="1"/>
  </r>
  <r>
    <s v="ADM-242465"/>
    <d v="2024-12-04T00:00:00"/>
    <d v="2024-12-06T00:00:00"/>
    <x v="0"/>
    <s v="Q4"/>
    <x v="11"/>
    <x v="2"/>
    <x v="1"/>
    <x v="2"/>
    <x v="0"/>
    <x v="1"/>
    <x v="2"/>
    <n v="2"/>
    <m/>
    <n v="3322"/>
    <n v="0"/>
    <n v="4"/>
    <s v="Recovered"/>
    <n v="1"/>
  </r>
  <r>
    <s v="ADM-242466"/>
    <d v="2024-12-04T00:00:00"/>
    <d v="2024-12-06T00:00:00"/>
    <x v="0"/>
    <s v="Q4"/>
    <x v="11"/>
    <x v="2"/>
    <x v="3"/>
    <x v="1"/>
    <x v="1"/>
    <x v="3"/>
    <x v="2"/>
    <n v="2"/>
    <m/>
    <n v="1312"/>
    <n v="0"/>
    <n v="5"/>
    <s v="Recovered"/>
    <n v="1"/>
  </r>
  <r>
    <s v="ADM-242467"/>
    <d v="2024-12-04T00:00:00"/>
    <d v="2024-12-05T00:00:00"/>
    <x v="0"/>
    <s v="Q4"/>
    <x v="11"/>
    <x v="2"/>
    <x v="3"/>
    <x v="1"/>
    <x v="0"/>
    <x v="3"/>
    <x v="2"/>
    <n v="1"/>
    <m/>
    <n v="1892"/>
    <n v="0"/>
    <n v="4"/>
    <s v="Improved"/>
    <n v="1"/>
  </r>
  <r>
    <s v="ADM-242468"/>
    <d v="2024-12-04T00:00:00"/>
    <d v="2024-12-09T00:00:00"/>
    <x v="0"/>
    <s v="Q4"/>
    <x v="11"/>
    <x v="2"/>
    <x v="1"/>
    <x v="2"/>
    <x v="1"/>
    <x v="4"/>
    <x v="2"/>
    <n v="5"/>
    <m/>
    <n v="4927"/>
    <n v="0"/>
    <n v="4"/>
    <s v="Recovered"/>
    <n v="1"/>
  </r>
  <r>
    <s v="ADM-242469"/>
    <d v="2024-12-05T00:00:00"/>
    <d v="2024-12-10T00:00:00"/>
    <x v="0"/>
    <s v="Q4"/>
    <x v="11"/>
    <x v="3"/>
    <x v="2"/>
    <x v="0"/>
    <x v="0"/>
    <x v="1"/>
    <x v="0"/>
    <n v="5"/>
    <n v="69"/>
    <n v="4360"/>
    <n v="0"/>
    <n v="5"/>
    <s v="Improved"/>
    <n v="1"/>
  </r>
  <r>
    <s v="ADM-242470"/>
    <d v="2024-12-05T00:00:00"/>
    <d v="2024-12-17T00:00:00"/>
    <x v="0"/>
    <s v="Q4"/>
    <x v="11"/>
    <x v="3"/>
    <x v="0"/>
    <x v="0"/>
    <x v="1"/>
    <x v="2"/>
    <x v="0"/>
    <n v="12"/>
    <n v="181"/>
    <n v="7227"/>
    <n v="0"/>
    <n v="4"/>
    <s v="Recovered"/>
    <n v="1"/>
  </r>
  <r>
    <s v="ADM-242471"/>
    <d v="2024-12-05T00:00:00"/>
    <d v="2024-12-14T00:00:00"/>
    <x v="0"/>
    <s v="Q4"/>
    <x v="11"/>
    <x v="3"/>
    <x v="0"/>
    <x v="1"/>
    <x v="0"/>
    <x v="0"/>
    <x v="0"/>
    <n v="9"/>
    <m/>
    <n v="5994"/>
    <n v="0"/>
    <n v="4"/>
    <s v="Recovered"/>
    <n v="1"/>
  </r>
  <r>
    <s v="ADM-242472"/>
    <d v="2024-12-05T00:00:00"/>
    <d v="2024-12-10T00:00:00"/>
    <x v="0"/>
    <s v="Q4"/>
    <x v="11"/>
    <x v="3"/>
    <x v="3"/>
    <x v="0"/>
    <x v="1"/>
    <x v="3"/>
    <x v="2"/>
    <n v="5"/>
    <n v="71"/>
    <n v="3293"/>
    <n v="0"/>
    <n v="4"/>
    <s v="Improved"/>
    <n v="1"/>
  </r>
  <r>
    <s v="ADM-242473"/>
    <d v="2024-12-05T00:00:00"/>
    <d v="2024-12-06T00:00:00"/>
    <x v="0"/>
    <s v="Q4"/>
    <x v="11"/>
    <x v="3"/>
    <x v="3"/>
    <x v="0"/>
    <x v="1"/>
    <x v="3"/>
    <x v="0"/>
    <n v="1"/>
    <n v="33"/>
    <n v="1369"/>
    <n v="0"/>
    <n v="4"/>
    <s v="Improved"/>
    <n v="1"/>
  </r>
  <r>
    <s v="ADM-242474"/>
    <d v="2024-12-05T00:00:00"/>
    <d v="2024-12-08T00:00:00"/>
    <x v="0"/>
    <s v="Q4"/>
    <x v="11"/>
    <x v="3"/>
    <x v="0"/>
    <x v="0"/>
    <x v="0"/>
    <x v="4"/>
    <x v="2"/>
    <n v="3"/>
    <n v="186"/>
    <n v="2403"/>
    <n v="0"/>
    <n v="2"/>
    <s v="Recovered"/>
    <n v="1"/>
  </r>
  <r>
    <s v="ADM-242475"/>
    <d v="2024-12-05T00:00:00"/>
    <d v="2024-12-09T00:00:00"/>
    <x v="0"/>
    <s v="Q4"/>
    <x v="11"/>
    <x v="3"/>
    <x v="1"/>
    <x v="2"/>
    <x v="0"/>
    <x v="2"/>
    <x v="0"/>
    <n v="4"/>
    <m/>
    <n v="5138"/>
    <n v="0"/>
    <n v="4"/>
    <s v="Improved"/>
    <n v="1"/>
  </r>
  <r>
    <s v="ADM-242476"/>
    <d v="2024-12-06T00:00:00"/>
    <d v="2024-12-09T00:00:00"/>
    <x v="0"/>
    <s v="Q4"/>
    <x v="11"/>
    <x v="4"/>
    <x v="4"/>
    <x v="2"/>
    <x v="0"/>
    <x v="2"/>
    <x v="2"/>
    <n v="3"/>
    <m/>
    <n v="4889"/>
    <n v="0"/>
    <n v="5"/>
    <s v="Improved"/>
    <n v="1"/>
  </r>
  <r>
    <s v="ADM-242477"/>
    <d v="2024-12-06T00:00:00"/>
    <d v="2024-12-09T00:00:00"/>
    <x v="0"/>
    <s v="Q4"/>
    <x v="11"/>
    <x v="4"/>
    <x v="0"/>
    <x v="0"/>
    <x v="0"/>
    <x v="1"/>
    <x v="2"/>
    <n v="3"/>
    <n v="61"/>
    <n v="2351"/>
    <n v="0"/>
    <n v="4"/>
    <s v="Improved"/>
    <n v="1"/>
  </r>
  <r>
    <s v="ADM-242478"/>
    <d v="2024-12-06T00:00:00"/>
    <d v="2024-12-09T00:00:00"/>
    <x v="0"/>
    <s v="Q4"/>
    <x v="11"/>
    <x v="4"/>
    <x v="4"/>
    <x v="0"/>
    <x v="1"/>
    <x v="4"/>
    <x v="0"/>
    <n v="3"/>
    <n v="65"/>
    <n v="4096"/>
    <n v="1"/>
    <n v="5"/>
    <s v="Recovered"/>
    <n v="1"/>
  </r>
  <r>
    <s v="ADM-242479"/>
    <d v="2024-12-06T00:00:00"/>
    <d v="2024-12-11T00:00:00"/>
    <x v="0"/>
    <s v="Q4"/>
    <x v="11"/>
    <x v="4"/>
    <x v="1"/>
    <x v="2"/>
    <x v="1"/>
    <x v="0"/>
    <x v="2"/>
    <n v="5"/>
    <m/>
    <n v="6563"/>
    <n v="1"/>
    <n v="4"/>
    <s v="Recovered"/>
    <n v="1"/>
  </r>
  <r>
    <s v="ADM-242480"/>
    <d v="2024-12-06T00:00:00"/>
    <d v="2024-12-19T00:00:00"/>
    <x v="0"/>
    <s v="Q4"/>
    <x v="11"/>
    <x v="4"/>
    <x v="0"/>
    <x v="0"/>
    <x v="0"/>
    <x v="1"/>
    <x v="2"/>
    <n v="13"/>
    <n v="42"/>
    <n v="7133"/>
    <n v="0"/>
    <n v="5"/>
    <s v="Improved"/>
    <n v="1"/>
  </r>
  <r>
    <s v="ADM-242481"/>
    <d v="2024-12-06T00:00:00"/>
    <d v="2024-12-16T00:00:00"/>
    <x v="0"/>
    <s v="Q4"/>
    <x v="11"/>
    <x v="4"/>
    <x v="0"/>
    <x v="0"/>
    <x v="0"/>
    <x v="0"/>
    <x v="2"/>
    <n v="10"/>
    <n v="98"/>
    <n v="6086"/>
    <n v="1"/>
    <n v="1"/>
    <s v="Improved"/>
    <n v="1"/>
  </r>
  <r>
    <s v="ADM-242482"/>
    <d v="2024-12-06T00:00:00"/>
    <d v="2024-12-17T00:00:00"/>
    <x v="0"/>
    <s v="Q4"/>
    <x v="11"/>
    <x v="4"/>
    <x v="0"/>
    <x v="0"/>
    <x v="0"/>
    <x v="2"/>
    <x v="2"/>
    <n v="11"/>
    <n v="11"/>
    <n v="11051"/>
    <n v="0"/>
    <n v="4"/>
    <s v="Recovered"/>
    <n v="1"/>
  </r>
  <r>
    <s v="ADM-242483"/>
    <d v="2024-12-06T00:00:00"/>
    <d v="2024-12-09T00:00:00"/>
    <x v="0"/>
    <s v="Q4"/>
    <x v="11"/>
    <x v="4"/>
    <x v="2"/>
    <x v="0"/>
    <x v="0"/>
    <x v="1"/>
    <x v="0"/>
    <n v="3"/>
    <n v="15"/>
    <n v="2189"/>
    <n v="0"/>
    <n v="4"/>
    <s v="Recovered"/>
    <n v="1"/>
  </r>
  <r>
    <s v="ADM-242484"/>
    <d v="2024-12-06T00:00:00"/>
    <d v="2024-12-12T00:00:00"/>
    <x v="0"/>
    <s v="Q4"/>
    <x v="11"/>
    <x v="4"/>
    <x v="0"/>
    <x v="2"/>
    <x v="1"/>
    <x v="0"/>
    <x v="2"/>
    <n v="6"/>
    <m/>
    <n v="4854"/>
    <n v="0"/>
    <n v="4"/>
    <s v="Improved"/>
    <n v="1"/>
  </r>
  <r>
    <s v="ADM-242485"/>
    <d v="2024-12-06T00:00:00"/>
    <d v="2024-12-08T00:00:00"/>
    <x v="0"/>
    <s v="Q4"/>
    <x v="11"/>
    <x v="4"/>
    <x v="0"/>
    <x v="2"/>
    <x v="1"/>
    <x v="4"/>
    <x v="0"/>
    <n v="2"/>
    <m/>
    <n v="2311"/>
    <n v="0"/>
    <n v="4"/>
    <s v="Recovered"/>
    <n v="1"/>
  </r>
  <r>
    <s v="ADM-242486"/>
    <d v="2024-12-06T00:00:00"/>
    <d v="2024-12-08T00:00:00"/>
    <x v="0"/>
    <s v="Q4"/>
    <x v="11"/>
    <x v="4"/>
    <x v="3"/>
    <x v="0"/>
    <x v="1"/>
    <x v="3"/>
    <x v="2"/>
    <n v="2"/>
    <n v="96"/>
    <n v="2040"/>
    <n v="0"/>
    <n v="3"/>
    <s v="Improved"/>
    <n v="1"/>
  </r>
  <r>
    <s v="ADM-242487"/>
    <d v="2024-12-06T00:00:00"/>
    <d v="2024-12-08T00:00:00"/>
    <x v="0"/>
    <s v="Q4"/>
    <x v="11"/>
    <x v="4"/>
    <x v="0"/>
    <x v="0"/>
    <x v="0"/>
    <x v="4"/>
    <x v="2"/>
    <n v="2"/>
    <n v="61"/>
    <n v="2358"/>
    <n v="0"/>
    <n v="5"/>
    <s v="Transferred"/>
    <n v="1"/>
  </r>
  <r>
    <s v="ADM-242488"/>
    <d v="2024-12-07T00:00:00"/>
    <d v="2024-12-09T00:00:00"/>
    <x v="0"/>
    <s v="Q4"/>
    <x v="11"/>
    <x v="5"/>
    <x v="1"/>
    <x v="1"/>
    <x v="0"/>
    <x v="0"/>
    <x v="2"/>
    <n v="2"/>
    <m/>
    <n v="2456"/>
    <n v="0"/>
    <n v="4"/>
    <s v="Recovered"/>
    <n v="1"/>
  </r>
  <r>
    <s v="ADM-242489"/>
    <d v="2024-12-07T00:00:00"/>
    <d v="2024-12-09T00:00:00"/>
    <x v="0"/>
    <s v="Q4"/>
    <x v="11"/>
    <x v="5"/>
    <x v="3"/>
    <x v="0"/>
    <x v="0"/>
    <x v="3"/>
    <x v="2"/>
    <n v="2"/>
    <n v="76"/>
    <n v="2009"/>
    <n v="0"/>
    <n v="3"/>
    <s v="Improved"/>
    <n v="1"/>
  </r>
  <r>
    <s v="ADM-242490"/>
    <d v="2024-12-07T00:00:00"/>
    <d v="2024-12-13T00:00:00"/>
    <x v="0"/>
    <s v="Q4"/>
    <x v="11"/>
    <x v="5"/>
    <x v="0"/>
    <x v="0"/>
    <x v="0"/>
    <x v="0"/>
    <x v="0"/>
    <n v="6"/>
    <n v="55"/>
    <n v="4014"/>
    <n v="0"/>
    <n v="4"/>
    <s v="Improved"/>
    <n v="1"/>
  </r>
  <r>
    <s v="ADM-242491"/>
    <d v="2024-12-07T00:00:00"/>
    <d v="2024-12-12T00:00:00"/>
    <x v="0"/>
    <s v="Q4"/>
    <x v="11"/>
    <x v="5"/>
    <x v="5"/>
    <x v="2"/>
    <x v="0"/>
    <x v="1"/>
    <x v="0"/>
    <n v="5"/>
    <m/>
    <n v="6711"/>
    <n v="0"/>
    <n v="5"/>
    <s v="Recovered"/>
    <n v="1"/>
  </r>
  <r>
    <s v="ADM-242492"/>
    <d v="2024-12-07T00:00:00"/>
    <d v="2024-12-08T00:00:00"/>
    <x v="0"/>
    <s v="Q4"/>
    <x v="11"/>
    <x v="5"/>
    <x v="4"/>
    <x v="2"/>
    <x v="1"/>
    <x v="1"/>
    <x v="2"/>
    <n v="1"/>
    <m/>
    <n v="1693"/>
    <n v="1"/>
    <n v="3"/>
    <s v="Improved"/>
    <n v="1"/>
  </r>
  <r>
    <s v="ADM-242493"/>
    <d v="2024-12-07T00:00:00"/>
    <d v="2024-12-16T00:00:00"/>
    <x v="0"/>
    <s v="Q4"/>
    <x v="11"/>
    <x v="5"/>
    <x v="0"/>
    <x v="1"/>
    <x v="0"/>
    <x v="1"/>
    <x v="2"/>
    <n v="9"/>
    <m/>
    <n v="7310"/>
    <n v="0"/>
    <n v="4"/>
    <s v="Recovered"/>
    <n v="1"/>
  </r>
  <r>
    <s v="ADM-242494"/>
    <d v="2024-12-07T00:00:00"/>
    <d v="2024-12-08T00:00:00"/>
    <x v="0"/>
    <s v="Q4"/>
    <x v="11"/>
    <x v="5"/>
    <x v="5"/>
    <x v="2"/>
    <x v="1"/>
    <x v="4"/>
    <x v="2"/>
    <n v="1"/>
    <m/>
    <n v="2387"/>
    <n v="0"/>
    <n v="4"/>
    <s v="Recovered"/>
    <n v="1"/>
  </r>
  <r>
    <s v="ADM-242495"/>
    <d v="2024-12-07T00:00:00"/>
    <d v="2024-12-11T00:00:00"/>
    <x v="0"/>
    <s v="Q4"/>
    <x v="11"/>
    <x v="5"/>
    <x v="1"/>
    <x v="2"/>
    <x v="0"/>
    <x v="1"/>
    <x v="0"/>
    <n v="4"/>
    <m/>
    <n v="4308"/>
    <n v="0"/>
    <n v="4"/>
    <s v="Recovered"/>
    <n v="1"/>
  </r>
  <r>
    <s v="ADM-242496"/>
    <d v="2024-12-08T00:00:00"/>
    <d v="2024-12-13T00:00:00"/>
    <x v="0"/>
    <s v="Q4"/>
    <x v="11"/>
    <x v="6"/>
    <x v="4"/>
    <x v="0"/>
    <x v="1"/>
    <x v="0"/>
    <x v="0"/>
    <n v="5"/>
    <n v="95"/>
    <n v="7238"/>
    <n v="0"/>
    <n v="3"/>
    <s v="Improved"/>
    <n v="1"/>
  </r>
  <r>
    <s v="ADM-242497"/>
    <d v="2024-12-08T00:00:00"/>
    <d v="2024-12-11T00:00:00"/>
    <x v="0"/>
    <s v="Q4"/>
    <x v="11"/>
    <x v="6"/>
    <x v="0"/>
    <x v="2"/>
    <x v="1"/>
    <x v="1"/>
    <x v="0"/>
    <n v="3"/>
    <m/>
    <n v="3464"/>
    <n v="0"/>
    <n v="3"/>
    <s v="Transferred"/>
    <n v="1"/>
  </r>
  <r>
    <s v="ADM-242498"/>
    <d v="2024-12-08T00:00:00"/>
    <d v="2024-12-13T00:00:00"/>
    <x v="0"/>
    <s v="Q4"/>
    <x v="11"/>
    <x v="6"/>
    <x v="0"/>
    <x v="0"/>
    <x v="1"/>
    <x v="2"/>
    <x v="0"/>
    <n v="5"/>
    <n v="146"/>
    <n v="5172"/>
    <n v="0"/>
    <n v="4"/>
    <s v="Recovered"/>
    <n v="1"/>
  </r>
  <r>
    <s v="ADM-242499"/>
    <d v="2024-12-08T00:00:00"/>
    <d v="2024-12-14T00:00:00"/>
    <x v="0"/>
    <s v="Q4"/>
    <x v="11"/>
    <x v="6"/>
    <x v="4"/>
    <x v="2"/>
    <x v="1"/>
    <x v="4"/>
    <x v="2"/>
    <n v="6"/>
    <m/>
    <n v="6676"/>
    <n v="0"/>
    <n v="4"/>
    <s v="Improved"/>
    <n v="1"/>
  </r>
  <r>
    <s v="ADM-242500"/>
    <d v="2024-12-08T00:00:00"/>
    <d v="2024-12-09T00:00:00"/>
    <x v="0"/>
    <s v="Q4"/>
    <x v="11"/>
    <x v="6"/>
    <x v="2"/>
    <x v="0"/>
    <x v="0"/>
    <x v="1"/>
    <x v="0"/>
    <n v="1"/>
    <n v="77"/>
    <n v="1344"/>
    <n v="0"/>
    <n v="3"/>
    <s v="Recovered"/>
    <n v="1"/>
  </r>
  <r>
    <s v="ADM-242501"/>
    <d v="2024-12-08T00:00:00"/>
    <d v="2024-12-11T00:00:00"/>
    <x v="0"/>
    <s v="Q4"/>
    <x v="11"/>
    <x v="6"/>
    <x v="5"/>
    <x v="2"/>
    <x v="0"/>
    <x v="4"/>
    <x v="2"/>
    <n v="3"/>
    <m/>
    <n v="3459"/>
    <n v="0"/>
    <n v="5"/>
    <s v="Recovered"/>
    <n v="1"/>
  </r>
  <r>
    <s v="ADM-242502"/>
    <d v="2024-12-08T00:00:00"/>
    <d v="2024-12-10T00:00:00"/>
    <x v="0"/>
    <s v="Q4"/>
    <x v="11"/>
    <x v="6"/>
    <x v="0"/>
    <x v="0"/>
    <x v="1"/>
    <x v="1"/>
    <x v="2"/>
    <n v="2"/>
    <n v="21"/>
    <n v="1977"/>
    <n v="0"/>
    <n v="5"/>
    <s v="Recovered"/>
    <n v="1"/>
  </r>
  <r>
    <s v="ADM-242503"/>
    <d v="2024-12-08T00:00:00"/>
    <d v="2024-12-11T00:00:00"/>
    <x v="0"/>
    <s v="Q4"/>
    <x v="11"/>
    <x v="6"/>
    <x v="0"/>
    <x v="2"/>
    <x v="1"/>
    <x v="4"/>
    <x v="0"/>
    <n v="3"/>
    <m/>
    <n v="2900"/>
    <n v="0"/>
    <n v="4"/>
    <s v="Recovered"/>
    <n v="1"/>
  </r>
  <r>
    <s v="ADM-242504"/>
    <d v="2024-12-09T00:00:00"/>
    <d v="2024-12-10T00:00:00"/>
    <x v="0"/>
    <s v="Q4"/>
    <x v="11"/>
    <x v="0"/>
    <x v="3"/>
    <x v="0"/>
    <x v="0"/>
    <x v="3"/>
    <x v="0"/>
    <n v="1"/>
    <n v="23"/>
    <n v="1634"/>
    <n v="0"/>
    <n v="4"/>
    <s v="Improved"/>
    <n v="1"/>
  </r>
  <r>
    <s v="ADM-242505"/>
    <d v="2024-12-09T00:00:00"/>
    <d v="2024-12-14T00:00:00"/>
    <x v="0"/>
    <s v="Q4"/>
    <x v="11"/>
    <x v="0"/>
    <x v="0"/>
    <x v="0"/>
    <x v="1"/>
    <x v="2"/>
    <x v="2"/>
    <n v="5"/>
    <n v="71"/>
    <n v="4878"/>
    <n v="0"/>
    <n v="3"/>
    <s v="Recovered"/>
    <n v="1"/>
  </r>
  <r>
    <s v="ADM-242506"/>
    <d v="2024-12-09T00:00:00"/>
    <d v="2024-12-13T00:00:00"/>
    <x v="0"/>
    <s v="Q4"/>
    <x v="11"/>
    <x v="0"/>
    <x v="1"/>
    <x v="2"/>
    <x v="1"/>
    <x v="4"/>
    <x v="2"/>
    <n v="4"/>
    <m/>
    <n v="4723"/>
    <n v="0"/>
    <n v="4"/>
    <s v="Recovered"/>
    <n v="1"/>
  </r>
  <r>
    <s v="ADM-242507"/>
    <d v="2024-12-09T00:00:00"/>
    <d v="2024-12-12T00:00:00"/>
    <x v="0"/>
    <s v="Q4"/>
    <x v="11"/>
    <x v="0"/>
    <x v="4"/>
    <x v="0"/>
    <x v="0"/>
    <x v="1"/>
    <x v="2"/>
    <n v="3"/>
    <n v="28"/>
    <n v="4820"/>
    <n v="0"/>
    <n v="4"/>
    <s v="Improved"/>
    <n v="1"/>
  </r>
  <r>
    <s v="ADM-242508"/>
    <d v="2024-12-09T00:00:00"/>
    <d v="2024-12-11T00:00:00"/>
    <x v="0"/>
    <s v="Q4"/>
    <x v="11"/>
    <x v="0"/>
    <x v="0"/>
    <x v="0"/>
    <x v="1"/>
    <x v="2"/>
    <x v="2"/>
    <n v="2"/>
    <n v="35"/>
    <n v="1996"/>
    <n v="1"/>
    <n v="4"/>
    <s v="Recovered"/>
    <n v="1"/>
  </r>
  <r>
    <s v="ADM-242509"/>
    <d v="2024-12-09T00:00:00"/>
    <d v="2024-12-14T00:00:00"/>
    <x v="0"/>
    <s v="Q4"/>
    <x v="11"/>
    <x v="0"/>
    <x v="1"/>
    <x v="2"/>
    <x v="1"/>
    <x v="4"/>
    <x v="2"/>
    <n v="5"/>
    <m/>
    <n v="5591"/>
    <n v="0"/>
    <n v="5"/>
    <s v="Improved"/>
    <n v="1"/>
  </r>
  <r>
    <s v="ADM-242510"/>
    <d v="2024-12-09T00:00:00"/>
    <d v="2024-12-18T00:00:00"/>
    <x v="0"/>
    <s v="Q4"/>
    <x v="11"/>
    <x v="0"/>
    <x v="0"/>
    <x v="0"/>
    <x v="1"/>
    <x v="0"/>
    <x v="2"/>
    <n v="9"/>
    <n v="68"/>
    <n v="7118"/>
    <n v="1"/>
    <n v="4"/>
    <s v="Improved"/>
    <n v="1"/>
  </r>
  <r>
    <s v="ADM-242511"/>
    <d v="2024-12-09T00:00:00"/>
    <d v="2024-12-11T00:00:00"/>
    <x v="0"/>
    <s v="Q4"/>
    <x v="11"/>
    <x v="0"/>
    <x v="5"/>
    <x v="0"/>
    <x v="0"/>
    <x v="1"/>
    <x v="2"/>
    <n v="2"/>
    <n v="57"/>
    <n v="3044"/>
    <n v="0"/>
    <n v="4"/>
    <s v="Recovered"/>
    <n v="1"/>
  </r>
  <r>
    <s v="ADM-242512"/>
    <d v="2024-12-09T00:00:00"/>
    <d v="2024-12-20T00:00:00"/>
    <x v="0"/>
    <s v="Q4"/>
    <x v="11"/>
    <x v="0"/>
    <x v="0"/>
    <x v="0"/>
    <x v="1"/>
    <x v="4"/>
    <x v="0"/>
    <n v="11"/>
    <n v="30"/>
    <n v="6711"/>
    <n v="0"/>
    <n v="4"/>
    <s v="Improved"/>
    <n v="1"/>
  </r>
  <r>
    <s v="ADM-242513"/>
    <d v="2024-12-09T00:00:00"/>
    <d v="2024-12-17T00:00:00"/>
    <x v="0"/>
    <s v="Q4"/>
    <x v="11"/>
    <x v="0"/>
    <x v="0"/>
    <x v="0"/>
    <x v="1"/>
    <x v="2"/>
    <x v="2"/>
    <n v="8"/>
    <n v="75"/>
    <n v="6160"/>
    <n v="0"/>
    <n v="4"/>
    <s v="Improved"/>
    <n v="1"/>
  </r>
  <r>
    <s v="ADM-242514"/>
    <d v="2024-12-09T00:00:00"/>
    <d v="2024-12-20T00:00:00"/>
    <x v="0"/>
    <s v="Q4"/>
    <x v="11"/>
    <x v="0"/>
    <x v="4"/>
    <x v="0"/>
    <x v="0"/>
    <x v="0"/>
    <x v="0"/>
    <n v="11"/>
    <n v="47"/>
    <n v="15758"/>
    <n v="0"/>
    <n v="4"/>
    <s v="Improved"/>
    <n v="1"/>
  </r>
  <r>
    <s v="ADM-242515"/>
    <d v="2024-12-10T00:00:00"/>
    <d v="2024-12-14T00:00:00"/>
    <x v="0"/>
    <s v="Q4"/>
    <x v="11"/>
    <x v="1"/>
    <x v="5"/>
    <x v="2"/>
    <x v="0"/>
    <x v="4"/>
    <x v="0"/>
    <n v="4"/>
    <m/>
    <n v="4831"/>
    <n v="0"/>
    <n v="3"/>
    <s v="Improved"/>
    <n v="1"/>
  </r>
  <r>
    <s v="ADM-242516"/>
    <d v="2024-12-10T00:00:00"/>
    <d v="2024-12-11T00:00:00"/>
    <x v="0"/>
    <s v="Q4"/>
    <x v="11"/>
    <x v="1"/>
    <x v="3"/>
    <x v="0"/>
    <x v="0"/>
    <x v="3"/>
    <x v="2"/>
    <n v="1"/>
    <n v="71"/>
    <n v="1135"/>
    <n v="0"/>
    <n v="3"/>
    <s v="Recovered"/>
    <n v="1"/>
  </r>
  <r>
    <s v="ADM-242517"/>
    <d v="2024-12-10T00:00:00"/>
    <d v="2024-12-12T00:00:00"/>
    <x v="0"/>
    <s v="Q4"/>
    <x v="11"/>
    <x v="1"/>
    <x v="3"/>
    <x v="0"/>
    <x v="1"/>
    <x v="3"/>
    <x v="0"/>
    <n v="2"/>
    <n v="48"/>
    <n v="2014"/>
    <n v="0"/>
    <n v="4"/>
    <s v="Recovered"/>
    <n v="1"/>
  </r>
  <r>
    <s v="ADM-242518"/>
    <d v="2024-12-10T00:00:00"/>
    <d v="2024-12-28T00:00:00"/>
    <x v="0"/>
    <s v="Q4"/>
    <x v="11"/>
    <x v="1"/>
    <x v="4"/>
    <x v="0"/>
    <x v="1"/>
    <x v="0"/>
    <x v="0"/>
    <n v="18"/>
    <n v="51"/>
    <n v="17498"/>
    <n v="0"/>
    <n v="4"/>
    <s v="Recovered"/>
    <n v="1"/>
  </r>
  <r>
    <s v="ADM-242519"/>
    <d v="2024-12-10T00:00:00"/>
    <d v="2024-12-12T00:00:00"/>
    <x v="0"/>
    <s v="Q4"/>
    <x v="11"/>
    <x v="1"/>
    <x v="3"/>
    <x v="2"/>
    <x v="1"/>
    <x v="3"/>
    <x v="2"/>
    <n v="2"/>
    <m/>
    <n v="1687"/>
    <n v="0"/>
    <n v="5"/>
    <s v="Recovered"/>
    <n v="1"/>
  </r>
  <r>
    <s v="ADM-242520"/>
    <d v="2024-12-10T00:00:00"/>
    <d v="2024-12-12T00:00:00"/>
    <x v="0"/>
    <s v="Q4"/>
    <x v="11"/>
    <x v="1"/>
    <x v="0"/>
    <x v="0"/>
    <x v="0"/>
    <x v="1"/>
    <x v="0"/>
    <n v="2"/>
    <n v="100"/>
    <n v="2320"/>
    <n v="0"/>
    <n v="4"/>
    <s v="Recovered"/>
    <n v="1"/>
  </r>
  <r>
    <s v="ADM-242521"/>
    <d v="2024-12-10T00:00:00"/>
    <d v="2024-12-12T00:00:00"/>
    <x v="0"/>
    <s v="Q4"/>
    <x v="11"/>
    <x v="1"/>
    <x v="4"/>
    <x v="2"/>
    <x v="1"/>
    <x v="2"/>
    <x v="1"/>
    <n v="2"/>
    <m/>
    <n v="2739"/>
    <n v="0"/>
    <n v="4"/>
    <s v="Recovered"/>
    <n v="1"/>
  </r>
  <r>
    <s v="ADM-242522"/>
    <d v="2024-12-10T00:00:00"/>
    <d v="2024-12-14T00:00:00"/>
    <x v="0"/>
    <s v="Q4"/>
    <x v="11"/>
    <x v="1"/>
    <x v="3"/>
    <x v="2"/>
    <x v="0"/>
    <x v="3"/>
    <x v="0"/>
    <n v="4"/>
    <m/>
    <n v="3282"/>
    <n v="0"/>
    <n v="4"/>
    <s v="Recovered"/>
    <n v="1"/>
  </r>
  <r>
    <s v="ADM-242523"/>
    <d v="2024-12-11T00:00:00"/>
    <d v="2024-12-17T00:00:00"/>
    <x v="0"/>
    <s v="Q4"/>
    <x v="11"/>
    <x v="2"/>
    <x v="0"/>
    <x v="0"/>
    <x v="0"/>
    <x v="4"/>
    <x v="0"/>
    <n v="6"/>
    <n v="46"/>
    <n v="5307"/>
    <n v="0"/>
    <n v="4"/>
    <s v="Deceased"/>
    <n v="1"/>
  </r>
  <r>
    <s v="ADM-242524"/>
    <d v="2024-12-11T00:00:00"/>
    <d v="2024-12-18T00:00:00"/>
    <x v="0"/>
    <s v="Q4"/>
    <x v="11"/>
    <x v="2"/>
    <x v="3"/>
    <x v="2"/>
    <x v="1"/>
    <x v="3"/>
    <x v="0"/>
    <n v="7"/>
    <m/>
    <n v="4545"/>
    <n v="0"/>
    <n v="5"/>
    <s v="Recovered"/>
    <n v="1"/>
  </r>
  <r>
    <s v="ADM-242525"/>
    <d v="2024-12-11T00:00:00"/>
    <d v="2024-12-14T00:00:00"/>
    <x v="0"/>
    <s v="Q4"/>
    <x v="11"/>
    <x v="2"/>
    <x v="5"/>
    <x v="0"/>
    <x v="0"/>
    <x v="1"/>
    <x v="2"/>
    <n v="3"/>
    <n v="21"/>
    <n v="3731"/>
    <n v="0"/>
    <n v="5"/>
    <s v="Recovered"/>
    <n v="1"/>
  </r>
  <r>
    <s v="ADM-242526"/>
    <d v="2024-12-11T00:00:00"/>
    <d v="2024-12-16T00:00:00"/>
    <x v="0"/>
    <s v="Q4"/>
    <x v="11"/>
    <x v="2"/>
    <x v="1"/>
    <x v="1"/>
    <x v="1"/>
    <x v="4"/>
    <x v="0"/>
    <n v="5"/>
    <m/>
    <n v="7260"/>
    <n v="0"/>
    <n v="3"/>
    <s v="Recovered"/>
    <n v="1"/>
  </r>
  <r>
    <s v="ADM-242527"/>
    <d v="2024-12-11T00:00:00"/>
    <d v="2024-12-14T00:00:00"/>
    <x v="0"/>
    <s v="Q4"/>
    <x v="11"/>
    <x v="2"/>
    <x v="0"/>
    <x v="0"/>
    <x v="0"/>
    <x v="1"/>
    <x v="2"/>
    <n v="3"/>
    <n v="31"/>
    <n v="2643"/>
    <n v="0"/>
    <n v="4"/>
    <s v="Improved"/>
    <n v="1"/>
  </r>
  <r>
    <s v="ADM-242528"/>
    <d v="2024-12-11T00:00:00"/>
    <d v="2024-12-18T00:00:00"/>
    <x v="0"/>
    <s v="Q4"/>
    <x v="11"/>
    <x v="2"/>
    <x v="1"/>
    <x v="2"/>
    <x v="0"/>
    <x v="0"/>
    <x v="0"/>
    <n v="7"/>
    <m/>
    <n v="6972"/>
    <n v="0"/>
    <n v="4"/>
    <s v="Improved"/>
    <n v="1"/>
  </r>
  <r>
    <s v="ADM-242529"/>
    <d v="2024-12-11T00:00:00"/>
    <d v="2024-12-16T00:00:00"/>
    <x v="0"/>
    <s v="Q4"/>
    <x v="11"/>
    <x v="2"/>
    <x v="2"/>
    <x v="0"/>
    <x v="0"/>
    <x v="1"/>
    <x v="2"/>
    <n v="5"/>
    <n v="88"/>
    <n v="3801"/>
    <n v="0"/>
    <n v="5"/>
    <s v="Recovered"/>
    <n v="1"/>
  </r>
  <r>
    <s v="ADM-242530"/>
    <d v="2024-12-11T00:00:00"/>
    <d v="2024-12-14T00:00:00"/>
    <x v="0"/>
    <s v="Q4"/>
    <x v="11"/>
    <x v="2"/>
    <x v="1"/>
    <x v="2"/>
    <x v="0"/>
    <x v="2"/>
    <x v="2"/>
    <n v="3"/>
    <m/>
    <n v="3004"/>
    <n v="1"/>
    <n v="4"/>
    <s v="Recovered"/>
    <n v="1"/>
  </r>
  <r>
    <s v="ADM-242531"/>
    <d v="2024-12-11T00:00:00"/>
    <d v="2024-12-13T00:00:00"/>
    <x v="0"/>
    <s v="Q4"/>
    <x v="11"/>
    <x v="2"/>
    <x v="5"/>
    <x v="2"/>
    <x v="1"/>
    <x v="4"/>
    <x v="0"/>
    <n v="2"/>
    <m/>
    <n v="2537"/>
    <n v="0"/>
    <n v="3"/>
    <s v="Recovered"/>
    <n v="1"/>
  </r>
  <r>
    <s v="ADM-242532"/>
    <d v="2024-12-12T00:00:00"/>
    <d v="2024-12-13T00:00:00"/>
    <x v="0"/>
    <s v="Q4"/>
    <x v="11"/>
    <x v="3"/>
    <x v="2"/>
    <x v="2"/>
    <x v="0"/>
    <x v="1"/>
    <x v="0"/>
    <n v="1"/>
    <m/>
    <n v="2082"/>
    <n v="0"/>
    <n v="5"/>
    <s v="Transferred"/>
    <n v="1"/>
  </r>
  <r>
    <s v="ADM-242533"/>
    <d v="2024-12-12T00:00:00"/>
    <d v="2024-12-13T00:00:00"/>
    <x v="0"/>
    <s v="Q4"/>
    <x v="11"/>
    <x v="3"/>
    <x v="2"/>
    <x v="1"/>
    <x v="0"/>
    <x v="1"/>
    <x v="0"/>
    <n v="1"/>
    <m/>
    <n v="1594"/>
    <n v="0"/>
    <n v="5"/>
    <s v="Recovered"/>
    <n v="1"/>
  </r>
  <r>
    <s v="ADM-242534"/>
    <d v="2024-12-12T00:00:00"/>
    <d v="2024-12-14T00:00:00"/>
    <x v="0"/>
    <s v="Q4"/>
    <x v="11"/>
    <x v="3"/>
    <x v="4"/>
    <x v="0"/>
    <x v="0"/>
    <x v="4"/>
    <x v="2"/>
    <n v="2"/>
    <n v="44"/>
    <n v="2575"/>
    <n v="0"/>
    <n v="3"/>
    <s v="Recovered"/>
    <n v="1"/>
  </r>
  <r>
    <s v="ADM-242535"/>
    <d v="2024-12-12T00:00:00"/>
    <d v="2024-12-19T00:00:00"/>
    <x v="0"/>
    <s v="Q4"/>
    <x v="11"/>
    <x v="3"/>
    <x v="1"/>
    <x v="0"/>
    <x v="0"/>
    <x v="1"/>
    <x v="1"/>
    <n v="7"/>
    <n v="137"/>
    <n v="9281"/>
    <n v="0"/>
    <n v="3"/>
    <s v="Improved"/>
    <n v="1"/>
  </r>
  <r>
    <s v="ADM-242536"/>
    <d v="2024-12-12T00:00:00"/>
    <d v="2024-12-15T00:00:00"/>
    <x v="0"/>
    <s v="Q4"/>
    <x v="11"/>
    <x v="3"/>
    <x v="1"/>
    <x v="2"/>
    <x v="1"/>
    <x v="4"/>
    <x v="2"/>
    <n v="3"/>
    <m/>
    <n v="3285"/>
    <n v="0"/>
    <n v="4"/>
    <s v="Recovered"/>
    <n v="1"/>
  </r>
  <r>
    <s v="ADM-242537"/>
    <d v="2024-12-12T00:00:00"/>
    <d v="2024-12-15T00:00:00"/>
    <x v="0"/>
    <s v="Q4"/>
    <x v="11"/>
    <x v="3"/>
    <x v="0"/>
    <x v="0"/>
    <x v="0"/>
    <x v="4"/>
    <x v="2"/>
    <n v="3"/>
    <n v="31"/>
    <n v="2629"/>
    <n v="1"/>
    <n v="4"/>
    <s v="Recovered"/>
    <n v="1"/>
  </r>
  <r>
    <s v="ADM-242538"/>
    <d v="2024-12-12T00:00:00"/>
    <d v="2024-12-19T00:00:00"/>
    <x v="0"/>
    <s v="Q4"/>
    <x v="11"/>
    <x v="3"/>
    <x v="2"/>
    <x v="0"/>
    <x v="0"/>
    <x v="1"/>
    <x v="0"/>
    <n v="7"/>
    <n v="19"/>
    <n v="5839"/>
    <n v="0"/>
    <n v="4"/>
    <s v="Transferred"/>
    <n v="1"/>
  </r>
  <r>
    <s v="ADM-242539"/>
    <d v="2024-12-12T00:00:00"/>
    <d v="2024-12-20T00:00:00"/>
    <x v="0"/>
    <s v="Q4"/>
    <x v="11"/>
    <x v="3"/>
    <x v="0"/>
    <x v="0"/>
    <x v="1"/>
    <x v="4"/>
    <x v="2"/>
    <n v="8"/>
    <n v="109"/>
    <n v="5673"/>
    <n v="0"/>
    <n v="4"/>
    <s v="Improved"/>
    <n v="1"/>
  </r>
  <r>
    <s v="ADM-242540"/>
    <d v="2024-12-12T00:00:00"/>
    <d v="2024-12-22T00:00:00"/>
    <x v="0"/>
    <s v="Q4"/>
    <x v="11"/>
    <x v="3"/>
    <x v="0"/>
    <x v="1"/>
    <x v="0"/>
    <x v="1"/>
    <x v="2"/>
    <n v="10"/>
    <m/>
    <n v="7658"/>
    <n v="0"/>
    <n v="4"/>
    <s v="Improved"/>
    <n v="1"/>
  </r>
  <r>
    <s v="ADM-242541"/>
    <d v="2024-12-13T00:00:00"/>
    <d v="2024-12-17T00:00:00"/>
    <x v="0"/>
    <s v="Q4"/>
    <x v="11"/>
    <x v="4"/>
    <x v="2"/>
    <x v="0"/>
    <x v="0"/>
    <x v="2"/>
    <x v="2"/>
    <n v="4"/>
    <n v="42"/>
    <n v="3311"/>
    <n v="0"/>
    <n v="4"/>
    <s v="Recovered"/>
    <n v="1"/>
  </r>
  <r>
    <s v="ADM-242542"/>
    <d v="2024-12-13T00:00:00"/>
    <d v="2024-12-15T00:00:00"/>
    <x v="0"/>
    <s v="Q4"/>
    <x v="11"/>
    <x v="4"/>
    <x v="5"/>
    <x v="2"/>
    <x v="0"/>
    <x v="1"/>
    <x v="0"/>
    <n v="2"/>
    <m/>
    <n v="2339"/>
    <n v="0"/>
    <n v="3"/>
    <s v="Improved"/>
    <n v="1"/>
  </r>
  <r>
    <s v="ADM-242543"/>
    <d v="2024-12-13T00:00:00"/>
    <d v="2024-12-14T00:00:00"/>
    <x v="0"/>
    <s v="Q4"/>
    <x v="11"/>
    <x v="4"/>
    <x v="2"/>
    <x v="0"/>
    <x v="0"/>
    <x v="2"/>
    <x v="0"/>
    <n v="1"/>
    <n v="68"/>
    <n v="1188"/>
    <n v="0"/>
    <n v="4"/>
    <s v="Transferred"/>
    <n v="1"/>
  </r>
  <r>
    <s v="ADM-242544"/>
    <d v="2024-12-13T00:00:00"/>
    <d v="2024-12-26T00:00:00"/>
    <x v="0"/>
    <s v="Q4"/>
    <x v="11"/>
    <x v="4"/>
    <x v="0"/>
    <x v="0"/>
    <x v="1"/>
    <x v="2"/>
    <x v="0"/>
    <n v="13"/>
    <n v="37"/>
    <n v="9397"/>
    <n v="0"/>
    <n v="3"/>
    <s v="Recovered"/>
    <n v="1"/>
  </r>
  <r>
    <s v="ADM-242545"/>
    <d v="2024-12-13T00:00:00"/>
    <d v="2024-12-17T00:00:00"/>
    <x v="0"/>
    <s v="Q4"/>
    <x v="11"/>
    <x v="4"/>
    <x v="5"/>
    <x v="2"/>
    <x v="0"/>
    <x v="4"/>
    <x v="0"/>
    <n v="4"/>
    <m/>
    <n v="4844"/>
    <n v="0"/>
    <n v="4"/>
    <s v="Recovered"/>
    <n v="1"/>
  </r>
  <r>
    <s v="ADM-242546"/>
    <d v="2024-12-13T00:00:00"/>
    <d v="2024-12-24T00:00:00"/>
    <x v="0"/>
    <s v="Q4"/>
    <x v="11"/>
    <x v="4"/>
    <x v="0"/>
    <x v="0"/>
    <x v="1"/>
    <x v="4"/>
    <x v="2"/>
    <n v="11"/>
    <n v="48"/>
    <n v="7505"/>
    <n v="0"/>
    <n v="4"/>
    <s v="Improved"/>
    <n v="1"/>
  </r>
  <r>
    <s v="ADM-242547"/>
    <d v="2024-12-13T00:00:00"/>
    <d v="2024-12-24T00:00:00"/>
    <x v="0"/>
    <s v="Q4"/>
    <x v="11"/>
    <x v="4"/>
    <x v="0"/>
    <x v="0"/>
    <x v="0"/>
    <x v="1"/>
    <x v="0"/>
    <n v="11"/>
    <n v="53"/>
    <n v="6612"/>
    <n v="1"/>
    <n v="4"/>
    <s v="Recovered"/>
    <n v="1"/>
  </r>
  <r>
    <s v="ADM-242548"/>
    <d v="2024-12-13T00:00:00"/>
    <d v="2024-12-17T00:00:00"/>
    <x v="0"/>
    <s v="Q4"/>
    <x v="11"/>
    <x v="4"/>
    <x v="0"/>
    <x v="0"/>
    <x v="0"/>
    <x v="2"/>
    <x v="0"/>
    <n v="4"/>
    <n v="63"/>
    <n v="2616"/>
    <n v="0"/>
    <n v="4"/>
    <s v="Recovered"/>
    <n v="1"/>
  </r>
  <r>
    <s v="ADM-242549"/>
    <d v="2024-12-13T00:00:00"/>
    <d v="2024-12-18T00:00:00"/>
    <x v="0"/>
    <s v="Q4"/>
    <x v="11"/>
    <x v="4"/>
    <x v="5"/>
    <x v="2"/>
    <x v="0"/>
    <x v="2"/>
    <x v="0"/>
    <n v="5"/>
    <m/>
    <n v="5778"/>
    <n v="0"/>
    <n v="4"/>
    <s v="Improved"/>
    <n v="1"/>
  </r>
  <r>
    <s v="ADM-242550"/>
    <d v="2024-12-13T00:00:00"/>
    <d v="2024-12-16T00:00:00"/>
    <x v="0"/>
    <s v="Q4"/>
    <x v="11"/>
    <x v="4"/>
    <x v="4"/>
    <x v="0"/>
    <x v="0"/>
    <x v="4"/>
    <x v="2"/>
    <n v="3"/>
    <n v="55"/>
    <n v="5282"/>
    <n v="0"/>
    <n v="4"/>
    <s v="Improved"/>
    <n v="1"/>
  </r>
  <r>
    <s v="ADM-242551"/>
    <d v="2024-12-13T00:00:00"/>
    <d v="2024-12-19T00:00:00"/>
    <x v="0"/>
    <s v="Q4"/>
    <x v="11"/>
    <x v="4"/>
    <x v="0"/>
    <x v="0"/>
    <x v="1"/>
    <x v="0"/>
    <x v="1"/>
    <n v="6"/>
    <n v="35"/>
    <n v="4625"/>
    <n v="0"/>
    <n v="4"/>
    <s v="Recovered"/>
    <n v="1"/>
  </r>
  <r>
    <s v="ADM-242552"/>
    <d v="2024-12-13T00:00:00"/>
    <d v="2024-12-18T00:00:00"/>
    <x v="0"/>
    <s v="Q4"/>
    <x v="11"/>
    <x v="4"/>
    <x v="1"/>
    <x v="2"/>
    <x v="1"/>
    <x v="0"/>
    <x v="2"/>
    <n v="5"/>
    <m/>
    <n v="6685"/>
    <n v="0"/>
    <n v="4"/>
    <s v="Improved"/>
    <n v="1"/>
  </r>
  <r>
    <s v="ADM-242553"/>
    <d v="2024-12-13T00:00:00"/>
    <d v="2024-12-18T00:00:00"/>
    <x v="0"/>
    <s v="Q4"/>
    <x v="11"/>
    <x v="4"/>
    <x v="1"/>
    <x v="2"/>
    <x v="1"/>
    <x v="4"/>
    <x v="2"/>
    <n v="5"/>
    <m/>
    <n v="7255"/>
    <n v="0"/>
    <n v="4"/>
    <s v="Improved"/>
    <n v="1"/>
  </r>
  <r>
    <s v="ADM-242554"/>
    <d v="2024-12-13T00:00:00"/>
    <d v="2024-12-18T00:00:00"/>
    <x v="0"/>
    <s v="Q4"/>
    <x v="11"/>
    <x v="4"/>
    <x v="3"/>
    <x v="2"/>
    <x v="0"/>
    <x v="3"/>
    <x v="0"/>
    <n v="5"/>
    <m/>
    <n v="3820"/>
    <n v="0"/>
    <n v="3"/>
    <s v="Improved"/>
    <n v="1"/>
  </r>
  <r>
    <s v="ADM-242555"/>
    <d v="2024-12-13T00:00:00"/>
    <d v="2024-12-15T00:00:00"/>
    <x v="0"/>
    <s v="Q4"/>
    <x v="11"/>
    <x v="4"/>
    <x v="5"/>
    <x v="2"/>
    <x v="1"/>
    <x v="1"/>
    <x v="2"/>
    <n v="2"/>
    <m/>
    <n v="2730"/>
    <n v="0"/>
    <n v="4"/>
    <s v="Recovered"/>
    <n v="1"/>
  </r>
  <r>
    <s v="ADM-242556"/>
    <d v="2024-12-13T00:00:00"/>
    <d v="2024-12-27T00:00:00"/>
    <x v="0"/>
    <s v="Q4"/>
    <x v="11"/>
    <x v="4"/>
    <x v="4"/>
    <x v="0"/>
    <x v="1"/>
    <x v="0"/>
    <x v="2"/>
    <n v="14"/>
    <n v="81"/>
    <n v="14205"/>
    <n v="0"/>
    <n v="4"/>
    <s v="Improved"/>
    <n v="1"/>
  </r>
  <r>
    <s v="ADM-242557"/>
    <d v="2024-12-13T00:00:00"/>
    <d v="2024-12-15T00:00:00"/>
    <x v="0"/>
    <s v="Q4"/>
    <x v="11"/>
    <x v="4"/>
    <x v="5"/>
    <x v="2"/>
    <x v="1"/>
    <x v="1"/>
    <x v="0"/>
    <n v="2"/>
    <m/>
    <n v="1787"/>
    <n v="0"/>
    <n v="4"/>
    <s v="Improved"/>
    <n v="1"/>
  </r>
  <r>
    <s v="ADM-242558"/>
    <d v="2024-12-13T00:00:00"/>
    <d v="2024-12-18T00:00:00"/>
    <x v="0"/>
    <s v="Q4"/>
    <x v="11"/>
    <x v="4"/>
    <x v="2"/>
    <x v="2"/>
    <x v="0"/>
    <x v="2"/>
    <x v="2"/>
    <n v="5"/>
    <m/>
    <n v="2646"/>
    <n v="0"/>
    <n v="4"/>
    <s v="Recovered"/>
    <n v="1"/>
  </r>
  <r>
    <s v="ADM-242559"/>
    <d v="2024-12-13T00:00:00"/>
    <d v="2024-12-19T00:00:00"/>
    <x v="0"/>
    <s v="Q4"/>
    <x v="11"/>
    <x v="4"/>
    <x v="3"/>
    <x v="0"/>
    <x v="1"/>
    <x v="3"/>
    <x v="1"/>
    <n v="6"/>
    <n v="236"/>
    <n v="4839"/>
    <n v="0"/>
    <n v="4"/>
    <s v="Recovered"/>
    <n v="1"/>
  </r>
  <r>
    <s v="ADM-242560"/>
    <d v="2024-12-13T00:00:00"/>
    <d v="2024-12-15T00:00:00"/>
    <x v="0"/>
    <s v="Q4"/>
    <x v="11"/>
    <x v="4"/>
    <x v="0"/>
    <x v="0"/>
    <x v="0"/>
    <x v="0"/>
    <x v="0"/>
    <n v="2"/>
    <n v="85"/>
    <n v="2102"/>
    <n v="0"/>
    <n v="5"/>
    <s v="Recovered"/>
    <n v="1"/>
  </r>
  <r>
    <s v="ADM-242561"/>
    <d v="2024-12-13T00:00:00"/>
    <d v="2024-12-15T00:00:00"/>
    <x v="0"/>
    <s v="Q4"/>
    <x v="11"/>
    <x v="4"/>
    <x v="1"/>
    <x v="2"/>
    <x v="0"/>
    <x v="0"/>
    <x v="0"/>
    <n v="2"/>
    <m/>
    <n v="3409"/>
    <n v="0"/>
    <n v="3"/>
    <s v="Improved"/>
    <n v="1"/>
  </r>
  <r>
    <s v="ADM-242562"/>
    <d v="2024-12-14T00:00:00"/>
    <d v="2024-12-19T00:00:00"/>
    <x v="0"/>
    <s v="Q4"/>
    <x v="11"/>
    <x v="5"/>
    <x v="0"/>
    <x v="0"/>
    <x v="0"/>
    <x v="0"/>
    <x v="2"/>
    <n v="5"/>
    <n v="93"/>
    <n v="3534"/>
    <n v="0"/>
    <n v="4"/>
    <s v="Improved"/>
    <n v="1"/>
  </r>
  <r>
    <s v="ADM-242563"/>
    <d v="2024-12-14T00:00:00"/>
    <d v="2024-12-24T00:00:00"/>
    <x v="0"/>
    <s v="Q4"/>
    <x v="11"/>
    <x v="5"/>
    <x v="4"/>
    <x v="0"/>
    <x v="1"/>
    <x v="2"/>
    <x v="1"/>
    <n v="10"/>
    <n v="102"/>
    <n v="15749"/>
    <n v="0"/>
    <n v="3"/>
    <s v="Improved"/>
    <n v="1"/>
  </r>
  <r>
    <s v="ADM-242564"/>
    <d v="2024-12-14T00:00:00"/>
    <d v="2024-12-20T00:00:00"/>
    <x v="0"/>
    <s v="Q4"/>
    <x v="11"/>
    <x v="5"/>
    <x v="1"/>
    <x v="0"/>
    <x v="0"/>
    <x v="1"/>
    <x v="1"/>
    <n v="6"/>
    <n v="47"/>
    <n v="7654"/>
    <n v="0"/>
    <n v="5"/>
    <s v="Improved"/>
    <n v="1"/>
  </r>
  <r>
    <s v="ADM-242565"/>
    <d v="2024-12-14T00:00:00"/>
    <d v="2024-12-21T00:00:00"/>
    <x v="0"/>
    <s v="Q4"/>
    <x v="11"/>
    <x v="5"/>
    <x v="1"/>
    <x v="2"/>
    <x v="1"/>
    <x v="0"/>
    <x v="2"/>
    <n v="7"/>
    <m/>
    <n v="7300"/>
    <n v="1"/>
    <n v="4"/>
    <s v="Improved"/>
    <n v="1"/>
  </r>
  <r>
    <s v="ADM-242566"/>
    <d v="2024-12-14T00:00:00"/>
    <d v="2024-12-20T00:00:00"/>
    <x v="0"/>
    <s v="Q4"/>
    <x v="11"/>
    <x v="5"/>
    <x v="4"/>
    <x v="0"/>
    <x v="0"/>
    <x v="1"/>
    <x v="2"/>
    <n v="6"/>
    <n v="51"/>
    <n v="7571"/>
    <n v="0"/>
    <n v="3"/>
    <s v="Improved"/>
    <n v="1"/>
  </r>
  <r>
    <s v="ADM-242567"/>
    <d v="2024-12-14T00:00:00"/>
    <d v="2024-12-17T00:00:00"/>
    <x v="0"/>
    <s v="Q4"/>
    <x v="11"/>
    <x v="5"/>
    <x v="3"/>
    <x v="0"/>
    <x v="0"/>
    <x v="3"/>
    <x v="0"/>
    <n v="3"/>
    <n v="20"/>
    <n v="2011"/>
    <n v="0"/>
    <n v="4"/>
    <s v="Recovered"/>
    <n v="1"/>
  </r>
  <r>
    <s v="ADM-242568"/>
    <d v="2024-12-14T00:00:00"/>
    <d v="2024-12-24T00:00:00"/>
    <x v="0"/>
    <s v="Q4"/>
    <x v="11"/>
    <x v="5"/>
    <x v="0"/>
    <x v="0"/>
    <x v="1"/>
    <x v="0"/>
    <x v="1"/>
    <n v="10"/>
    <n v="44"/>
    <n v="6639"/>
    <n v="0"/>
    <n v="4"/>
    <s v="Improved"/>
    <n v="1"/>
  </r>
  <r>
    <s v="ADM-242569"/>
    <d v="2024-12-14T00:00:00"/>
    <d v="2024-12-19T00:00:00"/>
    <x v="0"/>
    <s v="Q4"/>
    <x v="11"/>
    <x v="5"/>
    <x v="1"/>
    <x v="2"/>
    <x v="0"/>
    <x v="2"/>
    <x v="2"/>
    <n v="5"/>
    <m/>
    <n v="7071"/>
    <n v="0"/>
    <n v="5"/>
    <s v="Recovered"/>
    <n v="1"/>
  </r>
  <r>
    <s v="ADM-242570"/>
    <d v="2024-12-15T00:00:00"/>
    <d v="2024-12-19T00:00:00"/>
    <x v="0"/>
    <s v="Q4"/>
    <x v="11"/>
    <x v="6"/>
    <x v="5"/>
    <x v="2"/>
    <x v="0"/>
    <x v="0"/>
    <x v="2"/>
    <n v="4"/>
    <m/>
    <n v="4604"/>
    <n v="0"/>
    <n v="5"/>
    <s v="Improved"/>
    <n v="1"/>
  </r>
  <r>
    <s v="ADM-242571"/>
    <d v="2024-12-15T00:00:00"/>
    <d v="2024-12-23T00:00:00"/>
    <x v="0"/>
    <s v="Q4"/>
    <x v="11"/>
    <x v="6"/>
    <x v="1"/>
    <x v="2"/>
    <x v="1"/>
    <x v="4"/>
    <x v="2"/>
    <n v="8"/>
    <m/>
    <n v="6936"/>
    <n v="0"/>
    <n v="4"/>
    <s v="Recovered"/>
    <n v="1"/>
  </r>
  <r>
    <s v="ADM-242572"/>
    <d v="2024-12-15T00:00:00"/>
    <d v="2024-12-29T00:00:00"/>
    <x v="0"/>
    <s v="Q4"/>
    <x v="11"/>
    <x v="6"/>
    <x v="4"/>
    <x v="0"/>
    <x v="1"/>
    <x v="2"/>
    <x v="0"/>
    <n v="14"/>
    <n v="64"/>
    <n v="15114"/>
    <n v="0"/>
    <n v="4"/>
    <s v="Improved"/>
    <n v="1"/>
  </r>
  <r>
    <s v="ADM-242573"/>
    <d v="2024-12-15T00:00:00"/>
    <d v="2025-01-02T00:00:00"/>
    <x v="0"/>
    <s v="Q4"/>
    <x v="11"/>
    <x v="6"/>
    <x v="4"/>
    <x v="0"/>
    <x v="0"/>
    <x v="0"/>
    <x v="0"/>
    <n v="18"/>
    <n v="61"/>
    <n v="21892"/>
    <n v="0"/>
    <n v="5"/>
    <s v="Recovered"/>
    <n v="1"/>
  </r>
  <r>
    <s v="ADM-242574"/>
    <d v="2024-12-15T00:00:00"/>
    <d v="2024-12-24T00:00:00"/>
    <x v="0"/>
    <s v="Q4"/>
    <x v="11"/>
    <x v="6"/>
    <x v="0"/>
    <x v="0"/>
    <x v="1"/>
    <x v="1"/>
    <x v="2"/>
    <n v="9"/>
    <n v="38"/>
    <n v="7221"/>
    <n v="1"/>
    <n v="5"/>
    <s v="Recovered"/>
    <n v="1"/>
  </r>
  <r>
    <s v="ADM-242575"/>
    <d v="2024-12-15T00:00:00"/>
    <d v="2024-12-19T00:00:00"/>
    <x v="0"/>
    <s v="Q4"/>
    <x v="11"/>
    <x v="6"/>
    <x v="3"/>
    <x v="0"/>
    <x v="1"/>
    <x v="3"/>
    <x v="2"/>
    <n v="4"/>
    <n v="62"/>
    <n v="3483"/>
    <n v="0"/>
    <n v="4"/>
    <s v="Transferred"/>
    <n v="1"/>
  </r>
  <r>
    <s v="ADM-242576"/>
    <d v="2024-12-15T00:00:00"/>
    <d v="2024-12-17T00:00:00"/>
    <x v="0"/>
    <s v="Q4"/>
    <x v="11"/>
    <x v="6"/>
    <x v="3"/>
    <x v="0"/>
    <x v="1"/>
    <x v="3"/>
    <x v="2"/>
    <n v="2"/>
    <n v="103"/>
    <n v="1433"/>
    <n v="0"/>
    <n v="4"/>
    <s v="Transferred"/>
    <n v="1"/>
  </r>
  <r>
    <s v="ADM-242577"/>
    <d v="2024-12-15T00:00:00"/>
    <d v="2024-12-22T00:00:00"/>
    <x v="0"/>
    <s v="Q4"/>
    <x v="11"/>
    <x v="6"/>
    <x v="1"/>
    <x v="2"/>
    <x v="1"/>
    <x v="1"/>
    <x v="0"/>
    <n v="7"/>
    <m/>
    <n v="8224"/>
    <n v="0"/>
    <n v="4"/>
    <s v="Deceased"/>
    <n v="1"/>
  </r>
  <r>
    <s v="ADM-242578"/>
    <d v="2024-12-16T00:00:00"/>
    <d v="2024-12-18T00:00:00"/>
    <x v="0"/>
    <s v="Q4"/>
    <x v="11"/>
    <x v="0"/>
    <x v="5"/>
    <x v="2"/>
    <x v="0"/>
    <x v="4"/>
    <x v="0"/>
    <n v="2"/>
    <m/>
    <n v="2907"/>
    <n v="0"/>
    <n v="4"/>
    <s v="Recovered"/>
    <n v="1"/>
  </r>
  <r>
    <s v="ADM-242579"/>
    <d v="2024-12-16T00:00:00"/>
    <d v="2024-12-21T00:00:00"/>
    <x v="0"/>
    <s v="Q4"/>
    <x v="11"/>
    <x v="0"/>
    <x v="1"/>
    <x v="2"/>
    <x v="0"/>
    <x v="0"/>
    <x v="0"/>
    <n v="5"/>
    <m/>
    <n v="6087"/>
    <n v="0"/>
    <n v="5"/>
    <s v="Improved"/>
    <n v="1"/>
  </r>
  <r>
    <s v="ADM-242580"/>
    <d v="2024-12-16T00:00:00"/>
    <d v="2025-01-08T00:00:00"/>
    <x v="0"/>
    <s v="Q4"/>
    <x v="11"/>
    <x v="0"/>
    <x v="0"/>
    <x v="0"/>
    <x v="0"/>
    <x v="4"/>
    <x v="2"/>
    <n v="23"/>
    <n v="34"/>
    <n v="15036"/>
    <n v="0"/>
    <n v="5"/>
    <s v="Recovered"/>
    <n v="1"/>
  </r>
  <r>
    <s v="ADM-242581"/>
    <d v="2024-12-16T00:00:00"/>
    <d v="2024-12-17T00:00:00"/>
    <x v="0"/>
    <s v="Q4"/>
    <x v="11"/>
    <x v="0"/>
    <x v="3"/>
    <x v="2"/>
    <x v="1"/>
    <x v="3"/>
    <x v="2"/>
    <n v="1"/>
    <m/>
    <n v="929"/>
    <n v="0"/>
    <n v="4"/>
    <s v="Improved"/>
    <n v="1"/>
  </r>
  <r>
    <s v="ADM-242582"/>
    <d v="2024-12-16T00:00:00"/>
    <d v="2024-12-21T00:00:00"/>
    <x v="0"/>
    <s v="Q4"/>
    <x v="11"/>
    <x v="0"/>
    <x v="2"/>
    <x v="2"/>
    <x v="0"/>
    <x v="1"/>
    <x v="0"/>
    <n v="5"/>
    <m/>
    <n v="3462"/>
    <n v="0"/>
    <n v="5"/>
    <s v="Recovered"/>
    <n v="1"/>
  </r>
  <r>
    <s v="ADM-242583"/>
    <d v="2024-12-16T00:00:00"/>
    <d v="2024-12-17T00:00:00"/>
    <x v="0"/>
    <s v="Q4"/>
    <x v="11"/>
    <x v="0"/>
    <x v="1"/>
    <x v="0"/>
    <x v="1"/>
    <x v="2"/>
    <x v="0"/>
    <n v="1"/>
    <n v="101"/>
    <n v="1906"/>
    <n v="0"/>
    <n v="4"/>
    <s v="Improved"/>
    <n v="1"/>
  </r>
  <r>
    <s v="ADM-242584"/>
    <d v="2024-12-16T00:00:00"/>
    <d v="2024-12-17T00:00:00"/>
    <x v="0"/>
    <s v="Q4"/>
    <x v="11"/>
    <x v="0"/>
    <x v="0"/>
    <x v="2"/>
    <x v="0"/>
    <x v="4"/>
    <x v="2"/>
    <n v="1"/>
    <m/>
    <n v="1918"/>
    <n v="0"/>
    <n v="4"/>
    <s v="Improved"/>
    <n v="1"/>
  </r>
  <r>
    <s v="ADM-242585"/>
    <d v="2024-12-16T00:00:00"/>
    <d v="2024-12-18T00:00:00"/>
    <x v="0"/>
    <s v="Q4"/>
    <x v="11"/>
    <x v="0"/>
    <x v="3"/>
    <x v="0"/>
    <x v="1"/>
    <x v="3"/>
    <x v="0"/>
    <n v="2"/>
    <n v="116"/>
    <n v="1794"/>
    <n v="0"/>
    <n v="4"/>
    <s v="Recovered"/>
    <n v="1"/>
  </r>
  <r>
    <s v="ADM-242586"/>
    <d v="2024-12-16T00:00:00"/>
    <d v="2024-12-19T00:00:00"/>
    <x v="0"/>
    <s v="Q4"/>
    <x v="11"/>
    <x v="0"/>
    <x v="1"/>
    <x v="2"/>
    <x v="1"/>
    <x v="0"/>
    <x v="2"/>
    <n v="3"/>
    <m/>
    <n v="5126"/>
    <n v="0"/>
    <n v="4"/>
    <s v="Recovered"/>
    <n v="1"/>
  </r>
  <r>
    <s v="ADM-242587"/>
    <d v="2024-12-16T00:00:00"/>
    <d v="2024-12-24T00:00:00"/>
    <x v="0"/>
    <s v="Q4"/>
    <x v="11"/>
    <x v="0"/>
    <x v="0"/>
    <x v="0"/>
    <x v="0"/>
    <x v="4"/>
    <x v="2"/>
    <n v="8"/>
    <n v="36"/>
    <n v="4858"/>
    <n v="0"/>
    <n v="4"/>
    <s v="Recovered"/>
    <n v="1"/>
  </r>
  <r>
    <s v="ADM-242588"/>
    <d v="2024-12-16T00:00:00"/>
    <d v="2024-12-20T00:00:00"/>
    <x v="0"/>
    <s v="Q4"/>
    <x v="11"/>
    <x v="0"/>
    <x v="4"/>
    <x v="0"/>
    <x v="1"/>
    <x v="4"/>
    <x v="2"/>
    <n v="4"/>
    <n v="54"/>
    <n v="6013"/>
    <n v="0"/>
    <n v="5"/>
    <s v="Improved"/>
    <n v="1"/>
  </r>
  <r>
    <s v="ADM-242589"/>
    <d v="2024-12-16T00:00:00"/>
    <d v="2024-12-18T00:00:00"/>
    <x v="0"/>
    <s v="Q4"/>
    <x v="11"/>
    <x v="0"/>
    <x v="4"/>
    <x v="1"/>
    <x v="0"/>
    <x v="4"/>
    <x v="0"/>
    <n v="2"/>
    <m/>
    <n v="3026"/>
    <n v="0"/>
    <n v="4"/>
    <s v="Improved"/>
    <n v="1"/>
  </r>
  <r>
    <s v="ADM-242590"/>
    <d v="2024-12-16T00:00:00"/>
    <d v="2024-12-21T00:00:00"/>
    <x v="0"/>
    <s v="Q4"/>
    <x v="11"/>
    <x v="0"/>
    <x v="4"/>
    <x v="0"/>
    <x v="0"/>
    <x v="4"/>
    <x v="2"/>
    <n v="5"/>
    <n v="89"/>
    <n v="6264"/>
    <n v="0"/>
    <n v="4"/>
    <s v="Improved"/>
    <n v="1"/>
  </r>
  <r>
    <s v="ADM-242591"/>
    <d v="2024-12-16T00:00:00"/>
    <d v="2024-12-17T00:00:00"/>
    <x v="0"/>
    <s v="Q4"/>
    <x v="11"/>
    <x v="0"/>
    <x v="2"/>
    <x v="2"/>
    <x v="0"/>
    <x v="1"/>
    <x v="2"/>
    <n v="1"/>
    <m/>
    <n v="1221"/>
    <n v="0"/>
    <n v="4"/>
    <s v="Improved"/>
    <n v="1"/>
  </r>
  <r>
    <s v="ADM-242592"/>
    <d v="2024-12-16T00:00:00"/>
    <d v="2024-12-17T00:00:00"/>
    <x v="0"/>
    <s v="Q4"/>
    <x v="11"/>
    <x v="0"/>
    <x v="2"/>
    <x v="0"/>
    <x v="0"/>
    <x v="2"/>
    <x v="2"/>
    <n v="1"/>
    <n v="64"/>
    <n v="1638"/>
    <n v="0"/>
    <n v="5"/>
    <s v="Improved"/>
    <n v="1"/>
  </r>
  <r>
    <s v="ADM-242593"/>
    <d v="2024-12-16T00:00:00"/>
    <d v="2024-12-20T00:00:00"/>
    <x v="0"/>
    <s v="Q4"/>
    <x v="11"/>
    <x v="0"/>
    <x v="4"/>
    <x v="1"/>
    <x v="0"/>
    <x v="1"/>
    <x v="0"/>
    <n v="4"/>
    <m/>
    <n v="4993"/>
    <n v="0"/>
    <n v="3"/>
    <s v="Recovered"/>
    <n v="1"/>
  </r>
  <r>
    <s v="ADM-242594"/>
    <d v="2024-12-17T00:00:00"/>
    <d v="2024-12-20T00:00:00"/>
    <x v="0"/>
    <s v="Q4"/>
    <x v="11"/>
    <x v="1"/>
    <x v="0"/>
    <x v="1"/>
    <x v="0"/>
    <x v="4"/>
    <x v="2"/>
    <n v="3"/>
    <m/>
    <n v="2837"/>
    <n v="0"/>
    <n v="5"/>
    <s v="Transferred"/>
    <n v="1"/>
  </r>
  <r>
    <s v="ADM-242595"/>
    <d v="2024-12-17T00:00:00"/>
    <d v="2024-12-23T00:00:00"/>
    <x v="0"/>
    <s v="Q4"/>
    <x v="11"/>
    <x v="1"/>
    <x v="3"/>
    <x v="0"/>
    <x v="0"/>
    <x v="3"/>
    <x v="1"/>
    <n v="6"/>
    <n v="33"/>
    <n v="3761"/>
    <n v="1"/>
    <n v="3"/>
    <s v="Recovered"/>
    <n v="1"/>
  </r>
  <r>
    <s v="ADM-242596"/>
    <d v="2024-12-17T00:00:00"/>
    <d v="2024-12-18T00:00:00"/>
    <x v="0"/>
    <s v="Q4"/>
    <x v="11"/>
    <x v="1"/>
    <x v="5"/>
    <x v="2"/>
    <x v="1"/>
    <x v="4"/>
    <x v="2"/>
    <n v="1"/>
    <m/>
    <n v="1943"/>
    <n v="0"/>
    <n v="4"/>
    <s v="Recovered"/>
    <n v="1"/>
  </r>
  <r>
    <s v="ADM-242597"/>
    <d v="2024-12-17T00:00:00"/>
    <d v="2024-12-25T00:00:00"/>
    <x v="0"/>
    <s v="Q4"/>
    <x v="11"/>
    <x v="1"/>
    <x v="0"/>
    <x v="2"/>
    <x v="0"/>
    <x v="4"/>
    <x v="0"/>
    <n v="8"/>
    <m/>
    <n v="5144"/>
    <n v="0"/>
    <n v="5"/>
    <s v="Recovered"/>
    <n v="1"/>
  </r>
  <r>
    <s v="ADM-242598"/>
    <d v="2024-12-17T00:00:00"/>
    <d v="2024-12-18T00:00:00"/>
    <x v="0"/>
    <s v="Q4"/>
    <x v="11"/>
    <x v="1"/>
    <x v="3"/>
    <x v="0"/>
    <x v="0"/>
    <x v="3"/>
    <x v="2"/>
    <n v="1"/>
    <n v="76"/>
    <n v="859"/>
    <n v="0"/>
    <n v="4"/>
    <s v="Improved"/>
    <n v="1"/>
  </r>
  <r>
    <s v="ADM-242599"/>
    <d v="2024-12-17T00:00:00"/>
    <d v="2024-12-19T00:00:00"/>
    <x v="0"/>
    <s v="Q4"/>
    <x v="11"/>
    <x v="1"/>
    <x v="5"/>
    <x v="2"/>
    <x v="0"/>
    <x v="4"/>
    <x v="2"/>
    <n v="2"/>
    <m/>
    <n v="3691"/>
    <n v="0"/>
    <n v="4"/>
    <s v="Recovered"/>
    <n v="1"/>
  </r>
  <r>
    <s v="ADM-242600"/>
    <d v="2024-12-17T00:00:00"/>
    <d v="2024-12-23T00:00:00"/>
    <x v="0"/>
    <s v="Q4"/>
    <x v="11"/>
    <x v="1"/>
    <x v="5"/>
    <x v="2"/>
    <x v="0"/>
    <x v="4"/>
    <x v="2"/>
    <n v="6"/>
    <m/>
    <n v="4960"/>
    <n v="0"/>
    <n v="5"/>
    <s v="Recovered"/>
    <n v="1"/>
  </r>
  <r>
    <s v="ADM-242601"/>
    <d v="2024-12-17T00:00:00"/>
    <d v="2024-12-27T00:00:00"/>
    <x v="0"/>
    <s v="Q4"/>
    <x v="11"/>
    <x v="1"/>
    <x v="0"/>
    <x v="2"/>
    <x v="0"/>
    <x v="4"/>
    <x v="2"/>
    <n v="10"/>
    <m/>
    <n v="6571"/>
    <n v="0"/>
    <n v="3"/>
    <s v="Improved"/>
    <n v="1"/>
  </r>
  <r>
    <s v="ADM-242602"/>
    <d v="2024-12-18T00:00:00"/>
    <d v="2024-12-19T00:00:00"/>
    <x v="0"/>
    <s v="Q4"/>
    <x v="11"/>
    <x v="2"/>
    <x v="2"/>
    <x v="0"/>
    <x v="0"/>
    <x v="2"/>
    <x v="0"/>
    <n v="1"/>
    <n v="100"/>
    <n v="1573"/>
    <n v="0"/>
    <n v="4"/>
    <s v="Recovered"/>
    <n v="1"/>
  </r>
  <r>
    <s v="ADM-242603"/>
    <d v="2024-12-18T00:00:00"/>
    <d v="2024-12-21T00:00:00"/>
    <x v="0"/>
    <s v="Q4"/>
    <x v="11"/>
    <x v="2"/>
    <x v="4"/>
    <x v="0"/>
    <x v="1"/>
    <x v="1"/>
    <x v="0"/>
    <n v="3"/>
    <n v="48"/>
    <n v="4592"/>
    <n v="0"/>
    <n v="3"/>
    <s v="Improved"/>
    <n v="1"/>
  </r>
  <r>
    <s v="ADM-242604"/>
    <d v="2024-12-18T00:00:00"/>
    <d v="2024-12-22T00:00:00"/>
    <x v="0"/>
    <s v="Q4"/>
    <x v="11"/>
    <x v="2"/>
    <x v="4"/>
    <x v="0"/>
    <x v="0"/>
    <x v="1"/>
    <x v="2"/>
    <n v="4"/>
    <n v="62"/>
    <n v="4746"/>
    <n v="0"/>
    <n v="5"/>
    <s v="Recovered"/>
    <n v="1"/>
  </r>
  <r>
    <s v="ADM-242605"/>
    <d v="2024-12-18T00:00:00"/>
    <d v="2024-12-20T00:00:00"/>
    <x v="0"/>
    <s v="Q4"/>
    <x v="11"/>
    <x v="2"/>
    <x v="3"/>
    <x v="2"/>
    <x v="1"/>
    <x v="3"/>
    <x v="0"/>
    <n v="2"/>
    <m/>
    <n v="2688"/>
    <n v="0"/>
    <n v="4"/>
    <s v="Recovered"/>
    <n v="1"/>
  </r>
  <r>
    <s v="ADM-242606"/>
    <d v="2024-12-18T00:00:00"/>
    <d v="2024-12-22T00:00:00"/>
    <x v="0"/>
    <s v="Q4"/>
    <x v="11"/>
    <x v="2"/>
    <x v="1"/>
    <x v="0"/>
    <x v="0"/>
    <x v="4"/>
    <x v="2"/>
    <n v="4"/>
    <n v="72"/>
    <n v="4069"/>
    <n v="0"/>
    <n v="4"/>
    <s v="Improved"/>
    <n v="1"/>
  </r>
  <r>
    <s v="ADM-242607"/>
    <d v="2024-12-18T00:00:00"/>
    <d v="2024-12-21T00:00:00"/>
    <x v="0"/>
    <s v="Q4"/>
    <x v="11"/>
    <x v="2"/>
    <x v="3"/>
    <x v="0"/>
    <x v="0"/>
    <x v="3"/>
    <x v="2"/>
    <n v="3"/>
    <n v="97"/>
    <n v="3278"/>
    <n v="0"/>
    <n v="3"/>
    <s v="Recovered"/>
    <n v="1"/>
  </r>
  <r>
    <s v="ADM-242608"/>
    <d v="2024-12-18T00:00:00"/>
    <d v="2024-12-27T00:00:00"/>
    <x v="0"/>
    <s v="Q4"/>
    <x v="11"/>
    <x v="2"/>
    <x v="0"/>
    <x v="0"/>
    <x v="0"/>
    <x v="0"/>
    <x v="1"/>
    <n v="9"/>
    <n v="29"/>
    <n v="5432"/>
    <n v="0"/>
    <n v="3"/>
    <s v="Recovered"/>
    <n v="1"/>
  </r>
  <r>
    <s v="ADM-242609"/>
    <d v="2024-12-18T00:00:00"/>
    <d v="2024-12-20T00:00:00"/>
    <x v="0"/>
    <s v="Q4"/>
    <x v="11"/>
    <x v="2"/>
    <x v="3"/>
    <x v="0"/>
    <x v="1"/>
    <x v="3"/>
    <x v="2"/>
    <n v="2"/>
    <n v="74"/>
    <n v="2041"/>
    <n v="0"/>
    <n v="3"/>
    <s v="Recovered"/>
    <n v="1"/>
  </r>
  <r>
    <s v="ADM-242610"/>
    <d v="2024-12-18T00:00:00"/>
    <d v="2024-12-19T00:00:00"/>
    <x v="0"/>
    <s v="Q4"/>
    <x v="11"/>
    <x v="2"/>
    <x v="5"/>
    <x v="1"/>
    <x v="1"/>
    <x v="2"/>
    <x v="0"/>
    <n v="1"/>
    <m/>
    <n v="2080"/>
    <n v="0"/>
    <n v="5"/>
    <s v="Improved"/>
    <n v="1"/>
  </r>
  <r>
    <s v="ADM-242611"/>
    <d v="2024-12-18T00:00:00"/>
    <d v="2024-12-21T00:00:00"/>
    <x v="0"/>
    <s v="Q4"/>
    <x v="11"/>
    <x v="2"/>
    <x v="4"/>
    <x v="0"/>
    <x v="1"/>
    <x v="4"/>
    <x v="0"/>
    <n v="3"/>
    <n v="53"/>
    <n v="4459"/>
    <n v="0"/>
    <n v="4"/>
    <s v="Recovered"/>
    <n v="1"/>
  </r>
  <r>
    <s v="ADM-242612"/>
    <d v="2024-12-19T00:00:00"/>
    <d v="2024-12-21T00:00:00"/>
    <x v="0"/>
    <s v="Q4"/>
    <x v="11"/>
    <x v="3"/>
    <x v="0"/>
    <x v="0"/>
    <x v="1"/>
    <x v="4"/>
    <x v="0"/>
    <n v="2"/>
    <n v="47"/>
    <n v="3172"/>
    <n v="0"/>
    <n v="4"/>
    <s v="Improved"/>
    <n v="1"/>
  </r>
  <r>
    <s v="ADM-242613"/>
    <d v="2024-12-19T00:00:00"/>
    <d v="2024-12-22T00:00:00"/>
    <x v="0"/>
    <s v="Q4"/>
    <x v="11"/>
    <x v="3"/>
    <x v="4"/>
    <x v="2"/>
    <x v="1"/>
    <x v="4"/>
    <x v="1"/>
    <n v="3"/>
    <m/>
    <n v="3132"/>
    <n v="0"/>
    <n v="4"/>
    <s v="Improved"/>
    <n v="1"/>
  </r>
  <r>
    <s v="ADM-242614"/>
    <d v="2024-12-19T00:00:00"/>
    <d v="2024-12-22T00:00:00"/>
    <x v="0"/>
    <s v="Q4"/>
    <x v="11"/>
    <x v="3"/>
    <x v="5"/>
    <x v="2"/>
    <x v="1"/>
    <x v="2"/>
    <x v="2"/>
    <n v="3"/>
    <m/>
    <n v="3252"/>
    <n v="0"/>
    <n v="5"/>
    <s v="Improved"/>
    <n v="1"/>
  </r>
  <r>
    <s v="ADM-242615"/>
    <d v="2024-12-19T00:00:00"/>
    <d v="2024-12-20T00:00:00"/>
    <x v="0"/>
    <s v="Q4"/>
    <x v="11"/>
    <x v="3"/>
    <x v="4"/>
    <x v="1"/>
    <x v="0"/>
    <x v="0"/>
    <x v="0"/>
    <n v="1"/>
    <m/>
    <n v="2769"/>
    <n v="0"/>
    <n v="5"/>
    <s v="Recovered"/>
    <n v="1"/>
  </r>
  <r>
    <s v="ADM-242616"/>
    <d v="2024-12-19T00:00:00"/>
    <d v="2024-12-24T00:00:00"/>
    <x v="0"/>
    <s v="Q4"/>
    <x v="11"/>
    <x v="3"/>
    <x v="5"/>
    <x v="2"/>
    <x v="0"/>
    <x v="0"/>
    <x v="1"/>
    <n v="5"/>
    <m/>
    <n v="5772"/>
    <n v="0"/>
    <n v="5"/>
    <s v="Recovered"/>
    <n v="1"/>
  </r>
  <r>
    <s v="ADM-242617"/>
    <d v="2024-12-19T00:00:00"/>
    <d v="2024-12-25T00:00:00"/>
    <x v="0"/>
    <s v="Q4"/>
    <x v="11"/>
    <x v="3"/>
    <x v="0"/>
    <x v="0"/>
    <x v="0"/>
    <x v="2"/>
    <x v="0"/>
    <n v="6"/>
    <n v="147"/>
    <n v="4577"/>
    <n v="1"/>
    <n v="2"/>
    <s v="Transferred"/>
    <n v="1"/>
  </r>
  <r>
    <s v="ADM-242618"/>
    <d v="2024-12-19T00:00:00"/>
    <d v="2024-12-21T00:00:00"/>
    <x v="0"/>
    <s v="Q4"/>
    <x v="11"/>
    <x v="3"/>
    <x v="2"/>
    <x v="0"/>
    <x v="0"/>
    <x v="1"/>
    <x v="2"/>
    <n v="2"/>
    <n v="101"/>
    <n v="2148"/>
    <n v="0"/>
    <n v="3"/>
    <s v="Recovered"/>
    <n v="1"/>
  </r>
  <r>
    <s v="ADM-242619"/>
    <d v="2024-12-20T00:00:00"/>
    <d v="2024-12-22T00:00:00"/>
    <x v="0"/>
    <s v="Q4"/>
    <x v="11"/>
    <x v="4"/>
    <x v="1"/>
    <x v="2"/>
    <x v="0"/>
    <x v="4"/>
    <x v="1"/>
    <n v="2"/>
    <m/>
    <n v="2681"/>
    <n v="0"/>
    <n v="4"/>
    <s v="Transferred"/>
    <n v="1"/>
  </r>
  <r>
    <s v="ADM-242620"/>
    <d v="2024-12-20T00:00:00"/>
    <d v="2024-12-21T00:00:00"/>
    <x v="0"/>
    <s v="Q4"/>
    <x v="11"/>
    <x v="4"/>
    <x v="2"/>
    <x v="0"/>
    <x v="0"/>
    <x v="2"/>
    <x v="0"/>
    <n v="1"/>
    <n v="34"/>
    <n v="1341"/>
    <n v="0"/>
    <n v="4"/>
    <s v="Recovered"/>
    <n v="1"/>
  </r>
  <r>
    <s v="ADM-242621"/>
    <d v="2024-12-20T00:00:00"/>
    <d v="2024-12-21T00:00:00"/>
    <x v="0"/>
    <s v="Q4"/>
    <x v="11"/>
    <x v="4"/>
    <x v="2"/>
    <x v="0"/>
    <x v="0"/>
    <x v="1"/>
    <x v="0"/>
    <n v="1"/>
    <n v="98"/>
    <n v="1830"/>
    <n v="0"/>
    <n v="2"/>
    <s v="Recovered"/>
    <n v="1"/>
  </r>
  <r>
    <s v="ADM-242622"/>
    <d v="2024-12-20T00:00:00"/>
    <d v="2024-12-22T00:00:00"/>
    <x v="0"/>
    <s v="Q4"/>
    <x v="11"/>
    <x v="4"/>
    <x v="3"/>
    <x v="0"/>
    <x v="1"/>
    <x v="3"/>
    <x v="1"/>
    <n v="2"/>
    <n v="80"/>
    <n v="1776"/>
    <n v="0"/>
    <n v="4"/>
    <s v="Improved"/>
    <n v="1"/>
  </r>
  <r>
    <s v="ADM-242623"/>
    <d v="2024-12-20T00:00:00"/>
    <d v="2024-12-21T00:00:00"/>
    <x v="0"/>
    <s v="Q4"/>
    <x v="11"/>
    <x v="4"/>
    <x v="2"/>
    <x v="2"/>
    <x v="0"/>
    <x v="1"/>
    <x v="1"/>
    <n v="1"/>
    <m/>
    <n v="1242"/>
    <n v="0"/>
    <n v="5"/>
    <s v="Improved"/>
    <n v="1"/>
  </r>
  <r>
    <s v="ADM-242624"/>
    <d v="2024-12-20T00:00:00"/>
    <d v="2024-12-22T00:00:00"/>
    <x v="0"/>
    <s v="Q4"/>
    <x v="11"/>
    <x v="4"/>
    <x v="0"/>
    <x v="0"/>
    <x v="1"/>
    <x v="2"/>
    <x v="0"/>
    <n v="2"/>
    <n v="181"/>
    <n v="2465"/>
    <n v="0"/>
    <n v="3"/>
    <s v="Recovered"/>
    <n v="1"/>
  </r>
  <r>
    <s v="ADM-242625"/>
    <d v="2024-12-21T00:00:00"/>
    <d v="2024-12-22T00:00:00"/>
    <x v="0"/>
    <s v="Q4"/>
    <x v="11"/>
    <x v="5"/>
    <x v="2"/>
    <x v="0"/>
    <x v="0"/>
    <x v="2"/>
    <x v="0"/>
    <n v="1"/>
    <n v="120"/>
    <n v="1919"/>
    <n v="0"/>
    <n v="3"/>
    <s v="Recovered"/>
    <n v="1"/>
  </r>
  <r>
    <s v="ADM-242626"/>
    <d v="2024-12-21T00:00:00"/>
    <d v="2024-12-22T00:00:00"/>
    <x v="0"/>
    <s v="Q4"/>
    <x v="11"/>
    <x v="5"/>
    <x v="3"/>
    <x v="2"/>
    <x v="0"/>
    <x v="3"/>
    <x v="0"/>
    <n v="1"/>
    <m/>
    <n v="1580"/>
    <n v="0"/>
    <n v="4"/>
    <s v="Improved"/>
    <n v="1"/>
  </r>
  <r>
    <s v="ADM-242627"/>
    <d v="2024-12-21T00:00:00"/>
    <d v="2024-12-24T00:00:00"/>
    <x v="0"/>
    <s v="Q4"/>
    <x v="11"/>
    <x v="5"/>
    <x v="1"/>
    <x v="2"/>
    <x v="0"/>
    <x v="1"/>
    <x v="0"/>
    <n v="3"/>
    <m/>
    <n v="3872"/>
    <n v="1"/>
    <n v="4"/>
    <s v="Recovered"/>
    <n v="1"/>
  </r>
  <r>
    <s v="ADM-242628"/>
    <d v="2024-12-21T00:00:00"/>
    <d v="2024-12-29T00:00:00"/>
    <x v="0"/>
    <s v="Q4"/>
    <x v="11"/>
    <x v="5"/>
    <x v="2"/>
    <x v="2"/>
    <x v="0"/>
    <x v="1"/>
    <x v="1"/>
    <n v="8"/>
    <m/>
    <n v="6238"/>
    <n v="0"/>
    <n v="4"/>
    <s v="Improved"/>
    <n v="1"/>
  </r>
  <r>
    <s v="ADM-242629"/>
    <d v="2024-12-21T00:00:00"/>
    <d v="2024-12-27T00:00:00"/>
    <x v="0"/>
    <s v="Q4"/>
    <x v="11"/>
    <x v="5"/>
    <x v="1"/>
    <x v="2"/>
    <x v="1"/>
    <x v="1"/>
    <x v="2"/>
    <n v="6"/>
    <m/>
    <n v="7878"/>
    <n v="0"/>
    <n v="4"/>
    <s v="Recovered"/>
    <n v="1"/>
  </r>
  <r>
    <s v="ADM-242630"/>
    <d v="2024-12-21T00:00:00"/>
    <d v="2024-12-27T00:00:00"/>
    <x v="0"/>
    <s v="Q4"/>
    <x v="11"/>
    <x v="5"/>
    <x v="3"/>
    <x v="0"/>
    <x v="0"/>
    <x v="3"/>
    <x v="2"/>
    <n v="6"/>
    <n v="28"/>
    <n v="4544"/>
    <n v="0"/>
    <n v="4"/>
    <s v="Recovered"/>
    <n v="1"/>
  </r>
  <r>
    <s v="ADM-242631"/>
    <d v="2024-12-21T00:00:00"/>
    <d v="2024-12-25T00:00:00"/>
    <x v="0"/>
    <s v="Q4"/>
    <x v="11"/>
    <x v="5"/>
    <x v="0"/>
    <x v="2"/>
    <x v="0"/>
    <x v="1"/>
    <x v="1"/>
    <n v="4"/>
    <m/>
    <n v="2855"/>
    <n v="0"/>
    <n v="4"/>
    <s v="Recovered"/>
    <n v="1"/>
  </r>
  <r>
    <s v="ADM-242632"/>
    <d v="2024-12-22T00:00:00"/>
    <d v="2024-12-24T00:00:00"/>
    <x v="0"/>
    <s v="Q4"/>
    <x v="11"/>
    <x v="6"/>
    <x v="3"/>
    <x v="0"/>
    <x v="0"/>
    <x v="3"/>
    <x v="0"/>
    <n v="2"/>
    <n v="38"/>
    <n v="1220"/>
    <n v="0"/>
    <n v="4"/>
    <s v="Recovered"/>
    <n v="1"/>
  </r>
  <r>
    <s v="ADM-242633"/>
    <d v="2024-12-22T00:00:00"/>
    <d v="2024-12-24T00:00:00"/>
    <x v="0"/>
    <s v="Q4"/>
    <x v="11"/>
    <x v="6"/>
    <x v="2"/>
    <x v="2"/>
    <x v="0"/>
    <x v="1"/>
    <x v="2"/>
    <n v="2"/>
    <m/>
    <n v="1582"/>
    <n v="0"/>
    <n v="5"/>
    <s v="Improved"/>
    <n v="1"/>
  </r>
  <r>
    <s v="ADM-242634"/>
    <d v="2024-12-22T00:00:00"/>
    <d v="2024-12-25T00:00:00"/>
    <x v="0"/>
    <s v="Q4"/>
    <x v="11"/>
    <x v="6"/>
    <x v="0"/>
    <x v="1"/>
    <x v="0"/>
    <x v="0"/>
    <x v="2"/>
    <n v="3"/>
    <m/>
    <n v="3088"/>
    <n v="0"/>
    <n v="5"/>
    <s v="Recovered"/>
    <n v="1"/>
  </r>
  <r>
    <s v="ADM-242635"/>
    <d v="2024-12-22T00:00:00"/>
    <d v="2025-01-05T00:00:00"/>
    <x v="0"/>
    <s v="Q4"/>
    <x v="11"/>
    <x v="6"/>
    <x v="5"/>
    <x v="2"/>
    <x v="0"/>
    <x v="0"/>
    <x v="0"/>
    <n v="14"/>
    <m/>
    <n v="14419"/>
    <n v="0"/>
    <n v="4"/>
    <s v="Improved"/>
    <n v="1"/>
  </r>
  <r>
    <s v="ADM-242636"/>
    <d v="2024-12-22T00:00:00"/>
    <d v="2024-12-26T00:00:00"/>
    <x v="0"/>
    <s v="Q4"/>
    <x v="11"/>
    <x v="6"/>
    <x v="3"/>
    <x v="2"/>
    <x v="0"/>
    <x v="3"/>
    <x v="2"/>
    <n v="4"/>
    <m/>
    <n v="3048"/>
    <n v="0"/>
    <n v="4"/>
    <s v="Recovered"/>
    <n v="1"/>
  </r>
  <r>
    <s v="ADM-242637"/>
    <d v="2024-12-22T00:00:00"/>
    <d v="2024-12-24T00:00:00"/>
    <x v="0"/>
    <s v="Q4"/>
    <x v="11"/>
    <x v="6"/>
    <x v="2"/>
    <x v="0"/>
    <x v="0"/>
    <x v="1"/>
    <x v="2"/>
    <n v="2"/>
    <n v="31"/>
    <n v="1891"/>
    <n v="0"/>
    <n v="5"/>
    <s v="Recovered"/>
    <n v="1"/>
  </r>
  <r>
    <s v="ADM-242638"/>
    <d v="2024-12-23T00:00:00"/>
    <d v="2024-12-31T00:00:00"/>
    <x v="0"/>
    <s v="Q4"/>
    <x v="11"/>
    <x v="0"/>
    <x v="0"/>
    <x v="0"/>
    <x v="0"/>
    <x v="4"/>
    <x v="2"/>
    <n v="8"/>
    <n v="218"/>
    <n v="5346"/>
    <n v="0"/>
    <n v="3"/>
    <s v="Recovered"/>
    <n v="1"/>
  </r>
  <r>
    <s v="ADM-242639"/>
    <d v="2024-12-23T00:00:00"/>
    <d v="2024-12-26T00:00:00"/>
    <x v="0"/>
    <s v="Q4"/>
    <x v="11"/>
    <x v="0"/>
    <x v="1"/>
    <x v="2"/>
    <x v="1"/>
    <x v="1"/>
    <x v="2"/>
    <n v="3"/>
    <m/>
    <n v="5193"/>
    <n v="0"/>
    <n v="3"/>
    <s v="Recovered"/>
    <n v="1"/>
  </r>
  <r>
    <s v="ADM-242640"/>
    <d v="2024-12-23T00:00:00"/>
    <d v="2024-12-29T00:00:00"/>
    <x v="0"/>
    <s v="Q4"/>
    <x v="11"/>
    <x v="0"/>
    <x v="0"/>
    <x v="0"/>
    <x v="0"/>
    <x v="2"/>
    <x v="1"/>
    <n v="6"/>
    <n v="82"/>
    <n v="4753"/>
    <n v="0"/>
    <n v="3"/>
    <s v="Improved"/>
    <n v="1"/>
  </r>
  <r>
    <s v="ADM-242641"/>
    <d v="2024-12-23T00:00:00"/>
    <d v="2024-12-31T00:00:00"/>
    <x v="0"/>
    <s v="Q4"/>
    <x v="11"/>
    <x v="0"/>
    <x v="5"/>
    <x v="0"/>
    <x v="0"/>
    <x v="0"/>
    <x v="1"/>
    <n v="8"/>
    <n v="137"/>
    <n v="5791"/>
    <n v="0"/>
    <n v="3"/>
    <s v="Recovered"/>
    <n v="1"/>
  </r>
  <r>
    <s v="ADM-242642"/>
    <d v="2024-12-23T00:00:00"/>
    <d v="2024-12-26T00:00:00"/>
    <x v="0"/>
    <s v="Q4"/>
    <x v="11"/>
    <x v="0"/>
    <x v="0"/>
    <x v="0"/>
    <x v="1"/>
    <x v="0"/>
    <x v="1"/>
    <n v="3"/>
    <n v="44"/>
    <n v="2913"/>
    <n v="0"/>
    <n v="4"/>
    <s v="Recovered"/>
    <n v="1"/>
  </r>
  <r>
    <s v="ADM-242643"/>
    <d v="2024-12-23T00:00:00"/>
    <d v="2024-12-27T00:00:00"/>
    <x v="0"/>
    <s v="Q4"/>
    <x v="11"/>
    <x v="0"/>
    <x v="5"/>
    <x v="2"/>
    <x v="0"/>
    <x v="1"/>
    <x v="2"/>
    <n v="4"/>
    <m/>
    <n v="4502"/>
    <n v="0"/>
    <n v="5"/>
    <s v="Improved"/>
    <n v="1"/>
  </r>
  <r>
    <s v="ADM-242644"/>
    <d v="2024-12-23T00:00:00"/>
    <d v="2024-12-31T00:00:00"/>
    <x v="0"/>
    <s v="Q4"/>
    <x v="11"/>
    <x v="0"/>
    <x v="1"/>
    <x v="2"/>
    <x v="0"/>
    <x v="2"/>
    <x v="2"/>
    <n v="8"/>
    <m/>
    <n v="10053"/>
    <n v="0"/>
    <n v="3"/>
    <s v="Deceased"/>
    <n v="1"/>
  </r>
  <r>
    <s v="ADM-242645"/>
    <d v="2024-12-23T00:00:00"/>
    <d v="2024-12-24T00:00:00"/>
    <x v="0"/>
    <s v="Q4"/>
    <x v="11"/>
    <x v="0"/>
    <x v="0"/>
    <x v="0"/>
    <x v="0"/>
    <x v="4"/>
    <x v="2"/>
    <n v="1"/>
    <n v="77"/>
    <n v="1785"/>
    <n v="1"/>
    <n v="4"/>
    <s v="Recovered"/>
    <n v="1"/>
  </r>
  <r>
    <s v="ADM-242646"/>
    <d v="2024-12-23T00:00:00"/>
    <d v="2024-12-25T00:00:00"/>
    <x v="0"/>
    <s v="Q4"/>
    <x v="11"/>
    <x v="0"/>
    <x v="2"/>
    <x v="2"/>
    <x v="0"/>
    <x v="1"/>
    <x v="1"/>
    <n v="2"/>
    <m/>
    <n v="1871"/>
    <n v="0"/>
    <n v="4"/>
    <s v="Recovered"/>
    <n v="1"/>
  </r>
  <r>
    <s v="ADM-242647"/>
    <d v="2024-12-23T00:00:00"/>
    <d v="2025-01-02T00:00:00"/>
    <x v="0"/>
    <s v="Q4"/>
    <x v="11"/>
    <x v="0"/>
    <x v="0"/>
    <x v="0"/>
    <x v="1"/>
    <x v="1"/>
    <x v="1"/>
    <n v="10"/>
    <n v="79"/>
    <n v="6832"/>
    <n v="0"/>
    <n v="4"/>
    <s v="Recovered"/>
    <n v="1"/>
  </r>
  <r>
    <s v="ADM-242648"/>
    <d v="2024-12-23T00:00:00"/>
    <d v="2024-12-24T00:00:00"/>
    <x v="0"/>
    <s v="Q4"/>
    <x v="11"/>
    <x v="0"/>
    <x v="2"/>
    <x v="2"/>
    <x v="0"/>
    <x v="2"/>
    <x v="0"/>
    <n v="1"/>
    <m/>
    <n v="1311"/>
    <n v="0"/>
    <n v="5"/>
    <s v="Recovered"/>
    <n v="1"/>
  </r>
  <r>
    <s v="ADM-242649"/>
    <d v="2024-12-23T00:00:00"/>
    <d v="2024-12-25T00:00:00"/>
    <x v="0"/>
    <s v="Q4"/>
    <x v="11"/>
    <x v="0"/>
    <x v="3"/>
    <x v="0"/>
    <x v="0"/>
    <x v="3"/>
    <x v="0"/>
    <n v="2"/>
    <n v="111"/>
    <n v="1966"/>
    <n v="0"/>
    <n v="3"/>
    <s v="Recovered"/>
    <n v="1"/>
  </r>
  <r>
    <s v="ADM-242650"/>
    <d v="2024-12-23T00:00:00"/>
    <d v="2024-12-27T00:00:00"/>
    <x v="0"/>
    <s v="Q4"/>
    <x v="11"/>
    <x v="0"/>
    <x v="3"/>
    <x v="0"/>
    <x v="1"/>
    <x v="3"/>
    <x v="2"/>
    <n v="4"/>
    <n v="108"/>
    <n v="2809"/>
    <n v="0"/>
    <n v="3"/>
    <s v="Improved"/>
    <n v="1"/>
  </r>
  <r>
    <s v="ADM-242651"/>
    <d v="2024-12-23T00:00:00"/>
    <d v="2024-12-25T00:00:00"/>
    <x v="0"/>
    <s v="Q4"/>
    <x v="11"/>
    <x v="0"/>
    <x v="3"/>
    <x v="2"/>
    <x v="0"/>
    <x v="3"/>
    <x v="1"/>
    <n v="2"/>
    <m/>
    <n v="1999"/>
    <n v="0"/>
    <n v="4"/>
    <s v="Improved"/>
    <n v="1"/>
  </r>
  <r>
    <s v="ADM-242652"/>
    <d v="2024-12-23T00:00:00"/>
    <d v="2024-12-25T00:00:00"/>
    <x v="0"/>
    <s v="Q4"/>
    <x v="11"/>
    <x v="0"/>
    <x v="3"/>
    <x v="0"/>
    <x v="1"/>
    <x v="3"/>
    <x v="0"/>
    <n v="2"/>
    <n v="59"/>
    <n v="1672"/>
    <n v="0"/>
    <n v="5"/>
    <s v="Recovered"/>
    <n v="1"/>
  </r>
  <r>
    <s v="ADM-242653"/>
    <d v="2024-12-23T00:00:00"/>
    <d v="2024-12-28T00:00:00"/>
    <x v="0"/>
    <s v="Q4"/>
    <x v="11"/>
    <x v="0"/>
    <x v="2"/>
    <x v="0"/>
    <x v="0"/>
    <x v="1"/>
    <x v="0"/>
    <n v="5"/>
    <n v="130"/>
    <n v="4900"/>
    <n v="0"/>
    <n v="3"/>
    <s v="Recovered"/>
    <n v="1"/>
  </r>
  <r>
    <s v="ADM-242654"/>
    <d v="2024-12-24T00:00:00"/>
    <d v="2024-12-26T00:00:00"/>
    <x v="0"/>
    <s v="Q4"/>
    <x v="11"/>
    <x v="1"/>
    <x v="3"/>
    <x v="0"/>
    <x v="1"/>
    <x v="3"/>
    <x v="2"/>
    <n v="2"/>
    <n v="30"/>
    <n v="2323"/>
    <n v="0"/>
    <n v="5"/>
    <s v="Improved"/>
    <n v="1"/>
  </r>
  <r>
    <s v="ADM-242655"/>
    <d v="2024-12-24T00:00:00"/>
    <d v="2024-12-26T00:00:00"/>
    <x v="0"/>
    <s v="Q4"/>
    <x v="11"/>
    <x v="1"/>
    <x v="4"/>
    <x v="2"/>
    <x v="0"/>
    <x v="0"/>
    <x v="2"/>
    <n v="2"/>
    <m/>
    <n v="2709"/>
    <n v="1"/>
    <n v="3"/>
    <s v="Recovered"/>
    <n v="1"/>
  </r>
  <r>
    <s v="ADM-242656"/>
    <d v="2024-12-24T00:00:00"/>
    <d v="2024-12-26T00:00:00"/>
    <x v="0"/>
    <s v="Q4"/>
    <x v="11"/>
    <x v="1"/>
    <x v="3"/>
    <x v="0"/>
    <x v="1"/>
    <x v="3"/>
    <x v="2"/>
    <n v="2"/>
    <n v="90"/>
    <n v="1856"/>
    <n v="0"/>
    <n v="4"/>
    <s v="Recovered"/>
    <n v="1"/>
  </r>
  <r>
    <s v="ADM-242657"/>
    <d v="2024-12-24T00:00:00"/>
    <d v="2024-12-25T00:00:00"/>
    <x v="0"/>
    <s v="Q4"/>
    <x v="11"/>
    <x v="1"/>
    <x v="5"/>
    <x v="0"/>
    <x v="1"/>
    <x v="4"/>
    <x v="2"/>
    <n v="1"/>
    <n v="148"/>
    <n v="1804"/>
    <n v="0"/>
    <n v="3"/>
    <s v="Recovered"/>
    <n v="1"/>
  </r>
  <r>
    <s v="ADM-242658"/>
    <d v="2024-12-24T00:00:00"/>
    <d v="2024-12-25T00:00:00"/>
    <x v="0"/>
    <s v="Q4"/>
    <x v="11"/>
    <x v="1"/>
    <x v="5"/>
    <x v="2"/>
    <x v="0"/>
    <x v="4"/>
    <x v="2"/>
    <n v="1"/>
    <m/>
    <n v="2003"/>
    <n v="0"/>
    <n v="4"/>
    <s v="Improved"/>
    <n v="1"/>
  </r>
  <r>
    <s v="ADM-242659"/>
    <d v="2024-12-24T00:00:00"/>
    <d v="2024-12-27T00:00:00"/>
    <x v="0"/>
    <s v="Q4"/>
    <x v="11"/>
    <x v="1"/>
    <x v="3"/>
    <x v="0"/>
    <x v="0"/>
    <x v="3"/>
    <x v="2"/>
    <n v="3"/>
    <n v="152"/>
    <n v="1993"/>
    <n v="0"/>
    <n v="3"/>
    <s v="Recovered"/>
    <n v="1"/>
  </r>
  <r>
    <s v="ADM-242660"/>
    <d v="2024-12-24T00:00:00"/>
    <d v="2024-12-28T00:00:00"/>
    <x v="0"/>
    <s v="Q4"/>
    <x v="11"/>
    <x v="1"/>
    <x v="4"/>
    <x v="0"/>
    <x v="1"/>
    <x v="0"/>
    <x v="1"/>
    <n v="4"/>
    <n v="61"/>
    <n v="5839"/>
    <n v="0"/>
    <n v="5"/>
    <s v="Recovered"/>
    <n v="1"/>
  </r>
  <r>
    <s v="ADM-242661"/>
    <d v="2024-12-24T00:00:00"/>
    <d v="2024-12-26T00:00:00"/>
    <x v="0"/>
    <s v="Q4"/>
    <x v="11"/>
    <x v="1"/>
    <x v="3"/>
    <x v="0"/>
    <x v="0"/>
    <x v="3"/>
    <x v="2"/>
    <n v="2"/>
    <n v="26"/>
    <n v="1924"/>
    <n v="0"/>
    <n v="4"/>
    <s v="Recovered"/>
    <n v="1"/>
  </r>
  <r>
    <s v="ADM-242662"/>
    <d v="2024-12-24T00:00:00"/>
    <d v="2024-12-26T00:00:00"/>
    <x v="0"/>
    <s v="Q4"/>
    <x v="11"/>
    <x v="1"/>
    <x v="2"/>
    <x v="0"/>
    <x v="0"/>
    <x v="1"/>
    <x v="2"/>
    <n v="2"/>
    <n v="145"/>
    <n v="2747"/>
    <n v="0"/>
    <n v="3"/>
    <s v="Recovered"/>
    <n v="1"/>
  </r>
  <r>
    <s v="ADM-242663"/>
    <d v="2024-12-25T00:00:00"/>
    <d v="2024-12-26T00:00:00"/>
    <x v="0"/>
    <s v="Q4"/>
    <x v="11"/>
    <x v="2"/>
    <x v="5"/>
    <x v="2"/>
    <x v="0"/>
    <x v="4"/>
    <x v="2"/>
    <n v="1"/>
    <m/>
    <n v="1553"/>
    <n v="0"/>
    <n v="4"/>
    <s v="Recovered"/>
    <n v="1"/>
  </r>
  <r>
    <s v="ADM-242664"/>
    <d v="2024-12-25T00:00:00"/>
    <d v="2024-12-30T00:00:00"/>
    <x v="0"/>
    <s v="Q4"/>
    <x v="11"/>
    <x v="2"/>
    <x v="2"/>
    <x v="2"/>
    <x v="0"/>
    <x v="2"/>
    <x v="2"/>
    <n v="5"/>
    <m/>
    <n v="4916"/>
    <n v="0"/>
    <n v="5"/>
    <s v="Recovered"/>
    <n v="1"/>
  </r>
  <r>
    <s v="ADM-242665"/>
    <d v="2024-12-25T00:00:00"/>
    <d v="2024-12-30T00:00:00"/>
    <x v="0"/>
    <s v="Q4"/>
    <x v="11"/>
    <x v="2"/>
    <x v="4"/>
    <x v="0"/>
    <x v="0"/>
    <x v="1"/>
    <x v="2"/>
    <n v="5"/>
    <n v="14"/>
    <n v="6367"/>
    <n v="0"/>
    <n v="4"/>
    <s v="Recovered"/>
    <n v="1"/>
  </r>
  <r>
    <s v="ADM-242666"/>
    <d v="2024-12-25T00:00:00"/>
    <d v="2024-12-28T00:00:00"/>
    <x v="0"/>
    <s v="Q4"/>
    <x v="11"/>
    <x v="2"/>
    <x v="1"/>
    <x v="0"/>
    <x v="0"/>
    <x v="1"/>
    <x v="1"/>
    <n v="3"/>
    <n v="15"/>
    <n v="4139"/>
    <n v="1"/>
    <n v="4"/>
    <s v="Improved"/>
    <n v="1"/>
  </r>
  <r>
    <s v="ADM-242667"/>
    <d v="2024-12-25T00:00:00"/>
    <d v="2024-12-30T00:00:00"/>
    <x v="0"/>
    <s v="Q4"/>
    <x v="11"/>
    <x v="2"/>
    <x v="2"/>
    <x v="0"/>
    <x v="0"/>
    <x v="2"/>
    <x v="2"/>
    <n v="5"/>
    <n v="79"/>
    <n v="4000"/>
    <n v="0"/>
    <n v="5"/>
    <s v="Recovered"/>
    <n v="1"/>
  </r>
  <r>
    <s v="ADM-242668"/>
    <d v="2024-12-25T00:00:00"/>
    <d v="2024-12-27T00:00:00"/>
    <x v="0"/>
    <s v="Q4"/>
    <x v="11"/>
    <x v="2"/>
    <x v="1"/>
    <x v="0"/>
    <x v="0"/>
    <x v="1"/>
    <x v="0"/>
    <n v="2"/>
    <n v="64"/>
    <n v="2491"/>
    <n v="0"/>
    <n v="4"/>
    <s v="Recovered"/>
    <n v="1"/>
  </r>
  <r>
    <s v="ADM-242669"/>
    <d v="2024-12-25T00:00:00"/>
    <d v="2024-12-29T00:00:00"/>
    <x v="0"/>
    <s v="Q4"/>
    <x v="11"/>
    <x v="2"/>
    <x v="0"/>
    <x v="0"/>
    <x v="1"/>
    <x v="1"/>
    <x v="1"/>
    <n v="4"/>
    <n v="71"/>
    <n v="3959"/>
    <n v="0"/>
    <n v="4"/>
    <s v="Improved"/>
    <n v="1"/>
  </r>
  <r>
    <s v="ADM-242670"/>
    <d v="2024-12-25T00:00:00"/>
    <d v="2024-12-26T00:00:00"/>
    <x v="0"/>
    <s v="Q4"/>
    <x v="11"/>
    <x v="2"/>
    <x v="5"/>
    <x v="2"/>
    <x v="0"/>
    <x v="0"/>
    <x v="2"/>
    <n v="1"/>
    <m/>
    <n v="2302"/>
    <n v="1"/>
    <n v="3"/>
    <s v="Recovered"/>
    <n v="1"/>
  </r>
  <r>
    <s v="ADM-242671"/>
    <d v="2024-12-25T00:00:00"/>
    <d v="2024-12-27T00:00:00"/>
    <x v="0"/>
    <s v="Q4"/>
    <x v="11"/>
    <x v="2"/>
    <x v="2"/>
    <x v="0"/>
    <x v="0"/>
    <x v="1"/>
    <x v="0"/>
    <n v="2"/>
    <n v="39"/>
    <n v="2144"/>
    <n v="0"/>
    <n v="4"/>
    <s v="Transferred"/>
    <n v="1"/>
  </r>
  <r>
    <s v="ADM-242672"/>
    <d v="2024-12-25T00:00:00"/>
    <d v="2024-12-31T00:00:00"/>
    <x v="0"/>
    <s v="Q4"/>
    <x v="11"/>
    <x v="2"/>
    <x v="2"/>
    <x v="0"/>
    <x v="0"/>
    <x v="2"/>
    <x v="2"/>
    <n v="6"/>
    <n v="59"/>
    <n v="4597"/>
    <n v="0"/>
    <n v="5"/>
    <s v="Transferred"/>
    <n v="1"/>
  </r>
  <r>
    <s v="ADM-242673"/>
    <d v="2024-12-25T00:00:00"/>
    <d v="2024-12-30T00:00:00"/>
    <x v="0"/>
    <s v="Q4"/>
    <x v="11"/>
    <x v="2"/>
    <x v="3"/>
    <x v="0"/>
    <x v="1"/>
    <x v="3"/>
    <x v="2"/>
    <n v="5"/>
    <n v="63"/>
    <n v="3257"/>
    <n v="0"/>
    <n v="4"/>
    <s v="Transferred"/>
    <n v="1"/>
  </r>
  <r>
    <s v="ADM-242674"/>
    <d v="2024-12-25T00:00:00"/>
    <d v="2024-12-26T00:00:00"/>
    <x v="0"/>
    <s v="Q4"/>
    <x v="11"/>
    <x v="2"/>
    <x v="1"/>
    <x v="2"/>
    <x v="0"/>
    <x v="0"/>
    <x v="1"/>
    <n v="1"/>
    <m/>
    <n v="2434"/>
    <n v="0"/>
    <n v="4"/>
    <s v="Improved"/>
    <n v="1"/>
  </r>
  <r>
    <s v="ADM-242675"/>
    <d v="2024-12-25T00:00:00"/>
    <d v="2025-01-02T00:00:00"/>
    <x v="0"/>
    <s v="Q4"/>
    <x v="11"/>
    <x v="2"/>
    <x v="4"/>
    <x v="0"/>
    <x v="0"/>
    <x v="2"/>
    <x v="0"/>
    <n v="8"/>
    <n v="224"/>
    <n v="11504"/>
    <n v="0"/>
    <n v="4"/>
    <s v="Recovered"/>
    <n v="1"/>
  </r>
  <r>
    <s v="ADM-242676"/>
    <d v="2024-12-25T00:00:00"/>
    <d v="2025-01-04T00:00:00"/>
    <x v="0"/>
    <s v="Q4"/>
    <x v="11"/>
    <x v="2"/>
    <x v="0"/>
    <x v="2"/>
    <x v="0"/>
    <x v="0"/>
    <x v="2"/>
    <n v="10"/>
    <m/>
    <n v="6936"/>
    <n v="1"/>
    <n v="4"/>
    <s v="Improved"/>
    <n v="1"/>
  </r>
  <r>
    <s v="ADM-242677"/>
    <d v="2024-12-25T00:00:00"/>
    <d v="2025-01-01T00:00:00"/>
    <x v="0"/>
    <s v="Q4"/>
    <x v="11"/>
    <x v="2"/>
    <x v="0"/>
    <x v="0"/>
    <x v="1"/>
    <x v="2"/>
    <x v="0"/>
    <n v="7"/>
    <n v="100"/>
    <n v="5981"/>
    <n v="0"/>
    <n v="3"/>
    <s v="Improved"/>
    <n v="1"/>
  </r>
  <r>
    <s v="ADM-242678"/>
    <d v="2024-12-25T00:00:00"/>
    <d v="2024-12-27T00:00:00"/>
    <x v="0"/>
    <s v="Q4"/>
    <x v="11"/>
    <x v="2"/>
    <x v="3"/>
    <x v="0"/>
    <x v="1"/>
    <x v="3"/>
    <x v="0"/>
    <n v="2"/>
    <n v="159"/>
    <n v="1377"/>
    <n v="0"/>
    <n v="3"/>
    <s v="Recovered"/>
    <n v="1"/>
  </r>
  <r>
    <s v="ADM-242679"/>
    <d v="2024-12-26T00:00:00"/>
    <d v="2025-01-04T00:00:00"/>
    <x v="0"/>
    <s v="Q4"/>
    <x v="11"/>
    <x v="3"/>
    <x v="0"/>
    <x v="0"/>
    <x v="1"/>
    <x v="4"/>
    <x v="1"/>
    <n v="9"/>
    <n v="54"/>
    <n v="5284"/>
    <n v="0"/>
    <n v="5"/>
    <s v="Recovered"/>
    <n v="1"/>
  </r>
  <r>
    <s v="ADM-242680"/>
    <d v="2024-12-26T00:00:00"/>
    <d v="2025-01-01T00:00:00"/>
    <x v="0"/>
    <s v="Q4"/>
    <x v="11"/>
    <x v="3"/>
    <x v="0"/>
    <x v="0"/>
    <x v="1"/>
    <x v="1"/>
    <x v="2"/>
    <n v="6"/>
    <n v="69"/>
    <n v="3454"/>
    <n v="0"/>
    <n v="5"/>
    <s v="Recovered"/>
    <n v="1"/>
  </r>
  <r>
    <s v="ADM-242681"/>
    <d v="2024-12-26T00:00:00"/>
    <d v="2025-01-03T00:00:00"/>
    <x v="0"/>
    <s v="Q4"/>
    <x v="11"/>
    <x v="3"/>
    <x v="0"/>
    <x v="0"/>
    <x v="1"/>
    <x v="0"/>
    <x v="0"/>
    <n v="8"/>
    <n v="74"/>
    <n v="5110"/>
    <n v="0"/>
    <n v="4"/>
    <s v="Recovered"/>
    <n v="1"/>
  </r>
  <r>
    <s v="ADM-242682"/>
    <d v="2024-12-26T00:00:00"/>
    <d v="2025-01-06T00:00:00"/>
    <x v="0"/>
    <s v="Q4"/>
    <x v="11"/>
    <x v="3"/>
    <x v="0"/>
    <x v="0"/>
    <x v="0"/>
    <x v="0"/>
    <x v="1"/>
    <n v="11"/>
    <n v="187"/>
    <n v="5874"/>
    <n v="0"/>
    <n v="4"/>
    <s v="Improved"/>
    <n v="1"/>
  </r>
  <r>
    <s v="ADM-242683"/>
    <d v="2024-12-26T00:00:00"/>
    <d v="2025-01-01T00:00:00"/>
    <x v="0"/>
    <s v="Q4"/>
    <x v="11"/>
    <x v="3"/>
    <x v="0"/>
    <x v="0"/>
    <x v="1"/>
    <x v="0"/>
    <x v="1"/>
    <n v="6"/>
    <n v="83"/>
    <n v="3649"/>
    <n v="0"/>
    <n v="5"/>
    <s v="Recovered"/>
    <n v="1"/>
  </r>
  <r>
    <s v="ADM-242684"/>
    <d v="2024-12-26T00:00:00"/>
    <d v="2024-12-28T00:00:00"/>
    <x v="0"/>
    <s v="Q4"/>
    <x v="11"/>
    <x v="3"/>
    <x v="4"/>
    <x v="0"/>
    <x v="1"/>
    <x v="1"/>
    <x v="1"/>
    <n v="2"/>
    <n v="41"/>
    <n v="3311"/>
    <n v="0"/>
    <n v="5"/>
    <s v="Recovered"/>
    <n v="1"/>
  </r>
  <r>
    <s v="ADM-242685"/>
    <d v="2024-12-27T00:00:00"/>
    <d v="2025-01-15T00:00:00"/>
    <x v="0"/>
    <s v="Q4"/>
    <x v="11"/>
    <x v="4"/>
    <x v="0"/>
    <x v="0"/>
    <x v="1"/>
    <x v="0"/>
    <x v="2"/>
    <n v="19"/>
    <n v="130"/>
    <n v="12451"/>
    <n v="0"/>
    <n v="4"/>
    <s v="Recovered"/>
    <n v="1"/>
  </r>
  <r>
    <s v="ADM-242686"/>
    <d v="2024-12-27T00:00:00"/>
    <d v="2024-12-31T00:00:00"/>
    <x v="0"/>
    <s v="Q4"/>
    <x v="11"/>
    <x v="4"/>
    <x v="0"/>
    <x v="2"/>
    <x v="0"/>
    <x v="4"/>
    <x v="2"/>
    <n v="4"/>
    <m/>
    <n v="3043"/>
    <n v="0"/>
    <n v="5"/>
    <s v="Recovered"/>
    <n v="1"/>
  </r>
  <r>
    <s v="ADM-242687"/>
    <d v="2024-12-27T00:00:00"/>
    <d v="2025-01-03T00:00:00"/>
    <x v="0"/>
    <s v="Q4"/>
    <x v="11"/>
    <x v="4"/>
    <x v="4"/>
    <x v="0"/>
    <x v="0"/>
    <x v="4"/>
    <x v="2"/>
    <n v="7"/>
    <n v="41"/>
    <n v="9962"/>
    <n v="0"/>
    <n v="4"/>
    <s v="Recovered"/>
    <n v="1"/>
  </r>
  <r>
    <s v="ADM-242688"/>
    <d v="2024-12-27T00:00:00"/>
    <d v="2025-01-05T00:00:00"/>
    <x v="0"/>
    <s v="Q4"/>
    <x v="11"/>
    <x v="4"/>
    <x v="0"/>
    <x v="0"/>
    <x v="1"/>
    <x v="0"/>
    <x v="1"/>
    <n v="9"/>
    <n v="95"/>
    <n v="7089"/>
    <n v="0"/>
    <n v="4"/>
    <s v="Improved"/>
    <n v="1"/>
  </r>
  <r>
    <s v="ADM-242689"/>
    <d v="2024-12-27T00:00:00"/>
    <d v="2024-12-30T00:00:00"/>
    <x v="0"/>
    <s v="Q4"/>
    <x v="11"/>
    <x v="4"/>
    <x v="2"/>
    <x v="0"/>
    <x v="0"/>
    <x v="1"/>
    <x v="0"/>
    <n v="3"/>
    <n v="72"/>
    <n v="2472"/>
    <n v="1"/>
    <n v="4"/>
    <s v="Recovered"/>
    <n v="1"/>
  </r>
  <r>
    <s v="ADM-242690"/>
    <d v="2024-12-27T00:00:00"/>
    <d v="2025-01-04T00:00:00"/>
    <x v="0"/>
    <s v="Q4"/>
    <x v="11"/>
    <x v="4"/>
    <x v="0"/>
    <x v="0"/>
    <x v="0"/>
    <x v="1"/>
    <x v="2"/>
    <n v="8"/>
    <n v="22"/>
    <n v="6657"/>
    <n v="0"/>
    <n v="5"/>
    <s v="Improved"/>
    <n v="1"/>
  </r>
  <r>
    <s v="ADM-242691"/>
    <d v="2024-12-28T00:00:00"/>
    <d v="2025-01-03T00:00:00"/>
    <x v="0"/>
    <s v="Q4"/>
    <x v="11"/>
    <x v="5"/>
    <x v="5"/>
    <x v="2"/>
    <x v="0"/>
    <x v="0"/>
    <x v="2"/>
    <n v="6"/>
    <m/>
    <n v="6774"/>
    <n v="1"/>
    <n v="4"/>
    <s v="Recovered"/>
    <n v="1"/>
  </r>
  <r>
    <s v="ADM-242692"/>
    <d v="2024-12-28T00:00:00"/>
    <d v="2025-01-01T00:00:00"/>
    <x v="0"/>
    <s v="Q4"/>
    <x v="11"/>
    <x v="5"/>
    <x v="0"/>
    <x v="1"/>
    <x v="1"/>
    <x v="0"/>
    <x v="0"/>
    <n v="4"/>
    <m/>
    <n v="4166"/>
    <n v="0"/>
    <n v="5"/>
    <s v="Recovered"/>
    <n v="1"/>
  </r>
  <r>
    <s v="ADM-242693"/>
    <d v="2024-12-28T00:00:00"/>
    <d v="2024-12-30T00:00:00"/>
    <x v="0"/>
    <s v="Q4"/>
    <x v="11"/>
    <x v="5"/>
    <x v="5"/>
    <x v="2"/>
    <x v="0"/>
    <x v="1"/>
    <x v="2"/>
    <n v="2"/>
    <m/>
    <n v="3150"/>
    <n v="1"/>
    <n v="4"/>
    <s v="Recovered"/>
    <n v="1"/>
  </r>
  <r>
    <s v="ADM-242694"/>
    <d v="2024-12-28T00:00:00"/>
    <d v="2025-01-05T00:00:00"/>
    <x v="0"/>
    <s v="Q4"/>
    <x v="11"/>
    <x v="5"/>
    <x v="4"/>
    <x v="1"/>
    <x v="1"/>
    <x v="4"/>
    <x v="2"/>
    <n v="8"/>
    <m/>
    <n v="6621"/>
    <n v="0"/>
    <n v="4"/>
    <s v="Recovered"/>
    <n v="1"/>
  </r>
  <r>
    <s v="ADM-242695"/>
    <d v="2024-12-28T00:00:00"/>
    <d v="2024-12-30T00:00:00"/>
    <x v="0"/>
    <s v="Q4"/>
    <x v="11"/>
    <x v="5"/>
    <x v="4"/>
    <x v="0"/>
    <x v="1"/>
    <x v="4"/>
    <x v="0"/>
    <n v="2"/>
    <n v="245"/>
    <n v="2984"/>
    <n v="1"/>
    <n v="1"/>
    <s v="Recovered"/>
    <n v="1"/>
  </r>
  <r>
    <s v="ADM-242696"/>
    <d v="2024-12-28T00:00:00"/>
    <d v="2024-12-30T00:00:00"/>
    <x v="0"/>
    <s v="Q4"/>
    <x v="11"/>
    <x v="5"/>
    <x v="3"/>
    <x v="0"/>
    <x v="1"/>
    <x v="3"/>
    <x v="2"/>
    <n v="2"/>
    <n v="55"/>
    <n v="2033"/>
    <n v="0"/>
    <n v="4"/>
    <s v="Recovered"/>
    <n v="1"/>
  </r>
  <r>
    <s v="ADM-242697"/>
    <d v="2024-12-28T00:00:00"/>
    <d v="2025-01-01T00:00:00"/>
    <x v="0"/>
    <s v="Q4"/>
    <x v="11"/>
    <x v="5"/>
    <x v="3"/>
    <x v="0"/>
    <x v="1"/>
    <x v="3"/>
    <x v="0"/>
    <n v="4"/>
    <n v="21"/>
    <n v="2983"/>
    <n v="0"/>
    <n v="4"/>
    <s v="Recovered"/>
    <n v="1"/>
  </r>
  <r>
    <s v="ADM-242698"/>
    <d v="2024-12-28T00:00:00"/>
    <d v="2024-12-29T00:00:00"/>
    <x v="0"/>
    <s v="Q4"/>
    <x v="11"/>
    <x v="5"/>
    <x v="3"/>
    <x v="0"/>
    <x v="1"/>
    <x v="3"/>
    <x v="0"/>
    <n v="1"/>
    <n v="128"/>
    <n v="1283"/>
    <n v="0"/>
    <n v="3"/>
    <s v="Improved"/>
    <n v="1"/>
  </r>
  <r>
    <s v="ADM-242699"/>
    <d v="2024-12-28T00:00:00"/>
    <d v="2025-01-04T00:00:00"/>
    <x v="0"/>
    <s v="Q4"/>
    <x v="11"/>
    <x v="5"/>
    <x v="0"/>
    <x v="0"/>
    <x v="0"/>
    <x v="1"/>
    <x v="2"/>
    <n v="7"/>
    <n v="46"/>
    <n v="5718"/>
    <n v="1"/>
    <n v="4"/>
    <s v="Improved"/>
    <n v="1"/>
  </r>
  <r>
    <s v="ADM-242700"/>
    <d v="2024-12-29T00:00:00"/>
    <d v="2024-12-30T00:00:00"/>
    <x v="0"/>
    <s v="Q4"/>
    <x v="11"/>
    <x v="6"/>
    <x v="0"/>
    <x v="0"/>
    <x v="0"/>
    <x v="0"/>
    <x v="1"/>
    <n v="1"/>
    <n v="33"/>
    <n v="1887"/>
    <n v="0"/>
    <n v="5"/>
    <s v="Improved"/>
    <n v="1"/>
  </r>
  <r>
    <s v="ADM-242701"/>
    <d v="2024-12-29T00:00:00"/>
    <d v="2024-12-31T00:00:00"/>
    <x v="0"/>
    <s v="Q4"/>
    <x v="11"/>
    <x v="6"/>
    <x v="2"/>
    <x v="2"/>
    <x v="0"/>
    <x v="2"/>
    <x v="2"/>
    <n v="2"/>
    <m/>
    <n v="1836"/>
    <n v="0"/>
    <n v="5"/>
    <s v="Recovered"/>
    <n v="1"/>
  </r>
  <r>
    <s v="ADM-242702"/>
    <d v="2024-12-29T00:00:00"/>
    <d v="2025-01-10T00:00:00"/>
    <x v="0"/>
    <s v="Q4"/>
    <x v="11"/>
    <x v="6"/>
    <x v="4"/>
    <x v="0"/>
    <x v="1"/>
    <x v="2"/>
    <x v="0"/>
    <n v="12"/>
    <n v="24"/>
    <n v="12719"/>
    <n v="0"/>
    <n v="5"/>
    <s v="Recovered"/>
    <n v="1"/>
  </r>
  <r>
    <s v="ADM-242703"/>
    <d v="2024-12-29T00:00:00"/>
    <d v="2025-01-02T00:00:00"/>
    <x v="0"/>
    <s v="Q4"/>
    <x v="11"/>
    <x v="6"/>
    <x v="3"/>
    <x v="0"/>
    <x v="1"/>
    <x v="3"/>
    <x v="0"/>
    <n v="4"/>
    <n v="34"/>
    <n v="3450"/>
    <n v="0"/>
    <n v="5"/>
    <s v="Recovered"/>
    <n v="1"/>
  </r>
  <r>
    <s v="ADM-242704"/>
    <d v="2024-12-29T00:00:00"/>
    <d v="2025-01-01T00:00:00"/>
    <x v="0"/>
    <s v="Q4"/>
    <x v="11"/>
    <x v="6"/>
    <x v="2"/>
    <x v="0"/>
    <x v="0"/>
    <x v="1"/>
    <x v="1"/>
    <n v="3"/>
    <n v="38"/>
    <n v="2475"/>
    <n v="0"/>
    <n v="4"/>
    <s v="Recovered"/>
    <n v="1"/>
  </r>
  <r>
    <s v="ADM-242705"/>
    <d v="2024-12-29T00:00:00"/>
    <d v="2025-01-03T00:00:00"/>
    <x v="0"/>
    <s v="Q4"/>
    <x v="11"/>
    <x v="6"/>
    <x v="4"/>
    <x v="2"/>
    <x v="0"/>
    <x v="4"/>
    <x v="0"/>
    <n v="5"/>
    <m/>
    <n v="6773"/>
    <n v="0"/>
    <n v="4"/>
    <s v="Recovered"/>
    <n v="1"/>
  </r>
  <r>
    <s v="ADM-242706"/>
    <d v="2024-12-29T00:00:00"/>
    <d v="2025-01-09T00:00:00"/>
    <x v="0"/>
    <s v="Q4"/>
    <x v="11"/>
    <x v="6"/>
    <x v="4"/>
    <x v="0"/>
    <x v="1"/>
    <x v="0"/>
    <x v="0"/>
    <n v="11"/>
    <n v="16"/>
    <n v="12722"/>
    <n v="0"/>
    <n v="5"/>
    <s v="Improved"/>
    <n v="1"/>
  </r>
  <r>
    <s v="ADM-242707"/>
    <d v="2024-12-30T00:00:00"/>
    <d v="2024-12-31T00:00:00"/>
    <x v="0"/>
    <s v="Q4"/>
    <x v="11"/>
    <x v="0"/>
    <x v="5"/>
    <x v="2"/>
    <x v="0"/>
    <x v="0"/>
    <x v="2"/>
    <n v="1"/>
    <m/>
    <n v="2006"/>
    <n v="0"/>
    <n v="4"/>
    <s v="Improved"/>
    <n v="1"/>
  </r>
  <r>
    <s v="ADM-242708"/>
    <d v="2024-12-30T00:00:00"/>
    <d v="2025-01-09T00:00:00"/>
    <x v="0"/>
    <s v="Q4"/>
    <x v="11"/>
    <x v="0"/>
    <x v="3"/>
    <x v="0"/>
    <x v="1"/>
    <x v="3"/>
    <x v="0"/>
    <n v="10"/>
    <n v="55"/>
    <n v="5807"/>
    <n v="1"/>
    <n v="5"/>
    <s v="Improved"/>
    <n v="1"/>
  </r>
  <r>
    <s v="ADM-242709"/>
    <d v="2024-12-30T00:00:00"/>
    <d v="2025-01-06T00:00:00"/>
    <x v="0"/>
    <s v="Q4"/>
    <x v="11"/>
    <x v="0"/>
    <x v="5"/>
    <x v="0"/>
    <x v="0"/>
    <x v="1"/>
    <x v="0"/>
    <n v="7"/>
    <n v="45"/>
    <n v="6906"/>
    <n v="0"/>
    <n v="4"/>
    <s v="Transferred"/>
    <n v="1"/>
  </r>
  <r>
    <s v="ADM-242710"/>
    <d v="2024-12-30T00:00:00"/>
    <d v="2024-12-31T00:00:00"/>
    <x v="0"/>
    <s v="Q4"/>
    <x v="11"/>
    <x v="0"/>
    <x v="2"/>
    <x v="0"/>
    <x v="0"/>
    <x v="2"/>
    <x v="2"/>
    <n v="1"/>
    <n v="66"/>
    <n v="1279"/>
    <n v="0"/>
    <n v="4"/>
    <s v="Improved"/>
    <n v="1"/>
  </r>
  <r>
    <s v="ADM-242711"/>
    <d v="2024-12-30T00:00:00"/>
    <d v="2025-01-03T00:00:00"/>
    <x v="0"/>
    <s v="Q4"/>
    <x v="11"/>
    <x v="0"/>
    <x v="2"/>
    <x v="0"/>
    <x v="0"/>
    <x v="2"/>
    <x v="0"/>
    <n v="4"/>
    <n v="43"/>
    <n v="2880"/>
    <n v="0"/>
    <n v="4"/>
    <s v="Improved"/>
    <n v="1"/>
  </r>
  <r>
    <s v="ADM-242712"/>
    <d v="2024-12-30T00:00:00"/>
    <d v="2025-01-01T00:00:00"/>
    <x v="0"/>
    <s v="Q4"/>
    <x v="11"/>
    <x v="0"/>
    <x v="0"/>
    <x v="2"/>
    <x v="0"/>
    <x v="1"/>
    <x v="1"/>
    <n v="2"/>
    <m/>
    <n v="2474"/>
    <n v="0"/>
    <n v="4"/>
    <s v="Recovered"/>
    <n v="1"/>
  </r>
  <r>
    <s v="ADM-242713"/>
    <d v="2024-12-30T00:00:00"/>
    <d v="2025-01-07T00:00:00"/>
    <x v="0"/>
    <s v="Q4"/>
    <x v="11"/>
    <x v="0"/>
    <x v="1"/>
    <x v="0"/>
    <x v="0"/>
    <x v="0"/>
    <x v="2"/>
    <n v="8"/>
    <n v="23"/>
    <n v="10334"/>
    <n v="0"/>
    <n v="3"/>
    <s v="Recovered"/>
    <n v="1"/>
  </r>
  <r>
    <s v="ADM-242714"/>
    <d v="2024-12-30T00:00:00"/>
    <d v="2025-01-12T00:00:00"/>
    <x v="0"/>
    <s v="Q4"/>
    <x v="11"/>
    <x v="0"/>
    <x v="1"/>
    <x v="2"/>
    <x v="1"/>
    <x v="0"/>
    <x v="0"/>
    <n v="13"/>
    <m/>
    <n v="11847"/>
    <n v="1"/>
    <n v="5"/>
    <s v="Recovered"/>
    <n v="1"/>
  </r>
  <r>
    <s v="ADM-242715"/>
    <d v="2024-12-30T00:00:00"/>
    <d v="2025-01-08T00:00:00"/>
    <x v="0"/>
    <s v="Q4"/>
    <x v="11"/>
    <x v="0"/>
    <x v="4"/>
    <x v="0"/>
    <x v="1"/>
    <x v="0"/>
    <x v="2"/>
    <n v="9"/>
    <n v="45"/>
    <n v="12505"/>
    <n v="0"/>
    <n v="4"/>
    <s v="Recovered"/>
    <n v="1"/>
  </r>
  <r>
    <s v="ADM-242716"/>
    <d v="2024-12-30T00:00:00"/>
    <d v="2025-01-04T00:00:00"/>
    <x v="0"/>
    <s v="Q4"/>
    <x v="11"/>
    <x v="0"/>
    <x v="5"/>
    <x v="2"/>
    <x v="0"/>
    <x v="1"/>
    <x v="2"/>
    <n v="5"/>
    <m/>
    <n v="5132"/>
    <n v="0"/>
    <n v="4"/>
    <s v="Recovered"/>
    <n v="1"/>
  </r>
  <r>
    <s v="ADM-242717"/>
    <d v="2024-12-31T00:00:00"/>
    <d v="2025-01-03T00:00:00"/>
    <x v="0"/>
    <s v="Q4"/>
    <x v="11"/>
    <x v="1"/>
    <x v="0"/>
    <x v="0"/>
    <x v="1"/>
    <x v="0"/>
    <x v="2"/>
    <n v="3"/>
    <n v="72"/>
    <n v="2738"/>
    <n v="0"/>
    <n v="4"/>
    <s v="Improved"/>
    <n v="1"/>
  </r>
  <r>
    <s v="ADM-242718"/>
    <d v="2024-12-31T00:00:00"/>
    <d v="2025-01-02T00:00:00"/>
    <x v="0"/>
    <s v="Q4"/>
    <x v="11"/>
    <x v="1"/>
    <x v="3"/>
    <x v="0"/>
    <x v="0"/>
    <x v="3"/>
    <x v="2"/>
    <n v="2"/>
    <n v="27"/>
    <n v="1931"/>
    <n v="0"/>
    <n v="5"/>
    <s v="Transferred"/>
    <n v="1"/>
  </r>
  <r>
    <s v="ADM-242719"/>
    <d v="2024-12-31T00:00:00"/>
    <d v="2025-01-04T00:00:00"/>
    <x v="0"/>
    <s v="Q4"/>
    <x v="11"/>
    <x v="1"/>
    <x v="0"/>
    <x v="0"/>
    <x v="0"/>
    <x v="1"/>
    <x v="1"/>
    <n v="4"/>
    <n v="85"/>
    <n v="3710"/>
    <n v="0"/>
    <n v="4"/>
    <s v="Improved"/>
    <n v="1"/>
  </r>
  <r>
    <s v="ADM-242720"/>
    <d v="2024-12-31T00:00:00"/>
    <d v="2025-01-22T00:00:00"/>
    <x v="0"/>
    <s v="Q4"/>
    <x v="11"/>
    <x v="1"/>
    <x v="0"/>
    <x v="2"/>
    <x v="1"/>
    <x v="0"/>
    <x v="2"/>
    <n v="22"/>
    <m/>
    <n v="15983"/>
    <n v="0"/>
    <n v="5"/>
    <s v="Improved"/>
    <n v="1"/>
  </r>
  <r>
    <s v="ADM-242721"/>
    <d v="2024-12-31T00:00:00"/>
    <d v="2025-01-05T00:00:00"/>
    <x v="0"/>
    <s v="Q4"/>
    <x v="11"/>
    <x v="1"/>
    <x v="0"/>
    <x v="2"/>
    <x v="0"/>
    <x v="1"/>
    <x v="1"/>
    <n v="5"/>
    <m/>
    <n v="3310"/>
    <n v="0"/>
    <n v="3"/>
    <s v="Recovered"/>
    <n v="1"/>
  </r>
  <r>
    <s v="ADM-242722"/>
    <d v="2024-12-31T00:00:00"/>
    <d v="2025-01-02T00:00:00"/>
    <x v="0"/>
    <s v="Q4"/>
    <x v="11"/>
    <x v="1"/>
    <x v="1"/>
    <x v="2"/>
    <x v="1"/>
    <x v="0"/>
    <x v="2"/>
    <n v="2"/>
    <m/>
    <n v="3392"/>
    <n v="0"/>
    <n v="4"/>
    <s v="Recovered"/>
    <n v="1"/>
  </r>
  <r>
    <s v="ADM-242723"/>
    <d v="2024-12-31T00:00:00"/>
    <d v="2025-01-05T00:00:00"/>
    <x v="0"/>
    <s v="Q4"/>
    <x v="11"/>
    <x v="1"/>
    <x v="2"/>
    <x v="0"/>
    <x v="0"/>
    <x v="2"/>
    <x v="2"/>
    <n v="5"/>
    <n v="159"/>
    <n v="4062"/>
    <n v="0"/>
    <n v="2"/>
    <s v="Recovered"/>
    <n v="1"/>
  </r>
  <r>
    <s v="ADM-242724"/>
    <d v="2024-12-31T00:00:00"/>
    <d v="2025-01-04T00:00:00"/>
    <x v="0"/>
    <s v="Q4"/>
    <x v="11"/>
    <x v="1"/>
    <x v="5"/>
    <x v="2"/>
    <x v="1"/>
    <x v="4"/>
    <x v="2"/>
    <n v="4"/>
    <m/>
    <n v="3772"/>
    <n v="0"/>
    <n v="4"/>
    <s v="Recovered"/>
    <n v="1"/>
  </r>
  <r>
    <s v="ADM-242725"/>
    <d v="2024-12-31T00:00:00"/>
    <d v="2025-01-08T00:00:00"/>
    <x v="0"/>
    <s v="Q4"/>
    <x v="11"/>
    <x v="1"/>
    <x v="0"/>
    <x v="0"/>
    <x v="1"/>
    <x v="1"/>
    <x v="2"/>
    <n v="8"/>
    <n v="57"/>
    <n v="6711"/>
    <n v="0"/>
    <n v="4"/>
    <s v="Transferred"/>
    <n v="1"/>
  </r>
  <r>
    <s v="ADM-242726"/>
    <d v="2024-12-31T00:00:00"/>
    <d v="2025-01-21T00:00:00"/>
    <x v="0"/>
    <s v="Q4"/>
    <x v="11"/>
    <x v="1"/>
    <x v="0"/>
    <x v="0"/>
    <x v="0"/>
    <x v="0"/>
    <x v="0"/>
    <n v="21"/>
    <n v="187"/>
    <n v="14858"/>
    <n v="1"/>
    <n v="2"/>
    <s v="Improved"/>
    <n v="1"/>
  </r>
  <r>
    <s v="ADM-242727"/>
    <d v="2024-12-31T00:00:00"/>
    <d v="2025-01-01T00:00:00"/>
    <x v="0"/>
    <s v="Q4"/>
    <x v="11"/>
    <x v="1"/>
    <x v="3"/>
    <x v="0"/>
    <x v="0"/>
    <x v="3"/>
    <x v="2"/>
    <n v="1"/>
    <n v="53"/>
    <n v="1224"/>
    <n v="0"/>
    <n v="5"/>
    <s v="Recovered"/>
    <n v="1"/>
  </r>
  <r>
    <s v="ADM-242728"/>
    <d v="2024-12-31T00:00:00"/>
    <d v="2025-01-01T00:00:00"/>
    <x v="0"/>
    <s v="Q4"/>
    <x v="11"/>
    <x v="1"/>
    <x v="1"/>
    <x v="2"/>
    <x v="1"/>
    <x v="4"/>
    <x v="0"/>
    <n v="1"/>
    <m/>
    <n v="2690"/>
    <n v="0"/>
    <n v="4"/>
    <s v="Recovered"/>
    <n v="1"/>
  </r>
  <r>
    <s v="ADM-242729"/>
    <d v="2025-01-01T00:00:00"/>
    <d v="2025-01-03T00:00:00"/>
    <x v="1"/>
    <s v="Q1"/>
    <x v="0"/>
    <x v="2"/>
    <x v="0"/>
    <x v="2"/>
    <x v="0"/>
    <x v="2"/>
    <x v="0"/>
    <n v="2"/>
    <m/>
    <n v="1718"/>
    <n v="0"/>
    <n v="5"/>
    <s v="Improved"/>
    <n v="1"/>
  </r>
  <r>
    <s v="ADM-242730"/>
    <d v="2025-01-01T00:00:00"/>
    <d v="2025-01-03T00:00:00"/>
    <x v="1"/>
    <s v="Q1"/>
    <x v="0"/>
    <x v="2"/>
    <x v="3"/>
    <x v="0"/>
    <x v="0"/>
    <x v="3"/>
    <x v="2"/>
    <n v="2"/>
    <n v="65"/>
    <n v="1745"/>
    <n v="0"/>
    <n v="5"/>
    <s v="Recovered"/>
    <n v="1"/>
  </r>
  <r>
    <s v="ADM-242731"/>
    <d v="2025-01-01T00:00:00"/>
    <d v="2025-01-09T00:00:00"/>
    <x v="1"/>
    <s v="Q1"/>
    <x v="0"/>
    <x v="2"/>
    <x v="0"/>
    <x v="0"/>
    <x v="0"/>
    <x v="0"/>
    <x v="2"/>
    <n v="8"/>
    <n v="82"/>
    <n v="5135"/>
    <n v="0"/>
    <n v="3"/>
    <s v="Recovered"/>
    <n v="1"/>
  </r>
  <r>
    <s v="ADM-242732"/>
    <d v="2025-01-01T00:00:00"/>
    <d v="2025-01-08T00:00:00"/>
    <x v="1"/>
    <s v="Q1"/>
    <x v="0"/>
    <x v="2"/>
    <x v="3"/>
    <x v="0"/>
    <x v="1"/>
    <x v="3"/>
    <x v="0"/>
    <n v="7"/>
    <n v="46"/>
    <n v="3775"/>
    <n v="0"/>
    <n v="3"/>
    <s v="Improved"/>
    <n v="1"/>
  </r>
  <r>
    <s v="ADM-242733"/>
    <d v="2025-01-01T00:00:00"/>
    <d v="2025-01-10T00:00:00"/>
    <x v="1"/>
    <s v="Q1"/>
    <x v="0"/>
    <x v="2"/>
    <x v="5"/>
    <x v="2"/>
    <x v="1"/>
    <x v="1"/>
    <x v="1"/>
    <n v="9"/>
    <m/>
    <n v="8296"/>
    <n v="0"/>
    <n v="4"/>
    <s v="Recovered"/>
    <n v="1"/>
  </r>
  <r>
    <s v="ADM-242734"/>
    <d v="2025-01-01T00:00:00"/>
    <d v="2025-01-03T00:00:00"/>
    <x v="1"/>
    <s v="Q1"/>
    <x v="0"/>
    <x v="2"/>
    <x v="0"/>
    <x v="0"/>
    <x v="0"/>
    <x v="1"/>
    <x v="1"/>
    <n v="2"/>
    <n v="20"/>
    <n v="2085"/>
    <n v="0"/>
    <n v="3"/>
    <s v="Recovered"/>
    <n v="1"/>
  </r>
  <r>
    <s v="ADM-242735"/>
    <d v="2025-01-01T00:00:00"/>
    <d v="2025-01-03T00:00:00"/>
    <x v="1"/>
    <s v="Q1"/>
    <x v="0"/>
    <x v="2"/>
    <x v="1"/>
    <x v="0"/>
    <x v="1"/>
    <x v="2"/>
    <x v="1"/>
    <n v="2"/>
    <n v="102"/>
    <n v="3441"/>
    <n v="0"/>
    <n v="3"/>
    <s v="Recovered"/>
    <n v="1"/>
  </r>
  <r>
    <s v="ADM-242736"/>
    <d v="2025-01-01T00:00:00"/>
    <d v="2025-01-06T00:00:00"/>
    <x v="1"/>
    <s v="Q1"/>
    <x v="0"/>
    <x v="2"/>
    <x v="2"/>
    <x v="0"/>
    <x v="0"/>
    <x v="1"/>
    <x v="0"/>
    <n v="5"/>
    <n v="37"/>
    <n v="3206"/>
    <n v="0"/>
    <n v="4"/>
    <s v="Improved"/>
    <n v="1"/>
  </r>
  <r>
    <s v="ADM-242737"/>
    <d v="2025-01-01T00:00:00"/>
    <d v="2025-01-03T00:00:00"/>
    <x v="1"/>
    <s v="Q1"/>
    <x v="0"/>
    <x v="2"/>
    <x v="2"/>
    <x v="0"/>
    <x v="0"/>
    <x v="1"/>
    <x v="1"/>
    <n v="2"/>
    <n v="102"/>
    <n v="1973"/>
    <n v="0"/>
    <n v="4"/>
    <s v="Recovered"/>
    <n v="1"/>
  </r>
  <r>
    <s v="ADM-242738"/>
    <d v="2025-01-01T00:00:00"/>
    <d v="2025-01-06T00:00:00"/>
    <x v="1"/>
    <s v="Q1"/>
    <x v="0"/>
    <x v="2"/>
    <x v="1"/>
    <x v="0"/>
    <x v="1"/>
    <x v="0"/>
    <x v="1"/>
    <n v="5"/>
    <n v="64"/>
    <n v="6234"/>
    <n v="0"/>
    <n v="4"/>
    <s v="Transferred"/>
    <n v="1"/>
  </r>
  <r>
    <s v="ADM-242739"/>
    <d v="2025-01-01T00:00:00"/>
    <d v="2025-01-08T00:00:00"/>
    <x v="1"/>
    <s v="Q1"/>
    <x v="0"/>
    <x v="2"/>
    <x v="3"/>
    <x v="2"/>
    <x v="1"/>
    <x v="3"/>
    <x v="2"/>
    <n v="7"/>
    <m/>
    <n v="3136"/>
    <n v="0"/>
    <n v="5"/>
    <s v="Improved"/>
    <n v="1"/>
  </r>
  <r>
    <s v="ADM-242740"/>
    <d v="2025-01-01T00:00:00"/>
    <d v="2025-01-02T00:00:00"/>
    <x v="1"/>
    <s v="Q1"/>
    <x v="0"/>
    <x v="2"/>
    <x v="1"/>
    <x v="2"/>
    <x v="1"/>
    <x v="4"/>
    <x v="1"/>
    <n v="1"/>
    <m/>
    <n v="1920"/>
    <n v="0"/>
    <n v="4"/>
    <s v="Improved"/>
    <n v="1"/>
  </r>
  <r>
    <s v="ADM-242741"/>
    <d v="2025-01-02T00:00:00"/>
    <d v="2025-01-08T00:00:00"/>
    <x v="1"/>
    <s v="Q1"/>
    <x v="0"/>
    <x v="3"/>
    <x v="0"/>
    <x v="2"/>
    <x v="1"/>
    <x v="1"/>
    <x v="2"/>
    <n v="6"/>
    <m/>
    <n v="4188"/>
    <n v="0"/>
    <n v="4"/>
    <s v="Improved"/>
    <n v="1"/>
  </r>
  <r>
    <s v="ADM-242742"/>
    <d v="2025-01-02T00:00:00"/>
    <d v="2025-01-06T00:00:00"/>
    <x v="1"/>
    <s v="Q1"/>
    <x v="0"/>
    <x v="3"/>
    <x v="0"/>
    <x v="0"/>
    <x v="0"/>
    <x v="4"/>
    <x v="0"/>
    <n v="4"/>
    <n v="31"/>
    <n v="3317"/>
    <n v="0"/>
    <n v="5"/>
    <s v="Improved"/>
    <n v="1"/>
  </r>
  <r>
    <s v="ADM-242743"/>
    <d v="2025-01-02T00:00:00"/>
    <d v="2025-01-05T00:00:00"/>
    <x v="1"/>
    <s v="Q1"/>
    <x v="0"/>
    <x v="3"/>
    <x v="2"/>
    <x v="0"/>
    <x v="0"/>
    <x v="1"/>
    <x v="2"/>
    <n v="3"/>
    <n v="56"/>
    <n v="3122"/>
    <n v="0"/>
    <n v="4"/>
    <s v="Improved"/>
    <n v="1"/>
  </r>
  <r>
    <s v="ADM-242744"/>
    <d v="2025-01-02T00:00:00"/>
    <d v="2025-01-15T00:00:00"/>
    <x v="1"/>
    <s v="Q1"/>
    <x v="0"/>
    <x v="3"/>
    <x v="0"/>
    <x v="0"/>
    <x v="1"/>
    <x v="0"/>
    <x v="0"/>
    <n v="13"/>
    <n v="198"/>
    <n v="9570"/>
    <n v="1"/>
    <n v="3"/>
    <s v="Improved"/>
    <n v="1"/>
  </r>
  <r>
    <s v="ADM-242745"/>
    <d v="2025-01-02T00:00:00"/>
    <d v="2025-01-04T00:00:00"/>
    <x v="1"/>
    <s v="Q1"/>
    <x v="0"/>
    <x v="3"/>
    <x v="0"/>
    <x v="2"/>
    <x v="1"/>
    <x v="1"/>
    <x v="0"/>
    <n v="2"/>
    <m/>
    <n v="1955"/>
    <n v="0"/>
    <n v="3"/>
    <s v="Recovered"/>
    <n v="1"/>
  </r>
  <r>
    <s v="ADM-242746"/>
    <d v="2025-01-02T00:00:00"/>
    <d v="2025-01-13T00:00:00"/>
    <x v="1"/>
    <s v="Q1"/>
    <x v="0"/>
    <x v="3"/>
    <x v="1"/>
    <x v="2"/>
    <x v="0"/>
    <x v="0"/>
    <x v="0"/>
    <n v="11"/>
    <m/>
    <n v="12840"/>
    <n v="0"/>
    <n v="4"/>
    <s v="Improved"/>
    <n v="1"/>
  </r>
  <r>
    <s v="ADM-242747"/>
    <d v="2025-01-02T00:00:00"/>
    <d v="2025-01-03T00:00:00"/>
    <x v="1"/>
    <s v="Q1"/>
    <x v="0"/>
    <x v="3"/>
    <x v="1"/>
    <x v="2"/>
    <x v="0"/>
    <x v="4"/>
    <x v="0"/>
    <n v="1"/>
    <m/>
    <n v="1980"/>
    <n v="0"/>
    <n v="4"/>
    <s v="Improved"/>
    <n v="1"/>
  </r>
  <r>
    <s v="ADM-242748"/>
    <d v="2025-01-02T00:00:00"/>
    <d v="2025-01-14T00:00:00"/>
    <x v="1"/>
    <s v="Q1"/>
    <x v="0"/>
    <x v="3"/>
    <x v="3"/>
    <x v="0"/>
    <x v="0"/>
    <x v="3"/>
    <x v="2"/>
    <n v="12"/>
    <n v="40"/>
    <n v="9381"/>
    <n v="0"/>
    <n v="4"/>
    <s v="Recovered"/>
    <n v="1"/>
  </r>
  <r>
    <s v="ADM-242749"/>
    <d v="2025-01-02T00:00:00"/>
    <d v="2025-01-08T00:00:00"/>
    <x v="1"/>
    <s v="Q1"/>
    <x v="0"/>
    <x v="3"/>
    <x v="4"/>
    <x v="2"/>
    <x v="1"/>
    <x v="0"/>
    <x v="2"/>
    <n v="6"/>
    <m/>
    <n v="8286"/>
    <n v="0"/>
    <n v="4"/>
    <s v="Recovered"/>
    <n v="1"/>
  </r>
  <r>
    <s v="ADM-242750"/>
    <d v="2025-01-02T00:00:00"/>
    <d v="2025-01-04T00:00:00"/>
    <x v="1"/>
    <s v="Q1"/>
    <x v="0"/>
    <x v="3"/>
    <x v="0"/>
    <x v="1"/>
    <x v="0"/>
    <x v="2"/>
    <x v="0"/>
    <n v="2"/>
    <m/>
    <n v="2418"/>
    <n v="0"/>
    <n v="5"/>
    <s v="Recovered"/>
    <n v="1"/>
  </r>
  <r>
    <s v="ADM-242751"/>
    <d v="2025-01-02T00:00:00"/>
    <d v="2025-01-09T00:00:00"/>
    <x v="1"/>
    <s v="Q1"/>
    <x v="0"/>
    <x v="3"/>
    <x v="0"/>
    <x v="0"/>
    <x v="0"/>
    <x v="4"/>
    <x v="2"/>
    <n v="7"/>
    <n v="88"/>
    <n v="5018"/>
    <n v="0"/>
    <n v="4"/>
    <s v="Improved"/>
    <n v="1"/>
  </r>
  <r>
    <s v="ADM-242752"/>
    <d v="2025-01-02T00:00:00"/>
    <d v="2025-01-08T00:00:00"/>
    <x v="1"/>
    <s v="Q1"/>
    <x v="0"/>
    <x v="3"/>
    <x v="0"/>
    <x v="2"/>
    <x v="0"/>
    <x v="4"/>
    <x v="2"/>
    <n v="6"/>
    <m/>
    <n v="3757"/>
    <n v="0"/>
    <n v="4"/>
    <s v="Improved"/>
    <n v="1"/>
  </r>
  <r>
    <s v="ADM-242753"/>
    <d v="2025-01-02T00:00:00"/>
    <d v="2025-01-04T00:00:00"/>
    <x v="1"/>
    <s v="Q1"/>
    <x v="0"/>
    <x v="3"/>
    <x v="3"/>
    <x v="0"/>
    <x v="1"/>
    <x v="3"/>
    <x v="2"/>
    <n v="2"/>
    <n v="82"/>
    <n v="2016"/>
    <n v="0"/>
    <n v="5"/>
    <s v="Recovered"/>
    <n v="1"/>
  </r>
  <r>
    <s v="ADM-242754"/>
    <d v="2025-01-02T00:00:00"/>
    <d v="2025-01-10T00:00:00"/>
    <x v="1"/>
    <s v="Q1"/>
    <x v="0"/>
    <x v="3"/>
    <x v="0"/>
    <x v="2"/>
    <x v="0"/>
    <x v="0"/>
    <x v="2"/>
    <n v="8"/>
    <m/>
    <n v="6126"/>
    <n v="0"/>
    <n v="4"/>
    <s v="Improved"/>
    <n v="1"/>
  </r>
  <r>
    <s v="ADM-242755"/>
    <d v="2025-01-02T00:00:00"/>
    <d v="2025-01-03T00:00:00"/>
    <x v="1"/>
    <s v="Q1"/>
    <x v="0"/>
    <x v="3"/>
    <x v="5"/>
    <x v="2"/>
    <x v="0"/>
    <x v="2"/>
    <x v="0"/>
    <n v="1"/>
    <m/>
    <n v="1407"/>
    <n v="0"/>
    <n v="4"/>
    <s v="Improved"/>
    <n v="1"/>
  </r>
  <r>
    <s v="ADM-242756"/>
    <d v="2025-01-02T00:00:00"/>
    <d v="2025-01-03T00:00:00"/>
    <x v="1"/>
    <s v="Q1"/>
    <x v="0"/>
    <x v="3"/>
    <x v="3"/>
    <x v="0"/>
    <x v="0"/>
    <x v="3"/>
    <x v="1"/>
    <n v="1"/>
    <n v="92"/>
    <n v="1910"/>
    <n v="0"/>
    <n v="3"/>
    <s v="Recovered"/>
    <n v="1"/>
  </r>
  <r>
    <s v="ADM-242757"/>
    <d v="2025-01-02T00:00:00"/>
    <d v="2025-01-05T00:00:00"/>
    <x v="1"/>
    <s v="Q1"/>
    <x v="0"/>
    <x v="3"/>
    <x v="3"/>
    <x v="0"/>
    <x v="0"/>
    <x v="3"/>
    <x v="0"/>
    <n v="3"/>
    <n v="94"/>
    <n v="2805"/>
    <n v="0"/>
    <n v="4"/>
    <s v="Recovered"/>
    <n v="1"/>
  </r>
  <r>
    <s v="ADM-242758"/>
    <d v="2025-01-02T00:00:00"/>
    <d v="2025-01-15T00:00:00"/>
    <x v="1"/>
    <s v="Q1"/>
    <x v="0"/>
    <x v="3"/>
    <x v="4"/>
    <x v="0"/>
    <x v="0"/>
    <x v="0"/>
    <x v="0"/>
    <n v="13"/>
    <n v="28"/>
    <n v="15634"/>
    <n v="1"/>
    <n v="4"/>
    <s v="Recovered"/>
    <n v="1"/>
  </r>
  <r>
    <s v="ADM-242759"/>
    <d v="2025-01-02T00:00:00"/>
    <d v="2025-01-04T00:00:00"/>
    <x v="1"/>
    <s v="Q1"/>
    <x v="0"/>
    <x v="3"/>
    <x v="0"/>
    <x v="0"/>
    <x v="0"/>
    <x v="1"/>
    <x v="0"/>
    <n v="2"/>
    <n v="37"/>
    <n v="2975"/>
    <n v="0"/>
    <n v="4"/>
    <s v="Recovered"/>
    <n v="1"/>
  </r>
  <r>
    <s v="ADM-242760"/>
    <d v="2025-01-02T00:00:00"/>
    <d v="2025-01-09T00:00:00"/>
    <x v="1"/>
    <s v="Q1"/>
    <x v="0"/>
    <x v="3"/>
    <x v="4"/>
    <x v="0"/>
    <x v="0"/>
    <x v="4"/>
    <x v="0"/>
    <n v="7"/>
    <n v="74"/>
    <n v="8487"/>
    <n v="0"/>
    <n v="4"/>
    <s v="Recovered"/>
    <n v="1"/>
  </r>
  <r>
    <s v="ADM-242761"/>
    <d v="2025-01-03T00:00:00"/>
    <d v="2025-01-13T00:00:00"/>
    <x v="1"/>
    <s v="Q1"/>
    <x v="0"/>
    <x v="4"/>
    <x v="0"/>
    <x v="0"/>
    <x v="0"/>
    <x v="1"/>
    <x v="2"/>
    <n v="10"/>
    <n v="15"/>
    <n v="7812"/>
    <n v="0"/>
    <n v="5"/>
    <s v="Recovered"/>
    <n v="1"/>
  </r>
  <r>
    <s v="ADM-242762"/>
    <d v="2025-01-03T00:00:00"/>
    <d v="2025-01-17T00:00:00"/>
    <x v="1"/>
    <s v="Q1"/>
    <x v="0"/>
    <x v="4"/>
    <x v="1"/>
    <x v="0"/>
    <x v="0"/>
    <x v="0"/>
    <x v="0"/>
    <n v="14"/>
    <n v="138"/>
    <n v="11903"/>
    <n v="0"/>
    <n v="2"/>
    <s v="Recovered"/>
    <n v="1"/>
  </r>
  <r>
    <s v="ADM-242763"/>
    <d v="2025-01-03T00:00:00"/>
    <d v="2025-01-04T00:00:00"/>
    <x v="1"/>
    <s v="Q1"/>
    <x v="0"/>
    <x v="4"/>
    <x v="2"/>
    <x v="2"/>
    <x v="0"/>
    <x v="1"/>
    <x v="0"/>
    <n v="1"/>
    <m/>
    <n v="1837"/>
    <n v="0"/>
    <n v="4"/>
    <s v="Recovered"/>
    <n v="1"/>
  </r>
  <r>
    <s v="ADM-242764"/>
    <d v="2025-01-03T00:00:00"/>
    <d v="2025-01-04T00:00:00"/>
    <x v="1"/>
    <s v="Q1"/>
    <x v="0"/>
    <x v="4"/>
    <x v="4"/>
    <x v="0"/>
    <x v="1"/>
    <x v="2"/>
    <x v="0"/>
    <n v="1"/>
    <n v="59"/>
    <n v="2564"/>
    <n v="0"/>
    <n v="5"/>
    <s v="Recovered"/>
    <n v="1"/>
  </r>
  <r>
    <s v="ADM-242765"/>
    <d v="2025-01-03T00:00:00"/>
    <d v="2025-01-06T00:00:00"/>
    <x v="1"/>
    <s v="Q1"/>
    <x v="0"/>
    <x v="4"/>
    <x v="1"/>
    <x v="0"/>
    <x v="1"/>
    <x v="2"/>
    <x v="2"/>
    <n v="3"/>
    <n v="102"/>
    <n v="4203"/>
    <n v="0"/>
    <n v="4"/>
    <s v="Improved"/>
    <n v="1"/>
  </r>
  <r>
    <s v="ADM-242766"/>
    <d v="2025-01-03T00:00:00"/>
    <d v="2025-01-07T00:00:00"/>
    <x v="1"/>
    <s v="Q1"/>
    <x v="0"/>
    <x v="4"/>
    <x v="5"/>
    <x v="1"/>
    <x v="1"/>
    <x v="0"/>
    <x v="0"/>
    <n v="4"/>
    <m/>
    <n v="3819"/>
    <n v="0"/>
    <n v="5"/>
    <s v="Recovered"/>
    <n v="1"/>
  </r>
  <r>
    <s v="ADM-242767"/>
    <d v="2025-01-03T00:00:00"/>
    <d v="2025-01-08T00:00:00"/>
    <x v="1"/>
    <s v="Q1"/>
    <x v="0"/>
    <x v="4"/>
    <x v="0"/>
    <x v="0"/>
    <x v="1"/>
    <x v="4"/>
    <x v="0"/>
    <n v="5"/>
    <n v="66"/>
    <n v="4107"/>
    <n v="0"/>
    <n v="4"/>
    <s v="Deceased"/>
    <n v="1"/>
  </r>
  <r>
    <s v="ADM-242768"/>
    <d v="2025-01-03T00:00:00"/>
    <d v="2025-01-04T00:00:00"/>
    <x v="1"/>
    <s v="Q1"/>
    <x v="0"/>
    <x v="4"/>
    <x v="3"/>
    <x v="0"/>
    <x v="1"/>
    <x v="3"/>
    <x v="2"/>
    <n v="1"/>
    <n v="46"/>
    <n v="1340"/>
    <n v="0"/>
    <n v="4"/>
    <s v="Transferred"/>
    <n v="1"/>
  </r>
  <r>
    <s v="ADM-242769"/>
    <d v="2025-01-03T00:00:00"/>
    <d v="2025-01-11T00:00:00"/>
    <x v="1"/>
    <s v="Q1"/>
    <x v="0"/>
    <x v="4"/>
    <x v="0"/>
    <x v="0"/>
    <x v="0"/>
    <x v="4"/>
    <x v="2"/>
    <n v="8"/>
    <n v="228"/>
    <n v="6614"/>
    <n v="1"/>
    <n v="2"/>
    <s v="Improved"/>
    <n v="1"/>
  </r>
  <r>
    <s v="ADM-242770"/>
    <d v="2025-01-04T00:00:00"/>
    <d v="2025-01-08T00:00:00"/>
    <x v="1"/>
    <s v="Q1"/>
    <x v="0"/>
    <x v="5"/>
    <x v="2"/>
    <x v="0"/>
    <x v="0"/>
    <x v="2"/>
    <x v="0"/>
    <n v="4"/>
    <n v="114"/>
    <n v="2670"/>
    <n v="0"/>
    <n v="4"/>
    <s v="Improved"/>
    <n v="1"/>
  </r>
  <r>
    <s v="ADM-242771"/>
    <d v="2025-01-04T00:00:00"/>
    <d v="2025-01-10T00:00:00"/>
    <x v="1"/>
    <s v="Q1"/>
    <x v="0"/>
    <x v="5"/>
    <x v="3"/>
    <x v="0"/>
    <x v="1"/>
    <x v="3"/>
    <x v="0"/>
    <n v="6"/>
    <n v="123"/>
    <n v="4920"/>
    <n v="0"/>
    <n v="3"/>
    <s v="Recovered"/>
    <n v="1"/>
  </r>
  <r>
    <s v="ADM-242772"/>
    <d v="2025-01-04T00:00:00"/>
    <d v="2025-01-10T00:00:00"/>
    <x v="1"/>
    <s v="Q1"/>
    <x v="0"/>
    <x v="5"/>
    <x v="0"/>
    <x v="0"/>
    <x v="1"/>
    <x v="4"/>
    <x v="2"/>
    <n v="6"/>
    <n v="77"/>
    <n v="5321"/>
    <n v="0"/>
    <n v="4"/>
    <s v="Recovered"/>
    <n v="1"/>
  </r>
  <r>
    <s v="ADM-242773"/>
    <d v="2025-01-04T00:00:00"/>
    <d v="2025-01-08T00:00:00"/>
    <x v="1"/>
    <s v="Q1"/>
    <x v="0"/>
    <x v="5"/>
    <x v="3"/>
    <x v="2"/>
    <x v="1"/>
    <x v="3"/>
    <x v="2"/>
    <n v="4"/>
    <m/>
    <n v="3150"/>
    <n v="0"/>
    <n v="4"/>
    <s v="Recovered"/>
    <n v="1"/>
  </r>
  <r>
    <s v="ADM-242774"/>
    <d v="2025-01-05T00:00:00"/>
    <d v="2025-01-23T00:00:00"/>
    <x v="1"/>
    <s v="Q1"/>
    <x v="0"/>
    <x v="6"/>
    <x v="0"/>
    <x v="0"/>
    <x v="1"/>
    <x v="0"/>
    <x v="2"/>
    <n v="18"/>
    <n v="56"/>
    <n v="12194"/>
    <n v="0"/>
    <n v="5"/>
    <s v="Recovered"/>
    <n v="1"/>
  </r>
  <r>
    <s v="ADM-242775"/>
    <d v="2025-01-05T00:00:00"/>
    <d v="2025-01-06T00:00:00"/>
    <x v="1"/>
    <s v="Q1"/>
    <x v="0"/>
    <x v="6"/>
    <x v="2"/>
    <x v="2"/>
    <x v="0"/>
    <x v="2"/>
    <x v="0"/>
    <n v="1"/>
    <m/>
    <n v="1658"/>
    <n v="0"/>
    <n v="5"/>
    <s v="Improved"/>
    <n v="1"/>
  </r>
  <r>
    <s v="ADM-242776"/>
    <d v="2025-01-05T00:00:00"/>
    <d v="2025-01-12T00:00:00"/>
    <x v="1"/>
    <s v="Q1"/>
    <x v="0"/>
    <x v="6"/>
    <x v="5"/>
    <x v="2"/>
    <x v="1"/>
    <x v="2"/>
    <x v="0"/>
    <n v="7"/>
    <m/>
    <n v="7662"/>
    <n v="0"/>
    <n v="4"/>
    <s v="Recovered"/>
    <n v="1"/>
  </r>
  <r>
    <s v="ADM-242777"/>
    <d v="2025-01-05T00:00:00"/>
    <d v="2025-01-08T00:00:00"/>
    <x v="1"/>
    <s v="Q1"/>
    <x v="0"/>
    <x v="6"/>
    <x v="3"/>
    <x v="2"/>
    <x v="1"/>
    <x v="3"/>
    <x v="0"/>
    <n v="3"/>
    <m/>
    <n v="3199"/>
    <n v="0"/>
    <n v="5"/>
    <s v="Recovered"/>
    <n v="1"/>
  </r>
  <r>
    <s v="ADM-242778"/>
    <d v="2025-01-06T00:00:00"/>
    <d v="2025-01-08T00:00:00"/>
    <x v="1"/>
    <s v="Q1"/>
    <x v="0"/>
    <x v="0"/>
    <x v="0"/>
    <x v="2"/>
    <x v="1"/>
    <x v="2"/>
    <x v="2"/>
    <n v="2"/>
    <m/>
    <n v="2413"/>
    <n v="1"/>
    <n v="3"/>
    <s v="Improved"/>
    <n v="1"/>
  </r>
  <r>
    <s v="ADM-242779"/>
    <d v="2025-01-06T00:00:00"/>
    <d v="2025-01-10T00:00:00"/>
    <x v="1"/>
    <s v="Q1"/>
    <x v="0"/>
    <x v="0"/>
    <x v="4"/>
    <x v="0"/>
    <x v="1"/>
    <x v="2"/>
    <x v="0"/>
    <n v="4"/>
    <n v="49"/>
    <n v="6231"/>
    <n v="1"/>
    <n v="3"/>
    <s v="Improved"/>
    <n v="1"/>
  </r>
  <r>
    <s v="ADM-242780"/>
    <d v="2025-01-06T00:00:00"/>
    <d v="2025-01-10T00:00:00"/>
    <x v="1"/>
    <s v="Q1"/>
    <x v="0"/>
    <x v="0"/>
    <x v="4"/>
    <x v="0"/>
    <x v="0"/>
    <x v="4"/>
    <x v="2"/>
    <n v="4"/>
    <n v="60"/>
    <n v="5933"/>
    <n v="1"/>
    <n v="4"/>
    <s v="Recovered"/>
    <n v="1"/>
  </r>
  <r>
    <s v="ADM-242781"/>
    <d v="2025-01-06T00:00:00"/>
    <d v="2025-01-08T00:00:00"/>
    <x v="1"/>
    <s v="Q1"/>
    <x v="0"/>
    <x v="0"/>
    <x v="0"/>
    <x v="0"/>
    <x v="1"/>
    <x v="1"/>
    <x v="0"/>
    <n v="2"/>
    <n v="34"/>
    <n v="2072"/>
    <n v="0"/>
    <n v="3"/>
    <s v="Recovered"/>
    <n v="1"/>
  </r>
  <r>
    <s v="ADM-242782"/>
    <d v="2025-01-06T00:00:00"/>
    <d v="2025-01-10T00:00:00"/>
    <x v="1"/>
    <s v="Q1"/>
    <x v="0"/>
    <x v="0"/>
    <x v="0"/>
    <x v="0"/>
    <x v="1"/>
    <x v="2"/>
    <x v="0"/>
    <n v="4"/>
    <n v="79"/>
    <n v="1854"/>
    <n v="1"/>
    <n v="4"/>
    <s v="Deceased"/>
    <n v="1"/>
  </r>
  <r>
    <s v="ADM-242783"/>
    <d v="2025-01-06T00:00:00"/>
    <d v="2025-01-14T00:00:00"/>
    <x v="1"/>
    <s v="Q1"/>
    <x v="0"/>
    <x v="0"/>
    <x v="0"/>
    <x v="0"/>
    <x v="1"/>
    <x v="0"/>
    <x v="0"/>
    <n v="8"/>
    <n v="72"/>
    <n v="6036"/>
    <n v="1"/>
    <n v="5"/>
    <s v="Recovered"/>
    <n v="1"/>
  </r>
  <r>
    <s v="ADM-242784"/>
    <d v="2025-01-06T00:00:00"/>
    <d v="2025-01-10T00:00:00"/>
    <x v="1"/>
    <s v="Q1"/>
    <x v="0"/>
    <x v="0"/>
    <x v="5"/>
    <x v="2"/>
    <x v="0"/>
    <x v="0"/>
    <x v="0"/>
    <n v="4"/>
    <m/>
    <n v="4667"/>
    <n v="0"/>
    <n v="3"/>
    <s v="Recovered"/>
    <n v="1"/>
  </r>
  <r>
    <s v="ADM-242785"/>
    <d v="2025-01-06T00:00:00"/>
    <d v="2025-01-14T00:00:00"/>
    <x v="1"/>
    <s v="Q1"/>
    <x v="0"/>
    <x v="0"/>
    <x v="1"/>
    <x v="2"/>
    <x v="0"/>
    <x v="2"/>
    <x v="1"/>
    <n v="8"/>
    <m/>
    <n v="7930"/>
    <n v="0"/>
    <n v="3"/>
    <s v="Improved"/>
    <n v="1"/>
  </r>
  <r>
    <s v="ADM-242786"/>
    <d v="2025-01-07T00:00:00"/>
    <d v="2025-01-11T00:00:00"/>
    <x v="1"/>
    <s v="Q1"/>
    <x v="0"/>
    <x v="1"/>
    <x v="2"/>
    <x v="0"/>
    <x v="0"/>
    <x v="1"/>
    <x v="2"/>
    <n v="4"/>
    <n v="70"/>
    <n v="3054"/>
    <n v="0"/>
    <n v="4"/>
    <s v="Recovered"/>
    <n v="1"/>
  </r>
  <r>
    <s v="ADM-242787"/>
    <d v="2025-01-07T00:00:00"/>
    <d v="2025-01-11T00:00:00"/>
    <x v="1"/>
    <s v="Q1"/>
    <x v="0"/>
    <x v="1"/>
    <x v="0"/>
    <x v="0"/>
    <x v="1"/>
    <x v="4"/>
    <x v="2"/>
    <n v="4"/>
    <n v="73"/>
    <n v="3893"/>
    <n v="0"/>
    <n v="5"/>
    <s v="Transferred"/>
    <n v="1"/>
  </r>
  <r>
    <s v="ADM-242788"/>
    <d v="2025-01-07T00:00:00"/>
    <d v="2025-01-08T00:00:00"/>
    <x v="1"/>
    <s v="Q1"/>
    <x v="0"/>
    <x v="1"/>
    <x v="0"/>
    <x v="0"/>
    <x v="0"/>
    <x v="1"/>
    <x v="0"/>
    <n v="1"/>
    <n v="98"/>
    <n v="1884"/>
    <n v="1"/>
    <n v="3"/>
    <s v="Recovered"/>
    <n v="1"/>
  </r>
  <r>
    <s v="ADM-242789"/>
    <d v="2025-01-07T00:00:00"/>
    <d v="2025-01-08T00:00:00"/>
    <x v="1"/>
    <s v="Q1"/>
    <x v="0"/>
    <x v="1"/>
    <x v="2"/>
    <x v="0"/>
    <x v="0"/>
    <x v="2"/>
    <x v="0"/>
    <n v="1"/>
    <n v="35"/>
    <n v="1693"/>
    <n v="0"/>
    <n v="4"/>
    <s v="Recovered"/>
    <n v="1"/>
  </r>
  <r>
    <s v="ADM-242790"/>
    <d v="2025-01-07T00:00:00"/>
    <d v="2025-01-11T00:00:00"/>
    <x v="1"/>
    <s v="Q1"/>
    <x v="0"/>
    <x v="1"/>
    <x v="4"/>
    <x v="2"/>
    <x v="1"/>
    <x v="2"/>
    <x v="2"/>
    <n v="4"/>
    <m/>
    <n v="3473"/>
    <n v="0"/>
    <n v="5"/>
    <s v="Recovered"/>
    <n v="1"/>
  </r>
  <r>
    <s v="ADM-242791"/>
    <d v="2025-01-07T00:00:00"/>
    <d v="2025-01-14T00:00:00"/>
    <x v="1"/>
    <s v="Q1"/>
    <x v="0"/>
    <x v="1"/>
    <x v="0"/>
    <x v="2"/>
    <x v="1"/>
    <x v="0"/>
    <x v="1"/>
    <n v="7"/>
    <m/>
    <n v="5774"/>
    <n v="0"/>
    <n v="5"/>
    <s v="Recovered"/>
    <n v="1"/>
  </r>
  <r>
    <s v="ADM-242792"/>
    <d v="2025-01-07T00:00:00"/>
    <d v="2025-01-10T00:00:00"/>
    <x v="1"/>
    <s v="Q1"/>
    <x v="0"/>
    <x v="1"/>
    <x v="3"/>
    <x v="0"/>
    <x v="1"/>
    <x v="3"/>
    <x v="2"/>
    <n v="3"/>
    <n v="151"/>
    <n v="2522"/>
    <n v="1"/>
    <n v="3"/>
    <s v="Improved"/>
    <n v="1"/>
  </r>
  <r>
    <s v="ADM-242793"/>
    <d v="2025-01-07T00:00:00"/>
    <d v="2025-01-08T00:00:00"/>
    <x v="1"/>
    <s v="Q1"/>
    <x v="0"/>
    <x v="1"/>
    <x v="0"/>
    <x v="0"/>
    <x v="1"/>
    <x v="1"/>
    <x v="2"/>
    <n v="1"/>
    <n v="28"/>
    <n v="1772"/>
    <n v="0"/>
    <n v="5"/>
    <s v="Improved"/>
    <n v="1"/>
  </r>
  <r>
    <s v="ADM-242794"/>
    <d v="2025-01-07T00:00:00"/>
    <d v="2025-01-08T00:00:00"/>
    <x v="1"/>
    <s v="Q1"/>
    <x v="0"/>
    <x v="1"/>
    <x v="3"/>
    <x v="0"/>
    <x v="0"/>
    <x v="3"/>
    <x v="2"/>
    <n v="1"/>
    <n v="26"/>
    <n v="1427"/>
    <n v="0"/>
    <n v="4"/>
    <s v="Improved"/>
    <n v="1"/>
  </r>
  <r>
    <s v="ADM-242795"/>
    <d v="2025-01-07T00:00:00"/>
    <d v="2025-01-18T00:00:00"/>
    <x v="1"/>
    <s v="Q1"/>
    <x v="0"/>
    <x v="1"/>
    <x v="0"/>
    <x v="2"/>
    <x v="0"/>
    <x v="2"/>
    <x v="2"/>
    <n v="11"/>
    <m/>
    <n v="6696"/>
    <n v="0"/>
    <n v="5"/>
    <s v="Recovered"/>
    <n v="1"/>
  </r>
  <r>
    <s v="ADM-242796"/>
    <d v="2025-01-08T00:00:00"/>
    <d v="2025-01-12T00:00:00"/>
    <x v="1"/>
    <s v="Q1"/>
    <x v="0"/>
    <x v="2"/>
    <x v="0"/>
    <x v="1"/>
    <x v="0"/>
    <x v="4"/>
    <x v="0"/>
    <n v="4"/>
    <m/>
    <n v="3753"/>
    <n v="0"/>
    <n v="3"/>
    <s v="Improved"/>
    <n v="1"/>
  </r>
  <r>
    <s v="ADM-242797"/>
    <d v="2025-01-08T00:00:00"/>
    <d v="2025-01-12T00:00:00"/>
    <x v="1"/>
    <s v="Q1"/>
    <x v="0"/>
    <x v="2"/>
    <x v="4"/>
    <x v="0"/>
    <x v="0"/>
    <x v="4"/>
    <x v="1"/>
    <n v="4"/>
    <n v="16"/>
    <n v="4966"/>
    <n v="0"/>
    <n v="5"/>
    <s v="Recovered"/>
    <n v="1"/>
  </r>
  <r>
    <s v="ADM-242798"/>
    <d v="2025-01-08T00:00:00"/>
    <d v="2025-01-11T00:00:00"/>
    <x v="1"/>
    <s v="Q1"/>
    <x v="0"/>
    <x v="2"/>
    <x v="2"/>
    <x v="2"/>
    <x v="0"/>
    <x v="2"/>
    <x v="0"/>
    <n v="3"/>
    <m/>
    <n v="2398"/>
    <n v="0"/>
    <n v="4"/>
    <s v="Recovered"/>
    <n v="1"/>
  </r>
  <r>
    <s v="ADM-242799"/>
    <d v="2025-01-08T00:00:00"/>
    <d v="2025-01-11T00:00:00"/>
    <x v="1"/>
    <s v="Q1"/>
    <x v="0"/>
    <x v="2"/>
    <x v="1"/>
    <x v="2"/>
    <x v="1"/>
    <x v="2"/>
    <x v="2"/>
    <n v="3"/>
    <m/>
    <n v="3823"/>
    <n v="0"/>
    <n v="3"/>
    <s v="Recovered"/>
    <n v="1"/>
  </r>
  <r>
    <s v="ADM-242800"/>
    <d v="2025-01-08T00:00:00"/>
    <d v="2025-01-15T00:00:00"/>
    <x v="1"/>
    <s v="Q1"/>
    <x v="0"/>
    <x v="2"/>
    <x v="2"/>
    <x v="0"/>
    <x v="0"/>
    <x v="1"/>
    <x v="2"/>
    <n v="7"/>
    <n v="37"/>
    <n v="4259"/>
    <n v="0"/>
    <n v="4"/>
    <s v="Recovered"/>
    <n v="1"/>
  </r>
  <r>
    <s v="ADM-242801"/>
    <d v="2025-01-08T00:00:00"/>
    <d v="2025-01-11T00:00:00"/>
    <x v="1"/>
    <s v="Q1"/>
    <x v="0"/>
    <x v="2"/>
    <x v="3"/>
    <x v="2"/>
    <x v="1"/>
    <x v="3"/>
    <x v="2"/>
    <n v="3"/>
    <m/>
    <n v="3015"/>
    <n v="0"/>
    <n v="4"/>
    <s v="Improved"/>
    <n v="1"/>
  </r>
  <r>
    <s v="ADM-242802"/>
    <d v="2025-01-08T00:00:00"/>
    <d v="2025-01-09T00:00:00"/>
    <x v="1"/>
    <s v="Q1"/>
    <x v="0"/>
    <x v="2"/>
    <x v="0"/>
    <x v="0"/>
    <x v="1"/>
    <x v="4"/>
    <x v="2"/>
    <n v="1"/>
    <n v="190"/>
    <n v="1554"/>
    <n v="0"/>
    <n v="3"/>
    <s v="Improved"/>
    <n v="1"/>
  </r>
  <r>
    <s v="ADM-242803"/>
    <d v="2025-01-09T00:00:00"/>
    <d v="2025-01-17T00:00:00"/>
    <x v="1"/>
    <s v="Q1"/>
    <x v="0"/>
    <x v="3"/>
    <x v="1"/>
    <x v="2"/>
    <x v="1"/>
    <x v="4"/>
    <x v="2"/>
    <n v="8"/>
    <m/>
    <n v="8879"/>
    <n v="0"/>
    <n v="3"/>
    <s v="Improved"/>
    <n v="1"/>
  </r>
  <r>
    <s v="ADM-242804"/>
    <d v="2025-01-09T00:00:00"/>
    <d v="2025-01-12T00:00:00"/>
    <x v="1"/>
    <s v="Q1"/>
    <x v="0"/>
    <x v="3"/>
    <x v="0"/>
    <x v="0"/>
    <x v="0"/>
    <x v="1"/>
    <x v="1"/>
    <n v="3"/>
    <n v="57"/>
    <n v="2382"/>
    <n v="0"/>
    <n v="4"/>
    <s v="Recovered"/>
    <n v="1"/>
  </r>
  <r>
    <s v="ADM-242805"/>
    <d v="2025-01-09T00:00:00"/>
    <d v="2025-01-10T00:00:00"/>
    <x v="1"/>
    <s v="Q1"/>
    <x v="0"/>
    <x v="3"/>
    <x v="3"/>
    <x v="0"/>
    <x v="1"/>
    <x v="3"/>
    <x v="0"/>
    <n v="1"/>
    <n v="24"/>
    <n v="1502"/>
    <n v="0"/>
    <n v="4"/>
    <s v="Improved"/>
    <n v="1"/>
  </r>
  <r>
    <s v="ADM-242806"/>
    <d v="2025-01-09T00:00:00"/>
    <d v="2025-01-12T00:00:00"/>
    <x v="1"/>
    <s v="Q1"/>
    <x v="0"/>
    <x v="3"/>
    <x v="4"/>
    <x v="1"/>
    <x v="1"/>
    <x v="4"/>
    <x v="0"/>
    <n v="3"/>
    <m/>
    <n v="3471"/>
    <n v="0"/>
    <n v="5"/>
    <s v="Transferred"/>
    <n v="1"/>
  </r>
  <r>
    <s v="ADM-242807"/>
    <d v="2025-01-09T00:00:00"/>
    <d v="2025-01-14T00:00:00"/>
    <x v="1"/>
    <s v="Q1"/>
    <x v="0"/>
    <x v="3"/>
    <x v="3"/>
    <x v="0"/>
    <x v="1"/>
    <x v="3"/>
    <x v="2"/>
    <n v="5"/>
    <n v="34"/>
    <n v="3195"/>
    <n v="0"/>
    <n v="4"/>
    <s v="Recovered"/>
    <n v="1"/>
  </r>
  <r>
    <s v="ADM-242808"/>
    <d v="2025-01-09T00:00:00"/>
    <d v="2025-01-12T00:00:00"/>
    <x v="1"/>
    <s v="Q1"/>
    <x v="0"/>
    <x v="3"/>
    <x v="0"/>
    <x v="2"/>
    <x v="1"/>
    <x v="4"/>
    <x v="1"/>
    <n v="3"/>
    <m/>
    <n v="3026"/>
    <n v="0"/>
    <n v="5"/>
    <s v="Recovered"/>
    <n v="1"/>
  </r>
  <r>
    <s v="ADM-242809"/>
    <d v="2025-01-09T00:00:00"/>
    <d v="2025-01-10T00:00:00"/>
    <x v="1"/>
    <s v="Q1"/>
    <x v="0"/>
    <x v="3"/>
    <x v="5"/>
    <x v="2"/>
    <x v="0"/>
    <x v="0"/>
    <x v="2"/>
    <n v="1"/>
    <m/>
    <n v="2153"/>
    <n v="0"/>
    <n v="5"/>
    <s v="Recovered"/>
    <n v="1"/>
  </r>
  <r>
    <s v="ADM-242810"/>
    <d v="2025-01-09T00:00:00"/>
    <d v="2025-01-12T00:00:00"/>
    <x v="1"/>
    <s v="Q1"/>
    <x v="0"/>
    <x v="3"/>
    <x v="4"/>
    <x v="0"/>
    <x v="1"/>
    <x v="1"/>
    <x v="0"/>
    <n v="3"/>
    <n v="74"/>
    <n v="5511"/>
    <n v="0"/>
    <n v="4"/>
    <s v="Recovered"/>
    <n v="1"/>
  </r>
  <r>
    <s v="ADM-242811"/>
    <d v="2025-01-09T00:00:00"/>
    <d v="2025-01-10T00:00:00"/>
    <x v="1"/>
    <s v="Q1"/>
    <x v="0"/>
    <x v="3"/>
    <x v="0"/>
    <x v="2"/>
    <x v="1"/>
    <x v="1"/>
    <x v="0"/>
    <n v="1"/>
    <m/>
    <n v="1286"/>
    <n v="0"/>
    <n v="3"/>
    <s v="Improved"/>
    <n v="1"/>
  </r>
  <r>
    <s v="ADM-242812"/>
    <d v="2025-01-10T00:00:00"/>
    <d v="2025-01-15T00:00:00"/>
    <x v="1"/>
    <s v="Q1"/>
    <x v="0"/>
    <x v="4"/>
    <x v="0"/>
    <x v="0"/>
    <x v="0"/>
    <x v="4"/>
    <x v="2"/>
    <n v="5"/>
    <n v="34"/>
    <n v="3918"/>
    <n v="1"/>
    <n v="4"/>
    <s v="Recovered"/>
    <n v="1"/>
  </r>
  <r>
    <s v="ADM-242813"/>
    <d v="2025-01-10T00:00:00"/>
    <d v="2025-01-11T00:00:00"/>
    <x v="1"/>
    <s v="Q1"/>
    <x v="0"/>
    <x v="4"/>
    <x v="3"/>
    <x v="1"/>
    <x v="1"/>
    <x v="3"/>
    <x v="0"/>
    <n v="1"/>
    <m/>
    <n v="1411"/>
    <n v="0"/>
    <n v="3"/>
    <s v="Improved"/>
    <n v="1"/>
  </r>
  <r>
    <s v="ADM-242814"/>
    <d v="2025-01-10T00:00:00"/>
    <d v="2025-01-18T00:00:00"/>
    <x v="1"/>
    <s v="Q1"/>
    <x v="0"/>
    <x v="4"/>
    <x v="0"/>
    <x v="0"/>
    <x v="1"/>
    <x v="1"/>
    <x v="0"/>
    <n v="8"/>
    <n v="67"/>
    <n v="7262"/>
    <n v="0"/>
    <n v="4"/>
    <s v="Improved"/>
    <n v="1"/>
  </r>
  <r>
    <s v="ADM-242815"/>
    <d v="2025-01-10T00:00:00"/>
    <d v="2025-01-11T00:00:00"/>
    <x v="1"/>
    <s v="Q1"/>
    <x v="0"/>
    <x v="4"/>
    <x v="0"/>
    <x v="2"/>
    <x v="1"/>
    <x v="2"/>
    <x v="0"/>
    <n v="1"/>
    <m/>
    <n v="1353"/>
    <n v="0"/>
    <n v="5"/>
    <s v="Transferred"/>
    <n v="1"/>
  </r>
  <r>
    <s v="ADM-242816"/>
    <d v="2025-01-10T00:00:00"/>
    <d v="2025-01-13T00:00:00"/>
    <x v="1"/>
    <s v="Q1"/>
    <x v="0"/>
    <x v="4"/>
    <x v="0"/>
    <x v="2"/>
    <x v="0"/>
    <x v="4"/>
    <x v="0"/>
    <n v="3"/>
    <m/>
    <n v="2448"/>
    <n v="0"/>
    <n v="4"/>
    <s v="Improved"/>
    <n v="1"/>
  </r>
  <r>
    <s v="ADM-242817"/>
    <d v="2025-01-10T00:00:00"/>
    <d v="2025-01-15T00:00:00"/>
    <x v="1"/>
    <s v="Q1"/>
    <x v="0"/>
    <x v="4"/>
    <x v="2"/>
    <x v="0"/>
    <x v="0"/>
    <x v="2"/>
    <x v="0"/>
    <n v="5"/>
    <n v="25"/>
    <n v="4245"/>
    <n v="0"/>
    <n v="4"/>
    <s v="Improved"/>
    <n v="1"/>
  </r>
  <r>
    <s v="ADM-242818"/>
    <d v="2025-01-10T00:00:00"/>
    <d v="2025-01-13T00:00:00"/>
    <x v="1"/>
    <s v="Q1"/>
    <x v="0"/>
    <x v="4"/>
    <x v="0"/>
    <x v="0"/>
    <x v="1"/>
    <x v="4"/>
    <x v="2"/>
    <n v="3"/>
    <n v="78"/>
    <n v="2587"/>
    <n v="0"/>
    <n v="4"/>
    <s v="Recovered"/>
    <n v="1"/>
  </r>
  <r>
    <s v="ADM-242819"/>
    <d v="2025-01-10T00:00:00"/>
    <d v="2025-01-13T00:00:00"/>
    <x v="1"/>
    <s v="Q1"/>
    <x v="0"/>
    <x v="4"/>
    <x v="3"/>
    <x v="2"/>
    <x v="1"/>
    <x v="3"/>
    <x v="2"/>
    <n v="3"/>
    <m/>
    <n v="2292"/>
    <n v="0"/>
    <n v="4"/>
    <s v="Recovered"/>
    <n v="1"/>
  </r>
  <r>
    <s v="ADM-242820"/>
    <d v="2025-01-10T00:00:00"/>
    <d v="2025-01-20T00:00:00"/>
    <x v="1"/>
    <s v="Q1"/>
    <x v="0"/>
    <x v="4"/>
    <x v="5"/>
    <x v="2"/>
    <x v="0"/>
    <x v="4"/>
    <x v="0"/>
    <n v="10"/>
    <m/>
    <n v="6002"/>
    <n v="1"/>
    <n v="4"/>
    <s v="Improved"/>
    <n v="1"/>
  </r>
  <r>
    <s v="ADM-242821"/>
    <d v="2025-01-10T00:00:00"/>
    <d v="2025-01-12T00:00:00"/>
    <x v="1"/>
    <s v="Q1"/>
    <x v="0"/>
    <x v="4"/>
    <x v="3"/>
    <x v="1"/>
    <x v="0"/>
    <x v="3"/>
    <x v="0"/>
    <n v="2"/>
    <m/>
    <n v="1543"/>
    <n v="0"/>
    <n v="4"/>
    <s v="Recovered"/>
    <n v="1"/>
  </r>
  <r>
    <s v="ADM-242822"/>
    <d v="2025-01-10T00:00:00"/>
    <d v="2025-01-16T00:00:00"/>
    <x v="1"/>
    <s v="Q1"/>
    <x v="0"/>
    <x v="4"/>
    <x v="0"/>
    <x v="0"/>
    <x v="0"/>
    <x v="2"/>
    <x v="0"/>
    <n v="6"/>
    <n v="64"/>
    <n v="3993"/>
    <n v="0"/>
    <n v="4"/>
    <s v="Improved"/>
    <n v="1"/>
  </r>
  <r>
    <s v="ADM-242823"/>
    <d v="2025-01-11T00:00:00"/>
    <d v="2025-01-12T00:00:00"/>
    <x v="1"/>
    <s v="Q1"/>
    <x v="0"/>
    <x v="5"/>
    <x v="2"/>
    <x v="2"/>
    <x v="0"/>
    <x v="1"/>
    <x v="1"/>
    <n v="1"/>
    <m/>
    <n v="962"/>
    <n v="0"/>
    <n v="4"/>
    <s v="Recovered"/>
    <n v="1"/>
  </r>
  <r>
    <s v="ADM-242824"/>
    <d v="2025-01-11T00:00:00"/>
    <d v="2025-01-15T00:00:00"/>
    <x v="1"/>
    <s v="Q1"/>
    <x v="0"/>
    <x v="5"/>
    <x v="0"/>
    <x v="0"/>
    <x v="1"/>
    <x v="2"/>
    <x v="2"/>
    <n v="4"/>
    <n v="61"/>
    <n v="2617"/>
    <n v="1"/>
    <n v="3"/>
    <s v="Recovered"/>
    <n v="1"/>
  </r>
  <r>
    <s v="ADM-242825"/>
    <d v="2025-01-11T00:00:00"/>
    <d v="2025-01-18T00:00:00"/>
    <x v="1"/>
    <s v="Q1"/>
    <x v="0"/>
    <x v="5"/>
    <x v="1"/>
    <x v="2"/>
    <x v="1"/>
    <x v="4"/>
    <x v="2"/>
    <n v="7"/>
    <m/>
    <n v="6902"/>
    <n v="0"/>
    <n v="4"/>
    <s v="Recovered"/>
    <n v="1"/>
  </r>
  <r>
    <s v="ADM-242826"/>
    <d v="2025-01-11T00:00:00"/>
    <d v="2025-01-18T00:00:00"/>
    <x v="1"/>
    <s v="Q1"/>
    <x v="0"/>
    <x v="5"/>
    <x v="4"/>
    <x v="0"/>
    <x v="1"/>
    <x v="1"/>
    <x v="2"/>
    <n v="7"/>
    <n v="43"/>
    <n v="9922"/>
    <n v="0"/>
    <n v="4"/>
    <s v="Recovered"/>
    <n v="1"/>
  </r>
  <r>
    <s v="ADM-242827"/>
    <d v="2025-01-11T00:00:00"/>
    <d v="2025-01-12T00:00:00"/>
    <x v="1"/>
    <s v="Q1"/>
    <x v="0"/>
    <x v="5"/>
    <x v="2"/>
    <x v="0"/>
    <x v="0"/>
    <x v="2"/>
    <x v="2"/>
    <n v="1"/>
    <n v="67"/>
    <n v="1859"/>
    <n v="0"/>
    <n v="4"/>
    <s v="Improved"/>
    <n v="1"/>
  </r>
  <r>
    <s v="ADM-242828"/>
    <d v="2025-01-11T00:00:00"/>
    <d v="2025-01-13T00:00:00"/>
    <x v="1"/>
    <s v="Q1"/>
    <x v="0"/>
    <x v="5"/>
    <x v="5"/>
    <x v="0"/>
    <x v="1"/>
    <x v="4"/>
    <x v="0"/>
    <n v="2"/>
    <n v="13"/>
    <n v="3084"/>
    <n v="0"/>
    <n v="4"/>
    <s v="Improved"/>
    <n v="1"/>
  </r>
  <r>
    <s v="ADM-242829"/>
    <d v="2025-01-11T00:00:00"/>
    <d v="2025-01-14T00:00:00"/>
    <x v="1"/>
    <s v="Q1"/>
    <x v="0"/>
    <x v="5"/>
    <x v="1"/>
    <x v="2"/>
    <x v="1"/>
    <x v="4"/>
    <x v="0"/>
    <n v="3"/>
    <m/>
    <n v="3304"/>
    <n v="0"/>
    <n v="4"/>
    <s v="Improved"/>
    <n v="1"/>
  </r>
  <r>
    <s v="ADM-242830"/>
    <d v="2025-01-12T00:00:00"/>
    <d v="2025-01-18T00:00:00"/>
    <x v="1"/>
    <s v="Q1"/>
    <x v="0"/>
    <x v="6"/>
    <x v="4"/>
    <x v="2"/>
    <x v="1"/>
    <x v="4"/>
    <x v="0"/>
    <n v="6"/>
    <m/>
    <n v="7029"/>
    <n v="0"/>
    <n v="4"/>
    <s v="Recovered"/>
    <n v="1"/>
  </r>
  <r>
    <s v="ADM-242831"/>
    <d v="2025-01-12T00:00:00"/>
    <d v="2025-01-13T00:00:00"/>
    <x v="1"/>
    <s v="Q1"/>
    <x v="0"/>
    <x v="6"/>
    <x v="0"/>
    <x v="0"/>
    <x v="0"/>
    <x v="4"/>
    <x v="0"/>
    <n v="1"/>
    <n v="59"/>
    <n v="1689"/>
    <n v="1"/>
    <n v="5"/>
    <s v="Transferred"/>
    <n v="1"/>
  </r>
  <r>
    <s v="ADM-242832"/>
    <d v="2025-01-12T00:00:00"/>
    <d v="2025-01-18T00:00:00"/>
    <x v="1"/>
    <s v="Q1"/>
    <x v="0"/>
    <x v="6"/>
    <x v="0"/>
    <x v="0"/>
    <x v="1"/>
    <x v="1"/>
    <x v="0"/>
    <n v="6"/>
    <n v="110"/>
    <n v="4590"/>
    <n v="0"/>
    <n v="2"/>
    <s v="Recovered"/>
    <n v="1"/>
  </r>
  <r>
    <s v="ADM-242833"/>
    <d v="2025-01-12T00:00:00"/>
    <d v="2025-01-19T00:00:00"/>
    <x v="1"/>
    <s v="Q1"/>
    <x v="0"/>
    <x v="6"/>
    <x v="1"/>
    <x v="2"/>
    <x v="0"/>
    <x v="0"/>
    <x v="0"/>
    <n v="7"/>
    <m/>
    <n v="7331"/>
    <n v="0"/>
    <n v="4"/>
    <s v="Recovered"/>
    <n v="1"/>
  </r>
  <r>
    <s v="ADM-242834"/>
    <d v="2025-01-12T00:00:00"/>
    <d v="2025-01-13T00:00:00"/>
    <x v="1"/>
    <s v="Q1"/>
    <x v="0"/>
    <x v="6"/>
    <x v="0"/>
    <x v="2"/>
    <x v="0"/>
    <x v="1"/>
    <x v="2"/>
    <n v="1"/>
    <m/>
    <n v="1494"/>
    <n v="0"/>
    <n v="3"/>
    <s v="Improved"/>
    <n v="1"/>
  </r>
  <r>
    <s v="ADM-242835"/>
    <d v="2025-01-12T00:00:00"/>
    <d v="2025-01-20T00:00:00"/>
    <x v="1"/>
    <s v="Q1"/>
    <x v="0"/>
    <x v="6"/>
    <x v="4"/>
    <x v="0"/>
    <x v="1"/>
    <x v="1"/>
    <x v="2"/>
    <n v="8"/>
    <n v="56"/>
    <n v="13120"/>
    <n v="0"/>
    <n v="4"/>
    <s v="Recovered"/>
    <n v="1"/>
  </r>
  <r>
    <s v="ADM-242836"/>
    <d v="2025-01-12T00:00:00"/>
    <d v="2025-01-25T00:00:00"/>
    <x v="1"/>
    <s v="Q1"/>
    <x v="0"/>
    <x v="6"/>
    <x v="4"/>
    <x v="0"/>
    <x v="0"/>
    <x v="4"/>
    <x v="2"/>
    <n v="13"/>
    <n v="40"/>
    <n v="20429"/>
    <n v="0"/>
    <n v="3"/>
    <s v="Recovered"/>
    <n v="1"/>
  </r>
  <r>
    <s v="ADM-242837"/>
    <d v="2025-01-12T00:00:00"/>
    <d v="2025-01-18T00:00:00"/>
    <x v="1"/>
    <s v="Q1"/>
    <x v="0"/>
    <x v="6"/>
    <x v="1"/>
    <x v="2"/>
    <x v="1"/>
    <x v="0"/>
    <x v="0"/>
    <n v="6"/>
    <m/>
    <n v="6757"/>
    <n v="0"/>
    <n v="4"/>
    <s v="Improved"/>
    <n v="1"/>
  </r>
  <r>
    <s v="ADM-242838"/>
    <d v="2025-01-12T00:00:00"/>
    <d v="2025-01-15T00:00:00"/>
    <x v="1"/>
    <s v="Q1"/>
    <x v="0"/>
    <x v="6"/>
    <x v="4"/>
    <x v="1"/>
    <x v="0"/>
    <x v="1"/>
    <x v="2"/>
    <n v="3"/>
    <m/>
    <n v="4481"/>
    <n v="0"/>
    <n v="5"/>
    <s v="Recovered"/>
    <n v="1"/>
  </r>
  <r>
    <s v="ADM-242839"/>
    <d v="2025-01-12T00:00:00"/>
    <d v="2025-01-22T00:00:00"/>
    <x v="1"/>
    <s v="Q1"/>
    <x v="0"/>
    <x v="6"/>
    <x v="1"/>
    <x v="0"/>
    <x v="1"/>
    <x v="4"/>
    <x v="2"/>
    <n v="10"/>
    <n v="57"/>
    <n v="7010"/>
    <n v="0"/>
    <n v="4"/>
    <s v="Recovered"/>
    <n v="1"/>
  </r>
  <r>
    <s v="ADM-242840"/>
    <d v="2025-01-13T00:00:00"/>
    <d v="2025-01-16T00:00:00"/>
    <x v="1"/>
    <s v="Q1"/>
    <x v="0"/>
    <x v="0"/>
    <x v="3"/>
    <x v="2"/>
    <x v="0"/>
    <x v="3"/>
    <x v="0"/>
    <n v="3"/>
    <m/>
    <n v="2983"/>
    <n v="0"/>
    <n v="4"/>
    <s v="Recovered"/>
    <n v="1"/>
  </r>
  <r>
    <s v="ADM-242841"/>
    <d v="2025-01-13T00:00:00"/>
    <d v="2025-01-29T00:00:00"/>
    <x v="1"/>
    <s v="Q1"/>
    <x v="0"/>
    <x v="0"/>
    <x v="0"/>
    <x v="0"/>
    <x v="1"/>
    <x v="0"/>
    <x v="0"/>
    <n v="16"/>
    <n v="73"/>
    <n v="12818"/>
    <n v="0"/>
    <n v="4"/>
    <s v="Recovered"/>
    <n v="1"/>
  </r>
  <r>
    <s v="ADM-242842"/>
    <d v="2025-01-13T00:00:00"/>
    <d v="2025-01-15T00:00:00"/>
    <x v="1"/>
    <s v="Q1"/>
    <x v="0"/>
    <x v="0"/>
    <x v="4"/>
    <x v="2"/>
    <x v="0"/>
    <x v="1"/>
    <x v="0"/>
    <n v="2"/>
    <m/>
    <n v="3739"/>
    <n v="0"/>
    <n v="5"/>
    <s v="Recovered"/>
    <n v="1"/>
  </r>
  <r>
    <s v="ADM-242843"/>
    <d v="2025-01-13T00:00:00"/>
    <d v="2025-01-14T00:00:00"/>
    <x v="1"/>
    <s v="Q1"/>
    <x v="0"/>
    <x v="0"/>
    <x v="0"/>
    <x v="2"/>
    <x v="0"/>
    <x v="0"/>
    <x v="2"/>
    <n v="1"/>
    <m/>
    <n v="1607"/>
    <n v="0"/>
    <n v="4"/>
    <s v="Recovered"/>
    <n v="1"/>
  </r>
  <r>
    <s v="ADM-242844"/>
    <d v="2025-01-13T00:00:00"/>
    <d v="2025-01-15T00:00:00"/>
    <x v="1"/>
    <s v="Q1"/>
    <x v="0"/>
    <x v="0"/>
    <x v="3"/>
    <x v="0"/>
    <x v="1"/>
    <x v="3"/>
    <x v="1"/>
    <n v="2"/>
    <n v="77"/>
    <n v="1694"/>
    <n v="1"/>
    <n v="4"/>
    <s v="Recovered"/>
    <n v="1"/>
  </r>
  <r>
    <s v="ADM-242845"/>
    <d v="2025-01-13T00:00:00"/>
    <d v="2025-01-14T00:00:00"/>
    <x v="1"/>
    <s v="Q1"/>
    <x v="0"/>
    <x v="0"/>
    <x v="3"/>
    <x v="0"/>
    <x v="1"/>
    <x v="3"/>
    <x v="2"/>
    <n v="1"/>
    <n v="17"/>
    <n v="1675"/>
    <n v="0"/>
    <n v="4"/>
    <s v="Recovered"/>
    <n v="1"/>
  </r>
  <r>
    <s v="ADM-242846"/>
    <d v="2025-01-13T00:00:00"/>
    <d v="2025-01-15T00:00:00"/>
    <x v="1"/>
    <s v="Q1"/>
    <x v="0"/>
    <x v="0"/>
    <x v="3"/>
    <x v="2"/>
    <x v="1"/>
    <x v="3"/>
    <x v="1"/>
    <n v="2"/>
    <m/>
    <n v="2240"/>
    <n v="0"/>
    <n v="5"/>
    <s v="Recovered"/>
    <n v="1"/>
  </r>
  <r>
    <s v="ADM-242847"/>
    <d v="2025-01-13T00:00:00"/>
    <d v="2025-01-14T00:00:00"/>
    <x v="1"/>
    <s v="Q1"/>
    <x v="0"/>
    <x v="0"/>
    <x v="2"/>
    <x v="2"/>
    <x v="0"/>
    <x v="1"/>
    <x v="0"/>
    <n v="1"/>
    <m/>
    <n v="1902"/>
    <n v="0"/>
    <n v="5"/>
    <s v="Transferred"/>
    <n v="1"/>
  </r>
  <r>
    <s v="ADM-242848"/>
    <d v="2025-01-13T00:00:00"/>
    <d v="2025-01-18T00:00:00"/>
    <x v="1"/>
    <s v="Q1"/>
    <x v="0"/>
    <x v="0"/>
    <x v="1"/>
    <x v="2"/>
    <x v="0"/>
    <x v="0"/>
    <x v="2"/>
    <n v="5"/>
    <m/>
    <n v="6410"/>
    <n v="0"/>
    <n v="4"/>
    <s v="Improved"/>
    <n v="1"/>
  </r>
  <r>
    <s v="ADM-242849"/>
    <d v="2025-01-13T00:00:00"/>
    <d v="2025-01-17T00:00:00"/>
    <x v="1"/>
    <s v="Q1"/>
    <x v="0"/>
    <x v="0"/>
    <x v="3"/>
    <x v="0"/>
    <x v="1"/>
    <x v="3"/>
    <x v="1"/>
    <n v="4"/>
    <n v="11"/>
    <n v="3063"/>
    <n v="0"/>
    <n v="4"/>
    <s v="Recovered"/>
    <n v="1"/>
  </r>
  <r>
    <s v="ADM-242850"/>
    <d v="2025-01-13T00:00:00"/>
    <d v="2025-01-18T00:00:00"/>
    <x v="1"/>
    <s v="Q1"/>
    <x v="0"/>
    <x v="0"/>
    <x v="2"/>
    <x v="0"/>
    <x v="0"/>
    <x v="1"/>
    <x v="2"/>
    <n v="5"/>
    <n v="95"/>
    <n v="4619"/>
    <n v="0"/>
    <n v="4"/>
    <s v="Transferred"/>
    <n v="1"/>
  </r>
  <r>
    <s v="ADM-242851"/>
    <d v="2025-01-14T00:00:00"/>
    <d v="2025-01-15T00:00:00"/>
    <x v="1"/>
    <s v="Q1"/>
    <x v="0"/>
    <x v="1"/>
    <x v="1"/>
    <x v="2"/>
    <x v="1"/>
    <x v="0"/>
    <x v="0"/>
    <n v="1"/>
    <m/>
    <n v="988"/>
    <n v="0"/>
    <n v="4"/>
    <s v="Improved"/>
    <n v="1"/>
  </r>
  <r>
    <s v="ADM-242852"/>
    <d v="2025-01-14T00:00:00"/>
    <d v="2025-01-16T00:00:00"/>
    <x v="1"/>
    <s v="Q1"/>
    <x v="0"/>
    <x v="1"/>
    <x v="3"/>
    <x v="2"/>
    <x v="0"/>
    <x v="3"/>
    <x v="0"/>
    <n v="2"/>
    <m/>
    <n v="2167"/>
    <n v="0"/>
    <n v="4"/>
    <s v="Transferred"/>
    <n v="1"/>
  </r>
  <r>
    <s v="ADM-242853"/>
    <d v="2025-01-14T00:00:00"/>
    <d v="2025-01-15T00:00:00"/>
    <x v="1"/>
    <s v="Q1"/>
    <x v="0"/>
    <x v="1"/>
    <x v="2"/>
    <x v="2"/>
    <x v="0"/>
    <x v="1"/>
    <x v="1"/>
    <n v="1"/>
    <m/>
    <n v="1560"/>
    <n v="0"/>
    <n v="4"/>
    <s v="Improved"/>
    <n v="1"/>
  </r>
  <r>
    <s v="ADM-242854"/>
    <d v="2025-01-14T00:00:00"/>
    <d v="2025-01-22T00:00:00"/>
    <x v="1"/>
    <s v="Q1"/>
    <x v="0"/>
    <x v="1"/>
    <x v="0"/>
    <x v="0"/>
    <x v="1"/>
    <x v="0"/>
    <x v="2"/>
    <n v="8"/>
    <n v="35"/>
    <n v="3590"/>
    <n v="1"/>
    <n v="4"/>
    <s v="Recovered"/>
    <n v="1"/>
  </r>
  <r>
    <s v="ADM-242855"/>
    <d v="2025-01-14T00:00:00"/>
    <d v="2025-01-15T00:00:00"/>
    <x v="1"/>
    <s v="Q1"/>
    <x v="0"/>
    <x v="1"/>
    <x v="1"/>
    <x v="2"/>
    <x v="1"/>
    <x v="0"/>
    <x v="2"/>
    <n v="1"/>
    <m/>
    <n v="1552"/>
    <n v="0"/>
    <n v="4"/>
    <s v="Improved"/>
    <n v="1"/>
  </r>
  <r>
    <s v="ADM-242856"/>
    <d v="2025-01-14T00:00:00"/>
    <d v="2025-01-15T00:00:00"/>
    <x v="1"/>
    <s v="Q1"/>
    <x v="0"/>
    <x v="1"/>
    <x v="4"/>
    <x v="2"/>
    <x v="0"/>
    <x v="4"/>
    <x v="0"/>
    <n v="1"/>
    <m/>
    <n v="2524"/>
    <n v="0"/>
    <n v="3"/>
    <s v="Recovered"/>
    <n v="1"/>
  </r>
  <r>
    <s v="ADM-242857"/>
    <d v="2025-01-14T00:00:00"/>
    <d v="2025-01-17T00:00:00"/>
    <x v="1"/>
    <s v="Q1"/>
    <x v="0"/>
    <x v="1"/>
    <x v="2"/>
    <x v="2"/>
    <x v="0"/>
    <x v="1"/>
    <x v="0"/>
    <n v="3"/>
    <m/>
    <n v="3671"/>
    <n v="0"/>
    <n v="4"/>
    <s v="Recovered"/>
    <n v="1"/>
  </r>
  <r>
    <s v="ADM-242858"/>
    <d v="2025-01-15T00:00:00"/>
    <d v="2025-01-17T00:00:00"/>
    <x v="1"/>
    <s v="Q1"/>
    <x v="0"/>
    <x v="2"/>
    <x v="5"/>
    <x v="0"/>
    <x v="1"/>
    <x v="4"/>
    <x v="2"/>
    <n v="2"/>
    <n v="71"/>
    <n v="2568"/>
    <n v="0"/>
    <n v="4"/>
    <s v="Improved"/>
    <n v="1"/>
  </r>
  <r>
    <s v="ADM-242859"/>
    <d v="2025-01-15T00:00:00"/>
    <d v="2025-01-20T00:00:00"/>
    <x v="1"/>
    <s v="Q1"/>
    <x v="0"/>
    <x v="2"/>
    <x v="1"/>
    <x v="2"/>
    <x v="0"/>
    <x v="0"/>
    <x v="0"/>
    <n v="5"/>
    <m/>
    <n v="5518"/>
    <n v="0"/>
    <n v="5"/>
    <s v="Improved"/>
    <n v="1"/>
  </r>
  <r>
    <s v="ADM-242860"/>
    <d v="2025-01-15T00:00:00"/>
    <d v="2025-01-19T00:00:00"/>
    <x v="1"/>
    <s v="Q1"/>
    <x v="0"/>
    <x v="2"/>
    <x v="2"/>
    <x v="1"/>
    <x v="0"/>
    <x v="2"/>
    <x v="0"/>
    <n v="4"/>
    <m/>
    <n v="3221"/>
    <n v="0"/>
    <n v="4"/>
    <s v="Improved"/>
    <n v="1"/>
  </r>
  <r>
    <s v="ADM-242861"/>
    <d v="2025-01-15T00:00:00"/>
    <d v="2025-01-28T00:00:00"/>
    <x v="1"/>
    <s v="Q1"/>
    <x v="0"/>
    <x v="2"/>
    <x v="0"/>
    <x v="0"/>
    <x v="0"/>
    <x v="4"/>
    <x v="0"/>
    <n v="13"/>
    <n v="65"/>
    <n v="8574"/>
    <n v="0"/>
    <n v="4"/>
    <s v="Improved"/>
    <n v="1"/>
  </r>
  <r>
    <s v="ADM-242862"/>
    <d v="2025-01-15T00:00:00"/>
    <d v="2025-01-22T00:00:00"/>
    <x v="1"/>
    <s v="Q1"/>
    <x v="0"/>
    <x v="2"/>
    <x v="3"/>
    <x v="0"/>
    <x v="0"/>
    <x v="3"/>
    <x v="2"/>
    <n v="7"/>
    <n v="23"/>
    <n v="4668"/>
    <n v="0"/>
    <n v="5"/>
    <s v="Recovered"/>
    <n v="1"/>
  </r>
  <r>
    <s v="ADM-242863"/>
    <d v="2025-01-15T00:00:00"/>
    <d v="2025-01-18T00:00:00"/>
    <x v="1"/>
    <s v="Q1"/>
    <x v="0"/>
    <x v="2"/>
    <x v="4"/>
    <x v="2"/>
    <x v="0"/>
    <x v="0"/>
    <x v="0"/>
    <n v="3"/>
    <m/>
    <n v="3832"/>
    <n v="0"/>
    <n v="4"/>
    <s v="Recovered"/>
    <n v="1"/>
  </r>
  <r>
    <s v="ADM-242864"/>
    <d v="2025-01-15T00:00:00"/>
    <d v="2025-01-17T00:00:00"/>
    <x v="1"/>
    <s v="Q1"/>
    <x v="0"/>
    <x v="2"/>
    <x v="3"/>
    <x v="0"/>
    <x v="1"/>
    <x v="3"/>
    <x v="1"/>
    <n v="2"/>
    <n v="94"/>
    <n v="1604"/>
    <n v="0"/>
    <n v="3"/>
    <s v="Improved"/>
    <n v="1"/>
  </r>
  <r>
    <s v="ADM-242865"/>
    <d v="2025-01-15T00:00:00"/>
    <d v="2025-01-18T00:00:00"/>
    <x v="1"/>
    <s v="Q1"/>
    <x v="0"/>
    <x v="2"/>
    <x v="5"/>
    <x v="2"/>
    <x v="0"/>
    <x v="1"/>
    <x v="0"/>
    <n v="3"/>
    <m/>
    <n v="3323"/>
    <n v="0"/>
    <n v="4"/>
    <s v="Recovered"/>
    <n v="1"/>
  </r>
  <r>
    <s v="ADM-242866"/>
    <d v="2025-01-15T00:00:00"/>
    <d v="2025-01-18T00:00:00"/>
    <x v="1"/>
    <s v="Q1"/>
    <x v="0"/>
    <x v="2"/>
    <x v="4"/>
    <x v="2"/>
    <x v="1"/>
    <x v="1"/>
    <x v="2"/>
    <n v="3"/>
    <m/>
    <n v="2564"/>
    <n v="0"/>
    <n v="4"/>
    <s v="Recovered"/>
    <n v="1"/>
  </r>
  <r>
    <s v="ADM-242867"/>
    <d v="2025-01-15T00:00:00"/>
    <d v="2025-01-24T00:00:00"/>
    <x v="1"/>
    <s v="Q1"/>
    <x v="0"/>
    <x v="2"/>
    <x v="0"/>
    <x v="0"/>
    <x v="0"/>
    <x v="1"/>
    <x v="0"/>
    <n v="9"/>
    <n v="91"/>
    <n v="5191"/>
    <n v="0"/>
    <n v="3"/>
    <s v="Recovered"/>
    <n v="1"/>
  </r>
  <r>
    <s v="ADM-242868"/>
    <d v="2025-01-15T00:00:00"/>
    <d v="2025-01-20T00:00:00"/>
    <x v="1"/>
    <s v="Q1"/>
    <x v="0"/>
    <x v="2"/>
    <x v="4"/>
    <x v="0"/>
    <x v="1"/>
    <x v="0"/>
    <x v="1"/>
    <n v="5"/>
    <n v="23"/>
    <n v="7974"/>
    <n v="1"/>
    <n v="3"/>
    <s v="Recovered"/>
    <n v="1"/>
  </r>
  <r>
    <s v="ADM-242869"/>
    <d v="2025-01-15T00:00:00"/>
    <d v="2025-01-24T00:00:00"/>
    <x v="1"/>
    <s v="Q1"/>
    <x v="0"/>
    <x v="2"/>
    <x v="0"/>
    <x v="0"/>
    <x v="1"/>
    <x v="0"/>
    <x v="0"/>
    <n v="9"/>
    <n v="48"/>
    <n v="6486"/>
    <n v="0"/>
    <n v="5"/>
    <s v="Recovered"/>
    <n v="1"/>
  </r>
  <r>
    <s v="ADM-242870"/>
    <d v="2025-01-15T00:00:00"/>
    <d v="2025-01-23T00:00:00"/>
    <x v="1"/>
    <s v="Q1"/>
    <x v="0"/>
    <x v="2"/>
    <x v="1"/>
    <x v="2"/>
    <x v="1"/>
    <x v="2"/>
    <x v="2"/>
    <n v="8"/>
    <m/>
    <n v="6588"/>
    <n v="0"/>
    <n v="5"/>
    <s v="Transferred"/>
    <n v="1"/>
  </r>
  <r>
    <s v="ADM-242871"/>
    <d v="2025-01-15T00:00:00"/>
    <d v="2025-01-19T00:00:00"/>
    <x v="1"/>
    <s v="Q1"/>
    <x v="0"/>
    <x v="2"/>
    <x v="3"/>
    <x v="0"/>
    <x v="0"/>
    <x v="3"/>
    <x v="2"/>
    <n v="4"/>
    <n v="20"/>
    <n v="3085"/>
    <n v="0"/>
    <n v="4"/>
    <s v="Improved"/>
    <n v="1"/>
  </r>
  <r>
    <s v="ADM-242872"/>
    <d v="2025-01-16T00:00:00"/>
    <d v="2025-01-17T00:00:00"/>
    <x v="1"/>
    <s v="Q1"/>
    <x v="0"/>
    <x v="3"/>
    <x v="2"/>
    <x v="0"/>
    <x v="0"/>
    <x v="1"/>
    <x v="1"/>
    <n v="1"/>
    <n v="49"/>
    <n v="1494"/>
    <n v="0"/>
    <n v="3"/>
    <s v="Recovered"/>
    <n v="1"/>
  </r>
  <r>
    <s v="ADM-242873"/>
    <d v="2025-01-16T00:00:00"/>
    <d v="2025-01-19T00:00:00"/>
    <x v="1"/>
    <s v="Q1"/>
    <x v="0"/>
    <x v="3"/>
    <x v="0"/>
    <x v="0"/>
    <x v="1"/>
    <x v="1"/>
    <x v="2"/>
    <n v="3"/>
    <n v="108"/>
    <n v="3233"/>
    <n v="0"/>
    <n v="4"/>
    <s v="Recovered"/>
    <n v="1"/>
  </r>
  <r>
    <s v="ADM-242874"/>
    <d v="2025-01-16T00:00:00"/>
    <d v="2025-01-19T00:00:00"/>
    <x v="1"/>
    <s v="Q1"/>
    <x v="0"/>
    <x v="3"/>
    <x v="4"/>
    <x v="0"/>
    <x v="1"/>
    <x v="0"/>
    <x v="2"/>
    <n v="3"/>
    <n v="133"/>
    <n v="3637"/>
    <n v="0"/>
    <n v="4"/>
    <s v="Recovered"/>
    <n v="1"/>
  </r>
  <r>
    <s v="ADM-242875"/>
    <d v="2025-01-16T00:00:00"/>
    <d v="2025-01-17T00:00:00"/>
    <x v="1"/>
    <s v="Q1"/>
    <x v="0"/>
    <x v="3"/>
    <x v="3"/>
    <x v="0"/>
    <x v="0"/>
    <x v="3"/>
    <x v="2"/>
    <n v="1"/>
    <n v="119"/>
    <n v="1353"/>
    <n v="0"/>
    <n v="2"/>
    <s v="Recovered"/>
    <n v="1"/>
  </r>
  <r>
    <s v="ADM-242876"/>
    <d v="2025-01-16T00:00:00"/>
    <d v="2025-01-18T00:00:00"/>
    <x v="1"/>
    <s v="Q1"/>
    <x v="0"/>
    <x v="3"/>
    <x v="0"/>
    <x v="0"/>
    <x v="1"/>
    <x v="2"/>
    <x v="0"/>
    <n v="2"/>
    <n v="11"/>
    <n v="2640"/>
    <n v="0"/>
    <n v="4"/>
    <s v="Recovered"/>
    <n v="1"/>
  </r>
  <r>
    <s v="ADM-242877"/>
    <d v="2025-01-16T00:00:00"/>
    <d v="2025-01-27T00:00:00"/>
    <x v="1"/>
    <s v="Q1"/>
    <x v="0"/>
    <x v="3"/>
    <x v="0"/>
    <x v="0"/>
    <x v="1"/>
    <x v="1"/>
    <x v="0"/>
    <n v="11"/>
    <n v="45"/>
    <n v="8369"/>
    <n v="0"/>
    <n v="5"/>
    <s v="Deceased"/>
    <n v="1"/>
  </r>
  <r>
    <s v="ADM-242878"/>
    <d v="2025-01-16T00:00:00"/>
    <d v="2025-01-19T00:00:00"/>
    <x v="1"/>
    <s v="Q1"/>
    <x v="0"/>
    <x v="3"/>
    <x v="3"/>
    <x v="0"/>
    <x v="1"/>
    <x v="3"/>
    <x v="1"/>
    <n v="3"/>
    <n v="83"/>
    <n v="3137"/>
    <n v="0"/>
    <n v="4"/>
    <s v="Recovered"/>
    <n v="1"/>
  </r>
  <r>
    <s v="ADM-242879"/>
    <d v="2025-01-16T00:00:00"/>
    <d v="2025-01-20T00:00:00"/>
    <x v="1"/>
    <s v="Q1"/>
    <x v="0"/>
    <x v="3"/>
    <x v="3"/>
    <x v="0"/>
    <x v="1"/>
    <x v="3"/>
    <x v="0"/>
    <n v="4"/>
    <n v="41"/>
    <n v="3220"/>
    <n v="0"/>
    <n v="4"/>
    <s v="Recovered"/>
    <n v="1"/>
  </r>
  <r>
    <s v="ADM-242880"/>
    <d v="2025-01-16T00:00:00"/>
    <d v="2025-01-20T00:00:00"/>
    <x v="1"/>
    <s v="Q1"/>
    <x v="0"/>
    <x v="3"/>
    <x v="0"/>
    <x v="2"/>
    <x v="0"/>
    <x v="4"/>
    <x v="1"/>
    <n v="4"/>
    <m/>
    <n v="4188"/>
    <n v="1"/>
    <n v="4"/>
    <s v="Recovered"/>
    <n v="1"/>
  </r>
  <r>
    <s v="ADM-242881"/>
    <d v="2025-01-16T00:00:00"/>
    <d v="2025-01-22T00:00:00"/>
    <x v="1"/>
    <s v="Q1"/>
    <x v="0"/>
    <x v="3"/>
    <x v="1"/>
    <x v="2"/>
    <x v="1"/>
    <x v="4"/>
    <x v="0"/>
    <n v="6"/>
    <m/>
    <n v="6007"/>
    <n v="0"/>
    <n v="5"/>
    <s v="Transferred"/>
    <n v="1"/>
  </r>
  <r>
    <s v="ADM-242882"/>
    <d v="2025-01-16T00:00:00"/>
    <d v="2025-01-28T00:00:00"/>
    <x v="1"/>
    <s v="Q1"/>
    <x v="0"/>
    <x v="3"/>
    <x v="0"/>
    <x v="0"/>
    <x v="0"/>
    <x v="4"/>
    <x v="2"/>
    <n v="12"/>
    <n v="51"/>
    <n v="6395"/>
    <n v="0"/>
    <n v="5"/>
    <s v="Recovered"/>
    <n v="1"/>
  </r>
  <r>
    <s v="ADM-242883"/>
    <d v="2025-01-16T00:00:00"/>
    <d v="2025-01-20T00:00:00"/>
    <x v="1"/>
    <s v="Q1"/>
    <x v="0"/>
    <x v="3"/>
    <x v="0"/>
    <x v="0"/>
    <x v="0"/>
    <x v="4"/>
    <x v="2"/>
    <n v="4"/>
    <n v="92"/>
    <n v="4097"/>
    <n v="0"/>
    <n v="3"/>
    <s v="Recovered"/>
    <n v="1"/>
  </r>
  <r>
    <s v="ADM-242884"/>
    <d v="2025-01-16T00:00:00"/>
    <d v="2025-01-21T00:00:00"/>
    <x v="1"/>
    <s v="Q1"/>
    <x v="0"/>
    <x v="3"/>
    <x v="0"/>
    <x v="2"/>
    <x v="1"/>
    <x v="0"/>
    <x v="2"/>
    <n v="5"/>
    <m/>
    <n v="3925"/>
    <n v="0"/>
    <n v="5"/>
    <s v="Recovered"/>
    <n v="1"/>
  </r>
  <r>
    <s v="ADM-242885"/>
    <d v="2025-01-16T00:00:00"/>
    <d v="2025-01-27T00:00:00"/>
    <x v="1"/>
    <s v="Q1"/>
    <x v="0"/>
    <x v="3"/>
    <x v="0"/>
    <x v="0"/>
    <x v="1"/>
    <x v="4"/>
    <x v="2"/>
    <n v="11"/>
    <n v="67"/>
    <n v="7452"/>
    <n v="0"/>
    <n v="4"/>
    <s v="Recovered"/>
    <n v="1"/>
  </r>
  <r>
    <s v="ADM-242886"/>
    <d v="2025-01-17T00:00:00"/>
    <d v="2025-01-19T00:00:00"/>
    <x v="1"/>
    <s v="Q1"/>
    <x v="0"/>
    <x v="4"/>
    <x v="1"/>
    <x v="0"/>
    <x v="1"/>
    <x v="1"/>
    <x v="0"/>
    <n v="2"/>
    <n v="65"/>
    <n v="2568"/>
    <n v="0"/>
    <n v="5"/>
    <s v="Recovered"/>
    <n v="1"/>
  </r>
  <r>
    <s v="ADM-242887"/>
    <d v="2025-01-17T00:00:00"/>
    <d v="2025-01-21T00:00:00"/>
    <x v="1"/>
    <s v="Q1"/>
    <x v="0"/>
    <x v="4"/>
    <x v="0"/>
    <x v="0"/>
    <x v="1"/>
    <x v="2"/>
    <x v="2"/>
    <n v="4"/>
    <n v="93"/>
    <n v="4029"/>
    <n v="0"/>
    <n v="3"/>
    <s v="Recovered"/>
    <n v="1"/>
  </r>
  <r>
    <s v="ADM-242888"/>
    <d v="2025-01-17T00:00:00"/>
    <d v="2025-01-21T00:00:00"/>
    <x v="1"/>
    <s v="Q1"/>
    <x v="0"/>
    <x v="4"/>
    <x v="3"/>
    <x v="2"/>
    <x v="0"/>
    <x v="3"/>
    <x v="0"/>
    <n v="4"/>
    <m/>
    <n v="2277"/>
    <n v="0"/>
    <n v="3"/>
    <s v="Recovered"/>
    <n v="1"/>
  </r>
  <r>
    <s v="ADM-242889"/>
    <d v="2025-01-17T00:00:00"/>
    <d v="2025-01-18T00:00:00"/>
    <x v="1"/>
    <s v="Q1"/>
    <x v="0"/>
    <x v="4"/>
    <x v="2"/>
    <x v="0"/>
    <x v="0"/>
    <x v="1"/>
    <x v="2"/>
    <n v="1"/>
    <n v="56"/>
    <n v="1208"/>
    <n v="0"/>
    <n v="5"/>
    <s v="Recovered"/>
    <n v="1"/>
  </r>
  <r>
    <s v="ADM-242890"/>
    <d v="2025-01-17T00:00:00"/>
    <d v="2025-01-18T00:00:00"/>
    <x v="1"/>
    <s v="Q1"/>
    <x v="0"/>
    <x v="4"/>
    <x v="3"/>
    <x v="0"/>
    <x v="0"/>
    <x v="3"/>
    <x v="0"/>
    <n v="1"/>
    <n v="129"/>
    <n v="1409"/>
    <n v="0"/>
    <n v="3"/>
    <s v="Improved"/>
    <n v="1"/>
  </r>
  <r>
    <s v="ADM-242891"/>
    <d v="2025-01-17T00:00:00"/>
    <d v="2025-01-21T00:00:00"/>
    <x v="1"/>
    <s v="Q1"/>
    <x v="0"/>
    <x v="4"/>
    <x v="1"/>
    <x v="1"/>
    <x v="1"/>
    <x v="0"/>
    <x v="2"/>
    <n v="4"/>
    <m/>
    <n v="4877"/>
    <n v="0"/>
    <n v="5"/>
    <s v="Recovered"/>
    <n v="1"/>
  </r>
  <r>
    <s v="ADM-242892"/>
    <d v="2025-01-18T00:00:00"/>
    <d v="2025-01-26T00:00:00"/>
    <x v="1"/>
    <s v="Q1"/>
    <x v="0"/>
    <x v="5"/>
    <x v="1"/>
    <x v="2"/>
    <x v="0"/>
    <x v="4"/>
    <x v="2"/>
    <n v="8"/>
    <m/>
    <n v="8515"/>
    <n v="0"/>
    <n v="5"/>
    <s v="Recovered"/>
    <n v="1"/>
  </r>
  <r>
    <s v="ADM-242893"/>
    <d v="2025-01-18T00:00:00"/>
    <d v="2025-01-31T00:00:00"/>
    <x v="1"/>
    <s v="Q1"/>
    <x v="0"/>
    <x v="5"/>
    <x v="0"/>
    <x v="0"/>
    <x v="0"/>
    <x v="0"/>
    <x v="1"/>
    <n v="13"/>
    <n v="48"/>
    <n v="10999"/>
    <n v="0"/>
    <n v="5"/>
    <s v="Recovered"/>
    <n v="1"/>
  </r>
  <r>
    <s v="ADM-242894"/>
    <d v="2025-01-18T00:00:00"/>
    <d v="2025-01-21T00:00:00"/>
    <x v="1"/>
    <s v="Q1"/>
    <x v="0"/>
    <x v="5"/>
    <x v="4"/>
    <x v="0"/>
    <x v="0"/>
    <x v="4"/>
    <x v="0"/>
    <n v="3"/>
    <n v="142"/>
    <n v="4330"/>
    <n v="0"/>
    <n v="3"/>
    <s v="Recovered"/>
    <n v="1"/>
  </r>
  <r>
    <s v="ADM-242895"/>
    <d v="2025-01-18T00:00:00"/>
    <d v="2025-01-21T00:00:00"/>
    <x v="1"/>
    <s v="Q1"/>
    <x v="0"/>
    <x v="5"/>
    <x v="5"/>
    <x v="0"/>
    <x v="1"/>
    <x v="1"/>
    <x v="0"/>
    <n v="3"/>
    <n v="98"/>
    <n v="3958"/>
    <n v="0"/>
    <n v="4"/>
    <s v="Improved"/>
    <n v="1"/>
  </r>
  <r>
    <s v="ADM-242896"/>
    <d v="2025-01-18T00:00:00"/>
    <d v="2025-01-22T00:00:00"/>
    <x v="1"/>
    <s v="Q1"/>
    <x v="0"/>
    <x v="5"/>
    <x v="3"/>
    <x v="0"/>
    <x v="1"/>
    <x v="3"/>
    <x v="2"/>
    <n v="4"/>
    <n v="34"/>
    <n v="2439"/>
    <n v="0"/>
    <n v="5"/>
    <s v="Improved"/>
    <n v="1"/>
  </r>
  <r>
    <s v="ADM-242897"/>
    <d v="2025-01-18T00:00:00"/>
    <d v="2025-01-19T00:00:00"/>
    <x v="1"/>
    <s v="Q1"/>
    <x v="0"/>
    <x v="5"/>
    <x v="0"/>
    <x v="0"/>
    <x v="1"/>
    <x v="4"/>
    <x v="1"/>
    <n v="1"/>
    <n v="51"/>
    <n v="1721"/>
    <n v="0"/>
    <n v="4"/>
    <s v="Recovered"/>
    <n v="1"/>
  </r>
  <r>
    <s v="ADM-242898"/>
    <d v="2025-01-18T00:00:00"/>
    <d v="2025-01-21T00:00:00"/>
    <x v="1"/>
    <s v="Q1"/>
    <x v="0"/>
    <x v="5"/>
    <x v="1"/>
    <x v="2"/>
    <x v="0"/>
    <x v="2"/>
    <x v="2"/>
    <n v="3"/>
    <m/>
    <n v="3653"/>
    <n v="0"/>
    <n v="4"/>
    <s v="Recovered"/>
    <n v="1"/>
  </r>
  <r>
    <s v="ADM-242899"/>
    <d v="2025-01-18T00:00:00"/>
    <d v="2025-01-24T00:00:00"/>
    <x v="1"/>
    <s v="Q1"/>
    <x v="0"/>
    <x v="5"/>
    <x v="0"/>
    <x v="1"/>
    <x v="0"/>
    <x v="0"/>
    <x v="0"/>
    <n v="6"/>
    <m/>
    <n v="4320"/>
    <n v="1"/>
    <n v="4"/>
    <s v="Improved"/>
    <n v="1"/>
  </r>
  <r>
    <s v="ADM-242900"/>
    <d v="2025-01-18T00:00:00"/>
    <d v="2025-01-19T00:00:00"/>
    <x v="1"/>
    <s v="Q1"/>
    <x v="0"/>
    <x v="5"/>
    <x v="1"/>
    <x v="0"/>
    <x v="0"/>
    <x v="1"/>
    <x v="0"/>
    <n v="1"/>
    <n v="49"/>
    <n v="2008"/>
    <n v="0"/>
    <n v="4"/>
    <s v="Recovered"/>
    <n v="1"/>
  </r>
  <r>
    <s v="ADM-242901"/>
    <d v="2025-01-18T00:00:00"/>
    <d v="2025-01-21T00:00:00"/>
    <x v="1"/>
    <s v="Q1"/>
    <x v="0"/>
    <x v="5"/>
    <x v="4"/>
    <x v="0"/>
    <x v="1"/>
    <x v="0"/>
    <x v="2"/>
    <n v="3"/>
    <n v="41"/>
    <n v="3272"/>
    <n v="0"/>
    <n v="5"/>
    <s v="Recovered"/>
    <n v="1"/>
  </r>
  <r>
    <s v="ADM-242902"/>
    <d v="2025-01-18T00:00:00"/>
    <d v="2025-01-22T00:00:00"/>
    <x v="1"/>
    <s v="Q1"/>
    <x v="0"/>
    <x v="5"/>
    <x v="1"/>
    <x v="2"/>
    <x v="0"/>
    <x v="0"/>
    <x v="0"/>
    <n v="4"/>
    <m/>
    <n v="4791"/>
    <n v="0"/>
    <n v="5"/>
    <s v="Recovered"/>
    <n v="1"/>
  </r>
  <r>
    <s v="ADM-242903"/>
    <d v="2025-01-18T00:00:00"/>
    <d v="2025-01-21T00:00:00"/>
    <x v="1"/>
    <s v="Q1"/>
    <x v="0"/>
    <x v="5"/>
    <x v="4"/>
    <x v="2"/>
    <x v="0"/>
    <x v="0"/>
    <x v="2"/>
    <n v="3"/>
    <m/>
    <n v="4307"/>
    <n v="0"/>
    <n v="4"/>
    <s v="Recovered"/>
    <n v="1"/>
  </r>
  <r>
    <s v="ADM-242904"/>
    <d v="2025-01-19T00:00:00"/>
    <d v="2025-01-20T00:00:00"/>
    <x v="1"/>
    <s v="Q1"/>
    <x v="0"/>
    <x v="6"/>
    <x v="2"/>
    <x v="0"/>
    <x v="0"/>
    <x v="2"/>
    <x v="1"/>
    <n v="1"/>
    <n v="24"/>
    <n v="1636"/>
    <n v="0"/>
    <n v="4"/>
    <s v="Transferred"/>
    <n v="1"/>
  </r>
  <r>
    <s v="ADM-242905"/>
    <d v="2025-01-19T00:00:00"/>
    <d v="2025-01-20T00:00:00"/>
    <x v="1"/>
    <s v="Q1"/>
    <x v="0"/>
    <x v="6"/>
    <x v="3"/>
    <x v="0"/>
    <x v="1"/>
    <x v="3"/>
    <x v="2"/>
    <n v="1"/>
    <n v="104"/>
    <n v="1812"/>
    <n v="0"/>
    <n v="4"/>
    <s v="Recovered"/>
    <n v="1"/>
  </r>
  <r>
    <s v="ADM-242906"/>
    <d v="2025-01-19T00:00:00"/>
    <d v="2025-01-21T00:00:00"/>
    <x v="1"/>
    <s v="Q1"/>
    <x v="0"/>
    <x v="6"/>
    <x v="2"/>
    <x v="0"/>
    <x v="0"/>
    <x v="2"/>
    <x v="2"/>
    <n v="2"/>
    <n v="72"/>
    <n v="2320"/>
    <n v="0"/>
    <n v="4"/>
    <s v="Improved"/>
    <n v="1"/>
  </r>
  <r>
    <s v="ADM-242907"/>
    <d v="2025-01-19T00:00:00"/>
    <d v="2025-01-29T00:00:00"/>
    <x v="1"/>
    <s v="Q1"/>
    <x v="0"/>
    <x v="6"/>
    <x v="0"/>
    <x v="0"/>
    <x v="1"/>
    <x v="4"/>
    <x v="2"/>
    <n v="10"/>
    <n v="51"/>
    <n v="5709"/>
    <n v="1"/>
    <n v="4"/>
    <s v="Improved"/>
    <n v="1"/>
  </r>
  <r>
    <s v="ADM-242908"/>
    <d v="2025-01-19T00:00:00"/>
    <d v="2025-01-24T00:00:00"/>
    <x v="1"/>
    <s v="Q1"/>
    <x v="0"/>
    <x v="6"/>
    <x v="3"/>
    <x v="2"/>
    <x v="1"/>
    <x v="3"/>
    <x v="0"/>
    <n v="5"/>
    <m/>
    <n v="2980"/>
    <n v="0"/>
    <n v="4"/>
    <s v="Improved"/>
    <n v="1"/>
  </r>
  <r>
    <s v="ADM-242909"/>
    <d v="2025-01-19T00:00:00"/>
    <d v="2025-01-21T00:00:00"/>
    <x v="1"/>
    <s v="Q1"/>
    <x v="0"/>
    <x v="6"/>
    <x v="2"/>
    <x v="0"/>
    <x v="0"/>
    <x v="1"/>
    <x v="2"/>
    <n v="2"/>
    <n v="97"/>
    <n v="2115"/>
    <n v="0"/>
    <n v="2"/>
    <s v="Recovered"/>
    <n v="1"/>
  </r>
  <r>
    <s v="ADM-242910"/>
    <d v="2025-01-19T00:00:00"/>
    <d v="2025-01-26T00:00:00"/>
    <x v="1"/>
    <s v="Q1"/>
    <x v="0"/>
    <x v="6"/>
    <x v="1"/>
    <x v="1"/>
    <x v="1"/>
    <x v="1"/>
    <x v="2"/>
    <n v="7"/>
    <m/>
    <n v="5295"/>
    <n v="0"/>
    <n v="4"/>
    <s v="Improved"/>
    <n v="1"/>
  </r>
  <r>
    <s v="ADM-242911"/>
    <d v="2025-01-19T00:00:00"/>
    <d v="2025-02-01T00:00:00"/>
    <x v="1"/>
    <s v="Q1"/>
    <x v="0"/>
    <x v="6"/>
    <x v="0"/>
    <x v="0"/>
    <x v="0"/>
    <x v="0"/>
    <x v="1"/>
    <n v="13"/>
    <n v="56"/>
    <n v="10423"/>
    <n v="0"/>
    <n v="5"/>
    <s v="Recovered"/>
    <n v="1"/>
  </r>
  <r>
    <s v="ADM-242912"/>
    <d v="2025-01-19T00:00:00"/>
    <d v="2025-01-20T00:00:00"/>
    <x v="1"/>
    <s v="Q1"/>
    <x v="0"/>
    <x v="6"/>
    <x v="3"/>
    <x v="0"/>
    <x v="1"/>
    <x v="3"/>
    <x v="0"/>
    <n v="1"/>
    <n v="35"/>
    <n v="1371"/>
    <n v="0"/>
    <n v="4"/>
    <s v="Recovered"/>
    <n v="1"/>
  </r>
  <r>
    <s v="ADM-242913"/>
    <d v="2025-01-19T00:00:00"/>
    <d v="2025-01-21T00:00:00"/>
    <x v="1"/>
    <s v="Q1"/>
    <x v="0"/>
    <x v="6"/>
    <x v="2"/>
    <x v="2"/>
    <x v="0"/>
    <x v="2"/>
    <x v="0"/>
    <n v="2"/>
    <m/>
    <n v="2512"/>
    <n v="0"/>
    <n v="5"/>
    <s v="Recovered"/>
    <n v="1"/>
  </r>
  <r>
    <s v="ADM-242914"/>
    <d v="2025-01-19T00:00:00"/>
    <d v="2025-01-21T00:00:00"/>
    <x v="1"/>
    <s v="Q1"/>
    <x v="0"/>
    <x v="6"/>
    <x v="3"/>
    <x v="0"/>
    <x v="1"/>
    <x v="3"/>
    <x v="2"/>
    <n v="2"/>
    <n v="72"/>
    <n v="2105"/>
    <n v="0"/>
    <n v="4"/>
    <s v="Recovered"/>
    <n v="1"/>
  </r>
  <r>
    <s v="ADM-242915"/>
    <d v="2025-01-20T00:00:00"/>
    <d v="2025-01-24T00:00:00"/>
    <x v="1"/>
    <s v="Q1"/>
    <x v="0"/>
    <x v="0"/>
    <x v="3"/>
    <x v="0"/>
    <x v="0"/>
    <x v="3"/>
    <x v="0"/>
    <n v="4"/>
    <n v="40"/>
    <n v="4379"/>
    <n v="0"/>
    <n v="5"/>
    <s v="Improved"/>
    <n v="1"/>
  </r>
  <r>
    <s v="ADM-242916"/>
    <d v="2025-01-20T00:00:00"/>
    <d v="2025-01-22T00:00:00"/>
    <x v="1"/>
    <s v="Q1"/>
    <x v="0"/>
    <x v="0"/>
    <x v="2"/>
    <x v="0"/>
    <x v="0"/>
    <x v="1"/>
    <x v="2"/>
    <n v="2"/>
    <n v="164"/>
    <n v="2143"/>
    <n v="0"/>
    <n v="3"/>
    <s v="Recovered"/>
    <n v="1"/>
  </r>
  <r>
    <s v="ADM-242917"/>
    <d v="2025-01-20T00:00:00"/>
    <d v="2025-01-22T00:00:00"/>
    <x v="1"/>
    <s v="Q1"/>
    <x v="0"/>
    <x v="0"/>
    <x v="5"/>
    <x v="1"/>
    <x v="0"/>
    <x v="1"/>
    <x v="0"/>
    <n v="2"/>
    <m/>
    <n v="2955"/>
    <n v="0"/>
    <n v="5"/>
    <s v="Improved"/>
    <n v="1"/>
  </r>
  <r>
    <s v="ADM-242918"/>
    <d v="2025-01-20T00:00:00"/>
    <d v="2025-01-22T00:00:00"/>
    <x v="1"/>
    <s v="Q1"/>
    <x v="0"/>
    <x v="0"/>
    <x v="1"/>
    <x v="2"/>
    <x v="0"/>
    <x v="4"/>
    <x v="0"/>
    <n v="2"/>
    <m/>
    <n v="2998"/>
    <n v="0"/>
    <n v="5"/>
    <s v="Recovered"/>
    <n v="1"/>
  </r>
  <r>
    <s v="ADM-242919"/>
    <d v="2025-01-20T00:00:00"/>
    <d v="2025-01-23T00:00:00"/>
    <x v="1"/>
    <s v="Q1"/>
    <x v="0"/>
    <x v="0"/>
    <x v="4"/>
    <x v="0"/>
    <x v="1"/>
    <x v="1"/>
    <x v="2"/>
    <n v="3"/>
    <n v="12"/>
    <n v="4489"/>
    <n v="0"/>
    <n v="4"/>
    <s v="Recovered"/>
    <n v="1"/>
  </r>
  <r>
    <s v="ADM-242920"/>
    <d v="2025-01-20T00:00:00"/>
    <d v="2025-01-24T00:00:00"/>
    <x v="1"/>
    <s v="Q1"/>
    <x v="0"/>
    <x v="0"/>
    <x v="2"/>
    <x v="1"/>
    <x v="0"/>
    <x v="2"/>
    <x v="0"/>
    <n v="4"/>
    <m/>
    <n v="3579"/>
    <n v="0"/>
    <n v="4"/>
    <s v="Recovered"/>
    <n v="1"/>
  </r>
  <r>
    <s v="ADM-242921"/>
    <d v="2025-01-20T00:00:00"/>
    <d v="2025-01-27T00:00:00"/>
    <x v="1"/>
    <s v="Q1"/>
    <x v="0"/>
    <x v="0"/>
    <x v="3"/>
    <x v="0"/>
    <x v="0"/>
    <x v="3"/>
    <x v="0"/>
    <n v="7"/>
    <n v="68"/>
    <n v="3699"/>
    <n v="1"/>
    <n v="4"/>
    <s v="Improved"/>
    <n v="1"/>
  </r>
  <r>
    <s v="ADM-242922"/>
    <d v="2025-01-20T00:00:00"/>
    <d v="2025-01-21T00:00:00"/>
    <x v="1"/>
    <s v="Q1"/>
    <x v="0"/>
    <x v="0"/>
    <x v="1"/>
    <x v="2"/>
    <x v="1"/>
    <x v="4"/>
    <x v="2"/>
    <n v="1"/>
    <m/>
    <n v="2000"/>
    <n v="0"/>
    <n v="3"/>
    <s v="Recovered"/>
    <n v="1"/>
  </r>
  <r>
    <s v="ADM-242923"/>
    <d v="2025-01-20T00:00:00"/>
    <d v="2025-01-21T00:00:00"/>
    <x v="1"/>
    <s v="Q1"/>
    <x v="0"/>
    <x v="0"/>
    <x v="3"/>
    <x v="0"/>
    <x v="1"/>
    <x v="3"/>
    <x v="2"/>
    <n v="1"/>
    <n v="104"/>
    <n v="1388"/>
    <n v="0"/>
    <n v="3"/>
    <s v="Recovered"/>
    <n v="1"/>
  </r>
  <r>
    <s v="ADM-242924"/>
    <d v="2025-01-20T00:00:00"/>
    <d v="2025-01-26T00:00:00"/>
    <x v="1"/>
    <s v="Q1"/>
    <x v="0"/>
    <x v="0"/>
    <x v="3"/>
    <x v="0"/>
    <x v="1"/>
    <x v="3"/>
    <x v="0"/>
    <n v="6"/>
    <n v="138"/>
    <n v="4366"/>
    <n v="0"/>
    <n v="4"/>
    <s v="Deceased"/>
    <n v="1"/>
  </r>
  <r>
    <s v="ADM-242925"/>
    <d v="2025-01-20T00:00:00"/>
    <d v="2025-01-22T00:00:00"/>
    <x v="1"/>
    <s v="Q1"/>
    <x v="0"/>
    <x v="0"/>
    <x v="5"/>
    <x v="2"/>
    <x v="1"/>
    <x v="1"/>
    <x v="0"/>
    <n v="2"/>
    <m/>
    <n v="2754"/>
    <n v="0"/>
    <n v="4"/>
    <s v="Improved"/>
    <n v="1"/>
  </r>
  <r>
    <s v="ADM-242926"/>
    <d v="2025-01-20T00:00:00"/>
    <d v="2025-01-21T00:00:00"/>
    <x v="1"/>
    <s v="Q1"/>
    <x v="0"/>
    <x v="0"/>
    <x v="3"/>
    <x v="0"/>
    <x v="1"/>
    <x v="3"/>
    <x v="2"/>
    <n v="1"/>
    <n v="56"/>
    <n v="1114"/>
    <n v="0"/>
    <n v="4"/>
    <s v="Deceased"/>
    <n v="1"/>
  </r>
  <r>
    <s v="ADM-242927"/>
    <d v="2025-01-20T00:00:00"/>
    <d v="2025-01-25T00:00:00"/>
    <x v="1"/>
    <s v="Q1"/>
    <x v="0"/>
    <x v="0"/>
    <x v="0"/>
    <x v="0"/>
    <x v="0"/>
    <x v="4"/>
    <x v="2"/>
    <n v="5"/>
    <n v="79"/>
    <n v="4805"/>
    <n v="0"/>
    <n v="5"/>
    <s v="Recovered"/>
    <n v="1"/>
  </r>
  <r>
    <s v="ADM-242928"/>
    <d v="2025-01-20T00:00:00"/>
    <d v="2025-01-26T00:00:00"/>
    <x v="1"/>
    <s v="Q1"/>
    <x v="0"/>
    <x v="0"/>
    <x v="4"/>
    <x v="2"/>
    <x v="1"/>
    <x v="1"/>
    <x v="2"/>
    <n v="6"/>
    <m/>
    <n v="6177"/>
    <n v="0"/>
    <n v="3"/>
    <s v="Recovered"/>
    <n v="1"/>
  </r>
  <r>
    <s v="ADM-242929"/>
    <d v="2025-01-21T00:00:00"/>
    <d v="2025-01-23T00:00:00"/>
    <x v="1"/>
    <s v="Q1"/>
    <x v="0"/>
    <x v="1"/>
    <x v="2"/>
    <x v="0"/>
    <x v="0"/>
    <x v="1"/>
    <x v="2"/>
    <n v="2"/>
    <n v="82"/>
    <n v="2342"/>
    <n v="0"/>
    <n v="4"/>
    <s v="Improved"/>
    <n v="1"/>
  </r>
  <r>
    <s v="ADM-242930"/>
    <d v="2025-01-21T00:00:00"/>
    <d v="2025-02-07T00:00:00"/>
    <x v="1"/>
    <s v="Q1"/>
    <x v="0"/>
    <x v="1"/>
    <x v="1"/>
    <x v="0"/>
    <x v="1"/>
    <x v="0"/>
    <x v="0"/>
    <n v="17"/>
    <n v="60"/>
    <n v="17773"/>
    <n v="0"/>
    <n v="5"/>
    <s v="Recovered"/>
    <n v="1"/>
  </r>
  <r>
    <s v="ADM-242931"/>
    <d v="2025-01-21T00:00:00"/>
    <d v="2025-01-24T00:00:00"/>
    <x v="1"/>
    <s v="Q1"/>
    <x v="0"/>
    <x v="1"/>
    <x v="0"/>
    <x v="2"/>
    <x v="0"/>
    <x v="0"/>
    <x v="2"/>
    <n v="3"/>
    <m/>
    <n v="3064"/>
    <n v="0"/>
    <n v="4"/>
    <s v="Recovered"/>
    <n v="1"/>
  </r>
  <r>
    <s v="ADM-242932"/>
    <d v="2025-01-21T00:00:00"/>
    <d v="2025-02-04T00:00:00"/>
    <x v="1"/>
    <s v="Q1"/>
    <x v="0"/>
    <x v="1"/>
    <x v="0"/>
    <x v="0"/>
    <x v="1"/>
    <x v="0"/>
    <x v="2"/>
    <n v="14"/>
    <n v="22"/>
    <n v="11054"/>
    <n v="0"/>
    <n v="3"/>
    <s v="Improved"/>
    <n v="1"/>
  </r>
  <r>
    <s v="ADM-242933"/>
    <d v="2025-01-21T00:00:00"/>
    <d v="2025-01-22T00:00:00"/>
    <x v="1"/>
    <s v="Q1"/>
    <x v="0"/>
    <x v="1"/>
    <x v="3"/>
    <x v="0"/>
    <x v="0"/>
    <x v="3"/>
    <x v="2"/>
    <n v="1"/>
    <n v="127"/>
    <n v="1140"/>
    <n v="0"/>
    <n v="5"/>
    <s v="Recovered"/>
    <n v="1"/>
  </r>
  <r>
    <s v="ADM-242934"/>
    <d v="2025-01-21T00:00:00"/>
    <d v="2025-01-28T00:00:00"/>
    <x v="1"/>
    <s v="Q1"/>
    <x v="0"/>
    <x v="1"/>
    <x v="4"/>
    <x v="2"/>
    <x v="1"/>
    <x v="1"/>
    <x v="2"/>
    <n v="7"/>
    <m/>
    <n v="10387"/>
    <n v="0"/>
    <n v="4"/>
    <s v="Recovered"/>
    <n v="1"/>
  </r>
  <r>
    <s v="ADM-242935"/>
    <d v="2025-01-21T00:00:00"/>
    <d v="2025-01-25T00:00:00"/>
    <x v="1"/>
    <s v="Q1"/>
    <x v="0"/>
    <x v="1"/>
    <x v="2"/>
    <x v="0"/>
    <x v="0"/>
    <x v="2"/>
    <x v="1"/>
    <n v="4"/>
    <n v="21"/>
    <n v="3290"/>
    <n v="0"/>
    <n v="5"/>
    <s v="Improved"/>
    <n v="1"/>
  </r>
  <r>
    <s v="ADM-242936"/>
    <d v="2025-01-21T00:00:00"/>
    <d v="2025-02-12T00:00:00"/>
    <x v="1"/>
    <s v="Q1"/>
    <x v="0"/>
    <x v="1"/>
    <x v="4"/>
    <x v="0"/>
    <x v="0"/>
    <x v="0"/>
    <x v="0"/>
    <n v="22"/>
    <n v="104"/>
    <n v="27327"/>
    <n v="0"/>
    <n v="3"/>
    <s v="Recovered"/>
    <n v="1"/>
  </r>
  <r>
    <s v="ADM-242937"/>
    <d v="2025-01-21T00:00:00"/>
    <d v="2025-01-24T00:00:00"/>
    <x v="1"/>
    <s v="Q1"/>
    <x v="0"/>
    <x v="1"/>
    <x v="3"/>
    <x v="0"/>
    <x v="0"/>
    <x v="3"/>
    <x v="2"/>
    <n v="3"/>
    <n v="47"/>
    <n v="2430"/>
    <n v="0"/>
    <n v="5"/>
    <s v="Recovered"/>
    <n v="1"/>
  </r>
  <r>
    <s v="ADM-242938"/>
    <d v="2025-01-21T00:00:00"/>
    <d v="2025-01-24T00:00:00"/>
    <x v="1"/>
    <s v="Q1"/>
    <x v="0"/>
    <x v="1"/>
    <x v="0"/>
    <x v="0"/>
    <x v="1"/>
    <x v="2"/>
    <x v="2"/>
    <n v="3"/>
    <n v="32"/>
    <n v="2992"/>
    <n v="0"/>
    <n v="4"/>
    <s v="Recovered"/>
    <n v="1"/>
  </r>
  <r>
    <s v="ADM-242939"/>
    <d v="2025-01-21T00:00:00"/>
    <d v="2025-01-27T00:00:00"/>
    <x v="1"/>
    <s v="Q1"/>
    <x v="0"/>
    <x v="1"/>
    <x v="3"/>
    <x v="0"/>
    <x v="1"/>
    <x v="3"/>
    <x v="2"/>
    <n v="6"/>
    <n v="39"/>
    <n v="4428"/>
    <n v="0"/>
    <n v="5"/>
    <s v="Transferred"/>
    <n v="1"/>
  </r>
  <r>
    <s v="ADM-242940"/>
    <d v="2025-01-21T00:00:00"/>
    <d v="2025-01-24T00:00:00"/>
    <x v="1"/>
    <s v="Q1"/>
    <x v="0"/>
    <x v="1"/>
    <x v="2"/>
    <x v="0"/>
    <x v="0"/>
    <x v="2"/>
    <x v="1"/>
    <n v="3"/>
    <n v="75"/>
    <n v="3004"/>
    <n v="1"/>
    <n v="5"/>
    <s v="Recovered"/>
    <n v="1"/>
  </r>
  <r>
    <s v="ADM-242941"/>
    <d v="2025-01-21T00:00:00"/>
    <d v="2025-01-27T00:00:00"/>
    <x v="1"/>
    <s v="Q1"/>
    <x v="0"/>
    <x v="1"/>
    <x v="0"/>
    <x v="0"/>
    <x v="1"/>
    <x v="0"/>
    <x v="2"/>
    <n v="6"/>
    <n v="35"/>
    <n v="4209"/>
    <n v="0"/>
    <n v="4"/>
    <s v="Recovered"/>
    <n v="1"/>
  </r>
  <r>
    <s v="ADM-242942"/>
    <d v="2025-01-21T00:00:00"/>
    <d v="2025-02-01T00:00:00"/>
    <x v="1"/>
    <s v="Q1"/>
    <x v="0"/>
    <x v="1"/>
    <x v="0"/>
    <x v="0"/>
    <x v="0"/>
    <x v="0"/>
    <x v="2"/>
    <n v="11"/>
    <n v="43"/>
    <n v="6697"/>
    <n v="0"/>
    <n v="4"/>
    <s v="Recovered"/>
    <n v="1"/>
  </r>
  <r>
    <s v="ADM-242943"/>
    <d v="2025-01-22T00:00:00"/>
    <d v="2025-01-23T00:00:00"/>
    <x v="1"/>
    <s v="Q1"/>
    <x v="0"/>
    <x v="2"/>
    <x v="5"/>
    <x v="2"/>
    <x v="1"/>
    <x v="0"/>
    <x v="2"/>
    <n v="1"/>
    <m/>
    <n v="1764"/>
    <n v="0"/>
    <n v="5"/>
    <s v="Recovered"/>
    <n v="1"/>
  </r>
  <r>
    <s v="ADM-242944"/>
    <d v="2025-01-22T00:00:00"/>
    <d v="2025-01-26T00:00:00"/>
    <x v="1"/>
    <s v="Q1"/>
    <x v="0"/>
    <x v="2"/>
    <x v="0"/>
    <x v="2"/>
    <x v="0"/>
    <x v="4"/>
    <x v="2"/>
    <n v="4"/>
    <m/>
    <n v="3356"/>
    <n v="0"/>
    <n v="5"/>
    <s v="Recovered"/>
    <n v="1"/>
  </r>
  <r>
    <s v="ADM-242945"/>
    <d v="2025-01-22T00:00:00"/>
    <d v="2025-01-23T00:00:00"/>
    <x v="1"/>
    <s v="Q1"/>
    <x v="0"/>
    <x v="2"/>
    <x v="0"/>
    <x v="1"/>
    <x v="0"/>
    <x v="2"/>
    <x v="2"/>
    <n v="1"/>
    <m/>
    <n v="1383"/>
    <n v="1"/>
    <n v="2"/>
    <s v="Improved"/>
    <n v="1"/>
  </r>
  <r>
    <s v="ADM-242946"/>
    <d v="2025-01-22T00:00:00"/>
    <d v="2025-01-25T00:00:00"/>
    <x v="1"/>
    <s v="Q1"/>
    <x v="0"/>
    <x v="2"/>
    <x v="2"/>
    <x v="0"/>
    <x v="0"/>
    <x v="1"/>
    <x v="0"/>
    <n v="3"/>
    <n v="52"/>
    <n v="2395"/>
    <n v="0"/>
    <n v="3"/>
    <s v="Improved"/>
    <n v="1"/>
  </r>
  <r>
    <s v="ADM-242947"/>
    <d v="2025-01-22T00:00:00"/>
    <d v="2025-01-25T00:00:00"/>
    <x v="1"/>
    <s v="Q1"/>
    <x v="0"/>
    <x v="2"/>
    <x v="4"/>
    <x v="2"/>
    <x v="1"/>
    <x v="4"/>
    <x v="1"/>
    <n v="3"/>
    <m/>
    <n v="4007"/>
    <n v="0"/>
    <n v="5"/>
    <s v="Recovered"/>
    <n v="1"/>
  </r>
  <r>
    <s v="ADM-242948"/>
    <d v="2025-01-22T00:00:00"/>
    <d v="2025-01-25T00:00:00"/>
    <x v="1"/>
    <s v="Q1"/>
    <x v="0"/>
    <x v="2"/>
    <x v="0"/>
    <x v="0"/>
    <x v="0"/>
    <x v="0"/>
    <x v="0"/>
    <n v="3"/>
    <n v="40"/>
    <n v="2731"/>
    <n v="0"/>
    <n v="4"/>
    <s v="Transferred"/>
    <n v="1"/>
  </r>
  <r>
    <s v="ADM-242949"/>
    <d v="2025-01-22T00:00:00"/>
    <d v="2025-01-26T00:00:00"/>
    <x v="1"/>
    <s v="Q1"/>
    <x v="0"/>
    <x v="2"/>
    <x v="1"/>
    <x v="2"/>
    <x v="1"/>
    <x v="4"/>
    <x v="1"/>
    <n v="4"/>
    <m/>
    <n v="3385"/>
    <n v="0"/>
    <n v="5"/>
    <s v="Recovered"/>
    <n v="1"/>
  </r>
  <r>
    <s v="ADM-242950"/>
    <d v="2025-01-22T00:00:00"/>
    <d v="2025-02-02T00:00:00"/>
    <x v="1"/>
    <s v="Q1"/>
    <x v="0"/>
    <x v="2"/>
    <x v="0"/>
    <x v="1"/>
    <x v="1"/>
    <x v="0"/>
    <x v="0"/>
    <n v="11"/>
    <m/>
    <n v="5756"/>
    <n v="0"/>
    <n v="5"/>
    <s v="Improved"/>
    <n v="1"/>
  </r>
  <r>
    <s v="ADM-242951"/>
    <d v="2025-01-22T00:00:00"/>
    <d v="2025-01-25T00:00:00"/>
    <x v="1"/>
    <s v="Q1"/>
    <x v="0"/>
    <x v="2"/>
    <x v="2"/>
    <x v="0"/>
    <x v="0"/>
    <x v="2"/>
    <x v="2"/>
    <n v="3"/>
    <n v="53"/>
    <n v="2813"/>
    <n v="0"/>
    <n v="3"/>
    <s v="Improved"/>
    <n v="1"/>
  </r>
  <r>
    <s v="ADM-242952"/>
    <d v="2025-01-22T00:00:00"/>
    <d v="2025-01-24T00:00:00"/>
    <x v="1"/>
    <s v="Q1"/>
    <x v="0"/>
    <x v="2"/>
    <x v="4"/>
    <x v="0"/>
    <x v="0"/>
    <x v="2"/>
    <x v="2"/>
    <n v="2"/>
    <n v="58"/>
    <n v="3747"/>
    <n v="1"/>
    <n v="4"/>
    <s v="Recovered"/>
    <n v="1"/>
  </r>
  <r>
    <s v="ADM-242953"/>
    <d v="2025-01-23T00:00:00"/>
    <d v="2025-01-29T00:00:00"/>
    <x v="1"/>
    <s v="Q1"/>
    <x v="0"/>
    <x v="3"/>
    <x v="1"/>
    <x v="0"/>
    <x v="1"/>
    <x v="0"/>
    <x v="0"/>
    <n v="6"/>
    <n v="60"/>
    <n v="5910"/>
    <n v="0"/>
    <n v="4"/>
    <s v="Improved"/>
    <n v="1"/>
  </r>
  <r>
    <s v="ADM-242954"/>
    <d v="2025-01-23T00:00:00"/>
    <d v="2025-02-01T00:00:00"/>
    <x v="1"/>
    <s v="Q1"/>
    <x v="0"/>
    <x v="3"/>
    <x v="4"/>
    <x v="0"/>
    <x v="0"/>
    <x v="0"/>
    <x v="2"/>
    <n v="9"/>
    <n v="51"/>
    <n v="10392"/>
    <n v="1"/>
    <n v="4"/>
    <s v="Recovered"/>
    <n v="1"/>
  </r>
  <r>
    <s v="ADM-242955"/>
    <d v="2025-01-23T00:00:00"/>
    <d v="2025-01-24T00:00:00"/>
    <x v="1"/>
    <s v="Q1"/>
    <x v="0"/>
    <x v="3"/>
    <x v="2"/>
    <x v="2"/>
    <x v="0"/>
    <x v="2"/>
    <x v="0"/>
    <n v="1"/>
    <m/>
    <n v="1250"/>
    <n v="0"/>
    <n v="5"/>
    <s v="Recovered"/>
    <n v="1"/>
  </r>
  <r>
    <s v="ADM-242956"/>
    <d v="2025-01-23T00:00:00"/>
    <d v="2025-01-29T00:00:00"/>
    <x v="1"/>
    <s v="Q1"/>
    <x v="0"/>
    <x v="3"/>
    <x v="1"/>
    <x v="2"/>
    <x v="1"/>
    <x v="1"/>
    <x v="2"/>
    <n v="6"/>
    <m/>
    <n v="6751"/>
    <n v="0"/>
    <n v="4"/>
    <s v="Recovered"/>
    <n v="1"/>
  </r>
  <r>
    <s v="ADM-242957"/>
    <d v="2025-01-23T00:00:00"/>
    <d v="2025-01-27T00:00:00"/>
    <x v="1"/>
    <s v="Q1"/>
    <x v="0"/>
    <x v="3"/>
    <x v="0"/>
    <x v="0"/>
    <x v="1"/>
    <x v="0"/>
    <x v="0"/>
    <n v="4"/>
    <n v="46"/>
    <n v="3588"/>
    <n v="0"/>
    <n v="5"/>
    <s v="Improved"/>
    <n v="1"/>
  </r>
  <r>
    <s v="ADM-242958"/>
    <d v="2025-01-23T00:00:00"/>
    <d v="2025-02-02T00:00:00"/>
    <x v="1"/>
    <s v="Q1"/>
    <x v="0"/>
    <x v="3"/>
    <x v="0"/>
    <x v="0"/>
    <x v="0"/>
    <x v="0"/>
    <x v="2"/>
    <n v="10"/>
    <n v="122"/>
    <n v="7169"/>
    <n v="0"/>
    <n v="4"/>
    <s v="Recovered"/>
    <n v="1"/>
  </r>
  <r>
    <s v="ADM-242959"/>
    <d v="2025-01-23T00:00:00"/>
    <d v="2025-02-01T00:00:00"/>
    <x v="1"/>
    <s v="Q1"/>
    <x v="0"/>
    <x v="3"/>
    <x v="0"/>
    <x v="0"/>
    <x v="1"/>
    <x v="0"/>
    <x v="2"/>
    <n v="9"/>
    <n v="66"/>
    <n v="6782"/>
    <n v="0"/>
    <n v="3"/>
    <s v="Recovered"/>
    <n v="1"/>
  </r>
  <r>
    <s v="ADM-242960"/>
    <d v="2025-01-23T00:00:00"/>
    <d v="2025-01-26T00:00:00"/>
    <x v="1"/>
    <s v="Q1"/>
    <x v="0"/>
    <x v="3"/>
    <x v="2"/>
    <x v="0"/>
    <x v="0"/>
    <x v="1"/>
    <x v="2"/>
    <n v="3"/>
    <n v="35"/>
    <n v="2918"/>
    <n v="0"/>
    <n v="3"/>
    <s v="Recovered"/>
    <n v="1"/>
  </r>
  <r>
    <s v="ADM-242961"/>
    <d v="2025-01-24T00:00:00"/>
    <d v="2025-01-27T00:00:00"/>
    <x v="1"/>
    <s v="Q1"/>
    <x v="0"/>
    <x v="4"/>
    <x v="5"/>
    <x v="2"/>
    <x v="0"/>
    <x v="4"/>
    <x v="0"/>
    <n v="3"/>
    <m/>
    <n v="3699"/>
    <n v="0"/>
    <n v="3"/>
    <s v="Recovered"/>
    <n v="1"/>
  </r>
  <r>
    <s v="ADM-242962"/>
    <d v="2025-01-24T00:00:00"/>
    <d v="2025-01-28T00:00:00"/>
    <x v="1"/>
    <s v="Q1"/>
    <x v="0"/>
    <x v="4"/>
    <x v="1"/>
    <x v="2"/>
    <x v="0"/>
    <x v="0"/>
    <x v="1"/>
    <n v="4"/>
    <m/>
    <n v="5458"/>
    <n v="1"/>
    <n v="4"/>
    <s v="Improved"/>
    <n v="1"/>
  </r>
  <r>
    <s v="ADM-242963"/>
    <d v="2025-01-24T00:00:00"/>
    <d v="2025-01-25T00:00:00"/>
    <x v="1"/>
    <s v="Q1"/>
    <x v="0"/>
    <x v="4"/>
    <x v="2"/>
    <x v="0"/>
    <x v="0"/>
    <x v="2"/>
    <x v="0"/>
    <n v="1"/>
    <n v="73"/>
    <n v="1605"/>
    <n v="0"/>
    <n v="5"/>
    <s v="Recovered"/>
    <n v="1"/>
  </r>
  <r>
    <s v="ADM-242964"/>
    <d v="2025-01-24T00:00:00"/>
    <d v="2025-01-28T00:00:00"/>
    <x v="1"/>
    <s v="Q1"/>
    <x v="0"/>
    <x v="4"/>
    <x v="1"/>
    <x v="2"/>
    <x v="0"/>
    <x v="2"/>
    <x v="2"/>
    <n v="4"/>
    <m/>
    <n v="4621"/>
    <n v="0"/>
    <n v="5"/>
    <s v="Recovered"/>
    <n v="1"/>
  </r>
  <r>
    <s v="ADM-242965"/>
    <d v="2025-01-24T00:00:00"/>
    <d v="2025-01-29T00:00:00"/>
    <x v="1"/>
    <s v="Q1"/>
    <x v="0"/>
    <x v="4"/>
    <x v="0"/>
    <x v="0"/>
    <x v="1"/>
    <x v="4"/>
    <x v="2"/>
    <n v="5"/>
    <n v="101"/>
    <n v="3733"/>
    <n v="0"/>
    <n v="3"/>
    <s v="Recovered"/>
    <n v="1"/>
  </r>
  <r>
    <s v="ADM-242966"/>
    <d v="2025-01-24T00:00:00"/>
    <d v="2025-01-27T00:00:00"/>
    <x v="1"/>
    <s v="Q1"/>
    <x v="0"/>
    <x v="4"/>
    <x v="4"/>
    <x v="1"/>
    <x v="1"/>
    <x v="4"/>
    <x v="0"/>
    <n v="3"/>
    <m/>
    <n v="4614"/>
    <n v="1"/>
    <n v="4"/>
    <s v="Recovered"/>
    <n v="1"/>
  </r>
  <r>
    <s v="ADM-242967"/>
    <d v="2025-01-24T00:00:00"/>
    <d v="2025-01-27T00:00:00"/>
    <x v="1"/>
    <s v="Q1"/>
    <x v="0"/>
    <x v="4"/>
    <x v="4"/>
    <x v="0"/>
    <x v="0"/>
    <x v="0"/>
    <x v="0"/>
    <n v="3"/>
    <n v="79"/>
    <n v="4101"/>
    <n v="0"/>
    <n v="5"/>
    <s v="Improved"/>
    <n v="1"/>
  </r>
  <r>
    <s v="ADM-242968"/>
    <d v="2025-01-24T00:00:00"/>
    <d v="2025-01-26T00:00:00"/>
    <x v="1"/>
    <s v="Q1"/>
    <x v="0"/>
    <x v="4"/>
    <x v="0"/>
    <x v="0"/>
    <x v="1"/>
    <x v="4"/>
    <x v="0"/>
    <n v="2"/>
    <n v="27"/>
    <n v="2651"/>
    <n v="0"/>
    <n v="4"/>
    <s v="Recovered"/>
    <n v="1"/>
  </r>
  <r>
    <s v="ADM-242969"/>
    <d v="2025-01-24T00:00:00"/>
    <d v="2025-02-06T00:00:00"/>
    <x v="1"/>
    <s v="Q1"/>
    <x v="0"/>
    <x v="4"/>
    <x v="0"/>
    <x v="0"/>
    <x v="1"/>
    <x v="0"/>
    <x v="1"/>
    <n v="13"/>
    <n v="149"/>
    <n v="7849"/>
    <n v="0"/>
    <n v="4"/>
    <s v="Recovered"/>
    <n v="1"/>
  </r>
  <r>
    <s v="ADM-242970"/>
    <d v="2025-01-24T00:00:00"/>
    <d v="2025-01-30T00:00:00"/>
    <x v="1"/>
    <s v="Q1"/>
    <x v="0"/>
    <x v="4"/>
    <x v="2"/>
    <x v="0"/>
    <x v="0"/>
    <x v="1"/>
    <x v="2"/>
    <n v="6"/>
    <n v="23"/>
    <n v="5214"/>
    <n v="0"/>
    <n v="4"/>
    <s v="Recovered"/>
    <n v="1"/>
  </r>
  <r>
    <s v="ADM-242971"/>
    <d v="2025-01-24T00:00:00"/>
    <d v="2025-01-26T00:00:00"/>
    <x v="1"/>
    <s v="Q1"/>
    <x v="0"/>
    <x v="4"/>
    <x v="2"/>
    <x v="0"/>
    <x v="0"/>
    <x v="1"/>
    <x v="0"/>
    <n v="2"/>
    <n v="44"/>
    <n v="2816"/>
    <n v="0"/>
    <n v="4"/>
    <s v="Improved"/>
    <n v="1"/>
  </r>
  <r>
    <s v="ADM-242972"/>
    <d v="2025-01-24T00:00:00"/>
    <d v="2025-02-12T00:00:00"/>
    <x v="1"/>
    <s v="Q1"/>
    <x v="0"/>
    <x v="4"/>
    <x v="0"/>
    <x v="2"/>
    <x v="1"/>
    <x v="4"/>
    <x v="0"/>
    <n v="19"/>
    <m/>
    <n v="11999"/>
    <n v="0"/>
    <n v="4"/>
    <s v="Improved"/>
    <n v="1"/>
  </r>
  <r>
    <s v="ADM-242973"/>
    <d v="2025-01-25T00:00:00"/>
    <d v="2025-01-27T00:00:00"/>
    <x v="1"/>
    <s v="Q1"/>
    <x v="0"/>
    <x v="5"/>
    <x v="1"/>
    <x v="2"/>
    <x v="1"/>
    <x v="1"/>
    <x v="0"/>
    <n v="2"/>
    <m/>
    <n v="2485"/>
    <n v="0"/>
    <n v="5"/>
    <s v="Improved"/>
    <n v="1"/>
  </r>
  <r>
    <s v="ADM-242974"/>
    <d v="2025-01-25T00:00:00"/>
    <d v="2025-01-26T00:00:00"/>
    <x v="1"/>
    <s v="Q1"/>
    <x v="0"/>
    <x v="5"/>
    <x v="0"/>
    <x v="0"/>
    <x v="0"/>
    <x v="4"/>
    <x v="2"/>
    <n v="1"/>
    <n v="95"/>
    <n v="1117"/>
    <n v="0"/>
    <n v="2"/>
    <s v="Recovered"/>
    <n v="1"/>
  </r>
  <r>
    <s v="ADM-242975"/>
    <d v="2025-01-25T00:00:00"/>
    <d v="2025-02-05T00:00:00"/>
    <x v="1"/>
    <s v="Q1"/>
    <x v="0"/>
    <x v="5"/>
    <x v="3"/>
    <x v="0"/>
    <x v="0"/>
    <x v="3"/>
    <x v="0"/>
    <n v="11"/>
    <n v="50"/>
    <n v="6334"/>
    <n v="1"/>
    <n v="4"/>
    <s v="Recovered"/>
    <n v="1"/>
  </r>
  <r>
    <s v="ADM-242976"/>
    <d v="2025-01-25T00:00:00"/>
    <d v="2025-01-27T00:00:00"/>
    <x v="1"/>
    <s v="Q1"/>
    <x v="0"/>
    <x v="5"/>
    <x v="4"/>
    <x v="0"/>
    <x v="1"/>
    <x v="0"/>
    <x v="0"/>
    <n v="2"/>
    <n v="83"/>
    <n v="3497"/>
    <n v="0"/>
    <n v="4"/>
    <s v="Transferred"/>
    <n v="1"/>
  </r>
  <r>
    <s v="ADM-242977"/>
    <d v="2025-01-25T00:00:00"/>
    <d v="2025-01-27T00:00:00"/>
    <x v="1"/>
    <s v="Q1"/>
    <x v="0"/>
    <x v="5"/>
    <x v="2"/>
    <x v="0"/>
    <x v="0"/>
    <x v="1"/>
    <x v="0"/>
    <n v="2"/>
    <n v="162"/>
    <n v="1942"/>
    <n v="0"/>
    <n v="4"/>
    <s v="Transferred"/>
    <n v="1"/>
  </r>
  <r>
    <s v="ADM-242978"/>
    <d v="2025-01-25T00:00:00"/>
    <d v="2025-01-29T00:00:00"/>
    <x v="1"/>
    <s v="Q1"/>
    <x v="0"/>
    <x v="5"/>
    <x v="1"/>
    <x v="2"/>
    <x v="1"/>
    <x v="2"/>
    <x v="2"/>
    <n v="4"/>
    <m/>
    <n v="5422"/>
    <n v="0"/>
    <n v="5"/>
    <s v="Improved"/>
    <n v="1"/>
  </r>
  <r>
    <s v="ADM-242979"/>
    <d v="2025-01-25T00:00:00"/>
    <d v="2025-01-30T00:00:00"/>
    <x v="1"/>
    <s v="Q1"/>
    <x v="0"/>
    <x v="5"/>
    <x v="5"/>
    <x v="2"/>
    <x v="1"/>
    <x v="4"/>
    <x v="2"/>
    <n v="5"/>
    <m/>
    <n v="6637"/>
    <n v="0"/>
    <n v="4"/>
    <s v="Recovered"/>
    <n v="1"/>
  </r>
  <r>
    <s v="ADM-242980"/>
    <d v="2025-01-25T00:00:00"/>
    <d v="2025-01-26T00:00:00"/>
    <x v="1"/>
    <s v="Q1"/>
    <x v="0"/>
    <x v="5"/>
    <x v="5"/>
    <x v="2"/>
    <x v="1"/>
    <x v="2"/>
    <x v="0"/>
    <n v="1"/>
    <m/>
    <n v="1085"/>
    <n v="0"/>
    <n v="4"/>
    <s v="Recovered"/>
    <n v="1"/>
  </r>
  <r>
    <s v="ADM-242981"/>
    <d v="2025-01-25T00:00:00"/>
    <d v="2025-01-26T00:00:00"/>
    <x v="1"/>
    <s v="Q1"/>
    <x v="0"/>
    <x v="5"/>
    <x v="4"/>
    <x v="0"/>
    <x v="0"/>
    <x v="4"/>
    <x v="0"/>
    <n v="1"/>
    <n v="187"/>
    <n v="2760"/>
    <n v="0"/>
    <n v="4"/>
    <s v="Recovered"/>
    <n v="1"/>
  </r>
  <r>
    <s v="ADM-242982"/>
    <d v="2025-01-25T00:00:00"/>
    <d v="2025-01-27T00:00:00"/>
    <x v="1"/>
    <s v="Q1"/>
    <x v="0"/>
    <x v="5"/>
    <x v="4"/>
    <x v="2"/>
    <x v="1"/>
    <x v="4"/>
    <x v="2"/>
    <n v="2"/>
    <m/>
    <n v="3134"/>
    <n v="0"/>
    <n v="5"/>
    <s v="Transferred"/>
    <n v="1"/>
  </r>
  <r>
    <s v="ADM-242983"/>
    <d v="2025-01-26T00:00:00"/>
    <d v="2025-01-28T00:00:00"/>
    <x v="1"/>
    <s v="Q1"/>
    <x v="0"/>
    <x v="6"/>
    <x v="4"/>
    <x v="2"/>
    <x v="1"/>
    <x v="4"/>
    <x v="2"/>
    <n v="2"/>
    <m/>
    <n v="2930"/>
    <n v="0"/>
    <n v="4"/>
    <s v="Recovered"/>
    <n v="1"/>
  </r>
  <r>
    <s v="ADM-242984"/>
    <d v="2025-01-26T00:00:00"/>
    <d v="2025-02-02T00:00:00"/>
    <x v="1"/>
    <s v="Q1"/>
    <x v="0"/>
    <x v="6"/>
    <x v="4"/>
    <x v="2"/>
    <x v="0"/>
    <x v="4"/>
    <x v="2"/>
    <n v="7"/>
    <m/>
    <n v="8511"/>
    <n v="1"/>
    <n v="2"/>
    <s v="Recovered"/>
    <n v="1"/>
  </r>
  <r>
    <s v="ADM-242985"/>
    <d v="2025-01-26T00:00:00"/>
    <d v="2025-01-28T00:00:00"/>
    <x v="1"/>
    <s v="Q1"/>
    <x v="0"/>
    <x v="6"/>
    <x v="2"/>
    <x v="0"/>
    <x v="0"/>
    <x v="1"/>
    <x v="1"/>
    <n v="2"/>
    <n v="25"/>
    <n v="1921"/>
    <n v="0"/>
    <n v="3"/>
    <s v="Recovered"/>
    <n v="1"/>
  </r>
  <r>
    <s v="ADM-242986"/>
    <d v="2025-01-26T00:00:00"/>
    <d v="2025-01-28T00:00:00"/>
    <x v="1"/>
    <s v="Q1"/>
    <x v="0"/>
    <x v="6"/>
    <x v="3"/>
    <x v="0"/>
    <x v="1"/>
    <x v="3"/>
    <x v="2"/>
    <n v="2"/>
    <n v="84"/>
    <n v="2338"/>
    <n v="0"/>
    <n v="5"/>
    <s v="Recovered"/>
    <n v="1"/>
  </r>
  <r>
    <s v="ADM-242987"/>
    <d v="2025-01-26T00:00:00"/>
    <d v="2025-01-27T00:00:00"/>
    <x v="1"/>
    <s v="Q1"/>
    <x v="0"/>
    <x v="6"/>
    <x v="1"/>
    <x v="2"/>
    <x v="0"/>
    <x v="4"/>
    <x v="2"/>
    <n v="1"/>
    <m/>
    <n v="2214"/>
    <n v="0"/>
    <n v="4"/>
    <s v="Improved"/>
    <n v="1"/>
  </r>
  <r>
    <s v="ADM-242988"/>
    <d v="2025-01-26T00:00:00"/>
    <d v="2025-01-29T00:00:00"/>
    <x v="1"/>
    <s v="Q1"/>
    <x v="0"/>
    <x v="6"/>
    <x v="1"/>
    <x v="2"/>
    <x v="0"/>
    <x v="0"/>
    <x v="0"/>
    <n v="3"/>
    <m/>
    <n v="4095"/>
    <n v="0"/>
    <n v="3"/>
    <s v="Recovered"/>
    <n v="1"/>
  </r>
  <r>
    <s v="ADM-242989"/>
    <d v="2025-01-26T00:00:00"/>
    <d v="2025-01-27T00:00:00"/>
    <x v="1"/>
    <s v="Q1"/>
    <x v="0"/>
    <x v="6"/>
    <x v="4"/>
    <x v="2"/>
    <x v="1"/>
    <x v="4"/>
    <x v="0"/>
    <n v="1"/>
    <m/>
    <n v="1665"/>
    <n v="0"/>
    <n v="4"/>
    <s v="Improved"/>
    <n v="1"/>
  </r>
  <r>
    <s v="ADM-242990"/>
    <d v="2025-01-27T00:00:00"/>
    <d v="2025-01-29T00:00:00"/>
    <x v="1"/>
    <s v="Q1"/>
    <x v="0"/>
    <x v="0"/>
    <x v="1"/>
    <x v="2"/>
    <x v="0"/>
    <x v="2"/>
    <x v="0"/>
    <n v="2"/>
    <m/>
    <n v="3057"/>
    <n v="0"/>
    <n v="5"/>
    <s v="Recovered"/>
    <n v="1"/>
  </r>
  <r>
    <s v="ADM-242991"/>
    <d v="2025-01-27T00:00:00"/>
    <d v="2025-01-28T00:00:00"/>
    <x v="1"/>
    <s v="Q1"/>
    <x v="0"/>
    <x v="0"/>
    <x v="3"/>
    <x v="1"/>
    <x v="1"/>
    <x v="3"/>
    <x v="2"/>
    <n v="1"/>
    <m/>
    <n v="1354"/>
    <n v="0"/>
    <n v="5"/>
    <s v="Recovered"/>
    <n v="1"/>
  </r>
  <r>
    <s v="ADM-242992"/>
    <d v="2025-01-27T00:00:00"/>
    <d v="2025-01-31T00:00:00"/>
    <x v="1"/>
    <s v="Q1"/>
    <x v="0"/>
    <x v="0"/>
    <x v="2"/>
    <x v="0"/>
    <x v="0"/>
    <x v="2"/>
    <x v="2"/>
    <n v="4"/>
    <n v="35"/>
    <n v="3610"/>
    <n v="0"/>
    <n v="4"/>
    <s v="Recovered"/>
    <n v="1"/>
  </r>
  <r>
    <s v="ADM-242993"/>
    <d v="2025-01-27T00:00:00"/>
    <d v="2025-01-28T00:00:00"/>
    <x v="1"/>
    <s v="Q1"/>
    <x v="0"/>
    <x v="0"/>
    <x v="3"/>
    <x v="0"/>
    <x v="0"/>
    <x v="3"/>
    <x v="2"/>
    <n v="1"/>
    <n v="30"/>
    <n v="1885"/>
    <n v="0"/>
    <n v="3"/>
    <s v="Recovered"/>
    <n v="1"/>
  </r>
  <r>
    <s v="ADM-242994"/>
    <d v="2025-01-27T00:00:00"/>
    <d v="2025-01-29T00:00:00"/>
    <x v="1"/>
    <s v="Q1"/>
    <x v="0"/>
    <x v="0"/>
    <x v="3"/>
    <x v="0"/>
    <x v="1"/>
    <x v="3"/>
    <x v="2"/>
    <n v="2"/>
    <n v="84"/>
    <n v="2491"/>
    <n v="0"/>
    <n v="4"/>
    <s v="Recovered"/>
    <n v="1"/>
  </r>
  <r>
    <s v="ADM-242995"/>
    <d v="2025-01-27T00:00:00"/>
    <d v="2025-02-03T00:00:00"/>
    <x v="1"/>
    <s v="Q1"/>
    <x v="0"/>
    <x v="0"/>
    <x v="1"/>
    <x v="1"/>
    <x v="1"/>
    <x v="2"/>
    <x v="0"/>
    <n v="7"/>
    <m/>
    <n v="9067"/>
    <n v="0"/>
    <n v="4"/>
    <s v="Recovered"/>
    <n v="1"/>
  </r>
  <r>
    <s v="ADM-242996"/>
    <d v="2025-01-27T00:00:00"/>
    <d v="2025-01-28T00:00:00"/>
    <x v="1"/>
    <s v="Q1"/>
    <x v="0"/>
    <x v="0"/>
    <x v="2"/>
    <x v="0"/>
    <x v="0"/>
    <x v="2"/>
    <x v="0"/>
    <n v="1"/>
    <n v="42"/>
    <n v="1504"/>
    <n v="0"/>
    <n v="4"/>
    <s v="Improved"/>
    <n v="1"/>
  </r>
  <r>
    <s v="ADM-242997"/>
    <d v="2025-01-27T00:00:00"/>
    <d v="2025-02-03T00:00:00"/>
    <x v="1"/>
    <s v="Q1"/>
    <x v="0"/>
    <x v="0"/>
    <x v="4"/>
    <x v="2"/>
    <x v="1"/>
    <x v="0"/>
    <x v="0"/>
    <n v="7"/>
    <m/>
    <n v="7412"/>
    <n v="0"/>
    <n v="4"/>
    <s v="Recovered"/>
    <n v="1"/>
  </r>
  <r>
    <s v="ADM-242998"/>
    <d v="2025-01-27T00:00:00"/>
    <d v="2025-01-31T00:00:00"/>
    <x v="1"/>
    <s v="Q1"/>
    <x v="0"/>
    <x v="0"/>
    <x v="4"/>
    <x v="0"/>
    <x v="0"/>
    <x v="0"/>
    <x v="0"/>
    <n v="4"/>
    <n v="45"/>
    <n v="6039"/>
    <n v="0"/>
    <n v="2"/>
    <s v="Transferred"/>
    <n v="1"/>
  </r>
  <r>
    <s v="ADM-242999"/>
    <d v="2025-01-27T00:00:00"/>
    <d v="2025-02-04T00:00:00"/>
    <x v="1"/>
    <s v="Q1"/>
    <x v="0"/>
    <x v="0"/>
    <x v="0"/>
    <x v="1"/>
    <x v="0"/>
    <x v="0"/>
    <x v="0"/>
    <n v="8"/>
    <m/>
    <n v="5238"/>
    <n v="0"/>
    <n v="4"/>
    <s v="Recovered"/>
    <n v="1"/>
  </r>
  <r>
    <s v="ADM-243000"/>
    <d v="2025-01-27T00:00:00"/>
    <d v="2025-01-28T00:00:00"/>
    <x v="1"/>
    <s v="Q1"/>
    <x v="0"/>
    <x v="0"/>
    <x v="3"/>
    <x v="0"/>
    <x v="0"/>
    <x v="3"/>
    <x v="2"/>
    <n v="1"/>
    <n v="23"/>
    <n v="1526"/>
    <n v="1"/>
    <n v="4"/>
    <s v="Recovered"/>
    <n v="1"/>
  </r>
  <r>
    <s v="ADM-243001"/>
    <d v="2025-01-27T00:00:00"/>
    <d v="2025-01-30T00:00:00"/>
    <x v="1"/>
    <s v="Q1"/>
    <x v="0"/>
    <x v="0"/>
    <x v="4"/>
    <x v="0"/>
    <x v="1"/>
    <x v="4"/>
    <x v="2"/>
    <n v="3"/>
    <n v="106"/>
    <n v="3679"/>
    <n v="0"/>
    <n v="3"/>
    <s v="Recovered"/>
    <n v="1"/>
  </r>
  <r>
    <s v="ADM-243002"/>
    <d v="2025-01-27T00:00:00"/>
    <d v="2025-01-31T00:00:00"/>
    <x v="1"/>
    <s v="Q1"/>
    <x v="0"/>
    <x v="0"/>
    <x v="4"/>
    <x v="2"/>
    <x v="1"/>
    <x v="4"/>
    <x v="0"/>
    <n v="4"/>
    <m/>
    <n v="4491"/>
    <n v="0"/>
    <n v="4"/>
    <s v="Improved"/>
    <n v="1"/>
  </r>
  <r>
    <s v="ADM-243003"/>
    <d v="2025-01-27T00:00:00"/>
    <d v="2025-01-29T00:00:00"/>
    <x v="1"/>
    <s v="Q1"/>
    <x v="0"/>
    <x v="0"/>
    <x v="2"/>
    <x v="2"/>
    <x v="0"/>
    <x v="1"/>
    <x v="0"/>
    <n v="2"/>
    <m/>
    <n v="2511"/>
    <n v="0"/>
    <n v="4"/>
    <s v="Recovered"/>
    <n v="1"/>
  </r>
  <r>
    <s v="ADM-243004"/>
    <d v="2025-01-27T00:00:00"/>
    <d v="2025-02-10T00:00:00"/>
    <x v="1"/>
    <s v="Q1"/>
    <x v="0"/>
    <x v="0"/>
    <x v="4"/>
    <x v="0"/>
    <x v="1"/>
    <x v="1"/>
    <x v="2"/>
    <n v="14"/>
    <n v="37"/>
    <n v="22007"/>
    <n v="0"/>
    <n v="4"/>
    <s v="Recovered"/>
    <n v="1"/>
  </r>
  <r>
    <s v="ADM-243005"/>
    <d v="2025-01-27T00:00:00"/>
    <d v="2025-02-05T00:00:00"/>
    <x v="1"/>
    <s v="Q1"/>
    <x v="0"/>
    <x v="0"/>
    <x v="0"/>
    <x v="0"/>
    <x v="1"/>
    <x v="2"/>
    <x v="0"/>
    <n v="9"/>
    <n v="79"/>
    <n v="7609"/>
    <n v="1"/>
    <n v="3"/>
    <s v="Improved"/>
    <n v="1"/>
  </r>
  <r>
    <s v="ADM-243006"/>
    <d v="2025-01-28T00:00:00"/>
    <d v="2025-02-10T00:00:00"/>
    <x v="1"/>
    <s v="Q1"/>
    <x v="0"/>
    <x v="1"/>
    <x v="5"/>
    <x v="2"/>
    <x v="1"/>
    <x v="0"/>
    <x v="1"/>
    <n v="13"/>
    <m/>
    <n v="11160"/>
    <n v="0"/>
    <n v="4"/>
    <s v="Improved"/>
    <n v="1"/>
  </r>
  <r>
    <s v="ADM-243007"/>
    <d v="2025-01-28T00:00:00"/>
    <d v="2025-02-05T00:00:00"/>
    <x v="1"/>
    <s v="Q1"/>
    <x v="0"/>
    <x v="1"/>
    <x v="2"/>
    <x v="0"/>
    <x v="0"/>
    <x v="2"/>
    <x v="1"/>
    <n v="8"/>
    <n v="54"/>
    <n v="5582"/>
    <n v="0"/>
    <n v="4"/>
    <s v="Improved"/>
    <n v="1"/>
  </r>
  <r>
    <s v="ADM-243008"/>
    <d v="2025-01-28T00:00:00"/>
    <d v="2025-02-10T00:00:00"/>
    <x v="1"/>
    <s v="Q1"/>
    <x v="0"/>
    <x v="1"/>
    <x v="4"/>
    <x v="0"/>
    <x v="0"/>
    <x v="0"/>
    <x v="2"/>
    <n v="13"/>
    <n v="85"/>
    <n v="15591"/>
    <n v="0"/>
    <n v="4"/>
    <s v="Recovered"/>
    <n v="1"/>
  </r>
  <r>
    <s v="ADM-243009"/>
    <d v="2025-01-28T00:00:00"/>
    <d v="2025-01-30T00:00:00"/>
    <x v="1"/>
    <s v="Q1"/>
    <x v="0"/>
    <x v="1"/>
    <x v="0"/>
    <x v="0"/>
    <x v="1"/>
    <x v="0"/>
    <x v="0"/>
    <n v="2"/>
    <n v="37"/>
    <n v="2238"/>
    <n v="0"/>
    <n v="4"/>
    <s v="Recovered"/>
    <n v="1"/>
  </r>
  <r>
    <s v="ADM-243010"/>
    <d v="2025-01-28T00:00:00"/>
    <d v="2025-01-31T00:00:00"/>
    <x v="1"/>
    <s v="Q1"/>
    <x v="0"/>
    <x v="1"/>
    <x v="4"/>
    <x v="0"/>
    <x v="1"/>
    <x v="1"/>
    <x v="2"/>
    <n v="3"/>
    <n v="26"/>
    <n v="5496"/>
    <n v="0"/>
    <n v="4"/>
    <s v="Recovered"/>
    <n v="1"/>
  </r>
  <r>
    <s v="ADM-243011"/>
    <d v="2025-01-28T00:00:00"/>
    <d v="2025-02-09T00:00:00"/>
    <x v="1"/>
    <s v="Q1"/>
    <x v="0"/>
    <x v="1"/>
    <x v="0"/>
    <x v="0"/>
    <x v="1"/>
    <x v="4"/>
    <x v="2"/>
    <n v="12"/>
    <n v="216"/>
    <n v="7032"/>
    <n v="0"/>
    <n v="3"/>
    <s v="Deceased"/>
    <n v="1"/>
  </r>
  <r>
    <s v="ADM-243012"/>
    <d v="2025-01-28T00:00:00"/>
    <d v="2025-01-30T00:00:00"/>
    <x v="1"/>
    <s v="Q1"/>
    <x v="0"/>
    <x v="1"/>
    <x v="3"/>
    <x v="2"/>
    <x v="1"/>
    <x v="3"/>
    <x v="0"/>
    <n v="2"/>
    <m/>
    <n v="2005"/>
    <n v="0"/>
    <n v="4"/>
    <s v="Recovered"/>
    <n v="1"/>
  </r>
  <r>
    <s v="ADM-243013"/>
    <d v="2025-01-28T00:00:00"/>
    <d v="2025-01-30T00:00:00"/>
    <x v="1"/>
    <s v="Q1"/>
    <x v="0"/>
    <x v="1"/>
    <x v="4"/>
    <x v="0"/>
    <x v="1"/>
    <x v="1"/>
    <x v="2"/>
    <n v="2"/>
    <n v="115"/>
    <n v="3046"/>
    <n v="0"/>
    <n v="3"/>
    <s v="Recovered"/>
    <n v="1"/>
  </r>
  <r>
    <s v="ADM-243014"/>
    <d v="2025-01-28T00:00:00"/>
    <d v="2025-01-30T00:00:00"/>
    <x v="1"/>
    <s v="Q1"/>
    <x v="0"/>
    <x v="1"/>
    <x v="1"/>
    <x v="2"/>
    <x v="0"/>
    <x v="1"/>
    <x v="2"/>
    <n v="2"/>
    <m/>
    <n v="2851"/>
    <n v="0"/>
    <n v="4"/>
    <s v="Recovered"/>
    <n v="1"/>
  </r>
  <r>
    <s v="ADM-243015"/>
    <d v="2025-01-28T00:00:00"/>
    <d v="2025-02-01T00:00:00"/>
    <x v="1"/>
    <s v="Q1"/>
    <x v="0"/>
    <x v="1"/>
    <x v="0"/>
    <x v="0"/>
    <x v="1"/>
    <x v="0"/>
    <x v="0"/>
    <n v="4"/>
    <n v="34"/>
    <n v="2937"/>
    <n v="0"/>
    <n v="4"/>
    <s v="Recovered"/>
    <n v="1"/>
  </r>
  <r>
    <s v="ADM-243016"/>
    <d v="2025-01-28T00:00:00"/>
    <d v="2025-01-29T00:00:00"/>
    <x v="1"/>
    <s v="Q1"/>
    <x v="0"/>
    <x v="1"/>
    <x v="3"/>
    <x v="0"/>
    <x v="1"/>
    <x v="3"/>
    <x v="0"/>
    <n v="1"/>
    <n v="35"/>
    <n v="2141"/>
    <n v="0"/>
    <n v="4"/>
    <s v="Transferred"/>
    <n v="1"/>
  </r>
  <r>
    <s v="ADM-243017"/>
    <d v="2025-01-29T00:00:00"/>
    <d v="2025-02-07T00:00:00"/>
    <x v="1"/>
    <s v="Q1"/>
    <x v="0"/>
    <x v="2"/>
    <x v="0"/>
    <x v="0"/>
    <x v="1"/>
    <x v="2"/>
    <x v="0"/>
    <n v="9"/>
    <n v="77"/>
    <n v="6085"/>
    <n v="0"/>
    <n v="5"/>
    <s v="Recovered"/>
    <n v="1"/>
  </r>
  <r>
    <s v="ADM-243018"/>
    <d v="2025-01-29T00:00:00"/>
    <d v="2025-01-31T00:00:00"/>
    <x v="1"/>
    <s v="Q1"/>
    <x v="0"/>
    <x v="2"/>
    <x v="3"/>
    <x v="2"/>
    <x v="1"/>
    <x v="3"/>
    <x v="2"/>
    <n v="2"/>
    <m/>
    <n v="1526"/>
    <n v="0"/>
    <n v="4"/>
    <s v="Improved"/>
    <n v="1"/>
  </r>
  <r>
    <s v="ADM-243019"/>
    <d v="2025-01-29T00:00:00"/>
    <d v="2025-02-05T00:00:00"/>
    <x v="1"/>
    <s v="Q1"/>
    <x v="0"/>
    <x v="2"/>
    <x v="3"/>
    <x v="0"/>
    <x v="0"/>
    <x v="3"/>
    <x v="2"/>
    <n v="7"/>
    <n v="23"/>
    <n v="6402"/>
    <n v="0"/>
    <n v="5"/>
    <s v="Recovered"/>
    <n v="1"/>
  </r>
  <r>
    <s v="ADM-243020"/>
    <d v="2025-01-29T00:00:00"/>
    <d v="2025-01-30T00:00:00"/>
    <x v="1"/>
    <s v="Q1"/>
    <x v="0"/>
    <x v="2"/>
    <x v="2"/>
    <x v="2"/>
    <x v="0"/>
    <x v="2"/>
    <x v="2"/>
    <n v="1"/>
    <m/>
    <n v="1818"/>
    <n v="0"/>
    <n v="5"/>
    <s v="Recovered"/>
    <n v="1"/>
  </r>
  <r>
    <s v="ADM-243021"/>
    <d v="2025-01-29T00:00:00"/>
    <d v="2025-02-06T00:00:00"/>
    <x v="1"/>
    <s v="Q1"/>
    <x v="0"/>
    <x v="2"/>
    <x v="4"/>
    <x v="0"/>
    <x v="0"/>
    <x v="4"/>
    <x v="0"/>
    <n v="8"/>
    <n v="121"/>
    <n v="8583"/>
    <n v="1"/>
    <n v="4"/>
    <s v="Recovered"/>
    <n v="1"/>
  </r>
  <r>
    <s v="ADM-243022"/>
    <d v="2025-01-29T00:00:00"/>
    <d v="2025-02-02T00:00:00"/>
    <x v="1"/>
    <s v="Q1"/>
    <x v="0"/>
    <x v="2"/>
    <x v="5"/>
    <x v="2"/>
    <x v="1"/>
    <x v="4"/>
    <x v="0"/>
    <n v="4"/>
    <m/>
    <n v="3788"/>
    <n v="0"/>
    <n v="4"/>
    <s v="Improved"/>
    <n v="1"/>
  </r>
  <r>
    <s v="ADM-243023"/>
    <d v="2025-01-29T00:00:00"/>
    <d v="2025-02-01T00:00:00"/>
    <x v="1"/>
    <s v="Q1"/>
    <x v="0"/>
    <x v="2"/>
    <x v="1"/>
    <x v="2"/>
    <x v="0"/>
    <x v="1"/>
    <x v="2"/>
    <n v="3"/>
    <m/>
    <n v="3129"/>
    <n v="0"/>
    <n v="4"/>
    <s v="Recovered"/>
    <n v="1"/>
  </r>
  <r>
    <s v="ADM-243024"/>
    <d v="2025-01-29T00:00:00"/>
    <d v="2025-02-07T00:00:00"/>
    <x v="1"/>
    <s v="Q1"/>
    <x v="0"/>
    <x v="2"/>
    <x v="5"/>
    <x v="2"/>
    <x v="0"/>
    <x v="4"/>
    <x v="2"/>
    <n v="9"/>
    <m/>
    <n v="7682"/>
    <n v="0"/>
    <n v="5"/>
    <s v="Recovered"/>
    <n v="1"/>
  </r>
  <r>
    <s v="ADM-243025"/>
    <d v="2025-01-29T00:00:00"/>
    <d v="2025-01-31T00:00:00"/>
    <x v="1"/>
    <s v="Q1"/>
    <x v="0"/>
    <x v="2"/>
    <x v="0"/>
    <x v="2"/>
    <x v="1"/>
    <x v="4"/>
    <x v="1"/>
    <n v="2"/>
    <m/>
    <n v="2005"/>
    <n v="1"/>
    <n v="4"/>
    <s v="Recovered"/>
    <n v="1"/>
  </r>
  <r>
    <s v="ADM-243026"/>
    <d v="2025-01-29T00:00:00"/>
    <d v="2025-02-05T00:00:00"/>
    <x v="1"/>
    <s v="Q1"/>
    <x v="0"/>
    <x v="2"/>
    <x v="0"/>
    <x v="0"/>
    <x v="0"/>
    <x v="2"/>
    <x v="2"/>
    <n v="7"/>
    <n v="30"/>
    <n v="3593"/>
    <n v="0"/>
    <n v="4"/>
    <s v="Recovered"/>
    <n v="1"/>
  </r>
  <r>
    <s v="ADM-243027"/>
    <d v="2025-01-29T00:00:00"/>
    <d v="2025-01-31T00:00:00"/>
    <x v="1"/>
    <s v="Q1"/>
    <x v="0"/>
    <x v="2"/>
    <x v="5"/>
    <x v="2"/>
    <x v="1"/>
    <x v="4"/>
    <x v="0"/>
    <n v="2"/>
    <m/>
    <n v="2737"/>
    <n v="0"/>
    <n v="4"/>
    <s v="Recovered"/>
    <n v="1"/>
  </r>
  <r>
    <s v="ADM-243028"/>
    <d v="2025-01-29T00:00:00"/>
    <d v="2025-01-31T00:00:00"/>
    <x v="1"/>
    <s v="Q1"/>
    <x v="0"/>
    <x v="2"/>
    <x v="0"/>
    <x v="0"/>
    <x v="1"/>
    <x v="4"/>
    <x v="2"/>
    <n v="2"/>
    <n v="24"/>
    <n v="2061"/>
    <n v="0"/>
    <n v="4"/>
    <s v="Recovered"/>
    <n v="1"/>
  </r>
  <r>
    <s v="ADM-243029"/>
    <d v="2025-01-30T00:00:00"/>
    <d v="2025-02-01T00:00:00"/>
    <x v="1"/>
    <s v="Q1"/>
    <x v="0"/>
    <x v="3"/>
    <x v="0"/>
    <x v="0"/>
    <x v="1"/>
    <x v="0"/>
    <x v="2"/>
    <n v="2"/>
    <n v="58"/>
    <n v="2103"/>
    <n v="0"/>
    <n v="5"/>
    <s v="Recovered"/>
    <n v="1"/>
  </r>
  <r>
    <s v="ADM-243030"/>
    <d v="2025-01-30T00:00:00"/>
    <d v="2025-01-31T00:00:00"/>
    <x v="1"/>
    <s v="Q1"/>
    <x v="0"/>
    <x v="3"/>
    <x v="3"/>
    <x v="0"/>
    <x v="0"/>
    <x v="3"/>
    <x v="2"/>
    <n v="1"/>
    <n v="51"/>
    <n v="1783"/>
    <n v="0"/>
    <n v="4"/>
    <s v="Deceased"/>
    <n v="1"/>
  </r>
  <r>
    <s v="ADM-243031"/>
    <d v="2025-01-30T00:00:00"/>
    <d v="2025-02-04T00:00:00"/>
    <x v="1"/>
    <s v="Q1"/>
    <x v="0"/>
    <x v="3"/>
    <x v="1"/>
    <x v="2"/>
    <x v="0"/>
    <x v="4"/>
    <x v="0"/>
    <n v="5"/>
    <m/>
    <n v="4674"/>
    <n v="0"/>
    <n v="5"/>
    <s v="Improved"/>
    <n v="1"/>
  </r>
  <r>
    <s v="ADM-243032"/>
    <d v="2025-01-30T00:00:00"/>
    <d v="2025-02-04T00:00:00"/>
    <x v="1"/>
    <s v="Q1"/>
    <x v="0"/>
    <x v="3"/>
    <x v="4"/>
    <x v="0"/>
    <x v="0"/>
    <x v="1"/>
    <x v="0"/>
    <n v="5"/>
    <n v="99"/>
    <n v="6006"/>
    <n v="0"/>
    <n v="3"/>
    <s v="Improved"/>
    <n v="1"/>
  </r>
  <r>
    <s v="ADM-243033"/>
    <d v="2025-01-30T00:00:00"/>
    <d v="2025-02-04T00:00:00"/>
    <x v="1"/>
    <s v="Q1"/>
    <x v="0"/>
    <x v="3"/>
    <x v="3"/>
    <x v="0"/>
    <x v="0"/>
    <x v="3"/>
    <x v="2"/>
    <n v="5"/>
    <n v="92"/>
    <n v="3778"/>
    <n v="0"/>
    <n v="2"/>
    <s v="Recovered"/>
    <n v="1"/>
  </r>
  <r>
    <s v="ADM-243034"/>
    <d v="2025-01-30T00:00:00"/>
    <d v="2025-02-01T00:00:00"/>
    <x v="1"/>
    <s v="Q1"/>
    <x v="0"/>
    <x v="3"/>
    <x v="1"/>
    <x v="2"/>
    <x v="1"/>
    <x v="1"/>
    <x v="2"/>
    <n v="2"/>
    <m/>
    <n v="2769"/>
    <n v="0"/>
    <n v="5"/>
    <s v="Recovered"/>
    <n v="1"/>
  </r>
  <r>
    <s v="ADM-243035"/>
    <d v="2025-01-30T00:00:00"/>
    <d v="2025-02-05T00:00:00"/>
    <x v="1"/>
    <s v="Q1"/>
    <x v="0"/>
    <x v="3"/>
    <x v="3"/>
    <x v="0"/>
    <x v="0"/>
    <x v="3"/>
    <x v="2"/>
    <n v="6"/>
    <n v="23"/>
    <n v="3705"/>
    <n v="0"/>
    <n v="4"/>
    <s v="Recovered"/>
    <n v="1"/>
  </r>
  <r>
    <s v="ADM-243036"/>
    <d v="2025-01-30T00:00:00"/>
    <d v="2025-01-31T00:00:00"/>
    <x v="1"/>
    <s v="Q1"/>
    <x v="0"/>
    <x v="3"/>
    <x v="0"/>
    <x v="0"/>
    <x v="0"/>
    <x v="0"/>
    <x v="0"/>
    <n v="1"/>
    <n v="75"/>
    <n v="1644"/>
    <n v="0"/>
    <n v="4"/>
    <s v="Recovered"/>
    <n v="1"/>
  </r>
  <r>
    <s v="ADM-243037"/>
    <d v="2025-01-30T00:00:00"/>
    <d v="2025-02-06T00:00:00"/>
    <x v="1"/>
    <s v="Q1"/>
    <x v="0"/>
    <x v="3"/>
    <x v="5"/>
    <x v="1"/>
    <x v="1"/>
    <x v="4"/>
    <x v="0"/>
    <n v="7"/>
    <m/>
    <n v="6477"/>
    <n v="0"/>
    <n v="5"/>
    <s v="Improved"/>
    <n v="1"/>
  </r>
  <r>
    <s v="ADM-243038"/>
    <d v="2025-01-31T00:00:00"/>
    <d v="2025-02-09T00:00:00"/>
    <x v="1"/>
    <s v="Q1"/>
    <x v="0"/>
    <x v="4"/>
    <x v="0"/>
    <x v="0"/>
    <x v="1"/>
    <x v="0"/>
    <x v="2"/>
    <n v="9"/>
    <n v="57"/>
    <n v="7990"/>
    <n v="1"/>
    <n v="4"/>
    <s v="Recovered"/>
    <n v="1"/>
  </r>
  <r>
    <s v="ADM-243039"/>
    <d v="2025-01-31T00:00:00"/>
    <d v="2025-02-06T00:00:00"/>
    <x v="1"/>
    <s v="Q1"/>
    <x v="0"/>
    <x v="4"/>
    <x v="0"/>
    <x v="0"/>
    <x v="1"/>
    <x v="4"/>
    <x v="0"/>
    <n v="6"/>
    <n v="30"/>
    <n v="4795"/>
    <n v="1"/>
    <n v="4"/>
    <s v="Improved"/>
    <n v="1"/>
  </r>
  <r>
    <s v="ADM-243040"/>
    <d v="2025-01-31T00:00:00"/>
    <d v="2025-02-03T00:00:00"/>
    <x v="1"/>
    <s v="Q1"/>
    <x v="0"/>
    <x v="4"/>
    <x v="0"/>
    <x v="0"/>
    <x v="1"/>
    <x v="0"/>
    <x v="1"/>
    <n v="3"/>
    <n v="30"/>
    <n v="2659"/>
    <n v="0"/>
    <n v="4"/>
    <s v="Improved"/>
    <n v="1"/>
  </r>
  <r>
    <s v="ADM-243041"/>
    <d v="2025-01-31T00:00:00"/>
    <d v="2025-02-02T00:00:00"/>
    <x v="1"/>
    <s v="Q1"/>
    <x v="0"/>
    <x v="4"/>
    <x v="2"/>
    <x v="2"/>
    <x v="0"/>
    <x v="2"/>
    <x v="2"/>
    <n v="2"/>
    <m/>
    <n v="1921"/>
    <n v="0"/>
    <n v="4"/>
    <s v="Recovered"/>
    <n v="1"/>
  </r>
  <r>
    <s v="ADM-243042"/>
    <d v="2025-01-31T00:00:00"/>
    <d v="2025-02-05T00:00:00"/>
    <x v="1"/>
    <s v="Q1"/>
    <x v="0"/>
    <x v="4"/>
    <x v="1"/>
    <x v="2"/>
    <x v="1"/>
    <x v="0"/>
    <x v="2"/>
    <n v="5"/>
    <m/>
    <n v="6926"/>
    <n v="0"/>
    <n v="4"/>
    <s v="Improved"/>
    <n v="1"/>
  </r>
  <r>
    <s v="ADM-243043"/>
    <d v="2025-01-31T00:00:00"/>
    <d v="2025-02-01T00:00:00"/>
    <x v="1"/>
    <s v="Q1"/>
    <x v="0"/>
    <x v="4"/>
    <x v="0"/>
    <x v="0"/>
    <x v="1"/>
    <x v="4"/>
    <x v="0"/>
    <n v="1"/>
    <n v="93"/>
    <n v="1127"/>
    <n v="0"/>
    <n v="4"/>
    <s v="Recovered"/>
    <n v="1"/>
  </r>
  <r>
    <s v="ADM-243044"/>
    <d v="2025-01-31T00:00:00"/>
    <d v="2025-02-04T00:00:00"/>
    <x v="1"/>
    <s v="Q1"/>
    <x v="0"/>
    <x v="4"/>
    <x v="2"/>
    <x v="0"/>
    <x v="0"/>
    <x v="2"/>
    <x v="2"/>
    <n v="4"/>
    <n v="135"/>
    <n v="4054"/>
    <n v="0"/>
    <n v="5"/>
    <s v="Recovered"/>
    <n v="1"/>
  </r>
  <r>
    <s v="ADM-243045"/>
    <d v="2025-01-31T00:00:00"/>
    <d v="2025-02-05T00:00:00"/>
    <x v="1"/>
    <s v="Q1"/>
    <x v="0"/>
    <x v="4"/>
    <x v="5"/>
    <x v="2"/>
    <x v="0"/>
    <x v="2"/>
    <x v="0"/>
    <n v="5"/>
    <m/>
    <n v="5992"/>
    <n v="0"/>
    <n v="4"/>
    <s v="Recovered"/>
    <n v="1"/>
  </r>
  <r>
    <s v="ADM-243046"/>
    <d v="2025-01-31T00:00:00"/>
    <d v="2025-02-01T00:00:00"/>
    <x v="1"/>
    <s v="Q1"/>
    <x v="0"/>
    <x v="4"/>
    <x v="4"/>
    <x v="0"/>
    <x v="1"/>
    <x v="4"/>
    <x v="2"/>
    <n v="1"/>
    <n v="150"/>
    <n v="2141"/>
    <n v="0"/>
    <n v="3"/>
    <s v="Recovered"/>
    <n v="1"/>
  </r>
  <r>
    <s v="ADM-243047"/>
    <d v="2025-02-01T00:00:00"/>
    <d v="2025-02-02T00:00:00"/>
    <x v="1"/>
    <s v="Q1"/>
    <x v="1"/>
    <x v="5"/>
    <x v="1"/>
    <x v="0"/>
    <x v="1"/>
    <x v="1"/>
    <x v="0"/>
    <n v="1"/>
    <n v="57"/>
    <n v="1861"/>
    <n v="0"/>
    <n v="4"/>
    <s v="Recovered"/>
    <n v="1"/>
  </r>
  <r>
    <s v="ADM-243048"/>
    <d v="2025-02-01T00:00:00"/>
    <d v="2025-02-03T00:00:00"/>
    <x v="1"/>
    <s v="Q1"/>
    <x v="1"/>
    <x v="5"/>
    <x v="0"/>
    <x v="2"/>
    <x v="1"/>
    <x v="2"/>
    <x v="0"/>
    <n v="2"/>
    <m/>
    <n v="2269"/>
    <n v="0"/>
    <n v="5"/>
    <s v="Improved"/>
    <n v="1"/>
  </r>
  <r>
    <s v="ADM-243049"/>
    <d v="2025-02-01T00:00:00"/>
    <d v="2025-02-02T00:00:00"/>
    <x v="1"/>
    <s v="Q1"/>
    <x v="1"/>
    <x v="5"/>
    <x v="5"/>
    <x v="2"/>
    <x v="0"/>
    <x v="0"/>
    <x v="0"/>
    <n v="1"/>
    <m/>
    <n v="1999"/>
    <n v="0"/>
    <n v="3"/>
    <s v="Recovered"/>
    <n v="1"/>
  </r>
  <r>
    <s v="ADM-243050"/>
    <d v="2025-02-01T00:00:00"/>
    <d v="2025-02-02T00:00:00"/>
    <x v="1"/>
    <s v="Q1"/>
    <x v="1"/>
    <x v="5"/>
    <x v="1"/>
    <x v="2"/>
    <x v="0"/>
    <x v="2"/>
    <x v="0"/>
    <n v="1"/>
    <m/>
    <n v="1806"/>
    <n v="0"/>
    <n v="4"/>
    <s v="Recovered"/>
    <n v="1"/>
  </r>
  <r>
    <s v="ADM-243051"/>
    <d v="2025-02-01T00:00:00"/>
    <d v="2025-02-02T00:00:00"/>
    <x v="1"/>
    <s v="Q1"/>
    <x v="1"/>
    <x v="5"/>
    <x v="4"/>
    <x v="2"/>
    <x v="1"/>
    <x v="0"/>
    <x v="0"/>
    <n v="1"/>
    <m/>
    <n v="2139"/>
    <n v="0"/>
    <n v="5"/>
    <s v="Recovered"/>
    <n v="1"/>
  </r>
  <r>
    <s v="ADM-243052"/>
    <d v="2025-02-01T00:00:00"/>
    <d v="2025-02-05T00:00:00"/>
    <x v="1"/>
    <s v="Q1"/>
    <x v="1"/>
    <x v="5"/>
    <x v="3"/>
    <x v="0"/>
    <x v="1"/>
    <x v="3"/>
    <x v="0"/>
    <n v="4"/>
    <n v="29"/>
    <n v="3546"/>
    <n v="0"/>
    <n v="4"/>
    <s v="Improved"/>
    <n v="1"/>
  </r>
  <r>
    <s v="ADM-243053"/>
    <d v="2025-02-01T00:00:00"/>
    <d v="2025-02-03T00:00:00"/>
    <x v="1"/>
    <s v="Q1"/>
    <x v="1"/>
    <x v="5"/>
    <x v="0"/>
    <x v="0"/>
    <x v="1"/>
    <x v="4"/>
    <x v="0"/>
    <n v="2"/>
    <n v="150"/>
    <n v="2589"/>
    <n v="0"/>
    <n v="4"/>
    <s v="Recovered"/>
    <n v="1"/>
  </r>
  <r>
    <s v="ADM-243054"/>
    <d v="2025-02-02T00:00:00"/>
    <d v="2025-02-08T00:00:00"/>
    <x v="1"/>
    <s v="Q1"/>
    <x v="1"/>
    <x v="6"/>
    <x v="4"/>
    <x v="0"/>
    <x v="1"/>
    <x v="2"/>
    <x v="0"/>
    <n v="6"/>
    <n v="147"/>
    <n v="4018"/>
    <n v="0"/>
    <n v="3"/>
    <s v="Improved"/>
    <n v="1"/>
  </r>
  <r>
    <s v="ADM-243055"/>
    <d v="2025-02-02T00:00:00"/>
    <d v="2025-02-03T00:00:00"/>
    <x v="1"/>
    <s v="Q1"/>
    <x v="1"/>
    <x v="6"/>
    <x v="3"/>
    <x v="0"/>
    <x v="0"/>
    <x v="3"/>
    <x v="0"/>
    <n v="1"/>
    <n v="39"/>
    <n v="1505"/>
    <n v="0"/>
    <n v="4"/>
    <s v="Recovered"/>
    <n v="1"/>
  </r>
  <r>
    <s v="ADM-243056"/>
    <d v="2025-02-02T00:00:00"/>
    <d v="2025-02-06T00:00:00"/>
    <x v="1"/>
    <s v="Q1"/>
    <x v="1"/>
    <x v="6"/>
    <x v="5"/>
    <x v="0"/>
    <x v="0"/>
    <x v="4"/>
    <x v="1"/>
    <n v="4"/>
    <n v="16"/>
    <n v="4795"/>
    <n v="0"/>
    <n v="5"/>
    <s v="Improved"/>
    <n v="1"/>
  </r>
  <r>
    <s v="ADM-243057"/>
    <d v="2025-02-02T00:00:00"/>
    <d v="2025-02-04T00:00:00"/>
    <x v="1"/>
    <s v="Q1"/>
    <x v="1"/>
    <x v="6"/>
    <x v="3"/>
    <x v="2"/>
    <x v="0"/>
    <x v="3"/>
    <x v="0"/>
    <n v="2"/>
    <m/>
    <n v="1998"/>
    <n v="0"/>
    <n v="4"/>
    <s v="Recovered"/>
    <n v="1"/>
  </r>
  <r>
    <s v="ADM-243058"/>
    <d v="2025-02-02T00:00:00"/>
    <d v="2025-02-08T00:00:00"/>
    <x v="1"/>
    <s v="Q1"/>
    <x v="1"/>
    <x v="6"/>
    <x v="1"/>
    <x v="2"/>
    <x v="0"/>
    <x v="0"/>
    <x v="0"/>
    <n v="6"/>
    <m/>
    <n v="7907"/>
    <n v="0"/>
    <n v="4"/>
    <s v="Recovered"/>
    <n v="1"/>
  </r>
  <r>
    <s v="ADM-243059"/>
    <d v="2025-02-02T00:00:00"/>
    <d v="2025-02-06T00:00:00"/>
    <x v="1"/>
    <s v="Q1"/>
    <x v="1"/>
    <x v="6"/>
    <x v="2"/>
    <x v="2"/>
    <x v="0"/>
    <x v="2"/>
    <x v="0"/>
    <n v="4"/>
    <m/>
    <n v="4367"/>
    <n v="0"/>
    <n v="5"/>
    <s v="Improved"/>
    <n v="1"/>
  </r>
  <r>
    <s v="ADM-243060"/>
    <d v="2025-02-02T00:00:00"/>
    <d v="2025-02-04T00:00:00"/>
    <x v="1"/>
    <s v="Q1"/>
    <x v="1"/>
    <x v="6"/>
    <x v="3"/>
    <x v="0"/>
    <x v="1"/>
    <x v="3"/>
    <x v="0"/>
    <n v="2"/>
    <n v="71"/>
    <n v="1968"/>
    <n v="0"/>
    <n v="4"/>
    <s v="Recovered"/>
    <n v="1"/>
  </r>
  <r>
    <s v="ADM-243061"/>
    <d v="2025-02-02T00:00:00"/>
    <d v="2025-02-06T00:00:00"/>
    <x v="1"/>
    <s v="Q1"/>
    <x v="1"/>
    <x v="6"/>
    <x v="2"/>
    <x v="0"/>
    <x v="0"/>
    <x v="1"/>
    <x v="0"/>
    <n v="4"/>
    <n v="42"/>
    <n v="3832"/>
    <n v="0"/>
    <n v="4"/>
    <s v="Recovered"/>
    <n v="1"/>
  </r>
  <r>
    <s v="ADM-243062"/>
    <d v="2025-02-02T00:00:00"/>
    <d v="2025-02-03T00:00:00"/>
    <x v="1"/>
    <s v="Q1"/>
    <x v="1"/>
    <x v="6"/>
    <x v="5"/>
    <x v="2"/>
    <x v="1"/>
    <x v="1"/>
    <x v="0"/>
    <n v="1"/>
    <m/>
    <n v="1646"/>
    <n v="0"/>
    <n v="4"/>
    <s v="Recovered"/>
    <n v="1"/>
  </r>
  <r>
    <s v="ADM-243063"/>
    <d v="2025-02-02T00:00:00"/>
    <d v="2025-02-10T00:00:00"/>
    <x v="1"/>
    <s v="Q1"/>
    <x v="1"/>
    <x v="6"/>
    <x v="0"/>
    <x v="2"/>
    <x v="1"/>
    <x v="1"/>
    <x v="2"/>
    <n v="8"/>
    <m/>
    <n v="5343"/>
    <n v="0"/>
    <n v="5"/>
    <s v="Recovered"/>
    <n v="1"/>
  </r>
  <r>
    <s v="ADM-243064"/>
    <d v="2025-02-02T00:00:00"/>
    <d v="2025-02-10T00:00:00"/>
    <x v="1"/>
    <s v="Q1"/>
    <x v="1"/>
    <x v="6"/>
    <x v="0"/>
    <x v="0"/>
    <x v="1"/>
    <x v="0"/>
    <x v="0"/>
    <n v="8"/>
    <n v="61"/>
    <n v="7458"/>
    <n v="0"/>
    <n v="5"/>
    <s v="Recovered"/>
    <n v="1"/>
  </r>
  <r>
    <s v="ADM-243065"/>
    <d v="2025-02-03T00:00:00"/>
    <d v="2025-02-09T00:00:00"/>
    <x v="1"/>
    <s v="Q1"/>
    <x v="1"/>
    <x v="0"/>
    <x v="1"/>
    <x v="2"/>
    <x v="1"/>
    <x v="2"/>
    <x v="2"/>
    <n v="6"/>
    <m/>
    <n v="6918"/>
    <n v="0"/>
    <n v="5"/>
    <s v="Recovered"/>
    <n v="1"/>
  </r>
  <r>
    <s v="ADM-243066"/>
    <d v="2025-02-03T00:00:00"/>
    <d v="2025-02-04T00:00:00"/>
    <x v="1"/>
    <s v="Q1"/>
    <x v="1"/>
    <x v="0"/>
    <x v="0"/>
    <x v="2"/>
    <x v="1"/>
    <x v="1"/>
    <x v="2"/>
    <n v="1"/>
    <m/>
    <n v="1852"/>
    <n v="1"/>
    <n v="3"/>
    <s v="Recovered"/>
    <n v="1"/>
  </r>
  <r>
    <s v="ADM-243067"/>
    <d v="2025-02-03T00:00:00"/>
    <d v="2025-02-06T00:00:00"/>
    <x v="1"/>
    <s v="Q1"/>
    <x v="1"/>
    <x v="0"/>
    <x v="4"/>
    <x v="0"/>
    <x v="1"/>
    <x v="1"/>
    <x v="2"/>
    <n v="3"/>
    <n v="62"/>
    <n v="3976"/>
    <n v="0"/>
    <n v="5"/>
    <s v="Recovered"/>
    <n v="1"/>
  </r>
  <r>
    <s v="ADM-243068"/>
    <d v="2025-02-03T00:00:00"/>
    <d v="2025-02-05T00:00:00"/>
    <x v="1"/>
    <s v="Q1"/>
    <x v="1"/>
    <x v="0"/>
    <x v="2"/>
    <x v="0"/>
    <x v="0"/>
    <x v="1"/>
    <x v="2"/>
    <n v="2"/>
    <n v="34"/>
    <n v="2215"/>
    <n v="0"/>
    <n v="4"/>
    <s v="Improved"/>
    <n v="1"/>
  </r>
  <r>
    <s v="ADM-243069"/>
    <d v="2025-02-03T00:00:00"/>
    <d v="2025-02-09T00:00:00"/>
    <x v="1"/>
    <s v="Q1"/>
    <x v="1"/>
    <x v="0"/>
    <x v="0"/>
    <x v="0"/>
    <x v="1"/>
    <x v="2"/>
    <x v="0"/>
    <n v="6"/>
    <n v="78"/>
    <n v="4376"/>
    <n v="0"/>
    <n v="4"/>
    <s v="Recovered"/>
    <n v="1"/>
  </r>
  <r>
    <s v="ADM-243070"/>
    <d v="2025-02-03T00:00:00"/>
    <d v="2025-02-08T00:00:00"/>
    <x v="1"/>
    <s v="Q1"/>
    <x v="1"/>
    <x v="0"/>
    <x v="3"/>
    <x v="0"/>
    <x v="0"/>
    <x v="3"/>
    <x v="2"/>
    <n v="5"/>
    <n v="60"/>
    <n v="3116"/>
    <n v="0"/>
    <n v="5"/>
    <s v="Deceased"/>
    <n v="1"/>
  </r>
  <r>
    <s v="ADM-243071"/>
    <d v="2025-02-03T00:00:00"/>
    <d v="2025-02-07T00:00:00"/>
    <x v="1"/>
    <s v="Q1"/>
    <x v="1"/>
    <x v="0"/>
    <x v="0"/>
    <x v="0"/>
    <x v="1"/>
    <x v="1"/>
    <x v="2"/>
    <n v="4"/>
    <n v="82"/>
    <n v="3077"/>
    <n v="0"/>
    <n v="4"/>
    <s v="Improved"/>
    <n v="1"/>
  </r>
  <r>
    <s v="ADM-243072"/>
    <d v="2025-02-03T00:00:00"/>
    <d v="2025-02-06T00:00:00"/>
    <x v="1"/>
    <s v="Q1"/>
    <x v="1"/>
    <x v="0"/>
    <x v="4"/>
    <x v="0"/>
    <x v="0"/>
    <x v="0"/>
    <x v="2"/>
    <n v="3"/>
    <n v="88"/>
    <n v="4867"/>
    <n v="0"/>
    <n v="5"/>
    <s v="Improved"/>
    <n v="1"/>
  </r>
  <r>
    <s v="ADM-243073"/>
    <d v="2025-02-04T00:00:00"/>
    <d v="2025-02-06T00:00:00"/>
    <x v="1"/>
    <s v="Q1"/>
    <x v="1"/>
    <x v="1"/>
    <x v="2"/>
    <x v="2"/>
    <x v="0"/>
    <x v="2"/>
    <x v="0"/>
    <n v="2"/>
    <m/>
    <n v="2379"/>
    <n v="0"/>
    <n v="4"/>
    <s v="Improved"/>
    <n v="1"/>
  </r>
  <r>
    <s v="ADM-243074"/>
    <d v="2025-02-04T00:00:00"/>
    <d v="2025-02-08T00:00:00"/>
    <x v="1"/>
    <s v="Q1"/>
    <x v="1"/>
    <x v="1"/>
    <x v="3"/>
    <x v="0"/>
    <x v="1"/>
    <x v="3"/>
    <x v="2"/>
    <n v="4"/>
    <n v="78"/>
    <n v="2893"/>
    <n v="0"/>
    <n v="4"/>
    <s v="Recovered"/>
    <n v="1"/>
  </r>
  <r>
    <s v="ADM-243075"/>
    <d v="2025-02-04T00:00:00"/>
    <d v="2025-02-09T00:00:00"/>
    <x v="1"/>
    <s v="Q1"/>
    <x v="1"/>
    <x v="1"/>
    <x v="4"/>
    <x v="0"/>
    <x v="1"/>
    <x v="4"/>
    <x v="2"/>
    <n v="5"/>
    <n v="130"/>
    <n v="5120"/>
    <n v="0"/>
    <n v="3"/>
    <s v="Recovered"/>
    <n v="1"/>
  </r>
  <r>
    <s v="ADM-243076"/>
    <d v="2025-02-04T00:00:00"/>
    <d v="2025-02-07T00:00:00"/>
    <x v="1"/>
    <s v="Q1"/>
    <x v="1"/>
    <x v="1"/>
    <x v="0"/>
    <x v="2"/>
    <x v="1"/>
    <x v="0"/>
    <x v="0"/>
    <n v="3"/>
    <m/>
    <n v="3063"/>
    <n v="0"/>
    <n v="4"/>
    <s v="Recovered"/>
    <n v="1"/>
  </r>
  <r>
    <s v="ADM-243077"/>
    <d v="2025-02-04T00:00:00"/>
    <d v="2025-02-13T00:00:00"/>
    <x v="1"/>
    <s v="Q1"/>
    <x v="1"/>
    <x v="1"/>
    <x v="0"/>
    <x v="0"/>
    <x v="0"/>
    <x v="2"/>
    <x v="2"/>
    <n v="9"/>
    <n v="53"/>
    <n v="8263"/>
    <n v="1"/>
    <n v="4"/>
    <s v="Recovered"/>
    <n v="1"/>
  </r>
  <r>
    <s v="ADM-243078"/>
    <d v="2025-02-04T00:00:00"/>
    <d v="2025-02-19T00:00:00"/>
    <x v="1"/>
    <s v="Q1"/>
    <x v="1"/>
    <x v="1"/>
    <x v="4"/>
    <x v="0"/>
    <x v="0"/>
    <x v="0"/>
    <x v="2"/>
    <n v="15"/>
    <n v="68"/>
    <n v="21448"/>
    <n v="0"/>
    <n v="4"/>
    <s v="Recovered"/>
    <n v="1"/>
  </r>
  <r>
    <s v="ADM-243079"/>
    <d v="2025-02-04T00:00:00"/>
    <d v="2025-02-08T00:00:00"/>
    <x v="1"/>
    <s v="Q1"/>
    <x v="1"/>
    <x v="1"/>
    <x v="0"/>
    <x v="0"/>
    <x v="0"/>
    <x v="1"/>
    <x v="2"/>
    <n v="4"/>
    <n v="72"/>
    <n v="4288"/>
    <n v="0"/>
    <n v="5"/>
    <s v="Improved"/>
    <n v="1"/>
  </r>
  <r>
    <s v="ADM-243080"/>
    <d v="2025-02-04T00:00:00"/>
    <d v="2025-02-09T00:00:00"/>
    <x v="1"/>
    <s v="Q1"/>
    <x v="1"/>
    <x v="1"/>
    <x v="4"/>
    <x v="0"/>
    <x v="0"/>
    <x v="1"/>
    <x v="2"/>
    <n v="5"/>
    <n v="24"/>
    <n v="7655"/>
    <n v="0"/>
    <n v="5"/>
    <s v="Recovered"/>
    <n v="1"/>
  </r>
  <r>
    <s v="ADM-243081"/>
    <d v="2025-02-05T00:00:00"/>
    <d v="2025-02-10T00:00:00"/>
    <x v="1"/>
    <s v="Q1"/>
    <x v="1"/>
    <x v="2"/>
    <x v="0"/>
    <x v="0"/>
    <x v="1"/>
    <x v="0"/>
    <x v="0"/>
    <n v="5"/>
    <n v="34"/>
    <n v="3745"/>
    <n v="0"/>
    <n v="5"/>
    <s v="Recovered"/>
    <n v="1"/>
  </r>
  <r>
    <s v="ADM-243082"/>
    <d v="2025-02-05T00:00:00"/>
    <d v="2025-02-10T00:00:00"/>
    <x v="1"/>
    <s v="Q1"/>
    <x v="1"/>
    <x v="2"/>
    <x v="4"/>
    <x v="0"/>
    <x v="1"/>
    <x v="0"/>
    <x v="1"/>
    <n v="5"/>
    <n v="56"/>
    <n v="6065"/>
    <n v="0"/>
    <n v="3"/>
    <s v="Recovered"/>
    <n v="1"/>
  </r>
  <r>
    <s v="ADM-243083"/>
    <d v="2025-02-05T00:00:00"/>
    <d v="2025-02-08T00:00:00"/>
    <x v="1"/>
    <s v="Q1"/>
    <x v="1"/>
    <x v="2"/>
    <x v="0"/>
    <x v="2"/>
    <x v="1"/>
    <x v="4"/>
    <x v="0"/>
    <n v="3"/>
    <m/>
    <n v="2427"/>
    <n v="0"/>
    <n v="5"/>
    <s v="Recovered"/>
    <n v="1"/>
  </r>
  <r>
    <s v="ADM-243084"/>
    <d v="2025-02-05T00:00:00"/>
    <d v="2025-02-07T00:00:00"/>
    <x v="1"/>
    <s v="Q1"/>
    <x v="1"/>
    <x v="2"/>
    <x v="1"/>
    <x v="2"/>
    <x v="0"/>
    <x v="2"/>
    <x v="2"/>
    <n v="2"/>
    <m/>
    <n v="3060"/>
    <n v="1"/>
    <n v="5"/>
    <s v="Improved"/>
    <n v="1"/>
  </r>
  <r>
    <s v="ADM-243085"/>
    <d v="2025-02-05T00:00:00"/>
    <d v="2025-02-08T00:00:00"/>
    <x v="1"/>
    <s v="Q1"/>
    <x v="1"/>
    <x v="2"/>
    <x v="2"/>
    <x v="0"/>
    <x v="0"/>
    <x v="1"/>
    <x v="2"/>
    <n v="3"/>
    <n v="112"/>
    <n v="2932"/>
    <n v="1"/>
    <n v="3"/>
    <s v="Improved"/>
    <n v="1"/>
  </r>
  <r>
    <s v="ADM-243086"/>
    <d v="2025-02-05T00:00:00"/>
    <d v="2025-02-13T00:00:00"/>
    <x v="1"/>
    <s v="Q1"/>
    <x v="1"/>
    <x v="2"/>
    <x v="1"/>
    <x v="2"/>
    <x v="0"/>
    <x v="1"/>
    <x v="2"/>
    <n v="8"/>
    <m/>
    <n v="6753"/>
    <n v="1"/>
    <n v="4"/>
    <s v="Improved"/>
    <n v="1"/>
  </r>
  <r>
    <s v="ADM-243087"/>
    <d v="2025-02-05T00:00:00"/>
    <d v="2025-02-10T00:00:00"/>
    <x v="1"/>
    <s v="Q1"/>
    <x v="1"/>
    <x v="2"/>
    <x v="3"/>
    <x v="0"/>
    <x v="0"/>
    <x v="3"/>
    <x v="2"/>
    <n v="5"/>
    <n v="10"/>
    <n v="3118"/>
    <n v="0"/>
    <n v="4"/>
    <s v="Improved"/>
    <n v="1"/>
  </r>
  <r>
    <s v="ADM-243088"/>
    <d v="2025-02-05T00:00:00"/>
    <d v="2025-02-18T00:00:00"/>
    <x v="1"/>
    <s v="Q1"/>
    <x v="1"/>
    <x v="2"/>
    <x v="0"/>
    <x v="0"/>
    <x v="1"/>
    <x v="4"/>
    <x v="1"/>
    <n v="13"/>
    <n v="149"/>
    <n v="10579"/>
    <n v="1"/>
    <n v="2"/>
    <s v="Recovered"/>
    <n v="1"/>
  </r>
  <r>
    <s v="ADM-243089"/>
    <d v="2025-02-05T00:00:00"/>
    <d v="2025-02-10T00:00:00"/>
    <x v="1"/>
    <s v="Q1"/>
    <x v="1"/>
    <x v="2"/>
    <x v="2"/>
    <x v="1"/>
    <x v="0"/>
    <x v="2"/>
    <x v="1"/>
    <n v="5"/>
    <m/>
    <n v="4492"/>
    <n v="0"/>
    <n v="4"/>
    <s v="Recovered"/>
    <n v="1"/>
  </r>
  <r>
    <s v="ADM-243090"/>
    <d v="2025-02-05T00:00:00"/>
    <d v="2025-02-13T00:00:00"/>
    <x v="1"/>
    <s v="Q1"/>
    <x v="1"/>
    <x v="2"/>
    <x v="1"/>
    <x v="2"/>
    <x v="1"/>
    <x v="0"/>
    <x v="0"/>
    <n v="8"/>
    <m/>
    <n v="11425"/>
    <n v="1"/>
    <n v="3"/>
    <s v="Recovered"/>
    <n v="1"/>
  </r>
  <r>
    <s v="ADM-243091"/>
    <d v="2025-02-05T00:00:00"/>
    <d v="2025-02-14T00:00:00"/>
    <x v="1"/>
    <s v="Q1"/>
    <x v="1"/>
    <x v="2"/>
    <x v="4"/>
    <x v="0"/>
    <x v="0"/>
    <x v="4"/>
    <x v="2"/>
    <n v="9"/>
    <n v="94"/>
    <n v="10117"/>
    <n v="0"/>
    <n v="2"/>
    <s v="Improved"/>
    <n v="1"/>
  </r>
  <r>
    <s v="ADM-243092"/>
    <d v="2025-02-06T00:00:00"/>
    <d v="2025-02-09T00:00:00"/>
    <x v="1"/>
    <s v="Q1"/>
    <x v="1"/>
    <x v="3"/>
    <x v="4"/>
    <x v="1"/>
    <x v="0"/>
    <x v="0"/>
    <x v="1"/>
    <n v="3"/>
    <m/>
    <n v="4105"/>
    <n v="0"/>
    <n v="3"/>
    <s v="Recovered"/>
    <n v="1"/>
  </r>
  <r>
    <s v="ADM-243093"/>
    <d v="2025-02-06T00:00:00"/>
    <d v="2025-02-23T00:00:00"/>
    <x v="1"/>
    <s v="Q1"/>
    <x v="1"/>
    <x v="3"/>
    <x v="0"/>
    <x v="2"/>
    <x v="1"/>
    <x v="0"/>
    <x v="2"/>
    <n v="17"/>
    <m/>
    <n v="10115"/>
    <n v="0"/>
    <n v="4"/>
    <s v="Improved"/>
    <n v="1"/>
  </r>
  <r>
    <s v="ADM-243094"/>
    <d v="2025-02-06T00:00:00"/>
    <d v="2025-02-11T00:00:00"/>
    <x v="1"/>
    <s v="Q1"/>
    <x v="1"/>
    <x v="3"/>
    <x v="5"/>
    <x v="2"/>
    <x v="0"/>
    <x v="4"/>
    <x v="2"/>
    <n v="5"/>
    <m/>
    <n v="5307"/>
    <n v="0"/>
    <n v="5"/>
    <s v="Improved"/>
    <n v="1"/>
  </r>
  <r>
    <s v="ADM-243095"/>
    <d v="2025-02-06T00:00:00"/>
    <d v="2025-02-15T00:00:00"/>
    <x v="1"/>
    <s v="Q1"/>
    <x v="1"/>
    <x v="3"/>
    <x v="4"/>
    <x v="0"/>
    <x v="1"/>
    <x v="1"/>
    <x v="0"/>
    <n v="9"/>
    <n v="48"/>
    <n v="9361"/>
    <n v="0"/>
    <n v="4"/>
    <s v="Recovered"/>
    <n v="1"/>
  </r>
  <r>
    <s v="ADM-243096"/>
    <d v="2025-02-06T00:00:00"/>
    <d v="2025-02-09T00:00:00"/>
    <x v="1"/>
    <s v="Q1"/>
    <x v="1"/>
    <x v="3"/>
    <x v="4"/>
    <x v="2"/>
    <x v="0"/>
    <x v="0"/>
    <x v="2"/>
    <n v="3"/>
    <m/>
    <n v="5128"/>
    <n v="0"/>
    <n v="4"/>
    <s v="Improved"/>
    <n v="1"/>
  </r>
  <r>
    <s v="ADM-243097"/>
    <d v="2025-02-06T00:00:00"/>
    <d v="2025-02-09T00:00:00"/>
    <x v="1"/>
    <s v="Q1"/>
    <x v="1"/>
    <x v="3"/>
    <x v="3"/>
    <x v="0"/>
    <x v="1"/>
    <x v="3"/>
    <x v="0"/>
    <n v="3"/>
    <n v="42"/>
    <n v="2634"/>
    <n v="0"/>
    <n v="3"/>
    <s v="Improved"/>
    <n v="1"/>
  </r>
  <r>
    <s v="ADM-243098"/>
    <d v="2025-02-06T00:00:00"/>
    <d v="2025-02-07T00:00:00"/>
    <x v="1"/>
    <s v="Q1"/>
    <x v="1"/>
    <x v="3"/>
    <x v="0"/>
    <x v="1"/>
    <x v="0"/>
    <x v="0"/>
    <x v="0"/>
    <n v="1"/>
    <m/>
    <n v="1808"/>
    <n v="0"/>
    <n v="4"/>
    <s v="Recovered"/>
    <n v="1"/>
  </r>
  <r>
    <s v="ADM-243099"/>
    <d v="2025-02-06T00:00:00"/>
    <d v="2025-02-10T00:00:00"/>
    <x v="1"/>
    <s v="Q1"/>
    <x v="1"/>
    <x v="3"/>
    <x v="0"/>
    <x v="0"/>
    <x v="1"/>
    <x v="1"/>
    <x v="2"/>
    <n v="4"/>
    <n v="134"/>
    <n v="3235"/>
    <n v="1"/>
    <n v="3"/>
    <s v="Recovered"/>
    <n v="1"/>
  </r>
  <r>
    <s v="ADM-243100"/>
    <d v="2025-02-06T00:00:00"/>
    <d v="2025-02-13T00:00:00"/>
    <x v="1"/>
    <s v="Q1"/>
    <x v="1"/>
    <x v="3"/>
    <x v="0"/>
    <x v="2"/>
    <x v="0"/>
    <x v="4"/>
    <x v="0"/>
    <n v="7"/>
    <m/>
    <n v="5868"/>
    <n v="0"/>
    <n v="4"/>
    <s v="Improved"/>
    <n v="1"/>
  </r>
  <r>
    <s v="ADM-243101"/>
    <d v="2025-02-06T00:00:00"/>
    <d v="2025-02-10T00:00:00"/>
    <x v="1"/>
    <s v="Q1"/>
    <x v="1"/>
    <x v="3"/>
    <x v="0"/>
    <x v="0"/>
    <x v="0"/>
    <x v="0"/>
    <x v="2"/>
    <n v="4"/>
    <n v="31"/>
    <n v="3234"/>
    <n v="0"/>
    <n v="4"/>
    <s v="Recovered"/>
    <n v="1"/>
  </r>
  <r>
    <s v="ADM-243102"/>
    <d v="2025-02-07T00:00:00"/>
    <d v="2025-02-10T00:00:00"/>
    <x v="1"/>
    <s v="Q1"/>
    <x v="1"/>
    <x v="4"/>
    <x v="3"/>
    <x v="0"/>
    <x v="1"/>
    <x v="3"/>
    <x v="2"/>
    <n v="3"/>
    <n v="57"/>
    <n v="2011"/>
    <n v="0"/>
    <n v="5"/>
    <s v="Improved"/>
    <n v="1"/>
  </r>
  <r>
    <s v="ADM-243103"/>
    <d v="2025-02-07T00:00:00"/>
    <d v="2025-02-13T00:00:00"/>
    <x v="1"/>
    <s v="Q1"/>
    <x v="1"/>
    <x v="4"/>
    <x v="0"/>
    <x v="1"/>
    <x v="1"/>
    <x v="4"/>
    <x v="2"/>
    <n v="6"/>
    <m/>
    <n v="3534"/>
    <n v="0"/>
    <n v="3"/>
    <s v="Recovered"/>
    <n v="1"/>
  </r>
  <r>
    <s v="ADM-243104"/>
    <d v="2025-02-07T00:00:00"/>
    <d v="2025-02-15T00:00:00"/>
    <x v="1"/>
    <s v="Q1"/>
    <x v="1"/>
    <x v="4"/>
    <x v="1"/>
    <x v="2"/>
    <x v="1"/>
    <x v="2"/>
    <x v="0"/>
    <n v="8"/>
    <m/>
    <n v="7778"/>
    <n v="0"/>
    <n v="4"/>
    <s v="Improved"/>
    <n v="1"/>
  </r>
  <r>
    <s v="ADM-243105"/>
    <d v="2025-02-07T00:00:00"/>
    <d v="2025-02-14T00:00:00"/>
    <x v="1"/>
    <s v="Q1"/>
    <x v="1"/>
    <x v="4"/>
    <x v="4"/>
    <x v="0"/>
    <x v="1"/>
    <x v="0"/>
    <x v="1"/>
    <n v="7"/>
    <n v="57"/>
    <n v="9979"/>
    <n v="0"/>
    <n v="4"/>
    <s v="Improved"/>
    <n v="1"/>
  </r>
  <r>
    <s v="ADM-243106"/>
    <d v="2025-02-07T00:00:00"/>
    <d v="2025-02-13T00:00:00"/>
    <x v="1"/>
    <s v="Q1"/>
    <x v="1"/>
    <x v="4"/>
    <x v="0"/>
    <x v="0"/>
    <x v="0"/>
    <x v="2"/>
    <x v="2"/>
    <n v="6"/>
    <n v="47"/>
    <n v="4972"/>
    <n v="0"/>
    <n v="5"/>
    <s v="Recovered"/>
    <n v="1"/>
  </r>
  <r>
    <s v="ADM-243107"/>
    <d v="2025-02-07T00:00:00"/>
    <d v="2025-02-10T00:00:00"/>
    <x v="1"/>
    <s v="Q1"/>
    <x v="1"/>
    <x v="4"/>
    <x v="1"/>
    <x v="2"/>
    <x v="1"/>
    <x v="0"/>
    <x v="0"/>
    <n v="3"/>
    <m/>
    <n v="4514"/>
    <n v="1"/>
    <n v="3"/>
    <s v="Recovered"/>
    <n v="1"/>
  </r>
  <r>
    <s v="ADM-243108"/>
    <d v="2025-02-08T00:00:00"/>
    <d v="2025-02-11T00:00:00"/>
    <x v="1"/>
    <s v="Q1"/>
    <x v="1"/>
    <x v="5"/>
    <x v="4"/>
    <x v="0"/>
    <x v="1"/>
    <x v="4"/>
    <x v="0"/>
    <n v="3"/>
    <n v="38"/>
    <n v="4190"/>
    <n v="1"/>
    <n v="3"/>
    <s v="Recovered"/>
    <n v="1"/>
  </r>
  <r>
    <s v="ADM-243109"/>
    <d v="2025-02-08T00:00:00"/>
    <d v="2025-02-20T00:00:00"/>
    <x v="1"/>
    <s v="Q1"/>
    <x v="1"/>
    <x v="5"/>
    <x v="0"/>
    <x v="0"/>
    <x v="0"/>
    <x v="2"/>
    <x v="0"/>
    <n v="12"/>
    <n v="67"/>
    <n v="6709"/>
    <n v="1"/>
    <n v="3"/>
    <s v="Recovered"/>
    <n v="1"/>
  </r>
  <r>
    <s v="ADM-243110"/>
    <d v="2025-02-08T00:00:00"/>
    <d v="2025-02-09T00:00:00"/>
    <x v="1"/>
    <s v="Q1"/>
    <x v="1"/>
    <x v="5"/>
    <x v="3"/>
    <x v="0"/>
    <x v="1"/>
    <x v="3"/>
    <x v="2"/>
    <n v="1"/>
    <n v="64"/>
    <n v="1280"/>
    <n v="0"/>
    <n v="4"/>
    <s v="Recovered"/>
    <n v="1"/>
  </r>
  <r>
    <s v="ADM-243111"/>
    <d v="2025-02-08T00:00:00"/>
    <d v="2025-02-09T00:00:00"/>
    <x v="1"/>
    <s v="Q1"/>
    <x v="1"/>
    <x v="5"/>
    <x v="3"/>
    <x v="0"/>
    <x v="0"/>
    <x v="3"/>
    <x v="2"/>
    <n v="1"/>
    <n v="106"/>
    <n v="1425"/>
    <n v="0"/>
    <n v="3"/>
    <s v="Recovered"/>
    <n v="1"/>
  </r>
  <r>
    <s v="ADM-243112"/>
    <d v="2025-02-08T00:00:00"/>
    <d v="2025-02-10T00:00:00"/>
    <x v="1"/>
    <s v="Q1"/>
    <x v="1"/>
    <x v="5"/>
    <x v="0"/>
    <x v="0"/>
    <x v="0"/>
    <x v="4"/>
    <x v="0"/>
    <n v="2"/>
    <n v="124"/>
    <n v="1931"/>
    <n v="0"/>
    <n v="4"/>
    <s v="Recovered"/>
    <n v="1"/>
  </r>
  <r>
    <s v="ADM-243113"/>
    <d v="2025-02-08T00:00:00"/>
    <d v="2025-02-20T00:00:00"/>
    <x v="1"/>
    <s v="Q1"/>
    <x v="1"/>
    <x v="5"/>
    <x v="1"/>
    <x v="0"/>
    <x v="0"/>
    <x v="0"/>
    <x v="0"/>
    <n v="12"/>
    <n v="18"/>
    <n v="12995"/>
    <n v="0"/>
    <n v="4"/>
    <s v="Recovered"/>
    <n v="1"/>
  </r>
  <r>
    <s v="ADM-243114"/>
    <d v="2025-02-08T00:00:00"/>
    <d v="2025-02-10T00:00:00"/>
    <x v="1"/>
    <s v="Q1"/>
    <x v="1"/>
    <x v="5"/>
    <x v="0"/>
    <x v="0"/>
    <x v="0"/>
    <x v="1"/>
    <x v="1"/>
    <n v="2"/>
    <n v="82"/>
    <n v="2928"/>
    <n v="0"/>
    <n v="4"/>
    <s v="Recovered"/>
    <n v="1"/>
  </r>
  <r>
    <s v="ADM-243115"/>
    <d v="2025-02-08T00:00:00"/>
    <d v="2025-02-11T00:00:00"/>
    <x v="1"/>
    <s v="Q1"/>
    <x v="1"/>
    <x v="5"/>
    <x v="3"/>
    <x v="2"/>
    <x v="1"/>
    <x v="3"/>
    <x v="2"/>
    <n v="3"/>
    <m/>
    <n v="2267"/>
    <n v="0"/>
    <n v="4"/>
    <s v="Improved"/>
    <n v="1"/>
  </r>
  <r>
    <s v="ADM-243116"/>
    <d v="2025-02-08T00:00:00"/>
    <d v="2025-02-09T00:00:00"/>
    <x v="1"/>
    <s v="Q1"/>
    <x v="1"/>
    <x v="5"/>
    <x v="0"/>
    <x v="0"/>
    <x v="0"/>
    <x v="4"/>
    <x v="0"/>
    <n v="1"/>
    <n v="111"/>
    <n v="1627"/>
    <n v="0"/>
    <n v="3"/>
    <s v="Recovered"/>
    <n v="1"/>
  </r>
  <r>
    <s v="ADM-243117"/>
    <d v="2025-02-08T00:00:00"/>
    <d v="2025-02-10T00:00:00"/>
    <x v="1"/>
    <s v="Q1"/>
    <x v="1"/>
    <x v="5"/>
    <x v="0"/>
    <x v="2"/>
    <x v="0"/>
    <x v="0"/>
    <x v="0"/>
    <n v="2"/>
    <m/>
    <n v="2803"/>
    <n v="0"/>
    <n v="4"/>
    <s v="Recovered"/>
    <n v="1"/>
  </r>
  <r>
    <s v="ADM-243118"/>
    <d v="2025-02-08T00:00:00"/>
    <d v="2025-02-09T00:00:00"/>
    <x v="1"/>
    <s v="Q1"/>
    <x v="1"/>
    <x v="5"/>
    <x v="2"/>
    <x v="1"/>
    <x v="0"/>
    <x v="1"/>
    <x v="2"/>
    <n v="1"/>
    <m/>
    <n v="1078"/>
    <n v="0"/>
    <n v="5"/>
    <s v="Improved"/>
    <n v="1"/>
  </r>
  <r>
    <s v="ADM-243119"/>
    <d v="2025-02-09T00:00:00"/>
    <d v="2025-02-10T00:00:00"/>
    <x v="1"/>
    <s v="Q1"/>
    <x v="1"/>
    <x v="6"/>
    <x v="2"/>
    <x v="0"/>
    <x v="0"/>
    <x v="2"/>
    <x v="2"/>
    <n v="1"/>
    <n v="109"/>
    <n v="1292"/>
    <n v="0"/>
    <n v="2"/>
    <s v="Recovered"/>
    <n v="1"/>
  </r>
  <r>
    <s v="ADM-243120"/>
    <d v="2025-02-09T00:00:00"/>
    <d v="2025-02-11T00:00:00"/>
    <x v="1"/>
    <s v="Q1"/>
    <x v="1"/>
    <x v="6"/>
    <x v="2"/>
    <x v="2"/>
    <x v="0"/>
    <x v="2"/>
    <x v="2"/>
    <n v="2"/>
    <m/>
    <n v="2566"/>
    <n v="0"/>
    <n v="4"/>
    <s v="Recovered"/>
    <n v="1"/>
  </r>
  <r>
    <s v="ADM-243121"/>
    <d v="2025-02-09T00:00:00"/>
    <d v="2025-02-21T00:00:00"/>
    <x v="1"/>
    <s v="Q1"/>
    <x v="1"/>
    <x v="6"/>
    <x v="0"/>
    <x v="0"/>
    <x v="1"/>
    <x v="0"/>
    <x v="2"/>
    <n v="12"/>
    <n v="65"/>
    <n v="7826"/>
    <n v="1"/>
    <n v="4"/>
    <s v="Recovered"/>
    <n v="1"/>
  </r>
  <r>
    <s v="ADM-243122"/>
    <d v="2025-02-09T00:00:00"/>
    <d v="2025-02-12T00:00:00"/>
    <x v="1"/>
    <s v="Q1"/>
    <x v="1"/>
    <x v="6"/>
    <x v="2"/>
    <x v="0"/>
    <x v="0"/>
    <x v="1"/>
    <x v="0"/>
    <n v="3"/>
    <n v="45"/>
    <n v="1954"/>
    <n v="0"/>
    <n v="4"/>
    <s v="Improved"/>
    <n v="1"/>
  </r>
  <r>
    <s v="ADM-243123"/>
    <d v="2025-02-09T00:00:00"/>
    <d v="2025-02-12T00:00:00"/>
    <x v="1"/>
    <s v="Q1"/>
    <x v="1"/>
    <x v="6"/>
    <x v="2"/>
    <x v="1"/>
    <x v="0"/>
    <x v="2"/>
    <x v="0"/>
    <n v="3"/>
    <m/>
    <n v="2683"/>
    <n v="1"/>
    <n v="3"/>
    <s v="Recovered"/>
    <n v="1"/>
  </r>
  <r>
    <s v="ADM-243124"/>
    <d v="2025-02-09T00:00:00"/>
    <d v="2025-02-10T00:00:00"/>
    <x v="1"/>
    <s v="Q1"/>
    <x v="1"/>
    <x v="6"/>
    <x v="2"/>
    <x v="0"/>
    <x v="0"/>
    <x v="2"/>
    <x v="2"/>
    <n v="1"/>
    <n v="129"/>
    <n v="1415"/>
    <n v="0"/>
    <n v="5"/>
    <s v="Recovered"/>
    <n v="1"/>
  </r>
  <r>
    <s v="ADM-243125"/>
    <d v="2025-02-09T00:00:00"/>
    <d v="2025-02-11T00:00:00"/>
    <x v="1"/>
    <s v="Q1"/>
    <x v="1"/>
    <x v="6"/>
    <x v="2"/>
    <x v="2"/>
    <x v="0"/>
    <x v="2"/>
    <x v="2"/>
    <n v="2"/>
    <m/>
    <n v="2474"/>
    <n v="0"/>
    <n v="3"/>
    <s v="Improved"/>
    <n v="1"/>
  </r>
  <r>
    <s v="ADM-243126"/>
    <d v="2025-02-09T00:00:00"/>
    <d v="2025-02-15T00:00:00"/>
    <x v="1"/>
    <s v="Q1"/>
    <x v="1"/>
    <x v="6"/>
    <x v="3"/>
    <x v="0"/>
    <x v="0"/>
    <x v="3"/>
    <x v="1"/>
    <n v="6"/>
    <n v="42"/>
    <n v="4384"/>
    <n v="0"/>
    <n v="4"/>
    <s v="Improved"/>
    <n v="1"/>
  </r>
  <r>
    <s v="ADM-243127"/>
    <d v="2025-02-10T00:00:00"/>
    <d v="2025-02-14T00:00:00"/>
    <x v="1"/>
    <s v="Q1"/>
    <x v="1"/>
    <x v="0"/>
    <x v="1"/>
    <x v="2"/>
    <x v="1"/>
    <x v="1"/>
    <x v="0"/>
    <n v="4"/>
    <m/>
    <n v="6283"/>
    <n v="1"/>
    <n v="5"/>
    <s v="Recovered"/>
    <n v="1"/>
  </r>
  <r>
    <s v="ADM-243128"/>
    <d v="2025-02-10T00:00:00"/>
    <d v="2025-02-11T00:00:00"/>
    <x v="1"/>
    <s v="Q1"/>
    <x v="1"/>
    <x v="0"/>
    <x v="3"/>
    <x v="0"/>
    <x v="0"/>
    <x v="3"/>
    <x v="2"/>
    <n v="1"/>
    <n v="93"/>
    <n v="1805"/>
    <n v="0"/>
    <n v="3"/>
    <s v="Improved"/>
    <n v="1"/>
  </r>
  <r>
    <s v="ADM-243129"/>
    <d v="2025-02-10T00:00:00"/>
    <d v="2025-02-16T00:00:00"/>
    <x v="1"/>
    <s v="Q1"/>
    <x v="1"/>
    <x v="0"/>
    <x v="1"/>
    <x v="0"/>
    <x v="1"/>
    <x v="2"/>
    <x v="0"/>
    <n v="6"/>
    <n v="21"/>
    <n v="5111"/>
    <n v="0"/>
    <n v="5"/>
    <s v="Recovered"/>
    <n v="1"/>
  </r>
  <r>
    <s v="ADM-243130"/>
    <d v="2025-02-10T00:00:00"/>
    <d v="2025-02-12T00:00:00"/>
    <x v="1"/>
    <s v="Q1"/>
    <x v="1"/>
    <x v="0"/>
    <x v="5"/>
    <x v="0"/>
    <x v="1"/>
    <x v="2"/>
    <x v="0"/>
    <n v="2"/>
    <n v="58"/>
    <n v="2862"/>
    <n v="0"/>
    <n v="4"/>
    <s v="Recovered"/>
    <n v="1"/>
  </r>
  <r>
    <s v="ADM-243131"/>
    <d v="2025-02-10T00:00:00"/>
    <d v="2025-02-14T00:00:00"/>
    <x v="1"/>
    <s v="Q1"/>
    <x v="1"/>
    <x v="0"/>
    <x v="2"/>
    <x v="0"/>
    <x v="0"/>
    <x v="2"/>
    <x v="0"/>
    <n v="4"/>
    <n v="52"/>
    <n v="2445"/>
    <n v="0"/>
    <n v="5"/>
    <s v="Recovered"/>
    <n v="1"/>
  </r>
  <r>
    <s v="ADM-243132"/>
    <d v="2025-02-10T00:00:00"/>
    <d v="2025-02-12T00:00:00"/>
    <x v="1"/>
    <s v="Q1"/>
    <x v="1"/>
    <x v="0"/>
    <x v="1"/>
    <x v="0"/>
    <x v="0"/>
    <x v="1"/>
    <x v="0"/>
    <n v="2"/>
    <n v="53"/>
    <n v="3006"/>
    <n v="0"/>
    <n v="5"/>
    <s v="Transferred"/>
    <n v="1"/>
  </r>
  <r>
    <s v="ADM-243133"/>
    <d v="2025-02-10T00:00:00"/>
    <d v="2025-02-12T00:00:00"/>
    <x v="1"/>
    <s v="Q1"/>
    <x v="1"/>
    <x v="0"/>
    <x v="3"/>
    <x v="0"/>
    <x v="1"/>
    <x v="3"/>
    <x v="0"/>
    <n v="2"/>
    <n v="56"/>
    <n v="2027"/>
    <n v="0"/>
    <n v="5"/>
    <s v="Recovered"/>
    <n v="1"/>
  </r>
  <r>
    <s v="ADM-243134"/>
    <d v="2025-02-11T00:00:00"/>
    <d v="2025-02-17T00:00:00"/>
    <x v="1"/>
    <s v="Q1"/>
    <x v="1"/>
    <x v="1"/>
    <x v="4"/>
    <x v="0"/>
    <x v="1"/>
    <x v="2"/>
    <x v="2"/>
    <n v="6"/>
    <n v="40"/>
    <n v="6225"/>
    <n v="1"/>
    <n v="4"/>
    <s v="Recovered"/>
    <n v="1"/>
  </r>
  <r>
    <s v="ADM-243135"/>
    <d v="2025-02-11T00:00:00"/>
    <d v="2025-02-16T00:00:00"/>
    <x v="1"/>
    <s v="Q1"/>
    <x v="1"/>
    <x v="1"/>
    <x v="0"/>
    <x v="0"/>
    <x v="0"/>
    <x v="1"/>
    <x v="0"/>
    <n v="5"/>
    <n v="88"/>
    <n v="3421"/>
    <n v="0"/>
    <n v="4"/>
    <s v="Recovered"/>
    <n v="1"/>
  </r>
  <r>
    <s v="ADM-243136"/>
    <d v="2025-02-11T00:00:00"/>
    <d v="2025-02-13T00:00:00"/>
    <x v="1"/>
    <s v="Q1"/>
    <x v="1"/>
    <x v="1"/>
    <x v="1"/>
    <x v="2"/>
    <x v="1"/>
    <x v="1"/>
    <x v="0"/>
    <n v="2"/>
    <m/>
    <n v="2503"/>
    <n v="0"/>
    <n v="3"/>
    <s v="Improved"/>
    <n v="1"/>
  </r>
  <r>
    <s v="ADM-243137"/>
    <d v="2025-02-11T00:00:00"/>
    <d v="2025-02-14T00:00:00"/>
    <x v="1"/>
    <s v="Q1"/>
    <x v="1"/>
    <x v="1"/>
    <x v="2"/>
    <x v="0"/>
    <x v="0"/>
    <x v="2"/>
    <x v="2"/>
    <n v="3"/>
    <n v="131"/>
    <n v="3064"/>
    <n v="0"/>
    <n v="4"/>
    <s v="Recovered"/>
    <n v="1"/>
  </r>
  <r>
    <s v="ADM-243138"/>
    <d v="2025-02-11T00:00:00"/>
    <d v="2025-02-18T00:00:00"/>
    <x v="1"/>
    <s v="Q1"/>
    <x v="1"/>
    <x v="1"/>
    <x v="3"/>
    <x v="0"/>
    <x v="0"/>
    <x v="3"/>
    <x v="1"/>
    <n v="7"/>
    <n v="49"/>
    <n v="5106"/>
    <n v="1"/>
    <n v="4"/>
    <s v="Recovered"/>
    <n v="1"/>
  </r>
  <r>
    <s v="ADM-243139"/>
    <d v="2025-02-11T00:00:00"/>
    <d v="2025-02-13T00:00:00"/>
    <x v="1"/>
    <s v="Q1"/>
    <x v="1"/>
    <x v="1"/>
    <x v="3"/>
    <x v="0"/>
    <x v="0"/>
    <x v="3"/>
    <x v="0"/>
    <n v="2"/>
    <n v="37"/>
    <n v="1832"/>
    <n v="0"/>
    <n v="5"/>
    <s v="Improved"/>
    <n v="1"/>
  </r>
  <r>
    <s v="ADM-243140"/>
    <d v="2025-02-11T00:00:00"/>
    <d v="2025-02-13T00:00:00"/>
    <x v="1"/>
    <s v="Q1"/>
    <x v="1"/>
    <x v="1"/>
    <x v="0"/>
    <x v="0"/>
    <x v="1"/>
    <x v="1"/>
    <x v="2"/>
    <n v="2"/>
    <n v="57"/>
    <n v="2489"/>
    <n v="1"/>
    <n v="4"/>
    <s v="Recovered"/>
    <n v="1"/>
  </r>
  <r>
    <s v="ADM-243141"/>
    <d v="2025-02-11T00:00:00"/>
    <d v="2025-02-23T00:00:00"/>
    <x v="1"/>
    <s v="Q1"/>
    <x v="1"/>
    <x v="1"/>
    <x v="3"/>
    <x v="2"/>
    <x v="1"/>
    <x v="3"/>
    <x v="1"/>
    <n v="12"/>
    <m/>
    <n v="6809"/>
    <n v="0"/>
    <n v="4"/>
    <s v="Improved"/>
    <n v="1"/>
  </r>
  <r>
    <s v="ADM-243142"/>
    <d v="2025-02-11T00:00:00"/>
    <d v="2025-02-15T00:00:00"/>
    <x v="1"/>
    <s v="Q1"/>
    <x v="1"/>
    <x v="1"/>
    <x v="2"/>
    <x v="2"/>
    <x v="0"/>
    <x v="2"/>
    <x v="2"/>
    <n v="4"/>
    <m/>
    <n v="3401"/>
    <n v="0"/>
    <n v="3"/>
    <s v="Improved"/>
    <n v="1"/>
  </r>
  <r>
    <s v="ADM-243143"/>
    <d v="2025-02-11T00:00:00"/>
    <d v="2025-02-16T00:00:00"/>
    <x v="1"/>
    <s v="Q1"/>
    <x v="1"/>
    <x v="1"/>
    <x v="1"/>
    <x v="2"/>
    <x v="0"/>
    <x v="2"/>
    <x v="2"/>
    <n v="5"/>
    <m/>
    <n v="5262"/>
    <n v="0"/>
    <n v="4"/>
    <s v="Improved"/>
    <n v="1"/>
  </r>
  <r>
    <s v="ADM-243144"/>
    <d v="2025-02-11T00:00:00"/>
    <d v="2025-02-17T00:00:00"/>
    <x v="1"/>
    <s v="Q1"/>
    <x v="1"/>
    <x v="1"/>
    <x v="5"/>
    <x v="1"/>
    <x v="0"/>
    <x v="0"/>
    <x v="0"/>
    <n v="6"/>
    <m/>
    <n v="7363"/>
    <n v="0"/>
    <n v="4"/>
    <s v="Improved"/>
    <n v="1"/>
  </r>
  <r>
    <s v="ADM-243145"/>
    <d v="2025-02-11T00:00:00"/>
    <d v="2025-02-12T00:00:00"/>
    <x v="1"/>
    <s v="Q1"/>
    <x v="1"/>
    <x v="1"/>
    <x v="1"/>
    <x v="0"/>
    <x v="0"/>
    <x v="1"/>
    <x v="0"/>
    <n v="1"/>
    <n v="86"/>
    <n v="1809"/>
    <n v="0"/>
    <n v="5"/>
    <s v="Recovered"/>
    <n v="1"/>
  </r>
  <r>
    <s v="ADM-243146"/>
    <d v="2025-02-11T00:00:00"/>
    <d v="2025-02-12T00:00:00"/>
    <x v="1"/>
    <s v="Q1"/>
    <x v="1"/>
    <x v="1"/>
    <x v="3"/>
    <x v="0"/>
    <x v="0"/>
    <x v="3"/>
    <x v="2"/>
    <n v="1"/>
    <n v="23"/>
    <n v="1384"/>
    <n v="0"/>
    <n v="5"/>
    <s v="Improved"/>
    <n v="1"/>
  </r>
  <r>
    <s v="ADM-243147"/>
    <d v="2025-02-11T00:00:00"/>
    <d v="2025-02-21T00:00:00"/>
    <x v="1"/>
    <s v="Q1"/>
    <x v="1"/>
    <x v="1"/>
    <x v="2"/>
    <x v="0"/>
    <x v="0"/>
    <x v="1"/>
    <x v="0"/>
    <n v="10"/>
    <n v="47"/>
    <n v="6075"/>
    <n v="0"/>
    <n v="4"/>
    <s v="Improved"/>
    <n v="1"/>
  </r>
  <r>
    <s v="ADM-243148"/>
    <d v="2025-02-11T00:00:00"/>
    <d v="2025-02-25T00:00:00"/>
    <x v="1"/>
    <s v="Q1"/>
    <x v="1"/>
    <x v="1"/>
    <x v="0"/>
    <x v="0"/>
    <x v="1"/>
    <x v="0"/>
    <x v="0"/>
    <n v="14"/>
    <n v="99"/>
    <n v="8054"/>
    <n v="1"/>
    <n v="3"/>
    <s v="Improved"/>
    <n v="1"/>
  </r>
  <r>
    <s v="ADM-243149"/>
    <d v="2025-02-11T00:00:00"/>
    <d v="2025-02-19T00:00:00"/>
    <x v="1"/>
    <s v="Q1"/>
    <x v="1"/>
    <x v="1"/>
    <x v="3"/>
    <x v="2"/>
    <x v="1"/>
    <x v="3"/>
    <x v="2"/>
    <n v="8"/>
    <m/>
    <n v="5037"/>
    <n v="0"/>
    <n v="4"/>
    <s v="Recovered"/>
    <n v="1"/>
  </r>
  <r>
    <s v="ADM-243150"/>
    <d v="2025-02-12T00:00:00"/>
    <d v="2025-02-17T00:00:00"/>
    <x v="1"/>
    <s v="Q1"/>
    <x v="1"/>
    <x v="2"/>
    <x v="5"/>
    <x v="2"/>
    <x v="1"/>
    <x v="0"/>
    <x v="2"/>
    <n v="5"/>
    <m/>
    <n v="6314"/>
    <n v="0"/>
    <n v="3"/>
    <s v="Recovered"/>
    <n v="1"/>
  </r>
  <r>
    <s v="ADM-243151"/>
    <d v="2025-02-12T00:00:00"/>
    <d v="2025-02-19T00:00:00"/>
    <x v="1"/>
    <s v="Q1"/>
    <x v="1"/>
    <x v="2"/>
    <x v="3"/>
    <x v="0"/>
    <x v="0"/>
    <x v="3"/>
    <x v="2"/>
    <n v="7"/>
    <n v="119"/>
    <n v="5863"/>
    <n v="0"/>
    <n v="2"/>
    <s v="Improved"/>
    <n v="1"/>
  </r>
  <r>
    <s v="ADM-243152"/>
    <d v="2025-02-12T00:00:00"/>
    <d v="2025-02-16T00:00:00"/>
    <x v="1"/>
    <s v="Q1"/>
    <x v="1"/>
    <x v="2"/>
    <x v="5"/>
    <x v="0"/>
    <x v="1"/>
    <x v="1"/>
    <x v="0"/>
    <n v="4"/>
    <n v="70"/>
    <n v="5145"/>
    <n v="0"/>
    <n v="5"/>
    <s v="Recovered"/>
    <n v="1"/>
  </r>
  <r>
    <s v="ADM-243153"/>
    <d v="2025-02-12T00:00:00"/>
    <d v="2025-02-24T00:00:00"/>
    <x v="1"/>
    <s v="Q1"/>
    <x v="1"/>
    <x v="2"/>
    <x v="0"/>
    <x v="0"/>
    <x v="0"/>
    <x v="1"/>
    <x v="1"/>
    <n v="12"/>
    <n v="30"/>
    <n v="6266"/>
    <n v="0"/>
    <n v="4"/>
    <s v="Recovered"/>
    <n v="1"/>
  </r>
  <r>
    <s v="ADM-243154"/>
    <d v="2025-02-12T00:00:00"/>
    <d v="2025-02-16T00:00:00"/>
    <x v="1"/>
    <s v="Q1"/>
    <x v="1"/>
    <x v="2"/>
    <x v="1"/>
    <x v="2"/>
    <x v="0"/>
    <x v="1"/>
    <x v="1"/>
    <n v="4"/>
    <m/>
    <n v="4849"/>
    <n v="0"/>
    <n v="5"/>
    <s v="Recovered"/>
    <n v="1"/>
  </r>
  <r>
    <s v="ADM-243155"/>
    <d v="2025-02-12T00:00:00"/>
    <d v="2025-02-13T00:00:00"/>
    <x v="1"/>
    <s v="Q1"/>
    <x v="1"/>
    <x v="2"/>
    <x v="3"/>
    <x v="0"/>
    <x v="0"/>
    <x v="3"/>
    <x v="0"/>
    <n v="1"/>
    <n v="73"/>
    <n v="1571"/>
    <n v="0"/>
    <n v="4"/>
    <s v="Improved"/>
    <n v="1"/>
  </r>
  <r>
    <s v="ADM-243156"/>
    <d v="2025-02-12T00:00:00"/>
    <d v="2025-02-15T00:00:00"/>
    <x v="1"/>
    <s v="Q1"/>
    <x v="1"/>
    <x v="2"/>
    <x v="4"/>
    <x v="1"/>
    <x v="0"/>
    <x v="1"/>
    <x v="0"/>
    <n v="3"/>
    <m/>
    <n v="3793"/>
    <n v="0"/>
    <n v="4"/>
    <s v="Improved"/>
    <n v="1"/>
  </r>
  <r>
    <s v="ADM-243157"/>
    <d v="2025-02-13T00:00:00"/>
    <d v="2025-02-19T00:00:00"/>
    <x v="1"/>
    <s v="Q1"/>
    <x v="1"/>
    <x v="3"/>
    <x v="3"/>
    <x v="0"/>
    <x v="0"/>
    <x v="3"/>
    <x v="2"/>
    <n v="6"/>
    <n v="41"/>
    <n v="4551"/>
    <n v="1"/>
    <n v="3"/>
    <s v="Recovered"/>
    <n v="1"/>
  </r>
  <r>
    <s v="ADM-243158"/>
    <d v="2025-02-13T00:00:00"/>
    <d v="2025-02-17T00:00:00"/>
    <x v="1"/>
    <s v="Q1"/>
    <x v="1"/>
    <x v="3"/>
    <x v="5"/>
    <x v="2"/>
    <x v="0"/>
    <x v="1"/>
    <x v="2"/>
    <n v="4"/>
    <m/>
    <n v="3517"/>
    <n v="0"/>
    <n v="5"/>
    <s v="Recovered"/>
    <n v="1"/>
  </r>
  <r>
    <s v="ADM-243159"/>
    <d v="2025-02-13T00:00:00"/>
    <d v="2025-02-15T00:00:00"/>
    <x v="1"/>
    <s v="Q1"/>
    <x v="1"/>
    <x v="3"/>
    <x v="1"/>
    <x v="2"/>
    <x v="0"/>
    <x v="1"/>
    <x v="2"/>
    <n v="2"/>
    <m/>
    <n v="3138"/>
    <n v="0"/>
    <n v="4"/>
    <s v="Improved"/>
    <n v="1"/>
  </r>
  <r>
    <s v="ADM-243160"/>
    <d v="2025-02-13T00:00:00"/>
    <d v="2025-02-18T00:00:00"/>
    <x v="1"/>
    <s v="Q1"/>
    <x v="1"/>
    <x v="3"/>
    <x v="5"/>
    <x v="2"/>
    <x v="1"/>
    <x v="0"/>
    <x v="0"/>
    <n v="5"/>
    <m/>
    <n v="5648"/>
    <n v="1"/>
    <n v="4"/>
    <s v="Transferred"/>
    <n v="1"/>
  </r>
  <r>
    <s v="ADM-243161"/>
    <d v="2025-02-13T00:00:00"/>
    <d v="2025-02-15T00:00:00"/>
    <x v="1"/>
    <s v="Q1"/>
    <x v="1"/>
    <x v="3"/>
    <x v="0"/>
    <x v="0"/>
    <x v="1"/>
    <x v="4"/>
    <x v="2"/>
    <n v="2"/>
    <n v="80"/>
    <n v="2387"/>
    <n v="0"/>
    <n v="5"/>
    <s v="Recovered"/>
    <n v="1"/>
  </r>
  <r>
    <s v="ADM-243162"/>
    <d v="2025-02-13T00:00:00"/>
    <d v="2025-02-27T00:00:00"/>
    <x v="1"/>
    <s v="Q1"/>
    <x v="1"/>
    <x v="3"/>
    <x v="0"/>
    <x v="0"/>
    <x v="1"/>
    <x v="1"/>
    <x v="2"/>
    <n v="14"/>
    <n v="17"/>
    <n v="9060"/>
    <n v="0"/>
    <n v="4"/>
    <s v="Improved"/>
    <n v="1"/>
  </r>
  <r>
    <s v="ADM-243163"/>
    <d v="2025-02-14T00:00:00"/>
    <d v="2025-02-17T00:00:00"/>
    <x v="1"/>
    <s v="Q1"/>
    <x v="1"/>
    <x v="4"/>
    <x v="3"/>
    <x v="0"/>
    <x v="1"/>
    <x v="3"/>
    <x v="0"/>
    <n v="3"/>
    <n v="103"/>
    <n v="2549"/>
    <n v="0"/>
    <n v="4"/>
    <s v="Transferred"/>
    <n v="1"/>
  </r>
  <r>
    <s v="ADM-243164"/>
    <d v="2025-02-14T00:00:00"/>
    <d v="2025-02-15T00:00:00"/>
    <x v="1"/>
    <s v="Q1"/>
    <x v="1"/>
    <x v="4"/>
    <x v="3"/>
    <x v="0"/>
    <x v="1"/>
    <x v="3"/>
    <x v="2"/>
    <n v="1"/>
    <n v="22"/>
    <n v="2026"/>
    <n v="0"/>
    <n v="4"/>
    <s v="Improved"/>
    <n v="1"/>
  </r>
  <r>
    <s v="ADM-243165"/>
    <d v="2025-02-14T00:00:00"/>
    <d v="2025-02-18T00:00:00"/>
    <x v="1"/>
    <s v="Q1"/>
    <x v="1"/>
    <x v="4"/>
    <x v="1"/>
    <x v="2"/>
    <x v="0"/>
    <x v="0"/>
    <x v="2"/>
    <n v="4"/>
    <m/>
    <n v="4476"/>
    <n v="0"/>
    <n v="5"/>
    <s v="Recovered"/>
    <n v="1"/>
  </r>
  <r>
    <s v="ADM-243166"/>
    <d v="2025-02-14T00:00:00"/>
    <d v="2025-02-15T00:00:00"/>
    <x v="1"/>
    <s v="Q1"/>
    <x v="1"/>
    <x v="4"/>
    <x v="2"/>
    <x v="0"/>
    <x v="0"/>
    <x v="1"/>
    <x v="2"/>
    <n v="1"/>
    <n v="42"/>
    <n v="1366"/>
    <n v="0"/>
    <n v="5"/>
    <s v="Recovered"/>
    <n v="1"/>
  </r>
  <r>
    <s v="ADM-243167"/>
    <d v="2025-02-14T00:00:00"/>
    <d v="2025-02-27T00:00:00"/>
    <x v="1"/>
    <s v="Q1"/>
    <x v="1"/>
    <x v="4"/>
    <x v="0"/>
    <x v="0"/>
    <x v="1"/>
    <x v="0"/>
    <x v="1"/>
    <n v="13"/>
    <n v="29"/>
    <n v="10656"/>
    <n v="0"/>
    <n v="4"/>
    <s v="Recovered"/>
    <n v="1"/>
  </r>
  <r>
    <s v="ADM-243168"/>
    <d v="2025-02-14T00:00:00"/>
    <d v="2025-02-15T00:00:00"/>
    <x v="1"/>
    <s v="Q1"/>
    <x v="1"/>
    <x v="4"/>
    <x v="2"/>
    <x v="2"/>
    <x v="0"/>
    <x v="2"/>
    <x v="0"/>
    <n v="1"/>
    <m/>
    <n v="1765"/>
    <n v="0"/>
    <n v="3"/>
    <s v="Improved"/>
    <n v="1"/>
  </r>
  <r>
    <s v="ADM-243169"/>
    <d v="2025-02-14T00:00:00"/>
    <d v="2025-02-17T00:00:00"/>
    <x v="1"/>
    <s v="Q1"/>
    <x v="1"/>
    <x v="4"/>
    <x v="1"/>
    <x v="2"/>
    <x v="0"/>
    <x v="1"/>
    <x v="2"/>
    <n v="3"/>
    <m/>
    <n v="3094"/>
    <n v="0"/>
    <n v="4"/>
    <s v="Improved"/>
    <n v="1"/>
  </r>
  <r>
    <s v="ADM-243170"/>
    <d v="2025-02-14T00:00:00"/>
    <d v="2025-02-16T00:00:00"/>
    <x v="1"/>
    <s v="Q1"/>
    <x v="1"/>
    <x v="4"/>
    <x v="2"/>
    <x v="2"/>
    <x v="0"/>
    <x v="2"/>
    <x v="2"/>
    <n v="2"/>
    <m/>
    <n v="2024"/>
    <n v="0"/>
    <n v="5"/>
    <s v="Recovered"/>
    <n v="1"/>
  </r>
  <r>
    <s v="ADM-243171"/>
    <d v="2025-02-14T00:00:00"/>
    <d v="2025-02-17T00:00:00"/>
    <x v="1"/>
    <s v="Q1"/>
    <x v="1"/>
    <x v="4"/>
    <x v="0"/>
    <x v="2"/>
    <x v="0"/>
    <x v="4"/>
    <x v="1"/>
    <n v="3"/>
    <m/>
    <n v="2403"/>
    <n v="0"/>
    <n v="4"/>
    <s v="Recovered"/>
    <n v="1"/>
  </r>
  <r>
    <s v="ADM-243172"/>
    <d v="2025-02-14T00:00:00"/>
    <d v="2025-02-16T00:00:00"/>
    <x v="1"/>
    <s v="Q1"/>
    <x v="1"/>
    <x v="4"/>
    <x v="3"/>
    <x v="0"/>
    <x v="1"/>
    <x v="3"/>
    <x v="0"/>
    <n v="2"/>
    <n v="110"/>
    <n v="2342"/>
    <n v="1"/>
    <n v="4"/>
    <s v="Recovered"/>
    <n v="1"/>
  </r>
  <r>
    <s v="ADM-243173"/>
    <d v="2025-02-14T00:00:00"/>
    <d v="2025-02-27T00:00:00"/>
    <x v="1"/>
    <s v="Q1"/>
    <x v="1"/>
    <x v="4"/>
    <x v="0"/>
    <x v="0"/>
    <x v="1"/>
    <x v="2"/>
    <x v="0"/>
    <n v="13"/>
    <n v="98"/>
    <n v="9321"/>
    <n v="0"/>
    <n v="5"/>
    <s v="Recovered"/>
    <n v="1"/>
  </r>
  <r>
    <s v="ADM-243174"/>
    <d v="2025-02-14T00:00:00"/>
    <d v="2025-02-18T00:00:00"/>
    <x v="1"/>
    <s v="Q1"/>
    <x v="1"/>
    <x v="4"/>
    <x v="3"/>
    <x v="0"/>
    <x v="1"/>
    <x v="3"/>
    <x v="0"/>
    <n v="4"/>
    <n v="166"/>
    <n v="3012"/>
    <n v="0"/>
    <n v="3"/>
    <s v="Improved"/>
    <n v="1"/>
  </r>
  <r>
    <s v="ADM-243175"/>
    <d v="2025-02-14T00:00:00"/>
    <d v="2025-02-16T00:00:00"/>
    <x v="1"/>
    <s v="Q1"/>
    <x v="1"/>
    <x v="4"/>
    <x v="4"/>
    <x v="2"/>
    <x v="1"/>
    <x v="1"/>
    <x v="1"/>
    <n v="2"/>
    <m/>
    <n v="3425"/>
    <n v="0"/>
    <n v="4"/>
    <s v="Recovered"/>
    <n v="1"/>
  </r>
  <r>
    <s v="ADM-243176"/>
    <d v="2025-02-15T00:00:00"/>
    <d v="2025-02-26T00:00:00"/>
    <x v="1"/>
    <s v="Q1"/>
    <x v="1"/>
    <x v="5"/>
    <x v="0"/>
    <x v="0"/>
    <x v="0"/>
    <x v="0"/>
    <x v="0"/>
    <n v="11"/>
    <n v="70"/>
    <n v="11217"/>
    <n v="0"/>
    <n v="3"/>
    <s v="Improved"/>
    <n v="1"/>
  </r>
  <r>
    <s v="ADM-243177"/>
    <d v="2025-02-15T00:00:00"/>
    <d v="2025-02-17T00:00:00"/>
    <x v="1"/>
    <s v="Q1"/>
    <x v="1"/>
    <x v="5"/>
    <x v="3"/>
    <x v="2"/>
    <x v="1"/>
    <x v="3"/>
    <x v="0"/>
    <n v="2"/>
    <m/>
    <n v="2410"/>
    <n v="0"/>
    <n v="4"/>
    <s v="Improved"/>
    <n v="1"/>
  </r>
  <r>
    <s v="ADM-243178"/>
    <d v="2025-02-15T00:00:00"/>
    <d v="2025-02-18T00:00:00"/>
    <x v="1"/>
    <s v="Q1"/>
    <x v="1"/>
    <x v="5"/>
    <x v="0"/>
    <x v="0"/>
    <x v="0"/>
    <x v="2"/>
    <x v="2"/>
    <n v="3"/>
    <n v="79"/>
    <n v="2840"/>
    <n v="0"/>
    <n v="4"/>
    <s v="Recovered"/>
    <n v="1"/>
  </r>
  <r>
    <s v="ADM-243179"/>
    <d v="2025-02-15T00:00:00"/>
    <d v="2025-02-16T00:00:00"/>
    <x v="1"/>
    <s v="Q1"/>
    <x v="1"/>
    <x v="5"/>
    <x v="3"/>
    <x v="1"/>
    <x v="1"/>
    <x v="3"/>
    <x v="0"/>
    <n v="1"/>
    <m/>
    <n v="1505"/>
    <n v="0"/>
    <n v="3"/>
    <s v="Recovered"/>
    <n v="1"/>
  </r>
  <r>
    <s v="ADM-243180"/>
    <d v="2025-02-15T00:00:00"/>
    <d v="2025-02-17T00:00:00"/>
    <x v="1"/>
    <s v="Q1"/>
    <x v="1"/>
    <x v="5"/>
    <x v="2"/>
    <x v="1"/>
    <x v="0"/>
    <x v="2"/>
    <x v="1"/>
    <n v="2"/>
    <m/>
    <n v="2431"/>
    <n v="0"/>
    <n v="4"/>
    <s v="Recovered"/>
    <n v="1"/>
  </r>
  <r>
    <s v="ADM-243181"/>
    <d v="2025-02-15T00:00:00"/>
    <d v="2025-02-16T00:00:00"/>
    <x v="1"/>
    <s v="Q1"/>
    <x v="1"/>
    <x v="5"/>
    <x v="3"/>
    <x v="0"/>
    <x v="1"/>
    <x v="3"/>
    <x v="2"/>
    <n v="1"/>
    <n v="61"/>
    <n v="1564"/>
    <n v="0"/>
    <n v="4"/>
    <s v="Transferred"/>
    <n v="1"/>
  </r>
  <r>
    <s v="ADM-243182"/>
    <d v="2025-02-16T00:00:00"/>
    <d v="2025-02-22T00:00:00"/>
    <x v="1"/>
    <s v="Q1"/>
    <x v="1"/>
    <x v="6"/>
    <x v="0"/>
    <x v="2"/>
    <x v="0"/>
    <x v="0"/>
    <x v="0"/>
    <n v="6"/>
    <m/>
    <n v="4504"/>
    <n v="0"/>
    <n v="4"/>
    <s v="Recovered"/>
    <n v="1"/>
  </r>
  <r>
    <s v="ADM-243183"/>
    <d v="2025-02-16T00:00:00"/>
    <d v="2025-02-21T00:00:00"/>
    <x v="1"/>
    <s v="Q1"/>
    <x v="1"/>
    <x v="6"/>
    <x v="4"/>
    <x v="2"/>
    <x v="1"/>
    <x v="4"/>
    <x v="0"/>
    <n v="5"/>
    <m/>
    <n v="7495"/>
    <n v="0"/>
    <n v="4"/>
    <s v="Recovered"/>
    <n v="1"/>
  </r>
  <r>
    <s v="ADM-243184"/>
    <d v="2025-02-16T00:00:00"/>
    <d v="2025-02-19T00:00:00"/>
    <x v="1"/>
    <s v="Q1"/>
    <x v="1"/>
    <x v="6"/>
    <x v="3"/>
    <x v="0"/>
    <x v="1"/>
    <x v="3"/>
    <x v="2"/>
    <n v="3"/>
    <n v="38"/>
    <n v="2117"/>
    <n v="0"/>
    <n v="4"/>
    <s v="Transferred"/>
    <n v="1"/>
  </r>
  <r>
    <s v="ADM-243185"/>
    <d v="2025-02-16T00:00:00"/>
    <d v="2025-02-20T00:00:00"/>
    <x v="1"/>
    <s v="Q1"/>
    <x v="1"/>
    <x v="6"/>
    <x v="0"/>
    <x v="2"/>
    <x v="1"/>
    <x v="0"/>
    <x v="2"/>
    <n v="4"/>
    <m/>
    <n v="2942"/>
    <n v="0"/>
    <n v="5"/>
    <s v="Improved"/>
    <n v="1"/>
  </r>
  <r>
    <s v="ADM-243186"/>
    <d v="2025-02-16T00:00:00"/>
    <d v="2025-02-22T00:00:00"/>
    <x v="1"/>
    <s v="Q1"/>
    <x v="1"/>
    <x v="6"/>
    <x v="0"/>
    <x v="0"/>
    <x v="1"/>
    <x v="1"/>
    <x v="0"/>
    <n v="6"/>
    <n v="16"/>
    <n v="4566"/>
    <n v="0"/>
    <n v="5"/>
    <s v="Recovered"/>
    <n v="1"/>
  </r>
  <r>
    <s v="ADM-243187"/>
    <d v="2025-02-16T00:00:00"/>
    <d v="2025-02-19T00:00:00"/>
    <x v="1"/>
    <s v="Q1"/>
    <x v="1"/>
    <x v="6"/>
    <x v="0"/>
    <x v="0"/>
    <x v="0"/>
    <x v="1"/>
    <x v="0"/>
    <n v="3"/>
    <n v="65"/>
    <n v="2834"/>
    <n v="0"/>
    <n v="4"/>
    <s v="Recovered"/>
    <n v="1"/>
  </r>
  <r>
    <s v="ADM-243188"/>
    <d v="2025-02-16T00:00:00"/>
    <d v="2025-02-22T00:00:00"/>
    <x v="1"/>
    <s v="Q1"/>
    <x v="1"/>
    <x v="6"/>
    <x v="3"/>
    <x v="0"/>
    <x v="0"/>
    <x v="3"/>
    <x v="0"/>
    <n v="6"/>
    <n v="69"/>
    <n v="4478"/>
    <n v="0"/>
    <n v="5"/>
    <s v="Improved"/>
    <n v="1"/>
  </r>
  <r>
    <s v="ADM-243189"/>
    <d v="2025-02-16T00:00:00"/>
    <d v="2025-02-20T00:00:00"/>
    <x v="1"/>
    <s v="Q1"/>
    <x v="1"/>
    <x v="6"/>
    <x v="3"/>
    <x v="0"/>
    <x v="0"/>
    <x v="3"/>
    <x v="0"/>
    <n v="4"/>
    <n v="38"/>
    <n v="2333"/>
    <n v="0"/>
    <n v="5"/>
    <s v="Recovered"/>
    <n v="1"/>
  </r>
  <r>
    <s v="ADM-243190"/>
    <d v="2025-02-16T00:00:00"/>
    <d v="2025-02-23T00:00:00"/>
    <x v="1"/>
    <s v="Q1"/>
    <x v="1"/>
    <x v="6"/>
    <x v="4"/>
    <x v="0"/>
    <x v="0"/>
    <x v="0"/>
    <x v="2"/>
    <n v="7"/>
    <n v="61"/>
    <n v="11275"/>
    <n v="0"/>
    <n v="5"/>
    <s v="Recovered"/>
    <n v="1"/>
  </r>
  <r>
    <s v="ADM-243191"/>
    <d v="2025-02-16T00:00:00"/>
    <d v="2025-02-19T00:00:00"/>
    <x v="1"/>
    <s v="Q1"/>
    <x v="1"/>
    <x v="6"/>
    <x v="5"/>
    <x v="2"/>
    <x v="1"/>
    <x v="0"/>
    <x v="2"/>
    <n v="3"/>
    <m/>
    <n v="3202"/>
    <n v="0"/>
    <n v="3"/>
    <s v="Recovered"/>
    <n v="1"/>
  </r>
  <r>
    <s v="ADM-243192"/>
    <d v="2025-02-16T00:00:00"/>
    <d v="2025-02-17T00:00:00"/>
    <x v="1"/>
    <s v="Q1"/>
    <x v="1"/>
    <x v="6"/>
    <x v="3"/>
    <x v="0"/>
    <x v="1"/>
    <x v="3"/>
    <x v="0"/>
    <n v="1"/>
    <n v="85"/>
    <n v="1451"/>
    <n v="0"/>
    <n v="3"/>
    <s v="Improved"/>
    <n v="1"/>
  </r>
  <r>
    <s v="ADM-243193"/>
    <d v="2025-02-16T00:00:00"/>
    <d v="2025-02-20T00:00:00"/>
    <x v="1"/>
    <s v="Q1"/>
    <x v="1"/>
    <x v="6"/>
    <x v="2"/>
    <x v="2"/>
    <x v="0"/>
    <x v="2"/>
    <x v="0"/>
    <n v="4"/>
    <m/>
    <n v="3756"/>
    <n v="0"/>
    <n v="4"/>
    <s v="Deceased"/>
    <n v="1"/>
  </r>
  <r>
    <s v="ADM-243194"/>
    <d v="2025-02-16T00:00:00"/>
    <d v="2025-03-02T00:00:00"/>
    <x v="1"/>
    <s v="Q1"/>
    <x v="1"/>
    <x v="6"/>
    <x v="0"/>
    <x v="0"/>
    <x v="1"/>
    <x v="0"/>
    <x v="0"/>
    <n v="14"/>
    <n v="39"/>
    <n v="7062"/>
    <n v="0"/>
    <n v="5"/>
    <s v="Recovered"/>
    <n v="1"/>
  </r>
  <r>
    <s v="ADM-243195"/>
    <d v="2025-02-16T00:00:00"/>
    <d v="2025-02-24T00:00:00"/>
    <x v="1"/>
    <s v="Q1"/>
    <x v="1"/>
    <x v="6"/>
    <x v="0"/>
    <x v="0"/>
    <x v="0"/>
    <x v="1"/>
    <x v="0"/>
    <n v="8"/>
    <n v="57"/>
    <n v="5076"/>
    <n v="0"/>
    <n v="5"/>
    <s v="Recovered"/>
    <n v="1"/>
  </r>
  <r>
    <s v="ADM-243196"/>
    <d v="2025-02-17T00:00:00"/>
    <d v="2025-03-05T00:00:00"/>
    <x v="1"/>
    <s v="Q1"/>
    <x v="1"/>
    <x v="0"/>
    <x v="0"/>
    <x v="0"/>
    <x v="1"/>
    <x v="0"/>
    <x v="0"/>
    <n v="16"/>
    <n v="48"/>
    <n v="12513"/>
    <n v="0"/>
    <n v="5"/>
    <s v="Recovered"/>
    <n v="1"/>
  </r>
  <r>
    <s v="ADM-243197"/>
    <d v="2025-02-17T00:00:00"/>
    <d v="2025-02-19T00:00:00"/>
    <x v="1"/>
    <s v="Q1"/>
    <x v="1"/>
    <x v="0"/>
    <x v="4"/>
    <x v="2"/>
    <x v="0"/>
    <x v="0"/>
    <x v="0"/>
    <n v="2"/>
    <m/>
    <n v="3843"/>
    <n v="0"/>
    <n v="5"/>
    <s v="Improved"/>
    <n v="1"/>
  </r>
  <r>
    <s v="ADM-243198"/>
    <d v="2025-02-17T00:00:00"/>
    <d v="2025-02-19T00:00:00"/>
    <x v="1"/>
    <s v="Q1"/>
    <x v="1"/>
    <x v="0"/>
    <x v="5"/>
    <x v="2"/>
    <x v="0"/>
    <x v="0"/>
    <x v="2"/>
    <n v="2"/>
    <m/>
    <n v="2816"/>
    <n v="0"/>
    <n v="3"/>
    <s v="Improved"/>
    <n v="1"/>
  </r>
  <r>
    <s v="ADM-243199"/>
    <d v="2025-02-17T00:00:00"/>
    <d v="2025-02-23T00:00:00"/>
    <x v="1"/>
    <s v="Q1"/>
    <x v="1"/>
    <x v="0"/>
    <x v="5"/>
    <x v="0"/>
    <x v="1"/>
    <x v="1"/>
    <x v="1"/>
    <n v="6"/>
    <n v="78"/>
    <n v="5250"/>
    <n v="0"/>
    <n v="5"/>
    <s v="Deceased"/>
    <n v="1"/>
  </r>
  <r>
    <s v="ADM-243200"/>
    <d v="2025-02-17T00:00:00"/>
    <d v="2025-02-24T00:00:00"/>
    <x v="1"/>
    <s v="Q1"/>
    <x v="1"/>
    <x v="0"/>
    <x v="0"/>
    <x v="0"/>
    <x v="1"/>
    <x v="1"/>
    <x v="0"/>
    <n v="7"/>
    <n v="112"/>
    <n v="4206"/>
    <n v="0"/>
    <n v="3"/>
    <s v="Improved"/>
    <n v="1"/>
  </r>
  <r>
    <s v="ADM-243201"/>
    <d v="2025-02-17T00:00:00"/>
    <d v="2025-02-19T00:00:00"/>
    <x v="1"/>
    <s v="Q1"/>
    <x v="1"/>
    <x v="0"/>
    <x v="2"/>
    <x v="0"/>
    <x v="0"/>
    <x v="1"/>
    <x v="2"/>
    <n v="2"/>
    <n v="25"/>
    <n v="2389"/>
    <n v="0"/>
    <n v="5"/>
    <s v="Recovered"/>
    <n v="1"/>
  </r>
  <r>
    <s v="ADM-243202"/>
    <d v="2025-02-17T00:00:00"/>
    <d v="2025-02-19T00:00:00"/>
    <x v="1"/>
    <s v="Q1"/>
    <x v="1"/>
    <x v="0"/>
    <x v="0"/>
    <x v="2"/>
    <x v="0"/>
    <x v="0"/>
    <x v="2"/>
    <n v="2"/>
    <m/>
    <n v="1919"/>
    <n v="1"/>
    <n v="4"/>
    <s v="Recovered"/>
    <n v="1"/>
  </r>
  <r>
    <s v="ADM-243203"/>
    <d v="2025-02-17T00:00:00"/>
    <d v="2025-02-18T00:00:00"/>
    <x v="1"/>
    <s v="Q1"/>
    <x v="1"/>
    <x v="0"/>
    <x v="5"/>
    <x v="0"/>
    <x v="0"/>
    <x v="4"/>
    <x v="1"/>
    <n v="1"/>
    <n v="82"/>
    <n v="1662"/>
    <n v="0"/>
    <n v="5"/>
    <s v="Recovered"/>
    <n v="1"/>
  </r>
  <r>
    <s v="ADM-243204"/>
    <d v="2025-02-17T00:00:00"/>
    <d v="2025-02-19T00:00:00"/>
    <x v="1"/>
    <s v="Q1"/>
    <x v="1"/>
    <x v="0"/>
    <x v="3"/>
    <x v="0"/>
    <x v="0"/>
    <x v="3"/>
    <x v="2"/>
    <n v="2"/>
    <n v="36"/>
    <n v="2082"/>
    <n v="0"/>
    <n v="5"/>
    <s v="Recovered"/>
    <n v="1"/>
  </r>
  <r>
    <s v="ADM-243205"/>
    <d v="2025-02-17T00:00:00"/>
    <d v="2025-02-20T00:00:00"/>
    <x v="1"/>
    <s v="Q1"/>
    <x v="1"/>
    <x v="0"/>
    <x v="3"/>
    <x v="0"/>
    <x v="1"/>
    <x v="3"/>
    <x v="0"/>
    <n v="3"/>
    <n v="72"/>
    <n v="2493"/>
    <n v="1"/>
    <n v="3"/>
    <s v="Recovered"/>
    <n v="1"/>
  </r>
  <r>
    <s v="ADM-243206"/>
    <d v="2025-02-17T00:00:00"/>
    <d v="2025-02-18T00:00:00"/>
    <x v="1"/>
    <s v="Q1"/>
    <x v="1"/>
    <x v="0"/>
    <x v="5"/>
    <x v="0"/>
    <x v="0"/>
    <x v="0"/>
    <x v="2"/>
    <n v="1"/>
    <n v="53"/>
    <n v="1949"/>
    <n v="0"/>
    <n v="4"/>
    <s v="Recovered"/>
    <n v="1"/>
  </r>
  <r>
    <s v="ADM-243207"/>
    <d v="2025-02-17T00:00:00"/>
    <d v="2025-02-19T00:00:00"/>
    <x v="1"/>
    <s v="Q1"/>
    <x v="1"/>
    <x v="0"/>
    <x v="5"/>
    <x v="2"/>
    <x v="1"/>
    <x v="0"/>
    <x v="0"/>
    <n v="2"/>
    <m/>
    <n v="2651"/>
    <n v="0"/>
    <n v="4"/>
    <s v="Recovered"/>
    <n v="1"/>
  </r>
  <r>
    <s v="ADM-243208"/>
    <d v="2025-02-17T00:00:00"/>
    <d v="2025-02-24T00:00:00"/>
    <x v="1"/>
    <s v="Q1"/>
    <x v="1"/>
    <x v="0"/>
    <x v="4"/>
    <x v="0"/>
    <x v="1"/>
    <x v="4"/>
    <x v="0"/>
    <n v="7"/>
    <n v="73"/>
    <n v="9618"/>
    <n v="0"/>
    <n v="5"/>
    <s v="Improved"/>
    <n v="1"/>
  </r>
  <r>
    <s v="ADM-243209"/>
    <d v="2025-02-18T00:00:00"/>
    <d v="2025-02-20T00:00:00"/>
    <x v="1"/>
    <s v="Q1"/>
    <x v="1"/>
    <x v="1"/>
    <x v="3"/>
    <x v="0"/>
    <x v="0"/>
    <x v="3"/>
    <x v="2"/>
    <n v="2"/>
    <n v="29"/>
    <n v="1932"/>
    <n v="0"/>
    <n v="5"/>
    <s v="Recovered"/>
    <n v="1"/>
  </r>
  <r>
    <s v="ADM-243210"/>
    <d v="2025-02-18T00:00:00"/>
    <d v="2025-02-21T00:00:00"/>
    <x v="1"/>
    <s v="Q1"/>
    <x v="1"/>
    <x v="1"/>
    <x v="1"/>
    <x v="2"/>
    <x v="1"/>
    <x v="0"/>
    <x v="2"/>
    <n v="3"/>
    <m/>
    <n v="3833"/>
    <n v="0"/>
    <n v="5"/>
    <s v="Recovered"/>
    <n v="1"/>
  </r>
  <r>
    <s v="ADM-243211"/>
    <d v="2025-02-18T00:00:00"/>
    <d v="2025-03-01T00:00:00"/>
    <x v="1"/>
    <s v="Q1"/>
    <x v="1"/>
    <x v="1"/>
    <x v="0"/>
    <x v="0"/>
    <x v="0"/>
    <x v="0"/>
    <x v="0"/>
    <n v="11"/>
    <n v="75"/>
    <n v="8116"/>
    <n v="0"/>
    <n v="5"/>
    <s v="Improved"/>
    <n v="1"/>
  </r>
  <r>
    <s v="ADM-243212"/>
    <d v="2025-02-18T00:00:00"/>
    <d v="2025-02-26T00:00:00"/>
    <x v="1"/>
    <s v="Q1"/>
    <x v="1"/>
    <x v="1"/>
    <x v="4"/>
    <x v="0"/>
    <x v="0"/>
    <x v="0"/>
    <x v="0"/>
    <n v="8"/>
    <n v="31"/>
    <n v="8969"/>
    <n v="0"/>
    <n v="5"/>
    <s v="Recovered"/>
    <n v="1"/>
  </r>
  <r>
    <s v="ADM-243213"/>
    <d v="2025-02-18T00:00:00"/>
    <d v="2025-03-01T00:00:00"/>
    <x v="1"/>
    <s v="Q1"/>
    <x v="1"/>
    <x v="1"/>
    <x v="4"/>
    <x v="2"/>
    <x v="1"/>
    <x v="4"/>
    <x v="1"/>
    <n v="11"/>
    <m/>
    <n v="17117"/>
    <n v="0"/>
    <n v="3"/>
    <s v="Recovered"/>
    <n v="1"/>
  </r>
  <r>
    <s v="ADM-243214"/>
    <d v="2025-02-18T00:00:00"/>
    <d v="2025-02-24T00:00:00"/>
    <x v="1"/>
    <s v="Q1"/>
    <x v="1"/>
    <x v="1"/>
    <x v="2"/>
    <x v="0"/>
    <x v="0"/>
    <x v="2"/>
    <x v="0"/>
    <n v="6"/>
    <n v="27"/>
    <n v="3464"/>
    <n v="0"/>
    <n v="4"/>
    <s v="Recovered"/>
    <n v="1"/>
  </r>
  <r>
    <s v="ADM-243215"/>
    <d v="2025-02-18T00:00:00"/>
    <d v="2025-02-19T00:00:00"/>
    <x v="1"/>
    <s v="Q1"/>
    <x v="1"/>
    <x v="1"/>
    <x v="0"/>
    <x v="2"/>
    <x v="1"/>
    <x v="1"/>
    <x v="2"/>
    <n v="1"/>
    <m/>
    <n v="1821"/>
    <n v="1"/>
    <n v="5"/>
    <s v="Recovered"/>
    <n v="1"/>
  </r>
  <r>
    <s v="ADM-243216"/>
    <d v="2025-02-18T00:00:00"/>
    <d v="2025-02-25T00:00:00"/>
    <x v="1"/>
    <s v="Q1"/>
    <x v="1"/>
    <x v="1"/>
    <x v="0"/>
    <x v="2"/>
    <x v="0"/>
    <x v="0"/>
    <x v="1"/>
    <n v="7"/>
    <m/>
    <n v="4712"/>
    <n v="0"/>
    <n v="5"/>
    <s v="Recovered"/>
    <n v="1"/>
  </r>
  <r>
    <s v="ADM-243217"/>
    <d v="2025-02-18T00:00:00"/>
    <d v="2025-02-21T00:00:00"/>
    <x v="1"/>
    <s v="Q1"/>
    <x v="1"/>
    <x v="1"/>
    <x v="1"/>
    <x v="2"/>
    <x v="1"/>
    <x v="0"/>
    <x v="0"/>
    <n v="3"/>
    <m/>
    <n v="3716"/>
    <n v="0"/>
    <n v="4"/>
    <s v="Recovered"/>
    <n v="1"/>
  </r>
  <r>
    <s v="ADM-243218"/>
    <d v="2025-02-18T00:00:00"/>
    <d v="2025-02-20T00:00:00"/>
    <x v="1"/>
    <s v="Q1"/>
    <x v="1"/>
    <x v="1"/>
    <x v="0"/>
    <x v="2"/>
    <x v="1"/>
    <x v="0"/>
    <x v="0"/>
    <n v="2"/>
    <m/>
    <n v="2351"/>
    <n v="0"/>
    <n v="5"/>
    <s v="Improved"/>
    <n v="1"/>
  </r>
  <r>
    <s v="ADM-243219"/>
    <d v="2025-02-19T00:00:00"/>
    <d v="2025-02-21T00:00:00"/>
    <x v="1"/>
    <s v="Q1"/>
    <x v="1"/>
    <x v="2"/>
    <x v="1"/>
    <x v="2"/>
    <x v="1"/>
    <x v="4"/>
    <x v="0"/>
    <n v="2"/>
    <m/>
    <n v="2696"/>
    <n v="0"/>
    <n v="5"/>
    <s v="Recovered"/>
    <n v="1"/>
  </r>
  <r>
    <s v="ADM-243220"/>
    <d v="2025-02-19T00:00:00"/>
    <d v="2025-02-28T00:00:00"/>
    <x v="1"/>
    <s v="Q1"/>
    <x v="1"/>
    <x v="2"/>
    <x v="0"/>
    <x v="0"/>
    <x v="1"/>
    <x v="2"/>
    <x v="2"/>
    <n v="9"/>
    <n v="33"/>
    <n v="6865"/>
    <n v="0"/>
    <n v="4"/>
    <s v="Improved"/>
    <n v="1"/>
  </r>
  <r>
    <s v="ADM-243221"/>
    <d v="2025-02-19T00:00:00"/>
    <d v="2025-02-22T00:00:00"/>
    <x v="1"/>
    <s v="Q1"/>
    <x v="1"/>
    <x v="2"/>
    <x v="3"/>
    <x v="1"/>
    <x v="1"/>
    <x v="3"/>
    <x v="2"/>
    <n v="3"/>
    <m/>
    <n v="2365"/>
    <n v="0"/>
    <n v="4"/>
    <s v="Recovered"/>
    <n v="1"/>
  </r>
  <r>
    <s v="ADM-243222"/>
    <d v="2025-02-19T00:00:00"/>
    <d v="2025-02-23T00:00:00"/>
    <x v="1"/>
    <s v="Q1"/>
    <x v="1"/>
    <x v="2"/>
    <x v="5"/>
    <x v="2"/>
    <x v="1"/>
    <x v="1"/>
    <x v="0"/>
    <n v="4"/>
    <m/>
    <n v="4014"/>
    <n v="0"/>
    <n v="4"/>
    <s v="Improved"/>
    <n v="1"/>
  </r>
  <r>
    <s v="ADM-243223"/>
    <d v="2025-02-19T00:00:00"/>
    <d v="2025-02-20T00:00:00"/>
    <x v="1"/>
    <s v="Q1"/>
    <x v="1"/>
    <x v="2"/>
    <x v="0"/>
    <x v="2"/>
    <x v="0"/>
    <x v="1"/>
    <x v="2"/>
    <n v="1"/>
    <m/>
    <n v="1533"/>
    <n v="0"/>
    <n v="5"/>
    <s v="Improved"/>
    <n v="1"/>
  </r>
  <r>
    <s v="ADM-243224"/>
    <d v="2025-02-19T00:00:00"/>
    <d v="2025-02-20T00:00:00"/>
    <x v="1"/>
    <s v="Q1"/>
    <x v="1"/>
    <x v="2"/>
    <x v="0"/>
    <x v="2"/>
    <x v="1"/>
    <x v="4"/>
    <x v="2"/>
    <n v="1"/>
    <m/>
    <n v="1622"/>
    <n v="1"/>
    <n v="4"/>
    <s v="Improved"/>
    <n v="1"/>
  </r>
  <r>
    <s v="ADM-243225"/>
    <d v="2025-02-19T00:00:00"/>
    <d v="2025-02-24T00:00:00"/>
    <x v="1"/>
    <s v="Q1"/>
    <x v="1"/>
    <x v="2"/>
    <x v="5"/>
    <x v="2"/>
    <x v="0"/>
    <x v="4"/>
    <x v="0"/>
    <n v="5"/>
    <m/>
    <n v="6761"/>
    <n v="0"/>
    <n v="5"/>
    <s v="Recovered"/>
    <n v="1"/>
  </r>
  <r>
    <s v="ADM-243226"/>
    <d v="2025-02-19T00:00:00"/>
    <d v="2025-02-24T00:00:00"/>
    <x v="1"/>
    <s v="Q1"/>
    <x v="1"/>
    <x v="2"/>
    <x v="0"/>
    <x v="0"/>
    <x v="0"/>
    <x v="4"/>
    <x v="0"/>
    <n v="5"/>
    <n v="54"/>
    <n v="4265"/>
    <n v="1"/>
    <n v="4"/>
    <s v="Recovered"/>
    <n v="1"/>
  </r>
  <r>
    <s v="ADM-243227"/>
    <d v="2025-02-19T00:00:00"/>
    <d v="2025-02-20T00:00:00"/>
    <x v="1"/>
    <s v="Q1"/>
    <x v="1"/>
    <x v="2"/>
    <x v="5"/>
    <x v="2"/>
    <x v="1"/>
    <x v="1"/>
    <x v="0"/>
    <n v="1"/>
    <m/>
    <n v="1915"/>
    <n v="0"/>
    <n v="4"/>
    <s v="Transferred"/>
    <n v="1"/>
  </r>
  <r>
    <s v="ADM-243228"/>
    <d v="2025-02-20T00:00:00"/>
    <d v="2025-02-28T00:00:00"/>
    <x v="1"/>
    <s v="Q1"/>
    <x v="1"/>
    <x v="3"/>
    <x v="0"/>
    <x v="0"/>
    <x v="0"/>
    <x v="0"/>
    <x v="1"/>
    <n v="8"/>
    <n v="21"/>
    <n v="7243"/>
    <n v="0"/>
    <n v="4"/>
    <s v="Recovered"/>
    <n v="1"/>
  </r>
  <r>
    <s v="ADM-243229"/>
    <d v="2025-02-20T00:00:00"/>
    <d v="2025-02-24T00:00:00"/>
    <x v="1"/>
    <s v="Q1"/>
    <x v="1"/>
    <x v="3"/>
    <x v="2"/>
    <x v="0"/>
    <x v="0"/>
    <x v="2"/>
    <x v="0"/>
    <n v="4"/>
    <n v="68"/>
    <n v="3128"/>
    <n v="0"/>
    <n v="5"/>
    <s v="Improved"/>
    <n v="1"/>
  </r>
  <r>
    <s v="ADM-243230"/>
    <d v="2025-02-20T00:00:00"/>
    <d v="2025-02-26T00:00:00"/>
    <x v="1"/>
    <s v="Q1"/>
    <x v="1"/>
    <x v="3"/>
    <x v="0"/>
    <x v="0"/>
    <x v="0"/>
    <x v="4"/>
    <x v="0"/>
    <n v="6"/>
    <n v="12"/>
    <n v="4126"/>
    <n v="0"/>
    <n v="5"/>
    <s v="Recovered"/>
    <n v="1"/>
  </r>
  <r>
    <s v="ADM-243231"/>
    <d v="2025-02-20T00:00:00"/>
    <d v="2025-02-22T00:00:00"/>
    <x v="1"/>
    <s v="Q1"/>
    <x v="1"/>
    <x v="3"/>
    <x v="2"/>
    <x v="0"/>
    <x v="0"/>
    <x v="1"/>
    <x v="0"/>
    <n v="2"/>
    <n v="35"/>
    <n v="2311"/>
    <n v="0"/>
    <n v="4"/>
    <s v="Recovered"/>
    <n v="1"/>
  </r>
  <r>
    <s v="ADM-243232"/>
    <d v="2025-02-20T00:00:00"/>
    <d v="2025-02-27T00:00:00"/>
    <x v="1"/>
    <s v="Q1"/>
    <x v="1"/>
    <x v="3"/>
    <x v="0"/>
    <x v="0"/>
    <x v="1"/>
    <x v="2"/>
    <x v="0"/>
    <n v="7"/>
    <n v="36"/>
    <n v="5064"/>
    <n v="1"/>
    <n v="4"/>
    <s v="Recovered"/>
    <n v="1"/>
  </r>
  <r>
    <s v="ADM-243233"/>
    <d v="2025-02-20T00:00:00"/>
    <d v="2025-02-23T00:00:00"/>
    <x v="1"/>
    <s v="Q1"/>
    <x v="1"/>
    <x v="3"/>
    <x v="4"/>
    <x v="0"/>
    <x v="0"/>
    <x v="0"/>
    <x v="2"/>
    <n v="3"/>
    <n v="27"/>
    <n v="4932"/>
    <n v="0"/>
    <n v="4"/>
    <s v="Recovered"/>
    <n v="1"/>
  </r>
  <r>
    <s v="ADM-243234"/>
    <d v="2025-02-21T00:00:00"/>
    <d v="2025-02-27T00:00:00"/>
    <x v="1"/>
    <s v="Q1"/>
    <x v="1"/>
    <x v="4"/>
    <x v="4"/>
    <x v="0"/>
    <x v="0"/>
    <x v="0"/>
    <x v="2"/>
    <n v="6"/>
    <n v="123"/>
    <n v="8445"/>
    <n v="0"/>
    <n v="3"/>
    <s v="Improved"/>
    <n v="1"/>
  </r>
  <r>
    <s v="ADM-243235"/>
    <d v="2025-02-21T00:00:00"/>
    <d v="2025-02-27T00:00:00"/>
    <x v="1"/>
    <s v="Q1"/>
    <x v="1"/>
    <x v="4"/>
    <x v="0"/>
    <x v="0"/>
    <x v="1"/>
    <x v="4"/>
    <x v="1"/>
    <n v="6"/>
    <n v="101"/>
    <n v="4701"/>
    <n v="0"/>
    <n v="5"/>
    <s v="Improved"/>
    <n v="1"/>
  </r>
  <r>
    <s v="ADM-243236"/>
    <d v="2025-02-21T00:00:00"/>
    <d v="2025-03-02T00:00:00"/>
    <x v="1"/>
    <s v="Q1"/>
    <x v="1"/>
    <x v="4"/>
    <x v="1"/>
    <x v="2"/>
    <x v="1"/>
    <x v="1"/>
    <x v="2"/>
    <n v="9"/>
    <m/>
    <n v="10861"/>
    <n v="0"/>
    <n v="5"/>
    <s v="Improved"/>
    <n v="1"/>
  </r>
  <r>
    <s v="ADM-243237"/>
    <d v="2025-02-21T00:00:00"/>
    <d v="2025-03-02T00:00:00"/>
    <x v="1"/>
    <s v="Q1"/>
    <x v="1"/>
    <x v="4"/>
    <x v="1"/>
    <x v="0"/>
    <x v="1"/>
    <x v="2"/>
    <x v="1"/>
    <n v="9"/>
    <n v="23"/>
    <n v="10128"/>
    <n v="0"/>
    <n v="5"/>
    <s v="Recovered"/>
    <n v="1"/>
  </r>
  <r>
    <s v="ADM-243238"/>
    <d v="2025-02-21T00:00:00"/>
    <d v="2025-02-28T00:00:00"/>
    <x v="1"/>
    <s v="Q1"/>
    <x v="1"/>
    <x v="4"/>
    <x v="4"/>
    <x v="2"/>
    <x v="1"/>
    <x v="1"/>
    <x v="1"/>
    <n v="7"/>
    <m/>
    <n v="10743"/>
    <n v="0"/>
    <n v="4"/>
    <s v="Transferred"/>
    <n v="1"/>
  </r>
  <r>
    <s v="ADM-243239"/>
    <d v="2025-02-21T00:00:00"/>
    <d v="2025-02-22T00:00:00"/>
    <x v="1"/>
    <s v="Q1"/>
    <x v="1"/>
    <x v="4"/>
    <x v="2"/>
    <x v="0"/>
    <x v="0"/>
    <x v="2"/>
    <x v="2"/>
    <n v="1"/>
    <n v="40"/>
    <n v="1736"/>
    <n v="0"/>
    <n v="4"/>
    <s v="Recovered"/>
    <n v="1"/>
  </r>
  <r>
    <s v="ADM-243240"/>
    <d v="2025-02-21T00:00:00"/>
    <d v="2025-02-25T00:00:00"/>
    <x v="1"/>
    <s v="Q1"/>
    <x v="1"/>
    <x v="4"/>
    <x v="0"/>
    <x v="0"/>
    <x v="1"/>
    <x v="0"/>
    <x v="2"/>
    <n v="4"/>
    <n v="28"/>
    <n v="3289"/>
    <n v="1"/>
    <n v="4"/>
    <s v="Recovered"/>
    <n v="1"/>
  </r>
  <r>
    <s v="ADM-243241"/>
    <d v="2025-02-21T00:00:00"/>
    <d v="2025-02-28T00:00:00"/>
    <x v="1"/>
    <s v="Q1"/>
    <x v="1"/>
    <x v="4"/>
    <x v="1"/>
    <x v="1"/>
    <x v="0"/>
    <x v="0"/>
    <x v="0"/>
    <n v="7"/>
    <m/>
    <n v="7372"/>
    <n v="0"/>
    <n v="4"/>
    <s v="Recovered"/>
    <n v="1"/>
  </r>
  <r>
    <s v="ADM-243242"/>
    <d v="2025-02-21T00:00:00"/>
    <d v="2025-02-26T00:00:00"/>
    <x v="1"/>
    <s v="Q1"/>
    <x v="1"/>
    <x v="4"/>
    <x v="1"/>
    <x v="0"/>
    <x v="1"/>
    <x v="1"/>
    <x v="0"/>
    <n v="5"/>
    <n v="25"/>
    <n v="5849"/>
    <n v="0"/>
    <n v="4"/>
    <s v="Recovered"/>
    <n v="1"/>
  </r>
  <r>
    <s v="ADM-243243"/>
    <d v="2025-02-21T00:00:00"/>
    <d v="2025-03-02T00:00:00"/>
    <x v="1"/>
    <s v="Q1"/>
    <x v="1"/>
    <x v="4"/>
    <x v="4"/>
    <x v="0"/>
    <x v="1"/>
    <x v="2"/>
    <x v="2"/>
    <n v="9"/>
    <n v="97"/>
    <n v="10489"/>
    <n v="0"/>
    <n v="2"/>
    <s v="Improved"/>
    <n v="1"/>
  </r>
  <r>
    <s v="ADM-243244"/>
    <d v="2025-02-21T00:00:00"/>
    <d v="2025-02-24T00:00:00"/>
    <x v="1"/>
    <s v="Q1"/>
    <x v="1"/>
    <x v="4"/>
    <x v="0"/>
    <x v="0"/>
    <x v="1"/>
    <x v="1"/>
    <x v="0"/>
    <n v="3"/>
    <n v="93"/>
    <n v="3162"/>
    <n v="0"/>
    <n v="4"/>
    <s v="Improved"/>
    <n v="1"/>
  </r>
  <r>
    <s v="ADM-243245"/>
    <d v="2025-02-21T00:00:00"/>
    <d v="2025-02-28T00:00:00"/>
    <x v="1"/>
    <s v="Q1"/>
    <x v="1"/>
    <x v="4"/>
    <x v="0"/>
    <x v="2"/>
    <x v="1"/>
    <x v="0"/>
    <x v="2"/>
    <n v="7"/>
    <m/>
    <n v="4685"/>
    <n v="0"/>
    <n v="4"/>
    <s v="Improved"/>
    <n v="1"/>
  </r>
  <r>
    <s v="ADM-243246"/>
    <d v="2025-02-22T00:00:00"/>
    <d v="2025-02-25T00:00:00"/>
    <x v="1"/>
    <s v="Q1"/>
    <x v="1"/>
    <x v="5"/>
    <x v="1"/>
    <x v="1"/>
    <x v="0"/>
    <x v="0"/>
    <x v="0"/>
    <n v="3"/>
    <m/>
    <n v="2479"/>
    <n v="0"/>
    <n v="4"/>
    <s v="Recovered"/>
    <n v="1"/>
  </r>
  <r>
    <s v="ADM-243247"/>
    <d v="2025-02-22T00:00:00"/>
    <d v="2025-03-07T00:00:00"/>
    <x v="1"/>
    <s v="Q1"/>
    <x v="1"/>
    <x v="5"/>
    <x v="0"/>
    <x v="0"/>
    <x v="1"/>
    <x v="1"/>
    <x v="2"/>
    <n v="13"/>
    <n v="151"/>
    <n v="8035"/>
    <n v="0"/>
    <n v="3"/>
    <s v="Recovered"/>
    <n v="1"/>
  </r>
  <r>
    <s v="ADM-243248"/>
    <d v="2025-02-22T00:00:00"/>
    <d v="2025-02-25T00:00:00"/>
    <x v="1"/>
    <s v="Q1"/>
    <x v="1"/>
    <x v="5"/>
    <x v="2"/>
    <x v="2"/>
    <x v="0"/>
    <x v="2"/>
    <x v="2"/>
    <n v="3"/>
    <m/>
    <n v="2945"/>
    <n v="0"/>
    <n v="3"/>
    <s v="Recovered"/>
    <n v="1"/>
  </r>
  <r>
    <s v="ADM-243249"/>
    <d v="2025-02-22T00:00:00"/>
    <d v="2025-02-25T00:00:00"/>
    <x v="1"/>
    <s v="Q1"/>
    <x v="1"/>
    <x v="5"/>
    <x v="3"/>
    <x v="2"/>
    <x v="0"/>
    <x v="3"/>
    <x v="0"/>
    <n v="3"/>
    <m/>
    <n v="3058"/>
    <n v="0"/>
    <n v="5"/>
    <s v="Recovered"/>
    <n v="1"/>
  </r>
  <r>
    <s v="ADM-243250"/>
    <d v="2025-02-22T00:00:00"/>
    <d v="2025-02-24T00:00:00"/>
    <x v="1"/>
    <s v="Q1"/>
    <x v="1"/>
    <x v="5"/>
    <x v="1"/>
    <x v="0"/>
    <x v="0"/>
    <x v="4"/>
    <x v="0"/>
    <n v="2"/>
    <n v="147"/>
    <n v="2331"/>
    <n v="0"/>
    <n v="3"/>
    <s v="Recovered"/>
    <n v="1"/>
  </r>
  <r>
    <s v="ADM-243251"/>
    <d v="2025-02-22T00:00:00"/>
    <d v="2025-02-26T00:00:00"/>
    <x v="1"/>
    <s v="Q1"/>
    <x v="1"/>
    <x v="5"/>
    <x v="2"/>
    <x v="2"/>
    <x v="0"/>
    <x v="1"/>
    <x v="1"/>
    <n v="4"/>
    <m/>
    <n v="3360"/>
    <n v="0"/>
    <n v="5"/>
    <s v="Recovered"/>
    <n v="1"/>
  </r>
  <r>
    <s v="ADM-243252"/>
    <d v="2025-02-22T00:00:00"/>
    <d v="2025-02-26T00:00:00"/>
    <x v="1"/>
    <s v="Q1"/>
    <x v="1"/>
    <x v="5"/>
    <x v="1"/>
    <x v="2"/>
    <x v="1"/>
    <x v="1"/>
    <x v="2"/>
    <n v="4"/>
    <m/>
    <n v="4371"/>
    <n v="0"/>
    <n v="4"/>
    <s v="Recovered"/>
    <n v="1"/>
  </r>
  <r>
    <s v="ADM-243253"/>
    <d v="2025-02-22T00:00:00"/>
    <d v="2025-02-25T00:00:00"/>
    <x v="1"/>
    <s v="Q1"/>
    <x v="1"/>
    <x v="5"/>
    <x v="3"/>
    <x v="0"/>
    <x v="0"/>
    <x v="3"/>
    <x v="2"/>
    <n v="3"/>
    <n v="71"/>
    <n v="2368"/>
    <n v="0"/>
    <n v="5"/>
    <s v="Recovered"/>
    <n v="1"/>
  </r>
  <r>
    <s v="ADM-243254"/>
    <d v="2025-02-22T00:00:00"/>
    <d v="2025-02-27T00:00:00"/>
    <x v="1"/>
    <s v="Q1"/>
    <x v="1"/>
    <x v="5"/>
    <x v="5"/>
    <x v="0"/>
    <x v="0"/>
    <x v="1"/>
    <x v="2"/>
    <n v="5"/>
    <n v="46"/>
    <n v="6117"/>
    <n v="0"/>
    <n v="5"/>
    <s v="Recovered"/>
    <n v="1"/>
  </r>
  <r>
    <s v="ADM-243255"/>
    <d v="2025-02-22T00:00:00"/>
    <d v="2025-02-27T00:00:00"/>
    <x v="1"/>
    <s v="Q1"/>
    <x v="1"/>
    <x v="5"/>
    <x v="3"/>
    <x v="0"/>
    <x v="1"/>
    <x v="3"/>
    <x v="1"/>
    <n v="5"/>
    <n v="74"/>
    <n v="3462"/>
    <n v="0"/>
    <n v="5"/>
    <s v="Recovered"/>
    <n v="1"/>
  </r>
  <r>
    <s v="ADM-243256"/>
    <d v="2025-02-23T00:00:00"/>
    <d v="2025-02-26T00:00:00"/>
    <x v="1"/>
    <s v="Q1"/>
    <x v="1"/>
    <x v="6"/>
    <x v="1"/>
    <x v="0"/>
    <x v="0"/>
    <x v="4"/>
    <x v="0"/>
    <n v="3"/>
    <n v="39"/>
    <n v="3995"/>
    <n v="0"/>
    <n v="4"/>
    <s v="Recovered"/>
    <n v="1"/>
  </r>
  <r>
    <s v="ADM-243257"/>
    <d v="2025-02-23T00:00:00"/>
    <d v="2025-03-01T00:00:00"/>
    <x v="1"/>
    <s v="Q1"/>
    <x v="1"/>
    <x v="6"/>
    <x v="1"/>
    <x v="0"/>
    <x v="1"/>
    <x v="4"/>
    <x v="0"/>
    <n v="6"/>
    <n v="60"/>
    <n v="7823"/>
    <n v="0"/>
    <n v="4"/>
    <s v="Recovered"/>
    <n v="1"/>
  </r>
  <r>
    <s v="ADM-243258"/>
    <d v="2025-02-23T00:00:00"/>
    <d v="2025-02-28T00:00:00"/>
    <x v="1"/>
    <s v="Q1"/>
    <x v="1"/>
    <x v="6"/>
    <x v="2"/>
    <x v="0"/>
    <x v="0"/>
    <x v="2"/>
    <x v="2"/>
    <n v="5"/>
    <n v="38"/>
    <n v="4254"/>
    <n v="0"/>
    <n v="4"/>
    <s v="Recovered"/>
    <n v="1"/>
  </r>
  <r>
    <s v="ADM-243259"/>
    <d v="2025-02-23T00:00:00"/>
    <d v="2025-03-02T00:00:00"/>
    <x v="1"/>
    <s v="Q1"/>
    <x v="1"/>
    <x v="6"/>
    <x v="0"/>
    <x v="0"/>
    <x v="1"/>
    <x v="0"/>
    <x v="2"/>
    <n v="7"/>
    <n v="61"/>
    <n v="5771"/>
    <n v="0"/>
    <n v="5"/>
    <s v="Recovered"/>
    <n v="1"/>
  </r>
  <r>
    <s v="ADM-243260"/>
    <d v="2025-02-24T00:00:00"/>
    <d v="2025-02-27T00:00:00"/>
    <x v="1"/>
    <s v="Q1"/>
    <x v="1"/>
    <x v="0"/>
    <x v="3"/>
    <x v="0"/>
    <x v="1"/>
    <x v="3"/>
    <x v="2"/>
    <n v="3"/>
    <n v="13"/>
    <n v="2044"/>
    <n v="0"/>
    <n v="4"/>
    <s v="Improved"/>
    <n v="1"/>
  </r>
  <r>
    <s v="ADM-243261"/>
    <d v="2025-02-24T00:00:00"/>
    <d v="2025-02-25T00:00:00"/>
    <x v="1"/>
    <s v="Q1"/>
    <x v="1"/>
    <x v="0"/>
    <x v="3"/>
    <x v="2"/>
    <x v="1"/>
    <x v="3"/>
    <x v="0"/>
    <n v="1"/>
    <m/>
    <n v="1472"/>
    <n v="0"/>
    <n v="4"/>
    <s v="Recovered"/>
    <n v="1"/>
  </r>
  <r>
    <s v="ADM-243262"/>
    <d v="2025-02-24T00:00:00"/>
    <d v="2025-02-25T00:00:00"/>
    <x v="1"/>
    <s v="Q1"/>
    <x v="1"/>
    <x v="0"/>
    <x v="3"/>
    <x v="0"/>
    <x v="0"/>
    <x v="3"/>
    <x v="2"/>
    <n v="1"/>
    <n v="108"/>
    <n v="1287"/>
    <n v="0"/>
    <n v="4"/>
    <s v="Recovered"/>
    <n v="1"/>
  </r>
  <r>
    <s v="ADM-243263"/>
    <d v="2025-02-24T00:00:00"/>
    <d v="2025-02-28T00:00:00"/>
    <x v="1"/>
    <s v="Q1"/>
    <x v="1"/>
    <x v="0"/>
    <x v="0"/>
    <x v="0"/>
    <x v="0"/>
    <x v="4"/>
    <x v="2"/>
    <n v="4"/>
    <n v="71"/>
    <n v="3516"/>
    <n v="0"/>
    <n v="5"/>
    <s v="Transferred"/>
    <n v="1"/>
  </r>
  <r>
    <s v="ADM-243264"/>
    <d v="2025-02-24T00:00:00"/>
    <d v="2025-03-01T00:00:00"/>
    <x v="1"/>
    <s v="Q1"/>
    <x v="1"/>
    <x v="0"/>
    <x v="0"/>
    <x v="2"/>
    <x v="0"/>
    <x v="1"/>
    <x v="0"/>
    <n v="5"/>
    <m/>
    <n v="4467"/>
    <n v="0"/>
    <n v="4"/>
    <s v="Recovered"/>
    <n v="1"/>
  </r>
  <r>
    <s v="ADM-243265"/>
    <d v="2025-02-24T00:00:00"/>
    <d v="2025-02-27T00:00:00"/>
    <x v="1"/>
    <s v="Q1"/>
    <x v="1"/>
    <x v="0"/>
    <x v="3"/>
    <x v="0"/>
    <x v="1"/>
    <x v="3"/>
    <x v="2"/>
    <n v="3"/>
    <n v="39"/>
    <n v="2071"/>
    <n v="0"/>
    <n v="5"/>
    <s v="Recovered"/>
    <n v="1"/>
  </r>
  <r>
    <s v="ADM-243266"/>
    <d v="2025-02-24T00:00:00"/>
    <d v="2025-02-26T00:00:00"/>
    <x v="1"/>
    <s v="Q1"/>
    <x v="1"/>
    <x v="0"/>
    <x v="3"/>
    <x v="1"/>
    <x v="1"/>
    <x v="3"/>
    <x v="2"/>
    <n v="2"/>
    <m/>
    <n v="2028"/>
    <n v="0"/>
    <n v="4"/>
    <s v="Recovered"/>
    <n v="1"/>
  </r>
  <r>
    <s v="ADM-243267"/>
    <d v="2025-02-24T00:00:00"/>
    <d v="2025-02-28T00:00:00"/>
    <x v="1"/>
    <s v="Q1"/>
    <x v="1"/>
    <x v="0"/>
    <x v="4"/>
    <x v="0"/>
    <x v="0"/>
    <x v="0"/>
    <x v="2"/>
    <n v="4"/>
    <n v="39"/>
    <n v="4154"/>
    <n v="1"/>
    <n v="4"/>
    <s v="Improved"/>
    <n v="1"/>
  </r>
  <r>
    <s v="ADM-243268"/>
    <d v="2025-02-24T00:00:00"/>
    <d v="2025-02-27T00:00:00"/>
    <x v="1"/>
    <s v="Q1"/>
    <x v="1"/>
    <x v="0"/>
    <x v="4"/>
    <x v="0"/>
    <x v="0"/>
    <x v="4"/>
    <x v="2"/>
    <n v="3"/>
    <n v="23"/>
    <n v="3824"/>
    <n v="0"/>
    <n v="4"/>
    <s v="Improved"/>
    <n v="1"/>
  </r>
  <r>
    <s v="ADM-243269"/>
    <d v="2025-02-24T00:00:00"/>
    <d v="2025-02-28T00:00:00"/>
    <x v="1"/>
    <s v="Q1"/>
    <x v="1"/>
    <x v="0"/>
    <x v="4"/>
    <x v="2"/>
    <x v="0"/>
    <x v="2"/>
    <x v="0"/>
    <n v="4"/>
    <m/>
    <n v="4724"/>
    <n v="0"/>
    <n v="5"/>
    <s v="Recovered"/>
    <n v="1"/>
  </r>
  <r>
    <s v="ADM-243270"/>
    <d v="2025-02-24T00:00:00"/>
    <d v="2025-02-25T00:00:00"/>
    <x v="1"/>
    <s v="Q1"/>
    <x v="1"/>
    <x v="0"/>
    <x v="3"/>
    <x v="2"/>
    <x v="1"/>
    <x v="3"/>
    <x v="1"/>
    <n v="1"/>
    <m/>
    <n v="1111"/>
    <n v="0"/>
    <n v="4"/>
    <s v="Transferred"/>
    <n v="1"/>
  </r>
  <r>
    <s v="ADM-243271"/>
    <d v="2025-02-25T00:00:00"/>
    <d v="2025-03-06T00:00:00"/>
    <x v="1"/>
    <s v="Q1"/>
    <x v="1"/>
    <x v="1"/>
    <x v="0"/>
    <x v="0"/>
    <x v="1"/>
    <x v="0"/>
    <x v="1"/>
    <n v="9"/>
    <n v="22"/>
    <n v="4621"/>
    <n v="0"/>
    <n v="4"/>
    <s v="Recovered"/>
    <n v="1"/>
  </r>
  <r>
    <s v="ADM-243272"/>
    <d v="2025-02-25T00:00:00"/>
    <d v="2025-02-28T00:00:00"/>
    <x v="1"/>
    <s v="Q1"/>
    <x v="1"/>
    <x v="1"/>
    <x v="0"/>
    <x v="0"/>
    <x v="0"/>
    <x v="0"/>
    <x v="1"/>
    <n v="3"/>
    <n v="16"/>
    <n v="3197"/>
    <n v="0"/>
    <n v="4"/>
    <s v="Transferred"/>
    <n v="1"/>
  </r>
  <r>
    <s v="ADM-243273"/>
    <d v="2025-02-25T00:00:00"/>
    <d v="2025-02-28T00:00:00"/>
    <x v="1"/>
    <s v="Q1"/>
    <x v="1"/>
    <x v="1"/>
    <x v="1"/>
    <x v="0"/>
    <x v="0"/>
    <x v="4"/>
    <x v="2"/>
    <n v="3"/>
    <n v="20"/>
    <n v="2926"/>
    <n v="0"/>
    <n v="4"/>
    <s v="Recovered"/>
    <n v="1"/>
  </r>
  <r>
    <s v="ADM-243274"/>
    <d v="2025-02-25T00:00:00"/>
    <d v="2025-03-01T00:00:00"/>
    <x v="1"/>
    <s v="Q1"/>
    <x v="1"/>
    <x v="1"/>
    <x v="4"/>
    <x v="2"/>
    <x v="0"/>
    <x v="2"/>
    <x v="0"/>
    <n v="4"/>
    <m/>
    <n v="5681"/>
    <n v="0"/>
    <n v="5"/>
    <s v="Recovered"/>
    <n v="1"/>
  </r>
  <r>
    <s v="ADM-243275"/>
    <d v="2025-02-25T00:00:00"/>
    <d v="2025-02-26T00:00:00"/>
    <x v="1"/>
    <s v="Q1"/>
    <x v="1"/>
    <x v="1"/>
    <x v="5"/>
    <x v="2"/>
    <x v="1"/>
    <x v="4"/>
    <x v="2"/>
    <n v="1"/>
    <m/>
    <n v="2056"/>
    <n v="0"/>
    <n v="5"/>
    <s v="Recovered"/>
    <n v="1"/>
  </r>
  <r>
    <s v="ADM-243276"/>
    <d v="2025-02-25T00:00:00"/>
    <d v="2025-03-01T00:00:00"/>
    <x v="1"/>
    <s v="Q1"/>
    <x v="1"/>
    <x v="1"/>
    <x v="5"/>
    <x v="0"/>
    <x v="1"/>
    <x v="0"/>
    <x v="2"/>
    <n v="4"/>
    <n v="68"/>
    <n v="4278"/>
    <n v="0"/>
    <n v="3"/>
    <s v="Deceased"/>
    <n v="1"/>
  </r>
  <r>
    <s v="ADM-243277"/>
    <d v="2025-02-25T00:00:00"/>
    <d v="2025-02-27T00:00:00"/>
    <x v="1"/>
    <s v="Q1"/>
    <x v="1"/>
    <x v="1"/>
    <x v="1"/>
    <x v="2"/>
    <x v="1"/>
    <x v="1"/>
    <x v="2"/>
    <n v="2"/>
    <m/>
    <n v="2794"/>
    <n v="0"/>
    <n v="4"/>
    <s v="Recovered"/>
    <n v="1"/>
  </r>
  <r>
    <s v="ADM-243278"/>
    <d v="2025-02-26T00:00:00"/>
    <d v="2025-02-28T00:00:00"/>
    <x v="1"/>
    <s v="Q1"/>
    <x v="1"/>
    <x v="2"/>
    <x v="4"/>
    <x v="1"/>
    <x v="1"/>
    <x v="4"/>
    <x v="2"/>
    <n v="2"/>
    <m/>
    <n v="3482"/>
    <n v="0"/>
    <n v="5"/>
    <s v="Deceased"/>
    <n v="1"/>
  </r>
  <r>
    <s v="ADM-243279"/>
    <d v="2025-02-26T00:00:00"/>
    <d v="2025-02-28T00:00:00"/>
    <x v="1"/>
    <s v="Q1"/>
    <x v="1"/>
    <x v="2"/>
    <x v="1"/>
    <x v="0"/>
    <x v="0"/>
    <x v="2"/>
    <x v="0"/>
    <n v="2"/>
    <n v="28"/>
    <n v="2792"/>
    <n v="0"/>
    <n v="5"/>
    <s v="Recovered"/>
    <n v="1"/>
  </r>
  <r>
    <s v="ADM-243280"/>
    <d v="2025-02-26T00:00:00"/>
    <d v="2025-02-27T00:00:00"/>
    <x v="1"/>
    <s v="Q1"/>
    <x v="1"/>
    <x v="2"/>
    <x v="5"/>
    <x v="2"/>
    <x v="0"/>
    <x v="4"/>
    <x v="0"/>
    <n v="1"/>
    <m/>
    <n v="1825"/>
    <n v="1"/>
    <n v="4"/>
    <s v="Improved"/>
    <n v="1"/>
  </r>
  <r>
    <s v="ADM-243281"/>
    <d v="2025-02-26T00:00:00"/>
    <d v="2025-03-02T00:00:00"/>
    <x v="1"/>
    <s v="Q1"/>
    <x v="1"/>
    <x v="2"/>
    <x v="0"/>
    <x v="0"/>
    <x v="1"/>
    <x v="2"/>
    <x v="2"/>
    <n v="4"/>
    <n v="121"/>
    <n v="3830"/>
    <n v="0"/>
    <n v="3"/>
    <s v="Recovered"/>
    <n v="1"/>
  </r>
  <r>
    <s v="ADM-243282"/>
    <d v="2025-02-26T00:00:00"/>
    <d v="2025-03-03T00:00:00"/>
    <x v="1"/>
    <s v="Q1"/>
    <x v="1"/>
    <x v="2"/>
    <x v="0"/>
    <x v="2"/>
    <x v="0"/>
    <x v="0"/>
    <x v="2"/>
    <n v="5"/>
    <m/>
    <n v="5275"/>
    <n v="0"/>
    <n v="4"/>
    <s v="Recovered"/>
    <n v="1"/>
  </r>
  <r>
    <s v="ADM-243283"/>
    <d v="2025-02-26T00:00:00"/>
    <d v="2025-03-06T00:00:00"/>
    <x v="1"/>
    <s v="Q1"/>
    <x v="1"/>
    <x v="2"/>
    <x v="0"/>
    <x v="0"/>
    <x v="0"/>
    <x v="0"/>
    <x v="0"/>
    <n v="8"/>
    <n v="35"/>
    <n v="5696"/>
    <n v="0"/>
    <n v="3"/>
    <s v="Recovered"/>
    <n v="1"/>
  </r>
  <r>
    <s v="ADM-243284"/>
    <d v="2025-02-26T00:00:00"/>
    <d v="2025-03-09T00:00:00"/>
    <x v="1"/>
    <s v="Q1"/>
    <x v="1"/>
    <x v="2"/>
    <x v="1"/>
    <x v="2"/>
    <x v="1"/>
    <x v="0"/>
    <x v="2"/>
    <n v="11"/>
    <m/>
    <n v="11564"/>
    <n v="1"/>
    <n v="4"/>
    <s v="Recovered"/>
    <n v="1"/>
  </r>
  <r>
    <s v="ADM-243285"/>
    <d v="2025-02-26T00:00:00"/>
    <d v="2025-03-03T00:00:00"/>
    <x v="1"/>
    <s v="Q1"/>
    <x v="1"/>
    <x v="2"/>
    <x v="4"/>
    <x v="0"/>
    <x v="0"/>
    <x v="1"/>
    <x v="0"/>
    <n v="5"/>
    <n v="27"/>
    <n v="6365"/>
    <n v="1"/>
    <n v="4"/>
    <s v="Recovered"/>
    <n v="1"/>
  </r>
  <r>
    <s v="ADM-243286"/>
    <d v="2025-02-26T00:00:00"/>
    <d v="2025-02-28T00:00:00"/>
    <x v="1"/>
    <s v="Q1"/>
    <x v="1"/>
    <x v="2"/>
    <x v="0"/>
    <x v="0"/>
    <x v="1"/>
    <x v="1"/>
    <x v="0"/>
    <n v="2"/>
    <n v="70"/>
    <n v="1376"/>
    <n v="0"/>
    <n v="5"/>
    <s v="Recovered"/>
    <n v="1"/>
  </r>
  <r>
    <s v="ADM-243287"/>
    <d v="2025-02-26T00:00:00"/>
    <d v="2025-02-27T00:00:00"/>
    <x v="1"/>
    <s v="Q1"/>
    <x v="1"/>
    <x v="2"/>
    <x v="1"/>
    <x v="0"/>
    <x v="1"/>
    <x v="4"/>
    <x v="0"/>
    <n v="1"/>
    <n v="16"/>
    <n v="1832"/>
    <n v="0"/>
    <n v="4"/>
    <s v="Recovered"/>
    <n v="1"/>
  </r>
  <r>
    <s v="ADM-243288"/>
    <d v="2025-02-26T00:00:00"/>
    <d v="2025-02-27T00:00:00"/>
    <x v="1"/>
    <s v="Q1"/>
    <x v="1"/>
    <x v="2"/>
    <x v="4"/>
    <x v="0"/>
    <x v="1"/>
    <x v="4"/>
    <x v="0"/>
    <n v="1"/>
    <n v="92"/>
    <n v="1919"/>
    <n v="0"/>
    <n v="2"/>
    <s v="Recovered"/>
    <n v="1"/>
  </r>
  <r>
    <s v="ADM-243289"/>
    <d v="2025-02-26T00:00:00"/>
    <d v="2025-03-01T00:00:00"/>
    <x v="1"/>
    <s v="Q1"/>
    <x v="1"/>
    <x v="2"/>
    <x v="0"/>
    <x v="1"/>
    <x v="0"/>
    <x v="4"/>
    <x v="2"/>
    <n v="3"/>
    <m/>
    <n v="3510"/>
    <n v="0"/>
    <n v="5"/>
    <s v="Improved"/>
    <n v="1"/>
  </r>
  <r>
    <s v="ADM-243290"/>
    <d v="2025-02-26T00:00:00"/>
    <d v="2025-03-05T00:00:00"/>
    <x v="1"/>
    <s v="Q1"/>
    <x v="1"/>
    <x v="2"/>
    <x v="5"/>
    <x v="0"/>
    <x v="1"/>
    <x v="0"/>
    <x v="0"/>
    <n v="7"/>
    <n v="76"/>
    <n v="7658"/>
    <n v="0"/>
    <n v="4"/>
    <s v="Improved"/>
    <n v="1"/>
  </r>
  <r>
    <s v="ADM-243291"/>
    <d v="2025-02-26T00:00:00"/>
    <d v="2025-03-01T00:00:00"/>
    <x v="1"/>
    <s v="Q1"/>
    <x v="1"/>
    <x v="2"/>
    <x v="0"/>
    <x v="0"/>
    <x v="0"/>
    <x v="1"/>
    <x v="0"/>
    <n v="3"/>
    <n v="79"/>
    <n v="2935"/>
    <n v="1"/>
    <n v="3"/>
    <s v="Recovered"/>
    <n v="1"/>
  </r>
  <r>
    <s v="ADM-243292"/>
    <d v="2025-02-26T00:00:00"/>
    <d v="2025-02-27T00:00:00"/>
    <x v="1"/>
    <s v="Q1"/>
    <x v="1"/>
    <x v="2"/>
    <x v="5"/>
    <x v="0"/>
    <x v="0"/>
    <x v="2"/>
    <x v="2"/>
    <n v="1"/>
    <n v="174"/>
    <n v="2050"/>
    <n v="1"/>
    <n v="3"/>
    <s v="Improved"/>
    <n v="1"/>
  </r>
  <r>
    <s v="ADM-243293"/>
    <d v="2025-02-26T00:00:00"/>
    <d v="2025-03-06T00:00:00"/>
    <x v="1"/>
    <s v="Q1"/>
    <x v="1"/>
    <x v="2"/>
    <x v="4"/>
    <x v="0"/>
    <x v="1"/>
    <x v="2"/>
    <x v="2"/>
    <n v="8"/>
    <n v="115"/>
    <n v="9868"/>
    <n v="0"/>
    <n v="4"/>
    <s v="Recovered"/>
    <n v="1"/>
  </r>
  <r>
    <s v="ADM-243294"/>
    <d v="2025-02-27T00:00:00"/>
    <d v="2025-03-06T00:00:00"/>
    <x v="1"/>
    <s v="Q1"/>
    <x v="1"/>
    <x v="3"/>
    <x v="2"/>
    <x v="1"/>
    <x v="0"/>
    <x v="2"/>
    <x v="0"/>
    <n v="7"/>
    <m/>
    <n v="3907"/>
    <n v="0"/>
    <n v="4"/>
    <s v="Deceased"/>
    <n v="1"/>
  </r>
  <r>
    <s v="ADM-243295"/>
    <d v="2025-02-27T00:00:00"/>
    <d v="2025-03-01T00:00:00"/>
    <x v="1"/>
    <s v="Q1"/>
    <x v="1"/>
    <x v="3"/>
    <x v="1"/>
    <x v="0"/>
    <x v="0"/>
    <x v="4"/>
    <x v="0"/>
    <n v="2"/>
    <n v="76"/>
    <n v="3256"/>
    <n v="0"/>
    <n v="4"/>
    <s v="Improved"/>
    <n v="1"/>
  </r>
  <r>
    <s v="ADM-243296"/>
    <d v="2025-02-27T00:00:00"/>
    <d v="2025-03-01T00:00:00"/>
    <x v="1"/>
    <s v="Q1"/>
    <x v="1"/>
    <x v="3"/>
    <x v="1"/>
    <x v="2"/>
    <x v="1"/>
    <x v="0"/>
    <x v="1"/>
    <n v="2"/>
    <m/>
    <n v="3001"/>
    <n v="0"/>
    <n v="4"/>
    <s v="Recovered"/>
    <n v="1"/>
  </r>
  <r>
    <s v="ADM-243297"/>
    <d v="2025-02-27T00:00:00"/>
    <d v="2025-02-28T00:00:00"/>
    <x v="1"/>
    <s v="Q1"/>
    <x v="1"/>
    <x v="3"/>
    <x v="2"/>
    <x v="0"/>
    <x v="0"/>
    <x v="2"/>
    <x v="0"/>
    <n v="1"/>
    <n v="88"/>
    <n v="1923"/>
    <n v="0"/>
    <n v="4"/>
    <s v="Recovered"/>
    <n v="1"/>
  </r>
  <r>
    <s v="ADM-243298"/>
    <d v="2025-02-27T00:00:00"/>
    <d v="2025-03-01T00:00:00"/>
    <x v="1"/>
    <s v="Q1"/>
    <x v="1"/>
    <x v="3"/>
    <x v="2"/>
    <x v="0"/>
    <x v="0"/>
    <x v="1"/>
    <x v="0"/>
    <n v="2"/>
    <n v="58"/>
    <n v="2297"/>
    <n v="0"/>
    <n v="4"/>
    <s v="Recovered"/>
    <n v="1"/>
  </r>
  <r>
    <s v="ADM-243299"/>
    <d v="2025-02-27T00:00:00"/>
    <d v="2025-03-03T00:00:00"/>
    <x v="1"/>
    <s v="Q1"/>
    <x v="1"/>
    <x v="3"/>
    <x v="3"/>
    <x v="0"/>
    <x v="1"/>
    <x v="3"/>
    <x v="2"/>
    <n v="4"/>
    <n v="48"/>
    <n v="2712"/>
    <n v="0"/>
    <n v="4"/>
    <s v="Recovered"/>
    <n v="1"/>
  </r>
  <r>
    <s v="ADM-243300"/>
    <d v="2025-02-27T00:00:00"/>
    <d v="2025-03-08T00:00:00"/>
    <x v="1"/>
    <s v="Q1"/>
    <x v="1"/>
    <x v="3"/>
    <x v="1"/>
    <x v="2"/>
    <x v="0"/>
    <x v="2"/>
    <x v="2"/>
    <n v="9"/>
    <m/>
    <n v="12036"/>
    <n v="1"/>
    <n v="4"/>
    <s v="Recovered"/>
    <n v="1"/>
  </r>
  <r>
    <s v="ADM-243301"/>
    <d v="2025-02-27T00:00:00"/>
    <d v="2025-03-01T00:00:00"/>
    <x v="1"/>
    <s v="Q1"/>
    <x v="1"/>
    <x v="3"/>
    <x v="4"/>
    <x v="2"/>
    <x v="0"/>
    <x v="2"/>
    <x v="0"/>
    <n v="2"/>
    <m/>
    <n v="3070"/>
    <n v="0"/>
    <n v="4"/>
    <s v="Recovered"/>
    <n v="1"/>
  </r>
  <r>
    <s v="ADM-243302"/>
    <d v="2025-02-27T00:00:00"/>
    <d v="2025-03-04T00:00:00"/>
    <x v="1"/>
    <s v="Q1"/>
    <x v="1"/>
    <x v="3"/>
    <x v="1"/>
    <x v="0"/>
    <x v="0"/>
    <x v="1"/>
    <x v="2"/>
    <n v="5"/>
    <n v="30"/>
    <n v="5811"/>
    <n v="0"/>
    <n v="5"/>
    <s v="Improved"/>
    <n v="1"/>
  </r>
  <r>
    <s v="ADM-243303"/>
    <d v="2025-02-27T00:00:00"/>
    <d v="2025-03-04T00:00:00"/>
    <x v="1"/>
    <s v="Q1"/>
    <x v="1"/>
    <x v="3"/>
    <x v="4"/>
    <x v="0"/>
    <x v="0"/>
    <x v="0"/>
    <x v="0"/>
    <n v="5"/>
    <n v="42"/>
    <n v="5127"/>
    <n v="1"/>
    <n v="4"/>
    <s v="Improved"/>
    <n v="1"/>
  </r>
  <r>
    <s v="ADM-243304"/>
    <d v="2025-02-28T00:00:00"/>
    <d v="2025-03-04T00:00:00"/>
    <x v="1"/>
    <s v="Q1"/>
    <x v="1"/>
    <x v="4"/>
    <x v="4"/>
    <x v="0"/>
    <x v="0"/>
    <x v="1"/>
    <x v="2"/>
    <n v="4"/>
    <n v="134"/>
    <n v="5575"/>
    <n v="0"/>
    <n v="3"/>
    <s v="Improved"/>
    <n v="1"/>
  </r>
  <r>
    <s v="ADM-243305"/>
    <d v="2025-02-28T00:00:00"/>
    <d v="2025-03-02T00:00:00"/>
    <x v="1"/>
    <s v="Q1"/>
    <x v="1"/>
    <x v="4"/>
    <x v="4"/>
    <x v="2"/>
    <x v="0"/>
    <x v="1"/>
    <x v="2"/>
    <n v="2"/>
    <m/>
    <n v="3683"/>
    <n v="0"/>
    <n v="4"/>
    <s v="Recovered"/>
    <n v="1"/>
  </r>
  <r>
    <s v="ADM-243306"/>
    <d v="2025-02-28T00:00:00"/>
    <d v="2025-03-13T00:00:00"/>
    <x v="1"/>
    <s v="Q1"/>
    <x v="1"/>
    <x v="4"/>
    <x v="4"/>
    <x v="0"/>
    <x v="1"/>
    <x v="0"/>
    <x v="2"/>
    <n v="13"/>
    <n v="99"/>
    <n v="19171"/>
    <n v="0"/>
    <n v="4"/>
    <s v="Recovered"/>
    <n v="1"/>
  </r>
  <r>
    <s v="ADM-243307"/>
    <d v="2025-02-28T00:00:00"/>
    <d v="2025-03-02T00:00:00"/>
    <x v="1"/>
    <s v="Q1"/>
    <x v="1"/>
    <x v="4"/>
    <x v="2"/>
    <x v="0"/>
    <x v="0"/>
    <x v="1"/>
    <x v="2"/>
    <n v="2"/>
    <n v="39"/>
    <n v="2383"/>
    <n v="0"/>
    <n v="5"/>
    <s v="Improved"/>
    <n v="1"/>
  </r>
  <r>
    <s v="ADM-243308"/>
    <d v="2025-02-28T00:00:00"/>
    <d v="2025-03-03T00:00:00"/>
    <x v="1"/>
    <s v="Q1"/>
    <x v="1"/>
    <x v="4"/>
    <x v="3"/>
    <x v="0"/>
    <x v="1"/>
    <x v="3"/>
    <x v="1"/>
    <n v="3"/>
    <n v="152"/>
    <n v="2817"/>
    <n v="0"/>
    <n v="3"/>
    <s v="Improved"/>
    <n v="1"/>
  </r>
  <r>
    <s v="ADM-243309"/>
    <d v="2025-02-28T00:00:00"/>
    <d v="2025-03-01T00:00:00"/>
    <x v="1"/>
    <s v="Q1"/>
    <x v="1"/>
    <x v="4"/>
    <x v="4"/>
    <x v="0"/>
    <x v="0"/>
    <x v="1"/>
    <x v="2"/>
    <n v="1"/>
    <n v="52"/>
    <n v="2429"/>
    <n v="0"/>
    <n v="4"/>
    <s v="Recovered"/>
    <n v="1"/>
  </r>
  <r>
    <s v="ADM-243310"/>
    <d v="2025-02-28T00:00:00"/>
    <d v="2025-03-04T00:00:00"/>
    <x v="1"/>
    <s v="Q1"/>
    <x v="1"/>
    <x v="4"/>
    <x v="1"/>
    <x v="0"/>
    <x v="1"/>
    <x v="1"/>
    <x v="0"/>
    <n v="4"/>
    <n v="117"/>
    <n v="4892"/>
    <n v="0"/>
    <n v="3"/>
    <s v="Improved"/>
    <n v="1"/>
  </r>
  <r>
    <s v="ADM-243311"/>
    <d v="2025-03-01T00:00:00"/>
    <d v="2025-03-03T00:00:00"/>
    <x v="1"/>
    <s v="Q1"/>
    <x v="2"/>
    <x v="5"/>
    <x v="5"/>
    <x v="2"/>
    <x v="0"/>
    <x v="2"/>
    <x v="2"/>
    <n v="2"/>
    <m/>
    <n v="2147"/>
    <n v="1"/>
    <n v="4"/>
    <s v="Improved"/>
    <n v="1"/>
  </r>
  <r>
    <s v="ADM-243312"/>
    <d v="2025-03-01T00:00:00"/>
    <d v="2025-03-08T00:00:00"/>
    <x v="1"/>
    <s v="Q1"/>
    <x v="2"/>
    <x v="5"/>
    <x v="3"/>
    <x v="2"/>
    <x v="1"/>
    <x v="3"/>
    <x v="1"/>
    <n v="7"/>
    <m/>
    <n v="4459"/>
    <n v="0"/>
    <n v="4"/>
    <s v="Recovered"/>
    <n v="1"/>
  </r>
  <r>
    <s v="ADM-243313"/>
    <d v="2025-03-01T00:00:00"/>
    <d v="2025-03-07T00:00:00"/>
    <x v="1"/>
    <s v="Q1"/>
    <x v="2"/>
    <x v="5"/>
    <x v="0"/>
    <x v="0"/>
    <x v="1"/>
    <x v="0"/>
    <x v="0"/>
    <n v="6"/>
    <n v="47"/>
    <n v="5454"/>
    <n v="0"/>
    <n v="4"/>
    <s v="Deceased"/>
    <n v="1"/>
  </r>
  <r>
    <s v="ADM-243314"/>
    <d v="2025-03-01T00:00:00"/>
    <d v="2025-03-02T00:00:00"/>
    <x v="1"/>
    <s v="Q1"/>
    <x v="2"/>
    <x v="5"/>
    <x v="3"/>
    <x v="2"/>
    <x v="0"/>
    <x v="3"/>
    <x v="0"/>
    <n v="1"/>
    <m/>
    <n v="1503"/>
    <n v="0"/>
    <n v="4"/>
    <s v="Recovered"/>
    <n v="1"/>
  </r>
  <r>
    <s v="ADM-243315"/>
    <d v="2025-03-01T00:00:00"/>
    <d v="2025-03-03T00:00:00"/>
    <x v="1"/>
    <s v="Q1"/>
    <x v="2"/>
    <x v="5"/>
    <x v="4"/>
    <x v="0"/>
    <x v="1"/>
    <x v="1"/>
    <x v="2"/>
    <n v="2"/>
    <n v="68"/>
    <n v="2558"/>
    <n v="0"/>
    <n v="3"/>
    <s v="Improved"/>
    <n v="1"/>
  </r>
  <r>
    <s v="ADM-243316"/>
    <d v="2025-03-01T00:00:00"/>
    <d v="2025-03-03T00:00:00"/>
    <x v="1"/>
    <s v="Q1"/>
    <x v="2"/>
    <x v="5"/>
    <x v="3"/>
    <x v="0"/>
    <x v="1"/>
    <x v="3"/>
    <x v="1"/>
    <n v="2"/>
    <n v="77"/>
    <n v="2173"/>
    <n v="0"/>
    <n v="5"/>
    <s v="Recovered"/>
    <n v="1"/>
  </r>
  <r>
    <s v="ADM-243317"/>
    <d v="2025-03-01T00:00:00"/>
    <d v="2025-03-11T00:00:00"/>
    <x v="1"/>
    <s v="Q1"/>
    <x v="2"/>
    <x v="5"/>
    <x v="0"/>
    <x v="2"/>
    <x v="0"/>
    <x v="2"/>
    <x v="0"/>
    <n v="10"/>
    <m/>
    <n v="7707"/>
    <n v="0"/>
    <n v="4"/>
    <s v="Recovered"/>
    <n v="1"/>
  </r>
  <r>
    <s v="ADM-243318"/>
    <d v="2025-03-01T00:00:00"/>
    <d v="2025-03-09T00:00:00"/>
    <x v="1"/>
    <s v="Q1"/>
    <x v="2"/>
    <x v="5"/>
    <x v="0"/>
    <x v="0"/>
    <x v="1"/>
    <x v="1"/>
    <x v="2"/>
    <n v="8"/>
    <n v="112"/>
    <n v="4123"/>
    <n v="0"/>
    <n v="3"/>
    <s v="Improved"/>
    <n v="1"/>
  </r>
  <r>
    <s v="ADM-243319"/>
    <d v="2025-03-01T00:00:00"/>
    <d v="2025-03-15T00:00:00"/>
    <x v="1"/>
    <s v="Q1"/>
    <x v="2"/>
    <x v="5"/>
    <x v="0"/>
    <x v="0"/>
    <x v="1"/>
    <x v="1"/>
    <x v="2"/>
    <n v="14"/>
    <n v="108"/>
    <n v="8541"/>
    <n v="1"/>
    <n v="3"/>
    <s v="Recovered"/>
    <n v="1"/>
  </r>
  <r>
    <s v="ADM-243320"/>
    <d v="2025-03-02T00:00:00"/>
    <d v="2025-03-07T00:00:00"/>
    <x v="1"/>
    <s v="Q1"/>
    <x v="2"/>
    <x v="6"/>
    <x v="3"/>
    <x v="0"/>
    <x v="1"/>
    <x v="3"/>
    <x v="0"/>
    <n v="5"/>
    <n v="54"/>
    <n v="3184"/>
    <n v="0"/>
    <n v="3"/>
    <s v="Improved"/>
    <n v="1"/>
  </r>
  <r>
    <s v="ADM-243321"/>
    <d v="2025-03-02T00:00:00"/>
    <d v="2025-03-06T00:00:00"/>
    <x v="1"/>
    <s v="Q1"/>
    <x v="2"/>
    <x v="6"/>
    <x v="0"/>
    <x v="2"/>
    <x v="1"/>
    <x v="4"/>
    <x v="0"/>
    <n v="4"/>
    <m/>
    <n v="3444"/>
    <n v="0"/>
    <n v="5"/>
    <s v="Recovered"/>
    <n v="1"/>
  </r>
  <r>
    <s v="ADM-243322"/>
    <d v="2025-03-02T00:00:00"/>
    <d v="2025-03-05T00:00:00"/>
    <x v="1"/>
    <s v="Q1"/>
    <x v="2"/>
    <x v="6"/>
    <x v="2"/>
    <x v="0"/>
    <x v="0"/>
    <x v="2"/>
    <x v="2"/>
    <n v="3"/>
    <n v="36"/>
    <n v="3102"/>
    <n v="0"/>
    <n v="3"/>
    <s v="Recovered"/>
    <n v="1"/>
  </r>
  <r>
    <s v="ADM-243323"/>
    <d v="2025-03-02T00:00:00"/>
    <d v="2025-03-04T00:00:00"/>
    <x v="1"/>
    <s v="Q1"/>
    <x v="2"/>
    <x v="6"/>
    <x v="1"/>
    <x v="0"/>
    <x v="0"/>
    <x v="0"/>
    <x v="2"/>
    <n v="2"/>
    <n v="70"/>
    <n v="3117"/>
    <n v="0"/>
    <n v="5"/>
    <s v="Recovered"/>
    <n v="1"/>
  </r>
  <r>
    <s v="ADM-243324"/>
    <d v="2025-03-02T00:00:00"/>
    <d v="2025-03-03T00:00:00"/>
    <x v="1"/>
    <s v="Q1"/>
    <x v="2"/>
    <x v="6"/>
    <x v="3"/>
    <x v="0"/>
    <x v="0"/>
    <x v="3"/>
    <x v="2"/>
    <n v="1"/>
    <n v="21"/>
    <n v="1165"/>
    <n v="0"/>
    <n v="4"/>
    <s v="Recovered"/>
    <n v="1"/>
  </r>
  <r>
    <s v="ADM-243325"/>
    <d v="2025-03-02T00:00:00"/>
    <d v="2025-03-03T00:00:00"/>
    <x v="1"/>
    <s v="Q1"/>
    <x v="2"/>
    <x v="6"/>
    <x v="5"/>
    <x v="0"/>
    <x v="0"/>
    <x v="1"/>
    <x v="0"/>
    <n v="1"/>
    <n v="164"/>
    <n v="1629"/>
    <n v="0"/>
    <n v="3"/>
    <s v="Transferred"/>
    <n v="1"/>
  </r>
  <r>
    <s v="ADM-243326"/>
    <d v="2025-03-03T00:00:00"/>
    <d v="2025-03-14T00:00:00"/>
    <x v="1"/>
    <s v="Q1"/>
    <x v="2"/>
    <x v="0"/>
    <x v="0"/>
    <x v="0"/>
    <x v="0"/>
    <x v="0"/>
    <x v="2"/>
    <n v="11"/>
    <n v="19"/>
    <n v="10116"/>
    <n v="0"/>
    <n v="4"/>
    <s v="Improved"/>
    <n v="1"/>
  </r>
  <r>
    <s v="ADM-243327"/>
    <d v="2025-03-03T00:00:00"/>
    <d v="2025-03-04T00:00:00"/>
    <x v="1"/>
    <s v="Q1"/>
    <x v="2"/>
    <x v="0"/>
    <x v="3"/>
    <x v="0"/>
    <x v="0"/>
    <x v="3"/>
    <x v="0"/>
    <n v="1"/>
    <n v="37"/>
    <n v="1955"/>
    <n v="0"/>
    <n v="5"/>
    <s v="Recovered"/>
    <n v="1"/>
  </r>
  <r>
    <s v="ADM-243328"/>
    <d v="2025-03-03T00:00:00"/>
    <d v="2025-03-13T00:00:00"/>
    <x v="1"/>
    <s v="Q1"/>
    <x v="2"/>
    <x v="0"/>
    <x v="0"/>
    <x v="2"/>
    <x v="0"/>
    <x v="0"/>
    <x v="0"/>
    <n v="10"/>
    <m/>
    <n v="4697"/>
    <n v="0"/>
    <n v="4"/>
    <s v="Improved"/>
    <n v="1"/>
  </r>
  <r>
    <s v="ADM-243329"/>
    <d v="2025-03-03T00:00:00"/>
    <d v="2025-03-08T00:00:00"/>
    <x v="1"/>
    <s v="Q1"/>
    <x v="2"/>
    <x v="0"/>
    <x v="3"/>
    <x v="0"/>
    <x v="0"/>
    <x v="3"/>
    <x v="2"/>
    <n v="5"/>
    <n v="37"/>
    <n v="3683"/>
    <n v="0"/>
    <n v="4"/>
    <s v="Recovered"/>
    <n v="1"/>
  </r>
  <r>
    <s v="ADM-243330"/>
    <d v="2025-03-03T00:00:00"/>
    <d v="2025-03-04T00:00:00"/>
    <x v="1"/>
    <s v="Q1"/>
    <x v="2"/>
    <x v="0"/>
    <x v="2"/>
    <x v="2"/>
    <x v="0"/>
    <x v="2"/>
    <x v="0"/>
    <n v="1"/>
    <m/>
    <n v="1697"/>
    <n v="0"/>
    <n v="4"/>
    <s v="Transferred"/>
    <n v="1"/>
  </r>
  <r>
    <s v="ADM-243331"/>
    <d v="2025-03-04T00:00:00"/>
    <d v="2025-03-23T00:00:00"/>
    <x v="1"/>
    <s v="Q1"/>
    <x v="2"/>
    <x v="1"/>
    <x v="0"/>
    <x v="0"/>
    <x v="1"/>
    <x v="0"/>
    <x v="0"/>
    <n v="19"/>
    <n v="115"/>
    <n v="9838"/>
    <n v="1"/>
    <n v="3"/>
    <s v="Improved"/>
    <n v="1"/>
  </r>
  <r>
    <s v="ADM-243332"/>
    <d v="2025-03-04T00:00:00"/>
    <d v="2025-03-06T00:00:00"/>
    <x v="1"/>
    <s v="Q1"/>
    <x v="2"/>
    <x v="1"/>
    <x v="0"/>
    <x v="0"/>
    <x v="1"/>
    <x v="4"/>
    <x v="0"/>
    <n v="2"/>
    <n v="24"/>
    <n v="2320"/>
    <n v="0"/>
    <n v="4"/>
    <s v="Improved"/>
    <n v="1"/>
  </r>
  <r>
    <s v="ADM-243333"/>
    <d v="2025-03-04T00:00:00"/>
    <d v="2025-03-06T00:00:00"/>
    <x v="1"/>
    <s v="Q1"/>
    <x v="2"/>
    <x v="1"/>
    <x v="2"/>
    <x v="0"/>
    <x v="0"/>
    <x v="1"/>
    <x v="1"/>
    <n v="2"/>
    <n v="26"/>
    <n v="2210"/>
    <n v="0"/>
    <n v="5"/>
    <s v="Recovered"/>
    <n v="1"/>
  </r>
  <r>
    <s v="ADM-243334"/>
    <d v="2025-03-04T00:00:00"/>
    <d v="2025-03-09T00:00:00"/>
    <x v="1"/>
    <s v="Q1"/>
    <x v="2"/>
    <x v="1"/>
    <x v="1"/>
    <x v="2"/>
    <x v="0"/>
    <x v="2"/>
    <x v="2"/>
    <n v="5"/>
    <m/>
    <n v="6139"/>
    <n v="1"/>
    <n v="5"/>
    <s v="Recovered"/>
    <n v="1"/>
  </r>
  <r>
    <s v="ADM-243335"/>
    <d v="2025-03-04T00:00:00"/>
    <d v="2025-03-06T00:00:00"/>
    <x v="1"/>
    <s v="Q1"/>
    <x v="2"/>
    <x v="1"/>
    <x v="3"/>
    <x v="0"/>
    <x v="0"/>
    <x v="3"/>
    <x v="0"/>
    <n v="2"/>
    <n v="47"/>
    <n v="1805"/>
    <n v="0"/>
    <n v="5"/>
    <s v="Improved"/>
    <n v="1"/>
  </r>
  <r>
    <s v="ADM-243336"/>
    <d v="2025-03-04T00:00:00"/>
    <d v="2025-03-06T00:00:00"/>
    <x v="1"/>
    <s v="Q1"/>
    <x v="2"/>
    <x v="1"/>
    <x v="5"/>
    <x v="2"/>
    <x v="1"/>
    <x v="0"/>
    <x v="0"/>
    <n v="2"/>
    <m/>
    <n v="3061"/>
    <n v="0"/>
    <n v="4"/>
    <s v="Recovered"/>
    <n v="1"/>
  </r>
  <r>
    <s v="ADM-243337"/>
    <d v="2025-03-04T00:00:00"/>
    <d v="2025-03-07T00:00:00"/>
    <x v="1"/>
    <s v="Q1"/>
    <x v="2"/>
    <x v="1"/>
    <x v="3"/>
    <x v="0"/>
    <x v="1"/>
    <x v="3"/>
    <x v="1"/>
    <n v="3"/>
    <n v="53"/>
    <n v="2229"/>
    <n v="0"/>
    <n v="4"/>
    <s v="Transferred"/>
    <n v="1"/>
  </r>
  <r>
    <s v="ADM-243338"/>
    <d v="2025-03-04T00:00:00"/>
    <d v="2025-03-07T00:00:00"/>
    <x v="1"/>
    <s v="Q1"/>
    <x v="2"/>
    <x v="1"/>
    <x v="4"/>
    <x v="0"/>
    <x v="1"/>
    <x v="4"/>
    <x v="2"/>
    <n v="3"/>
    <n v="48"/>
    <n v="2790"/>
    <n v="0"/>
    <n v="4"/>
    <s v="Improved"/>
    <n v="1"/>
  </r>
  <r>
    <s v="ADM-243339"/>
    <d v="2025-03-04T00:00:00"/>
    <d v="2025-03-08T00:00:00"/>
    <x v="1"/>
    <s v="Q1"/>
    <x v="2"/>
    <x v="1"/>
    <x v="4"/>
    <x v="0"/>
    <x v="1"/>
    <x v="4"/>
    <x v="2"/>
    <n v="4"/>
    <n v="101"/>
    <n v="5800"/>
    <n v="0"/>
    <n v="3"/>
    <s v="Improved"/>
    <n v="1"/>
  </r>
  <r>
    <s v="ADM-243340"/>
    <d v="2025-03-05T00:00:00"/>
    <d v="2025-03-14T00:00:00"/>
    <x v="1"/>
    <s v="Q1"/>
    <x v="2"/>
    <x v="2"/>
    <x v="1"/>
    <x v="2"/>
    <x v="1"/>
    <x v="4"/>
    <x v="2"/>
    <n v="9"/>
    <m/>
    <n v="9186"/>
    <n v="0"/>
    <n v="4"/>
    <s v="Recovered"/>
    <n v="1"/>
  </r>
  <r>
    <s v="ADM-243341"/>
    <d v="2025-03-05T00:00:00"/>
    <d v="2025-03-08T00:00:00"/>
    <x v="1"/>
    <s v="Q1"/>
    <x v="2"/>
    <x v="2"/>
    <x v="0"/>
    <x v="0"/>
    <x v="1"/>
    <x v="2"/>
    <x v="2"/>
    <n v="3"/>
    <n v="16"/>
    <n v="3237"/>
    <n v="0"/>
    <n v="5"/>
    <s v="Recovered"/>
    <n v="1"/>
  </r>
  <r>
    <s v="ADM-243342"/>
    <d v="2025-03-05T00:00:00"/>
    <d v="2025-03-07T00:00:00"/>
    <x v="1"/>
    <s v="Q1"/>
    <x v="2"/>
    <x v="2"/>
    <x v="0"/>
    <x v="1"/>
    <x v="0"/>
    <x v="2"/>
    <x v="0"/>
    <n v="2"/>
    <m/>
    <n v="2485"/>
    <n v="0"/>
    <n v="4"/>
    <s v="Recovered"/>
    <n v="1"/>
  </r>
  <r>
    <s v="ADM-243343"/>
    <d v="2025-03-05T00:00:00"/>
    <d v="2025-03-06T00:00:00"/>
    <x v="1"/>
    <s v="Q1"/>
    <x v="2"/>
    <x v="2"/>
    <x v="2"/>
    <x v="0"/>
    <x v="0"/>
    <x v="2"/>
    <x v="2"/>
    <n v="1"/>
    <n v="82"/>
    <n v="1478"/>
    <n v="0"/>
    <n v="4"/>
    <s v="Improved"/>
    <n v="1"/>
  </r>
  <r>
    <s v="ADM-243344"/>
    <d v="2025-03-05T00:00:00"/>
    <d v="2025-03-13T00:00:00"/>
    <x v="1"/>
    <s v="Q1"/>
    <x v="2"/>
    <x v="2"/>
    <x v="2"/>
    <x v="1"/>
    <x v="0"/>
    <x v="2"/>
    <x v="2"/>
    <n v="8"/>
    <m/>
    <n v="5433"/>
    <n v="0"/>
    <n v="4"/>
    <s v="Recovered"/>
    <n v="1"/>
  </r>
  <r>
    <s v="ADM-243345"/>
    <d v="2025-03-05T00:00:00"/>
    <d v="2025-03-10T00:00:00"/>
    <x v="1"/>
    <s v="Q1"/>
    <x v="2"/>
    <x v="2"/>
    <x v="0"/>
    <x v="0"/>
    <x v="1"/>
    <x v="0"/>
    <x v="2"/>
    <n v="5"/>
    <n v="71"/>
    <n v="4274"/>
    <n v="0"/>
    <n v="5"/>
    <s v="Recovered"/>
    <n v="1"/>
  </r>
  <r>
    <s v="ADM-243346"/>
    <d v="2025-03-05T00:00:00"/>
    <d v="2025-03-13T00:00:00"/>
    <x v="1"/>
    <s v="Q1"/>
    <x v="2"/>
    <x v="2"/>
    <x v="0"/>
    <x v="0"/>
    <x v="1"/>
    <x v="4"/>
    <x v="2"/>
    <n v="8"/>
    <n v="40"/>
    <n v="6390"/>
    <n v="0"/>
    <n v="4"/>
    <s v="Recovered"/>
    <n v="1"/>
  </r>
  <r>
    <s v="ADM-243347"/>
    <d v="2025-03-05T00:00:00"/>
    <d v="2025-03-07T00:00:00"/>
    <x v="1"/>
    <s v="Q1"/>
    <x v="2"/>
    <x v="2"/>
    <x v="2"/>
    <x v="0"/>
    <x v="0"/>
    <x v="2"/>
    <x v="2"/>
    <n v="2"/>
    <n v="59"/>
    <n v="1885"/>
    <n v="0"/>
    <n v="5"/>
    <s v="Recovered"/>
    <n v="1"/>
  </r>
  <r>
    <s v="ADM-243348"/>
    <d v="2025-03-05T00:00:00"/>
    <d v="2025-03-06T00:00:00"/>
    <x v="1"/>
    <s v="Q1"/>
    <x v="2"/>
    <x v="2"/>
    <x v="3"/>
    <x v="0"/>
    <x v="0"/>
    <x v="3"/>
    <x v="0"/>
    <n v="1"/>
    <n v="57"/>
    <n v="1666"/>
    <n v="0"/>
    <n v="4"/>
    <s v="Recovered"/>
    <n v="1"/>
  </r>
  <r>
    <s v="ADM-243349"/>
    <d v="2025-03-05T00:00:00"/>
    <d v="2025-03-11T00:00:00"/>
    <x v="1"/>
    <s v="Q1"/>
    <x v="2"/>
    <x v="2"/>
    <x v="0"/>
    <x v="0"/>
    <x v="0"/>
    <x v="0"/>
    <x v="0"/>
    <n v="6"/>
    <n v="78"/>
    <n v="3995"/>
    <n v="1"/>
    <n v="4"/>
    <s v="Improved"/>
    <n v="1"/>
  </r>
  <r>
    <s v="ADM-243350"/>
    <d v="2025-03-05T00:00:00"/>
    <d v="2025-03-07T00:00:00"/>
    <x v="1"/>
    <s v="Q1"/>
    <x v="2"/>
    <x v="2"/>
    <x v="0"/>
    <x v="0"/>
    <x v="1"/>
    <x v="4"/>
    <x v="2"/>
    <n v="2"/>
    <n v="43"/>
    <n v="1758"/>
    <n v="0"/>
    <n v="4"/>
    <s v="Improved"/>
    <n v="1"/>
  </r>
  <r>
    <s v="ADM-243351"/>
    <d v="2025-03-06T00:00:00"/>
    <d v="2025-03-07T00:00:00"/>
    <x v="1"/>
    <s v="Q1"/>
    <x v="2"/>
    <x v="3"/>
    <x v="2"/>
    <x v="0"/>
    <x v="0"/>
    <x v="1"/>
    <x v="2"/>
    <n v="1"/>
    <n v="80"/>
    <n v="1273"/>
    <n v="0"/>
    <n v="4"/>
    <s v="Recovered"/>
    <n v="1"/>
  </r>
  <r>
    <s v="ADM-243352"/>
    <d v="2025-03-06T00:00:00"/>
    <d v="2025-03-08T00:00:00"/>
    <x v="1"/>
    <s v="Q1"/>
    <x v="2"/>
    <x v="3"/>
    <x v="5"/>
    <x v="2"/>
    <x v="0"/>
    <x v="4"/>
    <x v="2"/>
    <n v="2"/>
    <m/>
    <n v="2245"/>
    <n v="0"/>
    <n v="5"/>
    <s v="Recovered"/>
    <n v="1"/>
  </r>
  <r>
    <s v="ADM-243353"/>
    <d v="2025-03-06T00:00:00"/>
    <d v="2025-03-10T00:00:00"/>
    <x v="1"/>
    <s v="Q1"/>
    <x v="2"/>
    <x v="3"/>
    <x v="4"/>
    <x v="1"/>
    <x v="0"/>
    <x v="0"/>
    <x v="0"/>
    <n v="4"/>
    <m/>
    <n v="4479"/>
    <n v="0"/>
    <n v="5"/>
    <s v="Recovered"/>
    <n v="1"/>
  </r>
  <r>
    <s v="ADM-243354"/>
    <d v="2025-03-06T00:00:00"/>
    <d v="2025-03-12T00:00:00"/>
    <x v="1"/>
    <s v="Q1"/>
    <x v="2"/>
    <x v="3"/>
    <x v="4"/>
    <x v="2"/>
    <x v="0"/>
    <x v="4"/>
    <x v="2"/>
    <n v="6"/>
    <m/>
    <n v="6590"/>
    <n v="0"/>
    <n v="4"/>
    <s v="Recovered"/>
    <n v="1"/>
  </r>
  <r>
    <s v="ADM-243355"/>
    <d v="2025-03-06T00:00:00"/>
    <d v="2025-03-07T00:00:00"/>
    <x v="1"/>
    <s v="Q1"/>
    <x v="2"/>
    <x v="3"/>
    <x v="2"/>
    <x v="0"/>
    <x v="0"/>
    <x v="2"/>
    <x v="1"/>
    <n v="1"/>
    <n v="15"/>
    <n v="1362"/>
    <n v="0"/>
    <n v="4"/>
    <s v="Recovered"/>
    <n v="1"/>
  </r>
  <r>
    <s v="ADM-243356"/>
    <d v="2025-03-06T00:00:00"/>
    <d v="2025-03-13T00:00:00"/>
    <x v="1"/>
    <s v="Q1"/>
    <x v="2"/>
    <x v="3"/>
    <x v="0"/>
    <x v="0"/>
    <x v="1"/>
    <x v="0"/>
    <x v="2"/>
    <n v="7"/>
    <n v="30"/>
    <n v="5472"/>
    <n v="0"/>
    <n v="4"/>
    <s v="Recovered"/>
    <n v="1"/>
  </r>
  <r>
    <s v="ADM-243357"/>
    <d v="2025-03-07T00:00:00"/>
    <d v="2025-03-10T00:00:00"/>
    <x v="1"/>
    <s v="Q1"/>
    <x v="2"/>
    <x v="4"/>
    <x v="2"/>
    <x v="2"/>
    <x v="0"/>
    <x v="1"/>
    <x v="0"/>
    <n v="3"/>
    <m/>
    <n v="2654"/>
    <n v="0"/>
    <n v="3"/>
    <s v="Improved"/>
    <n v="1"/>
  </r>
  <r>
    <s v="ADM-243358"/>
    <d v="2025-03-07T00:00:00"/>
    <d v="2025-03-11T00:00:00"/>
    <x v="1"/>
    <s v="Q1"/>
    <x v="2"/>
    <x v="4"/>
    <x v="2"/>
    <x v="2"/>
    <x v="0"/>
    <x v="2"/>
    <x v="2"/>
    <n v="4"/>
    <m/>
    <n v="4162"/>
    <n v="1"/>
    <n v="4"/>
    <s v="Recovered"/>
    <n v="1"/>
  </r>
  <r>
    <s v="ADM-243359"/>
    <d v="2025-03-07T00:00:00"/>
    <d v="2025-03-12T00:00:00"/>
    <x v="1"/>
    <s v="Q1"/>
    <x v="2"/>
    <x v="4"/>
    <x v="1"/>
    <x v="2"/>
    <x v="0"/>
    <x v="0"/>
    <x v="0"/>
    <n v="5"/>
    <m/>
    <n v="5366"/>
    <n v="0"/>
    <n v="4"/>
    <s v="Improved"/>
    <n v="1"/>
  </r>
  <r>
    <s v="ADM-243360"/>
    <d v="2025-03-07T00:00:00"/>
    <d v="2025-03-11T00:00:00"/>
    <x v="1"/>
    <s v="Q1"/>
    <x v="2"/>
    <x v="4"/>
    <x v="1"/>
    <x v="2"/>
    <x v="1"/>
    <x v="2"/>
    <x v="1"/>
    <n v="4"/>
    <m/>
    <n v="5074"/>
    <n v="0"/>
    <n v="4"/>
    <s v="Recovered"/>
    <n v="1"/>
  </r>
  <r>
    <s v="ADM-243361"/>
    <d v="2025-03-07T00:00:00"/>
    <d v="2025-03-14T00:00:00"/>
    <x v="1"/>
    <s v="Q1"/>
    <x v="2"/>
    <x v="4"/>
    <x v="3"/>
    <x v="0"/>
    <x v="0"/>
    <x v="3"/>
    <x v="2"/>
    <n v="7"/>
    <n v="37"/>
    <n v="5161"/>
    <n v="0"/>
    <n v="4"/>
    <s v="Recovered"/>
    <n v="1"/>
  </r>
  <r>
    <s v="ADM-243362"/>
    <d v="2025-03-07T00:00:00"/>
    <d v="2025-03-12T00:00:00"/>
    <x v="1"/>
    <s v="Q1"/>
    <x v="2"/>
    <x v="4"/>
    <x v="3"/>
    <x v="2"/>
    <x v="1"/>
    <x v="3"/>
    <x v="2"/>
    <n v="5"/>
    <m/>
    <n v="4352"/>
    <n v="0"/>
    <n v="3"/>
    <s v="Recovered"/>
    <n v="1"/>
  </r>
  <r>
    <s v="ADM-243363"/>
    <d v="2025-03-07T00:00:00"/>
    <d v="2025-03-14T00:00:00"/>
    <x v="1"/>
    <s v="Q1"/>
    <x v="2"/>
    <x v="4"/>
    <x v="4"/>
    <x v="0"/>
    <x v="1"/>
    <x v="1"/>
    <x v="2"/>
    <n v="7"/>
    <n v="67"/>
    <n v="10069"/>
    <n v="0"/>
    <n v="4"/>
    <s v="Improved"/>
    <n v="1"/>
  </r>
  <r>
    <s v="ADM-243364"/>
    <d v="2025-03-08T00:00:00"/>
    <d v="2025-03-09T00:00:00"/>
    <x v="1"/>
    <s v="Q1"/>
    <x v="2"/>
    <x v="5"/>
    <x v="1"/>
    <x v="2"/>
    <x v="0"/>
    <x v="0"/>
    <x v="1"/>
    <n v="1"/>
    <m/>
    <n v="1663"/>
    <n v="0"/>
    <n v="4"/>
    <s v="Recovered"/>
    <n v="1"/>
  </r>
  <r>
    <s v="ADM-243365"/>
    <d v="2025-03-08T00:00:00"/>
    <d v="2025-03-09T00:00:00"/>
    <x v="1"/>
    <s v="Q1"/>
    <x v="2"/>
    <x v="5"/>
    <x v="2"/>
    <x v="0"/>
    <x v="0"/>
    <x v="2"/>
    <x v="2"/>
    <n v="1"/>
    <n v="71"/>
    <n v="1496"/>
    <n v="0"/>
    <n v="5"/>
    <s v="Improved"/>
    <n v="1"/>
  </r>
  <r>
    <s v="ADM-243366"/>
    <d v="2025-03-08T00:00:00"/>
    <d v="2025-03-17T00:00:00"/>
    <x v="1"/>
    <s v="Q1"/>
    <x v="2"/>
    <x v="5"/>
    <x v="1"/>
    <x v="2"/>
    <x v="0"/>
    <x v="0"/>
    <x v="2"/>
    <n v="9"/>
    <m/>
    <n v="7657"/>
    <n v="0"/>
    <n v="4"/>
    <s v="Recovered"/>
    <n v="1"/>
  </r>
  <r>
    <s v="ADM-243367"/>
    <d v="2025-03-08T00:00:00"/>
    <d v="2025-03-10T00:00:00"/>
    <x v="1"/>
    <s v="Q1"/>
    <x v="2"/>
    <x v="5"/>
    <x v="2"/>
    <x v="2"/>
    <x v="0"/>
    <x v="1"/>
    <x v="2"/>
    <n v="2"/>
    <m/>
    <n v="1619"/>
    <n v="0"/>
    <n v="4"/>
    <s v="Recovered"/>
    <n v="1"/>
  </r>
  <r>
    <s v="ADM-243368"/>
    <d v="2025-03-08T00:00:00"/>
    <d v="2025-03-09T00:00:00"/>
    <x v="1"/>
    <s v="Q1"/>
    <x v="2"/>
    <x v="5"/>
    <x v="2"/>
    <x v="0"/>
    <x v="0"/>
    <x v="2"/>
    <x v="2"/>
    <n v="1"/>
    <n v="47"/>
    <n v="1324"/>
    <n v="0"/>
    <n v="4"/>
    <s v="Recovered"/>
    <n v="1"/>
  </r>
  <r>
    <s v="ADM-243369"/>
    <d v="2025-03-08T00:00:00"/>
    <d v="2025-03-15T00:00:00"/>
    <x v="1"/>
    <s v="Q1"/>
    <x v="2"/>
    <x v="5"/>
    <x v="4"/>
    <x v="0"/>
    <x v="1"/>
    <x v="2"/>
    <x v="2"/>
    <n v="7"/>
    <n v="20"/>
    <n v="10743"/>
    <n v="0"/>
    <n v="4"/>
    <s v="Recovered"/>
    <n v="1"/>
  </r>
  <r>
    <s v="ADM-243370"/>
    <d v="2025-03-08T00:00:00"/>
    <d v="2025-03-10T00:00:00"/>
    <x v="1"/>
    <s v="Q1"/>
    <x v="2"/>
    <x v="5"/>
    <x v="2"/>
    <x v="0"/>
    <x v="0"/>
    <x v="1"/>
    <x v="2"/>
    <n v="2"/>
    <n v="63"/>
    <n v="1754"/>
    <n v="0"/>
    <n v="3"/>
    <s v="Recovered"/>
    <n v="1"/>
  </r>
  <r>
    <s v="ADM-243371"/>
    <d v="2025-03-08T00:00:00"/>
    <d v="2025-03-12T00:00:00"/>
    <x v="1"/>
    <s v="Q1"/>
    <x v="2"/>
    <x v="5"/>
    <x v="0"/>
    <x v="2"/>
    <x v="0"/>
    <x v="1"/>
    <x v="0"/>
    <n v="4"/>
    <m/>
    <n v="2717"/>
    <n v="0"/>
    <n v="3"/>
    <s v="Recovered"/>
    <n v="1"/>
  </r>
  <r>
    <s v="ADM-243372"/>
    <d v="2025-03-08T00:00:00"/>
    <d v="2025-03-14T00:00:00"/>
    <x v="1"/>
    <s v="Q1"/>
    <x v="2"/>
    <x v="5"/>
    <x v="1"/>
    <x v="0"/>
    <x v="0"/>
    <x v="4"/>
    <x v="0"/>
    <n v="6"/>
    <n v="45"/>
    <n v="8056"/>
    <n v="0"/>
    <n v="4"/>
    <s v="Recovered"/>
    <n v="1"/>
  </r>
  <r>
    <s v="ADM-243373"/>
    <d v="2025-03-09T00:00:00"/>
    <d v="2025-03-15T00:00:00"/>
    <x v="1"/>
    <s v="Q1"/>
    <x v="2"/>
    <x v="6"/>
    <x v="4"/>
    <x v="0"/>
    <x v="1"/>
    <x v="1"/>
    <x v="0"/>
    <n v="6"/>
    <n v="41"/>
    <n v="7068"/>
    <n v="0"/>
    <n v="5"/>
    <s v="Recovered"/>
    <n v="1"/>
  </r>
  <r>
    <s v="ADM-243374"/>
    <d v="2025-03-09T00:00:00"/>
    <d v="2025-03-14T00:00:00"/>
    <x v="1"/>
    <s v="Q1"/>
    <x v="2"/>
    <x v="6"/>
    <x v="0"/>
    <x v="0"/>
    <x v="0"/>
    <x v="4"/>
    <x v="2"/>
    <n v="5"/>
    <n v="47"/>
    <n v="3475"/>
    <n v="0"/>
    <n v="3"/>
    <s v="Improved"/>
    <n v="1"/>
  </r>
  <r>
    <s v="ADM-243375"/>
    <d v="2025-03-09T00:00:00"/>
    <d v="2025-03-10T00:00:00"/>
    <x v="1"/>
    <s v="Q1"/>
    <x v="2"/>
    <x v="6"/>
    <x v="2"/>
    <x v="2"/>
    <x v="0"/>
    <x v="2"/>
    <x v="0"/>
    <n v="1"/>
    <m/>
    <n v="1598"/>
    <n v="0"/>
    <n v="5"/>
    <s v="Improved"/>
    <n v="1"/>
  </r>
  <r>
    <s v="ADM-243376"/>
    <d v="2025-03-09T00:00:00"/>
    <d v="2025-03-10T00:00:00"/>
    <x v="1"/>
    <s v="Q1"/>
    <x v="2"/>
    <x v="6"/>
    <x v="3"/>
    <x v="2"/>
    <x v="0"/>
    <x v="3"/>
    <x v="1"/>
    <n v="1"/>
    <m/>
    <n v="1597"/>
    <n v="0"/>
    <n v="4"/>
    <s v="Recovered"/>
    <n v="1"/>
  </r>
  <r>
    <s v="ADM-243377"/>
    <d v="2025-03-10T00:00:00"/>
    <d v="2025-03-16T00:00:00"/>
    <x v="1"/>
    <s v="Q1"/>
    <x v="2"/>
    <x v="0"/>
    <x v="0"/>
    <x v="1"/>
    <x v="1"/>
    <x v="0"/>
    <x v="0"/>
    <n v="6"/>
    <m/>
    <n v="4381"/>
    <n v="1"/>
    <n v="4"/>
    <s v="Recovered"/>
    <n v="1"/>
  </r>
  <r>
    <s v="ADM-243378"/>
    <d v="2025-03-10T00:00:00"/>
    <d v="2025-03-14T00:00:00"/>
    <x v="1"/>
    <s v="Q1"/>
    <x v="2"/>
    <x v="0"/>
    <x v="4"/>
    <x v="0"/>
    <x v="0"/>
    <x v="0"/>
    <x v="2"/>
    <n v="4"/>
    <n v="21"/>
    <n v="4923"/>
    <n v="0"/>
    <n v="4"/>
    <s v="Improved"/>
    <n v="1"/>
  </r>
  <r>
    <s v="ADM-243379"/>
    <d v="2025-03-10T00:00:00"/>
    <d v="2025-03-13T00:00:00"/>
    <x v="1"/>
    <s v="Q1"/>
    <x v="2"/>
    <x v="0"/>
    <x v="5"/>
    <x v="2"/>
    <x v="1"/>
    <x v="0"/>
    <x v="2"/>
    <n v="3"/>
    <m/>
    <n v="4327"/>
    <n v="0"/>
    <n v="4"/>
    <s v="Recovered"/>
    <n v="1"/>
  </r>
  <r>
    <s v="ADM-243380"/>
    <d v="2025-03-10T00:00:00"/>
    <d v="2025-03-11T00:00:00"/>
    <x v="1"/>
    <s v="Q1"/>
    <x v="2"/>
    <x v="0"/>
    <x v="5"/>
    <x v="2"/>
    <x v="1"/>
    <x v="1"/>
    <x v="2"/>
    <n v="1"/>
    <m/>
    <n v="2204"/>
    <n v="0"/>
    <n v="5"/>
    <s v="Recovered"/>
    <n v="1"/>
  </r>
  <r>
    <s v="ADM-243381"/>
    <d v="2025-03-10T00:00:00"/>
    <d v="2025-03-13T00:00:00"/>
    <x v="1"/>
    <s v="Q1"/>
    <x v="2"/>
    <x v="0"/>
    <x v="2"/>
    <x v="0"/>
    <x v="0"/>
    <x v="1"/>
    <x v="2"/>
    <n v="3"/>
    <n v="54"/>
    <n v="2353"/>
    <n v="0"/>
    <n v="4"/>
    <s v="Improved"/>
    <n v="1"/>
  </r>
  <r>
    <s v="ADM-243382"/>
    <d v="2025-03-10T00:00:00"/>
    <d v="2025-03-22T00:00:00"/>
    <x v="1"/>
    <s v="Q1"/>
    <x v="2"/>
    <x v="0"/>
    <x v="1"/>
    <x v="0"/>
    <x v="1"/>
    <x v="0"/>
    <x v="1"/>
    <n v="12"/>
    <n v="35"/>
    <n v="13855"/>
    <n v="0"/>
    <n v="5"/>
    <s v="Recovered"/>
    <n v="1"/>
  </r>
  <r>
    <s v="ADM-243383"/>
    <d v="2025-03-11T00:00:00"/>
    <d v="2025-03-16T00:00:00"/>
    <x v="1"/>
    <s v="Q1"/>
    <x v="2"/>
    <x v="1"/>
    <x v="0"/>
    <x v="0"/>
    <x v="1"/>
    <x v="2"/>
    <x v="0"/>
    <n v="5"/>
    <n v="77"/>
    <n v="3132"/>
    <n v="0"/>
    <n v="4"/>
    <s v="Improved"/>
    <n v="1"/>
  </r>
  <r>
    <s v="ADM-243384"/>
    <d v="2025-03-11T00:00:00"/>
    <d v="2025-03-15T00:00:00"/>
    <x v="1"/>
    <s v="Q1"/>
    <x v="2"/>
    <x v="1"/>
    <x v="2"/>
    <x v="2"/>
    <x v="0"/>
    <x v="2"/>
    <x v="0"/>
    <n v="4"/>
    <m/>
    <n v="3811"/>
    <n v="1"/>
    <n v="5"/>
    <s v="Improved"/>
    <n v="1"/>
  </r>
  <r>
    <s v="ADM-243385"/>
    <d v="2025-03-11T00:00:00"/>
    <d v="2025-03-18T00:00:00"/>
    <x v="1"/>
    <s v="Q1"/>
    <x v="2"/>
    <x v="1"/>
    <x v="5"/>
    <x v="2"/>
    <x v="0"/>
    <x v="4"/>
    <x v="0"/>
    <n v="7"/>
    <m/>
    <n v="8252"/>
    <n v="0"/>
    <n v="5"/>
    <s v="Recovered"/>
    <n v="1"/>
  </r>
  <r>
    <s v="ADM-243386"/>
    <d v="2025-03-11T00:00:00"/>
    <d v="2025-03-16T00:00:00"/>
    <x v="1"/>
    <s v="Q1"/>
    <x v="2"/>
    <x v="1"/>
    <x v="1"/>
    <x v="0"/>
    <x v="1"/>
    <x v="1"/>
    <x v="0"/>
    <n v="5"/>
    <n v="34"/>
    <n v="8650"/>
    <n v="0"/>
    <n v="3"/>
    <s v="Improved"/>
    <n v="1"/>
  </r>
  <r>
    <s v="ADM-243387"/>
    <d v="2025-03-11T00:00:00"/>
    <d v="2025-03-18T00:00:00"/>
    <x v="1"/>
    <s v="Q1"/>
    <x v="2"/>
    <x v="1"/>
    <x v="0"/>
    <x v="0"/>
    <x v="0"/>
    <x v="4"/>
    <x v="1"/>
    <n v="7"/>
    <n v="17"/>
    <n v="6220"/>
    <n v="0"/>
    <n v="5"/>
    <s v="Recovered"/>
    <n v="1"/>
  </r>
  <r>
    <s v="ADM-243388"/>
    <d v="2025-03-11T00:00:00"/>
    <d v="2025-03-13T00:00:00"/>
    <x v="1"/>
    <s v="Q1"/>
    <x v="2"/>
    <x v="1"/>
    <x v="3"/>
    <x v="0"/>
    <x v="1"/>
    <x v="3"/>
    <x v="2"/>
    <n v="2"/>
    <n v="20"/>
    <n v="1690"/>
    <n v="0"/>
    <n v="5"/>
    <s v="Recovered"/>
    <n v="1"/>
  </r>
  <r>
    <s v="ADM-243389"/>
    <d v="2025-03-11T00:00:00"/>
    <d v="2025-03-14T00:00:00"/>
    <x v="1"/>
    <s v="Q1"/>
    <x v="2"/>
    <x v="1"/>
    <x v="4"/>
    <x v="2"/>
    <x v="0"/>
    <x v="4"/>
    <x v="0"/>
    <n v="3"/>
    <m/>
    <n v="5075"/>
    <n v="1"/>
    <n v="5"/>
    <s v="Improved"/>
    <n v="1"/>
  </r>
  <r>
    <s v="ADM-243390"/>
    <d v="2025-03-11T00:00:00"/>
    <d v="2025-03-13T00:00:00"/>
    <x v="1"/>
    <s v="Q1"/>
    <x v="2"/>
    <x v="1"/>
    <x v="3"/>
    <x v="0"/>
    <x v="0"/>
    <x v="3"/>
    <x v="0"/>
    <n v="2"/>
    <n v="26"/>
    <n v="2108"/>
    <n v="0"/>
    <n v="4"/>
    <s v="Recovered"/>
    <n v="1"/>
  </r>
  <r>
    <s v="ADM-243391"/>
    <d v="2025-03-12T00:00:00"/>
    <d v="2025-03-16T00:00:00"/>
    <x v="1"/>
    <s v="Q1"/>
    <x v="2"/>
    <x v="2"/>
    <x v="2"/>
    <x v="2"/>
    <x v="0"/>
    <x v="1"/>
    <x v="2"/>
    <n v="4"/>
    <m/>
    <n v="2910"/>
    <n v="0"/>
    <n v="4"/>
    <s v="Recovered"/>
    <n v="1"/>
  </r>
  <r>
    <s v="ADM-243392"/>
    <d v="2025-03-12T00:00:00"/>
    <d v="2025-03-13T00:00:00"/>
    <x v="1"/>
    <s v="Q1"/>
    <x v="2"/>
    <x v="2"/>
    <x v="5"/>
    <x v="2"/>
    <x v="1"/>
    <x v="0"/>
    <x v="0"/>
    <n v="1"/>
    <m/>
    <n v="1878"/>
    <n v="1"/>
    <n v="5"/>
    <s v="Recovered"/>
    <n v="1"/>
  </r>
  <r>
    <s v="ADM-243393"/>
    <d v="2025-03-12T00:00:00"/>
    <d v="2025-03-24T00:00:00"/>
    <x v="1"/>
    <s v="Q1"/>
    <x v="2"/>
    <x v="2"/>
    <x v="1"/>
    <x v="2"/>
    <x v="0"/>
    <x v="0"/>
    <x v="2"/>
    <n v="12"/>
    <m/>
    <n v="10485"/>
    <n v="0"/>
    <n v="4"/>
    <s v="Deceased"/>
    <n v="1"/>
  </r>
  <r>
    <s v="ADM-243394"/>
    <d v="2025-03-12T00:00:00"/>
    <d v="2025-03-13T00:00:00"/>
    <x v="1"/>
    <s v="Q1"/>
    <x v="2"/>
    <x v="2"/>
    <x v="0"/>
    <x v="2"/>
    <x v="1"/>
    <x v="4"/>
    <x v="2"/>
    <n v="1"/>
    <m/>
    <n v="1610"/>
    <n v="0"/>
    <n v="3"/>
    <s v="Recovered"/>
    <n v="1"/>
  </r>
  <r>
    <s v="ADM-243395"/>
    <d v="2025-03-12T00:00:00"/>
    <d v="2025-03-14T00:00:00"/>
    <x v="1"/>
    <s v="Q1"/>
    <x v="2"/>
    <x v="2"/>
    <x v="0"/>
    <x v="0"/>
    <x v="0"/>
    <x v="0"/>
    <x v="0"/>
    <n v="2"/>
    <n v="14"/>
    <n v="1835"/>
    <n v="0"/>
    <n v="2"/>
    <s v="Improved"/>
    <n v="1"/>
  </r>
  <r>
    <s v="ADM-243396"/>
    <d v="2025-03-12T00:00:00"/>
    <d v="2025-03-15T00:00:00"/>
    <x v="1"/>
    <s v="Q1"/>
    <x v="2"/>
    <x v="2"/>
    <x v="1"/>
    <x v="2"/>
    <x v="1"/>
    <x v="4"/>
    <x v="2"/>
    <n v="3"/>
    <m/>
    <n v="3606"/>
    <n v="0"/>
    <n v="3"/>
    <s v="Improved"/>
    <n v="1"/>
  </r>
  <r>
    <s v="ADM-243397"/>
    <d v="2025-03-13T00:00:00"/>
    <d v="2025-03-18T00:00:00"/>
    <x v="1"/>
    <s v="Q1"/>
    <x v="2"/>
    <x v="3"/>
    <x v="0"/>
    <x v="1"/>
    <x v="0"/>
    <x v="1"/>
    <x v="1"/>
    <n v="5"/>
    <m/>
    <n v="2655"/>
    <n v="0"/>
    <n v="5"/>
    <s v="Recovered"/>
    <n v="1"/>
  </r>
  <r>
    <s v="ADM-243398"/>
    <d v="2025-03-13T00:00:00"/>
    <d v="2025-03-18T00:00:00"/>
    <x v="1"/>
    <s v="Q1"/>
    <x v="2"/>
    <x v="3"/>
    <x v="5"/>
    <x v="2"/>
    <x v="0"/>
    <x v="2"/>
    <x v="2"/>
    <n v="5"/>
    <m/>
    <n v="7374"/>
    <n v="0"/>
    <n v="4"/>
    <s v="Recovered"/>
    <n v="1"/>
  </r>
  <r>
    <s v="ADM-243399"/>
    <d v="2025-03-13T00:00:00"/>
    <d v="2025-03-15T00:00:00"/>
    <x v="1"/>
    <s v="Q1"/>
    <x v="2"/>
    <x v="3"/>
    <x v="5"/>
    <x v="2"/>
    <x v="1"/>
    <x v="0"/>
    <x v="1"/>
    <n v="2"/>
    <m/>
    <n v="2145"/>
    <n v="0"/>
    <n v="5"/>
    <s v="Recovered"/>
    <n v="1"/>
  </r>
  <r>
    <s v="ADM-243400"/>
    <d v="2025-03-13T00:00:00"/>
    <d v="2025-03-16T00:00:00"/>
    <x v="1"/>
    <s v="Q1"/>
    <x v="2"/>
    <x v="3"/>
    <x v="1"/>
    <x v="2"/>
    <x v="0"/>
    <x v="0"/>
    <x v="2"/>
    <n v="3"/>
    <m/>
    <n v="4060"/>
    <n v="0"/>
    <n v="5"/>
    <s v="Recovered"/>
    <n v="1"/>
  </r>
  <r>
    <s v="ADM-243401"/>
    <d v="2025-03-13T00:00:00"/>
    <d v="2025-03-15T00:00:00"/>
    <x v="1"/>
    <s v="Q1"/>
    <x v="2"/>
    <x v="3"/>
    <x v="2"/>
    <x v="0"/>
    <x v="0"/>
    <x v="1"/>
    <x v="0"/>
    <n v="2"/>
    <n v="16"/>
    <n v="2172"/>
    <n v="0"/>
    <n v="4"/>
    <s v="Improved"/>
    <n v="1"/>
  </r>
  <r>
    <s v="ADM-243402"/>
    <d v="2025-03-13T00:00:00"/>
    <d v="2025-03-18T00:00:00"/>
    <x v="1"/>
    <s v="Q1"/>
    <x v="2"/>
    <x v="3"/>
    <x v="1"/>
    <x v="2"/>
    <x v="0"/>
    <x v="4"/>
    <x v="0"/>
    <n v="5"/>
    <m/>
    <n v="6495"/>
    <n v="0"/>
    <n v="5"/>
    <s v="Improved"/>
    <n v="1"/>
  </r>
  <r>
    <s v="ADM-243403"/>
    <d v="2025-03-13T00:00:00"/>
    <d v="2025-03-18T00:00:00"/>
    <x v="1"/>
    <s v="Q1"/>
    <x v="2"/>
    <x v="3"/>
    <x v="0"/>
    <x v="2"/>
    <x v="1"/>
    <x v="4"/>
    <x v="0"/>
    <n v="5"/>
    <m/>
    <n v="4936"/>
    <n v="0"/>
    <n v="4"/>
    <s v="Improved"/>
    <n v="1"/>
  </r>
  <r>
    <s v="ADM-243404"/>
    <d v="2025-03-13T00:00:00"/>
    <d v="2025-03-14T00:00:00"/>
    <x v="1"/>
    <s v="Q1"/>
    <x v="2"/>
    <x v="3"/>
    <x v="1"/>
    <x v="2"/>
    <x v="1"/>
    <x v="0"/>
    <x v="0"/>
    <n v="1"/>
    <m/>
    <n v="1128"/>
    <n v="0"/>
    <n v="4"/>
    <s v="Recovered"/>
    <n v="1"/>
  </r>
  <r>
    <s v="ADM-243405"/>
    <d v="2025-03-13T00:00:00"/>
    <d v="2025-03-17T00:00:00"/>
    <x v="1"/>
    <s v="Q1"/>
    <x v="2"/>
    <x v="3"/>
    <x v="0"/>
    <x v="0"/>
    <x v="0"/>
    <x v="4"/>
    <x v="0"/>
    <n v="4"/>
    <n v="48"/>
    <n v="4447"/>
    <n v="0"/>
    <n v="4"/>
    <s v="Improved"/>
    <n v="1"/>
  </r>
  <r>
    <s v="ADM-243406"/>
    <d v="2025-03-14T00:00:00"/>
    <d v="2025-03-17T00:00:00"/>
    <x v="1"/>
    <s v="Q1"/>
    <x v="2"/>
    <x v="4"/>
    <x v="1"/>
    <x v="2"/>
    <x v="1"/>
    <x v="0"/>
    <x v="0"/>
    <n v="3"/>
    <m/>
    <n v="3306"/>
    <n v="0"/>
    <n v="5"/>
    <s v="Recovered"/>
    <n v="1"/>
  </r>
  <r>
    <s v="ADM-243407"/>
    <d v="2025-03-14T00:00:00"/>
    <d v="2025-03-18T00:00:00"/>
    <x v="1"/>
    <s v="Q1"/>
    <x v="2"/>
    <x v="4"/>
    <x v="0"/>
    <x v="0"/>
    <x v="1"/>
    <x v="1"/>
    <x v="0"/>
    <n v="4"/>
    <n v="133"/>
    <n v="3628"/>
    <n v="0"/>
    <n v="4"/>
    <s v="Recovered"/>
    <n v="1"/>
  </r>
  <r>
    <s v="ADM-243408"/>
    <d v="2025-03-14T00:00:00"/>
    <d v="2025-03-22T00:00:00"/>
    <x v="1"/>
    <s v="Q1"/>
    <x v="2"/>
    <x v="4"/>
    <x v="1"/>
    <x v="0"/>
    <x v="0"/>
    <x v="0"/>
    <x v="0"/>
    <n v="8"/>
    <n v="47"/>
    <n v="7306"/>
    <n v="0"/>
    <n v="4"/>
    <s v="Recovered"/>
    <n v="1"/>
  </r>
  <r>
    <s v="ADM-243409"/>
    <d v="2025-03-14T00:00:00"/>
    <d v="2025-03-15T00:00:00"/>
    <x v="1"/>
    <s v="Q1"/>
    <x v="2"/>
    <x v="4"/>
    <x v="1"/>
    <x v="2"/>
    <x v="0"/>
    <x v="2"/>
    <x v="2"/>
    <n v="1"/>
    <m/>
    <n v="1983"/>
    <n v="1"/>
    <n v="3"/>
    <s v="Recovered"/>
    <n v="1"/>
  </r>
  <r>
    <s v="ADM-243410"/>
    <d v="2025-03-14T00:00:00"/>
    <d v="2025-03-16T00:00:00"/>
    <x v="1"/>
    <s v="Q1"/>
    <x v="2"/>
    <x v="4"/>
    <x v="0"/>
    <x v="0"/>
    <x v="0"/>
    <x v="1"/>
    <x v="0"/>
    <n v="2"/>
    <n v="46"/>
    <n v="1754"/>
    <n v="0"/>
    <n v="5"/>
    <s v="Recovered"/>
    <n v="1"/>
  </r>
  <r>
    <s v="ADM-243411"/>
    <d v="2025-03-14T00:00:00"/>
    <d v="2025-03-18T00:00:00"/>
    <x v="1"/>
    <s v="Q1"/>
    <x v="2"/>
    <x v="4"/>
    <x v="0"/>
    <x v="2"/>
    <x v="1"/>
    <x v="2"/>
    <x v="1"/>
    <n v="4"/>
    <m/>
    <n v="3608"/>
    <n v="0"/>
    <n v="3"/>
    <s v="Improved"/>
    <n v="1"/>
  </r>
  <r>
    <s v="ADM-243412"/>
    <d v="2025-03-14T00:00:00"/>
    <d v="2025-03-18T00:00:00"/>
    <x v="1"/>
    <s v="Q1"/>
    <x v="2"/>
    <x v="4"/>
    <x v="1"/>
    <x v="0"/>
    <x v="1"/>
    <x v="4"/>
    <x v="0"/>
    <n v="4"/>
    <n v="93"/>
    <n v="3931"/>
    <n v="0"/>
    <n v="2"/>
    <s v="Recovered"/>
    <n v="1"/>
  </r>
  <r>
    <s v="ADM-243413"/>
    <d v="2025-03-14T00:00:00"/>
    <d v="2025-03-16T00:00:00"/>
    <x v="1"/>
    <s v="Q1"/>
    <x v="2"/>
    <x v="4"/>
    <x v="3"/>
    <x v="0"/>
    <x v="1"/>
    <x v="3"/>
    <x v="0"/>
    <n v="2"/>
    <n v="54"/>
    <n v="2088"/>
    <n v="0"/>
    <n v="5"/>
    <s v="Transferred"/>
    <n v="1"/>
  </r>
  <r>
    <s v="ADM-243414"/>
    <d v="2025-03-14T00:00:00"/>
    <d v="2025-03-17T00:00:00"/>
    <x v="1"/>
    <s v="Q1"/>
    <x v="2"/>
    <x v="4"/>
    <x v="3"/>
    <x v="0"/>
    <x v="1"/>
    <x v="3"/>
    <x v="0"/>
    <n v="3"/>
    <n v="65"/>
    <n v="2318"/>
    <n v="0"/>
    <n v="4"/>
    <s v="Recovered"/>
    <n v="1"/>
  </r>
  <r>
    <s v="ADM-243415"/>
    <d v="2025-03-14T00:00:00"/>
    <d v="2025-03-15T00:00:00"/>
    <x v="1"/>
    <s v="Q1"/>
    <x v="2"/>
    <x v="4"/>
    <x v="0"/>
    <x v="1"/>
    <x v="1"/>
    <x v="4"/>
    <x v="0"/>
    <n v="1"/>
    <m/>
    <n v="1237"/>
    <n v="0"/>
    <n v="4"/>
    <s v="Recovered"/>
    <n v="1"/>
  </r>
  <r>
    <s v="ADM-243416"/>
    <d v="2025-03-15T00:00:00"/>
    <d v="2025-03-20T00:00:00"/>
    <x v="1"/>
    <s v="Q1"/>
    <x v="2"/>
    <x v="5"/>
    <x v="4"/>
    <x v="0"/>
    <x v="1"/>
    <x v="4"/>
    <x v="1"/>
    <n v="5"/>
    <n v="146"/>
    <n v="7121"/>
    <n v="0"/>
    <n v="3"/>
    <s v="Improved"/>
    <n v="1"/>
  </r>
  <r>
    <s v="ADM-243417"/>
    <d v="2025-03-15T00:00:00"/>
    <d v="2025-03-18T00:00:00"/>
    <x v="1"/>
    <s v="Q1"/>
    <x v="2"/>
    <x v="5"/>
    <x v="3"/>
    <x v="2"/>
    <x v="0"/>
    <x v="3"/>
    <x v="0"/>
    <n v="3"/>
    <m/>
    <n v="2666"/>
    <n v="0"/>
    <n v="4"/>
    <s v="Recovered"/>
    <n v="1"/>
  </r>
  <r>
    <s v="ADM-243418"/>
    <d v="2025-03-15T00:00:00"/>
    <d v="2025-03-16T00:00:00"/>
    <x v="1"/>
    <s v="Q1"/>
    <x v="2"/>
    <x v="5"/>
    <x v="3"/>
    <x v="0"/>
    <x v="1"/>
    <x v="3"/>
    <x v="2"/>
    <n v="1"/>
    <n v="18"/>
    <n v="1484"/>
    <n v="0"/>
    <n v="5"/>
    <s v="Recovered"/>
    <n v="1"/>
  </r>
  <r>
    <s v="ADM-243419"/>
    <d v="2025-03-15T00:00:00"/>
    <d v="2025-03-18T00:00:00"/>
    <x v="1"/>
    <s v="Q1"/>
    <x v="2"/>
    <x v="5"/>
    <x v="2"/>
    <x v="0"/>
    <x v="0"/>
    <x v="2"/>
    <x v="2"/>
    <n v="3"/>
    <n v="67"/>
    <n v="2901"/>
    <n v="0"/>
    <n v="5"/>
    <s v="Improved"/>
    <n v="1"/>
  </r>
  <r>
    <s v="ADM-243420"/>
    <d v="2025-03-15T00:00:00"/>
    <d v="2025-03-18T00:00:00"/>
    <x v="1"/>
    <s v="Q1"/>
    <x v="2"/>
    <x v="5"/>
    <x v="2"/>
    <x v="1"/>
    <x v="0"/>
    <x v="1"/>
    <x v="0"/>
    <n v="3"/>
    <m/>
    <n v="2385"/>
    <n v="0"/>
    <n v="4"/>
    <s v="Improved"/>
    <n v="1"/>
  </r>
  <r>
    <s v="ADM-243421"/>
    <d v="2025-03-15T00:00:00"/>
    <d v="2025-03-17T00:00:00"/>
    <x v="1"/>
    <s v="Q1"/>
    <x v="2"/>
    <x v="5"/>
    <x v="3"/>
    <x v="2"/>
    <x v="1"/>
    <x v="3"/>
    <x v="0"/>
    <n v="2"/>
    <m/>
    <n v="1731"/>
    <n v="0"/>
    <n v="4"/>
    <s v="Recovered"/>
    <n v="1"/>
  </r>
  <r>
    <s v="ADM-243422"/>
    <d v="2025-03-15T00:00:00"/>
    <d v="2025-03-24T00:00:00"/>
    <x v="1"/>
    <s v="Q1"/>
    <x v="2"/>
    <x v="5"/>
    <x v="0"/>
    <x v="2"/>
    <x v="0"/>
    <x v="1"/>
    <x v="1"/>
    <n v="9"/>
    <m/>
    <n v="7017"/>
    <n v="0"/>
    <n v="4"/>
    <s v="Improved"/>
    <n v="1"/>
  </r>
  <r>
    <s v="ADM-243423"/>
    <d v="2025-03-15T00:00:00"/>
    <d v="2025-03-18T00:00:00"/>
    <x v="1"/>
    <s v="Q1"/>
    <x v="2"/>
    <x v="5"/>
    <x v="0"/>
    <x v="0"/>
    <x v="1"/>
    <x v="4"/>
    <x v="0"/>
    <n v="3"/>
    <n v="32"/>
    <n v="3117"/>
    <n v="1"/>
    <n v="4"/>
    <s v="Recovered"/>
    <n v="1"/>
  </r>
  <r>
    <s v="ADM-243424"/>
    <d v="2025-03-15T00:00:00"/>
    <d v="2025-03-16T00:00:00"/>
    <x v="1"/>
    <s v="Q1"/>
    <x v="2"/>
    <x v="5"/>
    <x v="2"/>
    <x v="0"/>
    <x v="0"/>
    <x v="2"/>
    <x v="2"/>
    <n v="1"/>
    <n v="129"/>
    <n v="1572"/>
    <n v="0"/>
    <n v="3"/>
    <s v="Recovered"/>
    <n v="1"/>
  </r>
  <r>
    <s v="ADM-243425"/>
    <d v="2025-03-15T00:00:00"/>
    <d v="2025-03-21T00:00:00"/>
    <x v="1"/>
    <s v="Q1"/>
    <x v="2"/>
    <x v="5"/>
    <x v="0"/>
    <x v="2"/>
    <x v="1"/>
    <x v="0"/>
    <x v="2"/>
    <n v="6"/>
    <m/>
    <n v="5310"/>
    <n v="0"/>
    <n v="5"/>
    <s v="Recovered"/>
    <n v="1"/>
  </r>
  <r>
    <s v="ADM-243426"/>
    <d v="2025-03-15T00:00:00"/>
    <d v="2025-03-25T00:00:00"/>
    <x v="1"/>
    <s v="Q1"/>
    <x v="2"/>
    <x v="5"/>
    <x v="4"/>
    <x v="0"/>
    <x v="0"/>
    <x v="2"/>
    <x v="0"/>
    <n v="10"/>
    <n v="18"/>
    <n v="10890"/>
    <n v="0"/>
    <n v="4"/>
    <s v="Improved"/>
    <n v="1"/>
  </r>
  <r>
    <s v="ADM-243427"/>
    <d v="2025-03-16T00:00:00"/>
    <d v="2025-03-19T00:00:00"/>
    <x v="1"/>
    <s v="Q1"/>
    <x v="2"/>
    <x v="6"/>
    <x v="4"/>
    <x v="0"/>
    <x v="1"/>
    <x v="1"/>
    <x v="2"/>
    <n v="3"/>
    <n v="30"/>
    <n v="2857"/>
    <n v="1"/>
    <n v="4"/>
    <s v="Recovered"/>
    <n v="1"/>
  </r>
  <r>
    <s v="ADM-243428"/>
    <d v="2025-03-16T00:00:00"/>
    <d v="2025-03-17T00:00:00"/>
    <x v="1"/>
    <s v="Q1"/>
    <x v="2"/>
    <x v="6"/>
    <x v="5"/>
    <x v="2"/>
    <x v="0"/>
    <x v="0"/>
    <x v="0"/>
    <n v="1"/>
    <m/>
    <n v="1782"/>
    <n v="0"/>
    <n v="5"/>
    <s v="Recovered"/>
    <n v="1"/>
  </r>
  <r>
    <s v="ADM-243429"/>
    <d v="2025-03-16T00:00:00"/>
    <d v="2025-03-17T00:00:00"/>
    <x v="1"/>
    <s v="Q1"/>
    <x v="2"/>
    <x v="6"/>
    <x v="0"/>
    <x v="2"/>
    <x v="0"/>
    <x v="4"/>
    <x v="0"/>
    <n v="1"/>
    <m/>
    <n v="1622"/>
    <n v="0"/>
    <n v="4"/>
    <s v="Recovered"/>
    <n v="1"/>
  </r>
  <r>
    <s v="ADM-243430"/>
    <d v="2025-03-16T00:00:00"/>
    <d v="2025-03-18T00:00:00"/>
    <x v="1"/>
    <s v="Q1"/>
    <x v="2"/>
    <x v="6"/>
    <x v="4"/>
    <x v="0"/>
    <x v="1"/>
    <x v="2"/>
    <x v="0"/>
    <n v="2"/>
    <n v="47"/>
    <n v="4025"/>
    <n v="0"/>
    <n v="3"/>
    <s v="Recovered"/>
    <n v="1"/>
  </r>
  <r>
    <s v="ADM-243431"/>
    <d v="2025-03-16T00:00:00"/>
    <d v="2025-03-20T00:00:00"/>
    <x v="1"/>
    <s v="Q1"/>
    <x v="2"/>
    <x v="6"/>
    <x v="0"/>
    <x v="0"/>
    <x v="0"/>
    <x v="1"/>
    <x v="0"/>
    <n v="4"/>
    <n v="50"/>
    <n v="3250"/>
    <n v="0"/>
    <n v="4"/>
    <s v="Improved"/>
    <n v="1"/>
  </r>
  <r>
    <s v="ADM-243432"/>
    <d v="2025-03-16T00:00:00"/>
    <d v="2025-03-17T00:00:00"/>
    <x v="1"/>
    <s v="Q1"/>
    <x v="2"/>
    <x v="6"/>
    <x v="2"/>
    <x v="0"/>
    <x v="0"/>
    <x v="2"/>
    <x v="2"/>
    <n v="1"/>
    <n v="61"/>
    <n v="1367"/>
    <n v="0"/>
    <n v="5"/>
    <s v="Improved"/>
    <n v="1"/>
  </r>
  <r>
    <s v="ADM-243433"/>
    <d v="2025-03-16T00:00:00"/>
    <d v="2025-03-18T00:00:00"/>
    <x v="1"/>
    <s v="Q1"/>
    <x v="2"/>
    <x v="6"/>
    <x v="3"/>
    <x v="0"/>
    <x v="1"/>
    <x v="3"/>
    <x v="2"/>
    <n v="2"/>
    <n v="29"/>
    <n v="2882"/>
    <n v="0"/>
    <n v="4"/>
    <s v="Improved"/>
    <n v="1"/>
  </r>
  <r>
    <s v="ADM-243434"/>
    <d v="2025-03-16T00:00:00"/>
    <d v="2025-03-20T00:00:00"/>
    <x v="1"/>
    <s v="Q1"/>
    <x v="2"/>
    <x v="6"/>
    <x v="5"/>
    <x v="2"/>
    <x v="0"/>
    <x v="0"/>
    <x v="0"/>
    <n v="4"/>
    <m/>
    <n v="4259"/>
    <n v="0"/>
    <n v="4"/>
    <s v="Improved"/>
    <n v="1"/>
  </r>
  <r>
    <s v="ADM-243435"/>
    <d v="2025-03-16T00:00:00"/>
    <d v="2025-03-17T00:00:00"/>
    <x v="1"/>
    <s v="Q1"/>
    <x v="2"/>
    <x v="6"/>
    <x v="2"/>
    <x v="2"/>
    <x v="0"/>
    <x v="2"/>
    <x v="0"/>
    <n v="1"/>
    <m/>
    <n v="1572"/>
    <n v="0"/>
    <n v="3"/>
    <s v="Recovered"/>
    <n v="1"/>
  </r>
  <r>
    <s v="ADM-243436"/>
    <d v="2025-03-16T00:00:00"/>
    <d v="2025-03-22T00:00:00"/>
    <x v="1"/>
    <s v="Q1"/>
    <x v="2"/>
    <x v="6"/>
    <x v="4"/>
    <x v="2"/>
    <x v="1"/>
    <x v="1"/>
    <x v="2"/>
    <n v="6"/>
    <m/>
    <n v="8996"/>
    <n v="0"/>
    <n v="5"/>
    <s v="Transferred"/>
    <n v="1"/>
  </r>
  <r>
    <s v="ADM-243437"/>
    <d v="2025-03-17T00:00:00"/>
    <d v="2025-03-25T00:00:00"/>
    <x v="1"/>
    <s v="Q1"/>
    <x v="2"/>
    <x v="0"/>
    <x v="3"/>
    <x v="0"/>
    <x v="0"/>
    <x v="3"/>
    <x v="2"/>
    <n v="8"/>
    <n v="41"/>
    <n v="4552"/>
    <n v="0"/>
    <n v="4"/>
    <s v="Recovered"/>
    <n v="1"/>
  </r>
  <r>
    <s v="ADM-243438"/>
    <d v="2025-03-17T00:00:00"/>
    <d v="2025-03-19T00:00:00"/>
    <x v="1"/>
    <s v="Q1"/>
    <x v="2"/>
    <x v="0"/>
    <x v="2"/>
    <x v="2"/>
    <x v="0"/>
    <x v="2"/>
    <x v="0"/>
    <n v="2"/>
    <m/>
    <n v="1932"/>
    <n v="0"/>
    <n v="3"/>
    <s v="Improved"/>
    <n v="1"/>
  </r>
  <r>
    <s v="ADM-243439"/>
    <d v="2025-03-17T00:00:00"/>
    <d v="2025-03-22T00:00:00"/>
    <x v="1"/>
    <s v="Q1"/>
    <x v="2"/>
    <x v="0"/>
    <x v="4"/>
    <x v="0"/>
    <x v="1"/>
    <x v="4"/>
    <x v="2"/>
    <n v="5"/>
    <n v="35"/>
    <n v="6909"/>
    <n v="0"/>
    <n v="4"/>
    <s v="Improved"/>
    <n v="1"/>
  </r>
  <r>
    <s v="ADM-243440"/>
    <d v="2025-03-17T00:00:00"/>
    <d v="2025-03-22T00:00:00"/>
    <x v="1"/>
    <s v="Q1"/>
    <x v="2"/>
    <x v="0"/>
    <x v="4"/>
    <x v="0"/>
    <x v="0"/>
    <x v="4"/>
    <x v="2"/>
    <n v="5"/>
    <n v="44"/>
    <n v="4986"/>
    <n v="0"/>
    <n v="3"/>
    <s v="Recovered"/>
    <n v="1"/>
  </r>
  <r>
    <s v="ADM-243441"/>
    <d v="2025-03-18T00:00:00"/>
    <d v="2025-03-21T00:00:00"/>
    <x v="1"/>
    <s v="Q1"/>
    <x v="2"/>
    <x v="1"/>
    <x v="4"/>
    <x v="0"/>
    <x v="0"/>
    <x v="0"/>
    <x v="2"/>
    <n v="3"/>
    <n v="62"/>
    <n v="3211"/>
    <n v="1"/>
    <n v="4"/>
    <s v="Recovered"/>
    <n v="1"/>
  </r>
  <r>
    <s v="ADM-243442"/>
    <d v="2025-03-18T00:00:00"/>
    <d v="2025-03-19T00:00:00"/>
    <x v="1"/>
    <s v="Q1"/>
    <x v="2"/>
    <x v="1"/>
    <x v="1"/>
    <x v="0"/>
    <x v="1"/>
    <x v="4"/>
    <x v="2"/>
    <n v="1"/>
    <n v="57"/>
    <n v="1831"/>
    <n v="0"/>
    <n v="5"/>
    <s v="Improved"/>
    <n v="1"/>
  </r>
  <r>
    <s v="ADM-243443"/>
    <d v="2025-03-18T00:00:00"/>
    <d v="2025-03-20T00:00:00"/>
    <x v="1"/>
    <s v="Q1"/>
    <x v="2"/>
    <x v="1"/>
    <x v="2"/>
    <x v="0"/>
    <x v="0"/>
    <x v="1"/>
    <x v="0"/>
    <n v="2"/>
    <n v="44"/>
    <n v="2429"/>
    <n v="0"/>
    <n v="4"/>
    <s v="Improved"/>
    <n v="1"/>
  </r>
  <r>
    <s v="ADM-243444"/>
    <d v="2025-03-18T00:00:00"/>
    <d v="2025-03-25T00:00:00"/>
    <x v="1"/>
    <s v="Q1"/>
    <x v="2"/>
    <x v="1"/>
    <x v="5"/>
    <x v="0"/>
    <x v="0"/>
    <x v="0"/>
    <x v="0"/>
    <n v="7"/>
    <n v="50"/>
    <n v="8633"/>
    <n v="0"/>
    <n v="5"/>
    <s v="Recovered"/>
    <n v="1"/>
  </r>
  <r>
    <s v="ADM-243445"/>
    <d v="2025-03-18T00:00:00"/>
    <d v="2025-03-25T00:00:00"/>
    <x v="1"/>
    <s v="Q1"/>
    <x v="2"/>
    <x v="1"/>
    <x v="4"/>
    <x v="0"/>
    <x v="1"/>
    <x v="4"/>
    <x v="0"/>
    <n v="7"/>
    <n v="58"/>
    <n v="9258"/>
    <n v="0"/>
    <n v="4"/>
    <s v="Recovered"/>
    <n v="1"/>
  </r>
  <r>
    <s v="ADM-243446"/>
    <d v="2025-03-18T00:00:00"/>
    <d v="2025-03-22T00:00:00"/>
    <x v="1"/>
    <s v="Q1"/>
    <x v="2"/>
    <x v="1"/>
    <x v="1"/>
    <x v="2"/>
    <x v="1"/>
    <x v="0"/>
    <x v="2"/>
    <n v="4"/>
    <m/>
    <n v="6093"/>
    <n v="0"/>
    <n v="4"/>
    <s v="Improved"/>
    <n v="1"/>
  </r>
  <r>
    <s v="ADM-243447"/>
    <d v="2025-03-18T00:00:00"/>
    <d v="2025-03-19T00:00:00"/>
    <x v="1"/>
    <s v="Q1"/>
    <x v="2"/>
    <x v="1"/>
    <x v="2"/>
    <x v="2"/>
    <x v="0"/>
    <x v="1"/>
    <x v="0"/>
    <n v="1"/>
    <m/>
    <n v="1798"/>
    <n v="0"/>
    <n v="3"/>
    <s v="Recovered"/>
    <n v="1"/>
  </r>
  <r>
    <s v="ADM-243448"/>
    <d v="2025-03-18T00:00:00"/>
    <d v="2025-03-19T00:00:00"/>
    <x v="1"/>
    <s v="Q1"/>
    <x v="2"/>
    <x v="1"/>
    <x v="2"/>
    <x v="0"/>
    <x v="0"/>
    <x v="2"/>
    <x v="2"/>
    <n v="1"/>
    <n v="11"/>
    <n v="1173"/>
    <n v="0"/>
    <n v="3"/>
    <s v="Recovered"/>
    <n v="1"/>
  </r>
  <r>
    <s v="ADM-243449"/>
    <d v="2025-03-18T00:00:00"/>
    <d v="2025-03-26T00:00:00"/>
    <x v="1"/>
    <s v="Q1"/>
    <x v="2"/>
    <x v="1"/>
    <x v="0"/>
    <x v="2"/>
    <x v="0"/>
    <x v="0"/>
    <x v="0"/>
    <n v="8"/>
    <m/>
    <n v="5842"/>
    <n v="0"/>
    <n v="4"/>
    <s v="Improved"/>
    <n v="1"/>
  </r>
  <r>
    <s v="ADM-243450"/>
    <d v="2025-03-18T00:00:00"/>
    <d v="2025-03-21T00:00:00"/>
    <x v="1"/>
    <s v="Q1"/>
    <x v="2"/>
    <x v="1"/>
    <x v="0"/>
    <x v="0"/>
    <x v="0"/>
    <x v="4"/>
    <x v="2"/>
    <n v="3"/>
    <n v="75"/>
    <n v="2006"/>
    <n v="1"/>
    <n v="3"/>
    <s v="Improved"/>
    <n v="1"/>
  </r>
  <r>
    <s v="ADM-243451"/>
    <d v="2025-03-18T00:00:00"/>
    <d v="2025-03-20T00:00:00"/>
    <x v="1"/>
    <s v="Q1"/>
    <x v="2"/>
    <x v="1"/>
    <x v="1"/>
    <x v="0"/>
    <x v="0"/>
    <x v="1"/>
    <x v="2"/>
    <n v="2"/>
    <n v="25"/>
    <n v="3182"/>
    <n v="0"/>
    <n v="5"/>
    <s v="Recovered"/>
    <n v="1"/>
  </r>
  <r>
    <s v="ADM-243452"/>
    <d v="2025-03-18T00:00:00"/>
    <d v="2025-03-19T00:00:00"/>
    <x v="1"/>
    <s v="Q1"/>
    <x v="2"/>
    <x v="1"/>
    <x v="3"/>
    <x v="0"/>
    <x v="0"/>
    <x v="3"/>
    <x v="1"/>
    <n v="1"/>
    <n v="78"/>
    <n v="1210"/>
    <n v="0"/>
    <n v="5"/>
    <s v="Recovered"/>
    <n v="1"/>
  </r>
  <r>
    <s v="ADM-243453"/>
    <d v="2025-03-19T00:00:00"/>
    <d v="2025-03-28T00:00:00"/>
    <x v="1"/>
    <s v="Q1"/>
    <x v="2"/>
    <x v="2"/>
    <x v="1"/>
    <x v="0"/>
    <x v="1"/>
    <x v="1"/>
    <x v="2"/>
    <n v="9"/>
    <n v="70"/>
    <n v="9220"/>
    <n v="0"/>
    <n v="5"/>
    <s v="Improved"/>
    <n v="1"/>
  </r>
  <r>
    <s v="ADM-243454"/>
    <d v="2025-03-19T00:00:00"/>
    <d v="2025-03-21T00:00:00"/>
    <x v="1"/>
    <s v="Q1"/>
    <x v="2"/>
    <x v="2"/>
    <x v="5"/>
    <x v="2"/>
    <x v="1"/>
    <x v="0"/>
    <x v="1"/>
    <n v="2"/>
    <m/>
    <n v="1790"/>
    <n v="0"/>
    <n v="5"/>
    <s v="Deceased"/>
    <n v="1"/>
  </r>
  <r>
    <s v="ADM-243455"/>
    <d v="2025-03-19T00:00:00"/>
    <d v="2025-03-20T00:00:00"/>
    <x v="1"/>
    <s v="Q1"/>
    <x v="2"/>
    <x v="2"/>
    <x v="2"/>
    <x v="0"/>
    <x v="0"/>
    <x v="1"/>
    <x v="1"/>
    <n v="1"/>
    <n v="37"/>
    <n v="1463"/>
    <n v="0"/>
    <n v="5"/>
    <s v="Improved"/>
    <n v="1"/>
  </r>
  <r>
    <s v="ADM-243456"/>
    <d v="2025-03-19T00:00:00"/>
    <d v="2025-03-24T00:00:00"/>
    <x v="1"/>
    <s v="Q1"/>
    <x v="2"/>
    <x v="2"/>
    <x v="2"/>
    <x v="0"/>
    <x v="0"/>
    <x v="2"/>
    <x v="1"/>
    <n v="5"/>
    <n v="20"/>
    <n v="4021"/>
    <n v="0"/>
    <n v="4"/>
    <s v="Recovered"/>
    <n v="1"/>
  </r>
  <r>
    <s v="ADM-243457"/>
    <d v="2025-03-19T00:00:00"/>
    <d v="2025-03-22T00:00:00"/>
    <x v="1"/>
    <s v="Q1"/>
    <x v="2"/>
    <x v="2"/>
    <x v="1"/>
    <x v="2"/>
    <x v="0"/>
    <x v="0"/>
    <x v="0"/>
    <n v="3"/>
    <m/>
    <n v="3636"/>
    <n v="0"/>
    <n v="5"/>
    <s v="Recovered"/>
    <n v="1"/>
  </r>
  <r>
    <s v="ADM-243458"/>
    <d v="2025-03-19T00:00:00"/>
    <d v="2025-03-21T00:00:00"/>
    <x v="1"/>
    <s v="Q1"/>
    <x v="2"/>
    <x v="2"/>
    <x v="1"/>
    <x v="1"/>
    <x v="0"/>
    <x v="4"/>
    <x v="2"/>
    <n v="2"/>
    <m/>
    <n v="2828"/>
    <n v="1"/>
    <n v="3"/>
    <s v="Recovered"/>
    <n v="1"/>
  </r>
  <r>
    <s v="ADM-243459"/>
    <d v="2025-03-19T00:00:00"/>
    <d v="2025-04-02T00:00:00"/>
    <x v="1"/>
    <s v="Q1"/>
    <x v="2"/>
    <x v="2"/>
    <x v="0"/>
    <x v="0"/>
    <x v="1"/>
    <x v="4"/>
    <x v="0"/>
    <n v="14"/>
    <n v="39"/>
    <n v="11391"/>
    <n v="0"/>
    <n v="4"/>
    <s v="Deceased"/>
    <n v="1"/>
  </r>
  <r>
    <s v="ADM-243460"/>
    <d v="2025-03-19T00:00:00"/>
    <d v="2025-03-21T00:00:00"/>
    <x v="1"/>
    <s v="Q1"/>
    <x v="2"/>
    <x v="2"/>
    <x v="1"/>
    <x v="2"/>
    <x v="1"/>
    <x v="0"/>
    <x v="0"/>
    <n v="2"/>
    <m/>
    <n v="2085"/>
    <n v="0"/>
    <n v="3"/>
    <s v="Improved"/>
    <n v="1"/>
  </r>
  <r>
    <s v="ADM-243461"/>
    <d v="2025-03-19T00:00:00"/>
    <d v="2025-03-29T00:00:00"/>
    <x v="1"/>
    <s v="Q1"/>
    <x v="2"/>
    <x v="2"/>
    <x v="1"/>
    <x v="0"/>
    <x v="1"/>
    <x v="0"/>
    <x v="2"/>
    <n v="10"/>
    <n v="59"/>
    <n v="14759"/>
    <n v="0"/>
    <n v="4"/>
    <s v="Recovered"/>
    <n v="1"/>
  </r>
  <r>
    <s v="ADM-243462"/>
    <d v="2025-03-19T00:00:00"/>
    <d v="2025-03-23T00:00:00"/>
    <x v="1"/>
    <s v="Q1"/>
    <x v="2"/>
    <x v="2"/>
    <x v="0"/>
    <x v="0"/>
    <x v="0"/>
    <x v="4"/>
    <x v="2"/>
    <n v="4"/>
    <n v="33"/>
    <n v="3079"/>
    <n v="0"/>
    <n v="3"/>
    <s v="Deceased"/>
    <n v="1"/>
  </r>
  <r>
    <s v="ADM-243463"/>
    <d v="2025-03-20T00:00:00"/>
    <d v="2025-03-21T00:00:00"/>
    <x v="1"/>
    <s v="Q1"/>
    <x v="2"/>
    <x v="3"/>
    <x v="2"/>
    <x v="0"/>
    <x v="0"/>
    <x v="1"/>
    <x v="2"/>
    <n v="1"/>
    <n v="17"/>
    <n v="1642"/>
    <n v="0"/>
    <n v="5"/>
    <s v="Recovered"/>
    <n v="1"/>
  </r>
  <r>
    <s v="ADM-243464"/>
    <d v="2025-03-20T00:00:00"/>
    <d v="2025-03-26T00:00:00"/>
    <x v="1"/>
    <s v="Q1"/>
    <x v="2"/>
    <x v="3"/>
    <x v="5"/>
    <x v="0"/>
    <x v="0"/>
    <x v="4"/>
    <x v="2"/>
    <n v="6"/>
    <n v="37"/>
    <n v="5137"/>
    <n v="0"/>
    <n v="3"/>
    <s v="Recovered"/>
    <n v="1"/>
  </r>
  <r>
    <s v="ADM-243465"/>
    <d v="2025-03-20T00:00:00"/>
    <d v="2025-04-01T00:00:00"/>
    <x v="1"/>
    <s v="Q1"/>
    <x v="2"/>
    <x v="3"/>
    <x v="0"/>
    <x v="0"/>
    <x v="0"/>
    <x v="4"/>
    <x v="0"/>
    <n v="12"/>
    <n v="13"/>
    <n v="9895"/>
    <n v="1"/>
    <n v="4"/>
    <s v="Improved"/>
    <n v="1"/>
  </r>
  <r>
    <s v="ADM-243466"/>
    <d v="2025-03-20T00:00:00"/>
    <d v="2025-03-24T00:00:00"/>
    <x v="1"/>
    <s v="Q1"/>
    <x v="2"/>
    <x v="3"/>
    <x v="5"/>
    <x v="2"/>
    <x v="0"/>
    <x v="0"/>
    <x v="1"/>
    <n v="4"/>
    <m/>
    <n v="5405"/>
    <n v="0"/>
    <n v="4"/>
    <s v="Improved"/>
    <n v="1"/>
  </r>
  <r>
    <s v="ADM-243467"/>
    <d v="2025-03-20T00:00:00"/>
    <d v="2025-03-26T00:00:00"/>
    <x v="1"/>
    <s v="Q1"/>
    <x v="2"/>
    <x v="3"/>
    <x v="5"/>
    <x v="2"/>
    <x v="1"/>
    <x v="0"/>
    <x v="0"/>
    <n v="6"/>
    <m/>
    <n v="5245"/>
    <n v="0"/>
    <n v="5"/>
    <s v="Improved"/>
    <n v="1"/>
  </r>
  <r>
    <s v="ADM-243468"/>
    <d v="2025-03-20T00:00:00"/>
    <d v="2025-03-25T00:00:00"/>
    <x v="1"/>
    <s v="Q1"/>
    <x v="2"/>
    <x v="3"/>
    <x v="1"/>
    <x v="2"/>
    <x v="0"/>
    <x v="0"/>
    <x v="2"/>
    <n v="5"/>
    <m/>
    <n v="5828"/>
    <n v="0"/>
    <n v="5"/>
    <s v="Recovered"/>
    <n v="1"/>
  </r>
  <r>
    <s v="ADM-243469"/>
    <d v="2025-03-21T00:00:00"/>
    <d v="2025-03-27T00:00:00"/>
    <x v="1"/>
    <s v="Q1"/>
    <x v="2"/>
    <x v="4"/>
    <x v="1"/>
    <x v="2"/>
    <x v="1"/>
    <x v="0"/>
    <x v="0"/>
    <n v="6"/>
    <m/>
    <n v="6306"/>
    <n v="0"/>
    <n v="4"/>
    <s v="Recovered"/>
    <n v="1"/>
  </r>
  <r>
    <s v="ADM-243470"/>
    <d v="2025-03-21T00:00:00"/>
    <d v="2025-03-23T00:00:00"/>
    <x v="1"/>
    <s v="Q1"/>
    <x v="2"/>
    <x v="4"/>
    <x v="1"/>
    <x v="1"/>
    <x v="1"/>
    <x v="4"/>
    <x v="2"/>
    <n v="2"/>
    <m/>
    <n v="2680"/>
    <n v="0"/>
    <n v="4"/>
    <s v="Recovered"/>
    <n v="1"/>
  </r>
  <r>
    <s v="ADM-243471"/>
    <d v="2025-03-21T00:00:00"/>
    <d v="2025-03-24T00:00:00"/>
    <x v="1"/>
    <s v="Q1"/>
    <x v="2"/>
    <x v="4"/>
    <x v="2"/>
    <x v="0"/>
    <x v="0"/>
    <x v="1"/>
    <x v="0"/>
    <n v="3"/>
    <n v="33"/>
    <n v="2695"/>
    <n v="0"/>
    <n v="5"/>
    <s v="Recovered"/>
    <n v="1"/>
  </r>
  <r>
    <s v="ADM-243472"/>
    <d v="2025-03-21T00:00:00"/>
    <d v="2025-03-25T00:00:00"/>
    <x v="1"/>
    <s v="Q1"/>
    <x v="2"/>
    <x v="4"/>
    <x v="1"/>
    <x v="2"/>
    <x v="0"/>
    <x v="2"/>
    <x v="2"/>
    <n v="4"/>
    <m/>
    <n v="3930"/>
    <n v="0"/>
    <n v="4"/>
    <s v="Recovered"/>
    <n v="1"/>
  </r>
  <r>
    <s v="ADM-243473"/>
    <d v="2025-03-21T00:00:00"/>
    <d v="2025-03-22T00:00:00"/>
    <x v="1"/>
    <s v="Q1"/>
    <x v="2"/>
    <x v="4"/>
    <x v="0"/>
    <x v="0"/>
    <x v="0"/>
    <x v="0"/>
    <x v="0"/>
    <n v="1"/>
    <n v="85"/>
    <n v="1436"/>
    <n v="1"/>
    <n v="4"/>
    <s v="Recovered"/>
    <n v="1"/>
  </r>
  <r>
    <s v="ADM-243474"/>
    <d v="2025-03-21T00:00:00"/>
    <d v="2025-03-22T00:00:00"/>
    <x v="1"/>
    <s v="Q1"/>
    <x v="2"/>
    <x v="4"/>
    <x v="2"/>
    <x v="2"/>
    <x v="0"/>
    <x v="1"/>
    <x v="0"/>
    <n v="1"/>
    <m/>
    <n v="1329"/>
    <n v="0"/>
    <n v="5"/>
    <s v="Recovered"/>
    <n v="1"/>
  </r>
  <r>
    <s v="ADM-243475"/>
    <d v="2025-03-21T00:00:00"/>
    <d v="2025-03-24T00:00:00"/>
    <x v="1"/>
    <s v="Q1"/>
    <x v="2"/>
    <x v="4"/>
    <x v="5"/>
    <x v="1"/>
    <x v="0"/>
    <x v="1"/>
    <x v="0"/>
    <n v="3"/>
    <m/>
    <n v="3298"/>
    <n v="0"/>
    <n v="4"/>
    <s v="Recovered"/>
    <n v="1"/>
  </r>
  <r>
    <s v="ADM-243476"/>
    <d v="2025-03-22T00:00:00"/>
    <d v="2025-03-25T00:00:00"/>
    <x v="1"/>
    <s v="Q1"/>
    <x v="2"/>
    <x v="5"/>
    <x v="2"/>
    <x v="0"/>
    <x v="0"/>
    <x v="2"/>
    <x v="2"/>
    <n v="3"/>
    <n v="170"/>
    <n v="2824"/>
    <n v="0"/>
    <n v="4"/>
    <s v="Recovered"/>
    <n v="1"/>
  </r>
  <r>
    <s v="ADM-243477"/>
    <d v="2025-03-22T00:00:00"/>
    <d v="2025-04-03T00:00:00"/>
    <x v="1"/>
    <s v="Q1"/>
    <x v="2"/>
    <x v="5"/>
    <x v="0"/>
    <x v="0"/>
    <x v="1"/>
    <x v="1"/>
    <x v="2"/>
    <n v="12"/>
    <n v="17"/>
    <n v="8293"/>
    <n v="0"/>
    <n v="4"/>
    <s v="Recovered"/>
    <n v="1"/>
  </r>
  <r>
    <s v="ADM-243478"/>
    <d v="2025-03-22T00:00:00"/>
    <d v="2025-03-24T00:00:00"/>
    <x v="1"/>
    <s v="Q1"/>
    <x v="2"/>
    <x v="5"/>
    <x v="4"/>
    <x v="0"/>
    <x v="0"/>
    <x v="0"/>
    <x v="2"/>
    <n v="2"/>
    <n v="64"/>
    <n v="3349"/>
    <n v="0"/>
    <n v="5"/>
    <s v="Recovered"/>
    <n v="1"/>
  </r>
  <r>
    <s v="ADM-243479"/>
    <d v="2025-03-22T00:00:00"/>
    <d v="2025-03-27T00:00:00"/>
    <x v="1"/>
    <s v="Q1"/>
    <x v="2"/>
    <x v="5"/>
    <x v="2"/>
    <x v="0"/>
    <x v="0"/>
    <x v="1"/>
    <x v="0"/>
    <n v="5"/>
    <n v="37"/>
    <n v="3418"/>
    <n v="0"/>
    <n v="5"/>
    <s v="Improved"/>
    <n v="1"/>
  </r>
  <r>
    <s v="ADM-243480"/>
    <d v="2025-03-22T00:00:00"/>
    <d v="2025-03-25T00:00:00"/>
    <x v="1"/>
    <s v="Q1"/>
    <x v="2"/>
    <x v="5"/>
    <x v="0"/>
    <x v="0"/>
    <x v="1"/>
    <x v="4"/>
    <x v="1"/>
    <n v="3"/>
    <n v="88"/>
    <n v="2437"/>
    <n v="0"/>
    <n v="3"/>
    <s v="Recovered"/>
    <n v="1"/>
  </r>
  <r>
    <s v="ADM-243481"/>
    <d v="2025-03-22T00:00:00"/>
    <d v="2025-03-28T00:00:00"/>
    <x v="1"/>
    <s v="Q1"/>
    <x v="2"/>
    <x v="5"/>
    <x v="2"/>
    <x v="0"/>
    <x v="0"/>
    <x v="1"/>
    <x v="0"/>
    <n v="6"/>
    <n v="46"/>
    <n v="4848"/>
    <n v="0"/>
    <n v="5"/>
    <s v="Recovered"/>
    <n v="1"/>
  </r>
  <r>
    <s v="ADM-243482"/>
    <d v="2025-03-22T00:00:00"/>
    <d v="2025-03-26T00:00:00"/>
    <x v="1"/>
    <s v="Q1"/>
    <x v="2"/>
    <x v="5"/>
    <x v="1"/>
    <x v="0"/>
    <x v="1"/>
    <x v="2"/>
    <x v="2"/>
    <n v="4"/>
    <n v="55"/>
    <n v="4858"/>
    <n v="0"/>
    <n v="5"/>
    <s v="Recovered"/>
    <n v="1"/>
  </r>
  <r>
    <s v="ADM-243483"/>
    <d v="2025-03-22T00:00:00"/>
    <d v="2025-03-30T00:00:00"/>
    <x v="1"/>
    <s v="Q1"/>
    <x v="2"/>
    <x v="5"/>
    <x v="0"/>
    <x v="0"/>
    <x v="1"/>
    <x v="0"/>
    <x v="2"/>
    <n v="8"/>
    <n v="58"/>
    <n v="5341"/>
    <n v="0"/>
    <n v="5"/>
    <s v="Recovered"/>
    <n v="1"/>
  </r>
  <r>
    <s v="ADM-243484"/>
    <d v="2025-03-22T00:00:00"/>
    <d v="2025-03-24T00:00:00"/>
    <x v="1"/>
    <s v="Q1"/>
    <x v="2"/>
    <x v="5"/>
    <x v="0"/>
    <x v="0"/>
    <x v="1"/>
    <x v="2"/>
    <x v="0"/>
    <n v="2"/>
    <n v="106"/>
    <n v="2129"/>
    <n v="1"/>
    <n v="3"/>
    <s v="Recovered"/>
    <n v="1"/>
  </r>
  <r>
    <s v="ADM-243485"/>
    <d v="2025-03-22T00:00:00"/>
    <d v="2025-03-25T00:00:00"/>
    <x v="1"/>
    <s v="Q1"/>
    <x v="2"/>
    <x v="5"/>
    <x v="2"/>
    <x v="0"/>
    <x v="0"/>
    <x v="2"/>
    <x v="1"/>
    <n v="3"/>
    <n v="20"/>
    <n v="3599"/>
    <n v="0"/>
    <n v="5"/>
    <s v="Recovered"/>
    <n v="1"/>
  </r>
  <r>
    <s v="ADM-243486"/>
    <d v="2025-03-23T00:00:00"/>
    <d v="2025-03-24T00:00:00"/>
    <x v="1"/>
    <s v="Q1"/>
    <x v="2"/>
    <x v="6"/>
    <x v="3"/>
    <x v="0"/>
    <x v="0"/>
    <x v="3"/>
    <x v="0"/>
    <n v="1"/>
    <n v="35"/>
    <n v="1791"/>
    <n v="0"/>
    <n v="4"/>
    <s v="Improved"/>
    <n v="1"/>
  </r>
  <r>
    <s v="ADM-243487"/>
    <d v="2025-03-23T00:00:00"/>
    <d v="2025-03-24T00:00:00"/>
    <x v="1"/>
    <s v="Q1"/>
    <x v="2"/>
    <x v="6"/>
    <x v="3"/>
    <x v="0"/>
    <x v="1"/>
    <x v="3"/>
    <x v="2"/>
    <n v="1"/>
    <n v="48"/>
    <n v="1429"/>
    <n v="0"/>
    <n v="4"/>
    <s v="Recovered"/>
    <n v="1"/>
  </r>
  <r>
    <s v="ADM-243488"/>
    <d v="2025-03-23T00:00:00"/>
    <d v="2025-03-30T00:00:00"/>
    <x v="1"/>
    <s v="Q1"/>
    <x v="2"/>
    <x v="6"/>
    <x v="1"/>
    <x v="2"/>
    <x v="1"/>
    <x v="4"/>
    <x v="2"/>
    <n v="7"/>
    <m/>
    <n v="8475"/>
    <n v="0"/>
    <n v="4"/>
    <s v="Improved"/>
    <n v="1"/>
  </r>
  <r>
    <s v="ADM-243489"/>
    <d v="2025-03-23T00:00:00"/>
    <d v="2025-03-26T00:00:00"/>
    <x v="1"/>
    <s v="Q1"/>
    <x v="2"/>
    <x v="6"/>
    <x v="4"/>
    <x v="0"/>
    <x v="0"/>
    <x v="4"/>
    <x v="0"/>
    <n v="3"/>
    <n v="18"/>
    <n v="5797"/>
    <n v="0"/>
    <n v="4"/>
    <s v="Improved"/>
    <n v="1"/>
  </r>
  <r>
    <s v="ADM-243490"/>
    <d v="2025-03-23T00:00:00"/>
    <d v="2025-03-24T00:00:00"/>
    <x v="1"/>
    <s v="Q1"/>
    <x v="2"/>
    <x v="6"/>
    <x v="2"/>
    <x v="1"/>
    <x v="0"/>
    <x v="1"/>
    <x v="2"/>
    <n v="1"/>
    <m/>
    <n v="1437"/>
    <n v="0"/>
    <n v="5"/>
    <s v="Improved"/>
    <n v="1"/>
  </r>
  <r>
    <s v="ADM-243491"/>
    <d v="2025-03-23T00:00:00"/>
    <d v="2025-03-25T00:00:00"/>
    <x v="1"/>
    <s v="Q1"/>
    <x v="2"/>
    <x v="6"/>
    <x v="3"/>
    <x v="1"/>
    <x v="1"/>
    <x v="3"/>
    <x v="0"/>
    <n v="2"/>
    <m/>
    <n v="2453"/>
    <n v="0"/>
    <n v="5"/>
    <s v="Recovered"/>
    <n v="1"/>
  </r>
  <r>
    <s v="ADM-243492"/>
    <d v="2025-03-23T00:00:00"/>
    <d v="2025-03-27T00:00:00"/>
    <x v="1"/>
    <s v="Q1"/>
    <x v="2"/>
    <x v="6"/>
    <x v="1"/>
    <x v="2"/>
    <x v="1"/>
    <x v="4"/>
    <x v="2"/>
    <n v="4"/>
    <m/>
    <n v="4847"/>
    <n v="0"/>
    <n v="5"/>
    <s v="Recovered"/>
    <n v="1"/>
  </r>
  <r>
    <s v="ADM-243493"/>
    <d v="2025-03-23T00:00:00"/>
    <d v="2025-03-25T00:00:00"/>
    <x v="1"/>
    <s v="Q1"/>
    <x v="2"/>
    <x v="6"/>
    <x v="3"/>
    <x v="2"/>
    <x v="1"/>
    <x v="3"/>
    <x v="2"/>
    <n v="2"/>
    <m/>
    <n v="1562"/>
    <n v="0"/>
    <n v="5"/>
    <s v="Improved"/>
    <n v="1"/>
  </r>
  <r>
    <s v="ADM-243494"/>
    <d v="2025-03-24T00:00:00"/>
    <d v="2025-03-25T00:00:00"/>
    <x v="1"/>
    <s v="Q1"/>
    <x v="2"/>
    <x v="0"/>
    <x v="1"/>
    <x v="2"/>
    <x v="0"/>
    <x v="0"/>
    <x v="2"/>
    <n v="1"/>
    <m/>
    <n v="2128"/>
    <n v="0"/>
    <n v="5"/>
    <s v="Recovered"/>
    <n v="1"/>
  </r>
  <r>
    <s v="ADM-243495"/>
    <d v="2025-03-24T00:00:00"/>
    <d v="2025-04-06T00:00:00"/>
    <x v="1"/>
    <s v="Q1"/>
    <x v="2"/>
    <x v="0"/>
    <x v="0"/>
    <x v="0"/>
    <x v="0"/>
    <x v="2"/>
    <x v="2"/>
    <n v="13"/>
    <n v="20"/>
    <n v="8752"/>
    <n v="1"/>
    <n v="4"/>
    <s v="Recovered"/>
    <n v="1"/>
  </r>
  <r>
    <s v="ADM-243496"/>
    <d v="2025-03-24T00:00:00"/>
    <d v="2025-03-26T00:00:00"/>
    <x v="1"/>
    <s v="Q1"/>
    <x v="2"/>
    <x v="0"/>
    <x v="4"/>
    <x v="2"/>
    <x v="0"/>
    <x v="4"/>
    <x v="0"/>
    <n v="2"/>
    <m/>
    <n v="3184"/>
    <n v="0"/>
    <n v="5"/>
    <s v="Improved"/>
    <n v="1"/>
  </r>
  <r>
    <s v="ADM-243497"/>
    <d v="2025-03-24T00:00:00"/>
    <d v="2025-03-30T00:00:00"/>
    <x v="1"/>
    <s v="Q1"/>
    <x v="2"/>
    <x v="0"/>
    <x v="1"/>
    <x v="2"/>
    <x v="0"/>
    <x v="0"/>
    <x v="2"/>
    <n v="6"/>
    <m/>
    <n v="6455"/>
    <n v="1"/>
    <n v="3"/>
    <s v="Recovered"/>
    <n v="1"/>
  </r>
  <r>
    <s v="ADM-243498"/>
    <d v="2025-03-24T00:00:00"/>
    <d v="2025-03-27T00:00:00"/>
    <x v="1"/>
    <s v="Q1"/>
    <x v="2"/>
    <x v="0"/>
    <x v="4"/>
    <x v="0"/>
    <x v="1"/>
    <x v="2"/>
    <x v="2"/>
    <n v="3"/>
    <n v="46"/>
    <n v="4600"/>
    <n v="0"/>
    <n v="3"/>
    <s v="Improved"/>
    <n v="1"/>
  </r>
  <r>
    <s v="ADM-243499"/>
    <d v="2025-03-24T00:00:00"/>
    <d v="2025-03-26T00:00:00"/>
    <x v="1"/>
    <s v="Q1"/>
    <x v="2"/>
    <x v="0"/>
    <x v="1"/>
    <x v="2"/>
    <x v="1"/>
    <x v="0"/>
    <x v="2"/>
    <n v="2"/>
    <m/>
    <n v="2238"/>
    <n v="1"/>
    <n v="4"/>
    <s v="Improved"/>
    <n v="1"/>
  </r>
  <r>
    <s v="ADM-243500"/>
    <d v="2025-03-24T00:00:00"/>
    <d v="2025-03-27T00:00:00"/>
    <x v="1"/>
    <s v="Q1"/>
    <x v="2"/>
    <x v="0"/>
    <x v="0"/>
    <x v="0"/>
    <x v="1"/>
    <x v="0"/>
    <x v="2"/>
    <n v="3"/>
    <n v="89"/>
    <n v="2722"/>
    <n v="0"/>
    <n v="5"/>
    <s v="Deceased"/>
    <n v="1"/>
  </r>
  <r>
    <s v="ADM-243501"/>
    <d v="2025-03-24T00:00:00"/>
    <d v="2025-04-04T00:00:00"/>
    <x v="1"/>
    <s v="Q1"/>
    <x v="2"/>
    <x v="0"/>
    <x v="1"/>
    <x v="0"/>
    <x v="1"/>
    <x v="0"/>
    <x v="0"/>
    <n v="11"/>
    <n v="53"/>
    <n v="11552"/>
    <n v="0"/>
    <n v="5"/>
    <s v="Recovered"/>
    <n v="1"/>
  </r>
  <r>
    <s v="ADM-243502"/>
    <d v="2025-03-24T00:00:00"/>
    <d v="2025-03-27T00:00:00"/>
    <x v="1"/>
    <s v="Q1"/>
    <x v="2"/>
    <x v="0"/>
    <x v="4"/>
    <x v="0"/>
    <x v="0"/>
    <x v="2"/>
    <x v="2"/>
    <n v="3"/>
    <n v="42"/>
    <n v="4304"/>
    <n v="0"/>
    <n v="4"/>
    <s v="Improved"/>
    <n v="1"/>
  </r>
  <r>
    <s v="ADM-243503"/>
    <d v="2025-03-24T00:00:00"/>
    <d v="2025-04-10T00:00:00"/>
    <x v="1"/>
    <s v="Q1"/>
    <x v="2"/>
    <x v="0"/>
    <x v="0"/>
    <x v="0"/>
    <x v="0"/>
    <x v="0"/>
    <x v="2"/>
    <n v="17"/>
    <n v="57"/>
    <n v="10619"/>
    <n v="0"/>
    <n v="4"/>
    <s v="Improved"/>
    <n v="1"/>
  </r>
  <r>
    <s v="ADM-243504"/>
    <d v="2025-03-24T00:00:00"/>
    <d v="2025-03-31T00:00:00"/>
    <x v="1"/>
    <s v="Q1"/>
    <x v="2"/>
    <x v="0"/>
    <x v="3"/>
    <x v="2"/>
    <x v="0"/>
    <x v="3"/>
    <x v="0"/>
    <n v="7"/>
    <m/>
    <n v="4046"/>
    <n v="0"/>
    <n v="4"/>
    <s v="Improved"/>
    <n v="1"/>
  </r>
  <r>
    <s v="ADM-243505"/>
    <d v="2025-03-25T00:00:00"/>
    <d v="2025-03-31T00:00:00"/>
    <x v="1"/>
    <s v="Q1"/>
    <x v="2"/>
    <x v="1"/>
    <x v="2"/>
    <x v="0"/>
    <x v="0"/>
    <x v="1"/>
    <x v="0"/>
    <n v="6"/>
    <n v="78"/>
    <n v="5779"/>
    <n v="0"/>
    <n v="4"/>
    <s v="Improved"/>
    <n v="1"/>
  </r>
  <r>
    <s v="ADM-243506"/>
    <d v="2025-03-25T00:00:00"/>
    <d v="2025-03-29T00:00:00"/>
    <x v="1"/>
    <s v="Q1"/>
    <x v="2"/>
    <x v="1"/>
    <x v="0"/>
    <x v="0"/>
    <x v="0"/>
    <x v="1"/>
    <x v="0"/>
    <n v="4"/>
    <n v="29"/>
    <n v="2654"/>
    <n v="0"/>
    <n v="4"/>
    <s v="Recovered"/>
    <n v="1"/>
  </r>
  <r>
    <s v="ADM-243507"/>
    <d v="2025-03-25T00:00:00"/>
    <d v="2025-03-27T00:00:00"/>
    <x v="1"/>
    <s v="Q1"/>
    <x v="2"/>
    <x v="1"/>
    <x v="0"/>
    <x v="0"/>
    <x v="0"/>
    <x v="4"/>
    <x v="1"/>
    <n v="2"/>
    <n v="34"/>
    <n v="2446"/>
    <n v="0"/>
    <n v="4"/>
    <s v="Recovered"/>
    <n v="1"/>
  </r>
  <r>
    <s v="ADM-243508"/>
    <d v="2025-03-25T00:00:00"/>
    <d v="2025-03-30T00:00:00"/>
    <x v="1"/>
    <s v="Q1"/>
    <x v="2"/>
    <x v="1"/>
    <x v="0"/>
    <x v="0"/>
    <x v="0"/>
    <x v="1"/>
    <x v="0"/>
    <n v="5"/>
    <n v="66"/>
    <n v="3506"/>
    <n v="0"/>
    <n v="3"/>
    <s v="Improved"/>
    <n v="1"/>
  </r>
  <r>
    <s v="ADM-243509"/>
    <d v="2025-03-25T00:00:00"/>
    <d v="2025-03-28T00:00:00"/>
    <x v="1"/>
    <s v="Q1"/>
    <x v="2"/>
    <x v="1"/>
    <x v="2"/>
    <x v="2"/>
    <x v="0"/>
    <x v="2"/>
    <x v="0"/>
    <n v="3"/>
    <m/>
    <n v="2651"/>
    <n v="0"/>
    <n v="5"/>
    <s v="Improved"/>
    <n v="1"/>
  </r>
  <r>
    <s v="ADM-243510"/>
    <d v="2025-03-25T00:00:00"/>
    <d v="2025-03-26T00:00:00"/>
    <x v="1"/>
    <s v="Q1"/>
    <x v="2"/>
    <x v="1"/>
    <x v="4"/>
    <x v="1"/>
    <x v="0"/>
    <x v="4"/>
    <x v="0"/>
    <n v="1"/>
    <m/>
    <n v="2079"/>
    <n v="0"/>
    <n v="4"/>
    <s v="Improved"/>
    <n v="1"/>
  </r>
  <r>
    <s v="ADM-243511"/>
    <d v="2025-03-26T00:00:00"/>
    <d v="2025-04-04T00:00:00"/>
    <x v="1"/>
    <s v="Q1"/>
    <x v="2"/>
    <x v="2"/>
    <x v="1"/>
    <x v="2"/>
    <x v="0"/>
    <x v="4"/>
    <x v="1"/>
    <n v="9"/>
    <m/>
    <n v="9733"/>
    <n v="0"/>
    <n v="3"/>
    <s v="Recovered"/>
    <n v="1"/>
  </r>
  <r>
    <s v="ADM-243512"/>
    <d v="2025-03-26T00:00:00"/>
    <d v="2025-03-30T00:00:00"/>
    <x v="1"/>
    <s v="Q1"/>
    <x v="2"/>
    <x v="2"/>
    <x v="4"/>
    <x v="0"/>
    <x v="0"/>
    <x v="2"/>
    <x v="0"/>
    <n v="4"/>
    <n v="82"/>
    <n v="5314"/>
    <n v="0"/>
    <n v="4"/>
    <s v="Recovered"/>
    <n v="1"/>
  </r>
  <r>
    <s v="ADM-243513"/>
    <d v="2025-03-27T00:00:00"/>
    <d v="2025-04-02T00:00:00"/>
    <x v="1"/>
    <s v="Q1"/>
    <x v="2"/>
    <x v="3"/>
    <x v="5"/>
    <x v="0"/>
    <x v="0"/>
    <x v="4"/>
    <x v="1"/>
    <n v="6"/>
    <n v="24"/>
    <n v="5405"/>
    <n v="0"/>
    <n v="4"/>
    <s v="Improved"/>
    <n v="1"/>
  </r>
  <r>
    <s v="ADM-243514"/>
    <d v="2025-03-27T00:00:00"/>
    <d v="2025-03-28T00:00:00"/>
    <x v="1"/>
    <s v="Q1"/>
    <x v="2"/>
    <x v="3"/>
    <x v="1"/>
    <x v="2"/>
    <x v="0"/>
    <x v="4"/>
    <x v="0"/>
    <n v="1"/>
    <m/>
    <n v="1739"/>
    <n v="0"/>
    <n v="3"/>
    <s v="Recovered"/>
    <n v="1"/>
  </r>
  <r>
    <s v="ADM-243515"/>
    <d v="2025-03-27T00:00:00"/>
    <d v="2025-04-08T00:00:00"/>
    <x v="1"/>
    <s v="Q1"/>
    <x v="2"/>
    <x v="3"/>
    <x v="4"/>
    <x v="0"/>
    <x v="1"/>
    <x v="0"/>
    <x v="1"/>
    <n v="12"/>
    <n v="34"/>
    <n v="15241"/>
    <n v="1"/>
    <n v="4"/>
    <s v="Recovered"/>
    <n v="1"/>
  </r>
  <r>
    <s v="ADM-243516"/>
    <d v="2025-03-27T00:00:00"/>
    <d v="2025-03-30T00:00:00"/>
    <x v="1"/>
    <s v="Q1"/>
    <x v="2"/>
    <x v="3"/>
    <x v="3"/>
    <x v="0"/>
    <x v="0"/>
    <x v="3"/>
    <x v="0"/>
    <n v="3"/>
    <n v="24"/>
    <n v="3141"/>
    <n v="0"/>
    <n v="5"/>
    <s v="Improved"/>
    <n v="1"/>
  </r>
  <r>
    <s v="ADM-243517"/>
    <d v="2025-03-27T00:00:00"/>
    <d v="2025-03-29T00:00:00"/>
    <x v="1"/>
    <s v="Q1"/>
    <x v="2"/>
    <x v="3"/>
    <x v="1"/>
    <x v="2"/>
    <x v="0"/>
    <x v="2"/>
    <x v="2"/>
    <n v="2"/>
    <m/>
    <n v="3342"/>
    <n v="0"/>
    <n v="4"/>
    <s v="Recovered"/>
    <n v="1"/>
  </r>
  <r>
    <s v="ADM-243518"/>
    <d v="2025-03-27T00:00:00"/>
    <d v="2025-04-03T00:00:00"/>
    <x v="1"/>
    <s v="Q1"/>
    <x v="2"/>
    <x v="3"/>
    <x v="1"/>
    <x v="2"/>
    <x v="1"/>
    <x v="0"/>
    <x v="2"/>
    <n v="7"/>
    <m/>
    <n v="5995"/>
    <n v="0"/>
    <n v="4"/>
    <s v="Recovered"/>
    <n v="1"/>
  </r>
  <r>
    <s v="ADM-243519"/>
    <d v="2025-03-27T00:00:00"/>
    <d v="2025-03-28T00:00:00"/>
    <x v="1"/>
    <s v="Q1"/>
    <x v="2"/>
    <x v="3"/>
    <x v="3"/>
    <x v="0"/>
    <x v="0"/>
    <x v="3"/>
    <x v="0"/>
    <n v="1"/>
    <n v="72"/>
    <n v="1268"/>
    <n v="0"/>
    <n v="4"/>
    <s v="Recovered"/>
    <n v="1"/>
  </r>
  <r>
    <s v="ADM-243520"/>
    <d v="2025-03-27T00:00:00"/>
    <d v="2025-03-28T00:00:00"/>
    <x v="1"/>
    <s v="Q1"/>
    <x v="2"/>
    <x v="3"/>
    <x v="2"/>
    <x v="0"/>
    <x v="0"/>
    <x v="1"/>
    <x v="1"/>
    <n v="1"/>
    <n v="22"/>
    <n v="1361"/>
    <n v="0"/>
    <n v="3"/>
    <s v="Improved"/>
    <n v="1"/>
  </r>
  <r>
    <s v="ADM-243521"/>
    <d v="2025-03-27T00:00:00"/>
    <d v="2025-03-31T00:00:00"/>
    <x v="1"/>
    <s v="Q1"/>
    <x v="2"/>
    <x v="3"/>
    <x v="3"/>
    <x v="2"/>
    <x v="0"/>
    <x v="3"/>
    <x v="2"/>
    <n v="4"/>
    <m/>
    <n v="3144"/>
    <n v="0"/>
    <n v="3"/>
    <s v="Recovered"/>
    <n v="1"/>
  </r>
  <r>
    <s v="ADM-243522"/>
    <d v="2025-03-27T00:00:00"/>
    <d v="2025-03-30T00:00:00"/>
    <x v="1"/>
    <s v="Q1"/>
    <x v="2"/>
    <x v="3"/>
    <x v="2"/>
    <x v="0"/>
    <x v="0"/>
    <x v="2"/>
    <x v="2"/>
    <n v="3"/>
    <n v="50"/>
    <n v="2642"/>
    <n v="0"/>
    <n v="4"/>
    <s v="Recovered"/>
    <n v="1"/>
  </r>
  <r>
    <s v="ADM-243523"/>
    <d v="2025-03-27T00:00:00"/>
    <d v="2025-03-30T00:00:00"/>
    <x v="1"/>
    <s v="Q1"/>
    <x v="2"/>
    <x v="3"/>
    <x v="5"/>
    <x v="2"/>
    <x v="1"/>
    <x v="0"/>
    <x v="1"/>
    <n v="3"/>
    <m/>
    <n v="2181"/>
    <n v="0"/>
    <n v="5"/>
    <s v="Improved"/>
    <n v="1"/>
  </r>
  <r>
    <s v="ADM-243524"/>
    <d v="2025-03-27T00:00:00"/>
    <d v="2025-03-29T00:00:00"/>
    <x v="1"/>
    <s v="Q1"/>
    <x v="2"/>
    <x v="3"/>
    <x v="4"/>
    <x v="0"/>
    <x v="0"/>
    <x v="1"/>
    <x v="0"/>
    <n v="2"/>
    <n v="97"/>
    <n v="2776"/>
    <n v="0"/>
    <n v="4"/>
    <s v="Recovered"/>
    <n v="1"/>
  </r>
  <r>
    <s v="ADM-243525"/>
    <d v="2025-03-28T00:00:00"/>
    <d v="2025-03-30T00:00:00"/>
    <x v="1"/>
    <s v="Q1"/>
    <x v="2"/>
    <x v="4"/>
    <x v="1"/>
    <x v="2"/>
    <x v="1"/>
    <x v="4"/>
    <x v="2"/>
    <n v="2"/>
    <m/>
    <n v="3359"/>
    <n v="0"/>
    <n v="5"/>
    <s v="Improved"/>
    <n v="1"/>
  </r>
  <r>
    <s v="ADM-243526"/>
    <d v="2025-03-28T00:00:00"/>
    <d v="2025-04-03T00:00:00"/>
    <x v="1"/>
    <s v="Q1"/>
    <x v="2"/>
    <x v="4"/>
    <x v="4"/>
    <x v="0"/>
    <x v="1"/>
    <x v="4"/>
    <x v="2"/>
    <n v="6"/>
    <n v="74"/>
    <n v="8069"/>
    <n v="0"/>
    <n v="4"/>
    <s v="Recovered"/>
    <n v="1"/>
  </r>
  <r>
    <s v="ADM-243527"/>
    <d v="2025-03-28T00:00:00"/>
    <d v="2025-03-30T00:00:00"/>
    <x v="1"/>
    <s v="Q1"/>
    <x v="2"/>
    <x v="4"/>
    <x v="3"/>
    <x v="0"/>
    <x v="0"/>
    <x v="3"/>
    <x v="0"/>
    <n v="2"/>
    <n v="76"/>
    <n v="2121"/>
    <n v="0"/>
    <n v="3"/>
    <s v="Recovered"/>
    <n v="1"/>
  </r>
  <r>
    <s v="ADM-243528"/>
    <d v="2025-03-28T00:00:00"/>
    <d v="2025-04-03T00:00:00"/>
    <x v="1"/>
    <s v="Q1"/>
    <x v="2"/>
    <x v="4"/>
    <x v="3"/>
    <x v="1"/>
    <x v="0"/>
    <x v="3"/>
    <x v="1"/>
    <n v="6"/>
    <m/>
    <n v="5258"/>
    <n v="0"/>
    <n v="5"/>
    <s v="Recovered"/>
    <n v="1"/>
  </r>
  <r>
    <s v="ADM-243529"/>
    <d v="2025-03-28T00:00:00"/>
    <d v="2025-03-29T00:00:00"/>
    <x v="1"/>
    <s v="Q1"/>
    <x v="2"/>
    <x v="4"/>
    <x v="2"/>
    <x v="0"/>
    <x v="0"/>
    <x v="2"/>
    <x v="2"/>
    <n v="1"/>
    <n v="54"/>
    <n v="1341"/>
    <n v="0"/>
    <n v="4"/>
    <s v="Improved"/>
    <n v="1"/>
  </r>
  <r>
    <s v="ADM-243530"/>
    <d v="2025-03-28T00:00:00"/>
    <d v="2025-04-02T00:00:00"/>
    <x v="1"/>
    <s v="Q1"/>
    <x v="2"/>
    <x v="4"/>
    <x v="3"/>
    <x v="0"/>
    <x v="0"/>
    <x v="3"/>
    <x v="2"/>
    <n v="5"/>
    <n v="57"/>
    <n v="3624"/>
    <n v="0"/>
    <n v="5"/>
    <s v="Improved"/>
    <n v="1"/>
  </r>
  <r>
    <s v="ADM-243531"/>
    <d v="2025-03-28T00:00:00"/>
    <d v="2025-03-29T00:00:00"/>
    <x v="1"/>
    <s v="Q1"/>
    <x v="2"/>
    <x v="4"/>
    <x v="1"/>
    <x v="0"/>
    <x v="1"/>
    <x v="4"/>
    <x v="2"/>
    <n v="1"/>
    <n v="115"/>
    <n v="2290"/>
    <n v="0"/>
    <n v="4"/>
    <s v="Improved"/>
    <n v="1"/>
  </r>
  <r>
    <s v="ADM-243532"/>
    <d v="2025-03-28T00:00:00"/>
    <d v="2025-03-29T00:00:00"/>
    <x v="1"/>
    <s v="Q1"/>
    <x v="2"/>
    <x v="4"/>
    <x v="2"/>
    <x v="2"/>
    <x v="0"/>
    <x v="2"/>
    <x v="0"/>
    <n v="1"/>
    <m/>
    <n v="1445"/>
    <n v="0"/>
    <n v="5"/>
    <s v="Recovered"/>
    <n v="1"/>
  </r>
  <r>
    <s v="ADM-243533"/>
    <d v="2025-03-28T00:00:00"/>
    <d v="2025-03-30T00:00:00"/>
    <x v="1"/>
    <s v="Q1"/>
    <x v="2"/>
    <x v="4"/>
    <x v="2"/>
    <x v="0"/>
    <x v="0"/>
    <x v="1"/>
    <x v="2"/>
    <n v="2"/>
    <n v="55"/>
    <n v="2598"/>
    <n v="0"/>
    <n v="3"/>
    <s v="Improved"/>
    <n v="1"/>
  </r>
  <r>
    <s v="ADM-243534"/>
    <d v="2025-03-29T00:00:00"/>
    <d v="2025-04-03T00:00:00"/>
    <x v="1"/>
    <s v="Q1"/>
    <x v="2"/>
    <x v="5"/>
    <x v="3"/>
    <x v="2"/>
    <x v="0"/>
    <x v="3"/>
    <x v="2"/>
    <n v="5"/>
    <m/>
    <n v="3993"/>
    <n v="0"/>
    <n v="4"/>
    <s v="Recovered"/>
    <n v="1"/>
  </r>
  <r>
    <s v="ADM-243535"/>
    <d v="2025-03-29T00:00:00"/>
    <d v="2025-03-31T00:00:00"/>
    <x v="1"/>
    <s v="Q1"/>
    <x v="2"/>
    <x v="5"/>
    <x v="4"/>
    <x v="0"/>
    <x v="1"/>
    <x v="1"/>
    <x v="0"/>
    <n v="2"/>
    <n v="31"/>
    <n v="3454"/>
    <n v="0"/>
    <n v="4"/>
    <s v="Recovered"/>
    <n v="1"/>
  </r>
  <r>
    <s v="ADM-243536"/>
    <d v="2025-03-29T00:00:00"/>
    <d v="2025-04-10T00:00:00"/>
    <x v="1"/>
    <s v="Q1"/>
    <x v="2"/>
    <x v="5"/>
    <x v="4"/>
    <x v="2"/>
    <x v="0"/>
    <x v="1"/>
    <x v="2"/>
    <n v="12"/>
    <m/>
    <n v="10199"/>
    <n v="0"/>
    <n v="5"/>
    <s v="Recovered"/>
    <n v="1"/>
  </r>
  <r>
    <s v="ADM-243537"/>
    <d v="2025-03-29T00:00:00"/>
    <d v="2025-04-04T00:00:00"/>
    <x v="1"/>
    <s v="Q1"/>
    <x v="2"/>
    <x v="5"/>
    <x v="0"/>
    <x v="0"/>
    <x v="1"/>
    <x v="2"/>
    <x v="2"/>
    <n v="6"/>
    <n v="115"/>
    <n v="3966"/>
    <n v="0"/>
    <n v="3"/>
    <s v="Recovered"/>
    <n v="1"/>
  </r>
  <r>
    <s v="ADM-243538"/>
    <d v="2025-03-29T00:00:00"/>
    <d v="2025-03-31T00:00:00"/>
    <x v="1"/>
    <s v="Q1"/>
    <x v="2"/>
    <x v="5"/>
    <x v="1"/>
    <x v="2"/>
    <x v="0"/>
    <x v="0"/>
    <x v="0"/>
    <n v="2"/>
    <m/>
    <n v="2998"/>
    <n v="0"/>
    <n v="4"/>
    <s v="Recovered"/>
    <n v="1"/>
  </r>
  <r>
    <s v="ADM-243539"/>
    <d v="2025-03-30T00:00:00"/>
    <d v="2025-04-01T00:00:00"/>
    <x v="1"/>
    <s v="Q1"/>
    <x v="2"/>
    <x v="6"/>
    <x v="5"/>
    <x v="0"/>
    <x v="1"/>
    <x v="1"/>
    <x v="0"/>
    <n v="2"/>
    <n v="49"/>
    <n v="2820"/>
    <n v="0"/>
    <n v="5"/>
    <s v="Improved"/>
    <n v="1"/>
  </r>
  <r>
    <s v="ADM-243540"/>
    <d v="2025-03-30T00:00:00"/>
    <d v="2025-04-08T00:00:00"/>
    <x v="1"/>
    <s v="Q1"/>
    <x v="2"/>
    <x v="6"/>
    <x v="5"/>
    <x v="2"/>
    <x v="0"/>
    <x v="4"/>
    <x v="2"/>
    <n v="9"/>
    <m/>
    <n v="9748"/>
    <n v="0"/>
    <n v="4"/>
    <s v="Recovered"/>
    <n v="1"/>
  </r>
  <r>
    <s v="ADM-243541"/>
    <d v="2025-03-30T00:00:00"/>
    <d v="2025-04-08T00:00:00"/>
    <x v="1"/>
    <s v="Q1"/>
    <x v="2"/>
    <x v="6"/>
    <x v="0"/>
    <x v="0"/>
    <x v="1"/>
    <x v="0"/>
    <x v="2"/>
    <n v="9"/>
    <n v="27"/>
    <n v="6548"/>
    <n v="0"/>
    <n v="4"/>
    <s v="Recovered"/>
    <n v="1"/>
  </r>
  <r>
    <s v="ADM-243542"/>
    <d v="2025-03-30T00:00:00"/>
    <d v="2025-04-01T00:00:00"/>
    <x v="1"/>
    <s v="Q1"/>
    <x v="2"/>
    <x v="6"/>
    <x v="1"/>
    <x v="2"/>
    <x v="0"/>
    <x v="1"/>
    <x v="2"/>
    <n v="2"/>
    <m/>
    <n v="3252"/>
    <n v="0"/>
    <n v="4"/>
    <s v="Improved"/>
    <n v="1"/>
  </r>
  <r>
    <s v="ADM-243543"/>
    <d v="2025-03-30T00:00:00"/>
    <d v="2025-04-11T00:00:00"/>
    <x v="1"/>
    <s v="Q1"/>
    <x v="2"/>
    <x v="6"/>
    <x v="0"/>
    <x v="0"/>
    <x v="1"/>
    <x v="0"/>
    <x v="0"/>
    <n v="12"/>
    <n v="61"/>
    <n v="6055"/>
    <n v="1"/>
    <n v="4"/>
    <s v="Transferred"/>
    <n v="1"/>
  </r>
  <r>
    <s v="ADM-243544"/>
    <d v="2025-03-30T00:00:00"/>
    <d v="2025-04-03T00:00:00"/>
    <x v="1"/>
    <s v="Q1"/>
    <x v="2"/>
    <x v="6"/>
    <x v="4"/>
    <x v="0"/>
    <x v="1"/>
    <x v="0"/>
    <x v="2"/>
    <n v="4"/>
    <n v="57"/>
    <n v="5135"/>
    <n v="0"/>
    <n v="4"/>
    <s v="Recovered"/>
    <n v="1"/>
  </r>
  <r>
    <s v="ADM-243545"/>
    <d v="2025-03-31T00:00:00"/>
    <d v="2025-04-02T00:00:00"/>
    <x v="1"/>
    <s v="Q1"/>
    <x v="2"/>
    <x v="0"/>
    <x v="5"/>
    <x v="2"/>
    <x v="1"/>
    <x v="0"/>
    <x v="0"/>
    <n v="2"/>
    <m/>
    <n v="2772"/>
    <n v="0"/>
    <n v="4"/>
    <s v="Recovered"/>
    <n v="1"/>
  </r>
  <r>
    <s v="ADM-243546"/>
    <d v="2025-03-31T00:00:00"/>
    <d v="2025-04-02T00:00:00"/>
    <x v="1"/>
    <s v="Q1"/>
    <x v="2"/>
    <x v="0"/>
    <x v="4"/>
    <x v="0"/>
    <x v="0"/>
    <x v="1"/>
    <x v="2"/>
    <n v="2"/>
    <n v="42"/>
    <n v="2630"/>
    <n v="0"/>
    <n v="4"/>
    <s v="Recovered"/>
    <n v="1"/>
  </r>
  <r>
    <s v="ADM-243547"/>
    <d v="2025-03-31T00:00:00"/>
    <d v="2025-04-13T00:00:00"/>
    <x v="1"/>
    <s v="Q1"/>
    <x v="2"/>
    <x v="0"/>
    <x v="0"/>
    <x v="1"/>
    <x v="1"/>
    <x v="4"/>
    <x v="0"/>
    <n v="13"/>
    <m/>
    <n v="5258"/>
    <n v="0"/>
    <n v="5"/>
    <s v="Recovered"/>
    <n v="1"/>
  </r>
  <r>
    <s v="ADM-243548"/>
    <d v="2025-03-31T00:00:00"/>
    <d v="2025-04-01T00:00:00"/>
    <x v="1"/>
    <s v="Q1"/>
    <x v="2"/>
    <x v="0"/>
    <x v="3"/>
    <x v="0"/>
    <x v="1"/>
    <x v="3"/>
    <x v="0"/>
    <n v="1"/>
    <n v="25"/>
    <n v="1177"/>
    <n v="0"/>
    <n v="5"/>
    <s v="Recovered"/>
    <n v="1"/>
  </r>
  <r>
    <s v="ADM-243549"/>
    <d v="2025-03-31T00:00:00"/>
    <d v="2025-04-01T00:00:00"/>
    <x v="1"/>
    <s v="Q1"/>
    <x v="2"/>
    <x v="0"/>
    <x v="5"/>
    <x v="2"/>
    <x v="0"/>
    <x v="1"/>
    <x v="0"/>
    <n v="1"/>
    <m/>
    <n v="1662"/>
    <n v="0"/>
    <n v="4"/>
    <s v="Recovered"/>
    <n v="1"/>
  </r>
  <r>
    <s v="ADM-243550"/>
    <d v="2025-03-31T00:00:00"/>
    <d v="2025-04-02T00:00:00"/>
    <x v="1"/>
    <s v="Q1"/>
    <x v="2"/>
    <x v="0"/>
    <x v="0"/>
    <x v="0"/>
    <x v="1"/>
    <x v="4"/>
    <x v="2"/>
    <n v="2"/>
    <n v="23"/>
    <n v="1981"/>
    <n v="0"/>
    <n v="4"/>
    <s v="Recovered"/>
    <n v="1"/>
  </r>
  <r>
    <s v="ADM-243551"/>
    <d v="2025-03-31T00:00:00"/>
    <d v="2025-04-05T00:00:00"/>
    <x v="1"/>
    <s v="Q1"/>
    <x v="2"/>
    <x v="0"/>
    <x v="0"/>
    <x v="2"/>
    <x v="0"/>
    <x v="0"/>
    <x v="2"/>
    <n v="5"/>
    <m/>
    <n v="3204"/>
    <n v="0"/>
    <n v="5"/>
    <s v="Recovered"/>
    <n v="1"/>
  </r>
  <r>
    <s v="ADM-243552"/>
    <d v="2025-03-31T00:00:00"/>
    <d v="2025-04-07T00:00:00"/>
    <x v="1"/>
    <s v="Q1"/>
    <x v="2"/>
    <x v="0"/>
    <x v="5"/>
    <x v="2"/>
    <x v="0"/>
    <x v="4"/>
    <x v="2"/>
    <n v="7"/>
    <m/>
    <n v="8242"/>
    <n v="0"/>
    <n v="4"/>
    <s v="Improved"/>
    <n v="1"/>
  </r>
  <r>
    <s v="ADM-243553"/>
    <d v="2025-04-01T00:00:00"/>
    <d v="2025-04-05T00:00:00"/>
    <x v="1"/>
    <s v="Q2"/>
    <x v="3"/>
    <x v="1"/>
    <x v="1"/>
    <x v="2"/>
    <x v="1"/>
    <x v="2"/>
    <x v="0"/>
    <n v="4"/>
    <m/>
    <n v="3788"/>
    <n v="0"/>
    <n v="4"/>
    <s v="Recovered"/>
    <n v="1"/>
  </r>
  <r>
    <s v="ADM-243554"/>
    <d v="2025-04-01T00:00:00"/>
    <d v="2025-04-07T00:00:00"/>
    <x v="1"/>
    <s v="Q2"/>
    <x v="3"/>
    <x v="1"/>
    <x v="1"/>
    <x v="2"/>
    <x v="1"/>
    <x v="4"/>
    <x v="0"/>
    <n v="6"/>
    <m/>
    <n v="6443"/>
    <n v="0"/>
    <n v="4"/>
    <s v="Improved"/>
    <n v="1"/>
  </r>
  <r>
    <s v="ADM-243555"/>
    <d v="2025-04-01T00:00:00"/>
    <d v="2025-04-03T00:00:00"/>
    <x v="1"/>
    <s v="Q2"/>
    <x v="3"/>
    <x v="1"/>
    <x v="5"/>
    <x v="2"/>
    <x v="0"/>
    <x v="4"/>
    <x v="2"/>
    <n v="2"/>
    <m/>
    <n v="2887"/>
    <n v="0"/>
    <n v="5"/>
    <s v="Recovered"/>
    <n v="1"/>
  </r>
  <r>
    <s v="ADM-243556"/>
    <d v="2025-04-01T00:00:00"/>
    <d v="2025-04-04T00:00:00"/>
    <x v="1"/>
    <s v="Q2"/>
    <x v="3"/>
    <x v="1"/>
    <x v="1"/>
    <x v="2"/>
    <x v="1"/>
    <x v="1"/>
    <x v="2"/>
    <n v="3"/>
    <m/>
    <n v="3238"/>
    <n v="0"/>
    <n v="4"/>
    <s v="Recovered"/>
    <n v="1"/>
  </r>
  <r>
    <s v="ADM-243557"/>
    <d v="2025-04-01T00:00:00"/>
    <d v="2025-04-17T00:00:00"/>
    <x v="1"/>
    <s v="Q2"/>
    <x v="3"/>
    <x v="1"/>
    <x v="0"/>
    <x v="0"/>
    <x v="1"/>
    <x v="1"/>
    <x v="0"/>
    <n v="16"/>
    <n v="72"/>
    <n v="7758"/>
    <n v="0"/>
    <n v="3"/>
    <s v="Recovered"/>
    <n v="1"/>
  </r>
  <r>
    <s v="ADM-243558"/>
    <d v="2025-04-01T00:00:00"/>
    <d v="2025-04-03T00:00:00"/>
    <x v="1"/>
    <s v="Q2"/>
    <x v="3"/>
    <x v="1"/>
    <x v="3"/>
    <x v="0"/>
    <x v="0"/>
    <x v="3"/>
    <x v="0"/>
    <n v="2"/>
    <n v="40"/>
    <n v="2335"/>
    <n v="0"/>
    <n v="4"/>
    <s v="Recovered"/>
    <n v="1"/>
  </r>
  <r>
    <s v="ADM-243559"/>
    <d v="2025-04-01T00:00:00"/>
    <d v="2025-04-02T00:00:00"/>
    <x v="1"/>
    <s v="Q2"/>
    <x v="3"/>
    <x v="1"/>
    <x v="2"/>
    <x v="0"/>
    <x v="0"/>
    <x v="1"/>
    <x v="1"/>
    <n v="1"/>
    <n v="63"/>
    <n v="1646"/>
    <n v="0"/>
    <n v="3"/>
    <s v="Improved"/>
    <n v="1"/>
  </r>
  <r>
    <s v="ADM-243560"/>
    <d v="2025-04-01T00:00:00"/>
    <d v="2025-04-03T00:00:00"/>
    <x v="1"/>
    <s v="Q2"/>
    <x v="3"/>
    <x v="1"/>
    <x v="1"/>
    <x v="2"/>
    <x v="1"/>
    <x v="4"/>
    <x v="0"/>
    <n v="2"/>
    <m/>
    <n v="2861"/>
    <n v="0"/>
    <n v="4"/>
    <s v="Recovered"/>
    <n v="1"/>
  </r>
  <r>
    <s v="ADM-243561"/>
    <d v="2025-04-01T00:00:00"/>
    <d v="2025-04-04T00:00:00"/>
    <x v="1"/>
    <s v="Q2"/>
    <x v="3"/>
    <x v="1"/>
    <x v="3"/>
    <x v="0"/>
    <x v="0"/>
    <x v="3"/>
    <x v="0"/>
    <n v="3"/>
    <n v="29"/>
    <n v="2064"/>
    <n v="0"/>
    <n v="4"/>
    <s v="Recovered"/>
    <n v="1"/>
  </r>
  <r>
    <s v="ADM-243562"/>
    <d v="2025-04-01T00:00:00"/>
    <d v="2025-04-02T00:00:00"/>
    <x v="1"/>
    <s v="Q2"/>
    <x v="3"/>
    <x v="1"/>
    <x v="3"/>
    <x v="2"/>
    <x v="1"/>
    <x v="3"/>
    <x v="1"/>
    <n v="1"/>
    <m/>
    <n v="1405"/>
    <n v="0"/>
    <n v="5"/>
    <s v="Improved"/>
    <n v="1"/>
  </r>
  <r>
    <s v="ADM-243563"/>
    <d v="2025-04-01T00:00:00"/>
    <d v="2025-04-07T00:00:00"/>
    <x v="1"/>
    <s v="Q2"/>
    <x v="3"/>
    <x v="1"/>
    <x v="0"/>
    <x v="0"/>
    <x v="0"/>
    <x v="2"/>
    <x v="2"/>
    <n v="6"/>
    <n v="46"/>
    <n v="3840"/>
    <n v="0"/>
    <n v="4"/>
    <s v="Improved"/>
    <n v="1"/>
  </r>
  <r>
    <s v="ADM-243564"/>
    <d v="2025-04-01T00:00:00"/>
    <d v="2025-04-02T00:00:00"/>
    <x v="1"/>
    <s v="Q2"/>
    <x v="3"/>
    <x v="1"/>
    <x v="1"/>
    <x v="2"/>
    <x v="1"/>
    <x v="1"/>
    <x v="0"/>
    <n v="1"/>
    <m/>
    <n v="1718"/>
    <n v="0"/>
    <n v="4"/>
    <s v="Recovered"/>
    <n v="1"/>
  </r>
  <r>
    <s v="ADM-243565"/>
    <d v="2025-04-02T00:00:00"/>
    <d v="2025-04-07T00:00:00"/>
    <x v="1"/>
    <s v="Q2"/>
    <x v="3"/>
    <x v="2"/>
    <x v="3"/>
    <x v="0"/>
    <x v="0"/>
    <x v="3"/>
    <x v="2"/>
    <n v="5"/>
    <n v="46"/>
    <n v="3803"/>
    <n v="0"/>
    <n v="4"/>
    <s v="Recovered"/>
    <n v="1"/>
  </r>
  <r>
    <s v="ADM-243566"/>
    <d v="2025-04-02T00:00:00"/>
    <d v="2025-04-04T00:00:00"/>
    <x v="1"/>
    <s v="Q2"/>
    <x v="3"/>
    <x v="2"/>
    <x v="1"/>
    <x v="2"/>
    <x v="1"/>
    <x v="0"/>
    <x v="0"/>
    <n v="2"/>
    <m/>
    <n v="3437"/>
    <n v="0"/>
    <n v="5"/>
    <s v="Recovered"/>
    <n v="1"/>
  </r>
  <r>
    <s v="ADM-243567"/>
    <d v="2025-04-02T00:00:00"/>
    <d v="2025-04-03T00:00:00"/>
    <x v="1"/>
    <s v="Q2"/>
    <x v="3"/>
    <x v="2"/>
    <x v="2"/>
    <x v="2"/>
    <x v="0"/>
    <x v="1"/>
    <x v="0"/>
    <n v="1"/>
    <m/>
    <n v="1535"/>
    <n v="0"/>
    <n v="4"/>
    <s v="Recovered"/>
    <n v="1"/>
  </r>
  <r>
    <s v="ADM-243568"/>
    <d v="2025-04-02T00:00:00"/>
    <d v="2025-04-05T00:00:00"/>
    <x v="1"/>
    <s v="Q2"/>
    <x v="3"/>
    <x v="2"/>
    <x v="0"/>
    <x v="0"/>
    <x v="1"/>
    <x v="2"/>
    <x v="2"/>
    <n v="3"/>
    <n v="50"/>
    <n v="2841"/>
    <n v="0"/>
    <n v="4"/>
    <s v="Recovered"/>
    <n v="1"/>
  </r>
  <r>
    <s v="ADM-243569"/>
    <d v="2025-04-02T00:00:00"/>
    <d v="2025-04-05T00:00:00"/>
    <x v="1"/>
    <s v="Q2"/>
    <x v="3"/>
    <x v="2"/>
    <x v="2"/>
    <x v="1"/>
    <x v="0"/>
    <x v="2"/>
    <x v="2"/>
    <n v="3"/>
    <m/>
    <n v="2649"/>
    <n v="0"/>
    <n v="5"/>
    <s v="Recovered"/>
    <n v="1"/>
  </r>
  <r>
    <s v="ADM-243570"/>
    <d v="2025-04-02T00:00:00"/>
    <d v="2025-04-04T00:00:00"/>
    <x v="1"/>
    <s v="Q2"/>
    <x v="3"/>
    <x v="2"/>
    <x v="1"/>
    <x v="2"/>
    <x v="0"/>
    <x v="1"/>
    <x v="0"/>
    <n v="2"/>
    <m/>
    <n v="2522"/>
    <n v="0"/>
    <n v="4"/>
    <s v="Recovered"/>
    <n v="1"/>
  </r>
  <r>
    <s v="ADM-243571"/>
    <d v="2025-04-02T00:00:00"/>
    <d v="2025-04-06T00:00:00"/>
    <x v="1"/>
    <s v="Q2"/>
    <x v="3"/>
    <x v="2"/>
    <x v="1"/>
    <x v="0"/>
    <x v="1"/>
    <x v="0"/>
    <x v="2"/>
    <n v="4"/>
    <n v="88"/>
    <n v="3375"/>
    <n v="0"/>
    <n v="4"/>
    <s v="Recovered"/>
    <n v="1"/>
  </r>
  <r>
    <s v="ADM-243572"/>
    <d v="2025-04-02T00:00:00"/>
    <d v="2025-04-07T00:00:00"/>
    <x v="1"/>
    <s v="Q2"/>
    <x v="3"/>
    <x v="2"/>
    <x v="0"/>
    <x v="0"/>
    <x v="0"/>
    <x v="0"/>
    <x v="0"/>
    <n v="5"/>
    <n v="25"/>
    <n v="4127"/>
    <n v="1"/>
    <n v="4"/>
    <s v="Recovered"/>
    <n v="1"/>
  </r>
  <r>
    <s v="ADM-243573"/>
    <d v="2025-04-02T00:00:00"/>
    <d v="2025-04-03T00:00:00"/>
    <x v="1"/>
    <s v="Q2"/>
    <x v="3"/>
    <x v="2"/>
    <x v="3"/>
    <x v="2"/>
    <x v="0"/>
    <x v="3"/>
    <x v="0"/>
    <n v="1"/>
    <m/>
    <n v="1379"/>
    <n v="0"/>
    <n v="4"/>
    <s v="Recovered"/>
    <n v="1"/>
  </r>
  <r>
    <s v="ADM-243574"/>
    <d v="2025-04-03T00:00:00"/>
    <d v="2025-04-08T00:00:00"/>
    <x v="1"/>
    <s v="Q2"/>
    <x v="3"/>
    <x v="3"/>
    <x v="3"/>
    <x v="0"/>
    <x v="0"/>
    <x v="3"/>
    <x v="0"/>
    <n v="5"/>
    <n v="66"/>
    <n v="3406"/>
    <n v="1"/>
    <n v="3"/>
    <s v="Recovered"/>
    <n v="1"/>
  </r>
  <r>
    <s v="ADM-243575"/>
    <d v="2025-04-03T00:00:00"/>
    <d v="2025-04-09T00:00:00"/>
    <x v="1"/>
    <s v="Q2"/>
    <x v="3"/>
    <x v="3"/>
    <x v="0"/>
    <x v="2"/>
    <x v="1"/>
    <x v="1"/>
    <x v="2"/>
    <n v="6"/>
    <m/>
    <n v="5297"/>
    <n v="0"/>
    <n v="4"/>
    <s v="Recovered"/>
    <n v="1"/>
  </r>
  <r>
    <s v="ADM-243576"/>
    <d v="2025-04-03T00:00:00"/>
    <d v="2025-04-09T00:00:00"/>
    <x v="1"/>
    <s v="Q2"/>
    <x v="3"/>
    <x v="3"/>
    <x v="2"/>
    <x v="2"/>
    <x v="0"/>
    <x v="1"/>
    <x v="0"/>
    <n v="6"/>
    <m/>
    <n v="4582"/>
    <n v="0"/>
    <n v="4"/>
    <s v="Improved"/>
    <n v="1"/>
  </r>
  <r>
    <s v="ADM-243577"/>
    <d v="2025-04-03T00:00:00"/>
    <d v="2025-04-11T00:00:00"/>
    <x v="1"/>
    <s v="Q2"/>
    <x v="3"/>
    <x v="3"/>
    <x v="4"/>
    <x v="0"/>
    <x v="0"/>
    <x v="2"/>
    <x v="1"/>
    <n v="8"/>
    <n v="67"/>
    <n v="8976"/>
    <n v="0"/>
    <n v="5"/>
    <s v="Recovered"/>
    <n v="1"/>
  </r>
  <r>
    <s v="ADM-243578"/>
    <d v="2025-04-03T00:00:00"/>
    <d v="2025-04-04T00:00:00"/>
    <x v="1"/>
    <s v="Q2"/>
    <x v="3"/>
    <x v="3"/>
    <x v="5"/>
    <x v="0"/>
    <x v="0"/>
    <x v="2"/>
    <x v="0"/>
    <n v="1"/>
    <n v="51"/>
    <n v="2145"/>
    <n v="0"/>
    <n v="4"/>
    <s v="Recovered"/>
    <n v="1"/>
  </r>
  <r>
    <s v="ADM-243579"/>
    <d v="2025-04-03T00:00:00"/>
    <d v="2025-04-05T00:00:00"/>
    <x v="1"/>
    <s v="Q2"/>
    <x v="3"/>
    <x v="3"/>
    <x v="5"/>
    <x v="2"/>
    <x v="1"/>
    <x v="1"/>
    <x v="2"/>
    <n v="2"/>
    <m/>
    <n v="2181"/>
    <n v="0"/>
    <n v="5"/>
    <s v="Recovered"/>
    <n v="1"/>
  </r>
  <r>
    <s v="ADM-243580"/>
    <d v="2025-04-03T00:00:00"/>
    <d v="2025-04-13T00:00:00"/>
    <x v="1"/>
    <s v="Q2"/>
    <x v="3"/>
    <x v="3"/>
    <x v="0"/>
    <x v="0"/>
    <x v="1"/>
    <x v="2"/>
    <x v="1"/>
    <n v="10"/>
    <n v="46"/>
    <n v="6900"/>
    <n v="0"/>
    <n v="4"/>
    <s v="Recovered"/>
    <n v="1"/>
  </r>
  <r>
    <s v="ADM-243581"/>
    <d v="2025-04-03T00:00:00"/>
    <d v="2025-04-16T00:00:00"/>
    <x v="1"/>
    <s v="Q2"/>
    <x v="3"/>
    <x v="3"/>
    <x v="0"/>
    <x v="2"/>
    <x v="1"/>
    <x v="0"/>
    <x v="2"/>
    <n v="13"/>
    <m/>
    <n v="11500"/>
    <n v="0"/>
    <n v="4"/>
    <s v="Recovered"/>
    <n v="1"/>
  </r>
  <r>
    <s v="ADM-243582"/>
    <d v="2025-04-04T00:00:00"/>
    <d v="2025-04-05T00:00:00"/>
    <x v="1"/>
    <s v="Q2"/>
    <x v="3"/>
    <x v="4"/>
    <x v="4"/>
    <x v="0"/>
    <x v="0"/>
    <x v="4"/>
    <x v="0"/>
    <n v="1"/>
    <n v="139"/>
    <n v="2108"/>
    <n v="0"/>
    <n v="4"/>
    <s v="Recovered"/>
    <n v="1"/>
  </r>
  <r>
    <s v="ADM-243583"/>
    <d v="2025-04-04T00:00:00"/>
    <d v="2025-04-09T00:00:00"/>
    <x v="1"/>
    <s v="Q2"/>
    <x v="3"/>
    <x v="4"/>
    <x v="0"/>
    <x v="2"/>
    <x v="1"/>
    <x v="0"/>
    <x v="2"/>
    <n v="5"/>
    <m/>
    <n v="4230"/>
    <n v="0"/>
    <n v="4"/>
    <s v="Recovered"/>
    <n v="1"/>
  </r>
  <r>
    <s v="ADM-243584"/>
    <d v="2025-04-04T00:00:00"/>
    <d v="2025-04-05T00:00:00"/>
    <x v="1"/>
    <s v="Q2"/>
    <x v="3"/>
    <x v="4"/>
    <x v="5"/>
    <x v="0"/>
    <x v="1"/>
    <x v="0"/>
    <x v="0"/>
    <n v="1"/>
    <n v="43"/>
    <n v="1802"/>
    <n v="0"/>
    <n v="5"/>
    <s v="Recovered"/>
    <n v="1"/>
  </r>
  <r>
    <s v="ADM-243585"/>
    <d v="2025-04-04T00:00:00"/>
    <d v="2025-04-13T00:00:00"/>
    <x v="1"/>
    <s v="Q2"/>
    <x v="3"/>
    <x v="4"/>
    <x v="0"/>
    <x v="2"/>
    <x v="0"/>
    <x v="4"/>
    <x v="2"/>
    <n v="9"/>
    <m/>
    <n v="5550"/>
    <n v="0"/>
    <n v="4"/>
    <s v="Improved"/>
    <n v="1"/>
  </r>
  <r>
    <s v="ADM-243586"/>
    <d v="2025-04-04T00:00:00"/>
    <d v="2025-04-17T00:00:00"/>
    <x v="1"/>
    <s v="Q2"/>
    <x v="3"/>
    <x v="4"/>
    <x v="5"/>
    <x v="0"/>
    <x v="0"/>
    <x v="0"/>
    <x v="2"/>
    <n v="13"/>
    <n v="65"/>
    <n v="12748"/>
    <n v="0"/>
    <n v="4"/>
    <s v="Improved"/>
    <n v="1"/>
  </r>
  <r>
    <s v="ADM-243587"/>
    <d v="2025-04-04T00:00:00"/>
    <d v="2025-04-06T00:00:00"/>
    <x v="1"/>
    <s v="Q2"/>
    <x v="3"/>
    <x v="4"/>
    <x v="1"/>
    <x v="0"/>
    <x v="0"/>
    <x v="1"/>
    <x v="0"/>
    <n v="2"/>
    <n v="63"/>
    <n v="3276"/>
    <n v="1"/>
    <n v="4"/>
    <s v="Recovered"/>
    <n v="1"/>
  </r>
  <r>
    <s v="ADM-243588"/>
    <d v="2025-04-04T00:00:00"/>
    <d v="2025-04-07T00:00:00"/>
    <x v="1"/>
    <s v="Q2"/>
    <x v="3"/>
    <x v="4"/>
    <x v="1"/>
    <x v="2"/>
    <x v="0"/>
    <x v="0"/>
    <x v="0"/>
    <n v="3"/>
    <m/>
    <n v="3420"/>
    <n v="0"/>
    <n v="5"/>
    <s v="Recovered"/>
    <n v="1"/>
  </r>
  <r>
    <s v="ADM-243589"/>
    <d v="2025-04-04T00:00:00"/>
    <d v="2025-04-06T00:00:00"/>
    <x v="1"/>
    <s v="Q2"/>
    <x v="3"/>
    <x v="4"/>
    <x v="0"/>
    <x v="2"/>
    <x v="1"/>
    <x v="0"/>
    <x v="2"/>
    <n v="2"/>
    <m/>
    <n v="2387"/>
    <n v="0"/>
    <n v="4"/>
    <s v="Recovered"/>
    <n v="1"/>
  </r>
  <r>
    <s v="ADM-243590"/>
    <d v="2025-04-04T00:00:00"/>
    <d v="2025-04-09T00:00:00"/>
    <x v="1"/>
    <s v="Q2"/>
    <x v="3"/>
    <x v="4"/>
    <x v="3"/>
    <x v="0"/>
    <x v="1"/>
    <x v="3"/>
    <x v="2"/>
    <n v="5"/>
    <n v="45"/>
    <n v="2827"/>
    <n v="0"/>
    <n v="3"/>
    <s v="Transferred"/>
    <n v="1"/>
  </r>
  <r>
    <s v="ADM-243591"/>
    <d v="2025-04-04T00:00:00"/>
    <d v="2025-04-09T00:00:00"/>
    <x v="1"/>
    <s v="Q2"/>
    <x v="3"/>
    <x v="4"/>
    <x v="1"/>
    <x v="1"/>
    <x v="1"/>
    <x v="4"/>
    <x v="0"/>
    <n v="5"/>
    <m/>
    <n v="5021"/>
    <n v="0"/>
    <n v="4"/>
    <s v="Recovered"/>
    <n v="1"/>
  </r>
  <r>
    <s v="ADM-243592"/>
    <d v="2025-04-05T00:00:00"/>
    <d v="2025-04-07T00:00:00"/>
    <x v="1"/>
    <s v="Q2"/>
    <x v="3"/>
    <x v="5"/>
    <x v="2"/>
    <x v="0"/>
    <x v="0"/>
    <x v="1"/>
    <x v="0"/>
    <n v="2"/>
    <n v="16"/>
    <n v="2241"/>
    <n v="0"/>
    <n v="3"/>
    <s v="Recovered"/>
    <n v="1"/>
  </r>
  <r>
    <s v="ADM-243593"/>
    <d v="2025-04-05T00:00:00"/>
    <d v="2025-04-14T00:00:00"/>
    <x v="1"/>
    <s v="Q2"/>
    <x v="3"/>
    <x v="5"/>
    <x v="1"/>
    <x v="2"/>
    <x v="0"/>
    <x v="0"/>
    <x v="0"/>
    <n v="9"/>
    <m/>
    <n v="9098"/>
    <n v="0"/>
    <n v="4"/>
    <s v="Recovered"/>
    <n v="1"/>
  </r>
  <r>
    <s v="ADM-243594"/>
    <d v="2025-04-05T00:00:00"/>
    <d v="2025-04-07T00:00:00"/>
    <x v="1"/>
    <s v="Q2"/>
    <x v="3"/>
    <x v="5"/>
    <x v="5"/>
    <x v="2"/>
    <x v="0"/>
    <x v="1"/>
    <x v="1"/>
    <n v="2"/>
    <m/>
    <n v="2378"/>
    <n v="0"/>
    <n v="5"/>
    <s v="Improved"/>
    <n v="1"/>
  </r>
  <r>
    <s v="ADM-243595"/>
    <d v="2025-04-05T00:00:00"/>
    <d v="2025-04-06T00:00:00"/>
    <x v="1"/>
    <s v="Q2"/>
    <x v="3"/>
    <x v="5"/>
    <x v="3"/>
    <x v="1"/>
    <x v="1"/>
    <x v="3"/>
    <x v="0"/>
    <n v="1"/>
    <m/>
    <n v="1880"/>
    <n v="0"/>
    <n v="4"/>
    <s v="Improved"/>
    <n v="1"/>
  </r>
  <r>
    <s v="ADM-243596"/>
    <d v="2025-04-06T00:00:00"/>
    <d v="2025-04-08T00:00:00"/>
    <x v="1"/>
    <s v="Q2"/>
    <x v="3"/>
    <x v="6"/>
    <x v="2"/>
    <x v="0"/>
    <x v="0"/>
    <x v="1"/>
    <x v="2"/>
    <n v="2"/>
    <n v="25"/>
    <n v="2023"/>
    <n v="0"/>
    <n v="5"/>
    <s v="Improved"/>
    <n v="1"/>
  </r>
  <r>
    <s v="ADM-243597"/>
    <d v="2025-04-06T00:00:00"/>
    <d v="2025-04-08T00:00:00"/>
    <x v="1"/>
    <s v="Q2"/>
    <x v="3"/>
    <x v="6"/>
    <x v="0"/>
    <x v="0"/>
    <x v="1"/>
    <x v="4"/>
    <x v="0"/>
    <n v="2"/>
    <n v="14"/>
    <n v="2232"/>
    <n v="0"/>
    <n v="3"/>
    <s v="Recovered"/>
    <n v="1"/>
  </r>
  <r>
    <s v="ADM-243598"/>
    <d v="2025-04-06T00:00:00"/>
    <d v="2025-04-12T00:00:00"/>
    <x v="1"/>
    <s v="Q2"/>
    <x v="3"/>
    <x v="6"/>
    <x v="5"/>
    <x v="0"/>
    <x v="1"/>
    <x v="1"/>
    <x v="2"/>
    <n v="6"/>
    <n v="28"/>
    <n v="6880"/>
    <n v="0"/>
    <n v="4"/>
    <s v="Recovered"/>
    <n v="1"/>
  </r>
  <r>
    <s v="ADM-243599"/>
    <d v="2025-04-06T00:00:00"/>
    <d v="2025-04-16T00:00:00"/>
    <x v="1"/>
    <s v="Q2"/>
    <x v="3"/>
    <x v="6"/>
    <x v="0"/>
    <x v="0"/>
    <x v="1"/>
    <x v="0"/>
    <x v="2"/>
    <n v="10"/>
    <n v="40"/>
    <n v="6495"/>
    <n v="0"/>
    <n v="5"/>
    <s v="Improved"/>
    <n v="1"/>
  </r>
  <r>
    <s v="ADM-243600"/>
    <d v="2025-04-06T00:00:00"/>
    <d v="2025-04-09T00:00:00"/>
    <x v="1"/>
    <s v="Q2"/>
    <x v="3"/>
    <x v="6"/>
    <x v="3"/>
    <x v="2"/>
    <x v="0"/>
    <x v="3"/>
    <x v="2"/>
    <n v="3"/>
    <m/>
    <n v="2086"/>
    <n v="0"/>
    <n v="4"/>
    <s v="Recovered"/>
    <n v="1"/>
  </r>
  <r>
    <s v="ADM-243601"/>
    <d v="2025-04-06T00:00:00"/>
    <d v="2025-04-08T00:00:00"/>
    <x v="1"/>
    <s v="Q2"/>
    <x v="3"/>
    <x v="6"/>
    <x v="0"/>
    <x v="0"/>
    <x v="0"/>
    <x v="4"/>
    <x v="2"/>
    <n v="2"/>
    <n v="31"/>
    <n v="1453"/>
    <n v="0"/>
    <n v="5"/>
    <s v="Recovered"/>
    <n v="1"/>
  </r>
  <r>
    <s v="ADM-243602"/>
    <d v="2025-04-06T00:00:00"/>
    <d v="2025-04-12T00:00:00"/>
    <x v="1"/>
    <s v="Q2"/>
    <x v="3"/>
    <x v="6"/>
    <x v="5"/>
    <x v="2"/>
    <x v="0"/>
    <x v="0"/>
    <x v="1"/>
    <n v="6"/>
    <m/>
    <n v="6662"/>
    <n v="0"/>
    <n v="5"/>
    <s v="Improved"/>
    <n v="1"/>
  </r>
  <r>
    <s v="ADM-243603"/>
    <d v="2025-04-07T00:00:00"/>
    <d v="2025-04-14T00:00:00"/>
    <x v="1"/>
    <s v="Q2"/>
    <x v="3"/>
    <x v="0"/>
    <x v="4"/>
    <x v="0"/>
    <x v="0"/>
    <x v="2"/>
    <x v="0"/>
    <n v="7"/>
    <n v="61"/>
    <n v="8753"/>
    <n v="0"/>
    <n v="4"/>
    <s v="Improved"/>
    <n v="1"/>
  </r>
  <r>
    <s v="ADM-243604"/>
    <d v="2025-04-07T00:00:00"/>
    <d v="2025-04-17T00:00:00"/>
    <x v="1"/>
    <s v="Q2"/>
    <x v="3"/>
    <x v="0"/>
    <x v="0"/>
    <x v="0"/>
    <x v="0"/>
    <x v="0"/>
    <x v="0"/>
    <n v="10"/>
    <n v="37"/>
    <n v="6813"/>
    <n v="0"/>
    <n v="5"/>
    <s v="Recovered"/>
    <n v="1"/>
  </r>
  <r>
    <s v="ADM-243605"/>
    <d v="2025-04-07T00:00:00"/>
    <d v="2025-04-08T00:00:00"/>
    <x v="1"/>
    <s v="Q2"/>
    <x v="3"/>
    <x v="0"/>
    <x v="2"/>
    <x v="0"/>
    <x v="0"/>
    <x v="2"/>
    <x v="2"/>
    <n v="1"/>
    <n v="65"/>
    <n v="1318"/>
    <n v="0"/>
    <n v="4"/>
    <s v="Improved"/>
    <n v="1"/>
  </r>
  <r>
    <s v="ADM-243606"/>
    <d v="2025-04-07T00:00:00"/>
    <d v="2025-04-09T00:00:00"/>
    <x v="1"/>
    <s v="Q2"/>
    <x v="3"/>
    <x v="0"/>
    <x v="3"/>
    <x v="0"/>
    <x v="0"/>
    <x v="3"/>
    <x v="0"/>
    <n v="2"/>
    <n v="42"/>
    <n v="2395"/>
    <n v="0"/>
    <n v="4"/>
    <s v="Improved"/>
    <n v="1"/>
  </r>
  <r>
    <s v="ADM-243607"/>
    <d v="2025-04-07T00:00:00"/>
    <d v="2025-04-15T00:00:00"/>
    <x v="1"/>
    <s v="Q2"/>
    <x v="3"/>
    <x v="0"/>
    <x v="0"/>
    <x v="0"/>
    <x v="1"/>
    <x v="4"/>
    <x v="2"/>
    <n v="8"/>
    <n v="65"/>
    <n v="6258"/>
    <n v="0"/>
    <n v="5"/>
    <s v="Recovered"/>
    <n v="1"/>
  </r>
  <r>
    <s v="ADM-243608"/>
    <d v="2025-04-07T00:00:00"/>
    <d v="2025-04-08T00:00:00"/>
    <x v="1"/>
    <s v="Q2"/>
    <x v="3"/>
    <x v="0"/>
    <x v="1"/>
    <x v="2"/>
    <x v="1"/>
    <x v="1"/>
    <x v="1"/>
    <n v="1"/>
    <m/>
    <n v="2039"/>
    <n v="0"/>
    <n v="5"/>
    <s v="Recovered"/>
    <n v="1"/>
  </r>
  <r>
    <s v="ADM-243609"/>
    <d v="2025-04-07T00:00:00"/>
    <d v="2025-04-16T00:00:00"/>
    <x v="1"/>
    <s v="Q2"/>
    <x v="3"/>
    <x v="0"/>
    <x v="1"/>
    <x v="2"/>
    <x v="0"/>
    <x v="0"/>
    <x v="0"/>
    <n v="9"/>
    <m/>
    <n v="7144"/>
    <n v="0"/>
    <n v="5"/>
    <s v="Recovered"/>
    <n v="1"/>
  </r>
  <r>
    <s v="ADM-243610"/>
    <d v="2025-04-07T00:00:00"/>
    <d v="2025-04-12T00:00:00"/>
    <x v="1"/>
    <s v="Q2"/>
    <x v="3"/>
    <x v="0"/>
    <x v="1"/>
    <x v="2"/>
    <x v="0"/>
    <x v="4"/>
    <x v="0"/>
    <n v="5"/>
    <m/>
    <n v="5297"/>
    <n v="0"/>
    <n v="5"/>
    <s v="Improved"/>
    <n v="1"/>
  </r>
  <r>
    <s v="ADM-243611"/>
    <d v="2025-04-07T00:00:00"/>
    <d v="2025-04-10T00:00:00"/>
    <x v="1"/>
    <s v="Q2"/>
    <x v="3"/>
    <x v="0"/>
    <x v="0"/>
    <x v="0"/>
    <x v="1"/>
    <x v="4"/>
    <x v="0"/>
    <n v="3"/>
    <n v="25"/>
    <n v="3315"/>
    <n v="0"/>
    <n v="4"/>
    <s v="Transferred"/>
    <n v="1"/>
  </r>
  <r>
    <s v="ADM-243612"/>
    <d v="2025-04-07T00:00:00"/>
    <d v="2025-04-11T00:00:00"/>
    <x v="1"/>
    <s v="Q2"/>
    <x v="3"/>
    <x v="0"/>
    <x v="3"/>
    <x v="0"/>
    <x v="0"/>
    <x v="3"/>
    <x v="2"/>
    <n v="4"/>
    <n v="58"/>
    <n v="2396"/>
    <n v="0"/>
    <n v="5"/>
    <s v="Improved"/>
    <n v="1"/>
  </r>
  <r>
    <s v="ADM-243613"/>
    <d v="2025-04-07T00:00:00"/>
    <d v="2025-04-13T00:00:00"/>
    <x v="1"/>
    <s v="Q2"/>
    <x v="3"/>
    <x v="0"/>
    <x v="1"/>
    <x v="2"/>
    <x v="1"/>
    <x v="0"/>
    <x v="2"/>
    <n v="6"/>
    <m/>
    <n v="6775"/>
    <n v="0"/>
    <n v="5"/>
    <s v="Improved"/>
    <n v="1"/>
  </r>
  <r>
    <s v="ADM-243614"/>
    <d v="2025-04-07T00:00:00"/>
    <d v="2025-04-10T00:00:00"/>
    <x v="1"/>
    <s v="Q2"/>
    <x v="3"/>
    <x v="0"/>
    <x v="2"/>
    <x v="0"/>
    <x v="0"/>
    <x v="1"/>
    <x v="2"/>
    <n v="3"/>
    <n v="68"/>
    <n v="3050"/>
    <n v="0"/>
    <n v="4"/>
    <s v="Recovered"/>
    <n v="1"/>
  </r>
  <r>
    <s v="ADM-243615"/>
    <d v="2025-04-08T00:00:00"/>
    <d v="2025-04-13T00:00:00"/>
    <x v="1"/>
    <s v="Q2"/>
    <x v="3"/>
    <x v="1"/>
    <x v="5"/>
    <x v="2"/>
    <x v="1"/>
    <x v="1"/>
    <x v="0"/>
    <n v="5"/>
    <m/>
    <n v="5794"/>
    <n v="0"/>
    <n v="4"/>
    <s v="Recovered"/>
    <n v="1"/>
  </r>
  <r>
    <s v="ADM-243616"/>
    <d v="2025-04-08T00:00:00"/>
    <d v="2025-04-09T00:00:00"/>
    <x v="1"/>
    <s v="Q2"/>
    <x v="3"/>
    <x v="1"/>
    <x v="2"/>
    <x v="0"/>
    <x v="0"/>
    <x v="2"/>
    <x v="2"/>
    <n v="1"/>
    <n v="28"/>
    <n v="1133"/>
    <n v="1"/>
    <n v="3"/>
    <s v="Improved"/>
    <n v="1"/>
  </r>
  <r>
    <s v="ADM-243617"/>
    <d v="2025-04-08T00:00:00"/>
    <d v="2025-04-12T00:00:00"/>
    <x v="1"/>
    <s v="Q2"/>
    <x v="3"/>
    <x v="1"/>
    <x v="1"/>
    <x v="0"/>
    <x v="1"/>
    <x v="0"/>
    <x v="2"/>
    <n v="4"/>
    <n v="79"/>
    <n v="4128"/>
    <n v="0"/>
    <n v="3"/>
    <s v="Recovered"/>
    <n v="1"/>
  </r>
  <r>
    <s v="ADM-243618"/>
    <d v="2025-04-08T00:00:00"/>
    <d v="2025-04-11T00:00:00"/>
    <x v="1"/>
    <s v="Q2"/>
    <x v="3"/>
    <x v="1"/>
    <x v="2"/>
    <x v="0"/>
    <x v="0"/>
    <x v="2"/>
    <x v="0"/>
    <n v="3"/>
    <n v="52"/>
    <n v="2733"/>
    <n v="0"/>
    <n v="5"/>
    <s v="Recovered"/>
    <n v="1"/>
  </r>
  <r>
    <s v="ADM-243619"/>
    <d v="2025-04-08T00:00:00"/>
    <d v="2025-04-10T00:00:00"/>
    <x v="1"/>
    <s v="Q2"/>
    <x v="3"/>
    <x v="1"/>
    <x v="0"/>
    <x v="0"/>
    <x v="1"/>
    <x v="4"/>
    <x v="1"/>
    <n v="2"/>
    <n v="42"/>
    <n v="2638"/>
    <n v="1"/>
    <n v="4"/>
    <s v="Improved"/>
    <n v="1"/>
  </r>
  <r>
    <s v="ADM-243620"/>
    <d v="2025-04-08T00:00:00"/>
    <d v="2025-04-18T00:00:00"/>
    <x v="1"/>
    <s v="Q2"/>
    <x v="3"/>
    <x v="1"/>
    <x v="4"/>
    <x v="0"/>
    <x v="0"/>
    <x v="4"/>
    <x v="2"/>
    <n v="10"/>
    <n v="27"/>
    <n v="10503"/>
    <n v="0"/>
    <n v="4"/>
    <s v="Recovered"/>
    <n v="1"/>
  </r>
  <r>
    <s v="ADM-243621"/>
    <d v="2025-04-08T00:00:00"/>
    <d v="2025-04-10T00:00:00"/>
    <x v="1"/>
    <s v="Q2"/>
    <x v="3"/>
    <x v="1"/>
    <x v="3"/>
    <x v="0"/>
    <x v="0"/>
    <x v="3"/>
    <x v="1"/>
    <n v="2"/>
    <n v="56"/>
    <n v="1471"/>
    <n v="0"/>
    <n v="3"/>
    <s v="Recovered"/>
    <n v="1"/>
  </r>
  <r>
    <s v="ADM-243622"/>
    <d v="2025-04-09T00:00:00"/>
    <d v="2025-04-19T00:00:00"/>
    <x v="1"/>
    <s v="Q2"/>
    <x v="3"/>
    <x v="2"/>
    <x v="2"/>
    <x v="0"/>
    <x v="0"/>
    <x v="2"/>
    <x v="2"/>
    <n v="10"/>
    <n v="75"/>
    <n v="7409"/>
    <n v="0"/>
    <n v="4"/>
    <s v="Recovered"/>
    <n v="1"/>
  </r>
  <r>
    <s v="ADM-243623"/>
    <d v="2025-04-09T00:00:00"/>
    <d v="2025-04-11T00:00:00"/>
    <x v="1"/>
    <s v="Q2"/>
    <x v="3"/>
    <x v="2"/>
    <x v="3"/>
    <x v="0"/>
    <x v="0"/>
    <x v="3"/>
    <x v="2"/>
    <n v="2"/>
    <n v="94"/>
    <n v="2242"/>
    <n v="0"/>
    <n v="3"/>
    <s v="Transferred"/>
    <n v="1"/>
  </r>
  <r>
    <s v="ADM-243624"/>
    <d v="2025-04-09T00:00:00"/>
    <d v="2025-04-11T00:00:00"/>
    <x v="1"/>
    <s v="Q2"/>
    <x v="3"/>
    <x v="2"/>
    <x v="3"/>
    <x v="0"/>
    <x v="0"/>
    <x v="3"/>
    <x v="0"/>
    <n v="2"/>
    <n v="26"/>
    <n v="2103"/>
    <n v="0"/>
    <n v="5"/>
    <s v="Improved"/>
    <n v="1"/>
  </r>
  <r>
    <s v="ADM-243625"/>
    <d v="2025-04-09T00:00:00"/>
    <d v="2025-04-10T00:00:00"/>
    <x v="1"/>
    <s v="Q2"/>
    <x v="3"/>
    <x v="2"/>
    <x v="0"/>
    <x v="0"/>
    <x v="0"/>
    <x v="0"/>
    <x v="0"/>
    <n v="1"/>
    <n v="26"/>
    <n v="1406"/>
    <n v="0"/>
    <n v="5"/>
    <s v="Improved"/>
    <n v="1"/>
  </r>
  <r>
    <s v="ADM-243626"/>
    <d v="2025-04-09T00:00:00"/>
    <d v="2025-04-23T00:00:00"/>
    <x v="1"/>
    <s v="Q2"/>
    <x v="3"/>
    <x v="2"/>
    <x v="1"/>
    <x v="2"/>
    <x v="1"/>
    <x v="0"/>
    <x v="2"/>
    <n v="14"/>
    <m/>
    <n v="13440"/>
    <n v="0"/>
    <n v="5"/>
    <s v="Recovered"/>
    <n v="1"/>
  </r>
  <r>
    <s v="ADM-243627"/>
    <d v="2025-04-09T00:00:00"/>
    <d v="2025-04-14T00:00:00"/>
    <x v="1"/>
    <s v="Q2"/>
    <x v="3"/>
    <x v="2"/>
    <x v="5"/>
    <x v="2"/>
    <x v="0"/>
    <x v="0"/>
    <x v="0"/>
    <n v="5"/>
    <m/>
    <n v="5536"/>
    <n v="0"/>
    <n v="4"/>
    <s v="Recovered"/>
    <n v="1"/>
  </r>
  <r>
    <s v="ADM-243628"/>
    <d v="2025-04-09T00:00:00"/>
    <d v="2025-04-10T00:00:00"/>
    <x v="1"/>
    <s v="Q2"/>
    <x v="3"/>
    <x v="2"/>
    <x v="0"/>
    <x v="0"/>
    <x v="1"/>
    <x v="4"/>
    <x v="2"/>
    <n v="1"/>
    <n v="59"/>
    <n v="1434"/>
    <n v="0"/>
    <n v="5"/>
    <s v="Recovered"/>
    <n v="1"/>
  </r>
  <r>
    <s v="ADM-243629"/>
    <d v="2025-04-10T00:00:00"/>
    <d v="2025-04-14T00:00:00"/>
    <x v="1"/>
    <s v="Q2"/>
    <x v="3"/>
    <x v="3"/>
    <x v="1"/>
    <x v="2"/>
    <x v="0"/>
    <x v="2"/>
    <x v="0"/>
    <n v="4"/>
    <m/>
    <n v="5285"/>
    <n v="0"/>
    <n v="5"/>
    <s v="Recovered"/>
    <n v="1"/>
  </r>
  <r>
    <s v="ADM-243630"/>
    <d v="2025-04-10T00:00:00"/>
    <d v="2025-04-13T00:00:00"/>
    <x v="1"/>
    <s v="Q2"/>
    <x v="3"/>
    <x v="3"/>
    <x v="2"/>
    <x v="0"/>
    <x v="0"/>
    <x v="1"/>
    <x v="1"/>
    <n v="3"/>
    <n v="38"/>
    <n v="2871"/>
    <n v="0"/>
    <n v="4"/>
    <s v="Recovered"/>
    <n v="1"/>
  </r>
  <r>
    <s v="ADM-243631"/>
    <d v="2025-04-10T00:00:00"/>
    <d v="2025-04-13T00:00:00"/>
    <x v="1"/>
    <s v="Q2"/>
    <x v="3"/>
    <x v="3"/>
    <x v="5"/>
    <x v="0"/>
    <x v="1"/>
    <x v="0"/>
    <x v="2"/>
    <n v="3"/>
    <n v="31"/>
    <n v="2949"/>
    <n v="0"/>
    <n v="4"/>
    <s v="Transferred"/>
    <n v="1"/>
  </r>
  <r>
    <s v="ADM-243632"/>
    <d v="2025-04-10T00:00:00"/>
    <d v="2025-04-14T00:00:00"/>
    <x v="1"/>
    <s v="Q2"/>
    <x v="3"/>
    <x v="3"/>
    <x v="3"/>
    <x v="2"/>
    <x v="0"/>
    <x v="3"/>
    <x v="2"/>
    <n v="4"/>
    <m/>
    <n v="2941"/>
    <n v="0"/>
    <n v="4"/>
    <s v="Recovered"/>
    <n v="1"/>
  </r>
  <r>
    <s v="ADM-243633"/>
    <d v="2025-04-10T00:00:00"/>
    <d v="2025-04-13T00:00:00"/>
    <x v="1"/>
    <s v="Q2"/>
    <x v="3"/>
    <x v="3"/>
    <x v="2"/>
    <x v="2"/>
    <x v="0"/>
    <x v="2"/>
    <x v="2"/>
    <n v="3"/>
    <m/>
    <n v="2677"/>
    <n v="0"/>
    <n v="4"/>
    <s v="Recovered"/>
    <n v="1"/>
  </r>
  <r>
    <s v="ADM-243634"/>
    <d v="2025-04-11T00:00:00"/>
    <d v="2025-04-14T00:00:00"/>
    <x v="1"/>
    <s v="Q2"/>
    <x v="3"/>
    <x v="4"/>
    <x v="1"/>
    <x v="2"/>
    <x v="0"/>
    <x v="1"/>
    <x v="2"/>
    <n v="3"/>
    <m/>
    <n v="4162"/>
    <n v="0"/>
    <n v="5"/>
    <s v="Improved"/>
    <n v="1"/>
  </r>
  <r>
    <s v="ADM-243635"/>
    <d v="2025-04-11T00:00:00"/>
    <d v="2025-04-24T00:00:00"/>
    <x v="1"/>
    <s v="Q2"/>
    <x v="3"/>
    <x v="4"/>
    <x v="1"/>
    <x v="2"/>
    <x v="1"/>
    <x v="2"/>
    <x v="2"/>
    <n v="13"/>
    <m/>
    <n v="14638"/>
    <n v="0"/>
    <n v="4"/>
    <s v="Improved"/>
    <n v="1"/>
  </r>
  <r>
    <s v="ADM-243636"/>
    <d v="2025-04-11T00:00:00"/>
    <d v="2025-04-14T00:00:00"/>
    <x v="1"/>
    <s v="Q2"/>
    <x v="3"/>
    <x v="4"/>
    <x v="1"/>
    <x v="0"/>
    <x v="1"/>
    <x v="1"/>
    <x v="0"/>
    <n v="3"/>
    <n v="197"/>
    <n v="4354"/>
    <n v="0"/>
    <n v="3"/>
    <s v="Recovered"/>
    <n v="1"/>
  </r>
  <r>
    <s v="ADM-243637"/>
    <d v="2025-04-11T00:00:00"/>
    <d v="2025-04-12T00:00:00"/>
    <x v="1"/>
    <s v="Q2"/>
    <x v="3"/>
    <x v="4"/>
    <x v="2"/>
    <x v="0"/>
    <x v="0"/>
    <x v="2"/>
    <x v="1"/>
    <n v="1"/>
    <n v="124"/>
    <n v="1318"/>
    <n v="0"/>
    <n v="3"/>
    <s v="Recovered"/>
    <n v="1"/>
  </r>
  <r>
    <s v="ADM-243638"/>
    <d v="2025-04-11T00:00:00"/>
    <d v="2025-04-19T00:00:00"/>
    <x v="1"/>
    <s v="Q2"/>
    <x v="3"/>
    <x v="4"/>
    <x v="4"/>
    <x v="0"/>
    <x v="1"/>
    <x v="2"/>
    <x v="0"/>
    <n v="8"/>
    <n v="52"/>
    <n v="13672"/>
    <n v="0"/>
    <n v="5"/>
    <s v="Improved"/>
    <n v="1"/>
  </r>
  <r>
    <s v="ADM-243639"/>
    <d v="2025-04-11T00:00:00"/>
    <d v="2025-04-13T00:00:00"/>
    <x v="1"/>
    <s v="Q2"/>
    <x v="3"/>
    <x v="4"/>
    <x v="3"/>
    <x v="0"/>
    <x v="1"/>
    <x v="3"/>
    <x v="1"/>
    <n v="2"/>
    <n v="47"/>
    <n v="2128"/>
    <n v="0"/>
    <n v="3"/>
    <s v="Recovered"/>
    <n v="1"/>
  </r>
  <r>
    <s v="ADM-243640"/>
    <d v="2025-04-11T00:00:00"/>
    <d v="2025-04-13T00:00:00"/>
    <x v="1"/>
    <s v="Q2"/>
    <x v="3"/>
    <x v="4"/>
    <x v="2"/>
    <x v="0"/>
    <x v="0"/>
    <x v="2"/>
    <x v="0"/>
    <n v="2"/>
    <n v="34"/>
    <n v="1884"/>
    <n v="0"/>
    <n v="4"/>
    <s v="Recovered"/>
    <n v="1"/>
  </r>
  <r>
    <s v="ADM-243641"/>
    <d v="2025-04-11T00:00:00"/>
    <d v="2025-04-13T00:00:00"/>
    <x v="1"/>
    <s v="Q2"/>
    <x v="3"/>
    <x v="4"/>
    <x v="0"/>
    <x v="0"/>
    <x v="1"/>
    <x v="4"/>
    <x v="0"/>
    <n v="2"/>
    <n v="102"/>
    <n v="1850"/>
    <n v="0"/>
    <n v="4"/>
    <s v="Improved"/>
    <n v="1"/>
  </r>
  <r>
    <s v="ADM-243642"/>
    <d v="2025-04-11T00:00:00"/>
    <d v="2025-04-13T00:00:00"/>
    <x v="1"/>
    <s v="Q2"/>
    <x v="3"/>
    <x v="4"/>
    <x v="0"/>
    <x v="0"/>
    <x v="0"/>
    <x v="2"/>
    <x v="2"/>
    <n v="2"/>
    <n v="20"/>
    <n v="2600"/>
    <n v="0"/>
    <n v="4"/>
    <s v="Recovered"/>
    <n v="1"/>
  </r>
  <r>
    <s v="ADM-243643"/>
    <d v="2025-04-11T00:00:00"/>
    <d v="2025-04-19T00:00:00"/>
    <x v="1"/>
    <s v="Q2"/>
    <x v="3"/>
    <x v="4"/>
    <x v="4"/>
    <x v="0"/>
    <x v="1"/>
    <x v="0"/>
    <x v="2"/>
    <n v="8"/>
    <n v="62"/>
    <n v="6678"/>
    <n v="0"/>
    <n v="3"/>
    <s v="Recovered"/>
    <n v="1"/>
  </r>
  <r>
    <s v="ADM-243644"/>
    <d v="2025-04-12T00:00:00"/>
    <d v="2025-04-13T00:00:00"/>
    <x v="1"/>
    <s v="Q2"/>
    <x v="3"/>
    <x v="5"/>
    <x v="4"/>
    <x v="1"/>
    <x v="1"/>
    <x v="4"/>
    <x v="1"/>
    <n v="1"/>
    <m/>
    <n v="1930"/>
    <n v="0"/>
    <n v="4"/>
    <s v="Improved"/>
    <n v="1"/>
  </r>
  <r>
    <s v="ADM-243645"/>
    <d v="2025-04-12T00:00:00"/>
    <d v="2025-04-15T00:00:00"/>
    <x v="1"/>
    <s v="Q2"/>
    <x v="3"/>
    <x v="5"/>
    <x v="3"/>
    <x v="0"/>
    <x v="1"/>
    <x v="3"/>
    <x v="0"/>
    <n v="3"/>
    <n v="47"/>
    <n v="2925"/>
    <n v="0"/>
    <n v="3"/>
    <s v="Recovered"/>
    <n v="1"/>
  </r>
  <r>
    <s v="ADM-243646"/>
    <d v="2025-04-12T00:00:00"/>
    <d v="2025-04-15T00:00:00"/>
    <x v="1"/>
    <s v="Q2"/>
    <x v="3"/>
    <x v="5"/>
    <x v="5"/>
    <x v="2"/>
    <x v="1"/>
    <x v="2"/>
    <x v="2"/>
    <n v="3"/>
    <m/>
    <n v="3994"/>
    <n v="0"/>
    <n v="3"/>
    <s v="Improved"/>
    <n v="1"/>
  </r>
  <r>
    <s v="ADM-243647"/>
    <d v="2025-04-12T00:00:00"/>
    <d v="2025-04-16T00:00:00"/>
    <x v="1"/>
    <s v="Q2"/>
    <x v="3"/>
    <x v="5"/>
    <x v="3"/>
    <x v="0"/>
    <x v="1"/>
    <x v="3"/>
    <x v="0"/>
    <n v="4"/>
    <n v="123"/>
    <n v="3080"/>
    <n v="0"/>
    <n v="4"/>
    <s v="Recovered"/>
    <n v="1"/>
  </r>
  <r>
    <s v="ADM-243648"/>
    <d v="2025-04-12T00:00:00"/>
    <d v="2025-04-15T00:00:00"/>
    <x v="1"/>
    <s v="Q2"/>
    <x v="3"/>
    <x v="5"/>
    <x v="3"/>
    <x v="0"/>
    <x v="0"/>
    <x v="3"/>
    <x v="0"/>
    <n v="3"/>
    <n v="70"/>
    <n v="2766"/>
    <n v="0"/>
    <n v="4"/>
    <s v="Deceased"/>
    <n v="1"/>
  </r>
  <r>
    <s v="ADM-243649"/>
    <d v="2025-04-12T00:00:00"/>
    <d v="2025-04-23T00:00:00"/>
    <x v="1"/>
    <s v="Q2"/>
    <x v="3"/>
    <x v="5"/>
    <x v="4"/>
    <x v="2"/>
    <x v="0"/>
    <x v="0"/>
    <x v="0"/>
    <n v="11"/>
    <m/>
    <n v="11973"/>
    <n v="0"/>
    <n v="4"/>
    <s v="Recovered"/>
    <n v="1"/>
  </r>
  <r>
    <s v="ADM-243650"/>
    <d v="2025-04-12T00:00:00"/>
    <d v="2025-04-13T00:00:00"/>
    <x v="1"/>
    <s v="Q2"/>
    <x v="3"/>
    <x v="5"/>
    <x v="2"/>
    <x v="2"/>
    <x v="0"/>
    <x v="1"/>
    <x v="0"/>
    <n v="1"/>
    <m/>
    <n v="1521"/>
    <n v="0"/>
    <n v="5"/>
    <s v="Recovered"/>
    <n v="1"/>
  </r>
  <r>
    <s v="ADM-243651"/>
    <d v="2025-04-12T00:00:00"/>
    <d v="2025-04-19T00:00:00"/>
    <x v="1"/>
    <s v="Q2"/>
    <x v="3"/>
    <x v="5"/>
    <x v="4"/>
    <x v="0"/>
    <x v="1"/>
    <x v="4"/>
    <x v="0"/>
    <n v="7"/>
    <n v="31"/>
    <n v="6891"/>
    <n v="0"/>
    <n v="3"/>
    <s v="Recovered"/>
    <n v="1"/>
  </r>
  <r>
    <s v="ADM-243652"/>
    <d v="2025-04-12T00:00:00"/>
    <d v="2025-04-17T00:00:00"/>
    <x v="1"/>
    <s v="Q2"/>
    <x v="3"/>
    <x v="5"/>
    <x v="1"/>
    <x v="2"/>
    <x v="0"/>
    <x v="4"/>
    <x v="0"/>
    <n v="5"/>
    <m/>
    <n v="5200"/>
    <n v="0"/>
    <n v="4"/>
    <s v="Recovered"/>
    <n v="1"/>
  </r>
  <r>
    <s v="ADM-243653"/>
    <d v="2025-04-13T00:00:00"/>
    <d v="2025-04-14T00:00:00"/>
    <x v="1"/>
    <s v="Q2"/>
    <x v="3"/>
    <x v="6"/>
    <x v="2"/>
    <x v="0"/>
    <x v="0"/>
    <x v="1"/>
    <x v="2"/>
    <n v="1"/>
    <n v="34"/>
    <n v="1148"/>
    <n v="0"/>
    <n v="5"/>
    <s v="Recovered"/>
    <n v="1"/>
  </r>
  <r>
    <s v="ADM-243654"/>
    <d v="2025-04-13T00:00:00"/>
    <d v="2025-04-19T00:00:00"/>
    <x v="1"/>
    <s v="Q2"/>
    <x v="3"/>
    <x v="6"/>
    <x v="1"/>
    <x v="2"/>
    <x v="0"/>
    <x v="4"/>
    <x v="2"/>
    <n v="6"/>
    <m/>
    <n v="6410"/>
    <n v="0"/>
    <n v="5"/>
    <s v="Improved"/>
    <n v="1"/>
  </r>
  <r>
    <s v="ADM-243655"/>
    <d v="2025-04-13T00:00:00"/>
    <d v="2025-04-14T00:00:00"/>
    <x v="1"/>
    <s v="Q2"/>
    <x v="3"/>
    <x v="6"/>
    <x v="3"/>
    <x v="0"/>
    <x v="1"/>
    <x v="3"/>
    <x v="1"/>
    <n v="1"/>
    <n v="40"/>
    <n v="1663"/>
    <n v="0"/>
    <n v="4"/>
    <s v="Recovered"/>
    <n v="1"/>
  </r>
  <r>
    <s v="ADM-243656"/>
    <d v="2025-04-13T00:00:00"/>
    <d v="2025-04-22T00:00:00"/>
    <x v="1"/>
    <s v="Q2"/>
    <x v="3"/>
    <x v="6"/>
    <x v="3"/>
    <x v="0"/>
    <x v="1"/>
    <x v="3"/>
    <x v="2"/>
    <n v="9"/>
    <n v="14"/>
    <n v="6587"/>
    <n v="0"/>
    <n v="4"/>
    <s v="Recovered"/>
    <n v="1"/>
  </r>
  <r>
    <s v="ADM-243657"/>
    <d v="2025-04-13T00:00:00"/>
    <d v="2025-04-17T00:00:00"/>
    <x v="1"/>
    <s v="Q2"/>
    <x v="3"/>
    <x v="6"/>
    <x v="3"/>
    <x v="0"/>
    <x v="1"/>
    <x v="3"/>
    <x v="2"/>
    <n v="4"/>
    <n v="77"/>
    <n v="3095"/>
    <n v="0"/>
    <n v="5"/>
    <s v="Recovered"/>
    <n v="1"/>
  </r>
  <r>
    <s v="ADM-243658"/>
    <d v="2025-04-13T00:00:00"/>
    <d v="2025-04-19T00:00:00"/>
    <x v="1"/>
    <s v="Q2"/>
    <x v="3"/>
    <x v="6"/>
    <x v="0"/>
    <x v="0"/>
    <x v="0"/>
    <x v="0"/>
    <x v="2"/>
    <n v="6"/>
    <n v="67"/>
    <n v="5973"/>
    <n v="0"/>
    <n v="5"/>
    <s v="Recovered"/>
    <n v="1"/>
  </r>
  <r>
    <s v="ADM-243659"/>
    <d v="2025-04-13T00:00:00"/>
    <d v="2025-04-19T00:00:00"/>
    <x v="1"/>
    <s v="Q2"/>
    <x v="3"/>
    <x v="6"/>
    <x v="0"/>
    <x v="0"/>
    <x v="1"/>
    <x v="0"/>
    <x v="0"/>
    <n v="6"/>
    <n v="66"/>
    <n v="5493"/>
    <n v="0"/>
    <n v="4"/>
    <s v="Recovered"/>
    <n v="1"/>
  </r>
  <r>
    <s v="ADM-243660"/>
    <d v="2025-04-13T00:00:00"/>
    <d v="2025-04-20T00:00:00"/>
    <x v="1"/>
    <s v="Q2"/>
    <x v="3"/>
    <x v="6"/>
    <x v="0"/>
    <x v="0"/>
    <x v="0"/>
    <x v="1"/>
    <x v="0"/>
    <n v="7"/>
    <n v="28"/>
    <n v="5766"/>
    <n v="0"/>
    <n v="3"/>
    <s v="Recovered"/>
    <n v="1"/>
  </r>
  <r>
    <s v="ADM-243661"/>
    <d v="2025-04-14T00:00:00"/>
    <d v="2025-04-24T00:00:00"/>
    <x v="1"/>
    <s v="Q2"/>
    <x v="3"/>
    <x v="0"/>
    <x v="1"/>
    <x v="2"/>
    <x v="0"/>
    <x v="1"/>
    <x v="0"/>
    <n v="10"/>
    <m/>
    <n v="8866"/>
    <n v="0"/>
    <n v="4"/>
    <s v="Recovered"/>
    <n v="1"/>
  </r>
  <r>
    <s v="ADM-243662"/>
    <d v="2025-04-14T00:00:00"/>
    <d v="2025-04-18T00:00:00"/>
    <x v="1"/>
    <s v="Q2"/>
    <x v="3"/>
    <x v="0"/>
    <x v="0"/>
    <x v="0"/>
    <x v="0"/>
    <x v="1"/>
    <x v="2"/>
    <n v="4"/>
    <n v="30"/>
    <n v="4091"/>
    <n v="0"/>
    <n v="4"/>
    <s v="Deceased"/>
    <n v="1"/>
  </r>
  <r>
    <s v="ADM-243663"/>
    <d v="2025-04-14T00:00:00"/>
    <d v="2025-04-29T00:00:00"/>
    <x v="1"/>
    <s v="Q2"/>
    <x v="3"/>
    <x v="0"/>
    <x v="4"/>
    <x v="0"/>
    <x v="0"/>
    <x v="0"/>
    <x v="0"/>
    <n v="15"/>
    <n v="49"/>
    <n v="17043"/>
    <n v="0"/>
    <n v="5"/>
    <s v="Recovered"/>
    <n v="1"/>
  </r>
  <r>
    <s v="ADM-243664"/>
    <d v="2025-04-14T00:00:00"/>
    <d v="2025-04-16T00:00:00"/>
    <x v="1"/>
    <s v="Q2"/>
    <x v="3"/>
    <x v="0"/>
    <x v="0"/>
    <x v="2"/>
    <x v="0"/>
    <x v="4"/>
    <x v="2"/>
    <n v="2"/>
    <m/>
    <n v="2108"/>
    <n v="0"/>
    <n v="5"/>
    <s v="Improved"/>
    <n v="1"/>
  </r>
  <r>
    <s v="ADM-243665"/>
    <d v="2025-04-14T00:00:00"/>
    <d v="2025-04-17T00:00:00"/>
    <x v="1"/>
    <s v="Q2"/>
    <x v="3"/>
    <x v="0"/>
    <x v="2"/>
    <x v="2"/>
    <x v="0"/>
    <x v="1"/>
    <x v="0"/>
    <n v="3"/>
    <m/>
    <n v="3174"/>
    <n v="0"/>
    <n v="4"/>
    <s v="Deceased"/>
    <n v="1"/>
  </r>
  <r>
    <s v="ADM-243666"/>
    <d v="2025-04-14T00:00:00"/>
    <d v="2025-04-23T00:00:00"/>
    <x v="1"/>
    <s v="Q2"/>
    <x v="3"/>
    <x v="0"/>
    <x v="4"/>
    <x v="0"/>
    <x v="1"/>
    <x v="0"/>
    <x v="2"/>
    <n v="9"/>
    <n v="56"/>
    <n v="9221"/>
    <n v="0"/>
    <n v="5"/>
    <s v="Recovered"/>
    <n v="1"/>
  </r>
  <r>
    <s v="ADM-243667"/>
    <d v="2025-04-15T00:00:00"/>
    <d v="2025-04-18T00:00:00"/>
    <x v="1"/>
    <s v="Q2"/>
    <x v="3"/>
    <x v="1"/>
    <x v="5"/>
    <x v="2"/>
    <x v="0"/>
    <x v="1"/>
    <x v="2"/>
    <n v="3"/>
    <m/>
    <n v="3958"/>
    <n v="0"/>
    <n v="4"/>
    <s v="Improved"/>
    <n v="1"/>
  </r>
  <r>
    <s v="ADM-243668"/>
    <d v="2025-04-15T00:00:00"/>
    <d v="2025-04-22T00:00:00"/>
    <x v="1"/>
    <s v="Q2"/>
    <x v="3"/>
    <x v="1"/>
    <x v="5"/>
    <x v="2"/>
    <x v="0"/>
    <x v="1"/>
    <x v="0"/>
    <n v="7"/>
    <m/>
    <n v="7138"/>
    <n v="0"/>
    <n v="5"/>
    <s v="Recovered"/>
    <n v="1"/>
  </r>
  <r>
    <s v="ADM-243669"/>
    <d v="2025-04-15T00:00:00"/>
    <d v="2025-04-17T00:00:00"/>
    <x v="1"/>
    <s v="Q2"/>
    <x v="3"/>
    <x v="1"/>
    <x v="2"/>
    <x v="0"/>
    <x v="0"/>
    <x v="1"/>
    <x v="2"/>
    <n v="2"/>
    <n v="21"/>
    <n v="2245"/>
    <n v="0"/>
    <n v="4"/>
    <s v="Recovered"/>
    <n v="1"/>
  </r>
  <r>
    <s v="ADM-243670"/>
    <d v="2025-04-15T00:00:00"/>
    <d v="2025-04-23T00:00:00"/>
    <x v="1"/>
    <s v="Q2"/>
    <x v="3"/>
    <x v="1"/>
    <x v="0"/>
    <x v="2"/>
    <x v="0"/>
    <x v="4"/>
    <x v="2"/>
    <n v="8"/>
    <m/>
    <n v="6047"/>
    <n v="1"/>
    <n v="4"/>
    <s v="Improved"/>
    <n v="1"/>
  </r>
  <r>
    <s v="ADM-243671"/>
    <d v="2025-04-16T00:00:00"/>
    <d v="2025-04-22T00:00:00"/>
    <x v="1"/>
    <s v="Q2"/>
    <x v="3"/>
    <x v="2"/>
    <x v="4"/>
    <x v="2"/>
    <x v="1"/>
    <x v="0"/>
    <x v="0"/>
    <n v="6"/>
    <m/>
    <n v="8631"/>
    <n v="0"/>
    <n v="4"/>
    <s v="Recovered"/>
    <n v="1"/>
  </r>
  <r>
    <s v="ADM-243672"/>
    <d v="2025-04-16T00:00:00"/>
    <d v="2025-04-20T00:00:00"/>
    <x v="1"/>
    <s v="Q2"/>
    <x v="3"/>
    <x v="2"/>
    <x v="5"/>
    <x v="0"/>
    <x v="1"/>
    <x v="4"/>
    <x v="1"/>
    <n v="4"/>
    <n v="29"/>
    <n v="4167"/>
    <n v="0"/>
    <n v="5"/>
    <s v="Improved"/>
    <n v="1"/>
  </r>
  <r>
    <s v="ADM-243673"/>
    <d v="2025-04-16T00:00:00"/>
    <d v="2025-04-21T00:00:00"/>
    <x v="1"/>
    <s v="Q2"/>
    <x v="3"/>
    <x v="2"/>
    <x v="5"/>
    <x v="2"/>
    <x v="0"/>
    <x v="0"/>
    <x v="0"/>
    <n v="5"/>
    <m/>
    <n v="5536"/>
    <n v="0"/>
    <n v="4"/>
    <s v="Deceased"/>
    <n v="1"/>
  </r>
  <r>
    <s v="ADM-243674"/>
    <d v="2025-04-16T00:00:00"/>
    <d v="2025-04-17T00:00:00"/>
    <x v="1"/>
    <s v="Q2"/>
    <x v="3"/>
    <x v="2"/>
    <x v="3"/>
    <x v="0"/>
    <x v="1"/>
    <x v="3"/>
    <x v="2"/>
    <n v="1"/>
    <n v="32"/>
    <n v="1133"/>
    <n v="0"/>
    <n v="4"/>
    <s v="Recovered"/>
    <n v="1"/>
  </r>
  <r>
    <s v="ADM-243675"/>
    <d v="2025-04-16T00:00:00"/>
    <d v="2025-04-21T00:00:00"/>
    <x v="1"/>
    <s v="Q2"/>
    <x v="3"/>
    <x v="2"/>
    <x v="2"/>
    <x v="0"/>
    <x v="0"/>
    <x v="2"/>
    <x v="0"/>
    <n v="5"/>
    <n v="53"/>
    <n v="4372"/>
    <n v="0"/>
    <n v="5"/>
    <s v="Improved"/>
    <n v="1"/>
  </r>
  <r>
    <s v="ADM-243676"/>
    <d v="2025-04-16T00:00:00"/>
    <d v="2025-04-17T00:00:00"/>
    <x v="1"/>
    <s v="Q2"/>
    <x v="3"/>
    <x v="2"/>
    <x v="5"/>
    <x v="2"/>
    <x v="1"/>
    <x v="4"/>
    <x v="0"/>
    <n v="1"/>
    <m/>
    <n v="2338"/>
    <n v="0"/>
    <n v="4"/>
    <s v="Recovered"/>
    <n v="1"/>
  </r>
  <r>
    <s v="ADM-243677"/>
    <d v="2025-04-17T00:00:00"/>
    <d v="2025-04-21T00:00:00"/>
    <x v="1"/>
    <s v="Q2"/>
    <x v="3"/>
    <x v="3"/>
    <x v="1"/>
    <x v="2"/>
    <x v="1"/>
    <x v="2"/>
    <x v="0"/>
    <n v="4"/>
    <m/>
    <n v="4594"/>
    <n v="0"/>
    <n v="5"/>
    <s v="Recovered"/>
    <n v="1"/>
  </r>
  <r>
    <s v="ADM-243678"/>
    <d v="2025-04-17T00:00:00"/>
    <d v="2025-04-20T00:00:00"/>
    <x v="1"/>
    <s v="Q2"/>
    <x v="3"/>
    <x v="3"/>
    <x v="1"/>
    <x v="2"/>
    <x v="1"/>
    <x v="0"/>
    <x v="0"/>
    <n v="3"/>
    <m/>
    <n v="3131"/>
    <n v="1"/>
    <n v="3"/>
    <s v="Recovered"/>
    <n v="1"/>
  </r>
  <r>
    <s v="ADM-243679"/>
    <d v="2025-04-17T00:00:00"/>
    <d v="2025-04-18T00:00:00"/>
    <x v="1"/>
    <s v="Q2"/>
    <x v="3"/>
    <x v="3"/>
    <x v="3"/>
    <x v="2"/>
    <x v="0"/>
    <x v="3"/>
    <x v="0"/>
    <n v="1"/>
    <m/>
    <n v="1600"/>
    <n v="0"/>
    <n v="5"/>
    <s v="Improved"/>
    <n v="1"/>
  </r>
  <r>
    <s v="ADM-243680"/>
    <d v="2025-04-17T00:00:00"/>
    <d v="2025-04-22T00:00:00"/>
    <x v="1"/>
    <s v="Q2"/>
    <x v="3"/>
    <x v="3"/>
    <x v="0"/>
    <x v="0"/>
    <x v="0"/>
    <x v="0"/>
    <x v="2"/>
    <n v="5"/>
    <n v="79"/>
    <n v="4048"/>
    <n v="0"/>
    <n v="4"/>
    <s v="Recovered"/>
    <n v="1"/>
  </r>
  <r>
    <s v="ADM-243681"/>
    <d v="2025-04-17T00:00:00"/>
    <d v="2025-04-22T00:00:00"/>
    <x v="1"/>
    <s v="Q2"/>
    <x v="3"/>
    <x v="3"/>
    <x v="2"/>
    <x v="0"/>
    <x v="0"/>
    <x v="1"/>
    <x v="0"/>
    <n v="5"/>
    <n v="35"/>
    <n v="4868"/>
    <n v="0"/>
    <n v="4"/>
    <s v="Improved"/>
    <n v="1"/>
  </r>
  <r>
    <s v="ADM-243682"/>
    <d v="2025-04-17T00:00:00"/>
    <d v="2025-04-18T00:00:00"/>
    <x v="1"/>
    <s v="Q2"/>
    <x v="3"/>
    <x v="3"/>
    <x v="2"/>
    <x v="0"/>
    <x v="0"/>
    <x v="2"/>
    <x v="0"/>
    <n v="1"/>
    <n v="46"/>
    <n v="1551"/>
    <n v="0"/>
    <n v="5"/>
    <s v="Transferred"/>
    <n v="1"/>
  </r>
  <r>
    <s v="ADM-243683"/>
    <d v="2025-04-17T00:00:00"/>
    <d v="2025-04-18T00:00:00"/>
    <x v="1"/>
    <s v="Q2"/>
    <x v="3"/>
    <x v="3"/>
    <x v="3"/>
    <x v="0"/>
    <x v="1"/>
    <x v="3"/>
    <x v="2"/>
    <n v="1"/>
    <n v="23"/>
    <n v="1142"/>
    <n v="0"/>
    <n v="5"/>
    <s v="Recovered"/>
    <n v="1"/>
  </r>
  <r>
    <s v="ADM-243684"/>
    <d v="2025-04-17T00:00:00"/>
    <d v="2025-04-24T00:00:00"/>
    <x v="1"/>
    <s v="Q2"/>
    <x v="3"/>
    <x v="3"/>
    <x v="0"/>
    <x v="0"/>
    <x v="1"/>
    <x v="1"/>
    <x v="2"/>
    <n v="7"/>
    <n v="48"/>
    <n v="6929"/>
    <n v="1"/>
    <n v="4"/>
    <s v="Improved"/>
    <n v="1"/>
  </r>
  <r>
    <s v="ADM-243685"/>
    <d v="2025-04-18T00:00:00"/>
    <d v="2025-04-20T00:00:00"/>
    <x v="1"/>
    <s v="Q2"/>
    <x v="3"/>
    <x v="4"/>
    <x v="5"/>
    <x v="2"/>
    <x v="0"/>
    <x v="4"/>
    <x v="2"/>
    <n v="2"/>
    <m/>
    <n v="3225"/>
    <n v="0"/>
    <n v="5"/>
    <s v="Recovered"/>
    <n v="1"/>
  </r>
  <r>
    <s v="ADM-243686"/>
    <d v="2025-04-18T00:00:00"/>
    <d v="2025-04-24T00:00:00"/>
    <x v="1"/>
    <s v="Q2"/>
    <x v="3"/>
    <x v="4"/>
    <x v="0"/>
    <x v="1"/>
    <x v="0"/>
    <x v="0"/>
    <x v="2"/>
    <n v="6"/>
    <m/>
    <n v="4348"/>
    <n v="0"/>
    <n v="5"/>
    <s v="Recovered"/>
    <n v="1"/>
  </r>
  <r>
    <s v="ADM-243687"/>
    <d v="2025-04-18T00:00:00"/>
    <d v="2025-04-20T00:00:00"/>
    <x v="1"/>
    <s v="Q2"/>
    <x v="3"/>
    <x v="4"/>
    <x v="5"/>
    <x v="2"/>
    <x v="0"/>
    <x v="1"/>
    <x v="2"/>
    <n v="2"/>
    <m/>
    <n v="2687"/>
    <n v="0"/>
    <n v="4"/>
    <s v="Recovered"/>
    <n v="1"/>
  </r>
  <r>
    <s v="ADM-243688"/>
    <d v="2025-04-18T00:00:00"/>
    <d v="2025-04-22T00:00:00"/>
    <x v="1"/>
    <s v="Q2"/>
    <x v="3"/>
    <x v="4"/>
    <x v="2"/>
    <x v="2"/>
    <x v="0"/>
    <x v="1"/>
    <x v="2"/>
    <n v="4"/>
    <m/>
    <n v="4087"/>
    <n v="0"/>
    <n v="4"/>
    <s v="Recovered"/>
    <n v="1"/>
  </r>
  <r>
    <s v="ADM-243689"/>
    <d v="2025-04-18T00:00:00"/>
    <d v="2025-04-20T00:00:00"/>
    <x v="1"/>
    <s v="Q2"/>
    <x v="3"/>
    <x v="4"/>
    <x v="3"/>
    <x v="2"/>
    <x v="0"/>
    <x v="3"/>
    <x v="2"/>
    <n v="2"/>
    <m/>
    <n v="2393"/>
    <n v="0"/>
    <n v="4"/>
    <s v="Recovered"/>
    <n v="1"/>
  </r>
  <r>
    <s v="ADM-243690"/>
    <d v="2025-04-18T00:00:00"/>
    <d v="2025-04-25T00:00:00"/>
    <x v="1"/>
    <s v="Q2"/>
    <x v="3"/>
    <x v="4"/>
    <x v="4"/>
    <x v="0"/>
    <x v="0"/>
    <x v="4"/>
    <x v="0"/>
    <n v="7"/>
    <n v="11"/>
    <n v="11812"/>
    <n v="0"/>
    <n v="5"/>
    <s v="Recovered"/>
    <n v="1"/>
  </r>
  <r>
    <s v="ADM-243691"/>
    <d v="2025-04-18T00:00:00"/>
    <d v="2025-04-21T00:00:00"/>
    <x v="1"/>
    <s v="Q2"/>
    <x v="3"/>
    <x v="4"/>
    <x v="3"/>
    <x v="0"/>
    <x v="1"/>
    <x v="3"/>
    <x v="1"/>
    <n v="3"/>
    <n v="51"/>
    <n v="2338"/>
    <n v="0"/>
    <n v="4"/>
    <s v="Recovered"/>
    <n v="1"/>
  </r>
  <r>
    <s v="ADM-243692"/>
    <d v="2025-04-18T00:00:00"/>
    <d v="2025-04-19T00:00:00"/>
    <x v="1"/>
    <s v="Q2"/>
    <x v="3"/>
    <x v="4"/>
    <x v="2"/>
    <x v="0"/>
    <x v="0"/>
    <x v="1"/>
    <x v="0"/>
    <n v="1"/>
    <n v="58"/>
    <n v="1199"/>
    <n v="0"/>
    <n v="4"/>
    <s v="Recovered"/>
    <n v="1"/>
  </r>
  <r>
    <s v="ADM-243693"/>
    <d v="2025-04-18T00:00:00"/>
    <d v="2025-04-20T00:00:00"/>
    <x v="1"/>
    <s v="Q2"/>
    <x v="3"/>
    <x v="4"/>
    <x v="0"/>
    <x v="0"/>
    <x v="0"/>
    <x v="4"/>
    <x v="0"/>
    <n v="2"/>
    <n v="37"/>
    <n v="2604"/>
    <n v="0"/>
    <n v="4"/>
    <s v="Recovered"/>
    <n v="1"/>
  </r>
  <r>
    <s v="ADM-243694"/>
    <d v="2025-04-19T00:00:00"/>
    <d v="2025-04-23T00:00:00"/>
    <x v="1"/>
    <s v="Q2"/>
    <x v="3"/>
    <x v="5"/>
    <x v="2"/>
    <x v="0"/>
    <x v="0"/>
    <x v="2"/>
    <x v="2"/>
    <n v="4"/>
    <n v="30"/>
    <n v="4159"/>
    <n v="0"/>
    <n v="4"/>
    <s v="Improved"/>
    <n v="1"/>
  </r>
  <r>
    <s v="ADM-243695"/>
    <d v="2025-04-19T00:00:00"/>
    <d v="2025-04-21T00:00:00"/>
    <x v="1"/>
    <s v="Q2"/>
    <x v="3"/>
    <x v="5"/>
    <x v="2"/>
    <x v="0"/>
    <x v="0"/>
    <x v="1"/>
    <x v="0"/>
    <n v="2"/>
    <n v="26"/>
    <n v="1828"/>
    <n v="0"/>
    <n v="4"/>
    <s v="Recovered"/>
    <n v="1"/>
  </r>
  <r>
    <s v="ADM-243696"/>
    <d v="2025-04-19T00:00:00"/>
    <d v="2025-05-09T00:00:00"/>
    <x v="1"/>
    <s v="Q2"/>
    <x v="3"/>
    <x v="5"/>
    <x v="0"/>
    <x v="0"/>
    <x v="1"/>
    <x v="1"/>
    <x v="0"/>
    <n v="20"/>
    <n v="82"/>
    <n v="12129"/>
    <n v="1"/>
    <n v="5"/>
    <s v="Improved"/>
    <n v="1"/>
  </r>
  <r>
    <s v="ADM-243697"/>
    <d v="2025-04-19T00:00:00"/>
    <d v="2025-04-22T00:00:00"/>
    <x v="1"/>
    <s v="Q2"/>
    <x v="3"/>
    <x v="5"/>
    <x v="4"/>
    <x v="0"/>
    <x v="1"/>
    <x v="4"/>
    <x v="2"/>
    <n v="3"/>
    <n v="39"/>
    <n v="5588"/>
    <n v="0"/>
    <n v="5"/>
    <s v="Improved"/>
    <n v="1"/>
  </r>
  <r>
    <s v="ADM-243698"/>
    <d v="2025-04-19T00:00:00"/>
    <d v="2025-04-23T00:00:00"/>
    <x v="1"/>
    <s v="Q2"/>
    <x v="3"/>
    <x v="5"/>
    <x v="4"/>
    <x v="0"/>
    <x v="0"/>
    <x v="2"/>
    <x v="2"/>
    <n v="4"/>
    <n v="61"/>
    <n v="5472"/>
    <n v="0"/>
    <n v="4"/>
    <s v="Transferred"/>
    <n v="1"/>
  </r>
  <r>
    <s v="ADM-243699"/>
    <d v="2025-04-19T00:00:00"/>
    <d v="2025-04-21T00:00:00"/>
    <x v="1"/>
    <s v="Q2"/>
    <x v="3"/>
    <x v="5"/>
    <x v="3"/>
    <x v="2"/>
    <x v="0"/>
    <x v="3"/>
    <x v="0"/>
    <n v="2"/>
    <m/>
    <n v="2478"/>
    <n v="0"/>
    <n v="4"/>
    <s v="Recovered"/>
    <n v="1"/>
  </r>
  <r>
    <s v="ADM-243700"/>
    <d v="2025-04-20T00:00:00"/>
    <d v="2025-04-22T00:00:00"/>
    <x v="1"/>
    <s v="Q2"/>
    <x v="3"/>
    <x v="6"/>
    <x v="1"/>
    <x v="2"/>
    <x v="0"/>
    <x v="4"/>
    <x v="2"/>
    <n v="2"/>
    <m/>
    <n v="3416"/>
    <n v="0"/>
    <n v="5"/>
    <s v="Recovered"/>
    <n v="1"/>
  </r>
  <r>
    <s v="ADM-243701"/>
    <d v="2025-04-20T00:00:00"/>
    <d v="2025-04-27T00:00:00"/>
    <x v="1"/>
    <s v="Q2"/>
    <x v="3"/>
    <x v="6"/>
    <x v="4"/>
    <x v="0"/>
    <x v="0"/>
    <x v="1"/>
    <x v="2"/>
    <n v="7"/>
    <n v="62"/>
    <n v="9674"/>
    <n v="1"/>
    <n v="3"/>
    <s v="Recovered"/>
    <n v="1"/>
  </r>
  <r>
    <s v="ADM-243702"/>
    <d v="2025-04-20T00:00:00"/>
    <d v="2025-04-22T00:00:00"/>
    <x v="1"/>
    <s v="Q2"/>
    <x v="3"/>
    <x v="6"/>
    <x v="3"/>
    <x v="0"/>
    <x v="0"/>
    <x v="3"/>
    <x v="1"/>
    <n v="2"/>
    <n v="53"/>
    <n v="2106"/>
    <n v="0"/>
    <n v="4"/>
    <s v="Transferred"/>
    <n v="1"/>
  </r>
  <r>
    <s v="ADM-243703"/>
    <d v="2025-04-20T00:00:00"/>
    <d v="2025-04-25T00:00:00"/>
    <x v="1"/>
    <s v="Q2"/>
    <x v="3"/>
    <x v="6"/>
    <x v="3"/>
    <x v="0"/>
    <x v="0"/>
    <x v="3"/>
    <x v="2"/>
    <n v="5"/>
    <n v="37"/>
    <n v="3714"/>
    <n v="0"/>
    <n v="4"/>
    <s v="Recovered"/>
    <n v="1"/>
  </r>
  <r>
    <s v="ADM-243704"/>
    <d v="2025-04-20T00:00:00"/>
    <d v="2025-04-22T00:00:00"/>
    <x v="1"/>
    <s v="Q2"/>
    <x v="3"/>
    <x v="6"/>
    <x v="1"/>
    <x v="2"/>
    <x v="1"/>
    <x v="2"/>
    <x v="2"/>
    <n v="2"/>
    <m/>
    <n v="2539"/>
    <n v="0"/>
    <n v="4"/>
    <s v="Recovered"/>
    <n v="1"/>
  </r>
  <r>
    <s v="ADM-243705"/>
    <d v="2025-04-20T00:00:00"/>
    <d v="2025-04-26T00:00:00"/>
    <x v="1"/>
    <s v="Q2"/>
    <x v="3"/>
    <x v="6"/>
    <x v="2"/>
    <x v="0"/>
    <x v="0"/>
    <x v="1"/>
    <x v="0"/>
    <n v="6"/>
    <n v="99"/>
    <n v="5666"/>
    <n v="0"/>
    <n v="4"/>
    <s v="Improved"/>
    <n v="1"/>
  </r>
  <r>
    <s v="ADM-243706"/>
    <d v="2025-04-20T00:00:00"/>
    <d v="2025-04-22T00:00:00"/>
    <x v="1"/>
    <s v="Q2"/>
    <x v="3"/>
    <x v="6"/>
    <x v="2"/>
    <x v="1"/>
    <x v="0"/>
    <x v="2"/>
    <x v="2"/>
    <n v="2"/>
    <m/>
    <n v="2741"/>
    <n v="0"/>
    <n v="4"/>
    <s v="Improved"/>
    <n v="1"/>
  </r>
  <r>
    <s v="ADM-243707"/>
    <d v="2025-04-20T00:00:00"/>
    <d v="2025-04-29T00:00:00"/>
    <x v="1"/>
    <s v="Q2"/>
    <x v="3"/>
    <x v="6"/>
    <x v="0"/>
    <x v="0"/>
    <x v="1"/>
    <x v="0"/>
    <x v="2"/>
    <n v="9"/>
    <n v="31"/>
    <n v="6399"/>
    <n v="0"/>
    <n v="4"/>
    <s v="Recovered"/>
    <n v="1"/>
  </r>
  <r>
    <s v="ADM-243708"/>
    <d v="2025-04-21T00:00:00"/>
    <d v="2025-04-24T00:00:00"/>
    <x v="1"/>
    <s v="Q2"/>
    <x v="3"/>
    <x v="0"/>
    <x v="0"/>
    <x v="0"/>
    <x v="0"/>
    <x v="0"/>
    <x v="2"/>
    <n v="3"/>
    <n v="60"/>
    <n v="3275"/>
    <n v="1"/>
    <n v="4"/>
    <s v="Improved"/>
    <n v="1"/>
  </r>
  <r>
    <s v="ADM-243709"/>
    <d v="2025-04-21T00:00:00"/>
    <d v="2025-04-22T00:00:00"/>
    <x v="1"/>
    <s v="Q2"/>
    <x v="3"/>
    <x v="0"/>
    <x v="4"/>
    <x v="2"/>
    <x v="1"/>
    <x v="1"/>
    <x v="1"/>
    <n v="1"/>
    <m/>
    <n v="2311"/>
    <n v="1"/>
    <n v="4"/>
    <s v="Recovered"/>
    <n v="1"/>
  </r>
  <r>
    <s v="ADM-243710"/>
    <d v="2025-04-21T00:00:00"/>
    <d v="2025-04-22T00:00:00"/>
    <x v="1"/>
    <s v="Q2"/>
    <x v="3"/>
    <x v="0"/>
    <x v="4"/>
    <x v="0"/>
    <x v="1"/>
    <x v="1"/>
    <x v="2"/>
    <n v="1"/>
    <n v="82"/>
    <n v="2030"/>
    <n v="0"/>
    <n v="4"/>
    <s v="Recovered"/>
    <n v="1"/>
  </r>
  <r>
    <s v="ADM-243711"/>
    <d v="2025-04-21T00:00:00"/>
    <d v="2025-04-30T00:00:00"/>
    <x v="1"/>
    <s v="Q2"/>
    <x v="3"/>
    <x v="0"/>
    <x v="1"/>
    <x v="2"/>
    <x v="0"/>
    <x v="2"/>
    <x v="2"/>
    <n v="9"/>
    <m/>
    <n v="9254"/>
    <n v="0"/>
    <n v="5"/>
    <s v="Recovered"/>
    <n v="1"/>
  </r>
  <r>
    <s v="ADM-243712"/>
    <d v="2025-04-21T00:00:00"/>
    <d v="2025-04-25T00:00:00"/>
    <x v="1"/>
    <s v="Q2"/>
    <x v="3"/>
    <x v="0"/>
    <x v="1"/>
    <x v="0"/>
    <x v="1"/>
    <x v="0"/>
    <x v="0"/>
    <n v="4"/>
    <n v="46"/>
    <n v="5897"/>
    <n v="0"/>
    <n v="4"/>
    <s v="Recovered"/>
    <n v="1"/>
  </r>
  <r>
    <s v="ADM-243713"/>
    <d v="2025-04-21T00:00:00"/>
    <d v="2025-05-04T00:00:00"/>
    <x v="1"/>
    <s v="Q2"/>
    <x v="3"/>
    <x v="0"/>
    <x v="0"/>
    <x v="0"/>
    <x v="1"/>
    <x v="1"/>
    <x v="1"/>
    <n v="13"/>
    <n v="32"/>
    <n v="11887"/>
    <n v="0"/>
    <n v="4"/>
    <s v="Improved"/>
    <n v="1"/>
  </r>
  <r>
    <s v="ADM-243714"/>
    <d v="2025-04-22T00:00:00"/>
    <d v="2025-04-26T00:00:00"/>
    <x v="1"/>
    <s v="Q2"/>
    <x v="3"/>
    <x v="1"/>
    <x v="2"/>
    <x v="0"/>
    <x v="0"/>
    <x v="2"/>
    <x v="0"/>
    <n v="4"/>
    <n v="32"/>
    <n v="2669"/>
    <n v="0"/>
    <n v="4"/>
    <s v="Improved"/>
    <n v="1"/>
  </r>
  <r>
    <s v="ADM-243715"/>
    <d v="2025-04-22T00:00:00"/>
    <d v="2025-04-25T00:00:00"/>
    <x v="1"/>
    <s v="Q2"/>
    <x v="3"/>
    <x v="1"/>
    <x v="0"/>
    <x v="2"/>
    <x v="1"/>
    <x v="0"/>
    <x v="1"/>
    <n v="3"/>
    <m/>
    <n v="3187"/>
    <n v="1"/>
    <n v="3"/>
    <s v="Recovered"/>
    <n v="1"/>
  </r>
  <r>
    <s v="ADM-243716"/>
    <d v="2025-04-22T00:00:00"/>
    <d v="2025-04-25T00:00:00"/>
    <x v="1"/>
    <s v="Q2"/>
    <x v="3"/>
    <x v="1"/>
    <x v="2"/>
    <x v="1"/>
    <x v="0"/>
    <x v="1"/>
    <x v="0"/>
    <n v="3"/>
    <m/>
    <n v="2456"/>
    <n v="0"/>
    <n v="4"/>
    <s v="Transferred"/>
    <n v="1"/>
  </r>
  <r>
    <s v="ADM-243717"/>
    <d v="2025-04-22T00:00:00"/>
    <d v="2025-04-26T00:00:00"/>
    <x v="1"/>
    <s v="Q2"/>
    <x v="3"/>
    <x v="1"/>
    <x v="5"/>
    <x v="2"/>
    <x v="1"/>
    <x v="0"/>
    <x v="0"/>
    <n v="4"/>
    <m/>
    <n v="4948"/>
    <n v="0"/>
    <n v="4"/>
    <s v="Improved"/>
    <n v="1"/>
  </r>
  <r>
    <s v="ADM-243718"/>
    <d v="2025-04-22T00:00:00"/>
    <d v="2025-04-25T00:00:00"/>
    <x v="1"/>
    <s v="Q2"/>
    <x v="3"/>
    <x v="1"/>
    <x v="5"/>
    <x v="2"/>
    <x v="0"/>
    <x v="1"/>
    <x v="2"/>
    <n v="3"/>
    <m/>
    <n v="3551"/>
    <n v="1"/>
    <n v="4"/>
    <s v="Recovered"/>
    <n v="1"/>
  </r>
  <r>
    <s v="ADM-243719"/>
    <d v="2025-04-22T00:00:00"/>
    <d v="2025-04-25T00:00:00"/>
    <x v="1"/>
    <s v="Q2"/>
    <x v="3"/>
    <x v="1"/>
    <x v="0"/>
    <x v="0"/>
    <x v="1"/>
    <x v="1"/>
    <x v="0"/>
    <n v="3"/>
    <n v="40"/>
    <n v="2880"/>
    <n v="0"/>
    <n v="4"/>
    <s v="Improved"/>
    <n v="1"/>
  </r>
  <r>
    <s v="ADM-243720"/>
    <d v="2025-04-22T00:00:00"/>
    <d v="2025-04-26T00:00:00"/>
    <x v="1"/>
    <s v="Q2"/>
    <x v="3"/>
    <x v="1"/>
    <x v="3"/>
    <x v="1"/>
    <x v="0"/>
    <x v="3"/>
    <x v="0"/>
    <n v="4"/>
    <m/>
    <n v="3495"/>
    <n v="0"/>
    <n v="5"/>
    <s v="Recovered"/>
    <n v="1"/>
  </r>
  <r>
    <s v="ADM-243721"/>
    <d v="2025-04-22T00:00:00"/>
    <d v="2025-04-24T00:00:00"/>
    <x v="1"/>
    <s v="Q2"/>
    <x v="3"/>
    <x v="1"/>
    <x v="2"/>
    <x v="0"/>
    <x v="0"/>
    <x v="1"/>
    <x v="2"/>
    <n v="2"/>
    <n v="35"/>
    <n v="1678"/>
    <n v="0"/>
    <n v="4"/>
    <s v="Recovered"/>
    <n v="1"/>
  </r>
  <r>
    <s v="ADM-243722"/>
    <d v="2025-04-22T00:00:00"/>
    <d v="2025-05-04T00:00:00"/>
    <x v="1"/>
    <s v="Q2"/>
    <x v="3"/>
    <x v="1"/>
    <x v="1"/>
    <x v="0"/>
    <x v="1"/>
    <x v="4"/>
    <x v="1"/>
    <n v="12"/>
    <n v="27"/>
    <n v="12490"/>
    <n v="0"/>
    <n v="4"/>
    <s v="Recovered"/>
    <n v="1"/>
  </r>
  <r>
    <s v="ADM-243723"/>
    <d v="2025-04-22T00:00:00"/>
    <d v="2025-05-02T00:00:00"/>
    <x v="1"/>
    <s v="Q2"/>
    <x v="3"/>
    <x v="1"/>
    <x v="0"/>
    <x v="0"/>
    <x v="0"/>
    <x v="0"/>
    <x v="0"/>
    <n v="10"/>
    <n v="62"/>
    <n v="5748"/>
    <n v="0"/>
    <n v="3"/>
    <s v="Recovered"/>
    <n v="1"/>
  </r>
  <r>
    <s v="ADM-243724"/>
    <d v="2025-04-22T00:00:00"/>
    <d v="2025-04-26T00:00:00"/>
    <x v="1"/>
    <s v="Q2"/>
    <x v="3"/>
    <x v="1"/>
    <x v="4"/>
    <x v="0"/>
    <x v="1"/>
    <x v="1"/>
    <x v="0"/>
    <n v="4"/>
    <n v="44"/>
    <n v="6868"/>
    <n v="0"/>
    <n v="5"/>
    <s v="Improved"/>
    <n v="1"/>
  </r>
  <r>
    <s v="ADM-243725"/>
    <d v="2025-04-23T00:00:00"/>
    <d v="2025-04-27T00:00:00"/>
    <x v="1"/>
    <s v="Q2"/>
    <x v="3"/>
    <x v="2"/>
    <x v="5"/>
    <x v="2"/>
    <x v="1"/>
    <x v="0"/>
    <x v="2"/>
    <n v="4"/>
    <m/>
    <n v="6286"/>
    <n v="0"/>
    <n v="4"/>
    <s v="Recovered"/>
    <n v="1"/>
  </r>
  <r>
    <s v="ADM-243726"/>
    <d v="2025-04-23T00:00:00"/>
    <d v="2025-05-03T00:00:00"/>
    <x v="1"/>
    <s v="Q2"/>
    <x v="3"/>
    <x v="2"/>
    <x v="1"/>
    <x v="0"/>
    <x v="0"/>
    <x v="2"/>
    <x v="2"/>
    <n v="10"/>
    <n v="18"/>
    <n v="10854"/>
    <n v="0"/>
    <n v="4"/>
    <s v="Recovered"/>
    <n v="1"/>
  </r>
  <r>
    <s v="ADM-243727"/>
    <d v="2025-04-23T00:00:00"/>
    <d v="2025-04-28T00:00:00"/>
    <x v="1"/>
    <s v="Q2"/>
    <x v="3"/>
    <x v="2"/>
    <x v="5"/>
    <x v="2"/>
    <x v="0"/>
    <x v="0"/>
    <x v="0"/>
    <n v="5"/>
    <m/>
    <n v="6521"/>
    <n v="0"/>
    <n v="5"/>
    <s v="Recovered"/>
    <n v="1"/>
  </r>
  <r>
    <s v="ADM-243728"/>
    <d v="2025-04-23T00:00:00"/>
    <d v="2025-04-28T00:00:00"/>
    <x v="1"/>
    <s v="Q2"/>
    <x v="3"/>
    <x v="2"/>
    <x v="0"/>
    <x v="2"/>
    <x v="1"/>
    <x v="1"/>
    <x v="2"/>
    <n v="5"/>
    <m/>
    <n v="4129"/>
    <n v="0"/>
    <n v="5"/>
    <s v="Improved"/>
    <n v="1"/>
  </r>
  <r>
    <s v="ADM-243729"/>
    <d v="2025-04-23T00:00:00"/>
    <d v="2025-04-24T00:00:00"/>
    <x v="1"/>
    <s v="Q2"/>
    <x v="3"/>
    <x v="2"/>
    <x v="5"/>
    <x v="2"/>
    <x v="1"/>
    <x v="4"/>
    <x v="2"/>
    <n v="1"/>
    <m/>
    <n v="2071"/>
    <n v="0"/>
    <n v="5"/>
    <s v="Recovered"/>
    <n v="1"/>
  </r>
  <r>
    <s v="ADM-243730"/>
    <d v="2025-04-23T00:00:00"/>
    <d v="2025-04-27T00:00:00"/>
    <x v="1"/>
    <s v="Q2"/>
    <x v="3"/>
    <x v="2"/>
    <x v="4"/>
    <x v="0"/>
    <x v="0"/>
    <x v="4"/>
    <x v="2"/>
    <n v="4"/>
    <n v="53"/>
    <n v="7624"/>
    <n v="0"/>
    <n v="3"/>
    <s v="Recovered"/>
    <n v="1"/>
  </r>
  <r>
    <s v="ADM-243731"/>
    <d v="2025-04-23T00:00:00"/>
    <d v="2025-04-26T00:00:00"/>
    <x v="1"/>
    <s v="Q2"/>
    <x v="3"/>
    <x v="2"/>
    <x v="1"/>
    <x v="0"/>
    <x v="0"/>
    <x v="0"/>
    <x v="0"/>
    <n v="3"/>
    <n v="51"/>
    <n v="4576"/>
    <n v="0"/>
    <n v="4"/>
    <s v="Improved"/>
    <n v="1"/>
  </r>
  <r>
    <s v="ADM-243732"/>
    <d v="2025-04-23T00:00:00"/>
    <d v="2025-04-29T00:00:00"/>
    <x v="1"/>
    <s v="Q2"/>
    <x v="3"/>
    <x v="2"/>
    <x v="1"/>
    <x v="2"/>
    <x v="0"/>
    <x v="0"/>
    <x v="2"/>
    <n v="6"/>
    <m/>
    <n v="7749"/>
    <n v="0"/>
    <n v="4"/>
    <s v="Improved"/>
    <n v="1"/>
  </r>
  <r>
    <s v="ADM-243733"/>
    <d v="2025-04-23T00:00:00"/>
    <d v="2025-04-28T00:00:00"/>
    <x v="1"/>
    <s v="Q2"/>
    <x v="3"/>
    <x v="2"/>
    <x v="4"/>
    <x v="2"/>
    <x v="0"/>
    <x v="4"/>
    <x v="2"/>
    <n v="5"/>
    <m/>
    <n v="9170"/>
    <n v="0"/>
    <n v="4"/>
    <s v="Improved"/>
    <n v="1"/>
  </r>
  <r>
    <s v="ADM-243734"/>
    <d v="2025-04-24T00:00:00"/>
    <d v="2025-04-25T00:00:00"/>
    <x v="1"/>
    <s v="Q2"/>
    <x v="3"/>
    <x v="3"/>
    <x v="3"/>
    <x v="0"/>
    <x v="1"/>
    <x v="3"/>
    <x v="0"/>
    <n v="1"/>
    <n v="30"/>
    <n v="1629"/>
    <n v="0"/>
    <n v="5"/>
    <s v="Improved"/>
    <n v="1"/>
  </r>
  <r>
    <s v="ADM-243735"/>
    <d v="2025-04-24T00:00:00"/>
    <d v="2025-05-03T00:00:00"/>
    <x v="1"/>
    <s v="Q2"/>
    <x v="3"/>
    <x v="3"/>
    <x v="2"/>
    <x v="0"/>
    <x v="0"/>
    <x v="2"/>
    <x v="0"/>
    <n v="9"/>
    <n v="45"/>
    <n v="6176"/>
    <n v="0"/>
    <n v="5"/>
    <s v="Transferred"/>
    <n v="1"/>
  </r>
  <r>
    <s v="ADM-243736"/>
    <d v="2025-04-24T00:00:00"/>
    <d v="2025-04-25T00:00:00"/>
    <x v="1"/>
    <s v="Q2"/>
    <x v="3"/>
    <x v="3"/>
    <x v="2"/>
    <x v="0"/>
    <x v="0"/>
    <x v="1"/>
    <x v="0"/>
    <n v="1"/>
    <n v="100"/>
    <n v="1772"/>
    <n v="0"/>
    <n v="4"/>
    <s v="Improved"/>
    <n v="1"/>
  </r>
  <r>
    <s v="ADM-243737"/>
    <d v="2025-04-24T00:00:00"/>
    <d v="2025-04-27T00:00:00"/>
    <x v="1"/>
    <s v="Q2"/>
    <x v="3"/>
    <x v="3"/>
    <x v="1"/>
    <x v="2"/>
    <x v="1"/>
    <x v="1"/>
    <x v="2"/>
    <n v="3"/>
    <m/>
    <n v="3418"/>
    <n v="0"/>
    <n v="4"/>
    <s v="Improved"/>
    <n v="1"/>
  </r>
  <r>
    <s v="ADM-243738"/>
    <d v="2025-04-24T00:00:00"/>
    <d v="2025-04-26T00:00:00"/>
    <x v="1"/>
    <s v="Q2"/>
    <x v="3"/>
    <x v="3"/>
    <x v="1"/>
    <x v="0"/>
    <x v="1"/>
    <x v="4"/>
    <x v="0"/>
    <n v="2"/>
    <n v="105"/>
    <n v="3213"/>
    <n v="0"/>
    <n v="4"/>
    <s v="Recovered"/>
    <n v="1"/>
  </r>
  <r>
    <s v="ADM-243739"/>
    <d v="2025-04-24T00:00:00"/>
    <d v="2025-04-26T00:00:00"/>
    <x v="1"/>
    <s v="Q2"/>
    <x v="3"/>
    <x v="3"/>
    <x v="0"/>
    <x v="0"/>
    <x v="1"/>
    <x v="2"/>
    <x v="0"/>
    <n v="2"/>
    <n v="52"/>
    <n v="2323"/>
    <n v="1"/>
    <n v="3"/>
    <s v="Recovered"/>
    <n v="1"/>
  </r>
  <r>
    <s v="ADM-243740"/>
    <d v="2025-04-24T00:00:00"/>
    <d v="2025-04-25T00:00:00"/>
    <x v="1"/>
    <s v="Q2"/>
    <x v="3"/>
    <x v="3"/>
    <x v="3"/>
    <x v="2"/>
    <x v="0"/>
    <x v="3"/>
    <x v="1"/>
    <n v="1"/>
    <m/>
    <n v="1213"/>
    <n v="0"/>
    <n v="5"/>
    <s v="Recovered"/>
    <n v="1"/>
  </r>
  <r>
    <s v="ADM-243741"/>
    <d v="2025-04-24T00:00:00"/>
    <d v="2025-04-26T00:00:00"/>
    <x v="1"/>
    <s v="Q2"/>
    <x v="3"/>
    <x v="3"/>
    <x v="1"/>
    <x v="0"/>
    <x v="0"/>
    <x v="4"/>
    <x v="2"/>
    <n v="2"/>
    <n v="48"/>
    <n v="3080"/>
    <n v="0"/>
    <n v="3"/>
    <s v="Recovered"/>
    <n v="1"/>
  </r>
  <r>
    <s v="ADM-243742"/>
    <d v="2025-04-24T00:00:00"/>
    <d v="2025-05-02T00:00:00"/>
    <x v="1"/>
    <s v="Q2"/>
    <x v="3"/>
    <x v="3"/>
    <x v="0"/>
    <x v="1"/>
    <x v="1"/>
    <x v="4"/>
    <x v="0"/>
    <n v="8"/>
    <m/>
    <n v="6192"/>
    <n v="0"/>
    <n v="5"/>
    <s v="Recovered"/>
    <n v="1"/>
  </r>
  <r>
    <s v="ADM-243743"/>
    <d v="2025-04-24T00:00:00"/>
    <d v="2025-04-26T00:00:00"/>
    <x v="1"/>
    <s v="Q2"/>
    <x v="3"/>
    <x v="3"/>
    <x v="5"/>
    <x v="2"/>
    <x v="0"/>
    <x v="4"/>
    <x v="0"/>
    <n v="2"/>
    <m/>
    <n v="3421"/>
    <n v="0"/>
    <n v="4"/>
    <s v="Improved"/>
    <n v="1"/>
  </r>
  <r>
    <s v="ADM-243744"/>
    <d v="2025-04-24T00:00:00"/>
    <d v="2025-04-26T00:00:00"/>
    <x v="1"/>
    <s v="Q2"/>
    <x v="3"/>
    <x v="3"/>
    <x v="4"/>
    <x v="0"/>
    <x v="1"/>
    <x v="2"/>
    <x v="0"/>
    <n v="2"/>
    <n v="38"/>
    <n v="2757"/>
    <n v="0"/>
    <n v="4"/>
    <s v="Recovered"/>
    <n v="1"/>
  </r>
  <r>
    <s v="ADM-243745"/>
    <d v="2025-04-24T00:00:00"/>
    <d v="2025-04-27T00:00:00"/>
    <x v="1"/>
    <s v="Q2"/>
    <x v="3"/>
    <x v="3"/>
    <x v="0"/>
    <x v="2"/>
    <x v="0"/>
    <x v="1"/>
    <x v="2"/>
    <n v="3"/>
    <m/>
    <n v="2797"/>
    <n v="0"/>
    <n v="5"/>
    <s v="Recovered"/>
    <n v="1"/>
  </r>
  <r>
    <s v="ADM-243746"/>
    <d v="2025-04-24T00:00:00"/>
    <d v="2025-05-01T00:00:00"/>
    <x v="1"/>
    <s v="Q2"/>
    <x v="3"/>
    <x v="3"/>
    <x v="3"/>
    <x v="0"/>
    <x v="0"/>
    <x v="3"/>
    <x v="0"/>
    <n v="7"/>
    <n v="65"/>
    <n v="4457"/>
    <n v="0"/>
    <n v="4"/>
    <s v="Transferred"/>
    <n v="1"/>
  </r>
  <r>
    <s v="ADM-243747"/>
    <d v="2025-04-25T00:00:00"/>
    <d v="2025-04-27T00:00:00"/>
    <x v="1"/>
    <s v="Q2"/>
    <x v="3"/>
    <x v="4"/>
    <x v="1"/>
    <x v="2"/>
    <x v="0"/>
    <x v="2"/>
    <x v="0"/>
    <n v="2"/>
    <m/>
    <n v="2679"/>
    <n v="1"/>
    <n v="4"/>
    <s v="Recovered"/>
    <n v="1"/>
  </r>
  <r>
    <s v="ADM-243748"/>
    <d v="2025-04-25T00:00:00"/>
    <d v="2025-04-27T00:00:00"/>
    <x v="1"/>
    <s v="Q2"/>
    <x v="3"/>
    <x v="4"/>
    <x v="2"/>
    <x v="2"/>
    <x v="0"/>
    <x v="2"/>
    <x v="2"/>
    <n v="2"/>
    <m/>
    <n v="2095"/>
    <n v="0"/>
    <n v="4"/>
    <s v="Recovered"/>
    <n v="1"/>
  </r>
  <r>
    <s v="ADM-243749"/>
    <d v="2025-04-25T00:00:00"/>
    <d v="2025-04-29T00:00:00"/>
    <x v="1"/>
    <s v="Q2"/>
    <x v="3"/>
    <x v="4"/>
    <x v="3"/>
    <x v="0"/>
    <x v="0"/>
    <x v="3"/>
    <x v="0"/>
    <n v="4"/>
    <n v="70"/>
    <n v="3455"/>
    <n v="0"/>
    <n v="4"/>
    <s v="Recovered"/>
    <n v="1"/>
  </r>
  <r>
    <s v="ADM-243750"/>
    <d v="2025-04-25T00:00:00"/>
    <d v="2025-04-28T00:00:00"/>
    <x v="1"/>
    <s v="Q2"/>
    <x v="3"/>
    <x v="4"/>
    <x v="0"/>
    <x v="2"/>
    <x v="0"/>
    <x v="2"/>
    <x v="1"/>
    <n v="3"/>
    <m/>
    <n v="3106"/>
    <n v="0"/>
    <n v="5"/>
    <s v="Recovered"/>
    <n v="1"/>
  </r>
  <r>
    <s v="ADM-243751"/>
    <d v="2025-04-25T00:00:00"/>
    <d v="2025-04-27T00:00:00"/>
    <x v="1"/>
    <s v="Q2"/>
    <x v="3"/>
    <x v="4"/>
    <x v="2"/>
    <x v="0"/>
    <x v="0"/>
    <x v="1"/>
    <x v="2"/>
    <n v="2"/>
    <n v="61"/>
    <n v="2064"/>
    <n v="0"/>
    <n v="5"/>
    <s v="Recovered"/>
    <n v="1"/>
  </r>
  <r>
    <s v="ADM-243752"/>
    <d v="2025-04-25T00:00:00"/>
    <d v="2025-05-08T00:00:00"/>
    <x v="1"/>
    <s v="Q2"/>
    <x v="3"/>
    <x v="4"/>
    <x v="4"/>
    <x v="0"/>
    <x v="1"/>
    <x v="4"/>
    <x v="2"/>
    <n v="13"/>
    <n v="41"/>
    <n v="17819"/>
    <n v="0"/>
    <n v="5"/>
    <s v="Improved"/>
    <n v="1"/>
  </r>
  <r>
    <s v="ADM-243753"/>
    <d v="2025-04-25T00:00:00"/>
    <d v="2025-04-26T00:00:00"/>
    <x v="1"/>
    <s v="Q2"/>
    <x v="3"/>
    <x v="4"/>
    <x v="0"/>
    <x v="0"/>
    <x v="0"/>
    <x v="0"/>
    <x v="2"/>
    <n v="1"/>
    <n v="41"/>
    <n v="1599"/>
    <n v="0"/>
    <n v="4"/>
    <s v="Recovered"/>
    <n v="1"/>
  </r>
  <r>
    <s v="ADM-243754"/>
    <d v="2025-04-25T00:00:00"/>
    <d v="2025-04-26T00:00:00"/>
    <x v="1"/>
    <s v="Q2"/>
    <x v="3"/>
    <x v="4"/>
    <x v="4"/>
    <x v="1"/>
    <x v="0"/>
    <x v="0"/>
    <x v="0"/>
    <n v="1"/>
    <m/>
    <n v="1822"/>
    <n v="1"/>
    <n v="4"/>
    <s v="Recovered"/>
    <n v="1"/>
  </r>
  <r>
    <s v="ADM-243755"/>
    <d v="2025-04-25T00:00:00"/>
    <d v="2025-04-29T00:00:00"/>
    <x v="1"/>
    <s v="Q2"/>
    <x v="3"/>
    <x v="4"/>
    <x v="3"/>
    <x v="0"/>
    <x v="0"/>
    <x v="3"/>
    <x v="2"/>
    <n v="4"/>
    <n v="61"/>
    <n v="3327"/>
    <n v="0"/>
    <n v="4"/>
    <s v="Recovered"/>
    <n v="1"/>
  </r>
  <r>
    <s v="ADM-243756"/>
    <d v="2025-04-25T00:00:00"/>
    <d v="2025-04-26T00:00:00"/>
    <x v="1"/>
    <s v="Q2"/>
    <x v="3"/>
    <x v="4"/>
    <x v="2"/>
    <x v="2"/>
    <x v="0"/>
    <x v="2"/>
    <x v="2"/>
    <n v="1"/>
    <m/>
    <n v="1568"/>
    <n v="0"/>
    <n v="4"/>
    <s v="Recovered"/>
    <n v="1"/>
  </r>
  <r>
    <s v="ADM-243757"/>
    <d v="2025-04-25T00:00:00"/>
    <d v="2025-05-02T00:00:00"/>
    <x v="1"/>
    <s v="Q2"/>
    <x v="3"/>
    <x v="4"/>
    <x v="3"/>
    <x v="0"/>
    <x v="1"/>
    <x v="3"/>
    <x v="0"/>
    <n v="7"/>
    <n v="58"/>
    <n v="5070"/>
    <n v="0"/>
    <n v="4"/>
    <s v="Improved"/>
    <n v="1"/>
  </r>
  <r>
    <s v="ADM-243758"/>
    <d v="2025-04-26T00:00:00"/>
    <d v="2025-04-28T00:00:00"/>
    <x v="1"/>
    <s v="Q2"/>
    <x v="3"/>
    <x v="5"/>
    <x v="2"/>
    <x v="0"/>
    <x v="0"/>
    <x v="2"/>
    <x v="1"/>
    <n v="2"/>
    <n v="49"/>
    <n v="1940"/>
    <n v="0"/>
    <n v="4"/>
    <s v="Recovered"/>
    <n v="1"/>
  </r>
  <r>
    <s v="ADM-243759"/>
    <d v="2025-04-26T00:00:00"/>
    <d v="2025-04-27T00:00:00"/>
    <x v="1"/>
    <s v="Q2"/>
    <x v="3"/>
    <x v="5"/>
    <x v="2"/>
    <x v="2"/>
    <x v="0"/>
    <x v="2"/>
    <x v="2"/>
    <n v="1"/>
    <m/>
    <n v="1720"/>
    <n v="0"/>
    <n v="4"/>
    <s v="Transferred"/>
    <n v="1"/>
  </r>
  <r>
    <s v="ADM-243760"/>
    <d v="2025-04-26T00:00:00"/>
    <d v="2025-04-30T00:00:00"/>
    <x v="1"/>
    <s v="Q2"/>
    <x v="3"/>
    <x v="5"/>
    <x v="3"/>
    <x v="0"/>
    <x v="0"/>
    <x v="3"/>
    <x v="2"/>
    <n v="4"/>
    <n v="71"/>
    <n v="3750"/>
    <n v="0"/>
    <n v="4"/>
    <s v="Improved"/>
    <n v="1"/>
  </r>
  <r>
    <s v="ADM-243761"/>
    <d v="2025-04-26T00:00:00"/>
    <d v="2025-04-28T00:00:00"/>
    <x v="1"/>
    <s v="Q2"/>
    <x v="3"/>
    <x v="5"/>
    <x v="1"/>
    <x v="2"/>
    <x v="1"/>
    <x v="1"/>
    <x v="2"/>
    <n v="2"/>
    <m/>
    <n v="2761"/>
    <n v="0"/>
    <n v="3"/>
    <s v="Recovered"/>
    <n v="1"/>
  </r>
  <r>
    <s v="ADM-243762"/>
    <d v="2025-04-26T00:00:00"/>
    <d v="2025-04-28T00:00:00"/>
    <x v="1"/>
    <s v="Q2"/>
    <x v="3"/>
    <x v="5"/>
    <x v="3"/>
    <x v="0"/>
    <x v="0"/>
    <x v="3"/>
    <x v="0"/>
    <n v="2"/>
    <n v="25"/>
    <n v="2186"/>
    <n v="0"/>
    <n v="4"/>
    <s v="Transferred"/>
    <n v="1"/>
  </r>
  <r>
    <s v="ADM-243763"/>
    <d v="2025-04-26T00:00:00"/>
    <d v="2025-04-28T00:00:00"/>
    <x v="1"/>
    <s v="Q2"/>
    <x v="3"/>
    <x v="5"/>
    <x v="2"/>
    <x v="0"/>
    <x v="0"/>
    <x v="1"/>
    <x v="0"/>
    <n v="2"/>
    <n v="42"/>
    <n v="2026"/>
    <n v="0"/>
    <n v="5"/>
    <s v="Recovered"/>
    <n v="1"/>
  </r>
  <r>
    <s v="ADM-243764"/>
    <d v="2025-04-26T00:00:00"/>
    <d v="2025-04-29T00:00:00"/>
    <x v="1"/>
    <s v="Q2"/>
    <x v="3"/>
    <x v="5"/>
    <x v="4"/>
    <x v="0"/>
    <x v="1"/>
    <x v="2"/>
    <x v="1"/>
    <n v="3"/>
    <n v="18"/>
    <n v="4595"/>
    <n v="0"/>
    <n v="4"/>
    <s v="Recovered"/>
    <n v="1"/>
  </r>
  <r>
    <s v="ADM-243765"/>
    <d v="2025-04-26T00:00:00"/>
    <d v="2025-04-30T00:00:00"/>
    <x v="1"/>
    <s v="Q2"/>
    <x v="3"/>
    <x v="5"/>
    <x v="2"/>
    <x v="0"/>
    <x v="0"/>
    <x v="2"/>
    <x v="2"/>
    <n v="4"/>
    <n v="41"/>
    <n v="3173"/>
    <n v="0"/>
    <n v="4"/>
    <s v="Improved"/>
    <n v="1"/>
  </r>
  <r>
    <s v="ADM-243766"/>
    <d v="2025-04-27T00:00:00"/>
    <d v="2025-04-28T00:00:00"/>
    <x v="1"/>
    <s v="Q2"/>
    <x v="3"/>
    <x v="6"/>
    <x v="4"/>
    <x v="0"/>
    <x v="1"/>
    <x v="4"/>
    <x v="1"/>
    <n v="1"/>
    <n v="27"/>
    <n v="2283"/>
    <n v="0"/>
    <n v="5"/>
    <s v="Recovered"/>
    <n v="1"/>
  </r>
  <r>
    <s v="ADM-243767"/>
    <d v="2025-04-27T00:00:00"/>
    <d v="2025-04-30T00:00:00"/>
    <x v="1"/>
    <s v="Q2"/>
    <x v="3"/>
    <x v="6"/>
    <x v="5"/>
    <x v="0"/>
    <x v="1"/>
    <x v="1"/>
    <x v="0"/>
    <n v="3"/>
    <n v="57"/>
    <n v="4498"/>
    <n v="0"/>
    <n v="4"/>
    <s v="Improved"/>
    <n v="1"/>
  </r>
  <r>
    <s v="ADM-243768"/>
    <d v="2025-04-27T00:00:00"/>
    <d v="2025-05-01T00:00:00"/>
    <x v="1"/>
    <s v="Q2"/>
    <x v="3"/>
    <x v="6"/>
    <x v="0"/>
    <x v="0"/>
    <x v="0"/>
    <x v="2"/>
    <x v="0"/>
    <n v="4"/>
    <n v="100"/>
    <n v="4491"/>
    <n v="0"/>
    <n v="4"/>
    <s v="Recovered"/>
    <n v="1"/>
  </r>
  <r>
    <s v="ADM-243769"/>
    <d v="2025-04-27T00:00:00"/>
    <d v="2025-05-02T00:00:00"/>
    <x v="1"/>
    <s v="Q2"/>
    <x v="3"/>
    <x v="6"/>
    <x v="0"/>
    <x v="0"/>
    <x v="1"/>
    <x v="1"/>
    <x v="1"/>
    <n v="5"/>
    <n v="50"/>
    <n v="3846"/>
    <n v="0"/>
    <n v="4"/>
    <s v="Recovered"/>
    <n v="1"/>
  </r>
  <r>
    <s v="ADM-243770"/>
    <d v="2025-04-27T00:00:00"/>
    <d v="2025-04-28T00:00:00"/>
    <x v="1"/>
    <s v="Q2"/>
    <x v="3"/>
    <x v="6"/>
    <x v="0"/>
    <x v="1"/>
    <x v="0"/>
    <x v="4"/>
    <x v="2"/>
    <n v="1"/>
    <m/>
    <n v="1307"/>
    <n v="0"/>
    <n v="3"/>
    <s v="Improved"/>
    <n v="1"/>
  </r>
  <r>
    <s v="ADM-243771"/>
    <d v="2025-04-27T00:00:00"/>
    <d v="2025-05-10T00:00:00"/>
    <x v="1"/>
    <s v="Q2"/>
    <x v="3"/>
    <x v="6"/>
    <x v="4"/>
    <x v="0"/>
    <x v="0"/>
    <x v="4"/>
    <x v="0"/>
    <n v="13"/>
    <n v="38"/>
    <n v="9808"/>
    <n v="0"/>
    <n v="5"/>
    <s v="Recovered"/>
    <n v="1"/>
  </r>
  <r>
    <s v="ADM-243772"/>
    <d v="2025-04-27T00:00:00"/>
    <d v="2025-05-04T00:00:00"/>
    <x v="1"/>
    <s v="Q2"/>
    <x v="3"/>
    <x v="6"/>
    <x v="4"/>
    <x v="0"/>
    <x v="1"/>
    <x v="1"/>
    <x v="2"/>
    <n v="7"/>
    <n v="25"/>
    <n v="8473"/>
    <n v="0"/>
    <n v="3"/>
    <s v="Transferred"/>
    <n v="1"/>
  </r>
  <r>
    <s v="ADM-243773"/>
    <d v="2025-04-27T00:00:00"/>
    <d v="2025-04-29T00:00:00"/>
    <x v="1"/>
    <s v="Q2"/>
    <x v="3"/>
    <x v="6"/>
    <x v="2"/>
    <x v="0"/>
    <x v="0"/>
    <x v="2"/>
    <x v="0"/>
    <n v="2"/>
    <n v="64"/>
    <n v="1862"/>
    <n v="0"/>
    <n v="4"/>
    <s v="Recovered"/>
    <n v="1"/>
  </r>
  <r>
    <s v="ADM-243774"/>
    <d v="2025-04-27T00:00:00"/>
    <d v="2025-05-01T00:00:00"/>
    <x v="1"/>
    <s v="Q2"/>
    <x v="3"/>
    <x v="6"/>
    <x v="1"/>
    <x v="1"/>
    <x v="0"/>
    <x v="4"/>
    <x v="2"/>
    <n v="4"/>
    <m/>
    <n v="3041"/>
    <n v="0"/>
    <n v="4"/>
    <s v="Improved"/>
    <n v="1"/>
  </r>
  <r>
    <s v="ADM-243775"/>
    <d v="2025-04-27T00:00:00"/>
    <d v="2025-05-02T00:00:00"/>
    <x v="1"/>
    <s v="Q2"/>
    <x v="3"/>
    <x v="6"/>
    <x v="0"/>
    <x v="2"/>
    <x v="1"/>
    <x v="1"/>
    <x v="2"/>
    <n v="5"/>
    <m/>
    <n v="3869"/>
    <n v="0"/>
    <n v="5"/>
    <s v="Improved"/>
    <n v="1"/>
  </r>
  <r>
    <s v="ADM-243776"/>
    <d v="2025-04-28T00:00:00"/>
    <d v="2025-05-11T00:00:00"/>
    <x v="1"/>
    <s v="Q2"/>
    <x v="3"/>
    <x v="0"/>
    <x v="1"/>
    <x v="0"/>
    <x v="1"/>
    <x v="0"/>
    <x v="0"/>
    <n v="13"/>
    <n v="18"/>
    <n v="15073"/>
    <n v="0"/>
    <n v="3"/>
    <s v="Recovered"/>
    <n v="1"/>
  </r>
  <r>
    <s v="ADM-243777"/>
    <d v="2025-04-28T00:00:00"/>
    <d v="2025-04-29T00:00:00"/>
    <x v="1"/>
    <s v="Q2"/>
    <x v="3"/>
    <x v="0"/>
    <x v="5"/>
    <x v="0"/>
    <x v="0"/>
    <x v="2"/>
    <x v="2"/>
    <n v="1"/>
    <n v="20"/>
    <n v="1588"/>
    <n v="1"/>
    <n v="3"/>
    <s v="Improved"/>
    <n v="1"/>
  </r>
  <r>
    <s v="ADM-243778"/>
    <d v="2025-04-28T00:00:00"/>
    <d v="2025-05-01T00:00:00"/>
    <x v="1"/>
    <s v="Q2"/>
    <x v="3"/>
    <x v="0"/>
    <x v="2"/>
    <x v="1"/>
    <x v="0"/>
    <x v="2"/>
    <x v="0"/>
    <n v="3"/>
    <m/>
    <n v="2855"/>
    <n v="0"/>
    <n v="5"/>
    <s v="Improved"/>
    <n v="1"/>
  </r>
  <r>
    <s v="ADM-243779"/>
    <d v="2025-04-28T00:00:00"/>
    <d v="2025-04-29T00:00:00"/>
    <x v="1"/>
    <s v="Q2"/>
    <x v="3"/>
    <x v="0"/>
    <x v="1"/>
    <x v="2"/>
    <x v="0"/>
    <x v="0"/>
    <x v="0"/>
    <n v="1"/>
    <m/>
    <n v="2076"/>
    <n v="1"/>
    <n v="3"/>
    <s v="Improved"/>
    <n v="1"/>
  </r>
  <r>
    <s v="ADM-243780"/>
    <d v="2025-04-28T00:00:00"/>
    <d v="2025-05-02T00:00:00"/>
    <x v="1"/>
    <s v="Q2"/>
    <x v="3"/>
    <x v="0"/>
    <x v="3"/>
    <x v="1"/>
    <x v="0"/>
    <x v="3"/>
    <x v="2"/>
    <n v="4"/>
    <m/>
    <n v="2883"/>
    <n v="0"/>
    <n v="4"/>
    <s v="Improved"/>
    <n v="1"/>
  </r>
  <r>
    <s v="ADM-243781"/>
    <d v="2025-04-28T00:00:00"/>
    <d v="2025-05-06T00:00:00"/>
    <x v="1"/>
    <s v="Q2"/>
    <x v="3"/>
    <x v="0"/>
    <x v="0"/>
    <x v="2"/>
    <x v="1"/>
    <x v="4"/>
    <x v="2"/>
    <n v="8"/>
    <m/>
    <n v="5898"/>
    <n v="0"/>
    <n v="4"/>
    <s v="Transferred"/>
    <n v="1"/>
  </r>
  <r>
    <s v="ADM-243782"/>
    <d v="2025-04-28T00:00:00"/>
    <d v="2025-05-01T00:00:00"/>
    <x v="1"/>
    <s v="Q2"/>
    <x v="3"/>
    <x v="0"/>
    <x v="3"/>
    <x v="0"/>
    <x v="1"/>
    <x v="3"/>
    <x v="2"/>
    <n v="3"/>
    <n v="52"/>
    <n v="2423"/>
    <n v="0"/>
    <n v="5"/>
    <s v="Recovered"/>
    <n v="1"/>
  </r>
  <r>
    <s v="ADM-243783"/>
    <d v="2025-04-28T00:00:00"/>
    <d v="2025-05-11T00:00:00"/>
    <x v="1"/>
    <s v="Q2"/>
    <x v="3"/>
    <x v="0"/>
    <x v="4"/>
    <x v="0"/>
    <x v="1"/>
    <x v="4"/>
    <x v="2"/>
    <n v="13"/>
    <n v="122"/>
    <n v="16498"/>
    <n v="0"/>
    <n v="2"/>
    <s v="Recovered"/>
    <n v="1"/>
  </r>
  <r>
    <s v="ADM-243784"/>
    <d v="2025-04-28T00:00:00"/>
    <d v="2025-05-01T00:00:00"/>
    <x v="1"/>
    <s v="Q2"/>
    <x v="3"/>
    <x v="0"/>
    <x v="4"/>
    <x v="0"/>
    <x v="1"/>
    <x v="0"/>
    <x v="2"/>
    <n v="3"/>
    <n v="92"/>
    <n v="4992"/>
    <n v="0"/>
    <n v="3"/>
    <s v="Transferred"/>
    <n v="1"/>
  </r>
  <r>
    <s v="ADM-243785"/>
    <d v="2025-04-29T00:00:00"/>
    <d v="2025-05-03T00:00:00"/>
    <x v="1"/>
    <s v="Q2"/>
    <x v="3"/>
    <x v="1"/>
    <x v="4"/>
    <x v="0"/>
    <x v="0"/>
    <x v="0"/>
    <x v="0"/>
    <n v="4"/>
    <n v="53"/>
    <n v="5023"/>
    <n v="0"/>
    <n v="4"/>
    <s v="Recovered"/>
    <n v="1"/>
  </r>
  <r>
    <s v="ADM-243786"/>
    <d v="2025-04-29T00:00:00"/>
    <d v="2025-05-04T00:00:00"/>
    <x v="1"/>
    <s v="Q2"/>
    <x v="3"/>
    <x v="1"/>
    <x v="0"/>
    <x v="2"/>
    <x v="1"/>
    <x v="2"/>
    <x v="2"/>
    <n v="5"/>
    <m/>
    <n v="4160"/>
    <n v="0"/>
    <n v="4"/>
    <s v="Recovered"/>
    <n v="1"/>
  </r>
  <r>
    <s v="ADM-243787"/>
    <d v="2025-04-29T00:00:00"/>
    <d v="2025-05-01T00:00:00"/>
    <x v="1"/>
    <s v="Q2"/>
    <x v="3"/>
    <x v="1"/>
    <x v="2"/>
    <x v="0"/>
    <x v="0"/>
    <x v="2"/>
    <x v="2"/>
    <n v="2"/>
    <n v="40"/>
    <n v="2580"/>
    <n v="0"/>
    <n v="3"/>
    <s v="Recovered"/>
    <n v="1"/>
  </r>
  <r>
    <s v="ADM-243788"/>
    <d v="2025-04-30T00:00:00"/>
    <d v="2025-05-06T00:00:00"/>
    <x v="1"/>
    <s v="Q2"/>
    <x v="3"/>
    <x v="2"/>
    <x v="0"/>
    <x v="0"/>
    <x v="0"/>
    <x v="1"/>
    <x v="0"/>
    <n v="6"/>
    <n v="68"/>
    <n v="5679"/>
    <n v="0"/>
    <n v="3"/>
    <s v="Improved"/>
    <n v="1"/>
  </r>
  <r>
    <s v="ADM-243789"/>
    <d v="2025-04-30T00:00:00"/>
    <d v="2025-05-15T00:00:00"/>
    <x v="1"/>
    <s v="Q2"/>
    <x v="3"/>
    <x v="2"/>
    <x v="0"/>
    <x v="0"/>
    <x v="1"/>
    <x v="0"/>
    <x v="1"/>
    <n v="15"/>
    <n v="62"/>
    <n v="11086"/>
    <n v="0"/>
    <n v="3"/>
    <s v="Recovered"/>
    <n v="1"/>
  </r>
  <r>
    <s v="ADM-243790"/>
    <d v="2025-04-30T00:00:00"/>
    <d v="2025-05-03T00:00:00"/>
    <x v="1"/>
    <s v="Q2"/>
    <x v="3"/>
    <x v="2"/>
    <x v="1"/>
    <x v="2"/>
    <x v="1"/>
    <x v="4"/>
    <x v="0"/>
    <n v="3"/>
    <m/>
    <n v="3726"/>
    <n v="0"/>
    <n v="4"/>
    <s v="Recovered"/>
    <n v="1"/>
  </r>
  <r>
    <s v="ADM-243791"/>
    <d v="2025-04-30T00:00:00"/>
    <d v="2025-05-13T00:00:00"/>
    <x v="1"/>
    <s v="Q2"/>
    <x v="3"/>
    <x v="2"/>
    <x v="1"/>
    <x v="0"/>
    <x v="1"/>
    <x v="4"/>
    <x v="2"/>
    <n v="13"/>
    <n v="18"/>
    <n v="19546"/>
    <n v="0"/>
    <n v="5"/>
    <s v="Recovered"/>
    <n v="1"/>
  </r>
  <r>
    <s v="ADM-243792"/>
    <d v="2025-04-30T00:00:00"/>
    <d v="2025-05-07T00:00:00"/>
    <x v="1"/>
    <s v="Q2"/>
    <x v="3"/>
    <x v="2"/>
    <x v="4"/>
    <x v="0"/>
    <x v="1"/>
    <x v="0"/>
    <x v="2"/>
    <n v="7"/>
    <n v="33"/>
    <n v="9886"/>
    <n v="0"/>
    <n v="5"/>
    <s v="Transferred"/>
    <n v="1"/>
  </r>
  <r>
    <s v="ADM-243793"/>
    <d v="2025-04-30T00:00:00"/>
    <d v="2025-05-07T00:00:00"/>
    <x v="1"/>
    <s v="Q2"/>
    <x v="3"/>
    <x v="2"/>
    <x v="1"/>
    <x v="0"/>
    <x v="0"/>
    <x v="0"/>
    <x v="0"/>
    <n v="7"/>
    <n v="63"/>
    <n v="6561"/>
    <n v="0"/>
    <n v="4"/>
    <s v="Recovered"/>
    <n v="1"/>
  </r>
  <r>
    <s v="ADM-243794"/>
    <d v="2025-04-30T00:00:00"/>
    <d v="2025-05-02T00:00:00"/>
    <x v="1"/>
    <s v="Q2"/>
    <x v="3"/>
    <x v="2"/>
    <x v="1"/>
    <x v="2"/>
    <x v="1"/>
    <x v="1"/>
    <x v="0"/>
    <n v="2"/>
    <m/>
    <n v="3535"/>
    <n v="0"/>
    <n v="4"/>
    <s v="Transferred"/>
    <n v="1"/>
  </r>
  <r>
    <s v="ADM-243795"/>
    <d v="2025-04-30T00:00:00"/>
    <d v="2025-05-09T00:00:00"/>
    <x v="1"/>
    <s v="Q2"/>
    <x v="3"/>
    <x v="2"/>
    <x v="1"/>
    <x v="0"/>
    <x v="1"/>
    <x v="0"/>
    <x v="2"/>
    <n v="9"/>
    <n v="39"/>
    <n v="10394"/>
    <n v="0"/>
    <n v="4"/>
    <s v="Recovered"/>
    <n v="1"/>
  </r>
  <r>
    <s v="ADM-243796"/>
    <d v="2025-04-30T00:00:00"/>
    <d v="2025-05-08T00:00:00"/>
    <x v="1"/>
    <s v="Q2"/>
    <x v="3"/>
    <x v="2"/>
    <x v="0"/>
    <x v="2"/>
    <x v="0"/>
    <x v="0"/>
    <x v="0"/>
    <n v="8"/>
    <m/>
    <n v="6244"/>
    <n v="0"/>
    <n v="4"/>
    <s v="Recovered"/>
    <n v="1"/>
  </r>
  <r>
    <s v="ADM-243797"/>
    <d v="2025-04-30T00:00:00"/>
    <d v="2025-05-05T00:00:00"/>
    <x v="1"/>
    <s v="Q2"/>
    <x v="3"/>
    <x v="2"/>
    <x v="2"/>
    <x v="0"/>
    <x v="0"/>
    <x v="1"/>
    <x v="2"/>
    <n v="5"/>
    <n v="61"/>
    <n v="3809"/>
    <n v="0"/>
    <n v="5"/>
    <s v="Recovered"/>
    <n v="1"/>
  </r>
  <r>
    <s v="ADM-243798"/>
    <d v="2025-04-30T00:00:00"/>
    <d v="2025-05-03T00:00:00"/>
    <x v="1"/>
    <s v="Q2"/>
    <x v="3"/>
    <x v="2"/>
    <x v="5"/>
    <x v="2"/>
    <x v="1"/>
    <x v="0"/>
    <x v="0"/>
    <n v="3"/>
    <m/>
    <n v="4266"/>
    <n v="0"/>
    <n v="4"/>
    <s v="Recovered"/>
    <n v="1"/>
  </r>
  <r>
    <s v="ADM-243799"/>
    <d v="2025-04-30T00:00:00"/>
    <d v="2025-05-06T00:00:00"/>
    <x v="1"/>
    <s v="Q2"/>
    <x v="3"/>
    <x v="2"/>
    <x v="0"/>
    <x v="0"/>
    <x v="1"/>
    <x v="2"/>
    <x v="2"/>
    <n v="6"/>
    <n v="35"/>
    <n v="3531"/>
    <n v="0"/>
    <n v="4"/>
    <s v="Improved"/>
    <n v="1"/>
  </r>
  <r>
    <s v="ADM-243800"/>
    <d v="2025-04-30T00:00:00"/>
    <d v="2025-05-03T00:00:00"/>
    <x v="1"/>
    <s v="Q2"/>
    <x v="3"/>
    <x v="2"/>
    <x v="0"/>
    <x v="2"/>
    <x v="1"/>
    <x v="0"/>
    <x v="2"/>
    <n v="3"/>
    <m/>
    <n v="2771"/>
    <n v="1"/>
    <n v="3"/>
    <s v="Improved"/>
    <n v="1"/>
  </r>
  <r>
    <s v="ADM-243801"/>
    <d v="2025-05-01T00:00:00"/>
    <d v="2025-05-07T00:00:00"/>
    <x v="1"/>
    <s v="Q2"/>
    <x v="4"/>
    <x v="3"/>
    <x v="0"/>
    <x v="0"/>
    <x v="0"/>
    <x v="1"/>
    <x v="1"/>
    <n v="6"/>
    <n v="79"/>
    <n v="4146"/>
    <n v="1"/>
    <n v="3"/>
    <s v="Recovered"/>
    <n v="1"/>
  </r>
  <r>
    <s v="ADM-243802"/>
    <d v="2025-05-01T00:00:00"/>
    <d v="2025-05-04T00:00:00"/>
    <x v="1"/>
    <s v="Q2"/>
    <x v="4"/>
    <x v="3"/>
    <x v="1"/>
    <x v="2"/>
    <x v="1"/>
    <x v="0"/>
    <x v="2"/>
    <n v="3"/>
    <m/>
    <n v="3307"/>
    <n v="1"/>
    <n v="4"/>
    <s v="Recovered"/>
    <n v="1"/>
  </r>
  <r>
    <s v="ADM-243803"/>
    <d v="2025-05-01T00:00:00"/>
    <d v="2025-05-05T00:00:00"/>
    <x v="1"/>
    <s v="Q2"/>
    <x v="4"/>
    <x v="3"/>
    <x v="2"/>
    <x v="2"/>
    <x v="0"/>
    <x v="1"/>
    <x v="0"/>
    <n v="4"/>
    <m/>
    <n v="3576"/>
    <n v="0"/>
    <n v="3"/>
    <s v="Recovered"/>
    <n v="1"/>
  </r>
  <r>
    <s v="ADM-243804"/>
    <d v="2025-05-01T00:00:00"/>
    <d v="2025-05-13T00:00:00"/>
    <x v="1"/>
    <s v="Q2"/>
    <x v="4"/>
    <x v="3"/>
    <x v="4"/>
    <x v="0"/>
    <x v="1"/>
    <x v="0"/>
    <x v="0"/>
    <n v="12"/>
    <n v="28"/>
    <n v="15214"/>
    <n v="1"/>
    <n v="5"/>
    <s v="Recovered"/>
    <n v="1"/>
  </r>
  <r>
    <s v="ADM-243805"/>
    <d v="2025-05-01T00:00:00"/>
    <d v="2025-05-04T00:00:00"/>
    <x v="1"/>
    <s v="Q2"/>
    <x v="4"/>
    <x v="3"/>
    <x v="5"/>
    <x v="2"/>
    <x v="0"/>
    <x v="0"/>
    <x v="0"/>
    <n v="3"/>
    <m/>
    <n v="3098"/>
    <n v="0"/>
    <n v="4"/>
    <s v="Improved"/>
    <n v="1"/>
  </r>
  <r>
    <s v="ADM-243806"/>
    <d v="2025-05-01T00:00:00"/>
    <d v="2025-05-09T00:00:00"/>
    <x v="1"/>
    <s v="Q2"/>
    <x v="4"/>
    <x v="3"/>
    <x v="1"/>
    <x v="0"/>
    <x v="1"/>
    <x v="0"/>
    <x v="0"/>
    <n v="8"/>
    <n v="109"/>
    <n v="10404"/>
    <n v="0"/>
    <n v="4"/>
    <s v="Recovered"/>
    <n v="1"/>
  </r>
  <r>
    <s v="ADM-243807"/>
    <d v="2025-05-01T00:00:00"/>
    <d v="2025-05-05T00:00:00"/>
    <x v="1"/>
    <s v="Q2"/>
    <x v="4"/>
    <x v="3"/>
    <x v="1"/>
    <x v="2"/>
    <x v="1"/>
    <x v="0"/>
    <x v="2"/>
    <n v="4"/>
    <m/>
    <n v="3932"/>
    <n v="0"/>
    <n v="4"/>
    <s v="Recovered"/>
    <n v="1"/>
  </r>
  <r>
    <s v="ADM-243808"/>
    <d v="2025-05-02T00:00:00"/>
    <d v="2025-05-07T00:00:00"/>
    <x v="1"/>
    <s v="Q2"/>
    <x v="4"/>
    <x v="4"/>
    <x v="1"/>
    <x v="0"/>
    <x v="0"/>
    <x v="4"/>
    <x v="2"/>
    <n v="5"/>
    <n v="39"/>
    <n v="4780"/>
    <n v="0"/>
    <n v="5"/>
    <s v="Recovered"/>
    <n v="1"/>
  </r>
  <r>
    <s v="ADM-243809"/>
    <d v="2025-05-02T00:00:00"/>
    <d v="2025-05-03T00:00:00"/>
    <x v="1"/>
    <s v="Q2"/>
    <x v="4"/>
    <x v="4"/>
    <x v="1"/>
    <x v="2"/>
    <x v="1"/>
    <x v="0"/>
    <x v="0"/>
    <n v="1"/>
    <m/>
    <n v="1568"/>
    <n v="0"/>
    <n v="4"/>
    <s v="Recovered"/>
    <n v="1"/>
  </r>
  <r>
    <s v="ADM-243810"/>
    <d v="2025-05-02T00:00:00"/>
    <d v="2025-05-06T00:00:00"/>
    <x v="1"/>
    <s v="Q2"/>
    <x v="4"/>
    <x v="4"/>
    <x v="5"/>
    <x v="1"/>
    <x v="1"/>
    <x v="2"/>
    <x v="2"/>
    <n v="4"/>
    <m/>
    <n v="4940"/>
    <n v="0"/>
    <n v="4"/>
    <s v="Improved"/>
    <n v="1"/>
  </r>
  <r>
    <s v="ADM-243811"/>
    <d v="2025-05-02T00:00:00"/>
    <d v="2025-05-07T00:00:00"/>
    <x v="1"/>
    <s v="Q2"/>
    <x v="4"/>
    <x v="4"/>
    <x v="4"/>
    <x v="0"/>
    <x v="0"/>
    <x v="2"/>
    <x v="2"/>
    <n v="5"/>
    <n v="18"/>
    <n v="6359"/>
    <n v="0"/>
    <n v="5"/>
    <s v="Improved"/>
    <n v="1"/>
  </r>
  <r>
    <s v="ADM-243812"/>
    <d v="2025-05-02T00:00:00"/>
    <d v="2025-05-07T00:00:00"/>
    <x v="1"/>
    <s v="Q2"/>
    <x v="4"/>
    <x v="4"/>
    <x v="5"/>
    <x v="2"/>
    <x v="1"/>
    <x v="0"/>
    <x v="0"/>
    <n v="5"/>
    <m/>
    <n v="4324"/>
    <n v="0"/>
    <n v="5"/>
    <s v="Improved"/>
    <n v="1"/>
  </r>
  <r>
    <s v="ADM-243813"/>
    <d v="2025-05-02T00:00:00"/>
    <d v="2025-05-04T00:00:00"/>
    <x v="1"/>
    <s v="Q2"/>
    <x v="4"/>
    <x v="4"/>
    <x v="0"/>
    <x v="0"/>
    <x v="1"/>
    <x v="1"/>
    <x v="0"/>
    <n v="2"/>
    <n v="86"/>
    <n v="2199"/>
    <n v="0"/>
    <n v="4"/>
    <s v="Recovered"/>
    <n v="1"/>
  </r>
  <r>
    <s v="ADM-243814"/>
    <d v="2025-05-02T00:00:00"/>
    <d v="2025-05-06T00:00:00"/>
    <x v="1"/>
    <s v="Q2"/>
    <x v="4"/>
    <x v="4"/>
    <x v="1"/>
    <x v="2"/>
    <x v="0"/>
    <x v="0"/>
    <x v="2"/>
    <n v="4"/>
    <m/>
    <n v="3001"/>
    <n v="0"/>
    <n v="4"/>
    <s v="Recovered"/>
    <n v="1"/>
  </r>
  <r>
    <s v="ADM-243815"/>
    <d v="2025-05-02T00:00:00"/>
    <d v="2025-05-04T00:00:00"/>
    <x v="1"/>
    <s v="Q2"/>
    <x v="4"/>
    <x v="4"/>
    <x v="2"/>
    <x v="1"/>
    <x v="0"/>
    <x v="1"/>
    <x v="0"/>
    <n v="2"/>
    <m/>
    <n v="2136"/>
    <n v="0"/>
    <n v="5"/>
    <s v="Recovered"/>
    <n v="1"/>
  </r>
  <r>
    <s v="ADM-243816"/>
    <d v="2025-05-02T00:00:00"/>
    <d v="2025-05-06T00:00:00"/>
    <x v="1"/>
    <s v="Q2"/>
    <x v="4"/>
    <x v="4"/>
    <x v="1"/>
    <x v="2"/>
    <x v="1"/>
    <x v="2"/>
    <x v="2"/>
    <n v="4"/>
    <m/>
    <n v="4273"/>
    <n v="0"/>
    <n v="4"/>
    <s v="Recovered"/>
    <n v="1"/>
  </r>
  <r>
    <s v="ADM-243817"/>
    <d v="2025-05-02T00:00:00"/>
    <d v="2025-05-03T00:00:00"/>
    <x v="1"/>
    <s v="Q2"/>
    <x v="4"/>
    <x v="4"/>
    <x v="3"/>
    <x v="2"/>
    <x v="0"/>
    <x v="3"/>
    <x v="1"/>
    <n v="1"/>
    <m/>
    <n v="1848"/>
    <n v="0"/>
    <n v="4"/>
    <s v="Transferred"/>
    <n v="1"/>
  </r>
  <r>
    <s v="ADM-243818"/>
    <d v="2025-05-02T00:00:00"/>
    <d v="2025-05-08T00:00:00"/>
    <x v="1"/>
    <s v="Q2"/>
    <x v="4"/>
    <x v="4"/>
    <x v="1"/>
    <x v="2"/>
    <x v="0"/>
    <x v="2"/>
    <x v="0"/>
    <n v="6"/>
    <m/>
    <n v="6419"/>
    <n v="0"/>
    <n v="3"/>
    <s v="Recovered"/>
    <n v="1"/>
  </r>
  <r>
    <s v="ADM-243819"/>
    <d v="2025-05-02T00:00:00"/>
    <d v="2025-05-03T00:00:00"/>
    <x v="1"/>
    <s v="Q2"/>
    <x v="4"/>
    <x v="4"/>
    <x v="1"/>
    <x v="2"/>
    <x v="1"/>
    <x v="4"/>
    <x v="0"/>
    <n v="1"/>
    <m/>
    <n v="2187"/>
    <n v="0"/>
    <n v="4"/>
    <s v="Recovered"/>
    <n v="1"/>
  </r>
  <r>
    <s v="ADM-243820"/>
    <d v="2025-05-02T00:00:00"/>
    <d v="2025-05-04T00:00:00"/>
    <x v="1"/>
    <s v="Q2"/>
    <x v="4"/>
    <x v="4"/>
    <x v="4"/>
    <x v="1"/>
    <x v="0"/>
    <x v="4"/>
    <x v="0"/>
    <n v="2"/>
    <m/>
    <n v="3165"/>
    <n v="0"/>
    <n v="3"/>
    <s v="Improved"/>
    <n v="1"/>
  </r>
  <r>
    <s v="ADM-243821"/>
    <d v="2025-05-02T00:00:00"/>
    <d v="2025-05-06T00:00:00"/>
    <x v="1"/>
    <s v="Q2"/>
    <x v="4"/>
    <x v="4"/>
    <x v="2"/>
    <x v="0"/>
    <x v="0"/>
    <x v="2"/>
    <x v="0"/>
    <n v="4"/>
    <n v="56"/>
    <n v="3620"/>
    <n v="0"/>
    <n v="4"/>
    <s v="Improved"/>
    <n v="1"/>
  </r>
  <r>
    <s v="ADM-243822"/>
    <d v="2025-05-03T00:00:00"/>
    <d v="2025-05-07T00:00:00"/>
    <x v="1"/>
    <s v="Q2"/>
    <x v="4"/>
    <x v="5"/>
    <x v="5"/>
    <x v="2"/>
    <x v="1"/>
    <x v="1"/>
    <x v="2"/>
    <n v="4"/>
    <m/>
    <n v="4154"/>
    <n v="0"/>
    <n v="5"/>
    <s v="Improved"/>
    <n v="1"/>
  </r>
  <r>
    <s v="ADM-243823"/>
    <d v="2025-05-04T00:00:00"/>
    <d v="2025-05-06T00:00:00"/>
    <x v="1"/>
    <s v="Q2"/>
    <x v="4"/>
    <x v="6"/>
    <x v="2"/>
    <x v="0"/>
    <x v="0"/>
    <x v="1"/>
    <x v="2"/>
    <n v="2"/>
    <n v="24"/>
    <n v="1443"/>
    <n v="0"/>
    <n v="4"/>
    <s v="Recovered"/>
    <n v="1"/>
  </r>
  <r>
    <s v="ADM-243824"/>
    <d v="2025-05-04T00:00:00"/>
    <d v="2025-05-11T00:00:00"/>
    <x v="1"/>
    <s v="Q2"/>
    <x v="4"/>
    <x v="6"/>
    <x v="1"/>
    <x v="0"/>
    <x v="1"/>
    <x v="4"/>
    <x v="1"/>
    <n v="7"/>
    <n v="26"/>
    <n v="5135"/>
    <n v="1"/>
    <n v="4"/>
    <s v="Recovered"/>
    <n v="1"/>
  </r>
  <r>
    <s v="ADM-243825"/>
    <d v="2025-05-04T00:00:00"/>
    <d v="2025-05-06T00:00:00"/>
    <x v="1"/>
    <s v="Q2"/>
    <x v="4"/>
    <x v="6"/>
    <x v="1"/>
    <x v="2"/>
    <x v="1"/>
    <x v="1"/>
    <x v="0"/>
    <n v="2"/>
    <m/>
    <n v="2714"/>
    <n v="0"/>
    <n v="4"/>
    <s v="Improved"/>
    <n v="1"/>
  </r>
  <r>
    <s v="ADM-243826"/>
    <d v="2025-05-04T00:00:00"/>
    <d v="2025-05-10T00:00:00"/>
    <x v="1"/>
    <s v="Q2"/>
    <x v="4"/>
    <x v="6"/>
    <x v="4"/>
    <x v="0"/>
    <x v="1"/>
    <x v="1"/>
    <x v="0"/>
    <n v="6"/>
    <n v="22"/>
    <n v="6527"/>
    <n v="0"/>
    <n v="5"/>
    <s v="Improved"/>
    <n v="1"/>
  </r>
  <r>
    <s v="ADM-243827"/>
    <d v="2025-05-04T00:00:00"/>
    <d v="2025-05-09T00:00:00"/>
    <x v="1"/>
    <s v="Q2"/>
    <x v="4"/>
    <x v="6"/>
    <x v="0"/>
    <x v="0"/>
    <x v="0"/>
    <x v="1"/>
    <x v="2"/>
    <n v="5"/>
    <n v="25"/>
    <n v="3622"/>
    <n v="0"/>
    <n v="5"/>
    <s v="Recovered"/>
    <n v="1"/>
  </r>
  <r>
    <s v="ADM-243828"/>
    <d v="2025-05-05T00:00:00"/>
    <d v="2025-05-09T00:00:00"/>
    <x v="1"/>
    <s v="Q2"/>
    <x v="4"/>
    <x v="0"/>
    <x v="3"/>
    <x v="0"/>
    <x v="1"/>
    <x v="3"/>
    <x v="0"/>
    <n v="4"/>
    <n v="59"/>
    <n v="3177"/>
    <n v="0"/>
    <n v="3"/>
    <s v="Recovered"/>
    <n v="1"/>
  </r>
  <r>
    <s v="ADM-243829"/>
    <d v="2025-05-05T00:00:00"/>
    <d v="2025-05-20T00:00:00"/>
    <x v="1"/>
    <s v="Q2"/>
    <x v="4"/>
    <x v="0"/>
    <x v="0"/>
    <x v="0"/>
    <x v="0"/>
    <x v="0"/>
    <x v="1"/>
    <n v="15"/>
    <n v="34"/>
    <n v="11830"/>
    <n v="1"/>
    <n v="4"/>
    <s v="Recovered"/>
    <n v="1"/>
  </r>
  <r>
    <s v="ADM-243830"/>
    <d v="2025-05-05T00:00:00"/>
    <d v="2025-05-07T00:00:00"/>
    <x v="1"/>
    <s v="Q2"/>
    <x v="4"/>
    <x v="0"/>
    <x v="2"/>
    <x v="0"/>
    <x v="0"/>
    <x v="2"/>
    <x v="2"/>
    <n v="2"/>
    <n v="33"/>
    <n v="2565"/>
    <n v="1"/>
    <n v="3"/>
    <s v="Recovered"/>
    <n v="1"/>
  </r>
  <r>
    <s v="ADM-243831"/>
    <d v="2025-05-05T00:00:00"/>
    <d v="2025-05-06T00:00:00"/>
    <x v="1"/>
    <s v="Q2"/>
    <x v="4"/>
    <x v="0"/>
    <x v="3"/>
    <x v="0"/>
    <x v="1"/>
    <x v="3"/>
    <x v="0"/>
    <n v="1"/>
    <n v="13"/>
    <n v="1808"/>
    <n v="0"/>
    <n v="4"/>
    <s v="Recovered"/>
    <n v="1"/>
  </r>
  <r>
    <s v="ADM-243832"/>
    <d v="2025-05-05T00:00:00"/>
    <d v="2025-05-08T00:00:00"/>
    <x v="1"/>
    <s v="Q2"/>
    <x v="4"/>
    <x v="0"/>
    <x v="3"/>
    <x v="0"/>
    <x v="1"/>
    <x v="3"/>
    <x v="2"/>
    <n v="3"/>
    <n v="37"/>
    <n v="2581"/>
    <n v="0"/>
    <n v="4"/>
    <s v="Recovered"/>
    <n v="1"/>
  </r>
  <r>
    <s v="ADM-243833"/>
    <d v="2025-05-05T00:00:00"/>
    <d v="2025-05-09T00:00:00"/>
    <x v="1"/>
    <s v="Q2"/>
    <x v="4"/>
    <x v="0"/>
    <x v="2"/>
    <x v="0"/>
    <x v="0"/>
    <x v="2"/>
    <x v="2"/>
    <n v="4"/>
    <n v="27"/>
    <n v="3209"/>
    <n v="0"/>
    <n v="5"/>
    <s v="Improved"/>
    <n v="1"/>
  </r>
  <r>
    <s v="ADM-243834"/>
    <d v="2025-05-06T00:00:00"/>
    <d v="2025-05-12T00:00:00"/>
    <x v="1"/>
    <s v="Q2"/>
    <x v="4"/>
    <x v="1"/>
    <x v="0"/>
    <x v="0"/>
    <x v="1"/>
    <x v="4"/>
    <x v="1"/>
    <n v="6"/>
    <n v="83"/>
    <n v="4533"/>
    <n v="0"/>
    <n v="4"/>
    <s v="Improved"/>
    <n v="1"/>
  </r>
  <r>
    <s v="ADM-243835"/>
    <d v="2025-05-06T00:00:00"/>
    <d v="2025-05-18T00:00:00"/>
    <x v="1"/>
    <s v="Q2"/>
    <x v="4"/>
    <x v="1"/>
    <x v="3"/>
    <x v="0"/>
    <x v="0"/>
    <x v="3"/>
    <x v="2"/>
    <n v="12"/>
    <n v="22"/>
    <n v="8039"/>
    <n v="1"/>
    <n v="5"/>
    <s v="Recovered"/>
    <n v="1"/>
  </r>
  <r>
    <s v="ADM-243836"/>
    <d v="2025-05-06T00:00:00"/>
    <d v="2025-05-12T00:00:00"/>
    <x v="1"/>
    <s v="Q2"/>
    <x v="4"/>
    <x v="1"/>
    <x v="5"/>
    <x v="2"/>
    <x v="1"/>
    <x v="0"/>
    <x v="2"/>
    <n v="6"/>
    <m/>
    <n v="3814"/>
    <n v="0"/>
    <n v="4"/>
    <s v="Improved"/>
    <n v="1"/>
  </r>
  <r>
    <s v="ADM-243837"/>
    <d v="2025-05-06T00:00:00"/>
    <d v="2025-05-08T00:00:00"/>
    <x v="1"/>
    <s v="Q2"/>
    <x v="4"/>
    <x v="1"/>
    <x v="2"/>
    <x v="0"/>
    <x v="0"/>
    <x v="2"/>
    <x v="1"/>
    <n v="2"/>
    <n v="19"/>
    <n v="1916"/>
    <n v="0"/>
    <n v="3"/>
    <s v="Recovered"/>
    <n v="1"/>
  </r>
  <r>
    <s v="ADM-243838"/>
    <d v="2025-05-06T00:00:00"/>
    <d v="2025-05-11T00:00:00"/>
    <x v="1"/>
    <s v="Q2"/>
    <x v="4"/>
    <x v="1"/>
    <x v="4"/>
    <x v="0"/>
    <x v="0"/>
    <x v="1"/>
    <x v="0"/>
    <n v="5"/>
    <n v="61"/>
    <n v="6363"/>
    <n v="0"/>
    <n v="4"/>
    <s v="Recovered"/>
    <n v="1"/>
  </r>
  <r>
    <s v="ADM-243839"/>
    <d v="2025-05-07T00:00:00"/>
    <d v="2025-05-17T00:00:00"/>
    <x v="1"/>
    <s v="Q2"/>
    <x v="4"/>
    <x v="2"/>
    <x v="4"/>
    <x v="0"/>
    <x v="1"/>
    <x v="2"/>
    <x v="2"/>
    <n v="10"/>
    <n v="33"/>
    <n v="12667"/>
    <n v="0"/>
    <n v="3"/>
    <s v="Improved"/>
    <n v="1"/>
  </r>
  <r>
    <s v="ADM-243840"/>
    <d v="2025-05-07T00:00:00"/>
    <d v="2025-05-09T00:00:00"/>
    <x v="1"/>
    <s v="Q2"/>
    <x v="4"/>
    <x v="2"/>
    <x v="0"/>
    <x v="0"/>
    <x v="0"/>
    <x v="2"/>
    <x v="2"/>
    <n v="2"/>
    <n v="112"/>
    <n v="2107"/>
    <n v="0"/>
    <n v="3"/>
    <s v="Recovered"/>
    <n v="1"/>
  </r>
  <r>
    <s v="ADM-243841"/>
    <d v="2025-05-07T00:00:00"/>
    <d v="2025-05-12T00:00:00"/>
    <x v="1"/>
    <s v="Q2"/>
    <x v="4"/>
    <x v="2"/>
    <x v="0"/>
    <x v="2"/>
    <x v="1"/>
    <x v="0"/>
    <x v="1"/>
    <n v="5"/>
    <m/>
    <n v="3553"/>
    <n v="0"/>
    <n v="4"/>
    <s v="Recovered"/>
    <n v="1"/>
  </r>
  <r>
    <s v="ADM-243842"/>
    <d v="2025-05-07T00:00:00"/>
    <d v="2025-05-08T00:00:00"/>
    <x v="1"/>
    <s v="Q2"/>
    <x v="4"/>
    <x v="2"/>
    <x v="3"/>
    <x v="0"/>
    <x v="0"/>
    <x v="3"/>
    <x v="2"/>
    <n v="1"/>
    <n v="23"/>
    <n v="1155"/>
    <n v="0"/>
    <n v="3"/>
    <s v="Improved"/>
    <n v="1"/>
  </r>
  <r>
    <s v="ADM-243843"/>
    <d v="2025-05-07T00:00:00"/>
    <d v="2025-05-12T00:00:00"/>
    <x v="1"/>
    <s v="Q2"/>
    <x v="4"/>
    <x v="2"/>
    <x v="2"/>
    <x v="0"/>
    <x v="0"/>
    <x v="2"/>
    <x v="2"/>
    <n v="5"/>
    <n v="22"/>
    <n v="3475"/>
    <n v="0"/>
    <n v="4"/>
    <s v="Improved"/>
    <n v="1"/>
  </r>
  <r>
    <s v="ADM-243844"/>
    <d v="2025-05-07T00:00:00"/>
    <d v="2025-05-25T00:00:00"/>
    <x v="1"/>
    <s v="Q2"/>
    <x v="4"/>
    <x v="2"/>
    <x v="0"/>
    <x v="0"/>
    <x v="0"/>
    <x v="4"/>
    <x v="1"/>
    <n v="18"/>
    <n v="75"/>
    <n v="8427"/>
    <n v="0"/>
    <n v="5"/>
    <s v="Recovered"/>
    <n v="1"/>
  </r>
  <r>
    <s v="ADM-243845"/>
    <d v="2025-05-07T00:00:00"/>
    <d v="2025-05-09T00:00:00"/>
    <x v="1"/>
    <s v="Q2"/>
    <x v="4"/>
    <x v="2"/>
    <x v="3"/>
    <x v="0"/>
    <x v="0"/>
    <x v="3"/>
    <x v="0"/>
    <n v="2"/>
    <n v="42"/>
    <n v="1552"/>
    <n v="0"/>
    <n v="4"/>
    <s v="Improved"/>
    <n v="1"/>
  </r>
  <r>
    <s v="ADM-243846"/>
    <d v="2025-05-07T00:00:00"/>
    <d v="2025-05-17T00:00:00"/>
    <x v="1"/>
    <s v="Q2"/>
    <x v="4"/>
    <x v="2"/>
    <x v="4"/>
    <x v="0"/>
    <x v="1"/>
    <x v="2"/>
    <x v="2"/>
    <n v="10"/>
    <n v="68"/>
    <n v="12064"/>
    <n v="0"/>
    <n v="4"/>
    <s v="Improved"/>
    <n v="1"/>
  </r>
  <r>
    <s v="ADM-243847"/>
    <d v="2025-05-08T00:00:00"/>
    <d v="2025-05-10T00:00:00"/>
    <x v="1"/>
    <s v="Q2"/>
    <x v="4"/>
    <x v="3"/>
    <x v="3"/>
    <x v="0"/>
    <x v="0"/>
    <x v="3"/>
    <x v="0"/>
    <n v="2"/>
    <n v="24"/>
    <n v="2401"/>
    <n v="0"/>
    <n v="4"/>
    <s v="Improved"/>
    <n v="1"/>
  </r>
  <r>
    <s v="ADM-243848"/>
    <d v="2025-05-08T00:00:00"/>
    <d v="2025-05-10T00:00:00"/>
    <x v="1"/>
    <s v="Q2"/>
    <x v="4"/>
    <x v="3"/>
    <x v="2"/>
    <x v="2"/>
    <x v="0"/>
    <x v="2"/>
    <x v="0"/>
    <n v="2"/>
    <m/>
    <n v="2563"/>
    <n v="0"/>
    <n v="5"/>
    <s v="Improved"/>
    <n v="1"/>
  </r>
  <r>
    <s v="ADM-243849"/>
    <d v="2025-05-08T00:00:00"/>
    <d v="2025-05-11T00:00:00"/>
    <x v="1"/>
    <s v="Q2"/>
    <x v="4"/>
    <x v="3"/>
    <x v="4"/>
    <x v="2"/>
    <x v="0"/>
    <x v="0"/>
    <x v="1"/>
    <n v="3"/>
    <m/>
    <n v="5156"/>
    <n v="1"/>
    <n v="4"/>
    <s v="Recovered"/>
    <n v="1"/>
  </r>
  <r>
    <s v="ADM-243850"/>
    <d v="2025-05-08T00:00:00"/>
    <d v="2025-05-09T00:00:00"/>
    <x v="1"/>
    <s v="Q2"/>
    <x v="4"/>
    <x v="3"/>
    <x v="0"/>
    <x v="1"/>
    <x v="0"/>
    <x v="2"/>
    <x v="2"/>
    <n v="1"/>
    <m/>
    <n v="2253"/>
    <n v="0"/>
    <n v="4"/>
    <s v="Recovered"/>
    <n v="1"/>
  </r>
  <r>
    <s v="ADM-243851"/>
    <d v="2025-05-08T00:00:00"/>
    <d v="2025-05-20T00:00:00"/>
    <x v="1"/>
    <s v="Q2"/>
    <x v="4"/>
    <x v="3"/>
    <x v="0"/>
    <x v="0"/>
    <x v="0"/>
    <x v="4"/>
    <x v="0"/>
    <n v="12"/>
    <n v="21"/>
    <n v="6047"/>
    <n v="0"/>
    <n v="5"/>
    <s v="Recovered"/>
    <n v="1"/>
  </r>
  <r>
    <s v="ADM-243852"/>
    <d v="2025-05-08T00:00:00"/>
    <d v="2025-05-10T00:00:00"/>
    <x v="1"/>
    <s v="Q2"/>
    <x v="4"/>
    <x v="3"/>
    <x v="1"/>
    <x v="0"/>
    <x v="1"/>
    <x v="1"/>
    <x v="2"/>
    <n v="2"/>
    <n v="102"/>
    <n v="3422"/>
    <n v="0"/>
    <n v="2"/>
    <s v="Recovered"/>
    <n v="1"/>
  </r>
  <r>
    <s v="ADM-243853"/>
    <d v="2025-05-08T00:00:00"/>
    <d v="2025-05-13T00:00:00"/>
    <x v="1"/>
    <s v="Q2"/>
    <x v="4"/>
    <x v="3"/>
    <x v="5"/>
    <x v="2"/>
    <x v="1"/>
    <x v="2"/>
    <x v="0"/>
    <n v="5"/>
    <m/>
    <n v="4751"/>
    <n v="0"/>
    <n v="5"/>
    <s v="Improved"/>
    <n v="1"/>
  </r>
  <r>
    <s v="ADM-243854"/>
    <d v="2025-05-08T00:00:00"/>
    <d v="2025-05-09T00:00:00"/>
    <x v="1"/>
    <s v="Q2"/>
    <x v="4"/>
    <x v="3"/>
    <x v="4"/>
    <x v="0"/>
    <x v="1"/>
    <x v="1"/>
    <x v="2"/>
    <n v="1"/>
    <n v="69"/>
    <n v="1898"/>
    <n v="0"/>
    <n v="5"/>
    <s v="Recovered"/>
    <n v="1"/>
  </r>
  <r>
    <s v="ADM-243855"/>
    <d v="2025-05-08T00:00:00"/>
    <d v="2025-05-11T00:00:00"/>
    <x v="1"/>
    <s v="Q2"/>
    <x v="4"/>
    <x v="3"/>
    <x v="5"/>
    <x v="2"/>
    <x v="1"/>
    <x v="2"/>
    <x v="2"/>
    <n v="3"/>
    <m/>
    <n v="4509"/>
    <n v="0"/>
    <n v="5"/>
    <s v="Recovered"/>
    <n v="1"/>
  </r>
  <r>
    <s v="ADM-243856"/>
    <d v="2025-05-08T00:00:00"/>
    <d v="2025-05-14T00:00:00"/>
    <x v="1"/>
    <s v="Q2"/>
    <x v="4"/>
    <x v="3"/>
    <x v="0"/>
    <x v="0"/>
    <x v="1"/>
    <x v="4"/>
    <x v="1"/>
    <n v="6"/>
    <n v="25"/>
    <n v="4315"/>
    <n v="0"/>
    <n v="5"/>
    <s v="Improved"/>
    <n v="1"/>
  </r>
  <r>
    <s v="ADM-243857"/>
    <d v="2025-05-08T00:00:00"/>
    <d v="2025-05-14T00:00:00"/>
    <x v="1"/>
    <s v="Q2"/>
    <x v="4"/>
    <x v="3"/>
    <x v="4"/>
    <x v="1"/>
    <x v="0"/>
    <x v="2"/>
    <x v="0"/>
    <n v="6"/>
    <m/>
    <n v="7630"/>
    <n v="0"/>
    <n v="5"/>
    <s v="Recovered"/>
    <n v="1"/>
  </r>
  <r>
    <s v="ADM-243858"/>
    <d v="2025-05-08T00:00:00"/>
    <d v="2025-05-14T00:00:00"/>
    <x v="1"/>
    <s v="Q2"/>
    <x v="4"/>
    <x v="3"/>
    <x v="0"/>
    <x v="0"/>
    <x v="1"/>
    <x v="0"/>
    <x v="1"/>
    <n v="6"/>
    <n v="26"/>
    <n v="3889"/>
    <n v="0"/>
    <n v="5"/>
    <s v="Transferred"/>
    <n v="1"/>
  </r>
  <r>
    <s v="ADM-243859"/>
    <d v="2025-05-09T00:00:00"/>
    <d v="2025-05-10T00:00:00"/>
    <x v="1"/>
    <s v="Q2"/>
    <x v="4"/>
    <x v="4"/>
    <x v="3"/>
    <x v="0"/>
    <x v="1"/>
    <x v="3"/>
    <x v="1"/>
    <n v="1"/>
    <n v="19"/>
    <n v="1623"/>
    <n v="0"/>
    <n v="4"/>
    <s v="Recovered"/>
    <n v="1"/>
  </r>
  <r>
    <s v="ADM-243860"/>
    <d v="2025-05-09T00:00:00"/>
    <d v="2025-05-15T00:00:00"/>
    <x v="1"/>
    <s v="Q2"/>
    <x v="4"/>
    <x v="4"/>
    <x v="2"/>
    <x v="0"/>
    <x v="0"/>
    <x v="1"/>
    <x v="0"/>
    <n v="6"/>
    <n v="123"/>
    <n v="4400"/>
    <n v="0"/>
    <n v="2"/>
    <s v="Recovered"/>
    <n v="1"/>
  </r>
  <r>
    <s v="ADM-243861"/>
    <d v="2025-05-09T00:00:00"/>
    <d v="2025-05-10T00:00:00"/>
    <x v="1"/>
    <s v="Q2"/>
    <x v="4"/>
    <x v="4"/>
    <x v="2"/>
    <x v="0"/>
    <x v="0"/>
    <x v="1"/>
    <x v="2"/>
    <n v="1"/>
    <n v="58"/>
    <n v="1463"/>
    <n v="0"/>
    <n v="4"/>
    <s v="Recovered"/>
    <n v="1"/>
  </r>
  <r>
    <s v="ADM-243862"/>
    <d v="2025-05-09T00:00:00"/>
    <d v="2025-05-11T00:00:00"/>
    <x v="1"/>
    <s v="Q2"/>
    <x v="4"/>
    <x v="4"/>
    <x v="1"/>
    <x v="2"/>
    <x v="1"/>
    <x v="1"/>
    <x v="2"/>
    <n v="2"/>
    <m/>
    <n v="3352"/>
    <n v="0"/>
    <n v="4"/>
    <s v="Recovered"/>
    <n v="1"/>
  </r>
  <r>
    <s v="ADM-243863"/>
    <d v="2025-05-09T00:00:00"/>
    <d v="2025-05-13T00:00:00"/>
    <x v="1"/>
    <s v="Q2"/>
    <x v="4"/>
    <x v="4"/>
    <x v="4"/>
    <x v="1"/>
    <x v="0"/>
    <x v="1"/>
    <x v="2"/>
    <n v="4"/>
    <m/>
    <n v="6421"/>
    <n v="0"/>
    <n v="5"/>
    <s v="Recovered"/>
    <n v="1"/>
  </r>
  <r>
    <s v="ADM-243864"/>
    <d v="2025-05-09T00:00:00"/>
    <d v="2025-05-12T00:00:00"/>
    <x v="1"/>
    <s v="Q2"/>
    <x v="4"/>
    <x v="4"/>
    <x v="5"/>
    <x v="2"/>
    <x v="1"/>
    <x v="1"/>
    <x v="2"/>
    <n v="3"/>
    <m/>
    <n v="2655"/>
    <n v="0"/>
    <n v="5"/>
    <s v="Recovered"/>
    <n v="1"/>
  </r>
  <r>
    <s v="ADM-243865"/>
    <d v="2025-05-10T00:00:00"/>
    <d v="2025-05-12T00:00:00"/>
    <x v="1"/>
    <s v="Q2"/>
    <x v="4"/>
    <x v="5"/>
    <x v="1"/>
    <x v="0"/>
    <x v="0"/>
    <x v="4"/>
    <x v="2"/>
    <n v="2"/>
    <n v="19"/>
    <n v="2780"/>
    <n v="0"/>
    <n v="5"/>
    <s v="Improved"/>
    <n v="1"/>
  </r>
  <r>
    <s v="ADM-243866"/>
    <d v="2025-05-10T00:00:00"/>
    <d v="2025-05-15T00:00:00"/>
    <x v="1"/>
    <s v="Q2"/>
    <x v="4"/>
    <x v="5"/>
    <x v="1"/>
    <x v="0"/>
    <x v="1"/>
    <x v="4"/>
    <x v="1"/>
    <n v="5"/>
    <n v="101"/>
    <n v="5075"/>
    <n v="0"/>
    <n v="4"/>
    <s v="Recovered"/>
    <n v="1"/>
  </r>
  <r>
    <s v="ADM-243867"/>
    <d v="2025-05-10T00:00:00"/>
    <d v="2025-05-19T00:00:00"/>
    <x v="1"/>
    <s v="Q2"/>
    <x v="4"/>
    <x v="5"/>
    <x v="5"/>
    <x v="2"/>
    <x v="0"/>
    <x v="0"/>
    <x v="0"/>
    <n v="9"/>
    <m/>
    <n v="10020"/>
    <n v="0"/>
    <n v="4"/>
    <s v="Recovered"/>
    <n v="1"/>
  </r>
  <r>
    <s v="ADM-243868"/>
    <d v="2025-05-10T00:00:00"/>
    <d v="2025-05-12T00:00:00"/>
    <x v="1"/>
    <s v="Q2"/>
    <x v="4"/>
    <x v="5"/>
    <x v="2"/>
    <x v="0"/>
    <x v="0"/>
    <x v="2"/>
    <x v="2"/>
    <n v="2"/>
    <n v="17"/>
    <n v="2115"/>
    <n v="0"/>
    <n v="4"/>
    <s v="Improved"/>
    <n v="1"/>
  </r>
  <r>
    <s v="ADM-243869"/>
    <d v="2025-05-10T00:00:00"/>
    <d v="2025-05-15T00:00:00"/>
    <x v="1"/>
    <s v="Q2"/>
    <x v="4"/>
    <x v="5"/>
    <x v="4"/>
    <x v="0"/>
    <x v="1"/>
    <x v="1"/>
    <x v="0"/>
    <n v="5"/>
    <n v="132"/>
    <n v="5388"/>
    <n v="0"/>
    <n v="4"/>
    <s v="Recovered"/>
    <n v="1"/>
  </r>
  <r>
    <s v="ADM-243870"/>
    <d v="2025-05-10T00:00:00"/>
    <d v="2025-05-19T00:00:00"/>
    <x v="1"/>
    <s v="Q2"/>
    <x v="4"/>
    <x v="5"/>
    <x v="0"/>
    <x v="0"/>
    <x v="1"/>
    <x v="0"/>
    <x v="0"/>
    <n v="9"/>
    <n v="88"/>
    <n v="7048"/>
    <n v="0"/>
    <n v="5"/>
    <s v="Recovered"/>
    <n v="1"/>
  </r>
  <r>
    <s v="ADM-243871"/>
    <d v="2025-05-11T00:00:00"/>
    <d v="2025-05-14T00:00:00"/>
    <x v="1"/>
    <s v="Q2"/>
    <x v="4"/>
    <x v="6"/>
    <x v="0"/>
    <x v="0"/>
    <x v="0"/>
    <x v="0"/>
    <x v="2"/>
    <n v="3"/>
    <n v="12"/>
    <n v="2450"/>
    <n v="0"/>
    <n v="4"/>
    <s v="Improved"/>
    <n v="1"/>
  </r>
  <r>
    <s v="ADM-243872"/>
    <d v="2025-05-11T00:00:00"/>
    <d v="2025-05-14T00:00:00"/>
    <x v="1"/>
    <s v="Q2"/>
    <x v="4"/>
    <x v="6"/>
    <x v="5"/>
    <x v="0"/>
    <x v="0"/>
    <x v="4"/>
    <x v="2"/>
    <n v="3"/>
    <n v="55"/>
    <n v="3713"/>
    <n v="0"/>
    <n v="5"/>
    <s v="Recovered"/>
    <n v="1"/>
  </r>
  <r>
    <s v="ADM-243873"/>
    <d v="2025-05-11T00:00:00"/>
    <d v="2025-05-17T00:00:00"/>
    <x v="1"/>
    <s v="Q2"/>
    <x v="4"/>
    <x v="6"/>
    <x v="0"/>
    <x v="0"/>
    <x v="1"/>
    <x v="0"/>
    <x v="2"/>
    <n v="6"/>
    <n v="16"/>
    <n v="4086"/>
    <n v="0"/>
    <n v="5"/>
    <s v="Recovered"/>
    <n v="1"/>
  </r>
  <r>
    <s v="ADM-243874"/>
    <d v="2025-05-12T00:00:00"/>
    <d v="2025-05-19T00:00:00"/>
    <x v="1"/>
    <s v="Q2"/>
    <x v="4"/>
    <x v="0"/>
    <x v="0"/>
    <x v="0"/>
    <x v="0"/>
    <x v="0"/>
    <x v="2"/>
    <n v="7"/>
    <n v="150"/>
    <n v="5034"/>
    <n v="0"/>
    <n v="3"/>
    <s v="Improved"/>
    <n v="1"/>
  </r>
  <r>
    <s v="ADM-243875"/>
    <d v="2025-05-12T00:00:00"/>
    <d v="2025-05-14T00:00:00"/>
    <x v="1"/>
    <s v="Q2"/>
    <x v="4"/>
    <x v="0"/>
    <x v="2"/>
    <x v="0"/>
    <x v="0"/>
    <x v="2"/>
    <x v="0"/>
    <n v="2"/>
    <n v="26"/>
    <n v="2077"/>
    <n v="0"/>
    <n v="4"/>
    <s v="Recovered"/>
    <n v="1"/>
  </r>
  <r>
    <s v="ADM-243876"/>
    <d v="2025-05-12T00:00:00"/>
    <d v="2025-05-22T00:00:00"/>
    <x v="1"/>
    <s v="Q2"/>
    <x v="4"/>
    <x v="0"/>
    <x v="0"/>
    <x v="2"/>
    <x v="0"/>
    <x v="4"/>
    <x v="0"/>
    <n v="10"/>
    <m/>
    <n v="7914"/>
    <n v="1"/>
    <n v="3"/>
    <s v="Recovered"/>
    <n v="1"/>
  </r>
  <r>
    <s v="ADM-243877"/>
    <d v="2025-05-12T00:00:00"/>
    <d v="2025-05-14T00:00:00"/>
    <x v="1"/>
    <s v="Q2"/>
    <x v="4"/>
    <x v="0"/>
    <x v="5"/>
    <x v="0"/>
    <x v="0"/>
    <x v="4"/>
    <x v="0"/>
    <n v="2"/>
    <n v="43"/>
    <n v="2606"/>
    <n v="0"/>
    <n v="5"/>
    <s v="Recovered"/>
    <n v="1"/>
  </r>
  <r>
    <s v="ADM-243878"/>
    <d v="2025-05-12T00:00:00"/>
    <d v="2025-05-15T00:00:00"/>
    <x v="1"/>
    <s v="Q2"/>
    <x v="4"/>
    <x v="0"/>
    <x v="1"/>
    <x v="2"/>
    <x v="0"/>
    <x v="0"/>
    <x v="0"/>
    <n v="3"/>
    <m/>
    <n v="3718"/>
    <n v="0"/>
    <n v="5"/>
    <s v="Improved"/>
    <n v="1"/>
  </r>
  <r>
    <s v="ADM-243879"/>
    <d v="2025-05-12T00:00:00"/>
    <d v="2025-05-18T00:00:00"/>
    <x v="1"/>
    <s v="Q2"/>
    <x v="4"/>
    <x v="0"/>
    <x v="5"/>
    <x v="0"/>
    <x v="0"/>
    <x v="4"/>
    <x v="2"/>
    <n v="6"/>
    <n v="77"/>
    <n v="7474"/>
    <n v="0"/>
    <n v="4"/>
    <s v="Recovered"/>
    <n v="1"/>
  </r>
  <r>
    <s v="ADM-243880"/>
    <d v="2025-05-12T00:00:00"/>
    <d v="2025-05-19T00:00:00"/>
    <x v="1"/>
    <s v="Q2"/>
    <x v="4"/>
    <x v="0"/>
    <x v="1"/>
    <x v="2"/>
    <x v="1"/>
    <x v="4"/>
    <x v="0"/>
    <n v="7"/>
    <m/>
    <n v="6780"/>
    <n v="0"/>
    <n v="4"/>
    <s v="Recovered"/>
    <n v="1"/>
  </r>
  <r>
    <s v="ADM-243881"/>
    <d v="2025-05-12T00:00:00"/>
    <d v="2025-05-15T00:00:00"/>
    <x v="1"/>
    <s v="Q2"/>
    <x v="4"/>
    <x v="0"/>
    <x v="1"/>
    <x v="2"/>
    <x v="1"/>
    <x v="1"/>
    <x v="0"/>
    <n v="3"/>
    <m/>
    <n v="3863"/>
    <n v="0"/>
    <n v="4"/>
    <s v="Recovered"/>
    <n v="1"/>
  </r>
  <r>
    <s v="ADM-243882"/>
    <d v="2025-05-12T00:00:00"/>
    <d v="2025-05-15T00:00:00"/>
    <x v="1"/>
    <s v="Q2"/>
    <x v="4"/>
    <x v="0"/>
    <x v="1"/>
    <x v="1"/>
    <x v="0"/>
    <x v="1"/>
    <x v="0"/>
    <n v="3"/>
    <m/>
    <n v="3638"/>
    <n v="0"/>
    <n v="4"/>
    <s v="Recovered"/>
    <n v="1"/>
  </r>
  <r>
    <s v="ADM-243883"/>
    <d v="2025-05-13T00:00:00"/>
    <d v="2025-05-14T00:00:00"/>
    <x v="1"/>
    <s v="Q2"/>
    <x v="4"/>
    <x v="1"/>
    <x v="3"/>
    <x v="2"/>
    <x v="1"/>
    <x v="3"/>
    <x v="1"/>
    <n v="1"/>
    <m/>
    <n v="1138"/>
    <n v="0"/>
    <n v="3"/>
    <s v="Recovered"/>
    <n v="1"/>
  </r>
  <r>
    <s v="ADM-243884"/>
    <d v="2025-05-13T00:00:00"/>
    <d v="2025-05-27T00:00:00"/>
    <x v="1"/>
    <s v="Q2"/>
    <x v="4"/>
    <x v="1"/>
    <x v="0"/>
    <x v="0"/>
    <x v="0"/>
    <x v="0"/>
    <x v="0"/>
    <n v="14"/>
    <n v="44"/>
    <n v="11018"/>
    <n v="0"/>
    <n v="3"/>
    <s v="Improved"/>
    <n v="1"/>
  </r>
  <r>
    <s v="ADM-243885"/>
    <d v="2025-05-13T00:00:00"/>
    <d v="2025-05-22T00:00:00"/>
    <x v="1"/>
    <s v="Q2"/>
    <x v="4"/>
    <x v="1"/>
    <x v="1"/>
    <x v="2"/>
    <x v="1"/>
    <x v="0"/>
    <x v="2"/>
    <n v="9"/>
    <m/>
    <n v="7893"/>
    <n v="0"/>
    <n v="4"/>
    <s v="Recovered"/>
    <n v="1"/>
  </r>
  <r>
    <s v="ADM-243886"/>
    <d v="2025-05-13T00:00:00"/>
    <d v="2025-05-17T00:00:00"/>
    <x v="1"/>
    <s v="Q2"/>
    <x v="4"/>
    <x v="1"/>
    <x v="0"/>
    <x v="0"/>
    <x v="0"/>
    <x v="2"/>
    <x v="2"/>
    <n v="4"/>
    <n v="42"/>
    <n v="2588"/>
    <n v="0"/>
    <n v="4"/>
    <s v="Recovered"/>
    <n v="1"/>
  </r>
  <r>
    <s v="ADM-243887"/>
    <d v="2025-05-13T00:00:00"/>
    <d v="2025-05-15T00:00:00"/>
    <x v="1"/>
    <s v="Q2"/>
    <x v="4"/>
    <x v="1"/>
    <x v="4"/>
    <x v="0"/>
    <x v="0"/>
    <x v="4"/>
    <x v="2"/>
    <n v="2"/>
    <n v="31"/>
    <n v="2546"/>
    <n v="0"/>
    <n v="4"/>
    <s v="Improved"/>
    <n v="1"/>
  </r>
  <r>
    <s v="ADM-243888"/>
    <d v="2025-05-13T00:00:00"/>
    <d v="2025-05-18T00:00:00"/>
    <x v="1"/>
    <s v="Q2"/>
    <x v="4"/>
    <x v="1"/>
    <x v="4"/>
    <x v="1"/>
    <x v="1"/>
    <x v="1"/>
    <x v="0"/>
    <n v="5"/>
    <m/>
    <n v="6942"/>
    <n v="0"/>
    <n v="3"/>
    <s v="Recovered"/>
    <n v="1"/>
  </r>
  <r>
    <s v="ADM-243889"/>
    <d v="2025-05-13T00:00:00"/>
    <d v="2025-05-18T00:00:00"/>
    <x v="1"/>
    <s v="Q2"/>
    <x v="4"/>
    <x v="1"/>
    <x v="2"/>
    <x v="0"/>
    <x v="0"/>
    <x v="1"/>
    <x v="2"/>
    <n v="5"/>
    <n v="51"/>
    <n v="3213"/>
    <n v="0"/>
    <n v="4"/>
    <s v="Transferred"/>
    <n v="1"/>
  </r>
  <r>
    <s v="ADM-243890"/>
    <d v="2025-05-13T00:00:00"/>
    <d v="2025-05-26T00:00:00"/>
    <x v="1"/>
    <s v="Q2"/>
    <x v="4"/>
    <x v="1"/>
    <x v="4"/>
    <x v="0"/>
    <x v="0"/>
    <x v="4"/>
    <x v="1"/>
    <n v="13"/>
    <n v="33"/>
    <n v="18944"/>
    <n v="0"/>
    <n v="4"/>
    <s v="Recovered"/>
    <n v="1"/>
  </r>
  <r>
    <s v="ADM-243891"/>
    <d v="2025-05-13T00:00:00"/>
    <d v="2025-05-15T00:00:00"/>
    <x v="1"/>
    <s v="Q2"/>
    <x v="4"/>
    <x v="1"/>
    <x v="3"/>
    <x v="0"/>
    <x v="1"/>
    <x v="3"/>
    <x v="0"/>
    <n v="2"/>
    <n v="60"/>
    <n v="1954"/>
    <n v="0"/>
    <n v="5"/>
    <s v="Recovered"/>
    <n v="1"/>
  </r>
  <r>
    <s v="ADM-243892"/>
    <d v="2025-05-14T00:00:00"/>
    <d v="2025-05-27T00:00:00"/>
    <x v="1"/>
    <s v="Q2"/>
    <x v="4"/>
    <x v="2"/>
    <x v="0"/>
    <x v="0"/>
    <x v="1"/>
    <x v="0"/>
    <x v="2"/>
    <n v="13"/>
    <n v="43"/>
    <n v="9614"/>
    <n v="0"/>
    <n v="3"/>
    <s v="Recovered"/>
    <n v="1"/>
  </r>
  <r>
    <s v="ADM-243893"/>
    <d v="2025-05-14T00:00:00"/>
    <d v="2025-05-15T00:00:00"/>
    <x v="1"/>
    <s v="Q2"/>
    <x v="4"/>
    <x v="2"/>
    <x v="5"/>
    <x v="2"/>
    <x v="0"/>
    <x v="0"/>
    <x v="2"/>
    <n v="1"/>
    <m/>
    <n v="1574"/>
    <n v="0"/>
    <n v="4"/>
    <s v="Improved"/>
    <n v="1"/>
  </r>
  <r>
    <s v="ADM-243894"/>
    <d v="2025-05-14T00:00:00"/>
    <d v="2025-05-23T00:00:00"/>
    <x v="1"/>
    <s v="Q2"/>
    <x v="4"/>
    <x v="2"/>
    <x v="0"/>
    <x v="0"/>
    <x v="0"/>
    <x v="0"/>
    <x v="0"/>
    <n v="9"/>
    <n v="78"/>
    <n v="5729"/>
    <n v="0"/>
    <n v="5"/>
    <s v="Improved"/>
    <n v="1"/>
  </r>
  <r>
    <s v="ADM-243895"/>
    <d v="2025-05-14T00:00:00"/>
    <d v="2025-05-15T00:00:00"/>
    <x v="1"/>
    <s v="Q2"/>
    <x v="4"/>
    <x v="2"/>
    <x v="0"/>
    <x v="2"/>
    <x v="0"/>
    <x v="1"/>
    <x v="1"/>
    <n v="1"/>
    <m/>
    <n v="1492"/>
    <n v="0"/>
    <n v="4"/>
    <s v="Recovered"/>
    <n v="1"/>
  </r>
  <r>
    <s v="ADM-243896"/>
    <d v="2025-05-14T00:00:00"/>
    <d v="2025-05-15T00:00:00"/>
    <x v="1"/>
    <s v="Q2"/>
    <x v="4"/>
    <x v="2"/>
    <x v="2"/>
    <x v="2"/>
    <x v="0"/>
    <x v="2"/>
    <x v="0"/>
    <n v="1"/>
    <m/>
    <n v="852"/>
    <n v="0"/>
    <n v="4"/>
    <s v="Improved"/>
    <n v="1"/>
  </r>
  <r>
    <s v="ADM-243897"/>
    <d v="2025-05-15T00:00:00"/>
    <d v="2025-05-16T00:00:00"/>
    <x v="1"/>
    <s v="Q2"/>
    <x v="4"/>
    <x v="3"/>
    <x v="2"/>
    <x v="2"/>
    <x v="0"/>
    <x v="2"/>
    <x v="1"/>
    <n v="1"/>
    <m/>
    <n v="1832"/>
    <n v="0"/>
    <n v="4"/>
    <s v="Recovered"/>
    <n v="1"/>
  </r>
  <r>
    <s v="ADM-243898"/>
    <d v="2025-05-15T00:00:00"/>
    <d v="2025-05-18T00:00:00"/>
    <x v="1"/>
    <s v="Q2"/>
    <x v="4"/>
    <x v="3"/>
    <x v="3"/>
    <x v="1"/>
    <x v="0"/>
    <x v="3"/>
    <x v="2"/>
    <n v="3"/>
    <m/>
    <n v="2262"/>
    <n v="0"/>
    <n v="4"/>
    <s v="Improved"/>
    <n v="1"/>
  </r>
  <r>
    <s v="ADM-243899"/>
    <d v="2025-05-15T00:00:00"/>
    <d v="2025-05-17T00:00:00"/>
    <x v="1"/>
    <s v="Q2"/>
    <x v="4"/>
    <x v="3"/>
    <x v="2"/>
    <x v="1"/>
    <x v="0"/>
    <x v="1"/>
    <x v="0"/>
    <n v="2"/>
    <m/>
    <n v="2037"/>
    <n v="0"/>
    <n v="4"/>
    <s v="Recovered"/>
    <n v="1"/>
  </r>
  <r>
    <s v="ADM-243900"/>
    <d v="2025-05-15T00:00:00"/>
    <d v="2025-05-23T00:00:00"/>
    <x v="1"/>
    <s v="Q2"/>
    <x v="4"/>
    <x v="3"/>
    <x v="2"/>
    <x v="0"/>
    <x v="0"/>
    <x v="1"/>
    <x v="0"/>
    <n v="8"/>
    <n v="72"/>
    <n v="6011"/>
    <n v="0"/>
    <n v="4"/>
    <s v="Recovered"/>
    <n v="1"/>
  </r>
  <r>
    <s v="ADM-243901"/>
    <d v="2025-05-15T00:00:00"/>
    <d v="2025-05-19T00:00:00"/>
    <x v="1"/>
    <s v="Q2"/>
    <x v="4"/>
    <x v="3"/>
    <x v="4"/>
    <x v="0"/>
    <x v="1"/>
    <x v="4"/>
    <x v="2"/>
    <n v="4"/>
    <n v="32"/>
    <n v="7243"/>
    <n v="1"/>
    <n v="4"/>
    <s v="Transferred"/>
    <n v="1"/>
  </r>
  <r>
    <s v="ADM-243902"/>
    <d v="2025-05-15T00:00:00"/>
    <d v="2025-05-21T00:00:00"/>
    <x v="1"/>
    <s v="Q2"/>
    <x v="4"/>
    <x v="3"/>
    <x v="1"/>
    <x v="0"/>
    <x v="0"/>
    <x v="0"/>
    <x v="1"/>
    <n v="6"/>
    <n v="50"/>
    <n v="6576"/>
    <n v="0"/>
    <n v="4"/>
    <s v="Recovered"/>
    <n v="1"/>
  </r>
  <r>
    <s v="ADM-243903"/>
    <d v="2025-05-15T00:00:00"/>
    <d v="2025-05-24T00:00:00"/>
    <x v="1"/>
    <s v="Q2"/>
    <x v="4"/>
    <x v="3"/>
    <x v="4"/>
    <x v="0"/>
    <x v="1"/>
    <x v="4"/>
    <x v="1"/>
    <n v="9"/>
    <n v="68"/>
    <n v="10753"/>
    <n v="0"/>
    <n v="4"/>
    <s v="Improved"/>
    <n v="1"/>
  </r>
  <r>
    <s v="ADM-243904"/>
    <d v="2025-05-15T00:00:00"/>
    <d v="2025-05-20T00:00:00"/>
    <x v="1"/>
    <s v="Q2"/>
    <x v="4"/>
    <x v="3"/>
    <x v="2"/>
    <x v="0"/>
    <x v="0"/>
    <x v="2"/>
    <x v="1"/>
    <n v="5"/>
    <n v="62"/>
    <n v="3682"/>
    <n v="0"/>
    <n v="5"/>
    <s v="Recovered"/>
    <n v="1"/>
  </r>
  <r>
    <s v="ADM-243905"/>
    <d v="2025-05-16T00:00:00"/>
    <d v="2025-05-20T00:00:00"/>
    <x v="1"/>
    <s v="Q2"/>
    <x v="4"/>
    <x v="4"/>
    <x v="0"/>
    <x v="0"/>
    <x v="1"/>
    <x v="0"/>
    <x v="0"/>
    <n v="4"/>
    <n v="56"/>
    <n v="3425"/>
    <n v="0"/>
    <n v="5"/>
    <s v="Improved"/>
    <n v="1"/>
  </r>
  <r>
    <s v="ADM-243906"/>
    <d v="2025-05-16T00:00:00"/>
    <d v="2025-05-17T00:00:00"/>
    <x v="1"/>
    <s v="Q2"/>
    <x v="4"/>
    <x v="4"/>
    <x v="2"/>
    <x v="2"/>
    <x v="0"/>
    <x v="1"/>
    <x v="1"/>
    <n v="1"/>
    <m/>
    <n v="1492"/>
    <n v="0"/>
    <n v="5"/>
    <s v="Recovered"/>
    <n v="1"/>
  </r>
  <r>
    <s v="ADM-243907"/>
    <d v="2025-05-16T00:00:00"/>
    <d v="2025-05-19T00:00:00"/>
    <x v="1"/>
    <s v="Q2"/>
    <x v="4"/>
    <x v="4"/>
    <x v="1"/>
    <x v="2"/>
    <x v="0"/>
    <x v="1"/>
    <x v="1"/>
    <n v="3"/>
    <m/>
    <n v="3214"/>
    <n v="0"/>
    <n v="4"/>
    <s v="Recovered"/>
    <n v="1"/>
  </r>
  <r>
    <s v="ADM-243908"/>
    <d v="2025-05-16T00:00:00"/>
    <d v="2025-05-17T00:00:00"/>
    <x v="1"/>
    <s v="Q2"/>
    <x v="4"/>
    <x v="4"/>
    <x v="2"/>
    <x v="0"/>
    <x v="0"/>
    <x v="1"/>
    <x v="0"/>
    <n v="1"/>
    <n v="12"/>
    <n v="1517"/>
    <n v="0"/>
    <n v="4"/>
    <s v="Recovered"/>
    <n v="1"/>
  </r>
  <r>
    <s v="ADM-243909"/>
    <d v="2025-05-16T00:00:00"/>
    <d v="2025-05-20T00:00:00"/>
    <x v="1"/>
    <s v="Q2"/>
    <x v="4"/>
    <x v="4"/>
    <x v="3"/>
    <x v="0"/>
    <x v="0"/>
    <x v="3"/>
    <x v="2"/>
    <n v="4"/>
    <n v="80"/>
    <n v="3263"/>
    <n v="0"/>
    <n v="4"/>
    <s v="Recovered"/>
    <n v="1"/>
  </r>
  <r>
    <s v="ADM-243910"/>
    <d v="2025-05-16T00:00:00"/>
    <d v="2025-05-21T00:00:00"/>
    <x v="1"/>
    <s v="Q2"/>
    <x v="4"/>
    <x v="4"/>
    <x v="1"/>
    <x v="2"/>
    <x v="1"/>
    <x v="0"/>
    <x v="0"/>
    <n v="5"/>
    <m/>
    <n v="5847"/>
    <n v="0"/>
    <n v="4"/>
    <s v="Recovered"/>
    <n v="1"/>
  </r>
  <r>
    <s v="ADM-243911"/>
    <d v="2025-05-16T00:00:00"/>
    <d v="2025-05-21T00:00:00"/>
    <x v="1"/>
    <s v="Q2"/>
    <x v="4"/>
    <x v="4"/>
    <x v="1"/>
    <x v="0"/>
    <x v="0"/>
    <x v="0"/>
    <x v="0"/>
    <n v="5"/>
    <n v="21"/>
    <n v="5335"/>
    <n v="0"/>
    <n v="5"/>
    <s v="Recovered"/>
    <n v="1"/>
  </r>
  <r>
    <s v="ADM-243912"/>
    <d v="2025-05-16T00:00:00"/>
    <d v="2025-05-20T00:00:00"/>
    <x v="1"/>
    <s v="Q2"/>
    <x v="4"/>
    <x v="4"/>
    <x v="0"/>
    <x v="0"/>
    <x v="1"/>
    <x v="0"/>
    <x v="2"/>
    <n v="4"/>
    <n v="140"/>
    <n v="2980"/>
    <n v="0"/>
    <n v="4"/>
    <s v="Improved"/>
    <n v="1"/>
  </r>
  <r>
    <s v="ADM-243913"/>
    <d v="2025-05-16T00:00:00"/>
    <d v="2025-05-25T00:00:00"/>
    <x v="1"/>
    <s v="Q2"/>
    <x v="4"/>
    <x v="4"/>
    <x v="1"/>
    <x v="2"/>
    <x v="1"/>
    <x v="2"/>
    <x v="2"/>
    <n v="9"/>
    <m/>
    <n v="10366"/>
    <n v="0"/>
    <n v="3"/>
    <s v="Improved"/>
    <n v="1"/>
  </r>
  <r>
    <s v="ADM-243914"/>
    <d v="2025-05-17T00:00:00"/>
    <d v="2025-05-26T00:00:00"/>
    <x v="1"/>
    <s v="Q2"/>
    <x v="4"/>
    <x v="5"/>
    <x v="0"/>
    <x v="2"/>
    <x v="1"/>
    <x v="0"/>
    <x v="2"/>
    <n v="9"/>
    <m/>
    <n v="6509"/>
    <n v="0"/>
    <n v="4"/>
    <s v="Recovered"/>
    <n v="1"/>
  </r>
  <r>
    <s v="ADM-243915"/>
    <d v="2025-05-17T00:00:00"/>
    <d v="2025-05-23T00:00:00"/>
    <x v="1"/>
    <s v="Q2"/>
    <x v="4"/>
    <x v="5"/>
    <x v="0"/>
    <x v="0"/>
    <x v="0"/>
    <x v="0"/>
    <x v="0"/>
    <n v="6"/>
    <n v="24"/>
    <n v="4558"/>
    <n v="1"/>
    <n v="3"/>
    <s v="Recovered"/>
    <n v="1"/>
  </r>
  <r>
    <s v="ADM-243916"/>
    <d v="2025-05-17T00:00:00"/>
    <d v="2025-05-29T00:00:00"/>
    <x v="1"/>
    <s v="Q2"/>
    <x v="4"/>
    <x v="5"/>
    <x v="0"/>
    <x v="0"/>
    <x v="0"/>
    <x v="4"/>
    <x v="2"/>
    <n v="12"/>
    <n v="20"/>
    <n v="6328"/>
    <n v="0"/>
    <n v="5"/>
    <s v="Recovered"/>
    <n v="1"/>
  </r>
  <r>
    <s v="ADM-243917"/>
    <d v="2025-05-17T00:00:00"/>
    <d v="2025-05-21T00:00:00"/>
    <x v="1"/>
    <s v="Q2"/>
    <x v="4"/>
    <x v="5"/>
    <x v="1"/>
    <x v="2"/>
    <x v="0"/>
    <x v="4"/>
    <x v="0"/>
    <n v="4"/>
    <m/>
    <n v="4673"/>
    <n v="0"/>
    <n v="5"/>
    <s v="Recovered"/>
    <n v="1"/>
  </r>
  <r>
    <s v="ADM-243918"/>
    <d v="2025-05-18T00:00:00"/>
    <d v="2025-05-25T00:00:00"/>
    <x v="1"/>
    <s v="Q2"/>
    <x v="4"/>
    <x v="6"/>
    <x v="5"/>
    <x v="0"/>
    <x v="0"/>
    <x v="4"/>
    <x v="2"/>
    <n v="7"/>
    <n v="149"/>
    <n v="7572"/>
    <n v="0"/>
    <n v="3"/>
    <s v="Recovered"/>
    <n v="1"/>
  </r>
  <r>
    <s v="ADM-243919"/>
    <d v="2025-05-18T00:00:00"/>
    <d v="2025-05-23T00:00:00"/>
    <x v="1"/>
    <s v="Q2"/>
    <x v="4"/>
    <x v="6"/>
    <x v="0"/>
    <x v="0"/>
    <x v="0"/>
    <x v="4"/>
    <x v="2"/>
    <n v="5"/>
    <n v="86"/>
    <n v="3521"/>
    <n v="0"/>
    <n v="5"/>
    <s v="Recovered"/>
    <n v="1"/>
  </r>
  <r>
    <s v="ADM-243920"/>
    <d v="2025-05-18T00:00:00"/>
    <d v="2025-05-26T00:00:00"/>
    <x v="1"/>
    <s v="Q2"/>
    <x v="4"/>
    <x v="6"/>
    <x v="0"/>
    <x v="0"/>
    <x v="1"/>
    <x v="0"/>
    <x v="1"/>
    <n v="8"/>
    <n v="81"/>
    <n v="6351"/>
    <n v="0"/>
    <n v="5"/>
    <s v="Improved"/>
    <n v="1"/>
  </r>
  <r>
    <s v="ADM-243921"/>
    <d v="2025-05-19T00:00:00"/>
    <d v="2025-05-21T00:00:00"/>
    <x v="1"/>
    <s v="Q2"/>
    <x v="4"/>
    <x v="0"/>
    <x v="0"/>
    <x v="0"/>
    <x v="1"/>
    <x v="4"/>
    <x v="2"/>
    <n v="2"/>
    <n v="58"/>
    <n v="2228"/>
    <n v="0"/>
    <n v="5"/>
    <s v="Recovered"/>
    <n v="1"/>
  </r>
  <r>
    <s v="ADM-243922"/>
    <d v="2025-05-19T00:00:00"/>
    <d v="2025-05-21T00:00:00"/>
    <x v="1"/>
    <s v="Q2"/>
    <x v="4"/>
    <x v="0"/>
    <x v="0"/>
    <x v="0"/>
    <x v="0"/>
    <x v="2"/>
    <x v="0"/>
    <n v="2"/>
    <n v="54"/>
    <n v="2257"/>
    <n v="0"/>
    <n v="5"/>
    <s v="Deceased"/>
    <n v="1"/>
  </r>
  <r>
    <s v="ADM-243923"/>
    <d v="2025-05-19T00:00:00"/>
    <d v="2025-05-29T00:00:00"/>
    <x v="1"/>
    <s v="Q2"/>
    <x v="4"/>
    <x v="0"/>
    <x v="0"/>
    <x v="0"/>
    <x v="0"/>
    <x v="0"/>
    <x v="0"/>
    <n v="10"/>
    <n v="54"/>
    <n v="6831"/>
    <n v="0"/>
    <n v="4"/>
    <s v="Improved"/>
    <n v="1"/>
  </r>
  <r>
    <s v="ADM-243924"/>
    <d v="2025-05-19T00:00:00"/>
    <d v="2025-05-22T00:00:00"/>
    <x v="1"/>
    <s v="Q2"/>
    <x v="4"/>
    <x v="0"/>
    <x v="4"/>
    <x v="2"/>
    <x v="0"/>
    <x v="0"/>
    <x v="0"/>
    <n v="3"/>
    <m/>
    <n v="4312"/>
    <n v="1"/>
    <n v="4"/>
    <s v="Recovered"/>
    <n v="1"/>
  </r>
  <r>
    <s v="ADM-243925"/>
    <d v="2025-05-19T00:00:00"/>
    <d v="2025-05-20T00:00:00"/>
    <x v="1"/>
    <s v="Q2"/>
    <x v="4"/>
    <x v="0"/>
    <x v="4"/>
    <x v="1"/>
    <x v="1"/>
    <x v="4"/>
    <x v="0"/>
    <n v="1"/>
    <m/>
    <n v="2049"/>
    <n v="0"/>
    <n v="5"/>
    <s v="Recovered"/>
    <n v="1"/>
  </r>
  <r>
    <s v="ADM-243926"/>
    <d v="2025-05-19T00:00:00"/>
    <d v="2025-05-22T00:00:00"/>
    <x v="1"/>
    <s v="Q2"/>
    <x v="4"/>
    <x v="0"/>
    <x v="3"/>
    <x v="0"/>
    <x v="1"/>
    <x v="3"/>
    <x v="0"/>
    <n v="3"/>
    <n v="65"/>
    <n v="2524"/>
    <n v="0"/>
    <n v="5"/>
    <s v="Improved"/>
    <n v="1"/>
  </r>
  <r>
    <s v="ADM-243927"/>
    <d v="2025-05-19T00:00:00"/>
    <d v="2025-05-23T00:00:00"/>
    <x v="1"/>
    <s v="Q2"/>
    <x v="4"/>
    <x v="0"/>
    <x v="0"/>
    <x v="1"/>
    <x v="1"/>
    <x v="2"/>
    <x v="0"/>
    <n v="4"/>
    <m/>
    <n v="2456"/>
    <n v="0"/>
    <n v="4"/>
    <s v="Improved"/>
    <n v="1"/>
  </r>
  <r>
    <s v="ADM-243928"/>
    <d v="2025-05-19T00:00:00"/>
    <d v="2025-05-21T00:00:00"/>
    <x v="1"/>
    <s v="Q2"/>
    <x v="4"/>
    <x v="0"/>
    <x v="0"/>
    <x v="0"/>
    <x v="1"/>
    <x v="1"/>
    <x v="2"/>
    <n v="2"/>
    <n v="31"/>
    <n v="2481"/>
    <n v="0"/>
    <n v="4"/>
    <s v="Recovered"/>
    <n v="1"/>
  </r>
  <r>
    <s v="ADM-243929"/>
    <d v="2025-05-19T00:00:00"/>
    <d v="2025-05-23T00:00:00"/>
    <x v="1"/>
    <s v="Q2"/>
    <x v="4"/>
    <x v="0"/>
    <x v="2"/>
    <x v="0"/>
    <x v="0"/>
    <x v="1"/>
    <x v="1"/>
    <n v="4"/>
    <n v="23"/>
    <n v="2524"/>
    <n v="0"/>
    <n v="4"/>
    <s v="Transferred"/>
    <n v="1"/>
  </r>
  <r>
    <s v="ADM-243930"/>
    <d v="2025-05-20T00:00:00"/>
    <d v="2025-05-22T00:00:00"/>
    <x v="1"/>
    <s v="Q2"/>
    <x v="4"/>
    <x v="1"/>
    <x v="5"/>
    <x v="2"/>
    <x v="0"/>
    <x v="4"/>
    <x v="0"/>
    <n v="2"/>
    <m/>
    <n v="3426"/>
    <n v="0"/>
    <n v="4"/>
    <s v="Transferred"/>
    <n v="1"/>
  </r>
  <r>
    <s v="ADM-243931"/>
    <d v="2025-05-20T00:00:00"/>
    <d v="2025-05-28T00:00:00"/>
    <x v="1"/>
    <s v="Q2"/>
    <x v="4"/>
    <x v="1"/>
    <x v="4"/>
    <x v="2"/>
    <x v="0"/>
    <x v="1"/>
    <x v="0"/>
    <n v="8"/>
    <m/>
    <n v="12406"/>
    <n v="0"/>
    <n v="3"/>
    <s v="Recovered"/>
    <n v="1"/>
  </r>
  <r>
    <s v="ADM-243932"/>
    <d v="2025-05-20T00:00:00"/>
    <d v="2025-05-22T00:00:00"/>
    <x v="1"/>
    <s v="Q2"/>
    <x v="4"/>
    <x v="1"/>
    <x v="2"/>
    <x v="2"/>
    <x v="0"/>
    <x v="2"/>
    <x v="2"/>
    <n v="2"/>
    <m/>
    <n v="1810"/>
    <n v="0"/>
    <n v="5"/>
    <s v="Recovered"/>
    <n v="1"/>
  </r>
  <r>
    <s v="ADM-243933"/>
    <d v="2025-05-20T00:00:00"/>
    <d v="2025-05-24T00:00:00"/>
    <x v="1"/>
    <s v="Q2"/>
    <x v="4"/>
    <x v="1"/>
    <x v="3"/>
    <x v="2"/>
    <x v="0"/>
    <x v="3"/>
    <x v="2"/>
    <n v="4"/>
    <m/>
    <n v="3947"/>
    <n v="0"/>
    <n v="4"/>
    <s v="Recovered"/>
    <n v="1"/>
  </r>
  <r>
    <s v="ADM-243934"/>
    <d v="2025-05-20T00:00:00"/>
    <d v="2025-05-21T00:00:00"/>
    <x v="1"/>
    <s v="Q2"/>
    <x v="4"/>
    <x v="1"/>
    <x v="0"/>
    <x v="2"/>
    <x v="1"/>
    <x v="1"/>
    <x v="0"/>
    <n v="1"/>
    <m/>
    <n v="1318"/>
    <n v="1"/>
    <n v="2"/>
    <s v="Recovered"/>
    <n v="1"/>
  </r>
  <r>
    <s v="ADM-243935"/>
    <d v="2025-05-20T00:00:00"/>
    <d v="2025-05-21T00:00:00"/>
    <x v="1"/>
    <s v="Q2"/>
    <x v="4"/>
    <x v="1"/>
    <x v="3"/>
    <x v="0"/>
    <x v="0"/>
    <x v="3"/>
    <x v="1"/>
    <n v="1"/>
    <n v="58"/>
    <n v="1025"/>
    <n v="0"/>
    <n v="3"/>
    <s v="Recovered"/>
    <n v="1"/>
  </r>
  <r>
    <s v="ADM-243936"/>
    <d v="2025-05-20T00:00:00"/>
    <d v="2025-06-04T00:00:00"/>
    <x v="1"/>
    <s v="Q2"/>
    <x v="4"/>
    <x v="1"/>
    <x v="0"/>
    <x v="0"/>
    <x v="1"/>
    <x v="4"/>
    <x v="2"/>
    <n v="15"/>
    <n v="94"/>
    <n v="12766"/>
    <n v="1"/>
    <n v="4"/>
    <s v="Improved"/>
    <n v="1"/>
  </r>
  <r>
    <s v="ADM-243937"/>
    <d v="2025-05-20T00:00:00"/>
    <d v="2025-05-24T00:00:00"/>
    <x v="1"/>
    <s v="Q2"/>
    <x v="4"/>
    <x v="1"/>
    <x v="5"/>
    <x v="2"/>
    <x v="0"/>
    <x v="4"/>
    <x v="1"/>
    <n v="4"/>
    <m/>
    <n v="5541"/>
    <n v="0"/>
    <n v="3"/>
    <s v="Recovered"/>
    <n v="1"/>
  </r>
  <r>
    <s v="ADM-243938"/>
    <d v="2025-05-21T00:00:00"/>
    <d v="2025-05-30T00:00:00"/>
    <x v="1"/>
    <s v="Q2"/>
    <x v="4"/>
    <x v="2"/>
    <x v="4"/>
    <x v="0"/>
    <x v="0"/>
    <x v="4"/>
    <x v="0"/>
    <n v="9"/>
    <n v="67"/>
    <n v="9247"/>
    <n v="0"/>
    <n v="5"/>
    <s v="Recovered"/>
    <n v="1"/>
  </r>
  <r>
    <s v="ADM-243939"/>
    <d v="2025-05-21T00:00:00"/>
    <d v="2025-06-05T00:00:00"/>
    <x v="1"/>
    <s v="Q2"/>
    <x v="4"/>
    <x v="2"/>
    <x v="1"/>
    <x v="0"/>
    <x v="0"/>
    <x v="4"/>
    <x v="0"/>
    <n v="15"/>
    <n v="45"/>
    <n v="17570"/>
    <n v="0"/>
    <n v="4"/>
    <s v="Recovered"/>
    <n v="1"/>
  </r>
  <r>
    <s v="ADM-243940"/>
    <d v="2025-05-21T00:00:00"/>
    <d v="2025-05-25T00:00:00"/>
    <x v="1"/>
    <s v="Q2"/>
    <x v="4"/>
    <x v="2"/>
    <x v="4"/>
    <x v="0"/>
    <x v="0"/>
    <x v="0"/>
    <x v="0"/>
    <n v="4"/>
    <n v="43"/>
    <n v="6144"/>
    <n v="1"/>
    <n v="3"/>
    <s v="Transferred"/>
    <n v="1"/>
  </r>
  <r>
    <s v="ADM-243941"/>
    <d v="2025-05-21T00:00:00"/>
    <d v="2025-05-25T00:00:00"/>
    <x v="1"/>
    <s v="Q2"/>
    <x v="4"/>
    <x v="2"/>
    <x v="4"/>
    <x v="0"/>
    <x v="0"/>
    <x v="2"/>
    <x v="2"/>
    <n v="4"/>
    <n v="13"/>
    <n v="6126"/>
    <n v="1"/>
    <n v="4"/>
    <s v="Recovered"/>
    <n v="1"/>
  </r>
  <r>
    <s v="ADM-243942"/>
    <d v="2025-05-21T00:00:00"/>
    <d v="2025-05-22T00:00:00"/>
    <x v="1"/>
    <s v="Q2"/>
    <x v="4"/>
    <x v="2"/>
    <x v="3"/>
    <x v="2"/>
    <x v="1"/>
    <x v="3"/>
    <x v="2"/>
    <n v="1"/>
    <m/>
    <n v="971"/>
    <n v="0"/>
    <n v="4"/>
    <s v="Improved"/>
    <n v="1"/>
  </r>
  <r>
    <s v="ADM-243943"/>
    <d v="2025-05-21T00:00:00"/>
    <d v="2025-05-27T00:00:00"/>
    <x v="1"/>
    <s v="Q2"/>
    <x v="4"/>
    <x v="2"/>
    <x v="1"/>
    <x v="0"/>
    <x v="0"/>
    <x v="0"/>
    <x v="0"/>
    <n v="6"/>
    <n v="59"/>
    <n v="5896"/>
    <n v="0"/>
    <n v="5"/>
    <s v="Recovered"/>
    <n v="1"/>
  </r>
  <r>
    <s v="ADM-243944"/>
    <d v="2025-05-22T00:00:00"/>
    <d v="2025-05-25T00:00:00"/>
    <x v="1"/>
    <s v="Q2"/>
    <x v="4"/>
    <x v="3"/>
    <x v="0"/>
    <x v="0"/>
    <x v="0"/>
    <x v="0"/>
    <x v="2"/>
    <n v="3"/>
    <n v="47"/>
    <n v="2620"/>
    <n v="0"/>
    <n v="4"/>
    <s v="Recovered"/>
    <n v="1"/>
  </r>
  <r>
    <s v="ADM-243945"/>
    <d v="2025-05-22T00:00:00"/>
    <d v="2025-06-04T00:00:00"/>
    <x v="1"/>
    <s v="Q2"/>
    <x v="4"/>
    <x v="3"/>
    <x v="0"/>
    <x v="0"/>
    <x v="0"/>
    <x v="4"/>
    <x v="0"/>
    <n v="13"/>
    <n v="34"/>
    <n v="7646"/>
    <n v="0"/>
    <n v="4"/>
    <s v="Deceased"/>
    <n v="1"/>
  </r>
  <r>
    <s v="ADM-243946"/>
    <d v="2025-05-22T00:00:00"/>
    <d v="2025-05-25T00:00:00"/>
    <x v="1"/>
    <s v="Q2"/>
    <x v="4"/>
    <x v="3"/>
    <x v="3"/>
    <x v="2"/>
    <x v="1"/>
    <x v="3"/>
    <x v="2"/>
    <n v="3"/>
    <m/>
    <n v="2072"/>
    <n v="1"/>
    <n v="4"/>
    <s v="Recovered"/>
    <n v="1"/>
  </r>
  <r>
    <s v="ADM-243947"/>
    <d v="2025-05-23T00:00:00"/>
    <d v="2025-05-24T00:00:00"/>
    <x v="1"/>
    <s v="Q2"/>
    <x v="4"/>
    <x v="4"/>
    <x v="3"/>
    <x v="0"/>
    <x v="0"/>
    <x v="3"/>
    <x v="0"/>
    <n v="1"/>
    <n v="121"/>
    <n v="1585"/>
    <n v="0"/>
    <n v="4"/>
    <s v="Recovered"/>
    <n v="1"/>
  </r>
  <r>
    <s v="ADM-243948"/>
    <d v="2025-05-23T00:00:00"/>
    <d v="2025-05-25T00:00:00"/>
    <x v="1"/>
    <s v="Q2"/>
    <x v="4"/>
    <x v="4"/>
    <x v="3"/>
    <x v="0"/>
    <x v="1"/>
    <x v="3"/>
    <x v="1"/>
    <n v="2"/>
    <n v="15"/>
    <n v="2080"/>
    <n v="0"/>
    <n v="4"/>
    <s v="Improved"/>
    <n v="1"/>
  </r>
  <r>
    <s v="ADM-243949"/>
    <d v="2025-05-23T00:00:00"/>
    <d v="2025-05-25T00:00:00"/>
    <x v="1"/>
    <s v="Q2"/>
    <x v="4"/>
    <x v="4"/>
    <x v="5"/>
    <x v="2"/>
    <x v="0"/>
    <x v="0"/>
    <x v="0"/>
    <n v="2"/>
    <m/>
    <n v="3070"/>
    <n v="0"/>
    <n v="5"/>
    <s v="Improved"/>
    <n v="1"/>
  </r>
  <r>
    <s v="ADM-243950"/>
    <d v="2025-05-23T00:00:00"/>
    <d v="2025-05-27T00:00:00"/>
    <x v="1"/>
    <s v="Q2"/>
    <x v="4"/>
    <x v="4"/>
    <x v="2"/>
    <x v="2"/>
    <x v="0"/>
    <x v="2"/>
    <x v="2"/>
    <n v="4"/>
    <m/>
    <n v="3654"/>
    <n v="0"/>
    <n v="3"/>
    <s v="Recovered"/>
    <n v="1"/>
  </r>
  <r>
    <s v="ADM-243951"/>
    <d v="2025-05-24T00:00:00"/>
    <d v="2025-05-26T00:00:00"/>
    <x v="1"/>
    <s v="Q2"/>
    <x v="4"/>
    <x v="5"/>
    <x v="3"/>
    <x v="0"/>
    <x v="1"/>
    <x v="3"/>
    <x v="0"/>
    <n v="2"/>
    <n v="88"/>
    <n v="2216"/>
    <n v="0"/>
    <n v="4"/>
    <s v="Improved"/>
    <n v="1"/>
  </r>
  <r>
    <s v="ADM-243952"/>
    <d v="2025-05-24T00:00:00"/>
    <d v="2025-05-29T00:00:00"/>
    <x v="1"/>
    <s v="Q2"/>
    <x v="4"/>
    <x v="5"/>
    <x v="0"/>
    <x v="0"/>
    <x v="1"/>
    <x v="0"/>
    <x v="0"/>
    <n v="5"/>
    <n v="106"/>
    <n v="4293"/>
    <n v="0"/>
    <n v="2"/>
    <s v="Improved"/>
    <n v="1"/>
  </r>
  <r>
    <s v="ADM-243953"/>
    <d v="2025-05-25T00:00:00"/>
    <d v="2025-05-26T00:00:00"/>
    <x v="1"/>
    <s v="Q2"/>
    <x v="4"/>
    <x v="6"/>
    <x v="0"/>
    <x v="0"/>
    <x v="0"/>
    <x v="0"/>
    <x v="0"/>
    <n v="1"/>
    <n v="74"/>
    <n v="1699"/>
    <n v="1"/>
    <n v="5"/>
    <s v="Recovered"/>
    <n v="1"/>
  </r>
  <r>
    <s v="ADM-243954"/>
    <d v="2025-05-25T00:00:00"/>
    <d v="2025-05-27T00:00:00"/>
    <x v="1"/>
    <s v="Q2"/>
    <x v="4"/>
    <x v="6"/>
    <x v="1"/>
    <x v="2"/>
    <x v="0"/>
    <x v="4"/>
    <x v="0"/>
    <n v="2"/>
    <m/>
    <n v="2832"/>
    <n v="0"/>
    <n v="4"/>
    <s v="Recovered"/>
    <n v="1"/>
  </r>
  <r>
    <s v="ADM-243955"/>
    <d v="2025-05-25T00:00:00"/>
    <d v="2025-05-31T00:00:00"/>
    <x v="1"/>
    <s v="Q2"/>
    <x v="4"/>
    <x v="6"/>
    <x v="4"/>
    <x v="0"/>
    <x v="0"/>
    <x v="0"/>
    <x v="2"/>
    <n v="6"/>
    <n v="65"/>
    <n v="7291"/>
    <n v="0"/>
    <n v="4"/>
    <s v="Recovered"/>
    <n v="1"/>
  </r>
  <r>
    <s v="ADM-243956"/>
    <d v="2025-05-25T00:00:00"/>
    <d v="2025-05-27T00:00:00"/>
    <x v="1"/>
    <s v="Q2"/>
    <x v="4"/>
    <x v="6"/>
    <x v="2"/>
    <x v="0"/>
    <x v="0"/>
    <x v="1"/>
    <x v="2"/>
    <n v="2"/>
    <n v="146"/>
    <n v="2173"/>
    <n v="0"/>
    <n v="4"/>
    <s v="Recovered"/>
    <n v="1"/>
  </r>
  <r>
    <s v="ADM-243957"/>
    <d v="2025-05-25T00:00:00"/>
    <d v="2025-05-26T00:00:00"/>
    <x v="1"/>
    <s v="Q2"/>
    <x v="4"/>
    <x v="6"/>
    <x v="3"/>
    <x v="0"/>
    <x v="1"/>
    <x v="3"/>
    <x v="2"/>
    <n v="1"/>
    <n v="36"/>
    <n v="1045"/>
    <n v="0"/>
    <n v="5"/>
    <s v="Improved"/>
    <n v="1"/>
  </r>
  <r>
    <s v="ADM-243958"/>
    <d v="2025-05-25T00:00:00"/>
    <d v="2025-05-27T00:00:00"/>
    <x v="1"/>
    <s v="Q2"/>
    <x v="4"/>
    <x v="6"/>
    <x v="0"/>
    <x v="2"/>
    <x v="1"/>
    <x v="0"/>
    <x v="0"/>
    <n v="2"/>
    <m/>
    <n v="1938"/>
    <n v="0"/>
    <n v="3"/>
    <s v="Improved"/>
    <n v="1"/>
  </r>
  <r>
    <s v="ADM-243959"/>
    <d v="2025-05-26T00:00:00"/>
    <d v="2025-05-30T00:00:00"/>
    <x v="1"/>
    <s v="Q2"/>
    <x v="4"/>
    <x v="0"/>
    <x v="0"/>
    <x v="0"/>
    <x v="0"/>
    <x v="2"/>
    <x v="2"/>
    <n v="4"/>
    <n v="35"/>
    <n v="3602"/>
    <n v="0"/>
    <n v="5"/>
    <s v="Recovered"/>
    <n v="1"/>
  </r>
  <r>
    <s v="ADM-243960"/>
    <d v="2025-05-26T00:00:00"/>
    <d v="2025-05-31T00:00:00"/>
    <x v="1"/>
    <s v="Q2"/>
    <x v="4"/>
    <x v="0"/>
    <x v="2"/>
    <x v="2"/>
    <x v="0"/>
    <x v="2"/>
    <x v="2"/>
    <n v="5"/>
    <m/>
    <n v="3571"/>
    <n v="0"/>
    <n v="5"/>
    <s v="Improved"/>
    <n v="1"/>
  </r>
  <r>
    <s v="ADM-243961"/>
    <d v="2025-05-26T00:00:00"/>
    <d v="2025-06-02T00:00:00"/>
    <x v="1"/>
    <s v="Q2"/>
    <x v="4"/>
    <x v="0"/>
    <x v="2"/>
    <x v="2"/>
    <x v="0"/>
    <x v="1"/>
    <x v="0"/>
    <n v="7"/>
    <m/>
    <n v="5490"/>
    <n v="0"/>
    <n v="4"/>
    <s v="Improved"/>
    <n v="1"/>
  </r>
  <r>
    <s v="ADM-243962"/>
    <d v="2025-05-26T00:00:00"/>
    <d v="2025-05-28T00:00:00"/>
    <x v="1"/>
    <s v="Q2"/>
    <x v="4"/>
    <x v="0"/>
    <x v="2"/>
    <x v="2"/>
    <x v="0"/>
    <x v="1"/>
    <x v="0"/>
    <n v="2"/>
    <m/>
    <n v="2529"/>
    <n v="0"/>
    <n v="3"/>
    <s v="Improved"/>
    <n v="1"/>
  </r>
  <r>
    <s v="ADM-243963"/>
    <d v="2025-05-26T00:00:00"/>
    <d v="2025-06-02T00:00:00"/>
    <x v="1"/>
    <s v="Q2"/>
    <x v="4"/>
    <x v="0"/>
    <x v="2"/>
    <x v="0"/>
    <x v="0"/>
    <x v="1"/>
    <x v="0"/>
    <n v="7"/>
    <n v="29"/>
    <n v="4915"/>
    <n v="0"/>
    <n v="5"/>
    <s v="Recovered"/>
    <n v="1"/>
  </r>
  <r>
    <s v="ADM-243964"/>
    <d v="2025-05-26T00:00:00"/>
    <d v="2025-05-29T00:00:00"/>
    <x v="1"/>
    <s v="Q2"/>
    <x v="4"/>
    <x v="0"/>
    <x v="2"/>
    <x v="2"/>
    <x v="0"/>
    <x v="1"/>
    <x v="2"/>
    <n v="3"/>
    <m/>
    <n v="2754"/>
    <n v="0"/>
    <n v="3"/>
    <s v="Recovered"/>
    <n v="1"/>
  </r>
  <r>
    <s v="ADM-243965"/>
    <d v="2025-05-27T00:00:00"/>
    <d v="2025-05-31T00:00:00"/>
    <x v="1"/>
    <s v="Q2"/>
    <x v="4"/>
    <x v="1"/>
    <x v="5"/>
    <x v="2"/>
    <x v="1"/>
    <x v="4"/>
    <x v="0"/>
    <n v="4"/>
    <m/>
    <n v="3514"/>
    <n v="0"/>
    <n v="4"/>
    <s v="Improved"/>
    <n v="1"/>
  </r>
  <r>
    <s v="ADM-243966"/>
    <d v="2025-05-27T00:00:00"/>
    <d v="2025-05-30T00:00:00"/>
    <x v="1"/>
    <s v="Q2"/>
    <x v="4"/>
    <x v="1"/>
    <x v="0"/>
    <x v="2"/>
    <x v="0"/>
    <x v="4"/>
    <x v="1"/>
    <n v="3"/>
    <m/>
    <n v="3456"/>
    <n v="0"/>
    <n v="5"/>
    <s v="Recovered"/>
    <n v="1"/>
  </r>
  <r>
    <s v="ADM-243967"/>
    <d v="2025-05-27T00:00:00"/>
    <d v="2025-05-28T00:00:00"/>
    <x v="1"/>
    <s v="Q2"/>
    <x v="4"/>
    <x v="1"/>
    <x v="1"/>
    <x v="2"/>
    <x v="1"/>
    <x v="4"/>
    <x v="0"/>
    <n v="1"/>
    <m/>
    <n v="2236"/>
    <n v="0"/>
    <n v="4"/>
    <s v="Recovered"/>
    <n v="1"/>
  </r>
  <r>
    <s v="ADM-243968"/>
    <d v="2025-05-27T00:00:00"/>
    <d v="2025-06-01T00:00:00"/>
    <x v="1"/>
    <s v="Q2"/>
    <x v="4"/>
    <x v="1"/>
    <x v="0"/>
    <x v="0"/>
    <x v="1"/>
    <x v="0"/>
    <x v="0"/>
    <n v="5"/>
    <n v="75"/>
    <n v="3522"/>
    <n v="0"/>
    <n v="5"/>
    <s v="Improved"/>
    <n v="1"/>
  </r>
  <r>
    <s v="ADM-243969"/>
    <d v="2025-05-27T00:00:00"/>
    <d v="2025-05-31T00:00:00"/>
    <x v="1"/>
    <s v="Q2"/>
    <x v="4"/>
    <x v="1"/>
    <x v="5"/>
    <x v="2"/>
    <x v="0"/>
    <x v="0"/>
    <x v="0"/>
    <n v="4"/>
    <m/>
    <n v="4443"/>
    <n v="0"/>
    <n v="4"/>
    <s v="Transferred"/>
    <n v="1"/>
  </r>
  <r>
    <s v="ADM-243970"/>
    <d v="2025-05-27T00:00:00"/>
    <d v="2025-06-01T00:00:00"/>
    <x v="1"/>
    <s v="Q2"/>
    <x v="4"/>
    <x v="1"/>
    <x v="0"/>
    <x v="0"/>
    <x v="0"/>
    <x v="1"/>
    <x v="0"/>
    <n v="5"/>
    <n v="31"/>
    <n v="3762"/>
    <n v="0"/>
    <n v="4"/>
    <s v="Improved"/>
    <n v="1"/>
  </r>
  <r>
    <s v="ADM-243971"/>
    <d v="2025-05-28T00:00:00"/>
    <d v="2025-06-05T00:00:00"/>
    <x v="1"/>
    <s v="Q2"/>
    <x v="4"/>
    <x v="2"/>
    <x v="0"/>
    <x v="0"/>
    <x v="1"/>
    <x v="0"/>
    <x v="0"/>
    <n v="8"/>
    <n v="42"/>
    <n v="5801"/>
    <n v="0"/>
    <n v="4"/>
    <s v="Improved"/>
    <n v="1"/>
  </r>
  <r>
    <s v="ADM-243972"/>
    <d v="2025-05-28T00:00:00"/>
    <d v="2025-05-29T00:00:00"/>
    <x v="1"/>
    <s v="Q2"/>
    <x v="4"/>
    <x v="2"/>
    <x v="5"/>
    <x v="0"/>
    <x v="1"/>
    <x v="1"/>
    <x v="1"/>
    <n v="1"/>
    <n v="40"/>
    <n v="1923"/>
    <n v="0"/>
    <n v="5"/>
    <s v="Recovered"/>
    <n v="1"/>
  </r>
  <r>
    <s v="ADM-243973"/>
    <d v="2025-05-28T00:00:00"/>
    <d v="2025-06-20T00:00:00"/>
    <x v="1"/>
    <s v="Q2"/>
    <x v="4"/>
    <x v="2"/>
    <x v="4"/>
    <x v="2"/>
    <x v="0"/>
    <x v="0"/>
    <x v="2"/>
    <n v="23"/>
    <m/>
    <n v="27241"/>
    <n v="0"/>
    <n v="5"/>
    <s v="Improved"/>
    <n v="1"/>
  </r>
  <r>
    <s v="ADM-243974"/>
    <d v="2025-05-28T00:00:00"/>
    <d v="2025-05-30T00:00:00"/>
    <x v="1"/>
    <s v="Q2"/>
    <x v="4"/>
    <x v="2"/>
    <x v="1"/>
    <x v="1"/>
    <x v="0"/>
    <x v="2"/>
    <x v="0"/>
    <n v="2"/>
    <m/>
    <n v="3134"/>
    <n v="1"/>
    <n v="3"/>
    <s v="Improved"/>
    <n v="1"/>
  </r>
  <r>
    <s v="ADM-243975"/>
    <d v="2025-05-28T00:00:00"/>
    <d v="2025-05-29T00:00:00"/>
    <x v="1"/>
    <s v="Q2"/>
    <x v="4"/>
    <x v="2"/>
    <x v="2"/>
    <x v="0"/>
    <x v="0"/>
    <x v="1"/>
    <x v="1"/>
    <n v="1"/>
    <n v="59"/>
    <n v="1229"/>
    <n v="0"/>
    <n v="3"/>
    <s v="Transferred"/>
    <n v="1"/>
  </r>
  <r>
    <s v="ADM-243976"/>
    <d v="2025-05-28T00:00:00"/>
    <d v="2025-05-31T00:00:00"/>
    <x v="1"/>
    <s v="Q2"/>
    <x v="4"/>
    <x v="2"/>
    <x v="1"/>
    <x v="2"/>
    <x v="0"/>
    <x v="0"/>
    <x v="0"/>
    <n v="3"/>
    <m/>
    <n v="3106"/>
    <n v="0"/>
    <n v="4"/>
    <s v="Recovered"/>
    <n v="1"/>
  </r>
  <r>
    <s v="ADM-243977"/>
    <d v="2025-05-29T00:00:00"/>
    <d v="2025-05-31T00:00:00"/>
    <x v="1"/>
    <s v="Q2"/>
    <x v="4"/>
    <x v="3"/>
    <x v="2"/>
    <x v="0"/>
    <x v="0"/>
    <x v="1"/>
    <x v="2"/>
    <n v="2"/>
    <n v="16"/>
    <n v="2534"/>
    <n v="0"/>
    <n v="5"/>
    <s v="Improved"/>
    <n v="1"/>
  </r>
  <r>
    <s v="ADM-243978"/>
    <d v="2025-05-29T00:00:00"/>
    <d v="2025-06-05T00:00:00"/>
    <x v="1"/>
    <s v="Q2"/>
    <x v="4"/>
    <x v="3"/>
    <x v="0"/>
    <x v="0"/>
    <x v="1"/>
    <x v="4"/>
    <x v="2"/>
    <n v="7"/>
    <n v="67"/>
    <n v="5133"/>
    <n v="0"/>
    <n v="5"/>
    <s v="Improved"/>
    <n v="1"/>
  </r>
  <r>
    <s v="ADM-243979"/>
    <d v="2025-05-29T00:00:00"/>
    <d v="2025-06-01T00:00:00"/>
    <x v="1"/>
    <s v="Q2"/>
    <x v="4"/>
    <x v="3"/>
    <x v="1"/>
    <x v="2"/>
    <x v="1"/>
    <x v="1"/>
    <x v="2"/>
    <n v="3"/>
    <m/>
    <n v="4140"/>
    <n v="0"/>
    <n v="4"/>
    <s v="Recovered"/>
    <n v="1"/>
  </r>
  <r>
    <s v="ADM-243980"/>
    <d v="2025-05-29T00:00:00"/>
    <d v="2025-06-04T00:00:00"/>
    <x v="1"/>
    <s v="Q2"/>
    <x v="4"/>
    <x v="3"/>
    <x v="4"/>
    <x v="0"/>
    <x v="1"/>
    <x v="4"/>
    <x v="1"/>
    <n v="6"/>
    <n v="26"/>
    <n v="9339"/>
    <n v="0"/>
    <n v="3"/>
    <s v="Improved"/>
    <n v="1"/>
  </r>
  <r>
    <s v="ADM-243981"/>
    <d v="2025-05-29T00:00:00"/>
    <d v="2025-06-06T00:00:00"/>
    <x v="1"/>
    <s v="Q2"/>
    <x v="4"/>
    <x v="3"/>
    <x v="0"/>
    <x v="0"/>
    <x v="0"/>
    <x v="0"/>
    <x v="2"/>
    <n v="8"/>
    <n v="36"/>
    <n v="4761"/>
    <n v="0"/>
    <n v="5"/>
    <s v="Recovered"/>
    <n v="1"/>
  </r>
  <r>
    <s v="ADM-243982"/>
    <d v="2025-05-29T00:00:00"/>
    <d v="2025-06-03T00:00:00"/>
    <x v="1"/>
    <s v="Q2"/>
    <x v="4"/>
    <x v="3"/>
    <x v="2"/>
    <x v="2"/>
    <x v="0"/>
    <x v="2"/>
    <x v="1"/>
    <n v="5"/>
    <m/>
    <n v="3663"/>
    <n v="0"/>
    <n v="4"/>
    <s v="Transferred"/>
    <n v="1"/>
  </r>
  <r>
    <s v="ADM-243983"/>
    <d v="2025-05-29T00:00:00"/>
    <d v="2025-06-04T00:00:00"/>
    <x v="1"/>
    <s v="Q2"/>
    <x v="4"/>
    <x v="3"/>
    <x v="3"/>
    <x v="0"/>
    <x v="0"/>
    <x v="3"/>
    <x v="2"/>
    <n v="6"/>
    <n v="46"/>
    <n v="4802"/>
    <n v="0"/>
    <n v="4"/>
    <s v="Recovered"/>
    <n v="1"/>
  </r>
  <r>
    <s v="ADM-243984"/>
    <d v="2025-05-29T00:00:00"/>
    <d v="2025-06-03T00:00:00"/>
    <x v="1"/>
    <s v="Q2"/>
    <x v="4"/>
    <x v="3"/>
    <x v="0"/>
    <x v="0"/>
    <x v="1"/>
    <x v="0"/>
    <x v="1"/>
    <n v="5"/>
    <n v="15"/>
    <n v="3792"/>
    <n v="1"/>
    <n v="4"/>
    <s v="Recovered"/>
    <n v="1"/>
  </r>
  <r>
    <s v="ADM-243985"/>
    <d v="2025-05-29T00:00:00"/>
    <d v="2025-05-30T00:00:00"/>
    <x v="1"/>
    <s v="Q2"/>
    <x v="4"/>
    <x v="3"/>
    <x v="3"/>
    <x v="0"/>
    <x v="0"/>
    <x v="3"/>
    <x v="2"/>
    <n v="1"/>
    <n v="66"/>
    <n v="854"/>
    <n v="0"/>
    <n v="5"/>
    <s v="Recovered"/>
    <n v="1"/>
  </r>
  <r>
    <s v="ADM-243986"/>
    <d v="2025-05-30T00:00:00"/>
    <d v="2025-06-06T00:00:00"/>
    <x v="1"/>
    <s v="Q2"/>
    <x v="4"/>
    <x v="4"/>
    <x v="3"/>
    <x v="0"/>
    <x v="0"/>
    <x v="3"/>
    <x v="2"/>
    <n v="7"/>
    <n v="46"/>
    <n v="4437"/>
    <n v="0"/>
    <n v="5"/>
    <s v="Recovered"/>
    <n v="1"/>
  </r>
  <r>
    <s v="ADM-243987"/>
    <d v="2025-05-30T00:00:00"/>
    <d v="2025-06-02T00:00:00"/>
    <x v="1"/>
    <s v="Q2"/>
    <x v="4"/>
    <x v="4"/>
    <x v="1"/>
    <x v="0"/>
    <x v="0"/>
    <x v="2"/>
    <x v="2"/>
    <n v="3"/>
    <n v="47"/>
    <n v="2736"/>
    <n v="0"/>
    <n v="5"/>
    <s v="Recovered"/>
    <n v="1"/>
  </r>
  <r>
    <s v="ADM-243988"/>
    <d v="2025-05-30T00:00:00"/>
    <d v="2025-06-03T00:00:00"/>
    <x v="1"/>
    <s v="Q2"/>
    <x v="4"/>
    <x v="4"/>
    <x v="4"/>
    <x v="2"/>
    <x v="1"/>
    <x v="4"/>
    <x v="0"/>
    <n v="4"/>
    <m/>
    <n v="7277"/>
    <n v="0"/>
    <n v="5"/>
    <s v="Improved"/>
    <n v="1"/>
  </r>
  <r>
    <s v="ADM-243989"/>
    <d v="2025-05-30T00:00:00"/>
    <d v="2025-06-02T00:00:00"/>
    <x v="1"/>
    <s v="Q2"/>
    <x v="4"/>
    <x v="4"/>
    <x v="5"/>
    <x v="2"/>
    <x v="0"/>
    <x v="2"/>
    <x v="0"/>
    <n v="3"/>
    <m/>
    <n v="3401"/>
    <n v="0"/>
    <n v="3"/>
    <s v="Recovered"/>
    <n v="1"/>
  </r>
  <r>
    <s v="ADM-243990"/>
    <d v="2025-05-30T00:00:00"/>
    <d v="2025-06-03T00:00:00"/>
    <x v="1"/>
    <s v="Q2"/>
    <x v="4"/>
    <x v="4"/>
    <x v="1"/>
    <x v="2"/>
    <x v="0"/>
    <x v="4"/>
    <x v="2"/>
    <n v="4"/>
    <m/>
    <n v="5449"/>
    <n v="0"/>
    <n v="4"/>
    <s v="Improved"/>
    <n v="1"/>
  </r>
  <r>
    <s v="ADM-243991"/>
    <d v="2025-05-30T00:00:00"/>
    <d v="2025-06-01T00:00:00"/>
    <x v="1"/>
    <s v="Q2"/>
    <x v="4"/>
    <x v="4"/>
    <x v="2"/>
    <x v="0"/>
    <x v="0"/>
    <x v="1"/>
    <x v="1"/>
    <n v="2"/>
    <n v="123"/>
    <n v="2052"/>
    <n v="0"/>
    <n v="3"/>
    <s v="Recovered"/>
    <n v="1"/>
  </r>
  <r>
    <s v="ADM-243992"/>
    <d v="2025-05-30T00:00:00"/>
    <d v="2025-06-01T00:00:00"/>
    <x v="1"/>
    <s v="Q2"/>
    <x v="4"/>
    <x v="4"/>
    <x v="1"/>
    <x v="1"/>
    <x v="1"/>
    <x v="0"/>
    <x v="0"/>
    <n v="2"/>
    <m/>
    <n v="2285"/>
    <n v="1"/>
    <n v="3"/>
    <s v="Recovered"/>
    <n v="1"/>
  </r>
  <r>
    <s v="ADM-243993"/>
    <d v="2025-05-31T00:00:00"/>
    <d v="2025-06-03T00:00:00"/>
    <x v="1"/>
    <s v="Q2"/>
    <x v="4"/>
    <x v="5"/>
    <x v="3"/>
    <x v="0"/>
    <x v="0"/>
    <x v="3"/>
    <x v="2"/>
    <n v="3"/>
    <n v="67"/>
    <n v="2308"/>
    <n v="0"/>
    <n v="4"/>
    <s v="Recovered"/>
    <n v="1"/>
  </r>
  <r>
    <s v="ADM-243994"/>
    <d v="2025-05-31T00:00:00"/>
    <d v="2025-06-03T00:00:00"/>
    <x v="1"/>
    <s v="Q2"/>
    <x v="4"/>
    <x v="5"/>
    <x v="2"/>
    <x v="2"/>
    <x v="0"/>
    <x v="2"/>
    <x v="2"/>
    <n v="3"/>
    <m/>
    <n v="2532"/>
    <n v="1"/>
    <n v="3"/>
    <s v="Improved"/>
    <n v="1"/>
  </r>
  <r>
    <s v="ADM-243995"/>
    <d v="2025-05-31T00:00:00"/>
    <d v="2025-06-05T00:00:00"/>
    <x v="1"/>
    <s v="Q2"/>
    <x v="4"/>
    <x v="5"/>
    <x v="0"/>
    <x v="2"/>
    <x v="1"/>
    <x v="4"/>
    <x v="0"/>
    <n v="5"/>
    <m/>
    <n v="3830"/>
    <n v="1"/>
    <n v="4"/>
    <s v="Recovered"/>
    <n v="1"/>
  </r>
  <r>
    <s v="ADM-243996"/>
    <d v="2025-05-31T00:00:00"/>
    <d v="2025-06-08T00:00:00"/>
    <x v="1"/>
    <s v="Q2"/>
    <x v="4"/>
    <x v="5"/>
    <x v="1"/>
    <x v="0"/>
    <x v="1"/>
    <x v="4"/>
    <x v="2"/>
    <n v="8"/>
    <n v="34"/>
    <n v="7137"/>
    <n v="0"/>
    <n v="5"/>
    <s v="Transferred"/>
    <n v="1"/>
  </r>
  <r>
    <s v="ADM-243997"/>
    <d v="2025-06-01T00:00:00"/>
    <d v="2025-06-09T00:00:00"/>
    <x v="1"/>
    <s v="Q2"/>
    <x v="5"/>
    <x v="6"/>
    <x v="0"/>
    <x v="0"/>
    <x v="1"/>
    <x v="2"/>
    <x v="2"/>
    <n v="8"/>
    <n v="18"/>
    <n v="5447"/>
    <n v="0"/>
    <n v="3"/>
    <s v="Deceased"/>
    <n v="1"/>
  </r>
  <r>
    <s v="ADM-243998"/>
    <d v="2025-06-01T00:00:00"/>
    <d v="2025-06-03T00:00:00"/>
    <x v="1"/>
    <s v="Q2"/>
    <x v="5"/>
    <x v="6"/>
    <x v="1"/>
    <x v="2"/>
    <x v="1"/>
    <x v="4"/>
    <x v="2"/>
    <n v="2"/>
    <m/>
    <n v="2683"/>
    <n v="0"/>
    <n v="4"/>
    <s v="Recovered"/>
    <n v="1"/>
  </r>
  <r>
    <s v="ADM-243999"/>
    <d v="2025-06-01T00:00:00"/>
    <d v="2025-06-08T00:00:00"/>
    <x v="1"/>
    <s v="Q2"/>
    <x v="5"/>
    <x v="6"/>
    <x v="1"/>
    <x v="2"/>
    <x v="0"/>
    <x v="4"/>
    <x v="0"/>
    <n v="7"/>
    <m/>
    <n v="9665"/>
    <n v="0"/>
    <n v="4"/>
    <s v="Recovered"/>
    <n v="1"/>
  </r>
  <r>
    <s v="ADM-244000"/>
    <d v="2025-06-01T00:00:00"/>
    <d v="2025-06-05T00:00:00"/>
    <x v="1"/>
    <s v="Q2"/>
    <x v="5"/>
    <x v="6"/>
    <x v="0"/>
    <x v="0"/>
    <x v="0"/>
    <x v="0"/>
    <x v="0"/>
    <n v="4"/>
    <n v="60"/>
    <n v="3621"/>
    <n v="0"/>
    <n v="5"/>
    <s v="Recovered"/>
    <n v="1"/>
  </r>
  <r>
    <s v="ADM-244001"/>
    <d v="2025-06-01T00:00:00"/>
    <d v="2025-06-06T00:00:00"/>
    <x v="1"/>
    <s v="Q2"/>
    <x v="5"/>
    <x v="6"/>
    <x v="3"/>
    <x v="2"/>
    <x v="1"/>
    <x v="3"/>
    <x v="2"/>
    <n v="5"/>
    <m/>
    <n v="4204"/>
    <n v="0"/>
    <n v="5"/>
    <s v="Recovered"/>
    <n v="1"/>
  </r>
  <r>
    <s v="ADM-244002"/>
    <d v="2025-06-01T00:00:00"/>
    <d v="2025-06-03T00:00:00"/>
    <x v="1"/>
    <s v="Q2"/>
    <x v="5"/>
    <x v="6"/>
    <x v="1"/>
    <x v="2"/>
    <x v="1"/>
    <x v="1"/>
    <x v="2"/>
    <n v="2"/>
    <m/>
    <n v="2371"/>
    <n v="0"/>
    <n v="4"/>
    <s v="Improved"/>
    <n v="1"/>
  </r>
  <r>
    <s v="ADM-244003"/>
    <d v="2025-06-01T00:00:00"/>
    <d v="2025-06-06T00:00:00"/>
    <x v="1"/>
    <s v="Q2"/>
    <x v="5"/>
    <x v="6"/>
    <x v="4"/>
    <x v="0"/>
    <x v="0"/>
    <x v="0"/>
    <x v="0"/>
    <n v="5"/>
    <n v="46"/>
    <n v="6000"/>
    <n v="1"/>
    <n v="4"/>
    <s v="Recovered"/>
    <n v="1"/>
  </r>
  <r>
    <s v="ADM-244004"/>
    <d v="2025-06-01T00:00:00"/>
    <d v="2025-06-04T00:00:00"/>
    <x v="1"/>
    <s v="Q2"/>
    <x v="5"/>
    <x v="6"/>
    <x v="4"/>
    <x v="2"/>
    <x v="1"/>
    <x v="1"/>
    <x v="0"/>
    <n v="3"/>
    <m/>
    <n v="2300"/>
    <n v="0"/>
    <n v="4"/>
    <s v="Recovered"/>
    <n v="1"/>
  </r>
  <r>
    <s v="ADM-244005"/>
    <d v="2025-06-01T00:00:00"/>
    <d v="2025-06-09T00:00:00"/>
    <x v="1"/>
    <s v="Q2"/>
    <x v="5"/>
    <x v="6"/>
    <x v="0"/>
    <x v="0"/>
    <x v="0"/>
    <x v="1"/>
    <x v="0"/>
    <n v="8"/>
    <n v="41"/>
    <n v="6893"/>
    <n v="1"/>
    <n v="3"/>
    <s v="Recovered"/>
    <n v="1"/>
  </r>
  <r>
    <s v="ADM-244006"/>
    <d v="2025-06-02T00:00:00"/>
    <d v="2025-06-08T00:00:00"/>
    <x v="1"/>
    <s v="Q2"/>
    <x v="5"/>
    <x v="0"/>
    <x v="1"/>
    <x v="1"/>
    <x v="0"/>
    <x v="2"/>
    <x v="2"/>
    <n v="6"/>
    <m/>
    <n v="6290"/>
    <n v="0"/>
    <n v="5"/>
    <s v="Recovered"/>
    <n v="1"/>
  </r>
  <r>
    <s v="ADM-244007"/>
    <d v="2025-06-02T00:00:00"/>
    <d v="2025-06-14T00:00:00"/>
    <x v="1"/>
    <s v="Q2"/>
    <x v="5"/>
    <x v="0"/>
    <x v="4"/>
    <x v="2"/>
    <x v="1"/>
    <x v="2"/>
    <x v="2"/>
    <n v="12"/>
    <m/>
    <n v="14698"/>
    <n v="0"/>
    <n v="3"/>
    <s v="Recovered"/>
    <n v="1"/>
  </r>
  <r>
    <s v="ADM-244008"/>
    <d v="2025-06-02T00:00:00"/>
    <d v="2025-06-04T00:00:00"/>
    <x v="1"/>
    <s v="Q2"/>
    <x v="5"/>
    <x v="0"/>
    <x v="2"/>
    <x v="2"/>
    <x v="0"/>
    <x v="1"/>
    <x v="0"/>
    <n v="2"/>
    <m/>
    <n v="1780"/>
    <n v="0"/>
    <n v="4"/>
    <s v="Improved"/>
    <n v="1"/>
  </r>
  <r>
    <s v="ADM-244009"/>
    <d v="2025-06-02T00:00:00"/>
    <d v="2025-06-04T00:00:00"/>
    <x v="1"/>
    <s v="Q2"/>
    <x v="5"/>
    <x v="0"/>
    <x v="0"/>
    <x v="0"/>
    <x v="0"/>
    <x v="1"/>
    <x v="0"/>
    <n v="2"/>
    <n v="18"/>
    <n v="2268"/>
    <n v="0"/>
    <n v="3"/>
    <s v="Improved"/>
    <n v="1"/>
  </r>
  <r>
    <s v="ADM-244010"/>
    <d v="2025-06-03T00:00:00"/>
    <d v="2025-06-04T00:00:00"/>
    <x v="1"/>
    <s v="Q2"/>
    <x v="5"/>
    <x v="1"/>
    <x v="5"/>
    <x v="2"/>
    <x v="0"/>
    <x v="2"/>
    <x v="2"/>
    <n v="1"/>
    <m/>
    <n v="2316"/>
    <n v="0"/>
    <n v="5"/>
    <s v="Recovered"/>
    <n v="1"/>
  </r>
  <r>
    <s v="ADM-244011"/>
    <d v="2025-06-04T00:00:00"/>
    <d v="2025-06-10T00:00:00"/>
    <x v="1"/>
    <s v="Q2"/>
    <x v="5"/>
    <x v="2"/>
    <x v="2"/>
    <x v="0"/>
    <x v="0"/>
    <x v="1"/>
    <x v="2"/>
    <n v="6"/>
    <n v="16"/>
    <n v="5005"/>
    <n v="0"/>
    <n v="4"/>
    <s v="Recovered"/>
    <n v="1"/>
  </r>
  <r>
    <s v="ADM-244012"/>
    <d v="2025-06-04T00:00:00"/>
    <d v="2025-06-15T00:00:00"/>
    <x v="1"/>
    <s v="Q2"/>
    <x v="5"/>
    <x v="2"/>
    <x v="1"/>
    <x v="0"/>
    <x v="1"/>
    <x v="2"/>
    <x v="0"/>
    <n v="11"/>
    <n v="43"/>
    <n v="12821"/>
    <n v="0"/>
    <n v="4"/>
    <s v="Recovered"/>
    <n v="1"/>
  </r>
  <r>
    <s v="ADM-244013"/>
    <d v="2025-06-04T00:00:00"/>
    <d v="2025-06-13T00:00:00"/>
    <x v="1"/>
    <s v="Q2"/>
    <x v="5"/>
    <x v="2"/>
    <x v="0"/>
    <x v="0"/>
    <x v="0"/>
    <x v="4"/>
    <x v="2"/>
    <n v="9"/>
    <n v="53"/>
    <n v="6426"/>
    <n v="0"/>
    <n v="4"/>
    <s v="Recovered"/>
    <n v="1"/>
  </r>
  <r>
    <s v="ADM-244014"/>
    <d v="2025-06-04T00:00:00"/>
    <d v="2025-06-12T00:00:00"/>
    <x v="1"/>
    <s v="Q2"/>
    <x v="5"/>
    <x v="2"/>
    <x v="2"/>
    <x v="0"/>
    <x v="0"/>
    <x v="2"/>
    <x v="0"/>
    <n v="8"/>
    <n v="24"/>
    <n v="5544"/>
    <n v="0"/>
    <n v="3"/>
    <s v="Improved"/>
    <n v="1"/>
  </r>
  <r>
    <s v="ADM-244015"/>
    <d v="2025-06-05T00:00:00"/>
    <d v="2025-06-07T00:00:00"/>
    <x v="1"/>
    <s v="Q2"/>
    <x v="5"/>
    <x v="3"/>
    <x v="1"/>
    <x v="2"/>
    <x v="0"/>
    <x v="4"/>
    <x v="0"/>
    <n v="2"/>
    <m/>
    <n v="2680"/>
    <n v="0"/>
    <n v="3"/>
    <s v="Transferred"/>
    <n v="1"/>
  </r>
  <r>
    <s v="ADM-244016"/>
    <d v="2025-06-05T00:00:00"/>
    <d v="2025-06-11T00:00:00"/>
    <x v="1"/>
    <s v="Q2"/>
    <x v="5"/>
    <x v="3"/>
    <x v="0"/>
    <x v="2"/>
    <x v="1"/>
    <x v="2"/>
    <x v="0"/>
    <n v="6"/>
    <m/>
    <n v="3963"/>
    <n v="0"/>
    <n v="5"/>
    <s v="Recovered"/>
    <n v="1"/>
  </r>
  <r>
    <s v="ADM-244017"/>
    <d v="2025-06-05T00:00:00"/>
    <d v="2025-06-17T00:00:00"/>
    <x v="1"/>
    <s v="Q2"/>
    <x v="5"/>
    <x v="3"/>
    <x v="4"/>
    <x v="0"/>
    <x v="0"/>
    <x v="0"/>
    <x v="2"/>
    <n v="12"/>
    <n v="59"/>
    <n v="10746"/>
    <n v="0"/>
    <n v="4"/>
    <s v="Recovered"/>
    <n v="1"/>
  </r>
  <r>
    <s v="ADM-244018"/>
    <d v="2025-06-05T00:00:00"/>
    <d v="2025-06-10T00:00:00"/>
    <x v="1"/>
    <s v="Q2"/>
    <x v="5"/>
    <x v="3"/>
    <x v="0"/>
    <x v="0"/>
    <x v="0"/>
    <x v="1"/>
    <x v="2"/>
    <n v="5"/>
    <n v="65"/>
    <n v="3888"/>
    <n v="0"/>
    <n v="4"/>
    <s v="Recovered"/>
    <n v="1"/>
  </r>
  <r>
    <s v="ADM-244019"/>
    <d v="2025-06-05T00:00:00"/>
    <d v="2025-06-20T00:00:00"/>
    <x v="1"/>
    <s v="Q2"/>
    <x v="5"/>
    <x v="3"/>
    <x v="0"/>
    <x v="0"/>
    <x v="1"/>
    <x v="1"/>
    <x v="0"/>
    <n v="15"/>
    <n v="81"/>
    <n v="10292"/>
    <n v="0"/>
    <n v="5"/>
    <s v="Recovered"/>
    <n v="1"/>
  </r>
  <r>
    <s v="ADM-244020"/>
    <d v="2025-06-05T00:00:00"/>
    <d v="2025-06-08T00:00:00"/>
    <x v="1"/>
    <s v="Q2"/>
    <x v="5"/>
    <x v="3"/>
    <x v="4"/>
    <x v="0"/>
    <x v="0"/>
    <x v="0"/>
    <x v="0"/>
    <n v="3"/>
    <n v="29"/>
    <n v="5075"/>
    <n v="0"/>
    <n v="5"/>
    <s v="Recovered"/>
    <n v="1"/>
  </r>
  <r>
    <s v="ADM-244021"/>
    <d v="2025-06-05T00:00:00"/>
    <d v="2025-06-08T00:00:00"/>
    <x v="1"/>
    <s v="Q2"/>
    <x v="5"/>
    <x v="3"/>
    <x v="5"/>
    <x v="2"/>
    <x v="0"/>
    <x v="0"/>
    <x v="2"/>
    <n v="3"/>
    <m/>
    <n v="2695"/>
    <n v="0"/>
    <n v="5"/>
    <s v="Recovered"/>
    <n v="1"/>
  </r>
  <r>
    <s v="ADM-244022"/>
    <d v="2025-06-05T00:00:00"/>
    <d v="2025-06-10T00:00:00"/>
    <x v="1"/>
    <s v="Q2"/>
    <x v="5"/>
    <x v="3"/>
    <x v="0"/>
    <x v="0"/>
    <x v="1"/>
    <x v="4"/>
    <x v="2"/>
    <n v="5"/>
    <n v="57"/>
    <n v="3411"/>
    <n v="0"/>
    <n v="5"/>
    <s v="Improved"/>
    <n v="1"/>
  </r>
  <r>
    <s v="ADM-244023"/>
    <d v="2025-06-05T00:00:00"/>
    <d v="2025-06-18T00:00:00"/>
    <x v="1"/>
    <s v="Q2"/>
    <x v="5"/>
    <x v="3"/>
    <x v="0"/>
    <x v="0"/>
    <x v="0"/>
    <x v="4"/>
    <x v="2"/>
    <n v="13"/>
    <n v="54"/>
    <n v="9205"/>
    <n v="0"/>
    <n v="4"/>
    <s v="Recovered"/>
    <n v="1"/>
  </r>
  <r>
    <s v="ADM-244024"/>
    <d v="2025-06-06T00:00:00"/>
    <d v="2025-06-11T00:00:00"/>
    <x v="1"/>
    <s v="Q2"/>
    <x v="5"/>
    <x v="4"/>
    <x v="1"/>
    <x v="0"/>
    <x v="1"/>
    <x v="4"/>
    <x v="0"/>
    <n v="5"/>
    <n v="36"/>
    <n v="4713"/>
    <n v="0"/>
    <n v="4"/>
    <s v="Recovered"/>
    <n v="1"/>
  </r>
  <r>
    <s v="ADM-244025"/>
    <d v="2025-06-06T00:00:00"/>
    <d v="2025-06-12T00:00:00"/>
    <x v="1"/>
    <s v="Q2"/>
    <x v="5"/>
    <x v="4"/>
    <x v="0"/>
    <x v="0"/>
    <x v="1"/>
    <x v="2"/>
    <x v="1"/>
    <n v="6"/>
    <n v="43"/>
    <n v="5133"/>
    <n v="0"/>
    <n v="4"/>
    <s v="Recovered"/>
    <n v="1"/>
  </r>
  <r>
    <s v="ADM-244026"/>
    <d v="2025-06-06T00:00:00"/>
    <d v="2025-06-07T00:00:00"/>
    <x v="1"/>
    <s v="Q2"/>
    <x v="5"/>
    <x v="4"/>
    <x v="2"/>
    <x v="0"/>
    <x v="0"/>
    <x v="2"/>
    <x v="0"/>
    <n v="1"/>
    <n v="32"/>
    <n v="1186"/>
    <n v="0"/>
    <n v="4"/>
    <s v="Recovered"/>
    <n v="1"/>
  </r>
  <r>
    <s v="ADM-244027"/>
    <d v="2025-06-06T00:00:00"/>
    <d v="2025-06-08T00:00:00"/>
    <x v="1"/>
    <s v="Q2"/>
    <x v="5"/>
    <x v="4"/>
    <x v="4"/>
    <x v="1"/>
    <x v="0"/>
    <x v="1"/>
    <x v="2"/>
    <n v="2"/>
    <m/>
    <n v="3046"/>
    <n v="0"/>
    <n v="5"/>
    <s v="Recovered"/>
    <n v="1"/>
  </r>
  <r>
    <s v="ADM-244028"/>
    <d v="2025-06-06T00:00:00"/>
    <d v="2025-06-08T00:00:00"/>
    <x v="1"/>
    <s v="Q2"/>
    <x v="5"/>
    <x v="4"/>
    <x v="5"/>
    <x v="0"/>
    <x v="0"/>
    <x v="2"/>
    <x v="2"/>
    <n v="2"/>
    <n v="57"/>
    <n v="2709"/>
    <n v="0"/>
    <n v="4"/>
    <s v="Recovered"/>
    <n v="1"/>
  </r>
  <r>
    <s v="ADM-244029"/>
    <d v="2025-06-06T00:00:00"/>
    <d v="2025-06-08T00:00:00"/>
    <x v="1"/>
    <s v="Q2"/>
    <x v="5"/>
    <x v="4"/>
    <x v="0"/>
    <x v="1"/>
    <x v="0"/>
    <x v="1"/>
    <x v="0"/>
    <n v="2"/>
    <m/>
    <n v="2557"/>
    <n v="0"/>
    <n v="5"/>
    <s v="Recovered"/>
    <n v="1"/>
  </r>
  <r>
    <s v="ADM-244030"/>
    <d v="2025-06-06T00:00:00"/>
    <d v="2025-06-13T00:00:00"/>
    <x v="1"/>
    <s v="Q2"/>
    <x v="5"/>
    <x v="4"/>
    <x v="0"/>
    <x v="1"/>
    <x v="1"/>
    <x v="4"/>
    <x v="1"/>
    <n v="7"/>
    <m/>
    <n v="6115"/>
    <n v="1"/>
    <n v="5"/>
    <s v="Recovered"/>
    <n v="1"/>
  </r>
  <r>
    <s v="ADM-244031"/>
    <d v="2025-06-06T00:00:00"/>
    <d v="2025-06-07T00:00:00"/>
    <x v="1"/>
    <s v="Q2"/>
    <x v="5"/>
    <x v="4"/>
    <x v="1"/>
    <x v="2"/>
    <x v="1"/>
    <x v="0"/>
    <x v="0"/>
    <n v="1"/>
    <m/>
    <n v="1930"/>
    <n v="0"/>
    <n v="5"/>
    <s v="Transferred"/>
    <n v="1"/>
  </r>
  <r>
    <s v="ADM-244032"/>
    <d v="2025-06-06T00:00:00"/>
    <d v="2025-06-14T00:00:00"/>
    <x v="1"/>
    <s v="Q2"/>
    <x v="5"/>
    <x v="4"/>
    <x v="1"/>
    <x v="2"/>
    <x v="1"/>
    <x v="0"/>
    <x v="0"/>
    <n v="8"/>
    <m/>
    <n v="9633"/>
    <n v="0"/>
    <n v="4"/>
    <s v="Recovered"/>
    <n v="1"/>
  </r>
  <r>
    <s v="ADM-244033"/>
    <d v="2025-06-06T00:00:00"/>
    <d v="2025-06-13T00:00:00"/>
    <x v="1"/>
    <s v="Q2"/>
    <x v="5"/>
    <x v="4"/>
    <x v="0"/>
    <x v="2"/>
    <x v="0"/>
    <x v="1"/>
    <x v="2"/>
    <n v="7"/>
    <m/>
    <n v="5807"/>
    <n v="0"/>
    <n v="5"/>
    <s v="Improved"/>
    <n v="1"/>
  </r>
  <r>
    <s v="ADM-244034"/>
    <d v="2025-06-07T00:00:00"/>
    <d v="2025-06-08T00:00:00"/>
    <x v="1"/>
    <s v="Q2"/>
    <x v="5"/>
    <x v="5"/>
    <x v="4"/>
    <x v="1"/>
    <x v="0"/>
    <x v="4"/>
    <x v="2"/>
    <n v="1"/>
    <m/>
    <n v="2347"/>
    <n v="0"/>
    <n v="5"/>
    <s v="Transferred"/>
    <n v="1"/>
  </r>
  <r>
    <s v="ADM-244035"/>
    <d v="2025-06-07T00:00:00"/>
    <d v="2025-06-09T00:00:00"/>
    <x v="1"/>
    <s v="Q2"/>
    <x v="5"/>
    <x v="5"/>
    <x v="2"/>
    <x v="0"/>
    <x v="0"/>
    <x v="1"/>
    <x v="0"/>
    <n v="2"/>
    <n v="79"/>
    <n v="2579"/>
    <n v="0"/>
    <n v="5"/>
    <s v="Recovered"/>
    <n v="1"/>
  </r>
  <r>
    <s v="ADM-244036"/>
    <d v="2025-06-07T00:00:00"/>
    <d v="2025-06-12T00:00:00"/>
    <x v="1"/>
    <s v="Q2"/>
    <x v="5"/>
    <x v="5"/>
    <x v="5"/>
    <x v="2"/>
    <x v="1"/>
    <x v="1"/>
    <x v="2"/>
    <n v="5"/>
    <m/>
    <n v="6088"/>
    <n v="0"/>
    <n v="5"/>
    <s v="Recovered"/>
    <n v="1"/>
  </r>
  <r>
    <s v="ADM-244037"/>
    <d v="2025-06-07T00:00:00"/>
    <d v="2025-06-10T00:00:00"/>
    <x v="1"/>
    <s v="Q2"/>
    <x v="5"/>
    <x v="5"/>
    <x v="0"/>
    <x v="0"/>
    <x v="1"/>
    <x v="0"/>
    <x v="0"/>
    <n v="3"/>
    <n v="34"/>
    <n v="2903"/>
    <n v="0"/>
    <n v="5"/>
    <s v="Recovered"/>
    <n v="1"/>
  </r>
  <r>
    <s v="ADM-244038"/>
    <d v="2025-06-07T00:00:00"/>
    <d v="2025-06-09T00:00:00"/>
    <x v="1"/>
    <s v="Q2"/>
    <x v="5"/>
    <x v="5"/>
    <x v="4"/>
    <x v="0"/>
    <x v="1"/>
    <x v="1"/>
    <x v="0"/>
    <n v="2"/>
    <n v="33"/>
    <n v="2636"/>
    <n v="0"/>
    <n v="5"/>
    <s v="Improved"/>
    <n v="1"/>
  </r>
  <r>
    <s v="ADM-244039"/>
    <d v="2025-06-07T00:00:00"/>
    <d v="2025-06-08T00:00:00"/>
    <x v="1"/>
    <s v="Q2"/>
    <x v="5"/>
    <x v="5"/>
    <x v="2"/>
    <x v="0"/>
    <x v="0"/>
    <x v="2"/>
    <x v="0"/>
    <n v="1"/>
    <n v="62"/>
    <n v="1617"/>
    <n v="0"/>
    <n v="4"/>
    <s v="Recovered"/>
    <n v="1"/>
  </r>
  <r>
    <s v="ADM-244040"/>
    <d v="2025-06-08T00:00:00"/>
    <d v="2025-06-10T00:00:00"/>
    <x v="1"/>
    <s v="Q2"/>
    <x v="5"/>
    <x v="6"/>
    <x v="0"/>
    <x v="0"/>
    <x v="0"/>
    <x v="1"/>
    <x v="2"/>
    <n v="2"/>
    <n v="35"/>
    <n v="2262"/>
    <n v="0"/>
    <n v="5"/>
    <s v="Recovered"/>
    <n v="1"/>
  </r>
  <r>
    <s v="ADM-244041"/>
    <d v="2025-06-08T00:00:00"/>
    <d v="2025-06-13T00:00:00"/>
    <x v="1"/>
    <s v="Q2"/>
    <x v="5"/>
    <x v="6"/>
    <x v="5"/>
    <x v="2"/>
    <x v="0"/>
    <x v="2"/>
    <x v="1"/>
    <n v="5"/>
    <m/>
    <n v="6321"/>
    <n v="0"/>
    <n v="4"/>
    <s v="Recovered"/>
    <n v="1"/>
  </r>
  <r>
    <s v="ADM-244042"/>
    <d v="2025-06-08T00:00:00"/>
    <d v="2025-06-11T00:00:00"/>
    <x v="1"/>
    <s v="Q2"/>
    <x v="5"/>
    <x v="6"/>
    <x v="4"/>
    <x v="0"/>
    <x v="0"/>
    <x v="2"/>
    <x v="0"/>
    <n v="3"/>
    <n v="19"/>
    <n v="5299"/>
    <n v="1"/>
    <n v="5"/>
    <s v="Recovered"/>
    <n v="1"/>
  </r>
  <r>
    <s v="ADM-244043"/>
    <d v="2025-06-08T00:00:00"/>
    <d v="2025-06-12T00:00:00"/>
    <x v="1"/>
    <s v="Q2"/>
    <x v="5"/>
    <x v="6"/>
    <x v="1"/>
    <x v="0"/>
    <x v="0"/>
    <x v="1"/>
    <x v="2"/>
    <n v="4"/>
    <n v="35"/>
    <n v="5771"/>
    <n v="0"/>
    <n v="4"/>
    <s v="Recovered"/>
    <n v="1"/>
  </r>
  <r>
    <s v="ADM-244044"/>
    <d v="2025-06-08T00:00:00"/>
    <d v="2025-06-09T00:00:00"/>
    <x v="1"/>
    <s v="Q2"/>
    <x v="5"/>
    <x v="6"/>
    <x v="2"/>
    <x v="2"/>
    <x v="0"/>
    <x v="2"/>
    <x v="2"/>
    <n v="1"/>
    <m/>
    <n v="1330"/>
    <n v="0"/>
    <n v="4"/>
    <s v="Recovered"/>
    <n v="1"/>
  </r>
  <r>
    <s v="ADM-244045"/>
    <d v="2025-06-08T00:00:00"/>
    <d v="2025-06-11T00:00:00"/>
    <x v="1"/>
    <s v="Q2"/>
    <x v="5"/>
    <x v="6"/>
    <x v="4"/>
    <x v="1"/>
    <x v="1"/>
    <x v="4"/>
    <x v="2"/>
    <n v="3"/>
    <m/>
    <n v="4081"/>
    <n v="0"/>
    <n v="4"/>
    <s v="Recovered"/>
    <n v="1"/>
  </r>
  <r>
    <s v="ADM-244046"/>
    <d v="2025-06-08T00:00:00"/>
    <d v="2025-06-13T00:00:00"/>
    <x v="1"/>
    <s v="Q2"/>
    <x v="5"/>
    <x v="6"/>
    <x v="5"/>
    <x v="2"/>
    <x v="1"/>
    <x v="4"/>
    <x v="2"/>
    <n v="5"/>
    <m/>
    <n v="6297"/>
    <n v="0"/>
    <n v="4"/>
    <s v="Recovered"/>
    <n v="1"/>
  </r>
  <r>
    <s v="ADM-244047"/>
    <d v="2025-06-08T00:00:00"/>
    <d v="2025-06-09T00:00:00"/>
    <x v="1"/>
    <s v="Q2"/>
    <x v="5"/>
    <x v="6"/>
    <x v="2"/>
    <x v="0"/>
    <x v="0"/>
    <x v="2"/>
    <x v="2"/>
    <n v="1"/>
    <n v="40"/>
    <n v="1402"/>
    <n v="0"/>
    <n v="5"/>
    <s v="Improved"/>
    <n v="1"/>
  </r>
  <r>
    <s v="ADM-244048"/>
    <d v="2025-06-08T00:00:00"/>
    <d v="2025-06-09T00:00:00"/>
    <x v="1"/>
    <s v="Q2"/>
    <x v="5"/>
    <x v="6"/>
    <x v="2"/>
    <x v="0"/>
    <x v="0"/>
    <x v="1"/>
    <x v="1"/>
    <n v="1"/>
    <n v="106"/>
    <n v="1230"/>
    <n v="0"/>
    <n v="2"/>
    <s v="Recovered"/>
    <n v="1"/>
  </r>
  <r>
    <s v="ADM-244049"/>
    <d v="2025-06-08T00:00:00"/>
    <d v="2025-06-12T00:00:00"/>
    <x v="1"/>
    <s v="Q2"/>
    <x v="5"/>
    <x v="6"/>
    <x v="0"/>
    <x v="0"/>
    <x v="0"/>
    <x v="1"/>
    <x v="2"/>
    <n v="4"/>
    <n v="51"/>
    <n v="3694"/>
    <n v="0"/>
    <n v="4"/>
    <s v="Transferred"/>
    <n v="1"/>
  </r>
  <r>
    <s v="ADM-244050"/>
    <d v="2025-06-09T00:00:00"/>
    <d v="2025-06-19T00:00:00"/>
    <x v="1"/>
    <s v="Q2"/>
    <x v="5"/>
    <x v="0"/>
    <x v="0"/>
    <x v="1"/>
    <x v="1"/>
    <x v="4"/>
    <x v="0"/>
    <n v="10"/>
    <m/>
    <n v="7647"/>
    <n v="0"/>
    <n v="5"/>
    <s v="Recovered"/>
    <n v="1"/>
  </r>
  <r>
    <s v="ADM-244051"/>
    <d v="2025-06-09T00:00:00"/>
    <d v="2025-06-14T00:00:00"/>
    <x v="1"/>
    <s v="Q2"/>
    <x v="5"/>
    <x v="0"/>
    <x v="3"/>
    <x v="2"/>
    <x v="0"/>
    <x v="3"/>
    <x v="0"/>
    <n v="5"/>
    <m/>
    <n v="3960"/>
    <n v="0"/>
    <n v="4"/>
    <s v="Recovered"/>
    <n v="1"/>
  </r>
  <r>
    <s v="ADM-244052"/>
    <d v="2025-06-09T00:00:00"/>
    <d v="2025-06-14T00:00:00"/>
    <x v="1"/>
    <s v="Q2"/>
    <x v="5"/>
    <x v="0"/>
    <x v="5"/>
    <x v="2"/>
    <x v="1"/>
    <x v="0"/>
    <x v="2"/>
    <n v="5"/>
    <m/>
    <n v="6154"/>
    <n v="0"/>
    <n v="4"/>
    <s v="Improved"/>
    <n v="1"/>
  </r>
  <r>
    <s v="ADM-244053"/>
    <d v="2025-06-09T00:00:00"/>
    <d v="2025-06-21T00:00:00"/>
    <x v="1"/>
    <s v="Q2"/>
    <x v="5"/>
    <x v="0"/>
    <x v="0"/>
    <x v="0"/>
    <x v="0"/>
    <x v="4"/>
    <x v="1"/>
    <n v="12"/>
    <n v="33"/>
    <n v="8417"/>
    <n v="0"/>
    <n v="4"/>
    <s v="Recovered"/>
    <n v="1"/>
  </r>
  <r>
    <s v="ADM-244054"/>
    <d v="2025-06-09T00:00:00"/>
    <d v="2025-06-15T00:00:00"/>
    <x v="1"/>
    <s v="Q2"/>
    <x v="5"/>
    <x v="0"/>
    <x v="3"/>
    <x v="0"/>
    <x v="1"/>
    <x v="3"/>
    <x v="2"/>
    <n v="6"/>
    <n v="26"/>
    <n v="4105"/>
    <n v="0"/>
    <n v="5"/>
    <s v="Improved"/>
    <n v="1"/>
  </r>
  <r>
    <s v="ADM-244055"/>
    <d v="2025-06-09T00:00:00"/>
    <d v="2025-06-11T00:00:00"/>
    <x v="1"/>
    <s v="Q2"/>
    <x v="5"/>
    <x v="0"/>
    <x v="3"/>
    <x v="0"/>
    <x v="1"/>
    <x v="3"/>
    <x v="0"/>
    <n v="2"/>
    <n v="68"/>
    <n v="1392"/>
    <n v="0"/>
    <n v="4"/>
    <s v="Improved"/>
    <n v="1"/>
  </r>
  <r>
    <s v="ADM-244056"/>
    <d v="2025-06-09T00:00:00"/>
    <d v="2025-06-12T00:00:00"/>
    <x v="1"/>
    <s v="Q2"/>
    <x v="5"/>
    <x v="0"/>
    <x v="3"/>
    <x v="0"/>
    <x v="1"/>
    <x v="3"/>
    <x v="0"/>
    <n v="3"/>
    <n v="60"/>
    <n v="2434"/>
    <n v="0"/>
    <n v="3"/>
    <s v="Improved"/>
    <n v="1"/>
  </r>
  <r>
    <s v="ADM-244057"/>
    <d v="2025-06-09T00:00:00"/>
    <d v="2025-06-18T00:00:00"/>
    <x v="1"/>
    <s v="Q2"/>
    <x v="5"/>
    <x v="0"/>
    <x v="1"/>
    <x v="0"/>
    <x v="0"/>
    <x v="2"/>
    <x v="2"/>
    <n v="9"/>
    <n v="45"/>
    <n v="7763"/>
    <n v="0"/>
    <n v="5"/>
    <s v="Recovered"/>
    <n v="1"/>
  </r>
  <r>
    <s v="ADM-244058"/>
    <d v="2025-06-10T00:00:00"/>
    <d v="2025-06-16T00:00:00"/>
    <x v="1"/>
    <s v="Q2"/>
    <x v="5"/>
    <x v="1"/>
    <x v="0"/>
    <x v="0"/>
    <x v="1"/>
    <x v="4"/>
    <x v="2"/>
    <n v="6"/>
    <n v="40"/>
    <n v="4563"/>
    <n v="0"/>
    <n v="4"/>
    <s v="Recovered"/>
    <n v="1"/>
  </r>
  <r>
    <s v="ADM-244059"/>
    <d v="2025-06-10T00:00:00"/>
    <d v="2025-06-11T00:00:00"/>
    <x v="1"/>
    <s v="Q2"/>
    <x v="5"/>
    <x v="1"/>
    <x v="5"/>
    <x v="2"/>
    <x v="0"/>
    <x v="4"/>
    <x v="1"/>
    <n v="1"/>
    <m/>
    <n v="1863"/>
    <n v="0"/>
    <n v="4"/>
    <s v="Recovered"/>
    <n v="1"/>
  </r>
  <r>
    <s v="ADM-244060"/>
    <d v="2025-06-10T00:00:00"/>
    <d v="2025-06-13T00:00:00"/>
    <x v="1"/>
    <s v="Q2"/>
    <x v="5"/>
    <x v="1"/>
    <x v="2"/>
    <x v="1"/>
    <x v="0"/>
    <x v="2"/>
    <x v="2"/>
    <n v="3"/>
    <m/>
    <n v="2473"/>
    <n v="0"/>
    <n v="4"/>
    <s v="Deceased"/>
    <n v="1"/>
  </r>
  <r>
    <s v="ADM-244061"/>
    <d v="2025-06-10T00:00:00"/>
    <d v="2025-06-14T00:00:00"/>
    <x v="1"/>
    <s v="Q2"/>
    <x v="5"/>
    <x v="1"/>
    <x v="1"/>
    <x v="2"/>
    <x v="1"/>
    <x v="0"/>
    <x v="2"/>
    <n v="4"/>
    <m/>
    <n v="5136"/>
    <n v="1"/>
    <n v="3"/>
    <s v="Improved"/>
    <n v="1"/>
  </r>
  <r>
    <s v="ADM-244062"/>
    <d v="2025-06-11T00:00:00"/>
    <d v="2025-06-20T00:00:00"/>
    <x v="1"/>
    <s v="Q2"/>
    <x v="5"/>
    <x v="2"/>
    <x v="0"/>
    <x v="2"/>
    <x v="1"/>
    <x v="4"/>
    <x v="2"/>
    <n v="9"/>
    <m/>
    <n v="5386"/>
    <n v="0"/>
    <n v="4"/>
    <s v="Recovered"/>
    <n v="1"/>
  </r>
  <r>
    <s v="ADM-244063"/>
    <d v="2025-06-11T00:00:00"/>
    <d v="2025-06-14T00:00:00"/>
    <x v="1"/>
    <s v="Q2"/>
    <x v="5"/>
    <x v="2"/>
    <x v="0"/>
    <x v="0"/>
    <x v="1"/>
    <x v="4"/>
    <x v="0"/>
    <n v="3"/>
    <n v="167"/>
    <n v="2822"/>
    <n v="0"/>
    <n v="4"/>
    <s v="Recovered"/>
    <n v="1"/>
  </r>
  <r>
    <s v="ADM-244064"/>
    <d v="2025-06-11T00:00:00"/>
    <d v="2025-06-13T00:00:00"/>
    <x v="1"/>
    <s v="Q2"/>
    <x v="5"/>
    <x v="2"/>
    <x v="1"/>
    <x v="0"/>
    <x v="1"/>
    <x v="2"/>
    <x v="0"/>
    <n v="2"/>
    <n v="65"/>
    <n v="2685"/>
    <n v="0"/>
    <n v="4"/>
    <s v="Recovered"/>
    <n v="1"/>
  </r>
  <r>
    <s v="ADM-244065"/>
    <d v="2025-06-11T00:00:00"/>
    <d v="2025-06-21T00:00:00"/>
    <x v="1"/>
    <s v="Q2"/>
    <x v="5"/>
    <x v="2"/>
    <x v="5"/>
    <x v="2"/>
    <x v="0"/>
    <x v="0"/>
    <x v="1"/>
    <n v="10"/>
    <m/>
    <n v="9440"/>
    <n v="1"/>
    <n v="4"/>
    <s v="Recovered"/>
    <n v="1"/>
  </r>
  <r>
    <s v="ADM-244066"/>
    <d v="2025-06-11T00:00:00"/>
    <d v="2025-06-14T00:00:00"/>
    <x v="1"/>
    <s v="Q2"/>
    <x v="5"/>
    <x v="2"/>
    <x v="5"/>
    <x v="2"/>
    <x v="1"/>
    <x v="4"/>
    <x v="2"/>
    <n v="3"/>
    <m/>
    <n v="3091"/>
    <n v="0"/>
    <n v="4"/>
    <s v="Recovered"/>
    <n v="1"/>
  </r>
  <r>
    <s v="ADM-244067"/>
    <d v="2025-06-11T00:00:00"/>
    <d v="2025-06-13T00:00:00"/>
    <x v="1"/>
    <s v="Q2"/>
    <x v="5"/>
    <x v="2"/>
    <x v="2"/>
    <x v="0"/>
    <x v="0"/>
    <x v="2"/>
    <x v="2"/>
    <n v="2"/>
    <n v="45"/>
    <n v="2599"/>
    <n v="0"/>
    <n v="4"/>
    <s v="Improved"/>
    <n v="1"/>
  </r>
  <r>
    <s v="ADM-244068"/>
    <d v="2025-06-12T00:00:00"/>
    <d v="2025-06-13T00:00:00"/>
    <x v="1"/>
    <s v="Q2"/>
    <x v="5"/>
    <x v="3"/>
    <x v="5"/>
    <x v="2"/>
    <x v="0"/>
    <x v="4"/>
    <x v="2"/>
    <n v="1"/>
    <m/>
    <n v="2010"/>
    <n v="0"/>
    <n v="5"/>
    <s v="Improved"/>
    <n v="1"/>
  </r>
  <r>
    <s v="ADM-244069"/>
    <d v="2025-06-12T00:00:00"/>
    <d v="2025-06-14T00:00:00"/>
    <x v="1"/>
    <s v="Q2"/>
    <x v="5"/>
    <x v="3"/>
    <x v="5"/>
    <x v="2"/>
    <x v="0"/>
    <x v="0"/>
    <x v="2"/>
    <n v="2"/>
    <m/>
    <n v="2167"/>
    <n v="0"/>
    <n v="5"/>
    <s v="Recovered"/>
    <n v="1"/>
  </r>
  <r>
    <s v="ADM-244070"/>
    <d v="2025-06-12T00:00:00"/>
    <d v="2025-06-15T00:00:00"/>
    <x v="1"/>
    <s v="Q2"/>
    <x v="5"/>
    <x v="3"/>
    <x v="1"/>
    <x v="2"/>
    <x v="1"/>
    <x v="2"/>
    <x v="1"/>
    <n v="3"/>
    <m/>
    <n v="3082"/>
    <n v="0"/>
    <n v="5"/>
    <s v="Transferred"/>
    <n v="1"/>
  </r>
  <r>
    <s v="ADM-244071"/>
    <d v="2025-06-12T00:00:00"/>
    <d v="2025-06-17T00:00:00"/>
    <x v="1"/>
    <s v="Q2"/>
    <x v="5"/>
    <x v="3"/>
    <x v="2"/>
    <x v="0"/>
    <x v="0"/>
    <x v="1"/>
    <x v="2"/>
    <n v="5"/>
    <n v="37"/>
    <n v="4952"/>
    <n v="1"/>
    <n v="2"/>
    <s v="Recovered"/>
    <n v="1"/>
  </r>
  <r>
    <s v="ADM-244072"/>
    <d v="2025-06-12T00:00:00"/>
    <d v="2025-06-14T00:00:00"/>
    <x v="1"/>
    <s v="Q2"/>
    <x v="5"/>
    <x v="3"/>
    <x v="4"/>
    <x v="0"/>
    <x v="0"/>
    <x v="2"/>
    <x v="2"/>
    <n v="2"/>
    <n v="101"/>
    <n v="2459"/>
    <n v="0"/>
    <n v="4"/>
    <s v="Recovered"/>
    <n v="1"/>
  </r>
  <r>
    <s v="ADM-244073"/>
    <d v="2025-06-12T00:00:00"/>
    <d v="2025-06-22T00:00:00"/>
    <x v="1"/>
    <s v="Q2"/>
    <x v="5"/>
    <x v="3"/>
    <x v="1"/>
    <x v="2"/>
    <x v="1"/>
    <x v="4"/>
    <x v="2"/>
    <n v="10"/>
    <m/>
    <n v="9252"/>
    <n v="0"/>
    <n v="4"/>
    <s v="Recovered"/>
    <n v="1"/>
  </r>
  <r>
    <s v="ADM-244074"/>
    <d v="2025-06-13T00:00:00"/>
    <d v="2025-06-22T00:00:00"/>
    <x v="1"/>
    <s v="Q2"/>
    <x v="5"/>
    <x v="4"/>
    <x v="5"/>
    <x v="0"/>
    <x v="1"/>
    <x v="0"/>
    <x v="2"/>
    <n v="9"/>
    <n v="24"/>
    <n v="7921"/>
    <n v="0"/>
    <n v="4"/>
    <s v="Recovered"/>
    <n v="1"/>
  </r>
  <r>
    <s v="ADM-244075"/>
    <d v="2025-06-13T00:00:00"/>
    <d v="2025-06-25T00:00:00"/>
    <x v="1"/>
    <s v="Q2"/>
    <x v="5"/>
    <x v="4"/>
    <x v="0"/>
    <x v="2"/>
    <x v="0"/>
    <x v="0"/>
    <x v="0"/>
    <n v="12"/>
    <m/>
    <n v="8671"/>
    <n v="0"/>
    <n v="4"/>
    <s v="Recovered"/>
    <n v="1"/>
  </r>
  <r>
    <s v="ADM-244076"/>
    <d v="2025-06-13T00:00:00"/>
    <d v="2025-06-15T00:00:00"/>
    <x v="1"/>
    <s v="Q2"/>
    <x v="5"/>
    <x v="4"/>
    <x v="1"/>
    <x v="0"/>
    <x v="0"/>
    <x v="4"/>
    <x v="0"/>
    <n v="2"/>
    <n v="22"/>
    <n v="2843"/>
    <n v="0"/>
    <n v="4"/>
    <s v="Recovered"/>
    <n v="1"/>
  </r>
  <r>
    <s v="ADM-244077"/>
    <d v="2025-06-13T00:00:00"/>
    <d v="2025-06-17T00:00:00"/>
    <x v="1"/>
    <s v="Q2"/>
    <x v="5"/>
    <x v="4"/>
    <x v="5"/>
    <x v="2"/>
    <x v="0"/>
    <x v="0"/>
    <x v="0"/>
    <n v="4"/>
    <m/>
    <n v="4185"/>
    <n v="0"/>
    <n v="5"/>
    <s v="Recovered"/>
    <n v="1"/>
  </r>
  <r>
    <s v="ADM-244078"/>
    <d v="2025-06-13T00:00:00"/>
    <d v="2025-06-19T00:00:00"/>
    <x v="1"/>
    <s v="Q2"/>
    <x v="5"/>
    <x v="4"/>
    <x v="0"/>
    <x v="0"/>
    <x v="1"/>
    <x v="1"/>
    <x v="0"/>
    <n v="6"/>
    <n v="15"/>
    <n v="3559"/>
    <n v="0"/>
    <n v="4"/>
    <s v="Recovered"/>
    <n v="1"/>
  </r>
  <r>
    <s v="ADM-244079"/>
    <d v="2025-06-13T00:00:00"/>
    <d v="2025-06-17T00:00:00"/>
    <x v="1"/>
    <s v="Q2"/>
    <x v="5"/>
    <x v="4"/>
    <x v="0"/>
    <x v="0"/>
    <x v="1"/>
    <x v="4"/>
    <x v="2"/>
    <n v="4"/>
    <n v="37"/>
    <n v="3585"/>
    <n v="0"/>
    <n v="4"/>
    <s v="Recovered"/>
    <n v="1"/>
  </r>
  <r>
    <s v="ADM-244080"/>
    <d v="2025-06-13T00:00:00"/>
    <d v="2025-06-18T00:00:00"/>
    <x v="1"/>
    <s v="Q2"/>
    <x v="5"/>
    <x v="4"/>
    <x v="0"/>
    <x v="0"/>
    <x v="1"/>
    <x v="0"/>
    <x v="2"/>
    <n v="5"/>
    <n v="100"/>
    <n v="3647"/>
    <n v="0"/>
    <n v="3"/>
    <s v="Improved"/>
    <n v="1"/>
  </r>
  <r>
    <s v="ADM-244081"/>
    <d v="2025-06-13T00:00:00"/>
    <d v="2025-06-17T00:00:00"/>
    <x v="1"/>
    <s v="Q2"/>
    <x v="5"/>
    <x v="4"/>
    <x v="1"/>
    <x v="2"/>
    <x v="1"/>
    <x v="4"/>
    <x v="0"/>
    <n v="4"/>
    <m/>
    <n v="4085"/>
    <n v="0"/>
    <n v="3"/>
    <s v="Improved"/>
    <n v="1"/>
  </r>
  <r>
    <s v="ADM-244082"/>
    <d v="2025-06-13T00:00:00"/>
    <d v="2025-06-16T00:00:00"/>
    <x v="1"/>
    <s v="Q2"/>
    <x v="5"/>
    <x v="4"/>
    <x v="1"/>
    <x v="0"/>
    <x v="1"/>
    <x v="2"/>
    <x v="2"/>
    <n v="3"/>
    <n v="34"/>
    <n v="2574"/>
    <n v="0"/>
    <n v="5"/>
    <s v="Recovered"/>
    <n v="1"/>
  </r>
  <r>
    <s v="ADM-244083"/>
    <d v="2025-06-13T00:00:00"/>
    <d v="2025-06-15T00:00:00"/>
    <x v="1"/>
    <s v="Q2"/>
    <x v="5"/>
    <x v="4"/>
    <x v="4"/>
    <x v="0"/>
    <x v="0"/>
    <x v="4"/>
    <x v="2"/>
    <n v="2"/>
    <n v="58"/>
    <n v="2886"/>
    <n v="0"/>
    <n v="4"/>
    <s v="Improved"/>
    <n v="1"/>
  </r>
  <r>
    <s v="ADM-244084"/>
    <d v="2025-06-13T00:00:00"/>
    <d v="2025-06-16T00:00:00"/>
    <x v="1"/>
    <s v="Q2"/>
    <x v="5"/>
    <x v="4"/>
    <x v="0"/>
    <x v="0"/>
    <x v="0"/>
    <x v="0"/>
    <x v="0"/>
    <n v="3"/>
    <n v="206"/>
    <n v="2894"/>
    <n v="0"/>
    <n v="2"/>
    <s v="Recovered"/>
    <n v="1"/>
  </r>
  <r>
    <s v="ADM-244085"/>
    <d v="2025-06-14T00:00:00"/>
    <d v="2025-06-15T00:00:00"/>
    <x v="1"/>
    <s v="Q2"/>
    <x v="5"/>
    <x v="5"/>
    <x v="2"/>
    <x v="0"/>
    <x v="0"/>
    <x v="1"/>
    <x v="2"/>
    <n v="1"/>
    <n v="56"/>
    <n v="1619"/>
    <n v="0"/>
    <n v="4"/>
    <s v="Recovered"/>
    <n v="1"/>
  </r>
  <r>
    <s v="ADM-244086"/>
    <d v="2025-06-14T00:00:00"/>
    <d v="2025-06-18T00:00:00"/>
    <x v="1"/>
    <s v="Q2"/>
    <x v="5"/>
    <x v="5"/>
    <x v="1"/>
    <x v="2"/>
    <x v="0"/>
    <x v="2"/>
    <x v="2"/>
    <n v="4"/>
    <m/>
    <n v="5320"/>
    <n v="0"/>
    <n v="5"/>
    <s v="Improved"/>
    <n v="1"/>
  </r>
  <r>
    <s v="ADM-244087"/>
    <d v="2025-06-14T00:00:00"/>
    <d v="2025-06-15T00:00:00"/>
    <x v="1"/>
    <s v="Q2"/>
    <x v="5"/>
    <x v="5"/>
    <x v="2"/>
    <x v="0"/>
    <x v="0"/>
    <x v="1"/>
    <x v="2"/>
    <n v="1"/>
    <n v="31"/>
    <n v="1537"/>
    <n v="0"/>
    <n v="4"/>
    <s v="Recovered"/>
    <n v="1"/>
  </r>
  <r>
    <s v="ADM-244088"/>
    <d v="2025-06-14T00:00:00"/>
    <d v="2025-06-21T00:00:00"/>
    <x v="1"/>
    <s v="Q2"/>
    <x v="5"/>
    <x v="5"/>
    <x v="5"/>
    <x v="0"/>
    <x v="1"/>
    <x v="0"/>
    <x v="0"/>
    <n v="7"/>
    <n v="68"/>
    <n v="6600"/>
    <n v="0"/>
    <n v="3"/>
    <s v="Recovered"/>
    <n v="1"/>
  </r>
  <r>
    <s v="ADM-244089"/>
    <d v="2025-06-14T00:00:00"/>
    <d v="2025-06-17T00:00:00"/>
    <x v="1"/>
    <s v="Q2"/>
    <x v="5"/>
    <x v="5"/>
    <x v="1"/>
    <x v="2"/>
    <x v="0"/>
    <x v="1"/>
    <x v="2"/>
    <n v="3"/>
    <m/>
    <n v="3440"/>
    <n v="1"/>
    <n v="3"/>
    <s v="Recovered"/>
    <n v="1"/>
  </r>
  <r>
    <s v="ADM-244090"/>
    <d v="2025-06-15T00:00:00"/>
    <d v="2025-06-17T00:00:00"/>
    <x v="1"/>
    <s v="Q2"/>
    <x v="5"/>
    <x v="6"/>
    <x v="3"/>
    <x v="0"/>
    <x v="0"/>
    <x v="3"/>
    <x v="2"/>
    <n v="2"/>
    <n v="33"/>
    <n v="1821"/>
    <n v="0"/>
    <n v="4"/>
    <s v="Recovered"/>
    <n v="1"/>
  </r>
  <r>
    <s v="ADM-244091"/>
    <d v="2025-06-15T00:00:00"/>
    <d v="2025-06-21T00:00:00"/>
    <x v="1"/>
    <s v="Q2"/>
    <x v="5"/>
    <x v="6"/>
    <x v="1"/>
    <x v="2"/>
    <x v="1"/>
    <x v="4"/>
    <x v="0"/>
    <n v="6"/>
    <m/>
    <n v="7778"/>
    <n v="0"/>
    <n v="4"/>
    <s v="Improved"/>
    <n v="1"/>
  </r>
  <r>
    <s v="ADM-244092"/>
    <d v="2025-06-15T00:00:00"/>
    <d v="2025-06-19T00:00:00"/>
    <x v="1"/>
    <s v="Q2"/>
    <x v="5"/>
    <x v="6"/>
    <x v="1"/>
    <x v="0"/>
    <x v="0"/>
    <x v="4"/>
    <x v="0"/>
    <n v="4"/>
    <n v="32"/>
    <n v="4548"/>
    <n v="0"/>
    <n v="4"/>
    <s v="Improved"/>
    <n v="1"/>
  </r>
  <r>
    <s v="ADM-244093"/>
    <d v="2025-06-15T00:00:00"/>
    <d v="2025-06-17T00:00:00"/>
    <x v="1"/>
    <s v="Q2"/>
    <x v="5"/>
    <x v="6"/>
    <x v="3"/>
    <x v="0"/>
    <x v="1"/>
    <x v="3"/>
    <x v="2"/>
    <n v="2"/>
    <n v="27"/>
    <n v="2216"/>
    <n v="0"/>
    <n v="5"/>
    <s v="Recovered"/>
    <n v="1"/>
  </r>
  <r>
    <s v="ADM-244094"/>
    <d v="2025-06-16T00:00:00"/>
    <d v="2025-06-17T00:00:00"/>
    <x v="1"/>
    <s v="Q2"/>
    <x v="5"/>
    <x v="0"/>
    <x v="3"/>
    <x v="0"/>
    <x v="1"/>
    <x v="3"/>
    <x v="0"/>
    <n v="1"/>
    <n v="61"/>
    <n v="1527"/>
    <n v="0"/>
    <n v="5"/>
    <s v="Recovered"/>
    <n v="1"/>
  </r>
  <r>
    <s v="ADM-244095"/>
    <d v="2025-06-16T00:00:00"/>
    <d v="2025-06-20T00:00:00"/>
    <x v="1"/>
    <s v="Q2"/>
    <x v="5"/>
    <x v="0"/>
    <x v="3"/>
    <x v="2"/>
    <x v="1"/>
    <x v="3"/>
    <x v="1"/>
    <n v="4"/>
    <m/>
    <n v="2778"/>
    <n v="0"/>
    <n v="4"/>
    <s v="Recovered"/>
    <n v="1"/>
  </r>
  <r>
    <s v="ADM-244096"/>
    <d v="2025-06-16T00:00:00"/>
    <d v="2025-06-20T00:00:00"/>
    <x v="1"/>
    <s v="Q2"/>
    <x v="5"/>
    <x v="0"/>
    <x v="3"/>
    <x v="0"/>
    <x v="1"/>
    <x v="3"/>
    <x v="2"/>
    <n v="4"/>
    <n v="24"/>
    <n v="2405"/>
    <n v="1"/>
    <n v="4"/>
    <s v="Recovered"/>
    <n v="1"/>
  </r>
  <r>
    <s v="ADM-244097"/>
    <d v="2025-06-16T00:00:00"/>
    <d v="2025-06-22T00:00:00"/>
    <x v="1"/>
    <s v="Q2"/>
    <x v="5"/>
    <x v="0"/>
    <x v="4"/>
    <x v="0"/>
    <x v="0"/>
    <x v="1"/>
    <x v="0"/>
    <n v="6"/>
    <n v="143"/>
    <n v="8031"/>
    <n v="0"/>
    <n v="4"/>
    <s v="Recovered"/>
    <n v="1"/>
  </r>
  <r>
    <s v="ADM-244098"/>
    <d v="2025-06-16T00:00:00"/>
    <d v="2025-06-18T00:00:00"/>
    <x v="1"/>
    <s v="Q2"/>
    <x v="5"/>
    <x v="0"/>
    <x v="2"/>
    <x v="0"/>
    <x v="0"/>
    <x v="2"/>
    <x v="1"/>
    <n v="2"/>
    <n v="62"/>
    <n v="2055"/>
    <n v="0"/>
    <n v="4"/>
    <s v="Improved"/>
    <n v="1"/>
  </r>
  <r>
    <s v="ADM-244099"/>
    <d v="2025-06-17T00:00:00"/>
    <d v="2025-06-19T00:00:00"/>
    <x v="1"/>
    <s v="Q2"/>
    <x v="5"/>
    <x v="1"/>
    <x v="3"/>
    <x v="2"/>
    <x v="1"/>
    <x v="3"/>
    <x v="2"/>
    <n v="2"/>
    <m/>
    <n v="2023"/>
    <n v="0"/>
    <n v="5"/>
    <s v="Recovered"/>
    <n v="1"/>
  </r>
  <r>
    <s v="ADM-244100"/>
    <d v="2025-06-17T00:00:00"/>
    <d v="2025-06-20T00:00:00"/>
    <x v="1"/>
    <s v="Q2"/>
    <x v="5"/>
    <x v="1"/>
    <x v="2"/>
    <x v="0"/>
    <x v="0"/>
    <x v="2"/>
    <x v="2"/>
    <n v="3"/>
    <n v="35"/>
    <n v="2877"/>
    <n v="0"/>
    <n v="3"/>
    <s v="Improved"/>
    <n v="1"/>
  </r>
  <r>
    <s v="ADM-244101"/>
    <d v="2025-06-17T00:00:00"/>
    <d v="2025-06-22T00:00:00"/>
    <x v="1"/>
    <s v="Q2"/>
    <x v="5"/>
    <x v="1"/>
    <x v="2"/>
    <x v="0"/>
    <x v="0"/>
    <x v="1"/>
    <x v="2"/>
    <n v="5"/>
    <n v="33"/>
    <n v="4192"/>
    <n v="0"/>
    <n v="3"/>
    <s v="Transferred"/>
    <n v="1"/>
  </r>
  <r>
    <s v="ADM-244102"/>
    <d v="2025-06-17T00:00:00"/>
    <d v="2025-06-23T00:00:00"/>
    <x v="1"/>
    <s v="Q2"/>
    <x v="5"/>
    <x v="1"/>
    <x v="3"/>
    <x v="0"/>
    <x v="0"/>
    <x v="3"/>
    <x v="0"/>
    <n v="6"/>
    <n v="48"/>
    <n v="5780"/>
    <n v="0"/>
    <n v="4"/>
    <s v="Recovered"/>
    <n v="1"/>
  </r>
  <r>
    <s v="ADM-244103"/>
    <d v="2025-06-17T00:00:00"/>
    <d v="2025-07-02T00:00:00"/>
    <x v="1"/>
    <s v="Q2"/>
    <x v="5"/>
    <x v="1"/>
    <x v="0"/>
    <x v="0"/>
    <x v="1"/>
    <x v="1"/>
    <x v="0"/>
    <n v="15"/>
    <n v="63"/>
    <n v="8629"/>
    <n v="0"/>
    <n v="4"/>
    <s v="Recovered"/>
    <n v="1"/>
  </r>
  <r>
    <s v="ADM-244104"/>
    <d v="2025-06-17T00:00:00"/>
    <d v="2025-06-21T00:00:00"/>
    <x v="1"/>
    <s v="Q2"/>
    <x v="5"/>
    <x v="1"/>
    <x v="2"/>
    <x v="0"/>
    <x v="0"/>
    <x v="1"/>
    <x v="2"/>
    <n v="4"/>
    <n v="37"/>
    <n v="3312"/>
    <n v="0"/>
    <n v="5"/>
    <s v="Recovered"/>
    <n v="1"/>
  </r>
  <r>
    <s v="ADM-244105"/>
    <d v="2025-06-17T00:00:00"/>
    <d v="2025-06-20T00:00:00"/>
    <x v="1"/>
    <s v="Q2"/>
    <x v="5"/>
    <x v="1"/>
    <x v="2"/>
    <x v="0"/>
    <x v="0"/>
    <x v="1"/>
    <x v="0"/>
    <n v="3"/>
    <n v="59"/>
    <n v="3486"/>
    <n v="0"/>
    <n v="4"/>
    <s v="Recovered"/>
    <n v="1"/>
  </r>
  <r>
    <s v="ADM-244106"/>
    <d v="2025-06-17T00:00:00"/>
    <d v="2025-06-24T00:00:00"/>
    <x v="1"/>
    <s v="Q2"/>
    <x v="5"/>
    <x v="1"/>
    <x v="1"/>
    <x v="0"/>
    <x v="0"/>
    <x v="1"/>
    <x v="0"/>
    <n v="7"/>
    <n v="67"/>
    <n v="7472"/>
    <n v="0"/>
    <n v="5"/>
    <s v="Improved"/>
    <n v="1"/>
  </r>
  <r>
    <s v="ADM-244107"/>
    <d v="2025-06-18T00:00:00"/>
    <d v="2025-06-20T00:00:00"/>
    <x v="1"/>
    <s v="Q2"/>
    <x v="5"/>
    <x v="2"/>
    <x v="0"/>
    <x v="2"/>
    <x v="0"/>
    <x v="2"/>
    <x v="1"/>
    <n v="2"/>
    <m/>
    <n v="2489"/>
    <n v="1"/>
    <n v="5"/>
    <s v="Improved"/>
    <n v="1"/>
  </r>
  <r>
    <s v="ADM-244108"/>
    <d v="2025-06-18T00:00:00"/>
    <d v="2025-06-21T00:00:00"/>
    <x v="1"/>
    <s v="Q2"/>
    <x v="5"/>
    <x v="2"/>
    <x v="5"/>
    <x v="2"/>
    <x v="1"/>
    <x v="0"/>
    <x v="2"/>
    <n v="3"/>
    <m/>
    <n v="4077"/>
    <n v="0"/>
    <n v="5"/>
    <s v="Recovered"/>
    <n v="1"/>
  </r>
  <r>
    <s v="ADM-244109"/>
    <d v="2025-06-18T00:00:00"/>
    <d v="2025-06-21T00:00:00"/>
    <x v="1"/>
    <s v="Q2"/>
    <x v="5"/>
    <x v="2"/>
    <x v="0"/>
    <x v="2"/>
    <x v="0"/>
    <x v="1"/>
    <x v="0"/>
    <n v="3"/>
    <m/>
    <n v="2797"/>
    <n v="0"/>
    <n v="5"/>
    <s v="Recovered"/>
    <n v="1"/>
  </r>
  <r>
    <s v="ADM-244110"/>
    <d v="2025-06-19T00:00:00"/>
    <d v="2025-06-23T00:00:00"/>
    <x v="1"/>
    <s v="Q2"/>
    <x v="5"/>
    <x v="3"/>
    <x v="4"/>
    <x v="2"/>
    <x v="0"/>
    <x v="0"/>
    <x v="2"/>
    <n v="4"/>
    <m/>
    <n v="4802"/>
    <n v="1"/>
    <n v="3"/>
    <s v="Recovered"/>
    <n v="1"/>
  </r>
  <r>
    <s v="ADM-244111"/>
    <d v="2025-06-19T00:00:00"/>
    <d v="2025-06-23T00:00:00"/>
    <x v="1"/>
    <s v="Q2"/>
    <x v="5"/>
    <x v="3"/>
    <x v="1"/>
    <x v="2"/>
    <x v="1"/>
    <x v="1"/>
    <x v="2"/>
    <n v="4"/>
    <m/>
    <n v="5484"/>
    <n v="0"/>
    <n v="4"/>
    <s v="Improved"/>
    <n v="1"/>
  </r>
  <r>
    <s v="ADM-244112"/>
    <d v="2025-06-19T00:00:00"/>
    <d v="2025-06-23T00:00:00"/>
    <x v="1"/>
    <s v="Q2"/>
    <x v="5"/>
    <x v="3"/>
    <x v="0"/>
    <x v="2"/>
    <x v="1"/>
    <x v="2"/>
    <x v="2"/>
    <n v="4"/>
    <m/>
    <n v="3781"/>
    <n v="0"/>
    <n v="4"/>
    <s v="Improved"/>
    <n v="1"/>
  </r>
  <r>
    <s v="ADM-244113"/>
    <d v="2025-06-19T00:00:00"/>
    <d v="2025-06-21T00:00:00"/>
    <x v="1"/>
    <s v="Q2"/>
    <x v="5"/>
    <x v="3"/>
    <x v="0"/>
    <x v="2"/>
    <x v="0"/>
    <x v="4"/>
    <x v="2"/>
    <n v="2"/>
    <m/>
    <n v="2198"/>
    <n v="0"/>
    <n v="4"/>
    <s v="Recovered"/>
    <n v="1"/>
  </r>
  <r>
    <s v="ADM-244114"/>
    <d v="2025-06-19T00:00:00"/>
    <d v="2025-06-24T00:00:00"/>
    <x v="1"/>
    <s v="Q2"/>
    <x v="5"/>
    <x v="3"/>
    <x v="4"/>
    <x v="2"/>
    <x v="1"/>
    <x v="4"/>
    <x v="0"/>
    <n v="5"/>
    <m/>
    <n v="8440"/>
    <n v="0"/>
    <n v="3"/>
    <s v="Recovered"/>
    <n v="1"/>
  </r>
  <r>
    <s v="ADM-244115"/>
    <d v="2025-06-19T00:00:00"/>
    <d v="2025-06-23T00:00:00"/>
    <x v="1"/>
    <s v="Q2"/>
    <x v="5"/>
    <x v="3"/>
    <x v="1"/>
    <x v="2"/>
    <x v="0"/>
    <x v="0"/>
    <x v="0"/>
    <n v="4"/>
    <m/>
    <n v="4467"/>
    <n v="0"/>
    <n v="5"/>
    <s v="Improved"/>
    <n v="1"/>
  </r>
  <r>
    <s v="ADM-244116"/>
    <d v="2025-06-20T00:00:00"/>
    <d v="2025-06-27T00:00:00"/>
    <x v="1"/>
    <s v="Q2"/>
    <x v="5"/>
    <x v="4"/>
    <x v="4"/>
    <x v="2"/>
    <x v="0"/>
    <x v="1"/>
    <x v="0"/>
    <n v="7"/>
    <m/>
    <n v="11136"/>
    <n v="0"/>
    <n v="5"/>
    <s v="Recovered"/>
    <n v="1"/>
  </r>
  <r>
    <s v="ADM-244117"/>
    <d v="2025-06-20T00:00:00"/>
    <d v="2025-06-26T00:00:00"/>
    <x v="1"/>
    <s v="Q2"/>
    <x v="5"/>
    <x v="4"/>
    <x v="0"/>
    <x v="0"/>
    <x v="0"/>
    <x v="2"/>
    <x v="0"/>
    <n v="6"/>
    <n v="16"/>
    <n v="3955"/>
    <n v="0"/>
    <n v="4"/>
    <s v="Improved"/>
    <n v="1"/>
  </r>
  <r>
    <s v="ADM-244118"/>
    <d v="2025-06-20T00:00:00"/>
    <d v="2025-07-10T00:00:00"/>
    <x v="1"/>
    <s v="Q2"/>
    <x v="5"/>
    <x v="4"/>
    <x v="4"/>
    <x v="0"/>
    <x v="0"/>
    <x v="0"/>
    <x v="0"/>
    <n v="20"/>
    <n v="53"/>
    <n v="25167"/>
    <n v="0"/>
    <n v="4"/>
    <s v="Recovered"/>
    <n v="1"/>
  </r>
  <r>
    <s v="ADM-244119"/>
    <d v="2025-06-20T00:00:00"/>
    <d v="2025-06-24T00:00:00"/>
    <x v="1"/>
    <s v="Q2"/>
    <x v="5"/>
    <x v="4"/>
    <x v="3"/>
    <x v="0"/>
    <x v="1"/>
    <x v="3"/>
    <x v="0"/>
    <n v="4"/>
    <n v="70"/>
    <n v="2993"/>
    <n v="0"/>
    <n v="5"/>
    <s v="Improved"/>
    <n v="1"/>
  </r>
  <r>
    <s v="ADM-244120"/>
    <d v="2025-06-20T00:00:00"/>
    <d v="2025-06-24T00:00:00"/>
    <x v="1"/>
    <s v="Q2"/>
    <x v="5"/>
    <x v="4"/>
    <x v="1"/>
    <x v="0"/>
    <x v="1"/>
    <x v="4"/>
    <x v="1"/>
    <n v="4"/>
    <n v="113"/>
    <n v="5054"/>
    <n v="0"/>
    <n v="3"/>
    <s v="Transferred"/>
    <n v="1"/>
  </r>
  <r>
    <s v="ADM-244121"/>
    <d v="2025-06-20T00:00:00"/>
    <d v="2025-06-22T00:00:00"/>
    <x v="1"/>
    <s v="Q2"/>
    <x v="5"/>
    <x v="4"/>
    <x v="1"/>
    <x v="2"/>
    <x v="1"/>
    <x v="4"/>
    <x v="2"/>
    <n v="2"/>
    <m/>
    <n v="2567"/>
    <n v="0"/>
    <n v="4"/>
    <s v="Recovered"/>
    <n v="1"/>
  </r>
  <r>
    <s v="ADM-244122"/>
    <d v="2025-06-20T00:00:00"/>
    <d v="2025-06-23T00:00:00"/>
    <x v="1"/>
    <s v="Q2"/>
    <x v="5"/>
    <x v="4"/>
    <x v="2"/>
    <x v="2"/>
    <x v="0"/>
    <x v="1"/>
    <x v="0"/>
    <n v="3"/>
    <m/>
    <n v="2617"/>
    <n v="0"/>
    <n v="5"/>
    <s v="Transferred"/>
    <n v="1"/>
  </r>
  <r>
    <s v="ADM-244123"/>
    <d v="2025-06-21T00:00:00"/>
    <d v="2025-06-22T00:00:00"/>
    <x v="1"/>
    <s v="Q2"/>
    <x v="5"/>
    <x v="5"/>
    <x v="2"/>
    <x v="0"/>
    <x v="0"/>
    <x v="1"/>
    <x v="2"/>
    <n v="1"/>
    <n v="58"/>
    <n v="1506"/>
    <n v="0"/>
    <n v="5"/>
    <s v="Recovered"/>
    <n v="1"/>
  </r>
  <r>
    <s v="ADM-244124"/>
    <d v="2025-06-21T00:00:00"/>
    <d v="2025-06-30T00:00:00"/>
    <x v="1"/>
    <s v="Q2"/>
    <x v="5"/>
    <x v="5"/>
    <x v="5"/>
    <x v="2"/>
    <x v="1"/>
    <x v="1"/>
    <x v="2"/>
    <n v="9"/>
    <m/>
    <n v="7649"/>
    <n v="0"/>
    <n v="4"/>
    <s v="Recovered"/>
    <n v="1"/>
  </r>
  <r>
    <s v="ADM-244125"/>
    <d v="2025-06-21T00:00:00"/>
    <d v="2025-06-25T00:00:00"/>
    <x v="1"/>
    <s v="Q2"/>
    <x v="5"/>
    <x v="5"/>
    <x v="3"/>
    <x v="2"/>
    <x v="0"/>
    <x v="3"/>
    <x v="1"/>
    <n v="4"/>
    <m/>
    <n v="2819"/>
    <n v="0"/>
    <n v="3"/>
    <s v="Recovered"/>
    <n v="1"/>
  </r>
  <r>
    <s v="ADM-244126"/>
    <d v="2025-06-21T00:00:00"/>
    <d v="2025-06-25T00:00:00"/>
    <x v="1"/>
    <s v="Q2"/>
    <x v="5"/>
    <x v="5"/>
    <x v="5"/>
    <x v="2"/>
    <x v="1"/>
    <x v="4"/>
    <x v="2"/>
    <n v="4"/>
    <m/>
    <n v="4353"/>
    <n v="0"/>
    <n v="4"/>
    <s v="Recovered"/>
    <n v="1"/>
  </r>
  <r>
    <s v="ADM-244127"/>
    <d v="2025-06-21T00:00:00"/>
    <d v="2025-06-30T00:00:00"/>
    <x v="1"/>
    <s v="Q2"/>
    <x v="5"/>
    <x v="5"/>
    <x v="0"/>
    <x v="0"/>
    <x v="0"/>
    <x v="2"/>
    <x v="2"/>
    <n v="9"/>
    <n v="79"/>
    <n v="8692"/>
    <n v="0"/>
    <n v="4"/>
    <s v="Recovered"/>
    <n v="1"/>
  </r>
  <r>
    <s v="ADM-244128"/>
    <d v="2025-06-22T00:00:00"/>
    <d v="2025-06-23T00:00:00"/>
    <x v="1"/>
    <s v="Q2"/>
    <x v="5"/>
    <x v="6"/>
    <x v="2"/>
    <x v="0"/>
    <x v="0"/>
    <x v="2"/>
    <x v="2"/>
    <n v="1"/>
    <n v="40"/>
    <n v="816"/>
    <n v="0"/>
    <n v="3"/>
    <s v="Recovered"/>
    <n v="1"/>
  </r>
  <r>
    <s v="ADM-244129"/>
    <d v="2025-06-22T00:00:00"/>
    <d v="2025-07-06T00:00:00"/>
    <x v="1"/>
    <s v="Q2"/>
    <x v="5"/>
    <x v="6"/>
    <x v="0"/>
    <x v="0"/>
    <x v="0"/>
    <x v="0"/>
    <x v="1"/>
    <n v="14"/>
    <n v="26"/>
    <n v="8355"/>
    <n v="1"/>
    <n v="4"/>
    <s v="Recovered"/>
    <n v="1"/>
  </r>
  <r>
    <s v="ADM-244130"/>
    <d v="2025-06-22T00:00:00"/>
    <d v="2025-07-07T00:00:00"/>
    <x v="1"/>
    <s v="Q2"/>
    <x v="5"/>
    <x v="6"/>
    <x v="4"/>
    <x v="0"/>
    <x v="1"/>
    <x v="0"/>
    <x v="2"/>
    <n v="15"/>
    <n v="72"/>
    <n v="18920"/>
    <n v="0"/>
    <n v="2"/>
    <s v="Improved"/>
    <n v="1"/>
  </r>
  <r>
    <s v="ADM-244131"/>
    <d v="2025-06-22T00:00:00"/>
    <d v="2025-06-28T00:00:00"/>
    <x v="1"/>
    <s v="Q2"/>
    <x v="5"/>
    <x v="6"/>
    <x v="0"/>
    <x v="0"/>
    <x v="1"/>
    <x v="0"/>
    <x v="2"/>
    <n v="6"/>
    <n v="41"/>
    <n v="4991"/>
    <n v="0"/>
    <n v="4"/>
    <s v="Improved"/>
    <n v="1"/>
  </r>
  <r>
    <s v="ADM-244132"/>
    <d v="2025-06-22T00:00:00"/>
    <d v="2025-06-25T00:00:00"/>
    <x v="1"/>
    <s v="Q2"/>
    <x v="5"/>
    <x v="6"/>
    <x v="0"/>
    <x v="2"/>
    <x v="0"/>
    <x v="1"/>
    <x v="1"/>
    <n v="3"/>
    <m/>
    <n v="2952"/>
    <n v="0"/>
    <n v="4"/>
    <s v="Improved"/>
    <n v="1"/>
  </r>
  <r>
    <s v="ADM-244133"/>
    <d v="2025-06-23T00:00:00"/>
    <d v="2025-07-06T00:00:00"/>
    <x v="1"/>
    <s v="Q2"/>
    <x v="5"/>
    <x v="0"/>
    <x v="4"/>
    <x v="2"/>
    <x v="1"/>
    <x v="0"/>
    <x v="2"/>
    <n v="13"/>
    <m/>
    <n v="14439"/>
    <n v="0"/>
    <n v="3"/>
    <s v="Recovered"/>
    <n v="1"/>
  </r>
  <r>
    <s v="ADM-244134"/>
    <d v="2025-06-23T00:00:00"/>
    <d v="2025-06-29T00:00:00"/>
    <x v="1"/>
    <s v="Q2"/>
    <x v="5"/>
    <x v="0"/>
    <x v="0"/>
    <x v="2"/>
    <x v="1"/>
    <x v="0"/>
    <x v="0"/>
    <n v="6"/>
    <m/>
    <n v="3685"/>
    <n v="0"/>
    <n v="5"/>
    <s v="Recovered"/>
    <n v="1"/>
  </r>
  <r>
    <s v="ADM-244135"/>
    <d v="2025-06-23T00:00:00"/>
    <d v="2025-06-29T00:00:00"/>
    <x v="1"/>
    <s v="Q2"/>
    <x v="5"/>
    <x v="0"/>
    <x v="0"/>
    <x v="0"/>
    <x v="0"/>
    <x v="1"/>
    <x v="1"/>
    <n v="6"/>
    <n v="39"/>
    <n v="4314"/>
    <n v="0"/>
    <n v="4"/>
    <s v="Recovered"/>
    <n v="1"/>
  </r>
  <r>
    <s v="ADM-244136"/>
    <d v="2025-06-23T00:00:00"/>
    <d v="2025-06-29T00:00:00"/>
    <x v="1"/>
    <s v="Q2"/>
    <x v="5"/>
    <x v="0"/>
    <x v="5"/>
    <x v="0"/>
    <x v="1"/>
    <x v="1"/>
    <x v="0"/>
    <n v="6"/>
    <n v="32"/>
    <n v="5465"/>
    <n v="0"/>
    <n v="5"/>
    <s v="Recovered"/>
    <n v="1"/>
  </r>
  <r>
    <s v="ADM-244137"/>
    <d v="2025-06-23T00:00:00"/>
    <d v="2025-06-28T00:00:00"/>
    <x v="1"/>
    <s v="Q2"/>
    <x v="5"/>
    <x v="0"/>
    <x v="2"/>
    <x v="0"/>
    <x v="0"/>
    <x v="1"/>
    <x v="2"/>
    <n v="5"/>
    <n v="39"/>
    <n v="3769"/>
    <n v="0"/>
    <n v="4"/>
    <s v="Improved"/>
    <n v="1"/>
  </r>
  <r>
    <s v="ADM-244138"/>
    <d v="2025-06-23T00:00:00"/>
    <d v="2025-06-26T00:00:00"/>
    <x v="1"/>
    <s v="Q2"/>
    <x v="5"/>
    <x v="0"/>
    <x v="4"/>
    <x v="1"/>
    <x v="1"/>
    <x v="4"/>
    <x v="0"/>
    <n v="3"/>
    <m/>
    <n v="4533"/>
    <n v="0"/>
    <n v="4"/>
    <s v="Recovered"/>
    <n v="1"/>
  </r>
  <r>
    <s v="ADM-244139"/>
    <d v="2025-06-23T00:00:00"/>
    <d v="2025-06-26T00:00:00"/>
    <x v="1"/>
    <s v="Q2"/>
    <x v="5"/>
    <x v="0"/>
    <x v="5"/>
    <x v="2"/>
    <x v="0"/>
    <x v="0"/>
    <x v="2"/>
    <n v="3"/>
    <m/>
    <n v="3475"/>
    <n v="0"/>
    <n v="4"/>
    <s v="Improved"/>
    <n v="1"/>
  </r>
  <r>
    <s v="ADM-244140"/>
    <d v="2025-06-24T00:00:00"/>
    <d v="2025-07-02T00:00:00"/>
    <x v="1"/>
    <s v="Q2"/>
    <x v="5"/>
    <x v="1"/>
    <x v="1"/>
    <x v="2"/>
    <x v="1"/>
    <x v="0"/>
    <x v="0"/>
    <n v="8"/>
    <m/>
    <n v="10224"/>
    <n v="0"/>
    <n v="4"/>
    <s v="Improved"/>
    <n v="1"/>
  </r>
  <r>
    <s v="ADM-244141"/>
    <d v="2025-06-24T00:00:00"/>
    <d v="2025-06-28T00:00:00"/>
    <x v="1"/>
    <s v="Q2"/>
    <x v="5"/>
    <x v="1"/>
    <x v="5"/>
    <x v="2"/>
    <x v="1"/>
    <x v="2"/>
    <x v="1"/>
    <n v="4"/>
    <m/>
    <n v="4198"/>
    <n v="0"/>
    <n v="5"/>
    <s v="Recovered"/>
    <n v="1"/>
  </r>
  <r>
    <s v="ADM-244142"/>
    <d v="2025-06-24T00:00:00"/>
    <d v="2025-07-04T00:00:00"/>
    <x v="1"/>
    <s v="Q2"/>
    <x v="5"/>
    <x v="1"/>
    <x v="0"/>
    <x v="0"/>
    <x v="0"/>
    <x v="2"/>
    <x v="2"/>
    <n v="10"/>
    <n v="51"/>
    <n v="7891"/>
    <n v="0"/>
    <n v="4"/>
    <s v="Improved"/>
    <n v="1"/>
  </r>
  <r>
    <s v="ADM-244143"/>
    <d v="2025-06-24T00:00:00"/>
    <d v="2025-06-27T00:00:00"/>
    <x v="1"/>
    <s v="Q2"/>
    <x v="5"/>
    <x v="1"/>
    <x v="2"/>
    <x v="2"/>
    <x v="0"/>
    <x v="1"/>
    <x v="0"/>
    <n v="3"/>
    <m/>
    <n v="3149"/>
    <n v="0"/>
    <n v="5"/>
    <s v="Recovered"/>
    <n v="1"/>
  </r>
  <r>
    <s v="ADM-244144"/>
    <d v="2025-06-24T00:00:00"/>
    <d v="2025-06-28T00:00:00"/>
    <x v="1"/>
    <s v="Q2"/>
    <x v="5"/>
    <x v="1"/>
    <x v="3"/>
    <x v="2"/>
    <x v="0"/>
    <x v="3"/>
    <x v="2"/>
    <n v="4"/>
    <m/>
    <n v="3306"/>
    <n v="0"/>
    <n v="5"/>
    <s v="Recovered"/>
    <n v="1"/>
  </r>
  <r>
    <s v="ADM-244145"/>
    <d v="2025-06-24T00:00:00"/>
    <d v="2025-06-26T00:00:00"/>
    <x v="1"/>
    <s v="Q2"/>
    <x v="5"/>
    <x v="1"/>
    <x v="0"/>
    <x v="0"/>
    <x v="1"/>
    <x v="1"/>
    <x v="2"/>
    <n v="2"/>
    <n v="53"/>
    <n v="2444"/>
    <n v="0"/>
    <n v="2"/>
    <s v="Improved"/>
    <n v="1"/>
  </r>
  <r>
    <s v="ADM-244146"/>
    <d v="2025-06-24T00:00:00"/>
    <d v="2025-06-28T00:00:00"/>
    <x v="1"/>
    <s v="Q2"/>
    <x v="5"/>
    <x v="1"/>
    <x v="2"/>
    <x v="0"/>
    <x v="0"/>
    <x v="2"/>
    <x v="0"/>
    <n v="4"/>
    <n v="36"/>
    <n v="2649"/>
    <n v="0"/>
    <n v="5"/>
    <s v="Recovered"/>
    <n v="1"/>
  </r>
  <r>
    <s v="ADM-244147"/>
    <d v="2025-06-25T00:00:00"/>
    <d v="2025-07-01T00:00:00"/>
    <x v="1"/>
    <s v="Q2"/>
    <x v="5"/>
    <x v="2"/>
    <x v="4"/>
    <x v="0"/>
    <x v="0"/>
    <x v="4"/>
    <x v="0"/>
    <n v="6"/>
    <n v="56"/>
    <n v="9185"/>
    <n v="0"/>
    <n v="4"/>
    <s v="Improved"/>
    <n v="1"/>
  </r>
  <r>
    <s v="ADM-244148"/>
    <d v="2025-06-25T00:00:00"/>
    <d v="2025-06-27T00:00:00"/>
    <x v="1"/>
    <s v="Q2"/>
    <x v="5"/>
    <x v="2"/>
    <x v="1"/>
    <x v="2"/>
    <x v="0"/>
    <x v="1"/>
    <x v="2"/>
    <n v="2"/>
    <m/>
    <n v="2850"/>
    <n v="0"/>
    <n v="3"/>
    <s v="Recovered"/>
    <n v="1"/>
  </r>
  <r>
    <s v="ADM-244149"/>
    <d v="2025-06-25T00:00:00"/>
    <d v="2025-06-27T00:00:00"/>
    <x v="1"/>
    <s v="Q2"/>
    <x v="5"/>
    <x v="2"/>
    <x v="4"/>
    <x v="0"/>
    <x v="1"/>
    <x v="0"/>
    <x v="0"/>
    <n v="2"/>
    <n v="48"/>
    <n v="2939"/>
    <n v="1"/>
    <n v="3"/>
    <s v="Improved"/>
    <n v="1"/>
  </r>
  <r>
    <s v="ADM-244150"/>
    <d v="2025-06-25T00:00:00"/>
    <d v="2025-07-03T00:00:00"/>
    <x v="1"/>
    <s v="Q2"/>
    <x v="5"/>
    <x v="2"/>
    <x v="0"/>
    <x v="0"/>
    <x v="1"/>
    <x v="4"/>
    <x v="2"/>
    <n v="8"/>
    <n v="15"/>
    <n v="5632"/>
    <n v="0"/>
    <n v="4"/>
    <s v="Recovered"/>
    <n v="1"/>
  </r>
  <r>
    <s v="ADM-244151"/>
    <d v="2025-06-26T00:00:00"/>
    <d v="2025-06-30T00:00:00"/>
    <x v="1"/>
    <s v="Q2"/>
    <x v="5"/>
    <x v="3"/>
    <x v="0"/>
    <x v="0"/>
    <x v="0"/>
    <x v="4"/>
    <x v="2"/>
    <n v="4"/>
    <n v="73"/>
    <n v="4239"/>
    <n v="0"/>
    <n v="5"/>
    <s v="Recovered"/>
    <n v="1"/>
  </r>
  <r>
    <s v="ADM-244152"/>
    <d v="2025-06-26T00:00:00"/>
    <d v="2025-07-12T00:00:00"/>
    <x v="1"/>
    <s v="Q2"/>
    <x v="5"/>
    <x v="3"/>
    <x v="0"/>
    <x v="0"/>
    <x v="1"/>
    <x v="1"/>
    <x v="0"/>
    <n v="16"/>
    <n v="24"/>
    <n v="13430"/>
    <n v="0"/>
    <n v="4"/>
    <s v="Recovered"/>
    <n v="1"/>
  </r>
  <r>
    <s v="ADM-244153"/>
    <d v="2025-06-26T00:00:00"/>
    <d v="2025-07-01T00:00:00"/>
    <x v="1"/>
    <s v="Q2"/>
    <x v="5"/>
    <x v="3"/>
    <x v="2"/>
    <x v="0"/>
    <x v="0"/>
    <x v="1"/>
    <x v="1"/>
    <n v="5"/>
    <n v="35"/>
    <n v="4736"/>
    <n v="0"/>
    <n v="5"/>
    <s v="Recovered"/>
    <n v="1"/>
  </r>
  <r>
    <s v="ADM-244154"/>
    <d v="2025-06-26T00:00:00"/>
    <d v="2025-07-01T00:00:00"/>
    <x v="1"/>
    <s v="Q2"/>
    <x v="5"/>
    <x v="3"/>
    <x v="0"/>
    <x v="0"/>
    <x v="0"/>
    <x v="1"/>
    <x v="2"/>
    <n v="5"/>
    <n v="41"/>
    <n v="3927"/>
    <n v="0"/>
    <n v="4"/>
    <s v="Recovered"/>
    <n v="1"/>
  </r>
  <r>
    <s v="ADM-244155"/>
    <d v="2025-06-26T00:00:00"/>
    <d v="2025-07-01T00:00:00"/>
    <x v="1"/>
    <s v="Q2"/>
    <x v="5"/>
    <x v="3"/>
    <x v="5"/>
    <x v="2"/>
    <x v="0"/>
    <x v="4"/>
    <x v="2"/>
    <n v="5"/>
    <m/>
    <n v="5136"/>
    <n v="0"/>
    <n v="4"/>
    <s v="Improved"/>
    <n v="1"/>
  </r>
  <r>
    <s v="ADM-244156"/>
    <d v="2025-06-27T00:00:00"/>
    <d v="2025-06-29T00:00:00"/>
    <x v="1"/>
    <s v="Q2"/>
    <x v="5"/>
    <x v="4"/>
    <x v="5"/>
    <x v="2"/>
    <x v="1"/>
    <x v="0"/>
    <x v="0"/>
    <n v="2"/>
    <m/>
    <n v="3428"/>
    <n v="0"/>
    <n v="4"/>
    <s v="Improved"/>
    <n v="1"/>
  </r>
  <r>
    <s v="ADM-244157"/>
    <d v="2025-06-27T00:00:00"/>
    <d v="2025-06-30T00:00:00"/>
    <x v="1"/>
    <s v="Q2"/>
    <x v="5"/>
    <x v="4"/>
    <x v="3"/>
    <x v="2"/>
    <x v="1"/>
    <x v="3"/>
    <x v="2"/>
    <n v="3"/>
    <m/>
    <n v="1980"/>
    <n v="0"/>
    <n v="4"/>
    <s v="Recovered"/>
    <n v="1"/>
  </r>
  <r>
    <s v="ADM-244158"/>
    <d v="2025-06-27T00:00:00"/>
    <d v="2025-07-03T00:00:00"/>
    <x v="1"/>
    <s v="Q2"/>
    <x v="5"/>
    <x v="4"/>
    <x v="1"/>
    <x v="0"/>
    <x v="1"/>
    <x v="2"/>
    <x v="1"/>
    <n v="6"/>
    <n v="77"/>
    <n v="5648"/>
    <n v="0"/>
    <n v="4"/>
    <s v="Recovered"/>
    <n v="1"/>
  </r>
  <r>
    <s v="ADM-244159"/>
    <d v="2025-06-27T00:00:00"/>
    <d v="2025-07-02T00:00:00"/>
    <x v="1"/>
    <s v="Q2"/>
    <x v="5"/>
    <x v="4"/>
    <x v="5"/>
    <x v="2"/>
    <x v="0"/>
    <x v="0"/>
    <x v="0"/>
    <n v="5"/>
    <m/>
    <n v="3862"/>
    <n v="0"/>
    <n v="5"/>
    <s v="Improved"/>
    <n v="1"/>
  </r>
  <r>
    <s v="ADM-244160"/>
    <d v="2025-06-27T00:00:00"/>
    <d v="2025-06-29T00:00:00"/>
    <x v="1"/>
    <s v="Q2"/>
    <x v="5"/>
    <x v="4"/>
    <x v="0"/>
    <x v="1"/>
    <x v="0"/>
    <x v="1"/>
    <x v="2"/>
    <n v="2"/>
    <m/>
    <n v="1604"/>
    <n v="0"/>
    <n v="5"/>
    <s v="Recovered"/>
    <n v="1"/>
  </r>
  <r>
    <s v="ADM-244161"/>
    <d v="2025-06-27T00:00:00"/>
    <d v="2025-07-05T00:00:00"/>
    <x v="1"/>
    <s v="Q2"/>
    <x v="5"/>
    <x v="4"/>
    <x v="4"/>
    <x v="0"/>
    <x v="0"/>
    <x v="0"/>
    <x v="2"/>
    <n v="8"/>
    <n v="104"/>
    <n v="11306"/>
    <n v="1"/>
    <n v="2"/>
    <s v="Improved"/>
    <n v="1"/>
  </r>
  <r>
    <s v="ADM-244162"/>
    <d v="2025-06-27T00:00:00"/>
    <d v="2025-07-07T00:00:00"/>
    <x v="1"/>
    <s v="Q2"/>
    <x v="5"/>
    <x v="4"/>
    <x v="1"/>
    <x v="2"/>
    <x v="0"/>
    <x v="0"/>
    <x v="2"/>
    <n v="10"/>
    <m/>
    <n v="13066"/>
    <n v="0"/>
    <n v="5"/>
    <s v="Transferred"/>
    <n v="1"/>
  </r>
  <r>
    <s v="ADM-244163"/>
    <d v="2025-06-27T00:00:00"/>
    <d v="2025-06-30T00:00:00"/>
    <x v="1"/>
    <s v="Q2"/>
    <x v="5"/>
    <x v="4"/>
    <x v="0"/>
    <x v="2"/>
    <x v="0"/>
    <x v="1"/>
    <x v="2"/>
    <n v="3"/>
    <m/>
    <n v="3238"/>
    <n v="0"/>
    <n v="5"/>
    <s v="Recovered"/>
    <n v="1"/>
  </r>
  <r>
    <s v="ADM-244164"/>
    <d v="2025-06-27T00:00:00"/>
    <d v="2025-07-04T00:00:00"/>
    <x v="1"/>
    <s v="Q2"/>
    <x v="5"/>
    <x v="4"/>
    <x v="3"/>
    <x v="0"/>
    <x v="0"/>
    <x v="3"/>
    <x v="2"/>
    <n v="7"/>
    <n v="41"/>
    <n v="5605"/>
    <n v="0"/>
    <n v="4"/>
    <s v="Recovered"/>
    <n v="1"/>
  </r>
  <r>
    <s v="ADM-244165"/>
    <d v="2025-06-28T00:00:00"/>
    <d v="2025-07-09T00:00:00"/>
    <x v="1"/>
    <s v="Q2"/>
    <x v="5"/>
    <x v="5"/>
    <x v="5"/>
    <x v="0"/>
    <x v="1"/>
    <x v="0"/>
    <x v="2"/>
    <n v="11"/>
    <n v="48"/>
    <n v="9433"/>
    <n v="0"/>
    <n v="4"/>
    <s v="Recovered"/>
    <n v="1"/>
  </r>
  <r>
    <s v="ADM-244166"/>
    <d v="2025-06-28T00:00:00"/>
    <d v="2025-07-07T00:00:00"/>
    <x v="1"/>
    <s v="Q2"/>
    <x v="5"/>
    <x v="5"/>
    <x v="1"/>
    <x v="2"/>
    <x v="1"/>
    <x v="4"/>
    <x v="2"/>
    <n v="9"/>
    <m/>
    <n v="7687"/>
    <n v="0"/>
    <n v="4"/>
    <s v="Recovered"/>
    <n v="1"/>
  </r>
  <r>
    <s v="ADM-244167"/>
    <d v="2025-06-28T00:00:00"/>
    <d v="2025-07-08T00:00:00"/>
    <x v="1"/>
    <s v="Q2"/>
    <x v="5"/>
    <x v="5"/>
    <x v="0"/>
    <x v="0"/>
    <x v="0"/>
    <x v="1"/>
    <x v="0"/>
    <n v="10"/>
    <n v="37"/>
    <n v="6500"/>
    <n v="0"/>
    <n v="3"/>
    <s v="Recovered"/>
    <n v="1"/>
  </r>
  <r>
    <s v="ADM-244168"/>
    <d v="2025-06-28T00:00:00"/>
    <d v="2025-07-01T00:00:00"/>
    <x v="1"/>
    <s v="Q2"/>
    <x v="5"/>
    <x v="5"/>
    <x v="1"/>
    <x v="2"/>
    <x v="0"/>
    <x v="4"/>
    <x v="0"/>
    <n v="3"/>
    <m/>
    <n v="3356"/>
    <n v="0"/>
    <n v="5"/>
    <s v="Recovered"/>
    <n v="1"/>
  </r>
  <r>
    <s v="ADM-244169"/>
    <d v="2025-06-28T00:00:00"/>
    <d v="2025-06-30T00:00:00"/>
    <x v="1"/>
    <s v="Q2"/>
    <x v="5"/>
    <x v="5"/>
    <x v="5"/>
    <x v="2"/>
    <x v="1"/>
    <x v="2"/>
    <x v="0"/>
    <n v="2"/>
    <m/>
    <n v="3882"/>
    <n v="0"/>
    <n v="4"/>
    <s v="Recovered"/>
    <n v="1"/>
  </r>
  <r>
    <s v="ADM-244170"/>
    <d v="2025-06-28T00:00:00"/>
    <d v="2025-07-05T00:00:00"/>
    <x v="1"/>
    <s v="Q2"/>
    <x v="5"/>
    <x v="5"/>
    <x v="4"/>
    <x v="0"/>
    <x v="1"/>
    <x v="0"/>
    <x v="2"/>
    <n v="7"/>
    <n v="112"/>
    <n v="9655"/>
    <n v="0"/>
    <n v="4"/>
    <s v="Recovered"/>
    <n v="1"/>
  </r>
  <r>
    <s v="ADM-244171"/>
    <d v="2025-06-28T00:00:00"/>
    <d v="2025-07-10T00:00:00"/>
    <x v="1"/>
    <s v="Q2"/>
    <x v="5"/>
    <x v="5"/>
    <x v="0"/>
    <x v="0"/>
    <x v="0"/>
    <x v="4"/>
    <x v="0"/>
    <n v="12"/>
    <n v="22"/>
    <n v="9232"/>
    <n v="0"/>
    <n v="4"/>
    <s v="Recovered"/>
    <n v="1"/>
  </r>
  <r>
    <s v="ADM-244172"/>
    <d v="2025-06-28T00:00:00"/>
    <d v="2025-07-02T00:00:00"/>
    <x v="1"/>
    <s v="Q2"/>
    <x v="5"/>
    <x v="5"/>
    <x v="3"/>
    <x v="1"/>
    <x v="0"/>
    <x v="3"/>
    <x v="2"/>
    <n v="4"/>
    <m/>
    <n v="2758"/>
    <n v="0"/>
    <n v="4"/>
    <s v="Recovered"/>
    <n v="1"/>
  </r>
  <r>
    <s v="ADM-244173"/>
    <d v="2025-06-28T00:00:00"/>
    <d v="2025-06-29T00:00:00"/>
    <x v="1"/>
    <s v="Q2"/>
    <x v="5"/>
    <x v="5"/>
    <x v="0"/>
    <x v="1"/>
    <x v="0"/>
    <x v="2"/>
    <x v="1"/>
    <n v="1"/>
    <m/>
    <n v="1217"/>
    <n v="0"/>
    <n v="4"/>
    <s v="Transferred"/>
    <n v="1"/>
  </r>
  <r>
    <s v="ADM-244174"/>
    <d v="2025-06-28T00:00:00"/>
    <d v="2025-07-02T00:00:00"/>
    <x v="1"/>
    <s v="Q2"/>
    <x v="5"/>
    <x v="5"/>
    <x v="2"/>
    <x v="0"/>
    <x v="0"/>
    <x v="2"/>
    <x v="2"/>
    <n v="4"/>
    <n v="57"/>
    <n v="3908"/>
    <n v="0"/>
    <n v="5"/>
    <s v="Improved"/>
    <n v="1"/>
  </r>
  <r>
    <s v="ADM-244175"/>
    <d v="2025-06-29T00:00:00"/>
    <d v="2025-06-30T00:00:00"/>
    <x v="1"/>
    <s v="Q2"/>
    <x v="5"/>
    <x v="6"/>
    <x v="3"/>
    <x v="0"/>
    <x v="0"/>
    <x v="3"/>
    <x v="0"/>
    <n v="1"/>
    <n v="50"/>
    <n v="1786"/>
    <n v="0"/>
    <n v="5"/>
    <s v="Recovered"/>
    <n v="1"/>
  </r>
  <r>
    <s v="ADM-244176"/>
    <d v="2025-06-29T00:00:00"/>
    <d v="2025-07-03T00:00:00"/>
    <x v="1"/>
    <s v="Q2"/>
    <x v="5"/>
    <x v="6"/>
    <x v="0"/>
    <x v="0"/>
    <x v="1"/>
    <x v="0"/>
    <x v="0"/>
    <n v="4"/>
    <n v="51"/>
    <n v="2829"/>
    <n v="0"/>
    <n v="4"/>
    <s v="Recovered"/>
    <n v="1"/>
  </r>
  <r>
    <s v="ADM-244177"/>
    <d v="2025-06-29T00:00:00"/>
    <d v="2025-07-01T00:00:00"/>
    <x v="1"/>
    <s v="Q2"/>
    <x v="5"/>
    <x v="6"/>
    <x v="1"/>
    <x v="2"/>
    <x v="0"/>
    <x v="0"/>
    <x v="2"/>
    <n v="2"/>
    <m/>
    <n v="2634"/>
    <n v="0"/>
    <n v="5"/>
    <s v="Recovered"/>
    <n v="1"/>
  </r>
  <r>
    <s v="ADM-244178"/>
    <d v="2025-06-29T00:00:00"/>
    <d v="2025-07-01T00:00:00"/>
    <x v="1"/>
    <s v="Q2"/>
    <x v="5"/>
    <x v="6"/>
    <x v="0"/>
    <x v="0"/>
    <x v="0"/>
    <x v="0"/>
    <x v="2"/>
    <n v="2"/>
    <n v="38"/>
    <n v="1890"/>
    <n v="0"/>
    <n v="5"/>
    <s v="Recovered"/>
    <n v="1"/>
  </r>
  <r>
    <s v="ADM-244179"/>
    <d v="2025-06-29T00:00:00"/>
    <d v="2025-07-02T00:00:00"/>
    <x v="1"/>
    <s v="Q2"/>
    <x v="5"/>
    <x v="6"/>
    <x v="3"/>
    <x v="0"/>
    <x v="0"/>
    <x v="3"/>
    <x v="2"/>
    <n v="3"/>
    <n v="34"/>
    <n v="3187"/>
    <n v="0"/>
    <n v="4"/>
    <s v="Recovered"/>
    <n v="1"/>
  </r>
  <r>
    <s v="ADM-244180"/>
    <d v="2025-06-29T00:00:00"/>
    <d v="2025-07-05T00:00:00"/>
    <x v="1"/>
    <s v="Q2"/>
    <x v="5"/>
    <x v="6"/>
    <x v="1"/>
    <x v="2"/>
    <x v="0"/>
    <x v="2"/>
    <x v="0"/>
    <n v="6"/>
    <m/>
    <n v="6983"/>
    <n v="0"/>
    <n v="3"/>
    <s v="Recovered"/>
    <n v="1"/>
  </r>
  <r>
    <s v="ADM-244181"/>
    <d v="2025-06-29T00:00:00"/>
    <d v="2025-07-02T00:00:00"/>
    <x v="1"/>
    <s v="Q2"/>
    <x v="5"/>
    <x v="6"/>
    <x v="2"/>
    <x v="0"/>
    <x v="0"/>
    <x v="2"/>
    <x v="2"/>
    <n v="3"/>
    <n v="10"/>
    <n v="2322"/>
    <n v="0"/>
    <n v="4"/>
    <s v="Recovered"/>
    <n v="1"/>
  </r>
  <r>
    <s v="ADM-244182"/>
    <d v="2025-06-30T00:00:00"/>
    <d v="2025-07-02T00:00:00"/>
    <x v="1"/>
    <s v="Q2"/>
    <x v="5"/>
    <x v="0"/>
    <x v="0"/>
    <x v="0"/>
    <x v="1"/>
    <x v="4"/>
    <x v="0"/>
    <n v="2"/>
    <n v="140"/>
    <n v="2590"/>
    <n v="0"/>
    <n v="4"/>
    <s v="Improved"/>
    <n v="1"/>
  </r>
  <r>
    <s v="ADM-244183"/>
    <d v="2025-06-30T00:00:00"/>
    <d v="2025-07-06T00:00:00"/>
    <x v="1"/>
    <s v="Q2"/>
    <x v="5"/>
    <x v="0"/>
    <x v="0"/>
    <x v="0"/>
    <x v="0"/>
    <x v="0"/>
    <x v="0"/>
    <n v="6"/>
    <n v="14"/>
    <n v="3273"/>
    <n v="0"/>
    <n v="4"/>
    <s v="Recovered"/>
    <n v="1"/>
  </r>
  <r>
    <s v="ADM-244184"/>
    <d v="2025-06-30T00:00:00"/>
    <d v="2025-07-06T00:00:00"/>
    <x v="1"/>
    <s v="Q2"/>
    <x v="5"/>
    <x v="0"/>
    <x v="5"/>
    <x v="2"/>
    <x v="1"/>
    <x v="4"/>
    <x v="0"/>
    <n v="6"/>
    <m/>
    <n v="5748"/>
    <n v="0"/>
    <n v="5"/>
    <s v="Improved"/>
    <n v="1"/>
  </r>
  <r>
    <s v="ADM-244185"/>
    <d v="2025-07-01T00:00:00"/>
    <d v="2025-07-12T00:00:00"/>
    <x v="1"/>
    <s v="Q3"/>
    <x v="6"/>
    <x v="1"/>
    <x v="0"/>
    <x v="0"/>
    <x v="0"/>
    <x v="4"/>
    <x v="2"/>
    <n v="11"/>
    <n v="58"/>
    <n v="7798"/>
    <n v="0"/>
    <n v="4"/>
    <s v="Recovered"/>
    <n v="1"/>
  </r>
  <r>
    <s v="ADM-244186"/>
    <d v="2025-07-01T00:00:00"/>
    <d v="2025-07-10T00:00:00"/>
    <x v="1"/>
    <s v="Q3"/>
    <x v="6"/>
    <x v="1"/>
    <x v="0"/>
    <x v="0"/>
    <x v="1"/>
    <x v="1"/>
    <x v="0"/>
    <n v="9"/>
    <n v="25"/>
    <n v="6229"/>
    <n v="0"/>
    <n v="4"/>
    <s v="Recovered"/>
    <n v="1"/>
  </r>
  <r>
    <s v="ADM-244187"/>
    <d v="2025-07-01T00:00:00"/>
    <d v="2025-07-05T00:00:00"/>
    <x v="1"/>
    <s v="Q3"/>
    <x v="6"/>
    <x v="1"/>
    <x v="4"/>
    <x v="0"/>
    <x v="1"/>
    <x v="1"/>
    <x v="0"/>
    <n v="4"/>
    <n v="41"/>
    <n v="5179"/>
    <n v="0"/>
    <n v="4"/>
    <s v="Transferred"/>
    <n v="1"/>
  </r>
  <r>
    <s v="ADM-244188"/>
    <d v="2025-07-01T00:00:00"/>
    <d v="2025-07-09T00:00:00"/>
    <x v="1"/>
    <s v="Q3"/>
    <x v="6"/>
    <x v="1"/>
    <x v="1"/>
    <x v="2"/>
    <x v="1"/>
    <x v="4"/>
    <x v="0"/>
    <n v="8"/>
    <m/>
    <n v="7061"/>
    <n v="0"/>
    <n v="5"/>
    <s v="Improved"/>
    <n v="1"/>
  </r>
  <r>
    <s v="ADM-244189"/>
    <d v="2025-07-01T00:00:00"/>
    <d v="2025-07-05T00:00:00"/>
    <x v="1"/>
    <s v="Q3"/>
    <x v="6"/>
    <x v="1"/>
    <x v="4"/>
    <x v="0"/>
    <x v="0"/>
    <x v="4"/>
    <x v="1"/>
    <n v="4"/>
    <n v="107"/>
    <n v="4482"/>
    <n v="0"/>
    <n v="3"/>
    <s v="Recovered"/>
    <n v="1"/>
  </r>
  <r>
    <s v="ADM-244190"/>
    <d v="2025-07-01T00:00:00"/>
    <d v="2025-07-06T00:00:00"/>
    <x v="1"/>
    <s v="Q3"/>
    <x v="6"/>
    <x v="1"/>
    <x v="3"/>
    <x v="0"/>
    <x v="0"/>
    <x v="3"/>
    <x v="2"/>
    <n v="5"/>
    <n v="80"/>
    <n v="3252"/>
    <n v="0"/>
    <n v="4"/>
    <s v="Improved"/>
    <n v="1"/>
  </r>
  <r>
    <s v="ADM-244191"/>
    <d v="2025-07-01T00:00:00"/>
    <d v="2025-07-07T00:00:00"/>
    <x v="1"/>
    <s v="Q3"/>
    <x v="6"/>
    <x v="1"/>
    <x v="4"/>
    <x v="0"/>
    <x v="1"/>
    <x v="0"/>
    <x v="0"/>
    <n v="6"/>
    <n v="26"/>
    <n v="8237"/>
    <n v="0"/>
    <n v="4"/>
    <s v="Improved"/>
    <n v="1"/>
  </r>
  <r>
    <s v="ADM-244192"/>
    <d v="2025-07-02T00:00:00"/>
    <d v="2025-07-03T00:00:00"/>
    <x v="1"/>
    <s v="Q3"/>
    <x v="6"/>
    <x v="2"/>
    <x v="4"/>
    <x v="2"/>
    <x v="0"/>
    <x v="1"/>
    <x v="2"/>
    <n v="1"/>
    <m/>
    <n v="2343"/>
    <n v="1"/>
    <n v="3"/>
    <s v="Recovered"/>
    <n v="1"/>
  </r>
  <r>
    <s v="ADM-244193"/>
    <d v="2025-07-02T00:00:00"/>
    <d v="2025-07-09T00:00:00"/>
    <x v="1"/>
    <s v="Q3"/>
    <x v="6"/>
    <x v="2"/>
    <x v="0"/>
    <x v="0"/>
    <x v="0"/>
    <x v="4"/>
    <x v="0"/>
    <n v="7"/>
    <n v="36"/>
    <n v="7035"/>
    <n v="0"/>
    <n v="5"/>
    <s v="Recovered"/>
    <n v="1"/>
  </r>
  <r>
    <s v="ADM-244194"/>
    <d v="2025-07-02T00:00:00"/>
    <d v="2025-07-05T00:00:00"/>
    <x v="1"/>
    <s v="Q3"/>
    <x v="6"/>
    <x v="2"/>
    <x v="3"/>
    <x v="0"/>
    <x v="1"/>
    <x v="3"/>
    <x v="0"/>
    <n v="3"/>
    <n v="93"/>
    <n v="2389"/>
    <n v="0"/>
    <n v="2"/>
    <s v="Recovered"/>
    <n v="1"/>
  </r>
  <r>
    <s v="ADM-244195"/>
    <d v="2025-07-02T00:00:00"/>
    <d v="2025-07-03T00:00:00"/>
    <x v="1"/>
    <s v="Q3"/>
    <x v="6"/>
    <x v="2"/>
    <x v="2"/>
    <x v="0"/>
    <x v="0"/>
    <x v="2"/>
    <x v="0"/>
    <n v="1"/>
    <n v="48"/>
    <n v="1849"/>
    <n v="0"/>
    <n v="4"/>
    <s v="Recovered"/>
    <n v="1"/>
  </r>
  <r>
    <s v="ADM-244196"/>
    <d v="2025-07-02T00:00:00"/>
    <d v="2025-07-15T00:00:00"/>
    <x v="1"/>
    <s v="Q3"/>
    <x v="6"/>
    <x v="2"/>
    <x v="1"/>
    <x v="0"/>
    <x v="1"/>
    <x v="4"/>
    <x v="2"/>
    <n v="13"/>
    <n v="52"/>
    <n v="15343"/>
    <n v="0"/>
    <n v="5"/>
    <s v="Recovered"/>
    <n v="1"/>
  </r>
  <r>
    <s v="ADM-244197"/>
    <d v="2025-07-02T00:00:00"/>
    <d v="2025-07-08T00:00:00"/>
    <x v="1"/>
    <s v="Q3"/>
    <x v="6"/>
    <x v="2"/>
    <x v="5"/>
    <x v="2"/>
    <x v="1"/>
    <x v="1"/>
    <x v="0"/>
    <n v="6"/>
    <m/>
    <n v="6671"/>
    <n v="0"/>
    <n v="4"/>
    <s v="Recovered"/>
    <n v="1"/>
  </r>
  <r>
    <s v="ADM-244198"/>
    <d v="2025-07-02T00:00:00"/>
    <d v="2025-07-13T00:00:00"/>
    <x v="1"/>
    <s v="Q3"/>
    <x v="6"/>
    <x v="2"/>
    <x v="0"/>
    <x v="0"/>
    <x v="0"/>
    <x v="0"/>
    <x v="2"/>
    <n v="11"/>
    <n v="37"/>
    <n v="6998"/>
    <n v="0"/>
    <n v="4"/>
    <s v="Deceased"/>
    <n v="1"/>
  </r>
  <r>
    <s v="ADM-244199"/>
    <d v="2025-07-02T00:00:00"/>
    <d v="2025-07-04T00:00:00"/>
    <x v="1"/>
    <s v="Q3"/>
    <x v="6"/>
    <x v="2"/>
    <x v="1"/>
    <x v="2"/>
    <x v="1"/>
    <x v="0"/>
    <x v="2"/>
    <n v="2"/>
    <m/>
    <n v="3060"/>
    <n v="0"/>
    <n v="3"/>
    <s v="Recovered"/>
    <n v="1"/>
  </r>
  <r>
    <s v="ADM-244200"/>
    <d v="2025-07-02T00:00:00"/>
    <d v="2025-07-09T00:00:00"/>
    <x v="1"/>
    <s v="Q3"/>
    <x v="6"/>
    <x v="2"/>
    <x v="1"/>
    <x v="2"/>
    <x v="1"/>
    <x v="1"/>
    <x v="1"/>
    <n v="7"/>
    <m/>
    <n v="8213"/>
    <n v="0"/>
    <n v="4"/>
    <s v="Recovered"/>
    <n v="1"/>
  </r>
  <r>
    <s v="ADM-244201"/>
    <d v="2025-07-03T00:00:00"/>
    <d v="2025-07-05T00:00:00"/>
    <x v="1"/>
    <s v="Q3"/>
    <x v="6"/>
    <x v="3"/>
    <x v="2"/>
    <x v="0"/>
    <x v="0"/>
    <x v="1"/>
    <x v="0"/>
    <n v="2"/>
    <n v="32"/>
    <n v="2404"/>
    <n v="0"/>
    <n v="5"/>
    <s v="Recovered"/>
    <n v="1"/>
  </r>
  <r>
    <s v="ADM-244202"/>
    <d v="2025-07-03T00:00:00"/>
    <d v="2025-07-10T00:00:00"/>
    <x v="1"/>
    <s v="Q3"/>
    <x v="6"/>
    <x v="3"/>
    <x v="4"/>
    <x v="0"/>
    <x v="1"/>
    <x v="4"/>
    <x v="2"/>
    <n v="7"/>
    <n v="28"/>
    <n v="10297"/>
    <n v="0"/>
    <n v="4"/>
    <s v="Recovered"/>
    <n v="1"/>
  </r>
  <r>
    <s v="ADM-244203"/>
    <d v="2025-07-03T00:00:00"/>
    <d v="2025-07-11T00:00:00"/>
    <x v="1"/>
    <s v="Q3"/>
    <x v="6"/>
    <x v="3"/>
    <x v="0"/>
    <x v="0"/>
    <x v="1"/>
    <x v="1"/>
    <x v="2"/>
    <n v="8"/>
    <n v="51"/>
    <n v="6535"/>
    <n v="0"/>
    <n v="5"/>
    <s v="Recovered"/>
    <n v="1"/>
  </r>
  <r>
    <s v="ADM-244204"/>
    <d v="2025-07-03T00:00:00"/>
    <d v="2025-07-08T00:00:00"/>
    <x v="1"/>
    <s v="Q3"/>
    <x v="6"/>
    <x v="3"/>
    <x v="4"/>
    <x v="0"/>
    <x v="0"/>
    <x v="1"/>
    <x v="0"/>
    <n v="5"/>
    <n v="45"/>
    <n v="7582"/>
    <n v="0"/>
    <n v="4"/>
    <s v="Improved"/>
    <n v="1"/>
  </r>
  <r>
    <s v="ADM-244205"/>
    <d v="2025-07-03T00:00:00"/>
    <d v="2025-07-05T00:00:00"/>
    <x v="1"/>
    <s v="Q3"/>
    <x v="6"/>
    <x v="3"/>
    <x v="2"/>
    <x v="1"/>
    <x v="0"/>
    <x v="2"/>
    <x v="0"/>
    <n v="2"/>
    <m/>
    <n v="2791"/>
    <n v="0"/>
    <n v="3"/>
    <s v="Recovered"/>
    <n v="1"/>
  </r>
  <r>
    <s v="ADM-244206"/>
    <d v="2025-07-03T00:00:00"/>
    <d v="2025-07-04T00:00:00"/>
    <x v="1"/>
    <s v="Q3"/>
    <x v="6"/>
    <x v="3"/>
    <x v="0"/>
    <x v="2"/>
    <x v="0"/>
    <x v="1"/>
    <x v="2"/>
    <n v="1"/>
    <m/>
    <n v="2001"/>
    <n v="0"/>
    <n v="5"/>
    <s v="Recovered"/>
    <n v="1"/>
  </r>
  <r>
    <s v="ADM-244207"/>
    <d v="2025-07-03T00:00:00"/>
    <d v="2025-07-09T00:00:00"/>
    <x v="1"/>
    <s v="Q3"/>
    <x v="6"/>
    <x v="3"/>
    <x v="0"/>
    <x v="0"/>
    <x v="0"/>
    <x v="1"/>
    <x v="0"/>
    <n v="6"/>
    <n v="16"/>
    <n v="5119"/>
    <n v="0"/>
    <n v="4"/>
    <s v="Improved"/>
    <n v="1"/>
  </r>
  <r>
    <s v="ADM-244208"/>
    <d v="2025-07-04T00:00:00"/>
    <d v="2025-07-08T00:00:00"/>
    <x v="1"/>
    <s v="Q3"/>
    <x v="6"/>
    <x v="4"/>
    <x v="2"/>
    <x v="2"/>
    <x v="0"/>
    <x v="2"/>
    <x v="0"/>
    <n v="4"/>
    <m/>
    <n v="4443"/>
    <n v="0"/>
    <n v="5"/>
    <s v="Improved"/>
    <n v="1"/>
  </r>
  <r>
    <s v="ADM-244209"/>
    <d v="2025-07-04T00:00:00"/>
    <d v="2025-07-10T00:00:00"/>
    <x v="1"/>
    <s v="Q3"/>
    <x v="6"/>
    <x v="4"/>
    <x v="3"/>
    <x v="2"/>
    <x v="0"/>
    <x v="3"/>
    <x v="0"/>
    <n v="6"/>
    <m/>
    <n v="4056"/>
    <n v="0"/>
    <n v="3"/>
    <s v="Improved"/>
    <n v="1"/>
  </r>
  <r>
    <s v="ADM-244210"/>
    <d v="2025-07-04T00:00:00"/>
    <d v="2025-07-11T00:00:00"/>
    <x v="1"/>
    <s v="Q3"/>
    <x v="6"/>
    <x v="4"/>
    <x v="1"/>
    <x v="0"/>
    <x v="0"/>
    <x v="0"/>
    <x v="0"/>
    <n v="7"/>
    <n v="29"/>
    <n v="6997"/>
    <n v="1"/>
    <n v="3"/>
    <s v="Transferred"/>
    <n v="1"/>
  </r>
  <r>
    <s v="ADM-244211"/>
    <d v="2025-07-04T00:00:00"/>
    <d v="2025-07-05T00:00:00"/>
    <x v="1"/>
    <s v="Q3"/>
    <x v="6"/>
    <x v="4"/>
    <x v="2"/>
    <x v="2"/>
    <x v="0"/>
    <x v="1"/>
    <x v="2"/>
    <n v="1"/>
    <m/>
    <n v="1610"/>
    <n v="0"/>
    <n v="5"/>
    <s v="Recovered"/>
    <n v="1"/>
  </r>
  <r>
    <s v="ADM-244212"/>
    <d v="2025-07-04T00:00:00"/>
    <d v="2025-07-12T00:00:00"/>
    <x v="1"/>
    <s v="Q3"/>
    <x v="6"/>
    <x v="4"/>
    <x v="0"/>
    <x v="0"/>
    <x v="0"/>
    <x v="2"/>
    <x v="2"/>
    <n v="8"/>
    <n v="35"/>
    <n v="5149"/>
    <n v="0"/>
    <n v="4"/>
    <s v="Recovered"/>
    <n v="1"/>
  </r>
  <r>
    <s v="ADM-244213"/>
    <d v="2025-07-04T00:00:00"/>
    <d v="2025-07-05T00:00:00"/>
    <x v="1"/>
    <s v="Q3"/>
    <x v="6"/>
    <x v="4"/>
    <x v="3"/>
    <x v="0"/>
    <x v="0"/>
    <x v="3"/>
    <x v="0"/>
    <n v="1"/>
    <n v="71"/>
    <n v="1319"/>
    <n v="0"/>
    <n v="4"/>
    <s v="Recovered"/>
    <n v="1"/>
  </r>
  <r>
    <s v="ADM-244214"/>
    <d v="2025-07-04T00:00:00"/>
    <d v="2025-07-05T00:00:00"/>
    <x v="1"/>
    <s v="Q3"/>
    <x v="6"/>
    <x v="4"/>
    <x v="2"/>
    <x v="0"/>
    <x v="0"/>
    <x v="1"/>
    <x v="0"/>
    <n v="1"/>
    <n v="67"/>
    <n v="1050"/>
    <n v="0"/>
    <n v="4"/>
    <s v="Recovered"/>
    <n v="1"/>
  </r>
  <r>
    <s v="ADM-244215"/>
    <d v="2025-07-04T00:00:00"/>
    <d v="2025-07-05T00:00:00"/>
    <x v="1"/>
    <s v="Q3"/>
    <x v="6"/>
    <x v="4"/>
    <x v="2"/>
    <x v="1"/>
    <x v="0"/>
    <x v="1"/>
    <x v="2"/>
    <n v="1"/>
    <m/>
    <n v="1427"/>
    <n v="0"/>
    <n v="5"/>
    <s v="Recovered"/>
    <n v="1"/>
  </r>
  <r>
    <s v="ADM-244216"/>
    <d v="2025-07-04T00:00:00"/>
    <d v="2025-07-14T00:00:00"/>
    <x v="1"/>
    <s v="Q3"/>
    <x v="6"/>
    <x v="4"/>
    <x v="5"/>
    <x v="2"/>
    <x v="0"/>
    <x v="1"/>
    <x v="0"/>
    <n v="10"/>
    <m/>
    <n v="10437"/>
    <n v="0"/>
    <n v="5"/>
    <s v="Transferred"/>
    <n v="1"/>
  </r>
  <r>
    <s v="ADM-244217"/>
    <d v="2025-07-04T00:00:00"/>
    <d v="2025-07-09T00:00:00"/>
    <x v="1"/>
    <s v="Q3"/>
    <x v="6"/>
    <x v="4"/>
    <x v="1"/>
    <x v="2"/>
    <x v="1"/>
    <x v="1"/>
    <x v="2"/>
    <n v="5"/>
    <m/>
    <n v="5521"/>
    <n v="0"/>
    <n v="5"/>
    <s v="Transferred"/>
    <n v="1"/>
  </r>
  <r>
    <s v="ADM-244218"/>
    <d v="2025-07-04T00:00:00"/>
    <d v="2025-07-07T00:00:00"/>
    <x v="1"/>
    <s v="Q3"/>
    <x v="6"/>
    <x v="4"/>
    <x v="0"/>
    <x v="2"/>
    <x v="1"/>
    <x v="1"/>
    <x v="0"/>
    <n v="3"/>
    <m/>
    <n v="2502"/>
    <n v="0"/>
    <n v="5"/>
    <s v="Improved"/>
    <n v="1"/>
  </r>
  <r>
    <s v="ADM-244219"/>
    <d v="2025-07-04T00:00:00"/>
    <d v="2025-07-14T00:00:00"/>
    <x v="1"/>
    <s v="Q3"/>
    <x v="6"/>
    <x v="4"/>
    <x v="0"/>
    <x v="0"/>
    <x v="0"/>
    <x v="0"/>
    <x v="0"/>
    <n v="10"/>
    <n v="64"/>
    <n v="6706"/>
    <n v="0"/>
    <n v="4"/>
    <s v="Improved"/>
    <n v="1"/>
  </r>
  <r>
    <s v="ADM-244220"/>
    <d v="2025-07-04T00:00:00"/>
    <d v="2025-07-05T00:00:00"/>
    <x v="1"/>
    <s v="Q3"/>
    <x v="6"/>
    <x v="4"/>
    <x v="0"/>
    <x v="0"/>
    <x v="0"/>
    <x v="0"/>
    <x v="2"/>
    <n v="1"/>
    <n v="56"/>
    <n v="1408"/>
    <n v="1"/>
    <n v="5"/>
    <s v="Recovered"/>
    <n v="1"/>
  </r>
  <r>
    <s v="ADM-244221"/>
    <d v="2025-07-05T00:00:00"/>
    <d v="2025-07-08T00:00:00"/>
    <x v="1"/>
    <s v="Q3"/>
    <x v="6"/>
    <x v="5"/>
    <x v="2"/>
    <x v="0"/>
    <x v="0"/>
    <x v="1"/>
    <x v="0"/>
    <n v="3"/>
    <n v="32"/>
    <n v="2740"/>
    <n v="0"/>
    <n v="3"/>
    <s v="Recovered"/>
    <n v="1"/>
  </r>
  <r>
    <s v="ADM-244222"/>
    <d v="2025-07-05T00:00:00"/>
    <d v="2025-07-09T00:00:00"/>
    <x v="1"/>
    <s v="Q3"/>
    <x v="6"/>
    <x v="5"/>
    <x v="4"/>
    <x v="0"/>
    <x v="1"/>
    <x v="2"/>
    <x v="0"/>
    <n v="4"/>
    <n v="77"/>
    <n v="6010"/>
    <n v="0"/>
    <n v="4"/>
    <s v="Improved"/>
    <n v="1"/>
  </r>
  <r>
    <s v="ADM-244223"/>
    <d v="2025-07-05T00:00:00"/>
    <d v="2025-07-07T00:00:00"/>
    <x v="1"/>
    <s v="Q3"/>
    <x v="6"/>
    <x v="5"/>
    <x v="2"/>
    <x v="0"/>
    <x v="0"/>
    <x v="2"/>
    <x v="0"/>
    <n v="2"/>
    <n v="40"/>
    <n v="2186"/>
    <n v="0"/>
    <n v="5"/>
    <s v="Transferred"/>
    <n v="1"/>
  </r>
  <r>
    <s v="ADM-244224"/>
    <d v="2025-07-05T00:00:00"/>
    <d v="2025-07-08T00:00:00"/>
    <x v="1"/>
    <s v="Q3"/>
    <x v="6"/>
    <x v="5"/>
    <x v="3"/>
    <x v="0"/>
    <x v="1"/>
    <x v="3"/>
    <x v="0"/>
    <n v="3"/>
    <n v="36"/>
    <n v="2361"/>
    <n v="0"/>
    <n v="4"/>
    <s v="Improved"/>
    <n v="1"/>
  </r>
  <r>
    <s v="ADM-244225"/>
    <d v="2025-07-05T00:00:00"/>
    <d v="2025-07-06T00:00:00"/>
    <x v="1"/>
    <s v="Q3"/>
    <x v="6"/>
    <x v="5"/>
    <x v="5"/>
    <x v="2"/>
    <x v="0"/>
    <x v="4"/>
    <x v="2"/>
    <n v="1"/>
    <m/>
    <n v="1840"/>
    <n v="0"/>
    <n v="4"/>
    <s v="Recovered"/>
    <n v="1"/>
  </r>
  <r>
    <s v="ADM-244226"/>
    <d v="2025-07-05T00:00:00"/>
    <d v="2025-07-08T00:00:00"/>
    <x v="1"/>
    <s v="Q3"/>
    <x v="6"/>
    <x v="5"/>
    <x v="4"/>
    <x v="0"/>
    <x v="0"/>
    <x v="0"/>
    <x v="2"/>
    <n v="3"/>
    <n v="65"/>
    <n v="4868"/>
    <n v="0"/>
    <n v="4"/>
    <s v="Recovered"/>
    <n v="1"/>
  </r>
  <r>
    <s v="ADM-244227"/>
    <d v="2025-07-05T00:00:00"/>
    <d v="2025-07-06T00:00:00"/>
    <x v="1"/>
    <s v="Q3"/>
    <x v="6"/>
    <x v="5"/>
    <x v="2"/>
    <x v="0"/>
    <x v="0"/>
    <x v="2"/>
    <x v="0"/>
    <n v="1"/>
    <n v="35"/>
    <n v="1381"/>
    <n v="0"/>
    <n v="3"/>
    <s v="Recovered"/>
    <n v="1"/>
  </r>
  <r>
    <s v="ADM-244228"/>
    <d v="2025-07-05T00:00:00"/>
    <d v="2025-07-07T00:00:00"/>
    <x v="1"/>
    <s v="Q3"/>
    <x v="6"/>
    <x v="5"/>
    <x v="5"/>
    <x v="2"/>
    <x v="1"/>
    <x v="1"/>
    <x v="0"/>
    <n v="2"/>
    <m/>
    <n v="2939"/>
    <n v="1"/>
    <n v="3"/>
    <s v="Improved"/>
    <n v="1"/>
  </r>
  <r>
    <s v="ADM-244229"/>
    <d v="2025-07-05T00:00:00"/>
    <d v="2025-07-07T00:00:00"/>
    <x v="1"/>
    <s v="Q3"/>
    <x v="6"/>
    <x v="5"/>
    <x v="0"/>
    <x v="0"/>
    <x v="0"/>
    <x v="2"/>
    <x v="2"/>
    <n v="2"/>
    <n v="25"/>
    <n v="2295"/>
    <n v="0"/>
    <n v="4"/>
    <s v="Recovered"/>
    <n v="1"/>
  </r>
  <r>
    <s v="ADM-244230"/>
    <d v="2025-07-06T00:00:00"/>
    <d v="2025-07-21T00:00:00"/>
    <x v="1"/>
    <s v="Q3"/>
    <x v="6"/>
    <x v="6"/>
    <x v="1"/>
    <x v="2"/>
    <x v="0"/>
    <x v="0"/>
    <x v="0"/>
    <n v="15"/>
    <m/>
    <n v="16910"/>
    <n v="0"/>
    <n v="5"/>
    <s v="Improved"/>
    <n v="1"/>
  </r>
  <r>
    <s v="ADM-244231"/>
    <d v="2025-07-06T00:00:00"/>
    <d v="2025-07-13T00:00:00"/>
    <x v="1"/>
    <s v="Q3"/>
    <x v="6"/>
    <x v="6"/>
    <x v="1"/>
    <x v="0"/>
    <x v="1"/>
    <x v="1"/>
    <x v="0"/>
    <n v="7"/>
    <n v="41"/>
    <n v="8526"/>
    <n v="0"/>
    <n v="4"/>
    <s v="Recovered"/>
    <n v="1"/>
  </r>
  <r>
    <s v="ADM-244232"/>
    <d v="2025-07-06T00:00:00"/>
    <d v="2025-07-10T00:00:00"/>
    <x v="1"/>
    <s v="Q3"/>
    <x v="6"/>
    <x v="6"/>
    <x v="0"/>
    <x v="0"/>
    <x v="1"/>
    <x v="4"/>
    <x v="0"/>
    <n v="4"/>
    <n v="17"/>
    <n v="3723"/>
    <n v="0"/>
    <n v="4"/>
    <s v="Recovered"/>
    <n v="1"/>
  </r>
  <r>
    <s v="ADM-244233"/>
    <d v="2025-07-06T00:00:00"/>
    <d v="2025-07-09T00:00:00"/>
    <x v="1"/>
    <s v="Q3"/>
    <x v="6"/>
    <x v="6"/>
    <x v="5"/>
    <x v="2"/>
    <x v="1"/>
    <x v="1"/>
    <x v="2"/>
    <n v="3"/>
    <m/>
    <n v="4414"/>
    <n v="0"/>
    <n v="4"/>
    <s v="Recovered"/>
    <n v="1"/>
  </r>
  <r>
    <s v="ADM-244234"/>
    <d v="2025-07-06T00:00:00"/>
    <d v="2025-07-10T00:00:00"/>
    <x v="1"/>
    <s v="Q3"/>
    <x v="6"/>
    <x v="6"/>
    <x v="2"/>
    <x v="0"/>
    <x v="0"/>
    <x v="2"/>
    <x v="0"/>
    <n v="4"/>
    <n v="51"/>
    <n v="3967"/>
    <n v="1"/>
    <n v="4"/>
    <s v="Recovered"/>
    <n v="1"/>
  </r>
  <r>
    <s v="ADM-244235"/>
    <d v="2025-07-06T00:00:00"/>
    <d v="2025-07-10T00:00:00"/>
    <x v="1"/>
    <s v="Q3"/>
    <x v="6"/>
    <x v="6"/>
    <x v="1"/>
    <x v="2"/>
    <x v="1"/>
    <x v="1"/>
    <x v="1"/>
    <n v="4"/>
    <m/>
    <n v="4965"/>
    <n v="0"/>
    <n v="4"/>
    <s v="Recovered"/>
    <n v="1"/>
  </r>
  <r>
    <s v="ADM-244236"/>
    <d v="2025-07-06T00:00:00"/>
    <d v="2025-07-08T00:00:00"/>
    <x v="1"/>
    <s v="Q3"/>
    <x v="6"/>
    <x v="6"/>
    <x v="0"/>
    <x v="2"/>
    <x v="0"/>
    <x v="1"/>
    <x v="0"/>
    <n v="2"/>
    <m/>
    <n v="3228"/>
    <n v="0"/>
    <n v="5"/>
    <s v="Recovered"/>
    <n v="1"/>
  </r>
  <r>
    <s v="ADM-244237"/>
    <d v="2025-07-06T00:00:00"/>
    <d v="2025-07-10T00:00:00"/>
    <x v="1"/>
    <s v="Q3"/>
    <x v="6"/>
    <x v="6"/>
    <x v="5"/>
    <x v="2"/>
    <x v="0"/>
    <x v="0"/>
    <x v="0"/>
    <n v="4"/>
    <m/>
    <n v="4910"/>
    <n v="0"/>
    <n v="4"/>
    <s v="Improved"/>
    <n v="1"/>
  </r>
  <r>
    <s v="ADM-244238"/>
    <d v="2025-07-06T00:00:00"/>
    <d v="2025-07-08T00:00:00"/>
    <x v="1"/>
    <s v="Q3"/>
    <x v="6"/>
    <x v="6"/>
    <x v="3"/>
    <x v="0"/>
    <x v="0"/>
    <x v="3"/>
    <x v="2"/>
    <n v="2"/>
    <n v="36"/>
    <n v="1233"/>
    <n v="0"/>
    <n v="4"/>
    <s v="Recovered"/>
    <n v="1"/>
  </r>
  <r>
    <s v="ADM-244239"/>
    <d v="2025-07-06T00:00:00"/>
    <d v="2025-07-13T00:00:00"/>
    <x v="1"/>
    <s v="Q3"/>
    <x v="6"/>
    <x v="6"/>
    <x v="2"/>
    <x v="0"/>
    <x v="0"/>
    <x v="2"/>
    <x v="1"/>
    <n v="7"/>
    <n v="14"/>
    <n v="5644"/>
    <n v="0"/>
    <n v="5"/>
    <s v="Transferred"/>
    <n v="1"/>
  </r>
  <r>
    <s v="ADM-244240"/>
    <d v="2025-07-06T00:00:00"/>
    <d v="2025-07-08T00:00:00"/>
    <x v="1"/>
    <s v="Q3"/>
    <x v="6"/>
    <x v="6"/>
    <x v="0"/>
    <x v="0"/>
    <x v="1"/>
    <x v="1"/>
    <x v="2"/>
    <n v="2"/>
    <n v="15"/>
    <n v="2294"/>
    <n v="0"/>
    <n v="4"/>
    <s v="Improved"/>
    <n v="1"/>
  </r>
  <r>
    <s v="ADM-244241"/>
    <d v="2025-07-07T00:00:00"/>
    <d v="2025-07-22T00:00:00"/>
    <x v="1"/>
    <s v="Q3"/>
    <x v="6"/>
    <x v="0"/>
    <x v="0"/>
    <x v="0"/>
    <x v="1"/>
    <x v="4"/>
    <x v="2"/>
    <n v="15"/>
    <n v="93"/>
    <n v="10069"/>
    <n v="0"/>
    <n v="2"/>
    <s v="Transferred"/>
    <n v="1"/>
  </r>
  <r>
    <s v="ADM-244242"/>
    <d v="2025-07-07T00:00:00"/>
    <d v="2025-07-09T00:00:00"/>
    <x v="1"/>
    <s v="Q3"/>
    <x v="6"/>
    <x v="0"/>
    <x v="0"/>
    <x v="2"/>
    <x v="0"/>
    <x v="2"/>
    <x v="1"/>
    <n v="2"/>
    <m/>
    <n v="2153"/>
    <n v="0"/>
    <n v="5"/>
    <s v="Recovered"/>
    <n v="1"/>
  </r>
  <r>
    <s v="ADM-244243"/>
    <d v="2025-07-07T00:00:00"/>
    <d v="2025-07-10T00:00:00"/>
    <x v="1"/>
    <s v="Q3"/>
    <x v="6"/>
    <x v="0"/>
    <x v="1"/>
    <x v="2"/>
    <x v="0"/>
    <x v="2"/>
    <x v="2"/>
    <n v="3"/>
    <m/>
    <n v="4001"/>
    <n v="0"/>
    <n v="4"/>
    <s v="Improved"/>
    <n v="1"/>
  </r>
  <r>
    <s v="ADM-244244"/>
    <d v="2025-07-08T00:00:00"/>
    <d v="2025-07-14T00:00:00"/>
    <x v="1"/>
    <s v="Q3"/>
    <x v="6"/>
    <x v="1"/>
    <x v="4"/>
    <x v="0"/>
    <x v="1"/>
    <x v="0"/>
    <x v="0"/>
    <n v="6"/>
    <n v="72"/>
    <n v="8789"/>
    <n v="0"/>
    <n v="4"/>
    <s v="Improved"/>
    <n v="1"/>
  </r>
  <r>
    <s v="ADM-244245"/>
    <d v="2025-07-08T00:00:00"/>
    <d v="2025-07-09T00:00:00"/>
    <x v="1"/>
    <s v="Q3"/>
    <x v="6"/>
    <x v="1"/>
    <x v="1"/>
    <x v="0"/>
    <x v="1"/>
    <x v="2"/>
    <x v="1"/>
    <n v="1"/>
    <n v="15"/>
    <n v="1622"/>
    <n v="0"/>
    <n v="4"/>
    <s v="Improved"/>
    <n v="1"/>
  </r>
  <r>
    <s v="ADM-244246"/>
    <d v="2025-07-08T00:00:00"/>
    <d v="2025-07-10T00:00:00"/>
    <x v="1"/>
    <s v="Q3"/>
    <x v="6"/>
    <x v="1"/>
    <x v="1"/>
    <x v="2"/>
    <x v="1"/>
    <x v="4"/>
    <x v="1"/>
    <n v="2"/>
    <m/>
    <n v="2838"/>
    <n v="0"/>
    <n v="4"/>
    <s v="Recovered"/>
    <n v="1"/>
  </r>
  <r>
    <s v="ADM-244247"/>
    <d v="2025-07-08T00:00:00"/>
    <d v="2025-07-09T00:00:00"/>
    <x v="1"/>
    <s v="Q3"/>
    <x v="6"/>
    <x v="1"/>
    <x v="2"/>
    <x v="0"/>
    <x v="0"/>
    <x v="2"/>
    <x v="1"/>
    <n v="1"/>
    <n v="38"/>
    <n v="1441"/>
    <n v="0"/>
    <n v="4"/>
    <s v="Recovered"/>
    <n v="1"/>
  </r>
  <r>
    <s v="ADM-244248"/>
    <d v="2025-07-08T00:00:00"/>
    <d v="2025-07-09T00:00:00"/>
    <x v="1"/>
    <s v="Q3"/>
    <x v="6"/>
    <x v="1"/>
    <x v="4"/>
    <x v="0"/>
    <x v="1"/>
    <x v="4"/>
    <x v="1"/>
    <n v="1"/>
    <n v="69"/>
    <n v="1905"/>
    <n v="0"/>
    <n v="5"/>
    <s v="Recovered"/>
    <n v="1"/>
  </r>
  <r>
    <s v="ADM-244249"/>
    <d v="2025-07-09T00:00:00"/>
    <d v="2025-07-12T00:00:00"/>
    <x v="1"/>
    <s v="Q3"/>
    <x v="6"/>
    <x v="2"/>
    <x v="4"/>
    <x v="0"/>
    <x v="0"/>
    <x v="0"/>
    <x v="2"/>
    <n v="3"/>
    <n v="30"/>
    <n v="5189"/>
    <n v="0"/>
    <n v="3"/>
    <s v="Recovered"/>
    <n v="1"/>
  </r>
  <r>
    <s v="ADM-244250"/>
    <d v="2025-07-09T00:00:00"/>
    <d v="2025-07-10T00:00:00"/>
    <x v="1"/>
    <s v="Q3"/>
    <x v="6"/>
    <x v="2"/>
    <x v="0"/>
    <x v="0"/>
    <x v="0"/>
    <x v="2"/>
    <x v="0"/>
    <n v="1"/>
    <n v="25"/>
    <n v="1702"/>
    <n v="0"/>
    <n v="4"/>
    <s v="Recovered"/>
    <n v="1"/>
  </r>
  <r>
    <s v="ADM-244251"/>
    <d v="2025-07-09T00:00:00"/>
    <d v="2025-07-13T00:00:00"/>
    <x v="1"/>
    <s v="Q3"/>
    <x v="6"/>
    <x v="2"/>
    <x v="1"/>
    <x v="2"/>
    <x v="1"/>
    <x v="4"/>
    <x v="2"/>
    <n v="4"/>
    <m/>
    <n v="4205"/>
    <n v="0"/>
    <n v="4"/>
    <s v="Transferred"/>
    <n v="1"/>
  </r>
  <r>
    <s v="ADM-244252"/>
    <d v="2025-07-09T00:00:00"/>
    <d v="2025-07-12T00:00:00"/>
    <x v="1"/>
    <s v="Q3"/>
    <x v="6"/>
    <x v="2"/>
    <x v="3"/>
    <x v="2"/>
    <x v="0"/>
    <x v="3"/>
    <x v="0"/>
    <n v="3"/>
    <m/>
    <n v="2704"/>
    <n v="0"/>
    <n v="4"/>
    <s v="Recovered"/>
    <n v="1"/>
  </r>
  <r>
    <s v="ADM-244253"/>
    <d v="2025-07-09T00:00:00"/>
    <d v="2025-07-21T00:00:00"/>
    <x v="1"/>
    <s v="Q3"/>
    <x v="6"/>
    <x v="2"/>
    <x v="0"/>
    <x v="0"/>
    <x v="0"/>
    <x v="4"/>
    <x v="0"/>
    <n v="12"/>
    <n v="52"/>
    <n v="5010"/>
    <n v="0"/>
    <n v="4"/>
    <s v="Improved"/>
    <n v="1"/>
  </r>
  <r>
    <s v="ADM-244254"/>
    <d v="2025-07-09T00:00:00"/>
    <d v="2025-07-10T00:00:00"/>
    <x v="1"/>
    <s v="Q3"/>
    <x v="6"/>
    <x v="2"/>
    <x v="0"/>
    <x v="0"/>
    <x v="0"/>
    <x v="2"/>
    <x v="0"/>
    <n v="1"/>
    <n v="17"/>
    <n v="1060"/>
    <n v="0"/>
    <n v="3"/>
    <s v="Recovered"/>
    <n v="1"/>
  </r>
  <r>
    <s v="ADM-244255"/>
    <d v="2025-07-10T00:00:00"/>
    <d v="2025-07-13T00:00:00"/>
    <x v="1"/>
    <s v="Q3"/>
    <x v="6"/>
    <x v="3"/>
    <x v="5"/>
    <x v="2"/>
    <x v="0"/>
    <x v="0"/>
    <x v="2"/>
    <n v="3"/>
    <m/>
    <n v="3935"/>
    <n v="1"/>
    <n v="4"/>
    <s v="Recovered"/>
    <n v="1"/>
  </r>
  <r>
    <s v="ADM-244256"/>
    <d v="2025-07-10T00:00:00"/>
    <d v="2025-07-14T00:00:00"/>
    <x v="1"/>
    <s v="Q3"/>
    <x v="6"/>
    <x v="3"/>
    <x v="2"/>
    <x v="1"/>
    <x v="0"/>
    <x v="1"/>
    <x v="0"/>
    <n v="4"/>
    <m/>
    <n v="3363"/>
    <n v="0"/>
    <n v="5"/>
    <s v="Recovered"/>
    <n v="1"/>
  </r>
  <r>
    <s v="ADM-244257"/>
    <d v="2025-07-10T00:00:00"/>
    <d v="2025-07-12T00:00:00"/>
    <x v="1"/>
    <s v="Q3"/>
    <x v="6"/>
    <x v="3"/>
    <x v="1"/>
    <x v="2"/>
    <x v="0"/>
    <x v="0"/>
    <x v="0"/>
    <n v="2"/>
    <m/>
    <n v="3544"/>
    <n v="0"/>
    <n v="4"/>
    <s v="Improved"/>
    <n v="1"/>
  </r>
  <r>
    <s v="ADM-244258"/>
    <d v="2025-07-10T00:00:00"/>
    <d v="2025-07-17T00:00:00"/>
    <x v="1"/>
    <s v="Q3"/>
    <x v="6"/>
    <x v="3"/>
    <x v="5"/>
    <x v="2"/>
    <x v="0"/>
    <x v="0"/>
    <x v="0"/>
    <n v="7"/>
    <m/>
    <n v="8527"/>
    <n v="0"/>
    <n v="3"/>
    <s v="Improved"/>
    <n v="1"/>
  </r>
  <r>
    <s v="ADM-244259"/>
    <d v="2025-07-10T00:00:00"/>
    <d v="2025-07-14T00:00:00"/>
    <x v="1"/>
    <s v="Q3"/>
    <x v="6"/>
    <x v="3"/>
    <x v="1"/>
    <x v="0"/>
    <x v="1"/>
    <x v="1"/>
    <x v="2"/>
    <n v="4"/>
    <n v="42"/>
    <n v="3392"/>
    <n v="0"/>
    <n v="3"/>
    <s v="Improved"/>
    <n v="1"/>
  </r>
  <r>
    <s v="ADM-244260"/>
    <d v="2025-07-10T00:00:00"/>
    <d v="2025-07-13T00:00:00"/>
    <x v="1"/>
    <s v="Q3"/>
    <x v="6"/>
    <x v="3"/>
    <x v="0"/>
    <x v="2"/>
    <x v="1"/>
    <x v="4"/>
    <x v="2"/>
    <n v="3"/>
    <m/>
    <n v="3175"/>
    <n v="0"/>
    <n v="4"/>
    <s v="Improved"/>
    <n v="1"/>
  </r>
  <r>
    <s v="ADM-244261"/>
    <d v="2025-07-10T00:00:00"/>
    <d v="2025-07-12T00:00:00"/>
    <x v="1"/>
    <s v="Q3"/>
    <x v="6"/>
    <x v="3"/>
    <x v="1"/>
    <x v="0"/>
    <x v="1"/>
    <x v="4"/>
    <x v="0"/>
    <n v="2"/>
    <n v="19"/>
    <n v="3575"/>
    <n v="0"/>
    <n v="4"/>
    <s v="Recovered"/>
    <n v="1"/>
  </r>
  <r>
    <s v="ADM-244262"/>
    <d v="2025-07-10T00:00:00"/>
    <d v="2025-07-11T00:00:00"/>
    <x v="1"/>
    <s v="Q3"/>
    <x v="6"/>
    <x v="3"/>
    <x v="2"/>
    <x v="2"/>
    <x v="0"/>
    <x v="2"/>
    <x v="0"/>
    <n v="1"/>
    <m/>
    <n v="1353"/>
    <n v="0"/>
    <n v="3"/>
    <s v="Recovered"/>
    <n v="1"/>
  </r>
  <r>
    <s v="ADM-244263"/>
    <d v="2025-07-10T00:00:00"/>
    <d v="2025-07-14T00:00:00"/>
    <x v="1"/>
    <s v="Q3"/>
    <x v="6"/>
    <x v="3"/>
    <x v="4"/>
    <x v="0"/>
    <x v="1"/>
    <x v="4"/>
    <x v="2"/>
    <n v="4"/>
    <n v="18"/>
    <n v="6346"/>
    <n v="0"/>
    <n v="5"/>
    <s v="Recovered"/>
    <n v="1"/>
  </r>
  <r>
    <s v="ADM-244264"/>
    <d v="2025-07-10T00:00:00"/>
    <d v="2025-07-11T00:00:00"/>
    <x v="1"/>
    <s v="Q3"/>
    <x v="6"/>
    <x v="3"/>
    <x v="0"/>
    <x v="2"/>
    <x v="0"/>
    <x v="2"/>
    <x v="2"/>
    <n v="1"/>
    <m/>
    <n v="1304"/>
    <n v="0"/>
    <n v="4"/>
    <s v="Recovered"/>
    <n v="1"/>
  </r>
  <r>
    <s v="ADM-244265"/>
    <d v="2025-07-10T00:00:00"/>
    <d v="2025-07-17T00:00:00"/>
    <x v="1"/>
    <s v="Q3"/>
    <x v="6"/>
    <x v="3"/>
    <x v="5"/>
    <x v="0"/>
    <x v="1"/>
    <x v="1"/>
    <x v="2"/>
    <n v="7"/>
    <n v="55"/>
    <n v="7179"/>
    <n v="0"/>
    <n v="4"/>
    <s v="Recovered"/>
    <n v="1"/>
  </r>
  <r>
    <s v="ADM-244266"/>
    <d v="2025-07-11T00:00:00"/>
    <d v="2025-07-16T00:00:00"/>
    <x v="1"/>
    <s v="Q3"/>
    <x v="6"/>
    <x v="4"/>
    <x v="2"/>
    <x v="0"/>
    <x v="0"/>
    <x v="1"/>
    <x v="0"/>
    <n v="5"/>
    <n v="150"/>
    <n v="4170"/>
    <n v="0"/>
    <n v="4"/>
    <s v="Recovered"/>
    <n v="1"/>
  </r>
  <r>
    <s v="ADM-244267"/>
    <d v="2025-07-11T00:00:00"/>
    <d v="2025-07-14T00:00:00"/>
    <x v="1"/>
    <s v="Q3"/>
    <x v="6"/>
    <x v="4"/>
    <x v="4"/>
    <x v="2"/>
    <x v="0"/>
    <x v="0"/>
    <x v="1"/>
    <n v="3"/>
    <m/>
    <n v="5467"/>
    <n v="0"/>
    <n v="5"/>
    <s v="Improved"/>
    <n v="1"/>
  </r>
  <r>
    <s v="ADM-244268"/>
    <d v="2025-07-11T00:00:00"/>
    <d v="2025-07-14T00:00:00"/>
    <x v="1"/>
    <s v="Q3"/>
    <x v="6"/>
    <x v="4"/>
    <x v="1"/>
    <x v="2"/>
    <x v="0"/>
    <x v="2"/>
    <x v="0"/>
    <n v="3"/>
    <m/>
    <n v="3093"/>
    <n v="0"/>
    <n v="4"/>
    <s v="Recovered"/>
    <n v="1"/>
  </r>
  <r>
    <s v="ADM-244269"/>
    <d v="2025-07-11T00:00:00"/>
    <d v="2025-07-15T00:00:00"/>
    <x v="1"/>
    <s v="Q3"/>
    <x v="6"/>
    <x v="4"/>
    <x v="3"/>
    <x v="0"/>
    <x v="1"/>
    <x v="3"/>
    <x v="2"/>
    <n v="4"/>
    <n v="19"/>
    <n v="3320"/>
    <n v="0"/>
    <n v="5"/>
    <s v="Recovered"/>
    <n v="1"/>
  </r>
  <r>
    <s v="ADM-244270"/>
    <d v="2025-07-11T00:00:00"/>
    <d v="2025-07-22T00:00:00"/>
    <x v="1"/>
    <s v="Q3"/>
    <x v="6"/>
    <x v="4"/>
    <x v="1"/>
    <x v="1"/>
    <x v="0"/>
    <x v="1"/>
    <x v="2"/>
    <n v="11"/>
    <m/>
    <n v="9974"/>
    <n v="0"/>
    <n v="4"/>
    <s v="Recovered"/>
    <n v="1"/>
  </r>
  <r>
    <s v="ADM-244271"/>
    <d v="2025-07-11T00:00:00"/>
    <d v="2025-07-22T00:00:00"/>
    <x v="1"/>
    <s v="Q3"/>
    <x v="6"/>
    <x v="4"/>
    <x v="0"/>
    <x v="0"/>
    <x v="1"/>
    <x v="2"/>
    <x v="2"/>
    <n v="11"/>
    <n v="33"/>
    <n v="8172"/>
    <n v="0"/>
    <n v="3"/>
    <s v="Improved"/>
    <n v="1"/>
  </r>
  <r>
    <s v="ADM-244272"/>
    <d v="2025-07-12T00:00:00"/>
    <d v="2025-07-15T00:00:00"/>
    <x v="1"/>
    <s v="Q3"/>
    <x v="6"/>
    <x v="5"/>
    <x v="2"/>
    <x v="0"/>
    <x v="0"/>
    <x v="2"/>
    <x v="0"/>
    <n v="3"/>
    <n v="19"/>
    <n v="3341"/>
    <n v="0"/>
    <n v="4"/>
    <s v="Recovered"/>
    <n v="1"/>
  </r>
  <r>
    <s v="ADM-244273"/>
    <d v="2025-07-12T00:00:00"/>
    <d v="2025-07-13T00:00:00"/>
    <x v="1"/>
    <s v="Q3"/>
    <x v="6"/>
    <x v="5"/>
    <x v="3"/>
    <x v="1"/>
    <x v="0"/>
    <x v="3"/>
    <x v="0"/>
    <n v="1"/>
    <m/>
    <n v="1001"/>
    <n v="0"/>
    <n v="4"/>
    <s v="Recovered"/>
    <n v="1"/>
  </r>
  <r>
    <s v="ADM-244274"/>
    <d v="2025-07-12T00:00:00"/>
    <d v="2025-07-14T00:00:00"/>
    <x v="1"/>
    <s v="Q3"/>
    <x v="6"/>
    <x v="5"/>
    <x v="3"/>
    <x v="1"/>
    <x v="1"/>
    <x v="3"/>
    <x v="0"/>
    <n v="2"/>
    <m/>
    <n v="1657"/>
    <n v="0"/>
    <n v="4"/>
    <s v="Recovered"/>
    <n v="1"/>
  </r>
  <r>
    <s v="ADM-244275"/>
    <d v="2025-07-12T00:00:00"/>
    <d v="2025-07-13T00:00:00"/>
    <x v="1"/>
    <s v="Q3"/>
    <x v="6"/>
    <x v="5"/>
    <x v="5"/>
    <x v="2"/>
    <x v="1"/>
    <x v="0"/>
    <x v="0"/>
    <n v="1"/>
    <m/>
    <n v="1675"/>
    <n v="0"/>
    <n v="4"/>
    <s v="Recovered"/>
    <n v="1"/>
  </r>
  <r>
    <s v="ADM-244276"/>
    <d v="2025-07-12T00:00:00"/>
    <d v="2025-07-17T00:00:00"/>
    <x v="1"/>
    <s v="Q3"/>
    <x v="6"/>
    <x v="5"/>
    <x v="1"/>
    <x v="2"/>
    <x v="1"/>
    <x v="0"/>
    <x v="2"/>
    <n v="5"/>
    <m/>
    <n v="4653"/>
    <n v="0"/>
    <n v="4"/>
    <s v="Improved"/>
    <n v="1"/>
  </r>
  <r>
    <s v="ADM-244277"/>
    <d v="2025-07-12T00:00:00"/>
    <d v="2025-07-14T00:00:00"/>
    <x v="1"/>
    <s v="Q3"/>
    <x v="6"/>
    <x v="5"/>
    <x v="0"/>
    <x v="2"/>
    <x v="1"/>
    <x v="2"/>
    <x v="2"/>
    <n v="2"/>
    <m/>
    <n v="1693"/>
    <n v="0"/>
    <n v="5"/>
    <s v="Recovered"/>
    <n v="1"/>
  </r>
  <r>
    <s v="ADM-244278"/>
    <d v="2025-07-12T00:00:00"/>
    <d v="2025-07-20T00:00:00"/>
    <x v="1"/>
    <s v="Q3"/>
    <x v="6"/>
    <x v="5"/>
    <x v="4"/>
    <x v="0"/>
    <x v="1"/>
    <x v="4"/>
    <x v="2"/>
    <n v="8"/>
    <n v="39"/>
    <n v="10268"/>
    <n v="0"/>
    <n v="5"/>
    <s v="Recovered"/>
    <n v="1"/>
  </r>
  <r>
    <s v="ADM-244279"/>
    <d v="2025-07-13T00:00:00"/>
    <d v="2025-07-20T00:00:00"/>
    <x v="1"/>
    <s v="Q3"/>
    <x v="6"/>
    <x v="6"/>
    <x v="5"/>
    <x v="2"/>
    <x v="0"/>
    <x v="0"/>
    <x v="2"/>
    <n v="7"/>
    <m/>
    <n v="9265"/>
    <n v="0"/>
    <n v="4"/>
    <s v="Recovered"/>
    <n v="1"/>
  </r>
  <r>
    <s v="ADM-244280"/>
    <d v="2025-07-13T00:00:00"/>
    <d v="2025-07-16T00:00:00"/>
    <x v="1"/>
    <s v="Q3"/>
    <x v="6"/>
    <x v="6"/>
    <x v="2"/>
    <x v="0"/>
    <x v="0"/>
    <x v="2"/>
    <x v="2"/>
    <n v="3"/>
    <n v="39"/>
    <n v="2390"/>
    <n v="0"/>
    <n v="5"/>
    <s v="Improved"/>
    <n v="1"/>
  </r>
  <r>
    <s v="ADM-244281"/>
    <d v="2025-07-14T00:00:00"/>
    <d v="2025-07-17T00:00:00"/>
    <x v="1"/>
    <s v="Q3"/>
    <x v="6"/>
    <x v="0"/>
    <x v="2"/>
    <x v="0"/>
    <x v="0"/>
    <x v="1"/>
    <x v="1"/>
    <n v="3"/>
    <n v="63"/>
    <n v="1973"/>
    <n v="1"/>
    <n v="3"/>
    <s v="Recovered"/>
    <n v="1"/>
  </r>
  <r>
    <s v="ADM-244282"/>
    <d v="2025-07-14T00:00:00"/>
    <d v="2025-07-18T00:00:00"/>
    <x v="1"/>
    <s v="Q3"/>
    <x v="6"/>
    <x v="0"/>
    <x v="0"/>
    <x v="0"/>
    <x v="0"/>
    <x v="0"/>
    <x v="2"/>
    <n v="4"/>
    <n v="50"/>
    <n v="2476"/>
    <n v="1"/>
    <n v="4"/>
    <s v="Recovered"/>
    <n v="1"/>
  </r>
  <r>
    <s v="ADM-244283"/>
    <d v="2025-07-14T00:00:00"/>
    <d v="2025-07-22T00:00:00"/>
    <x v="1"/>
    <s v="Q3"/>
    <x v="6"/>
    <x v="0"/>
    <x v="4"/>
    <x v="0"/>
    <x v="1"/>
    <x v="1"/>
    <x v="0"/>
    <n v="8"/>
    <n v="31"/>
    <n v="12153"/>
    <n v="0"/>
    <n v="4"/>
    <s v="Recovered"/>
    <n v="1"/>
  </r>
  <r>
    <s v="ADM-244284"/>
    <d v="2025-07-14T00:00:00"/>
    <d v="2025-07-19T00:00:00"/>
    <x v="1"/>
    <s v="Q3"/>
    <x v="6"/>
    <x v="0"/>
    <x v="0"/>
    <x v="2"/>
    <x v="0"/>
    <x v="4"/>
    <x v="2"/>
    <n v="5"/>
    <m/>
    <n v="4046"/>
    <n v="0"/>
    <n v="4"/>
    <s v="Recovered"/>
    <n v="1"/>
  </r>
  <r>
    <s v="ADM-244285"/>
    <d v="2025-07-14T00:00:00"/>
    <d v="2025-07-17T00:00:00"/>
    <x v="1"/>
    <s v="Q3"/>
    <x v="6"/>
    <x v="0"/>
    <x v="2"/>
    <x v="0"/>
    <x v="0"/>
    <x v="1"/>
    <x v="2"/>
    <n v="3"/>
    <n v="20"/>
    <n v="2343"/>
    <n v="0"/>
    <n v="5"/>
    <s v="Improved"/>
    <n v="1"/>
  </r>
  <r>
    <s v="ADM-244286"/>
    <d v="2025-07-14T00:00:00"/>
    <d v="2025-07-16T00:00:00"/>
    <x v="1"/>
    <s v="Q3"/>
    <x v="6"/>
    <x v="0"/>
    <x v="3"/>
    <x v="2"/>
    <x v="1"/>
    <x v="3"/>
    <x v="1"/>
    <n v="2"/>
    <m/>
    <n v="1740"/>
    <n v="0"/>
    <n v="4"/>
    <s v="Recovered"/>
    <n v="1"/>
  </r>
  <r>
    <s v="ADM-244287"/>
    <d v="2025-07-14T00:00:00"/>
    <d v="2025-07-16T00:00:00"/>
    <x v="1"/>
    <s v="Q3"/>
    <x v="6"/>
    <x v="0"/>
    <x v="2"/>
    <x v="0"/>
    <x v="0"/>
    <x v="2"/>
    <x v="2"/>
    <n v="2"/>
    <n v="17"/>
    <n v="1948"/>
    <n v="0"/>
    <n v="5"/>
    <s v="Improved"/>
    <n v="1"/>
  </r>
  <r>
    <s v="ADM-244288"/>
    <d v="2025-07-14T00:00:00"/>
    <d v="2025-07-16T00:00:00"/>
    <x v="1"/>
    <s v="Q3"/>
    <x v="6"/>
    <x v="0"/>
    <x v="1"/>
    <x v="2"/>
    <x v="0"/>
    <x v="0"/>
    <x v="0"/>
    <n v="2"/>
    <m/>
    <n v="3794"/>
    <n v="1"/>
    <n v="5"/>
    <s v="Deceased"/>
    <n v="1"/>
  </r>
  <r>
    <s v="ADM-244289"/>
    <d v="2025-07-15T00:00:00"/>
    <d v="2025-07-19T00:00:00"/>
    <x v="1"/>
    <s v="Q3"/>
    <x v="6"/>
    <x v="1"/>
    <x v="0"/>
    <x v="2"/>
    <x v="0"/>
    <x v="2"/>
    <x v="2"/>
    <n v="4"/>
    <m/>
    <n v="2734"/>
    <n v="0"/>
    <n v="5"/>
    <s v="Improved"/>
    <n v="1"/>
  </r>
  <r>
    <s v="ADM-244290"/>
    <d v="2025-07-15T00:00:00"/>
    <d v="2025-07-20T00:00:00"/>
    <x v="1"/>
    <s v="Q3"/>
    <x v="6"/>
    <x v="1"/>
    <x v="2"/>
    <x v="0"/>
    <x v="0"/>
    <x v="1"/>
    <x v="2"/>
    <n v="5"/>
    <n v="123"/>
    <n v="3945"/>
    <n v="0"/>
    <n v="4"/>
    <s v="Improved"/>
    <n v="1"/>
  </r>
  <r>
    <s v="ADM-244291"/>
    <d v="2025-07-15T00:00:00"/>
    <d v="2025-07-28T00:00:00"/>
    <x v="1"/>
    <s v="Q3"/>
    <x v="6"/>
    <x v="1"/>
    <x v="4"/>
    <x v="0"/>
    <x v="0"/>
    <x v="1"/>
    <x v="1"/>
    <n v="13"/>
    <n v="29"/>
    <n v="12996"/>
    <n v="0"/>
    <n v="4"/>
    <s v="Recovered"/>
    <n v="1"/>
  </r>
  <r>
    <s v="ADM-244292"/>
    <d v="2025-07-15T00:00:00"/>
    <d v="2025-07-19T00:00:00"/>
    <x v="1"/>
    <s v="Q3"/>
    <x v="6"/>
    <x v="1"/>
    <x v="1"/>
    <x v="2"/>
    <x v="1"/>
    <x v="0"/>
    <x v="0"/>
    <n v="4"/>
    <m/>
    <n v="3192"/>
    <n v="0"/>
    <n v="5"/>
    <s v="Improved"/>
    <n v="1"/>
  </r>
  <r>
    <s v="ADM-244293"/>
    <d v="2025-07-15T00:00:00"/>
    <d v="2025-07-22T00:00:00"/>
    <x v="1"/>
    <s v="Q3"/>
    <x v="6"/>
    <x v="1"/>
    <x v="5"/>
    <x v="2"/>
    <x v="0"/>
    <x v="2"/>
    <x v="1"/>
    <n v="7"/>
    <m/>
    <n v="5649"/>
    <n v="1"/>
    <n v="4"/>
    <s v="Improved"/>
    <n v="1"/>
  </r>
  <r>
    <s v="ADM-244294"/>
    <d v="2025-07-15T00:00:00"/>
    <d v="2025-07-21T00:00:00"/>
    <x v="1"/>
    <s v="Q3"/>
    <x v="6"/>
    <x v="1"/>
    <x v="2"/>
    <x v="2"/>
    <x v="0"/>
    <x v="1"/>
    <x v="2"/>
    <n v="6"/>
    <m/>
    <n v="4610"/>
    <n v="0"/>
    <n v="4"/>
    <s v="Recovered"/>
    <n v="1"/>
  </r>
  <r>
    <s v="ADM-244295"/>
    <d v="2025-07-15T00:00:00"/>
    <d v="2025-07-24T00:00:00"/>
    <x v="1"/>
    <s v="Q3"/>
    <x v="6"/>
    <x v="1"/>
    <x v="4"/>
    <x v="0"/>
    <x v="0"/>
    <x v="0"/>
    <x v="1"/>
    <n v="9"/>
    <n v="23"/>
    <n v="14230"/>
    <n v="0"/>
    <n v="4"/>
    <s v="Recovered"/>
    <n v="1"/>
  </r>
  <r>
    <s v="ADM-244296"/>
    <d v="2025-07-16T00:00:00"/>
    <d v="2025-07-18T00:00:00"/>
    <x v="1"/>
    <s v="Q3"/>
    <x v="6"/>
    <x v="2"/>
    <x v="2"/>
    <x v="0"/>
    <x v="0"/>
    <x v="1"/>
    <x v="2"/>
    <n v="2"/>
    <n v="45"/>
    <n v="1909"/>
    <n v="0"/>
    <n v="5"/>
    <s v="Improved"/>
    <n v="1"/>
  </r>
  <r>
    <s v="ADM-244297"/>
    <d v="2025-07-16T00:00:00"/>
    <d v="2025-07-26T00:00:00"/>
    <x v="1"/>
    <s v="Q3"/>
    <x v="6"/>
    <x v="2"/>
    <x v="0"/>
    <x v="0"/>
    <x v="0"/>
    <x v="4"/>
    <x v="2"/>
    <n v="10"/>
    <n v="20"/>
    <n v="6810"/>
    <n v="1"/>
    <n v="4"/>
    <s v="Recovered"/>
    <n v="1"/>
  </r>
  <r>
    <s v="ADM-244298"/>
    <d v="2025-07-16T00:00:00"/>
    <d v="2025-07-28T00:00:00"/>
    <x v="1"/>
    <s v="Q3"/>
    <x v="6"/>
    <x v="2"/>
    <x v="1"/>
    <x v="0"/>
    <x v="1"/>
    <x v="0"/>
    <x v="2"/>
    <n v="12"/>
    <n v="16"/>
    <n v="12155"/>
    <n v="0"/>
    <n v="4"/>
    <s v="Improved"/>
    <n v="1"/>
  </r>
  <r>
    <s v="ADM-244299"/>
    <d v="2025-07-16T00:00:00"/>
    <d v="2025-07-23T00:00:00"/>
    <x v="1"/>
    <s v="Q3"/>
    <x v="6"/>
    <x v="2"/>
    <x v="5"/>
    <x v="2"/>
    <x v="1"/>
    <x v="1"/>
    <x v="0"/>
    <n v="7"/>
    <m/>
    <n v="6415"/>
    <n v="0"/>
    <n v="4"/>
    <s v="Recovered"/>
    <n v="1"/>
  </r>
  <r>
    <s v="ADM-244300"/>
    <d v="2025-07-16T00:00:00"/>
    <d v="2025-07-18T00:00:00"/>
    <x v="1"/>
    <s v="Q3"/>
    <x v="6"/>
    <x v="2"/>
    <x v="1"/>
    <x v="0"/>
    <x v="1"/>
    <x v="4"/>
    <x v="2"/>
    <n v="2"/>
    <n v="27"/>
    <n v="3037"/>
    <n v="0"/>
    <n v="4"/>
    <s v="Improved"/>
    <n v="1"/>
  </r>
  <r>
    <s v="ADM-244301"/>
    <d v="2025-07-16T00:00:00"/>
    <d v="2025-07-21T00:00:00"/>
    <x v="1"/>
    <s v="Q3"/>
    <x v="6"/>
    <x v="2"/>
    <x v="4"/>
    <x v="2"/>
    <x v="0"/>
    <x v="4"/>
    <x v="2"/>
    <n v="5"/>
    <m/>
    <n v="6333"/>
    <n v="0"/>
    <n v="4"/>
    <s v="Improved"/>
    <n v="1"/>
  </r>
  <r>
    <s v="ADM-244302"/>
    <d v="2025-07-16T00:00:00"/>
    <d v="2025-07-18T00:00:00"/>
    <x v="1"/>
    <s v="Q3"/>
    <x v="6"/>
    <x v="2"/>
    <x v="0"/>
    <x v="1"/>
    <x v="1"/>
    <x v="4"/>
    <x v="2"/>
    <n v="2"/>
    <m/>
    <n v="1786"/>
    <n v="0"/>
    <n v="5"/>
    <s v="Recovered"/>
    <n v="1"/>
  </r>
  <r>
    <s v="ADM-244303"/>
    <d v="2025-07-17T00:00:00"/>
    <d v="2025-07-18T00:00:00"/>
    <x v="1"/>
    <s v="Q3"/>
    <x v="6"/>
    <x v="3"/>
    <x v="0"/>
    <x v="0"/>
    <x v="0"/>
    <x v="1"/>
    <x v="2"/>
    <n v="1"/>
    <n v="25"/>
    <n v="1572"/>
    <n v="0"/>
    <n v="4"/>
    <s v="Recovered"/>
    <n v="1"/>
  </r>
  <r>
    <s v="ADM-244304"/>
    <d v="2025-07-17T00:00:00"/>
    <d v="2025-07-29T00:00:00"/>
    <x v="1"/>
    <s v="Q3"/>
    <x v="6"/>
    <x v="3"/>
    <x v="4"/>
    <x v="0"/>
    <x v="1"/>
    <x v="2"/>
    <x v="0"/>
    <n v="12"/>
    <n v="35"/>
    <n v="14852"/>
    <n v="0"/>
    <n v="5"/>
    <s v="Improved"/>
    <n v="1"/>
  </r>
  <r>
    <s v="ADM-244305"/>
    <d v="2025-07-17T00:00:00"/>
    <d v="2025-07-18T00:00:00"/>
    <x v="1"/>
    <s v="Q3"/>
    <x v="6"/>
    <x v="3"/>
    <x v="4"/>
    <x v="0"/>
    <x v="1"/>
    <x v="4"/>
    <x v="2"/>
    <n v="1"/>
    <n v="41"/>
    <n v="1213"/>
    <n v="0"/>
    <n v="4"/>
    <s v="Improved"/>
    <n v="1"/>
  </r>
  <r>
    <s v="ADM-244306"/>
    <d v="2025-07-18T00:00:00"/>
    <d v="2025-07-23T00:00:00"/>
    <x v="1"/>
    <s v="Q3"/>
    <x v="6"/>
    <x v="4"/>
    <x v="2"/>
    <x v="0"/>
    <x v="0"/>
    <x v="2"/>
    <x v="2"/>
    <n v="5"/>
    <n v="25"/>
    <n v="3374"/>
    <n v="0"/>
    <n v="5"/>
    <s v="Improved"/>
    <n v="1"/>
  </r>
  <r>
    <s v="ADM-244307"/>
    <d v="2025-07-18T00:00:00"/>
    <d v="2025-07-19T00:00:00"/>
    <x v="1"/>
    <s v="Q3"/>
    <x v="6"/>
    <x v="4"/>
    <x v="4"/>
    <x v="1"/>
    <x v="1"/>
    <x v="4"/>
    <x v="2"/>
    <n v="1"/>
    <m/>
    <n v="1854"/>
    <n v="0"/>
    <n v="4"/>
    <s v="Recovered"/>
    <n v="1"/>
  </r>
  <r>
    <s v="ADM-244308"/>
    <d v="2025-07-18T00:00:00"/>
    <d v="2025-07-19T00:00:00"/>
    <x v="1"/>
    <s v="Q3"/>
    <x v="6"/>
    <x v="4"/>
    <x v="2"/>
    <x v="0"/>
    <x v="0"/>
    <x v="2"/>
    <x v="0"/>
    <n v="1"/>
    <n v="31"/>
    <n v="1254"/>
    <n v="0"/>
    <n v="4"/>
    <s v="Recovered"/>
    <n v="1"/>
  </r>
  <r>
    <s v="ADM-244309"/>
    <d v="2025-07-18T00:00:00"/>
    <d v="2025-07-25T00:00:00"/>
    <x v="1"/>
    <s v="Q3"/>
    <x v="6"/>
    <x v="4"/>
    <x v="4"/>
    <x v="0"/>
    <x v="1"/>
    <x v="0"/>
    <x v="1"/>
    <n v="7"/>
    <n v="23"/>
    <n v="8147"/>
    <n v="0"/>
    <n v="5"/>
    <s v="Recovered"/>
    <n v="1"/>
  </r>
  <r>
    <s v="ADM-244310"/>
    <d v="2025-07-18T00:00:00"/>
    <d v="2025-07-23T00:00:00"/>
    <x v="1"/>
    <s v="Q3"/>
    <x v="6"/>
    <x v="4"/>
    <x v="2"/>
    <x v="0"/>
    <x v="0"/>
    <x v="2"/>
    <x v="2"/>
    <n v="5"/>
    <n v="25"/>
    <n v="3866"/>
    <n v="0"/>
    <n v="4"/>
    <s v="Recovered"/>
    <n v="1"/>
  </r>
  <r>
    <s v="ADM-244311"/>
    <d v="2025-07-19T00:00:00"/>
    <d v="2025-07-20T00:00:00"/>
    <x v="1"/>
    <s v="Q3"/>
    <x v="6"/>
    <x v="5"/>
    <x v="3"/>
    <x v="0"/>
    <x v="1"/>
    <x v="3"/>
    <x v="2"/>
    <n v="1"/>
    <n v="65"/>
    <n v="1586"/>
    <n v="0"/>
    <n v="5"/>
    <s v="Improved"/>
    <n v="1"/>
  </r>
  <r>
    <s v="ADM-244312"/>
    <d v="2025-07-19T00:00:00"/>
    <d v="2025-07-30T00:00:00"/>
    <x v="1"/>
    <s v="Q3"/>
    <x v="6"/>
    <x v="5"/>
    <x v="4"/>
    <x v="0"/>
    <x v="0"/>
    <x v="1"/>
    <x v="0"/>
    <n v="11"/>
    <n v="47"/>
    <n v="17300"/>
    <n v="0"/>
    <n v="4"/>
    <s v="Improved"/>
    <n v="1"/>
  </r>
  <r>
    <s v="ADM-244313"/>
    <d v="2025-07-19T00:00:00"/>
    <d v="2025-07-20T00:00:00"/>
    <x v="1"/>
    <s v="Q3"/>
    <x v="6"/>
    <x v="5"/>
    <x v="2"/>
    <x v="2"/>
    <x v="0"/>
    <x v="1"/>
    <x v="2"/>
    <n v="1"/>
    <m/>
    <n v="1298"/>
    <n v="0"/>
    <n v="4"/>
    <s v="Recovered"/>
    <n v="1"/>
  </r>
  <r>
    <s v="ADM-244314"/>
    <d v="2025-07-19T00:00:00"/>
    <d v="2025-07-24T00:00:00"/>
    <x v="1"/>
    <s v="Q3"/>
    <x v="6"/>
    <x v="5"/>
    <x v="0"/>
    <x v="0"/>
    <x v="1"/>
    <x v="0"/>
    <x v="0"/>
    <n v="5"/>
    <n v="102"/>
    <n v="2975"/>
    <n v="0"/>
    <n v="2"/>
    <s v="Improved"/>
    <n v="1"/>
  </r>
  <r>
    <s v="ADM-244315"/>
    <d v="2025-07-19T00:00:00"/>
    <d v="2025-07-20T00:00:00"/>
    <x v="1"/>
    <s v="Q3"/>
    <x v="6"/>
    <x v="5"/>
    <x v="2"/>
    <x v="0"/>
    <x v="0"/>
    <x v="2"/>
    <x v="2"/>
    <n v="1"/>
    <n v="166"/>
    <n v="1410"/>
    <n v="0"/>
    <n v="1"/>
    <s v="Recovered"/>
    <n v="1"/>
  </r>
  <r>
    <s v="ADM-244316"/>
    <d v="2025-07-19T00:00:00"/>
    <d v="2025-07-22T00:00:00"/>
    <x v="1"/>
    <s v="Q3"/>
    <x v="6"/>
    <x v="5"/>
    <x v="2"/>
    <x v="2"/>
    <x v="0"/>
    <x v="1"/>
    <x v="0"/>
    <n v="3"/>
    <m/>
    <n v="3104"/>
    <n v="0"/>
    <n v="3"/>
    <s v="Recovered"/>
    <n v="1"/>
  </r>
  <r>
    <s v="ADM-244317"/>
    <d v="2025-07-19T00:00:00"/>
    <d v="2025-07-21T00:00:00"/>
    <x v="1"/>
    <s v="Q3"/>
    <x v="6"/>
    <x v="5"/>
    <x v="3"/>
    <x v="0"/>
    <x v="1"/>
    <x v="3"/>
    <x v="0"/>
    <n v="2"/>
    <n v="21"/>
    <n v="2353"/>
    <n v="0"/>
    <n v="5"/>
    <s v="Recovered"/>
    <n v="1"/>
  </r>
  <r>
    <s v="ADM-244318"/>
    <d v="2025-07-20T00:00:00"/>
    <d v="2025-07-22T00:00:00"/>
    <x v="1"/>
    <s v="Q3"/>
    <x v="6"/>
    <x v="6"/>
    <x v="1"/>
    <x v="0"/>
    <x v="0"/>
    <x v="1"/>
    <x v="2"/>
    <n v="2"/>
    <n v="43"/>
    <n v="2815"/>
    <n v="0"/>
    <n v="4"/>
    <s v="Transferred"/>
    <n v="1"/>
  </r>
  <r>
    <s v="ADM-244319"/>
    <d v="2025-07-20T00:00:00"/>
    <d v="2025-07-25T00:00:00"/>
    <x v="1"/>
    <s v="Q3"/>
    <x v="6"/>
    <x v="6"/>
    <x v="4"/>
    <x v="0"/>
    <x v="1"/>
    <x v="1"/>
    <x v="0"/>
    <n v="5"/>
    <n v="58"/>
    <n v="6641"/>
    <n v="0"/>
    <n v="3"/>
    <s v="Improved"/>
    <n v="1"/>
  </r>
  <r>
    <s v="ADM-244320"/>
    <d v="2025-07-20T00:00:00"/>
    <d v="2025-07-25T00:00:00"/>
    <x v="1"/>
    <s v="Q3"/>
    <x v="6"/>
    <x v="6"/>
    <x v="0"/>
    <x v="0"/>
    <x v="1"/>
    <x v="4"/>
    <x v="0"/>
    <n v="5"/>
    <n v="71"/>
    <n v="4786"/>
    <n v="0"/>
    <n v="4"/>
    <s v="Recovered"/>
    <n v="1"/>
  </r>
  <r>
    <s v="ADM-244321"/>
    <d v="2025-07-20T00:00:00"/>
    <d v="2025-07-24T00:00:00"/>
    <x v="1"/>
    <s v="Q3"/>
    <x v="6"/>
    <x v="6"/>
    <x v="0"/>
    <x v="2"/>
    <x v="0"/>
    <x v="1"/>
    <x v="0"/>
    <n v="4"/>
    <m/>
    <n v="3014"/>
    <n v="1"/>
    <n v="3"/>
    <s v="Recovered"/>
    <n v="1"/>
  </r>
  <r>
    <s v="ADM-244322"/>
    <d v="2025-07-20T00:00:00"/>
    <d v="2025-07-26T00:00:00"/>
    <x v="1"/>
    <s v="Q3"/>
    <x v="6"/>
    <x v="6"/>
    <x v="3"/>
    <x v="0"/>
    <x v="1"/>
    <x v="3"/>
    <x v="0"/>
    <n v="6"/>
    <n v="20"/>
    <n v="4303"/>
    <n v="0"/>
    <n v="4"/>
    <s v="Improved"/>
    <n v="1"/>
  </r>
  <r>
    <s v="ADM-244323"/>
    <d v="2025-07-21T00:00:00"/>
    <d v="2025-07-25T00:00:00"/>
    <x v="1"/>
    <s v="Q3"/>
    <x v="6"/>
    <x v="0"/>
    <x v="4"/>
    <x v="0"/>
    <x v="0"/>
    <x v="1"/>
    <x v="2"/>
    <n v="4"/>
    <n v="48"/>
    <n v="6865"/>
    <n v="0"/>
    <n v="4"/>
    <s v="Improved"/>
    <n v="1"/>
  </r>
  <r>
    <s v="ADM-244324"/>
    <d v="2025-07-21T00:00:00"/>
    <d v="2025-07-26T00:00:00"/>
    <x v="1"/>
    <s v="Q3"/>
    <x v="6"/>
    <x v="0"/>
    <x v="4"/>
    <x v="0"/>
    <x v="0"/>
    <x v="1"/>
    <x v="2"/>
    <n v="5"/>
    <n v="36"/>
    <n v="7545"/>
    <n v="0"/>
    <n v="4"/>
    <s v="Recovered"/>
    <n v="1"/>
  </r>
  <r>
    <s v="ADM-244325"/>
    <d v="2025-07-21T00:00:00"/>
    <d v="2025-07-26T00:00:00"/>
    <x v="1"/>
    <s v="Q3"/>
    <x v="6"/>
    <x v="0"/>
    <x v="5"/>
    <x v="1"/>
    <x v="0"/>
    <x v="2"/>
    <x v="2"/>
    <n v="5"/>
    <m/>
    <n v="5032"/>
    <n v="0"/>
    <n v="4"/>
    <s v="Recovered"/>
    <n v="1"/>
  </r>
  <r>
    <s v="ADM-244326"/>
    <d v="2025-07-21T00:00:00"/>
    <d v="2025-07-24T00:00:00"/>
    <x v="1"/>
    <s v="Q3"/>
    <x v="6"/>
    <x v="0"/>
    <x v="3"/>
    <x v="0"/>
    <x v="1"/>
    <x v="3"/>
    <x v="0"/>
    <n v="3"/>
    <n v="36"/>
    <n v="2735"/>
    <n v="0"/>
    <n v="5"/>
    <s v="Recovered"/>
    <n v="1"/>
  </r>
  <r>
    <s v="ADM-244327"/>
    <d v="2025-07-21T00:00:00"/>
    <d v="2025-07-29T00:00:00"/>
    <x v="1"/>
    <s v="Q3"/>
    <x v="6"/>
    <x v="0"/>
    <x v="4"/>
    <x v="0"/>
    <x v="0"/>
    <x v="1"/>
    <x v="0"/>
    <n v="8"/>
    <n v="37"/>
    <n v="10087"/>
    <n v="0"/>
    <n v="5"/>
    <s v="Improved"/>
    <n v="1"/>
  </r>
  <r>
    <s v="ADM-244328"/>
    <d v="2025-07-21T00:00:00"/>
    <d v="2025-07-22T00:00:00"/>
    <x v="1"/>
    <s v="Q3"/>
    <x v="6"/>
    <x v="0"/>
    <x v="1"/>
    <x v="0"/>
    <x v="1"/>
    <x v="1"/>
    <x v="0"/>
    <n v="1"/>
    <n v="71"/>
    <n v="1837"/>
    <n v="0"/>
    <n v="3"/>
    <s v="Recovered"/>
    <n v="1"/>
  </r>
  <r>
    <s v="ADM-244329"/>
    <d v="2025-07-21T00:00:00"/>
    <d v="2025-07-22T00:00:00"/>
    <x v="1"/>
    <s v="Q3"/>
    <x v="6"/>
    <x v="0"/>
    <x v="5"/>
    <x v="0"/>
    <x v="1"/>
    <x v="4"/>
    <x v="0"/>
    <n v="1"/>
    <n v="76"/>
    <n v="1876"/>
    <n v="0"/>
    <n v="5"/>
    <s v="Recovered"/>
    <n v="1"/>
  </r>
  <r>
    <s v="ADM-244330"/>
    <d v="2025-07-22T00:00:00"/>
    <d v="2025-07-29T00:00:00"/>
    <x v="1"/>
    <s v="Q3"/>
    <x v="6"/>
    <x v="1"/>
    <x v="0"/>
    <x v="0"/>
    <x v="1"/>
    <x v="0"/>
    <x v="2"/>
    <n v="7"/>
    <n v="31"/>
    <n v="5797"/>
    <n v="0"/>
    <n v="4"/>
    <s v="Recovered"/>
    <n v="1"/>
  </r>
  <r>
    <s v="ADM-244331"/>
    <d v="2025-07-22T00:00:00"/>
    <d v="2025-07-23T00:00:00"/>
    <x v="1"/>
    <s v="Q3"/>
    <x v="6"/>
    <x v="1"/>
    <x v="3"/>
    <x v="1"/>
    <x v="1"/>
    <x v="3"/>
    <x v="2"/>
    <n v="1"/>
    <m/>
    <n v="1245"/>
    <n v="0"/>
    <n v="3"/>
    <s v="Improved"/>
    <n v="1"/>
  </r>
  <r>
    <s v="ADM-244332"/>
    <d v="2025-07-22T00:00:00"/>
    <d v="2025-07-23T00:00:00"/>
    <x v="1"/>
    <s v="Q3"/>
    <x v="6"/>
    <x v="1"/>
    <x v="3"/>
    <x v="2"/>
    <x v="1"/>
    <x v="3"/>
    <x v="0"/>
    <n v="1"/>
    <m/>
    <n v="1855"/>
    <n v="0"/>
    <n v="4"/>
    <s v="Recovered"/>
    <n v="1"/>
  </r>
  <r>
    <s v="ADM-244333"/>
    <d v="2025-07-22T00:00:00"/>
    <d v="2025-08-01T00:00:00"/>
    <x v="1"/>
    <s v="Q3"/>
    <x v="6"/>
    <x v="1"/>
    <x v="1"/>
    <x v="2"/>
    <x v="1"/>
    <x v="0"/>
    <x v="0"/>
    <n v="10"/>
    <m/>
    <n v="10922"/>
    <n v="0"/>
    <n v="4"/>
    <s v="Improved"/>
    <n v="1"/>
  </r>
  <r>
    <s v="ADM-244334"/>
    <d v="2025-07-22T00:00:00"/>
    <d v="2025-07-25T00:00:00"/>
    <x v="1"/>
    <s v="Q3"/>
    <x v="6"/>
    <x v="1"/>
    <x v="0"/>
    <x v="0"/>
    <x v="1"/>
    <x v="2"/>
    <x v="0"/>
    <n v="3"/>
    <n v="41"/>
    <n v="2236"/>
    <n v="0"/>
    <n v="5"/>
    <s v="Recovered"/>
    <n v="1"/>
  </r>
  <r>
    <s v="ADM-244335"/>
    <d v="2025-07-22T00:00:00"/>
    <d v="2025-07-28T00:00:00"/>
    <x v="1"/>
    <s v="Q3"/>
    <x v="6"/>
    <x v="1"/>
    <x v="5"/>
    <x v="2"/>
    <x v="1"/>
    <x v="0"/>
    <x v="2"/>
    <n v="6"/>
    <m/>
    <n v="5009"/>
    <n v="0"/>
    <n v="5"/>
    <s v="Improved"/>
    <n v="1"/>
  </r>
  <r>
    <s v="ADM-244336"/>
    <d v="2025-07-22T00:00:00"/>
    <d v="2025-07-28T00:00:00"/>
    <x v="1"/>
    <s v="Q3"/>
    <x v="6"/>
    <x v="1"/>
    <x v="1"/>
    <x v="2"/>
    <x v="0"/>
    <x v="0"/>
    <x v="0"/>
    <n v="6"/>
    <m/>
    <n v="8467"/>
    <n v="0"/>
    <n v="3"/>
    <s v="Recovered"/>
    <n v="1"/>
  </r>
  <r>
    <s v="ADM-244337"/>
    <d v="2025-07-23T00:00:00"/>
    <d v="2025-08-03T00:00:00"/>
    <x v="1"/>
    <s v="Q3"/>
    <x v="6"/>
    <x v="2"/>
    <x v="0"/>
    <x v="0"/>
    <x v="0"/>
    <x v="4"/>
    <x v="0"/>
    <n v="11"/>
    <n v="12"/>
    <n v="7587"/>
    <n v="0"/>
    <n v="4"/>
    <s v="Recovered"/>
    <n v="1"/>
  </r>
  <r>
    <s v="ADM-244338"/>
    <d v="2025-07-23T00:00:00"/>
    <d v="2025-07-31T00:00:00"/>
    <x v="1"/>
    <s v="Q3"/>
    <x v="6"/>
    <x v="2"/>
    <x v="0"/>
    <x v="0"/>
    <x v="0"/>
    <x v="0"/>
    <x v="2"/>
    <n v="8"/>
    <n v="56"/>
    <n v="6374"/>
    <n v="0"/>
    <n v="5"/>
    <s v="Recovered"/>
    <n v="1"/>
  </r>
  <r>
    <s v="ADM-244339"/>
    <d v="2025-07-23T00:00:00"/>
    <d v="2025-07-29T00:00:00"/>
    <x v="1"/>
    <s v="Q3"/>
    <x v="6"/>
    <x v="2"/>
    <x v="0"/>
    <x v="0"/>
    <x v="0"/>
    <x v="1"/>
    <x v="2"/>
    <n v="6"/>
    <n v="97"/>
    <n v="5503"/>
    <n v="1"/>
    <n v="4"/>
    <s v="Improved"/>
    <n v="1"/>
  </r>
  <r>
    <s v="ADM-244340"/>
    <d v="2025-07-24T00:00:00"/>
    <d v="2025-07-26T00:00:00"/>
    <x v="1"/>
    <s v="Q3"/>
    <x v="6"/>
    <x v="3"/>
    <x v="2"/>
    <x v="0"/>
    <x v="0"/>
    <x v="2"/>
    <x v="2"/>
    <n v="2"/>
    <n v="57"/>
    <n v="2077"/>
    <n v="0"/>
    <n v="4"/>
    <s v="Recovered"/>
    <n v="1"/>
  </r>
  <r>
    <s v="ADM-244341"/>
    <d v="2025-07-24T00:00:00"/>
    <d v="2025-07-27T00:00:00"/>
    <x v="1"/>
    <s v="Q3"/>
    <x v="6"/>
    <x v="3"/>
    <x v="0"/>
    <x v="0"/>
    <x v="0"/>
    <x v="4"/>
    <x v="0"/>
    <n v="3"/>
    <n v="29"/>
    <n v="3298"/>
    <n v="0"/>
    <n v="5"/>
    <s v="Recovered"/>
    <n v="1"/>
  </r>
  <r>
    <s v="ADM-244342"/>
    <d v="2025-07-24T00:00:00"/>
    <d v="2025-07-27T00:00:00"/>
    <x v="1"/>
    <s v="Q3"/>
    <x v="6"/>
    <x v="3"/>
    <x v="1"/>
    <x v="2"/>
    <x v="0"/>
    <x v="1"/>
    <x v="1"/>
    <n v="3"/>
    <m/>
    <n v="4178"/>
    <n v="0"/>
    <n v="4"/>
    <s v="Improved"/>
    <n v="1"/>
  </r>
  <r>
    <s v="ADM-244343"/>
    <d v="2025-07-24T00:00:00"/>
    <d v="2025-07-27T00:00:00"/>
    <x v="1"/>
    <s v="Q3"/>
    <x v="6"/>
    <x v="3"/>
    <x v="1"/>
    <x v="2"/>
    <x v="0"/>
    <x v="2"/>
    <x v="1"/>
    <n v="3"/>
    <m/>
    <n v="4000"/>
    <n v="0"/>
    <n v="5"/>
    <s v="Improved"/>
    <n v="1"/>
  </r>
  <r>
    <s v="ADM-244344"/>
    <d v="2025-07-24T00:00:00"/>
    <d v="2025-07-28T00:00:00"/>
    <x v="1"/>
    <s v="Q3"/>
    <x v="6"/>
    <x v="3"/>
    <x v="0"/>
    <x v="2"/>
    <x v="0"/>
    <x v="0"/>
    <x v="0"/>
    <n v="4"/>
    <m/>
    <n v="3204"/>
    <n v="0"/>
    <n v="5"/>
    <s v="Recovered"/>
    <n v="1"/>
  </r>
  <r>
    <s v="ADM-244345"/>
    <d v="2025-07-24T00:00:00"/>
    <d v="2025-07-28T00:00:00"/>
    <x v="1"/>
    <s v="Q3"/>
    <x v="6"/>
    <x v="3"/>
    <x v="0"/>
    <x v="0"/>
    <x v="1"/>
    <x v="2"/>
    <x v="0"/>
    <n v="4"/>
    <n v="33"/>
    <n v="2912"/>
    <n v="0"/>
    <n v="4"/>
    <s v="Recovered"/>
    <n v="1"/>
  </r>
  <r>
    <s v="ADM-244346"/>
    <d v="2025-07-24T00:00:00"/>
    <d v="2025-07-28T00:00:00"/>
    <x v="1"/>
    <s v="Q3"/>
    <x v="6"/>
    <x v="3"/>
    <x v="3"/>
    <x v="2"/>
    <x v="0"/>
    <x v="3"/>
    <x v="2"/>
    <n v="4"/>
    <m/>
    <n v="3729"/>
    <n v="0"/>
    <n v="4"/>
    <s v="Improved"/>
    <n v="1"/>
  </r>
  <r>
    <s v="ADM-244347"/>
    <d v="2025-07-24T00:00:00"/>
    <d v="2025-07-27T00:00:00"/>
    <x v="1"/>
    <s v="Q3"/>
    <x v="6"/>
    <x v="3"/>
    <x v="0"/>
    <x v="0"/>
    <x v="1"/>
    <x v="1"/>
    <x v="0"/>
    <n v="3"/>
    <n v="40"/>
    <n v="3606"/>
    <n v="0"/>
    <n v="5"/>
    <s v="Recovered"/>
    <n v="1"/>
  </r>
  <r>
    <s v="ADM-244348"/>
    <d v="2025-07-24T00:00:00"/>
    <d v="2025-07-30T00:00:00"/>
    <x v="1"/>
    <s v="Q3"/>
    <x v="6"/>
    <x v="3"/>
    <x v="4"/>
    <x v="2"/>
    <x v="1"/>
    <x v="0"/>
    <x v="0"/>
    <n v="6"/>
    <m/>
    <n v="6383"/>
    <n v="0"/>
    <n v="4"/>
    <s v="Improved"/>
    <n v="1"/>
  </r>
  <r>
    <s v="ADM-244349"/>
    <d v="2025-07-25T00:00:00"/>
    <d v="2025-07-27T00:00:00"/>
    <x v="1"/>
    <s v="Q3"/>
    <x v="6"/>
    <x v="4"/>
    <x v="0"/>
    <x v="2"/>
    <x v="0"/>
    <x v="4"/>
    <x v="0"/>
    <n v="2"/>
    <m/>
    <n v="2206"/>
    <n v="0"/>
    <n v="3"/>
    <s v="Recovered"/>
    <n v="1"/>
  </r>
  <r>
    <s v="ADM-244350"/>
    <d v="2025-07-25T00:00:00"/>
    <d v="2025-07-29T00:00:00"/>
    <x v="1"/>
    <s v="Q3"/>
    <x v="6"/>
    <x v="4"/>
    <x v="3"/>
    <x v="0"/>
    <x v="1"/>
    <x v="3"/>
    <x v="2"/>
    <n v="4"/>
    <n v="24"/>
    <n v="2887"/>
    <n v="0"/>
    <n v="5"/>
    <s v="Recovered"/>
    <n v="1"/>
  </r>
  <r>
    <s v="ADM-244351"/>
    <d v="2025-07-25T00:00:00"/>
    <d v="2025-07-29T00:00:00"/>
    <x v="1"/>
    <s v="Q3"/>
    <x v="6"/>
    <x v="4"/>
    <x v="3"/>
    <x v="0"/>
    <x v="0"/>
    <x v="3"/>
    <x v="2"/>
    <n v="4"/>
    <n v="160"/>
    <n v="2583"/>
    <n v="0"/>
    <n v="3"/>
    <s v="Recovered"/>
    <n v="1"/>
  </r>
  <r>
    <s v="ADM-244352"/>
    <d v="2025-07-25T00:00:00"/>
    <d v="2025-08-03T00:00:00"/>
    <x v="1"/>
    <s v="Q3"/>
    <x v="6"/>
    <x v="4"/>
    <x v="4"/>
    <x v="0"/>
    <x v="0"/>
    <x v="0"/>
    <x v="0"/>
    <n v="9"/>
    <n v="79"/>
    <n v="11564"/>
    <n v="0"/>
    <n v="4"/>
    <s v="Deceased"/>
    <n v="1"/>
  </r>
  <r>
    <s v="ADM-244353"/>
    <d v="2025-07-25T00:00:00"/>
    <d v="2025-07-29T00:00:00"/>
    <x v="1"/>
    <s v="Q3"/>
    <x v="6"/>
    <x v="4"/>
    <x v="1"/>
    <x v="0"/>
    <x v="1"/>
    <x v="1"/>
    <x v="2"/>
    <n v="4"/>
    <n v="47"/>
    <n v="4685"/>
    <n v="0"/>
    <n v="5"/>
    <s v="Recovered"/>
    <n v="1"/>
  </r>
  <r>
    <s v="ADM-244354"/>
    <d v="2025-07-25T00:00:00"/>
    <d v="2025-07-27T00:00:00"/>
    <x v="1"/>
    <s v="Q3"/>
    <x v="6"/>
    <x v="4"/>
    <x v="3"/>
    <x v="2"/>
    <x v="1"/>
    <x v="3"/>
    <x v="1"/>
    <n v="2"/>
    <m/>
    <n v="2311"/>
    <n v="0"/>
    <n v="5"/>
    <s v="Recovered"/>
    <n v="1"/>
  </r>
  <r>
    <s v="ADM-244355"/>
    <d v="2025-07-26T00:00:00"/>
    <d v="2025-07-30T00:00:00"/>
    <x v="1"/>
    <s v="Q3"/>
    <x v="6"/>
    <x v="5"/>
    <x v="2"/>
    <x v="0"/>
    <x v="0"/>
    <x v="1"/>
    <x v="1"/>
    <n v="4"/>
    <n v="29"/>
    <n v="3685"/>
    <n v="0"/>
    <n v="5"/>
    <s v="Improved"/>
    <n v="1"/>
  </r>
  <r>
    <s v="ADM-244356"/>
    <d v="2025-07-26T00:00:00"/>
    <d v="2025-08-04T00:00:00"/>
    <x v="1"/>
    <s v="Q3"/>
    <x v="6"/>
    <x v="5"/>
    <x v="5"/>
    <x v="2"/>
    <x v="1"/>
    <x v="4"/>
    <x v="2"/>
    <n v="9"/>
    <m/>
    <n v="9411"/>
    <n v="0"/>
    <n v="4"/>
    <s v="Recovered"/>
    <n v="1"/>
  </r>
  <r>
    <s v="ADM-244357"/>
    <d v="2025-07-26T00:00:00"/>
    <d v="2025-08-05T00:00:00"/>
    <x v="1"/>
    <s v="Q3"/>
    <x v="6"/>
    <x v="5"/>
    <x v="4"/>
    <x v="2"/>
    <x v="0"/>
    <x v="0"/>
    <x v="1"/>
    <n v="10"/>
    <m/>
    <n v="9971"/>
    <n v="0"/>
    <n v="5"/>
    <s v="Improved"/>
    <n v="1"/>
  </r>
  <r>
    <s v="ADM-244358"/>
    <d v="2025-07-26T00:00:00"/>
    <d v="2025-08-19T00:00:00"/>
    <x v="1"/>
    <s v="Q3"/>
    <x v="6"/>
    <x v="5"/>
    <x v="4"/>
    <x v="0"/>
    <x v="1"/>
    <x v="0"/>
    <x v="0"/>
    <n v="24"/>
    <n v="14"/>
    <n v="25483"/>
    <n v="1"/>
    <n v="5"/>
    <s v="Recovered"/>
    <n v="1"/>
  </r>
  <r>
    <s v="ADM-244359"/>
    <d v="2025-07-26T00:00:00"/>
    <d v="2025-07-29T00:00:00"/>
    <x v="1"/>
    <s v="Q3"/>
    <x v="6"/>
    <x v="5"/>
    <x v="4"/>
    <x v="0"/>
    <x v="0"/>
    <x v="4"/>
    <x v="2"/>
    <n v="3"/>
    <n v="72"/>
    <n v="3079"/>
    <n v="0"/>
    <n v="5"/>
    <s v="Improved"/>
    <n v="1"/>
  </r>
  <r>
    <s v="ADM-244360"/>
    <d v="2025-07-26T00:00:00"/>
    <d v="2025-07-27T00:00:00"/>
    <x v="1"/>
    <s v="Q3"/>
    <x v="6"/>
    <x v="5"/>
    <x v="1"/>
    <x v="2"/>
    <x v="0"/>
    <x v="4"/>
    <x v="2"/>
    <n v="1"/>
    <m/>
    <n v="2197"/>
    <n v="0"/>
    <n v="5"/>
    <s v="Recovered"/>
    <n v="1"/>
  </r>
  <r>
    <s v="ADM-244361"/>
    <d v="2025-07-27T00:00:00"/>
    <d v="2025-08-06T00:00:00"/>
    <x v="1"/>
    <s v="Q3"/>
    <x v="6"/>
    <x v="6"/>
    <x v="0"/>
    <x v="2"/>
    <x v="0"/>
    <x v="0"/>
    <x v="2"/>
    <n v="10"/>
    <m/>
    <n v="6161"/>
    <n v="0"/>
    <n v="4"/>
    <s v="Recovered"/>
    <n v="1"/>
  </r>
  <r>
    <s v="ADM-244362"/>
    <d v="2025-07-27T00:00:00"/>
    <d v="2025-07-28T00:00:00"/>
    <x v="1"/>
    <s v="Q3"/>
    <x v="6"/>
    <x v="6"/>
    <x v="2"/>
    <x v="2"/>
    <x v="0"/>
    <x v="1"/>
    <x v="2"/>
    <n v="1"/>
    <m/>
    <n v="1265"/>
    <n v="0"/>
    <n v="4"/>
    <s v="Recovered"/>
    <n v="1"/>
  </r>
  <r>
    <s v="ADM-244363"/>
    <d v="2025-07-27T00:00:00"/>
    <d v="2025-07-29T00:00:00"/>
    <x v="1"/>
    <s v="Q3"/>
    <x v="6"/>
    <x v="6"/>
    <x v="0"/>
    <x v="2"/>
    <x v="1"/>
    <x v="0"/>
    <x v="2"/>
    <n v="2"/>
    <m/>
    <n v="1486"/>
    <n v="1"/>
    <n v="4"/>
    <s v="Recovered"/>
    <n v="1"/>
  </r>
  <r>
    <s v="ADM-244364"/>
    <d v="2025-07-27T00:00:00"/>
    <d v="2025-08-08T00:00:00"/>
    <x v="1"/>
    <s v="Q3"/>
    <x v="6"/>
    <x v="6"/>
    <x v="0"/>
    <x v="0"/>
    <x v="0"/>
    <x v="0"/>
    <x v="0"/>
    <n v="12"/>
    <n v="40"/>
    <n v="12230"/>
    <n v="0"/>
    <n v="4"/>
    <s v="Recovered"/>
    <n v="1"/>
  </r>
  <r>
    <s v="ADM-244365"/>
    <d v="2025-07-27T00:00:00"/>
    <d v="2025-07-28T00:00:00"/>
    <x v="1"/>
    <s v="Q3"/>
    <x v="6"/>
    <x v="6"/>
    <x v="4"/>
    <x v="0"/>
    <x v="0"/>
    <x v="2"/>
    <x v="0"/>
    <n v="1"/>
    <n v="38"/>
    <n v="2085"/>
    <n v="0"/>
    <n v="5"/>
    <s v="Recovered"/>
    <n v="1"/>
  </r>
  <r>
    <s v="ADM-244366"/>
    <d v="2025-07-28T00:00:00"/>
    <d v="2025-08-09T00:00:00"/>
    <x v="1"/>
    <s v="Q3"/>
    <x v="6"/>
    <x v="0"/>
    <x v="5"/>
    <x v="2"/>
    <x v="1"/>
    <x v="4"/>
    <x v="2"/>
    <n v="12"/>
    <m/>
    <n v="12254"/>
    <n v="0"/>
    <n v="5"/>
    <s v="Recovered"/>
    <n v="1"/>
  </r>
  <r>
    <s v="ADM-244367"/>
    <d v="2025-07-28T00:00:00"/>
    <d v="2025-07-31T00:00:00"/>
    <x v="1"/>
    <s v="Q3"/>
    <x v="6"/>
    <x v="0"/>
    <x v="0"/>
    <x v="0"/>
    <x v="1"/>
    <x v="0"/>
    <x v="2"/>
    <n v="3"/>
    <n v="49"/>
    <n v="2890"/>
    <n v="0"/>
    <n v="4"/>
    <s v="Recovered"/>
    <n v="1"/>
  </r>
  <r>
    <s v="ADM-244368"/>
    <d v="2025-07-28T00:00:00"/>
    <d v="2025-08-01T00:00:00"/>
    <x v="1"/>
    <s v="Q3"/>
    <x v="6"/>
    <x v="0"/>
    <x v="4"/>
    <x v="0"/>
    <x v="1"/>
    <x v="2"/>
    <x v="2"/>
    <n v="4"/>
    <n v="67"/>
    <n v="4829"/>
    <n v="0"/>
    <n v="5"/>
    <s v="Improved"/>
    <n v="1"/>
  </r>
  <r>
    <s v="ADM-244369"/>
    <d v="2025-07-28T00:00:00"/>
    <d v="2025-08-06T00:00:00"/>
    <x v="1"/>
    <s v="Q3"/>
    <x v="6"/>
    <x v="0"/>
    <x v="2"/>
    <x v="0"/>
    <x v="0"/>
    <x v="2"/>
    <x v="1"/>
    <n v="9"/>
    <n v="21"/>
    <n v="4098"/>
    <n v="0"/>
    <n v="3"/>
    <s v="Recovered"/>
    <n v="1"/>
  </r>
  <r>
    <s v="ADM-244370"/>
    <d v="2025-07-28T00:00:00"/>
    <d v="2025-07-30T00:00:00"/>
    <x v="1"/>
    <s v="Q3"/>
    <x v="6"/>
    <x v="0"/>
    <x v="5"/>
    <x v="2"/>
    <x v="1"/>
    <x v="0"/>
    <x v="2"/>
    <n v="2"/>
    <m/>
    <n v="3134"/>
    <n v="0"/>
    <n v="5"/>
    <s v="Improved"/>
    <n v="1"/>
  </r>
  <r>
    <s v="ADM-244371"/>
    <d v="2025-07-28T00:00:00"/>
    <d v="2025-07-30T00:00:00"/>
    <x v="1"/>
    <s v="Q3"/>
    <x v="6"/>
    <x v="0"/>
    <x v="5"/>
    <x v="0"/>
    <x v="0"/>
    <x v="2"/>
    <x v="0"/>
    <n v="2"/>
    <n v="28"/>
    <n v="2394"/>
    <n v="0"/>
    <n v="5"/>
    <s v="Improved"/>
    <n v="1"/>
  </r>
  <r>
    <s v="ADM-244372"/>
    <d v="2025-07-28T00:00:00"/>
    <d v="2025-08-01T00:00:00"/>
    <x v="1"/>
    <s v="Q3"/>
    <x v="6"/>
    <x v="0"/>
    <x v="3"/>
    <x v="2"/>
    <x v="0"/>
    <x v="3"/>
    <x v="0"/>
    <n v="4"/>
    <m/>
    <n v="3395"/>
    <n v="0"/>
    <n v="4"/>
    <s v="Recovered"/>
    <n v="1"/>
  </r>
  <r>
    <s v="ADM-244373"/>
    <d v="2025-07-29T00:00:00"/>
    <d v="2025-08-02T00:00:00"/>
    <x v="1"/>
    <s v="Q3"/>
    <x v="6"/>
    <x v="1"/>
    <x v="1"/>
    <x v="2"/>
    <x v="1"/>
    <x v="2"/>
    <x v="2"/>
    <n v="4"/>
    <m/>
    <n v="4669"/>
    <n v="0"/>
    <n v="5"/>
    <s v="Improved"/>
    <n v="1"/>
  </r>
  <r>
    <s v="ADM-244374"/>
    <d v="2025-07-29T00:00:00"/>
    <d v="2025-07-31T00:00:00"/>
    <x v="1"/>
    <s v="Q3"/>
    <x v="6"/>
    <x v="1"/>
    <x v="5"/>
    <x v="2"/>
    <x v="1"/>
    <x v="1"/>
    <x v="2"/>
    <n v="2"/>
    <m/>
    <n v="1883"/>
    <n v="1"/>
    <n v="5"/>
    <s v="Transferred"/>
    <n v="1"/>
  </r>
  <r>
    <s v="ADM-244375"/>
    <d v="2025-07-29T00:00:00"/>
    <d v="2025-07-30T00:00:00"/>
    <x v="1"/>
    <s v="Q3"/>
    <x v="6"/>
    <x v="1"/>
    <x v="1"/>
    <x v="2"/>
    <x v="1"/>
    <x v="2"/>
    <x v="2"/>
    <n v="1"/>
    <m/>
    <n v="1500"/>
    <n v="0"/>
    <n v="4"/>
    <s v="Recovered"/>
    <n v="1"/>
  </r>
  <r>
    <s v="ADM-244376"/>
    <d v="2025-07-29T00:00:00"/>
    <d v="2025-08-03T00:00:00"/>
    <x v="1"/>
    <s v="Q3"/>
    <x v="6"/>
    <x v="1"/>
    <x v="2"/>
    <x v="0"/>
    <x v="0"/>
    <x v="2"/>
    <x v="2"/>
    <n v="5"/>
    <n v="27"/>
    <n v="5071"/>
    <n v="0"/>
    <n v="4"/>
    <s v="Recovered"/>
    <n v="1"/>
  </r>
  <r>
    <s v="ADM-244377"/>
    <d v="2025-07-29T00:00:00"/>
    <d v="2025-08-09T00:00:00"/>
    <x v="1"/>
    <s v="Q3"/>
    <x v="6"/>
    <x v="1"/>
    <x v="4"/>
    <x v="0"/>
    <x v="0"/>
    <x v="0"/>
    <x v="0"/>
    <n v="11"/>
    <n v="28"/>
    <n v="13376"/>
    <n v="0"/>
    <n v="5"/>
    <s v="Improved"/>
    <n v="1"/>
  </r>
  <r>
    <s v="ADM-244378"/>
    <d v="2025-07-30T00:00:00"/>
    <d v="2025-07-31T00:00:00"/>
    <x v="1"/>
    <s v="Q3"/>
    <x v="6"/>
    <x v="2"/>
    <x v="2"/>
    <x v="0"/>
    <x v="0"/>
    <x v="2"/>
    <x v="2"/>
    <n v="1"/>
    <n v="87"/>
    <n v="1110"/>
    <n v="0"/>
    <n v="3"/>
    <s v="Improved"/>
    <n v="1"/>
  </r>
  <r>
    <s v="ADM-244379"/>
    <d v="2025-07-30T00:00:00"/>
    <d v="2025-08-06T00:00:00"/>
    <x v="1"/>
    <s v="Q3"/>
    <x v="6"/>
    <x v="2"/>
    <x v="4"/>
    <x v="2"/>
    <x v="1"/>
    <x v="0"/>
    <x v="0"/>
    <n v="7"/>
    <m/>
    <n v="7883"/>
    <n v="0"/>
    <n v="5"/>
    <s v="Transferred"/>
    <n v="1"/>
  </r>
  <r>
    <s v="ADM-244380"/>
    <d v="2025-07-30T00:00:00"/>
    <d v="2025-08-06T00:00:00"/>
    <x v="1"/>
    <s v="Q3"/>
    <x v="6"/>
    <x v="2"/>
    <x v="4"/>
    <x v="2"/>
    <x v="0"/>
    <x v="1"/>
    <x v="1"/>
    <n v="7"/>
    <m/>
    <n v="8955"/>
    <n v="0"/>
    <n v="4"/>
    <s v="Recovered"/>
    <n v="1"/>
  </r>
  <r>
    <s v="ADM-244381"/>
    <d v="2025-07-30T00:00:00"/>
    <d v="2025-08-03T00:00:00"/>
    <x v="1"/>
    <s v="Q3"/>
    <x v="6"/>
    <x v="2"/>
    <x v="1"/>
    <x v="0"/>
    <x v="1"/>
    <x v="1"/>
    <x v="2"/>
    <n v="4"/>
    <n v="25"/>
    <n v="4175"/>
    <n v="0"/>
    <n v="4"/>
    <s v="Transferred"/>
    <n v="1"/>
  </r>
  <r>
    <s v="ADM-244382"/>
    <d v="2025-07-31T00:00:00"/>
    <d v="2025-08-03T00:00:00"/>
    <x v="1"/>
    <s v="Q3"/>
    <x v="6"/>
    <x v="3"/>
    <x v="3"/>
    <x v="0"/>
    <x v="1"/>
    <x v="3"/>
    <x v="0"/>
    <n v="3"/>
    <n v="29"/>
    <n v="2649"/>
    <n v="0"/>
    <n v="5"/>
    <s v="Recovered"/>
    <n v="1"/>
  </r>
  <r>
    <s v="ADM-244383"/>
    <d v="2025-07-31T00:00:00"/>
    <d v="2025-08-03T00:00:00"/>
    <x v="1"/>
    <s v="Q3"/>
    <x v="6"/>
    <x v="3"/>
    <x v="2"/>
    <x v="0"/>
    <x v="0"/>
    <x v="2"/>
    <x v="2"/>
    <n v="3"/>
    <n v="21"/>
    <n v="2690"/>
    <n v="0"/>
    <n v="4"/>
    <s v="Recovered"/>
    <n v="1"/>
  </r>
  <r>
    <s v="ADM-244384"/>
    <d v="2025-07-31T00:00:00"/>
    <d v="2025-08-12T00:00:00"/>
    <x v="1"/>
    <s v="Q3"/>
    <x v="6"/>
    <x v="3"/>
    <x v="4"/>
    <x v="0"/>
    <x v="0"/>
    <x v="0"/>
    <x v="2"/>
    <n v="12"/>
    <n v="18"/>
    <n v="15027"/>
    <n v="0"/>
    <n v="5"/>
    <s v="Recovered"/>
    <n v="1"/>
  </r>
  <r>
    <s v="ADM-244385"/>
    <d v="2025-07-31T00:00:00"/>
    <d v="2025-08-04T00:00:00"/>
    <x v="1"/>
    <s v="Q3"/>
    <x v="6"/>
    <x v="3"/>
    <x v="5"/>
    <x v="2"/>
    <x v="1"/>
    <x v="0"/>
    <x v="2"/>
    <n v="4"/>
    <m/>
    <n v="3605"/>
    <n v="0"/>
    <n v="3"/>
    <s v="Recovered"/>
    <n v="1"/>
  </r>
  <r>
    <s v="ADM-244386"/>
    <d v="2025-07-31T00:00:00"/>
    <d v="2025-08-07T00:00:00"/>
    <x v="1"/>
    <s v="Q3"/>
    <x v="6"/>
    <x v="3"/>
    <x v="0"/>
    <x v="2"/>
    <x v="1"/>
    <x v="4"/>
    <x v="0"/>
    <n v="7"/>
    <m/>
    <n v="6155"/>
    <n v="0"/>
    <n v="5"/>
    <s v="Improved"/>
    <n v="1"/>
  </r>
  <r>
    <s v="ADM-244387"/>
    <d v="2025-07-31T00:00:00"/>
    <d v="2025-08-04T00:00:00"/>
    <x v="1"/>
    <s v="Q3"/>
    <x v="6"/>
    <x v="3"/>
    <x v="5"/>
    <x v="2"/>
    <x v="1"/>
    <x v="0"/>
    <x v="2"/>
    <n v="4"/>
    <m/>
    <n v="4271"/>
    <n v="0"/>
    <n v="4"/>
    <s v="Recovered"/>
    <n v="1"/>
  </r>
  <r>
    <s v="ADM-244388"/>
    <d v="2025-07-31T00:00:00"/>
    <d v="2025-08-03T00:00:00"/>
    <x v="1"/>
    <s v="Q3"/>
    <x v="6"/>
    <x v="3"/>
    <x v="1"/>
    <x v="1"/>
    <x v="1"/>
    <x v="1"/>
    <x v="0"/>
    <n v="3"/>
    <m/>
    <n v="3724"/>
    <n v="0"/>
    <n v="4"/>
    <s v="Improved"/>
    <n v="1"/>
  </r>
  <r>
    <s v="ADM-244389"/>
    <d v="2025-08-01T00:00:00"/>
    <d v="2025-08-19T00:00:00"/>
    <x v="1"/>
    <s v="Q3"/>
    <x v="7"/>
    <x v="4"/>
    <x v="0"/>
    <x v="0"/>
    <x v="0"/>
    <x v="2"/>
    <x v="0"/>
    <n v="18"/>
    <n v="35"/>
    <n v="13251"/>
    <n v="0"/>
    <n v="5"/>
    <s v="Recovered"/>
    <n v="1"/>
  </r>
  <r>
    <s v="ADM-244390"/>
    <d v="2025-08-01T00:00:00"/>
    <d v="2025-08-07T00:00:00"/>
    <x v="1"/>
    <s v="Q3"/>
    <x v="7"/>
    <x v="4"/>
    <x v="1"/>
    <x v="2"/>
    <x v="0"/>
    <x v="4"/>
    <x v="2"/>
    <n v="6"/>
    <m/>
    <n v="5059"/>
    <n v="0"/>
    <n v="5"/>
    <s v="Improved"/>
    <n v="1"/>
  </r>
  <r>
    <s v="ADM-244391"/>
    <d v="2025-08-01T00:00:00"/>
    <d v="2025-08-08T00:00:00"/>
    <x v="1"/>
    <s v="Q3"/>
    <x v="7"/>
    <x v="4"/>
    <x v="1"/>
    <x v="0"/>
    <x v="0"/>
    <x v="4"/>
    <x v="2"/>
    <n v="7"/>
    <n v="69"/>
    <n v="5580"/>
    <n v="0"/>
    <n v="5"/>
    <s v="Recovered"/>
    <n v="1"/>
  </r>
  <r>
    <s v="ADM-244392"/>
    <d v="2025-08-01T00:00:00"/>
    <d v="2025-08-05T00:00:00"/>
    <x v="1"/>
    <s v="Q3"/>
    <x v="7"/>
    <x v="4"/>
    <x v="2"/>
    <x v="2"/>
    <x v="0"/>
    <x v="2"/>
    <x v="2"/>
    <n v="4"/>
    <m/>
    <n v="3181"/>
    <n v="0"/>
    <n v="4"/>
    <s v="Recovered"/>
    <n v="1"/>
  </r>
  <r>
    <s v="ADM-244393"/>
    <d v="2025-08-01T00:00:00"/>
    <d v="2025-08-06T00:00:00"/>
    <x v="1"/>
    <s v="Q3"/>
    <x v="7"/>
    <x v="4"/>
    <x v="3"/>
    <x v="2"/>
    <x v="0"/>
    <x v="3"/>
    <x v="0"/>
    <n v="5"/>
    <m/>
    <n v="4955"/>
    <n v="0"/>
    <n v="4"/>
    <s v="Improved"/>
    <n v="1"/>
  </r>
  <r>
    <s v="ADM-244394"/>
    <d v="2025-08-01T00:00:00"/>
    <d v="2025-08-04T00:00:00"/>
    <x v="1"/>
    <s v="Q3"/>
    <x v="7"/>
    <x v="4"/>
    <x v="5"/>
    <x v="2"/>
    <x v="1"/>
    <x v="1"/>
    <x v="2"/>
    <n v="3"/>
    <m/>
    <n v="3944"/>
    <n v="0"/>
    <n v="5"/>
    <s v="Improved"/>
    <n v="1"/>
  </r>
  <r>
    <s v="ADM-244395"/>
    <d v="2025-08-01T00:00:00"/>
    <d v="2025-08-02T00:00:00"/>
    <x v="1"/>
    <s v="Q3"/>
    <x v="7"/>
    <x v="4"/>
    <x v="2"/>
    <x v="0"/>
    <x v="0"/>
    <x v="1"/>
    <x v="2"/>
    <n v="1"/>
    <n v="54"/>
    <n v="1573"/>
    <n v="0"/>
    <n v="4"/>
    <s v="Recovered"/>
    <n v="1"/>
  </r>
  <r>
    <s v="ADM-244396"/>
    <d v="2025-08-01T00:00:00"/>
    <d v="2025-08-09T00:00:00"/>
    <x v="1"/>
    <s v="Q3"/>
    <x v="7"/>
    <x v="4"/>
    <x v="3"/>
    <x v="0"/>
    <x v="0"/>
    <x v="3"/>
    <x v="0"/>
    <n v="8"/>
    <n v="23"/>
    <n v="4915"/>
    <n v="0"/>
    <n v="5"/>
    <s v="Recovered"/>
    <n v="1"/>
  </r>
  <r>
    <s v="ADM-244397"/>
    <d v="2025-08-01T00:00:00"/>
    <d v="2025-08-02T00:00:00"/>
    <x v="1"/>
    <s v="Q3"/>
    <x v="7"/>
    <x v="4"/>
    <x v="5"/>
    <x v="2"/>
    <x v="1"/>
    <x v="0"/>
    <x v="1"/>
    <n v="1"/>
    <m/>
    <n v="1744"/>
    <n v="0"/>
    <n v="5"/>
    <s v="Improved"/>
    <n v="1"/>
  </r>
  <r>
    <s v="ADM-244398"/>
    <d v="2025-08-01T00:00:00"/>
    <d v="2025-08-03T00:00:00"/>
    <x v="1"/>
    <s v="Q3"/>
    <x v="7"/>
    <x v="4"/>
    <x v="5"/>
    <x v="0"/>
    <x v="1"/>
    <x v="0"/>
    <x v="0"/>
    <n v="2"/>
    <n v="35"/>
    <n v="2704"/>
    <n v="0"/>
    <n v="5"/>
    <s v="Improved"/>
    <n v="1"/>
  </r>
  <r>
    <s v="ADM-244399"/>
    <d v="2025-08-02T00:00:00"/>
    <d v="2025-08-04T00:00:00"/>
    <x v="1"/>
    <s v="Q3"/>
    <x v="7"/>
    <x v="5"/>
    <x v="2"/>
    <x v="1"/>
    <x v="0"/>
    <x v="2"/>
    <x v="2"/>
    <n v="2"/>
    <m/>
    <n v="2582"/>
    <n v="0"/>
    <n v="4"/>
    <s v="Recovered"/>
    <n v="1"/>
  </r>
  <r>
    <s v="ADM-244400"/>
    <d v="2025-08-02T00:00:00"/>
    <d v="2025-08-04T00:00:00"/>
    <x v="1"/>
    <s v="Q3"/>
    <x v="7"/>
    <x v="5"/>
    <x v="3"/>
    <x v="2"/>
    <x v="0"/>
    <x v="3"/>
    <x v="2"/>
    <n v="2"/>
    <m/>
    <n v="2029"/>
    <n v="0"/>
    <n v="4"/>
    <s v="Recovered"/>
    <n v="1"/>
  </r>
  <r>
    <s v="ADM-244401"/>
    <d v="2025-08-02T00:00:00"/>
    <d v="2025-08-08T00:00:00"/>
    <x v="1"/>
    <s v="Q3"/>
    <x v="7"/>
    <x v="5"/>
    <x v="0"/>
    <x v="0"/>
    <x v="1"/>
    <x v="2"/>
    <x v="2"/>
    <n v="6"/>
    <n v="81"/>
    <n v="3468"/>
    <n v="0"/>
    <n v="4"/>
    <s v="Recovered"/>
    <n v="1"/>
  </r>
  <r>
    <s v="ADM-244402"/>
    <d v="2025-08-02T00:00:00"/>
    <d v="2025-08-03T00:00:00"/>
    <x v="1"/>
    <s v="Q3"/>
    <x v="7"/>
    <x v="5"/>
    <x v="1"/>
    <x v="2"/>
    <x v="1"/>
    <x v="1"/>
    <x v="2"/>
    <n v="1"/>
    <m/>
    <n v="1583"/>
    <n v="0"/>
    <n v="4"/>
    <s v="Transferred"/>
    <n v="1"/>
  </r>
  <r>
    <s v="ADM-244403"/>
    <d v="2025-08-02T00:00:00"/>
    <d v="2025-08-03T00:00:00"/>
    <x v="1"/>
    <s v="Q3"/>
    <x v="7"/>
    <x v="5"/>
    <x v="5"/>
    <x v="0"/>
    <x v="0"/>
    <x v="4"/>
    <x v="2"/>
    <n v="1"/>
    <n v="32"/>
    <n v="1715"/>
    <n v="1"/>
    <n v="4"/>
    <s v="Recovered"/>
    <n v="1"/>
  </r>
  <r>
    <s v="ADM-244404"/>
    <d v="2025-08-02T00:00:00"/>
    <d v="2025-08-05T00:00:00"/>
    <x v="1"/>
    <s v="Q3"/>
    <x v="7"/>
    <x v="5"/>
    <x v="3"/>
    <x v="0"/>
    <x v="0"/>
    <x v="3"/>
    <x v="2"/>
    <n v="3"/>
    <n v="19"/>
    <n v="2559"/>
    <n v="0"/>
    <n v="5"/>
    <s v="Recovered"/>
    <n v="1"/>
  </r>
  <r>
    <s v="ADM-244405"/>
    <d v="2025-08-02T00:00:00"/>
    <d v="2025-08-03T00:00:00"/>
    <x v="1"/>
    <s v="Q3"/>
    <x v="7"/>
    <x v="5"/>
    <x v="2"/>
    <x v="0"/>
    <x v="0"/>
    <x v="1"/>
    <x v="1"/>
    <n v="1"/>
    <n v="40"/>
    <n v="1972"/>
    <n v="0"/>
    <n v="4"/>
    <s v="Improved"/>
    <n v="1"/>
  </r>
  <r>
    <s v="ADM-244406"/>
    <d v="2025-08-03T00:00:00"/>
    <d v="2025-08-06T00:00:00"/>
    <x v="1"/>
    <s v="Q3"/>
    <x v="7"/>
    <x v="6"/>
    <x v="1"/>
    <x v="2"/>
    <x v="1"/>
    <x v="4"/>
    <x v="2"/>
    <n v="3"/>
    <m/>
    <n v="4673"/>
    <n v="0"/>
    <n v="4"/>
    <s v="Improved"/>
    <n v="1"/>
  </r>
  <r>
    <s v="ADM-244407"/>
    <d v="2025-08-03T00:00:00"/>
    <d v="2025-08-04T00:00:00"/>
    <x v="1"/>
    <s v="Q3"/>
    <x v="7"/>
    <x v="6"/>
    <x v="2"/>
    <x v="1"/>
    <x v="0"/>
    <x v="2"/>
    <x v="0"/>
    <n v="1"/>
    <m/>
    <n v="1728"/>
    <n v="0"/>
    <n v="4"/>
    <s v="Recovered"/>
    <n v="1"/>
  </r>
  <r>
    <s v="ADM-244408"/>
    <d v="2025-08-03T00:00:00"/>
    <d v="2025-08-04T00:00:00"/>
    <x v="1"/>
    <s v="Q3"/>
    <x v="7"/>
    <x v="6"/>
    <x v="3"/>
    <x v="0"/>
    <x v="1"/>
    <x v="3"/>
    <x v="2"/>
    <n v="1"/>
    <n v="72"/>
    <n v="1462"/>
    <n v="0"/>
    <n v="4"/>
    <s v="Recovered"/>
    <n v="1"/>
  </r>
  <r>
    <s v="ADM-244409"/>
    <d v="2025-08-03T00:00:00"/>
    <d v="2025-08-08T00:00:00"/>
    <x v="1"/>
    <s v="Q3"/>
    <x v="7"/>
    <x v="6"/>
    <x v="3"/>
    <x v="2"/>
    <x v="1"/>
    <x v="3"/>
    <x v="0"/>
    <n v="5"/>
    <m/>
    <n v="2646"/>
    <n v="0"/>
    <n v="5"/>
    <s v="Recovered"/>
    <n v="1"/>
  </r>
  <r>
    <s v="ADM-244410"/>
    <d v="2025-08-03T00:00:00"/>
    <d v="2025-08-05T00:00:00"/>
    <x v="1"/>
    <s v="Q3"/>
    <x v="7"/>
    <x v="6"/>
    <x v="2"/>
    <x v="2"/>
    <x v="0"/>
    <x v="2"/>
    <x v="1"/>
    <n v="2"/>
    <m/>
    <n v="1925"/>
    <n v="0"/>
    <n v="5"/>
    <s v="Recovered"/>
    <n v="1"/>
  </r>
  <r>
    <s v="ADM-244411"/>
    <d v="2025-08-03T00:00:00"/>
    <d v="2025-08-09T00:00:00"/>
    <x v="1"/>
    <s v="Q3"/>
    <x v="7"/>
    <x v="6"/>
    <x v="1"/>
    <x v="2"/>
    <x v="0"/>
    <x v="0"/>
    <x v="0"/>
    <n v="6"/>
    <m/>
    <n v="6849"/>
    <n v="0"/>
    <n v="4"/>
    <s v="Recovered"/>
    <n v="1"/>
  </r>
  <r>
    <s v="ADM-244412"/>
    <d v="2025-08-04T00:00:00"/>
    <d v="2025-08-07T00:00:00"/>
    <x v="1"/>
    <s v="Q3"/>
    <x v="7"/>
    <x v="0"/>
    <x v="3"/>
    <x v="2"/>
    <x v="0"/>
    <x v="3"/>
    <x v="2"/>
    <n v="3"/>
    <m/>
    <n v="2599"/>
    <n v="0"/>
    <n v="4"/>
    <s v="Recovered"/>
    <n v="1"/>
  </r>
  <r>
    <s v="ADM-244413"/>
    <d v="2025-08-04T00:00:00"/>
    <d v="2025-08-09T00:00:00"/>
    <x v="1"/>
    <s v="Q3"/>
    <x v="7"/>
    <x v="0"/>
    <x v="5"/>
    <x v="0"/>
    <x v="1"/>
    <x v="0"/>
    <x v="2"/>
    <n v="5"/>
    <n v="25"/>
    <n v="5484"/>
    <n v="0"/>
    <n v="5"/>
    <s v="Transferred"/>
    <n v="1"/>
  </r>
  <r>
    <s v="ADM-244414"/>
    <d v="2025-08-04T00:00:00"/>
    <d v="2025-08-06T00:00:00"/>
    <x v="1"/>
    <s v="Q3"/>
    <x v="7"/>
    <x v="0"/>
    <x v="3"/>
    <x v="0"/>
    <x v="0"/>
    <x v="3"/>
    <x v="0"/>
    <n v="2"/>
    <n v="70"/>
    <n v="1283"/>
    <n v="0"/>
    <n v="4"/>
    <s v="Recovered"/>
    <n v="1"/>
  </r>
  <r>
    <s v="ADM-244415"/>
    <d v="2025-08-04T00:00:00"/>
    <d v="2025-08-10T00:00:00"/>
    <x v="1"/>
    <s v="Q3"/>
    <x v="7"/>
    <x v="0"/>
    <x v="0"/>
    <x v="0"/>
    <x v="0"/>
    <x v="0"/>
    <x v="0"/>
    <n v="6"/>
    <n v="58"/>
    <n v="4367"/>
    <n v="0"/>
    <n v="5"/>
    <s v="Deceased"/>
    <n v="1"/>
  </r>
  <r>
    <s v="ADM-244416"/>
    <d v="2025-08-04T00:00:00"/>
    <d v="2025-08-05T00:00:00"/>
    <x v="1"/>
    <s v="Q3"/>
    <x v="7"/>
    <x v="0"/>
    <x v="0"/>
    <x v="1"/>
    <x v="1"/>
    <x v="4"/>
    <x v="0"/>
    <n v="1"/>
    <m/>
    <n v="1777"/>
    <n v="1"/>
    <n v="4"/>
    <s v="Recovered"/>
    <n v="1"/>
  </r>
  <r>
    <s v="ADM-244417"/>
    <d v="2025-08-04T00:00:00"/>
    <d v="2025-08-06T00:00:00"/>
    <x v="1"/>
    <s v="Q3"/>
    <x v="7"/>
    <x v="0"/>
    <x v="3"/>
    <x v="2"/>
    <x v="0"/>
    <x v="3"/>
    <x v="1"/>
    <n v="2"/>
    <m/>
    <n v="1900"/>
    <n v="0"/>
    <n v="5"/>
    <s v="Recovered"/>
    <n v="1"/>
  </r>
  <r>
    <s v="ADM-244418"/>
    <d v="2025-08-05T00:00:00"/>
    <d v="2025-08-08T00:00:00"/>
    <x v="1"/>
    <s v="Q3"/>
    <x v="7"/>
    <x v="1"/>
    <x v="4"/>
    <x v="0"/>
    <x v="0"/>
    <x v="0"/>
    <x v="2"/>
    <n v="3"/>
    <n v="38"/>
    <n v="4591"/>
    <n v="0"/>
    <n v="4"/>
    <s v="Recovered"/>
    <n v="1"/>
  </r>
  <r>
    <s v="ADM-244419"/>
    <d v="2025-08-05T00:00:00"/>
    <d v="2025-08-06T00:00:00"/>
    <x v="1"/>
    <s v="Q3"/>
    <x v="7"/>
    <x v="1"/>
    <x v="3"/>
    <x v="0"/>
    <x v="0"/>
    <x v="3"/>
    <x v="2"/>
    <n v="1"/>
    <n v="25"/>
    <n v="1681"/>
    <n v="0"/>
    <n v="4"/>
    <s v="Improved"/>
    <n v="1"/>
  </r>
  <r>
    <s v="ADM-244420"/>
    <d v="2025-08-05T00:00:00"/>
    <d v="2025-08-07T00:00:00"/>
    <x v="1"/>
    <s v="Q3"/>
    <x v="7"/>
    <x v="1"/>
    <x v="5"/>
    <x v="2"/>
    <x v="0"/>
    <x v="4"/>
    <x v="2"/>
    <n v="2"/>
    <m/>
    <n v="2263"/>
    <n v="1"/>
    <n v="4"/>
    <s v="Improved"/>
    <n v="1"/>
  </r>
  <r>
    <s v="ADM-244421"/>
    <d v="2025-08-05T00:00:00"/>
    <d v="2025-08-10T00:00:00"/>
    <x v="1"/>
    <s v="Q3"/>
    <x v="7"/>
    <x v="1"/>
    <x v="0"/>
    <x v="0"/>
    <x v="1"/>
    <x v="2"/>
    <x v="1"/>
    <n v="5"/>
    <n v="59"/>
    <n v="2677"/>
    <n v="0"/>
    <n v="5"/>
    <s v="Recovered"/>
    <n v="1"/>
  </r>
  <r>
    <s v="ADM-244422"/>
    <d v="2025-08-05T00:00:00"/>
    <d v="2025-08-09T00:00:00"/>
    <x v="1"/>
    <s v="Q3"/>
    <x v="7"/>
    <x v="1"/>
    <x v="0"/>
    <x v="0"/>
    <x v="1"/>
    <x v="1"/>
    <x v="2"/>
    <n v="4"/>
    <n v="83"/>
    <n v="3567"/>
    <n v="1"/>
    <n v="5"/>
    <s v="Recovered"/>
    <n v="1"/>
  </r>
  <r>
    <s v="ADM-244423"/>
    <d v="2025-08-06T00:00:00"/>
    <d v="2025-08-14T00:00:00"/>
    <x v="1"/>
    <s v="Q3"/>
    <x v="7"/>
    <x v="2"/>
    <x v="0"/>
    <x v="0"/>
    <x v="1"/>
    <x v="0"/>
    <x v="2"/>
    <n v="8"/>
    <n v="84"/>
    <n v="5005"/>
    <n v="0"/>
    <n v="4"/>
    <s v="Recovered"/>
    <n v="1"/>
  </r>
  <r>
    <s v="ADM-244424"/>
    <d v="2025-08-06T00:00:00"/>
    <d v="2025-08-10T00:00:00"/>
    <x v="1"/>
    <s v="Q3"/>
    <x v="7"/>
    <x v="2"/>
    <x v="4"/>
    <x v="0"/>
    <x v="1"/>
    <x v="1"/>
    <x v="0"/>
    <n v="4"/>
    <n v="28"/>
    <n v="4198"/>
    <n v="1"/>
    <n v="4"/>
    <s v="Improved"/>
    <n v="1"/>
  </r>
  <r>
    <s v="ADM-244425"/>
    <d v="2025-08-06T00:00:00"/>
    <d v="2025-08-12T00:00:00"/>
    <x v="1"/>
    <s v="Q3"/>
    <x v="7"/>
    <x v="2"/>
    <x v="3"/>
    <x v="0"/>
    <x v="1"/>
    <x v="3"/>
    <x v="0"/>
    <n v="6"/>
    <n v="64"/>
    <n v="4156"/>
    <n v="0"/>
    <n v="4"/>
    <s v="Recovered"/>
    <n v="1"/>
  </r>
  <r>
    <s v="ADM-244426"/>
    <d v="2025-08-06T00:00:00"/>
    <d v="2025-08-13T00:00:00"/>
    <x v="1"/>
    <s v="Q3"/>
    <x v="7"/>
    <x v="2"/>
    <x v="0"/>
    <x v="0"/>
    <x v="1"/>
    <x v="0"/>
    <x v="1"/>
    <n v="7"/>
    <n v="61"/>
    <n v="4547"/>
    <n v="0"/>
    <n v="5"/>
    <s v="Recovered"/>
    <n v="1"/>
  </r>
  <r>
    <s v="ADM-244427"/>
    <d v="2025-08-07T00:00:00"/>
    <d v="2025-08-11T00:00:00"/>
    <x v="1"/>
    <s v="Q3"/>
    <x v="7"/>
    <x v="3"/>
    <x v="5"/>
    <x v="2"/>
    <x v="0"/>
    <x v="1"/>
    <x v="2"/>
    <n v="4"/>
    <m/>
    <n v="5236"/>
    <n v="0"/>
    <n v="4"/>
    <s v="Improved"/>
    <n v="1"/>
  </r>
  <r>
    <s v="ADM-244428"/>
    <d v="2025-08-07T00:00:00"/>
    <d v="2025-08-08T00:00:00"/>
    <x v="1"/>
    <s v="Q3"/>
    <x v="7"/>
    <x v="3"/>
    <x v="2"/>
    <x v="0"/>
    <x v="0"/>
    <x v="2"/>
    <x v="2"/>
    <n v="1"/>
    <n v="60"/>
    <n v="1146"/>
    <n v="0"/>
    <n v="5"/>
    <s v="Improved"/>
    <n v="1"/>
  </r>
  <r>
    <s v="ADM-244429"/>
    <d v="2025-08-07T00:00:00"/>
    <d v="2025-08-09T00:00:00"/>
    <x v="1"/>
    <s v="Q3"/>
    <x v="7"/>
    <x v="3"/>
    <x v="4"/>
    <x v="0"/>
    <x v="0"/>
    <x v="0"/>
    <x v="2"/>
    <n v="2"/>
    <n v="60"/>
    <n v="3178"/>
    <n v="1"/>
    <n v="3"/>
    <s v="Recovered"/>
    <n v="1"/>
  </r>
  <r>
    <s v="ADM-244430"/>
    <d v="2025-08-07T00:00:00"/>
    <d v="2025-08-08T00:00:00"/>
    <x v="1"/>
    <s v="Q3"/>
    <x v="7"/>
    <x v="3"/>
    <x v="5"/>
    <x v="2"/>
    <x v="1"/>
    <x v="1"/>
    <x v="2"/>
    <n v="1"/>
    <m/>
    <n v="1813"/>
    <n v="0"/>
    <n v="5"/>
    <s v="Recovered"/>
    <n v="1"/>
  </r>
  <r>
    <s v="ADM-244431"/>
    <d v="2025-08-07T00:00:00"/>
    <d v="2025-08-15T00:00:00"/>
    <x v="1"/>
    <s v="Q3"/>
    <x v="7"/>
    <x v="3"/>
    <x v="0"/>
    <x v="0"/>
    <x v="0"/>
    <x v="0"/>
    <x v="2"/>
    <n v="8"/>
    <n v="55"/>
    <n v="6563"/>
    <n v="0"/>
    <n v="5"/>
    <s v="Recovered"/>
    <n v="1"/>
  </r>
  <r>
    <s v="ADM-244432"/>
    <d v="2025-08-07T00:00:00"/>
    <d v="2025-08-09T00:00:00"/>
    <x v="1"/>
    <s v="Q3"/>
    <x v="7"/>
    <x v="3"/>
    <x v="1"/>
    <x v="2"/>
    <x v="0"/>
    <x v="1"/>
    <x v="2"/>
    <n v="2"/>
    <m/>
    <n v="2784"/>
    <n v="0"/>
    <n v="5"/>
    <s v="Recovered"/>
    <n v="1"/>
  </r>
  <r>
    <s v="ADM-244433"/>
    <d v="2025-08-07T00:00:00"/>
    <d v="2025-08-08T00:00:00"/>
    <x v="1"/>
    <s v="Q3"/>
    <x v="7"/>
    <x v="3"/>
    <x v="5"/>
    <x v="2"/>
    <x v="0"/>
    <x v="4"/>
    <x v="2"/>
    <n v="1"/>
    <m/>
    <n v="1604"/>
    <n v="0"/>
    <n v="4"/>
    <s v="Recovered"/>
    <n v="1"/>
  </r>
  <r>
    <s v="ADM-244434"/>
    <d v="2025-08-08T00:00:00"/>
    <d v="2025-08-09T00:00:00"/>
    <x v="1"/>
    <s v="Q3"/>
    <x v="7"/>
    <x v="4"/>
    <x v="4"/>
    <x v="0"/>
    <x v="1"/>
    <x v="4"/>
    <x v="1"/>
    <n v="1"/>
    <n v="89"/>
    <n v="1648"/>
    <n v="1"/>
    <n v="3"/>
    <s v="Improved"/>
    <n v="1"/>
  </r>
  <r>
    <s v="ADM-244435"/>
    <d v="2025-08-08T00:00:00"/>
    <d v="2025-08-11T00:00:00"/>
    <x v="1"/>
    <s v="Q3"/>
    <x v="7"/>
    <x v="4"/>
    <x v="0"/>
    <x v="1"/>
    <x v="0"/>
    <x v="1"/>
    <x v="2"/>
    <n v="3"/>
    <m/>
    <n v="2136"/>
    <n v="0"/>
    <n v="4"/>
    <s v="Recovered"/>
    <n v="1"/>
  </r>
  <r>
    <s v="ADM-244436"/>
    <d v="2025-08-08T00:00:00"/>
    <d v="2025-08-12T00:00:00"/>
    <x v="1"/>
    <s v="Q3"/>
    <x v="7"/>
    <x v="4"/>
    <x v="0"/>
    <x v="0"/>
    <x v="1"/>
    <x v="0"/>
    <x v="2"/>
    <n v="4"/>
    <n v="67"/>
    <n v="3630"/>
    <n v="0"/>
    <n v="5"/>
    <s v="Recovered"/>
    <n v="1"/>
  </r>
  <r>
    <s v="ADM-244437"/>
    <d v="2025-08-08T00:00:00"/>
    <d v="2025-08-12T00:00:00"/>
    <x v="1"/>
    <s v="Q3"/>
    <x v="7"/>
    <x v="4"/>
    <x v="2"/>
    <x v="2"/>
    <x v="0"/>
    <x v="2"/>
    <x v="2"/>
    <n v="4"/>
    <m/>
    <n v="3279"/>
    <n v="0"/>
    <n v="4"/>
    <s v="Recovered"/>
    <n v="1"/>
  </r>
  <r>
    <s v="ADM-244438"/>
    <d v="2025-08-08T00:00:00"/>
    <d v="2025-08-10T00:00:00"/>
    <x v="1"/>
    <s v="Q3"/>
    <x v="7"/>
    <x v="4"/>
    <x v="1"/>
    <x v="2"/>
    <x v="1"/>
    <x v="1"/>
    <x v="2"/>
    <n v="2"/>
    <m/>
    <n v="3364"/>
    <n v="0"/>
    <n v="4"/>
    <s v="Recovered"/>
    <n v="1"/>
  </r>
  <r>
    <s v="ADM-244439"/>
    <d v="2025-08-08T00:00:00"/>
    <d v="2025-08-12T00:00:00"/>
    <x v="1"/>
    <s v="Q3"/>
    <x v="7"/>
    <x v="4"/>
    <x v="5"/>
    <x v="2"/>
    <x v="0"/>
    <x v="2"/>
    <x v="0"/>
    <n v="4"/>
    <m/>
    <n v="4064"/>
    <n v="0"/>
    <n v="3"/>
    <s v="Recovered"/>
    <n v="1"/>
  </r>
  <r>
    <s v="ADM-244440"/>
    <d v="2025-08-08T00:00:00"/>
    <d v="2025-08-10T00:00:00"/>
    <x v="1"/>
    <s v="Q3"/>
    <x v="7"/>
    <x v="4"/>
    <x v="2"/>
    <x v="0"/>
    <x v="0"/>
    <x v="1"/>
    <x v="0"/>
    <n v="2"/>
    <n v="93"/>
    <n v="2390"/>
    <n v="0"/>
    <n v="4"/>
    <s v="Improved"/>
    <n v="1"/>
  </r>
  <r>
    <s v="ADM-244441"/>
    <d v="2025-08-09T00:00:00"/>
    <d v="2025-08-15T00:00:00"/>
    <x v="1"/>
    <s v="Q3"/>
    <x v="7"/>
    <x v="5"/>
    <x v="1"/>
    <x v="0"/>
    <x v="0"/>
    <x v="4"/>
    <x v="2"/>
    <n v="6"/>
    <n v="35"/>
    <n v="6391"/>
    <n v="0"/>
    <n v="4"/>
    <s v="Recovered"/>
    <n v="1"/>
  </r>
  <r>
    <s v="ADM-244442"/>
    <d v="2025-08-09T00:00:00"/>
    <d v="2025-08-15T00:00:00"/>
    <x v="1"/>
    <s v="Q3"/>
    <x v="7"/>
    <x v="5"/>
    <x v="3"/>
    <x v="2"/>
    <x v="1"/>
    <x v="3"/>
    <x v="0"/>
    <n v="6"/>
    <m/>
    <n v="3200"/>
    <n v="1"/>
    <n v="5"/>
    <s v="Improved"/>
    <n v="1"/>
  </r>
  <r>
    <s v="ADM-244443"/>
    <d v="2025-08-09T00:00:00"/>
    <d v="2025-08-14T00:00:00"/>
    <x v="1"/>
    <s v="Q3"/>
    <x v="7"/>
    <x v="5"/>
    <x v="3"/>
    <x v="0"/>
    <x v="0"/>
    <x v="3"/>
    <x v="0"/>
    <n v="5"/>
    <n v="47"/>
    <n v="3951"/>
    <n v="0"/>
    <n v="4"/>
    <s v="Recovered"/>
    <n v="1"/>
  </r>
  <r>
    <s v="ADM-244444"/>
    <d v="2025-08-10T00:00:00"/>
    <d v="2025-08-11T00:00:00"/>
    <x v="1"/>
    <s v="Q3"/>
    <x v="7"/>
    <x v="6"/>
    <x v="3"/>
    <x v="0"/>
    <x v="1"/>
    <x v="3"/>
    <x v="0"/>
    <n v="1"/>
    <n v="67"/>
    <n v="1606"/>
    <n v="0"/>
    <n v="4"/>
    <s v="Recovered"/>
    <n v="1"/>
  </r>
  <r>
    <s v="ADM-244445"/>
    <d v="2025-08-10T00:00:00"/>
    <d v="2025-08-11T00:00:00"/>
    <x v="1"/>
    <s v="Q3"/>
    <x v="7"/>
    <x v="6"/>
    <x v="2"/>
    <x v="0"/>
    <x v="0"/>
    <x v="2"/>
    <x v="0"/>
    <n v="1"/>
    <n v="28"/>
    <n v="1413"/>
    <n v="0"/>
    <n v="4"/>
    <s v="Improved"/>
    <n v="1"/>
  </r>
  <r>
    <s v="ADM-244446"/>
    <d v="2025-08-10T00:00:00"/>
    <d v="2025-08-18T00:00:00"/>
    <x v="1"/>
    <s v="Q3"/>
    <x v="7"/>
    <x v="6"/>
    <x v="0"/>
    <x v="0"/>
    <x v="1"/>
    <x v="2"/>
    <x v="0"/>
    <n v="8"/>
    <n v="12"/>
    <n v="5735"/>
    <n v="0"/>
    <n v="3"/>
    <s v="Recovered"/>
    <n v="1"/>
  </r>
  <r>
    <s v="ADM-244447"/>
    <d v="2025-08-10T00:00:00"/>
    <d v="2025-08-22T00:00:00"/>
    <x v="1"/>
    <s v="Q3"/>
    <x v="7"/>
    <x v="6"/>
    <x v="0"/>
    <x v="0"/>
    <x v="1"/>
    <x v="4"/>
    <x v="2"/>
    <n v="12"/>
    <n v="82"/>
    <n v="8575"/>
    <n v="0"/>
    <n v="5"/>
    <s v="Recovered"/>
    <n v="1"/>
  </r>
  <r>
    <s v="ADM-244448"/>
    <d v="2025-08-11T00:00:00"/>
    <d v="2025-08-15T00:00:00"/>
    <x v="1"/>
    <s v="Q3"/>
    <x v="7"/>
    <x v="0"/>
    <x v="5"/>
    <x v="2"/>
    <x v="0"/>
    <x v="0"/>
    <x v="0"/>
    <n v="4"/>
    <m/>
    <n v="4683"/>
    <n v="1"/>
    <n v="3"/>
    <s v="Recovered"/>
    <n v="1"/>
  </r>
  <r>
    <s v="ADM-244449"/>
    <d v="2025-08-11T00:00:00"/>
    <d v="2025-08-25T00:00:00"/>
    <x v="1"/>
    <s v="Q3"/>
    <x v="7"/>
    <x v="0"/>
    <x v="0"/>
    <x v="0"/>
    <x v="1"/>
    <x v="0"/>
    <x v="0"/>
    <n v="14"/>
    <n v="90"/>
    <n v="9524"/>
    <n v="0"/>
    <n v="5"/>
    <s v="Recovered"/>
    <n v="1"/>
  </r>
  <r>
    <s v="ADM-244450"/>
    <d v="2025-08-11T00:00:00"/>
    <d v="2025-08-17T00:00:00"/>
    <x v="1"/>
    <s v="Q3"/>
    <x v="7"/>
    <x v="0"/>
    <x v="4"/>
    <x v="0"/>
    <x v="1"/>
    <x v="1"/>
    <x v="2"/>
    <n v="6"/>
    <n v="64"/>
    <n v="8504"/>
    <n v="0"/>
    <n v="5"/>
    <s v="Improved"/>
    <n v="1"/>
  </r>
  <r>
    <s v="ADM-244451"/>
    <d v="2025-08-11T00:00:00"/>
    <d v="2025-08-12T00:00:00"/>
    <x v="1"/>
    <s v="Q3"/>
    <x v="7"/>
    <x v="0"/>
    <x v="5"/>
    <x v="2"/>
    <x v="1"/>
    <x v="1"/>
    <x v="0"/>
    <n v="1"/>
    <m/>
    <n v="1882"/>
    <n v="0"/>
    <n v="5"/>
    <s v="Improved"/>
    <n v="1"/>
  </r>
  <r>
    <s v="ADM-244452"/>
    <d v="2025-08-11T00:00:00"/>
    <d v="2025-08-14T00:00:00"/>
    <x v="1"/>
    <s v="Q3"/>
    <x v="7"/>
    <x v="0"/>
    <x v="4"/>
    <x v="2"/>
    <x v="1"/>
    <x v="0"/>
    <x v="0"/>
    <n v="3"/>
    <m/>
    <n v="6214"/>
    <n v="1"/>
    <n v="4"/>
    <s v="Improved"/>
    <n v="1"/>
  </r>
  <r>
    <s v="ADM-244453"/>
    <d v="2025-08-11T00:00:00"/>
    <d v="2025-08-14T00:00:00"/>
    <x v="1"/>
    <s v="Q3"/>
    <x v="7"/>
    <x v="0"/>
    <x v="0"/>
    <x v="0"/>
    <x v="0"/>
    <x v="1"/>
    <x v="0"/>
    <n v="3"/>
    <n v="28"/>
    <n v="2652"/>
    <n v="0"/>
    <n v="5"/>
    <s v="Improved"/>
    <n v="1"/>
  </r>
  <r>
    <s v="ADM-244454"/>
    <d v="2025-08-11T00:00:00"/>
    <d v="2025-08-14T00:00:00"/>
    <x v="1"/>
    <s v="Q3"/>
    <x v="7"/>
    <x v="0"/>
    <x v="4"/>
    <x v="1"/>
    <x v="0"/>
    <x v="4"/>
    <x v="0"/>
    <n v="3"/>
    <m/>
    <n v="4275"/>
    <n v="0"/>
    <n v="5"/>
    <s v="Recovered"/>
    <n v="1"/>
  </r>
  <r>
    <s v="ADM-244455"/>
    <d v="2025-08-11T00:00:00"/>
    <d v="2025-08-17T00:00:00"/>
    <x v="1"/>
    <s v="Q3"/>
    <x v="7"/>
    <x v="0"/>
    <x v="0"/>
    <x v="0"/>
    <x v="1"/>
    <x v="0"/>
    <x v="2"/>
    <n v="6"/>
    <n v="40"/>
    <n v="4998"/>
    <n v="0"/>
    <n v="4"/>
    <s v="Recovered"/>
    <n v="1"/>
  </r>
  <r>
    <s v="ADM-244456"/>
    <d v="2025-08-11T00:00:00"/>
    <d v="2025-08-12T00:00:00"/>
    <x v="1"/>
    <s v="Q3"/>
    <x v="7"/>
    <x v="0"/>
    <x v="3"/>
    <x v="0"/>
    <x v="0"/>
    <x v="3"/>
    <x v="2"/>
    <n v="1"/>
    <n v="51"/>
    <n v="1680"/>
    <n v="0"/>
    <n v="4"/>
    <s v="Recovered"/>
    <n v="1"/>
  </r>
  <r>
    <s v="ADM-244457"/>
    <d v="2025-08-11T00:00:00"/>
    <d v="2025-08-17T00:00:00"/>
    <x v="1"/>
    <s v="Q3"/>
    <x v="7"/>
    <x v="0"/>
    <x v="1"/>
    <x v="0"/>
    <x v="1"/>
    <x v="4"/>
    <x v="2"/>
    <n v="6"/>
    <n v="53"/>
    <n v="7405"/>
    <n v="0"/>
    <n v="5"/>
    <s v="Recovered"/>
    <n v="1"/>
  </r>
  <r>
    <s v="ADM-244458"/>
    <d v="2025-08-12T00:00:00"/>
    <d v="2025-08-15T00:00:00"/>
    <x v="1"/>
    <s v="Q3"/>
    <x v="7"/>
    <x v="1"/>
    <x v="5"/>
    <x v="2"/>
    <x v="1"/>
    <x v="1"/>
    <x v="1"/>
    <n v="3"/>
    <m/>
    <n v="3784"/>
    <n v="0"/>
    <n v="4"/>
    <s v="Recovered"/>
    <n v="1"/>
  </r>
  <r>
    <s v="ADM-244459"/>
    <d v="2025-08-12T00:00:00"/>
    <d v="2025-08-16T00:00:00"/>
    <x v="1"/>
    <s v="Q3"/>
    <x v="7"/>
    <x v="1"/>
    <x v="5"/>
    <x v="2"/>
    <x v="1"/>
    <x v="0"/>
    <x v="2"/>
    <n v="4"/>
    <m/>
    <n v="3650"/>
    <n v="0"/>
    <n v="4"/>
    <s v="Improved"/>
    <n v="1"/>
  </r>
  <r>
    <s v="ADM-244460"/>
    <d v="2025-08-12T00:00:00"/>
    <d v="2025-08-18T00:00:00"/>
    <x v="1"/>
    <s v="Q3"/>
    <x v="7"/>
    <x v="1"/>
    <x v="5"/>
    <x v="2"/>
    <x v="1"/>
    <x v="1"/>
    <x v="2"/>
    <n v="6"/>
    <m/>
    <n v="5796"/>
    <n v="0"/>
    <n v="2"/>
    <s v="Improved"/>
    <n v="1"/>
  </r>
  <r>
    <s v="ADM-244461"/>
    <d v="2025-08-12T00:00:00"/>
    <d v="2025-08-20T00:00:00"/>
    <x v="1"/>
    <s v="Q3"/>
    <x v="7"/>
    <x v="1"/>
    <x v="1"/>
    <x v="2"/>
    <x v="1"/>
    <x v="0"/>
    <x v="2"/>
    <n v="8"/>
    <m/>
    <n v="9868"/>
    <n v="0"/>
    <n v="5"/>
    <s v="Recovered"/>
    <n v="1"/>
  </r>
  <r>
    <s v="ADM-244462"/>
    <d v="2025-08-12T00:00:00"/>
    <d v="2025-08-18T00:00:00"/>
    <x v="1"/>
    <s v="Q3"/>
    <x v="7"/>
    <x v="1"/>
    <x v="0"/>
    <x v="2"/>
    <x v="0"/>
    <x v="0"/>
    <x v="2"/>
    <n v="6"/>
    <m/>
    <n v="4388"/>
    <n v="0"/>
    <n v="5"/>
    <s v="Recovered"/>
    <n v="1"/>
  </r>
  <r>
    <s v="ADM-244463"/>
    <d v="2025-08-13T00:00:00"/>
    <d v="2025-08-19T00:00:00"/>
    <x v="1"/>
    <s v="Q3"/>
    <x v="7"/>
    <x v="2"/>
    <x v="4"/>
    <x v="0"/>
    <x v="1"/>
    <x v="4"/>
    <x v="2"/>
    <n v="6"/>
    <n v="57"/>
    <n v="8381"/>
    <n v="0"/>
    <n v="5"/>
    <s v="Recovered"/>
    <n v="1"/>
  </r>
  <r>
    <s v="ADM-244464"/>
    <d v="2025-08-13T00:00:00"/>
    <d v="2025-08-14T00:00:00"/>
    <x v="1"/>
    <s v="Q3"/>
    <x v="7"/>
    <x v="2"/>
    <x v="4"/>
    <x v="0"/>
    <x v="1"/>
    <x v="4"/>
    <x v="2"/>
    <n v="1"/>
    <n v="44"/>
    <n v="2535"/>
    <n v="0"/>
    <n v="5"/>
    <s v="Recovered"/>
    <n v="1"/>
  </r>
  <r>
    <s v="ADM-244465"/>
    <d v="2025-08-13T00:00:00"/>
    <d v="2025-08-17T00:00:00"/>
    <x v="1"/>
    <s v="Q3"/>
    <x v="7"/>
    <x v="2"/>
    <x v="3"/>
    <x v="2"/>
    <x v="0"/>
    <x v="3"/>
    <x v="2"/>
    <n v="4"/>
    <m/>
    <n v="2698"/>
    <n v="0"/>
    <n v="4"/>
    <s v="Improved"/>
    <n v="1"/>
  </r>
  <r>
    <s v="ADM-244466"/>
    <d v="2025-08-13T00:00:00"/>
    <d v="2025-08-16T00:00:00"/>
    <x v="1"/>
    <s v="Q3"/>
    <x v="7"/>
    <x v="2"/>
    <x v="0"/>
    <x v="0"/>
    <x v="1"/>
    <x v="4"/>
    <x v="0"/>
    <n v="3"/>
    <n v="88"/>
    <n v="2771"/>
    <n v="0"/>
    <n v="4"/>
    <s v="Improved"/>
    <n v="1"/>
  </r>
  <r>
    <s v="ADM-244467"/>
    <d v="2025-08-13T00:00:00"/>
    <d v="2025-08-17T00:00:00"/>
    <x v="1"/>
    <s v="Q3"/>
    <x v="7"/>
    <x v="2"/>
    <x v="1"/>
    <x v="0"/>
    <x v="1"/>
    <x v="4"/>
    <x v="0"/>
    <n v="4"/>
    <n v="16"/>
    <n v="4928"/>
    <n v="0"/>
    <n v="4"/>
    <s v="Improved"/>
    <n v="1"/>
  </r>
  <r>
    <s v="ADM-244468"/>
    <d v="2025-08-13T00:00:00"/>
    <d v="2025-08-18T00:00:00"/>
    <x v="1"/>
    <s v="Q3"/>
    <x v="7"/>
    <x v="2"/>
    <x v="5"/>
    <x v="2"/>
    <x v="1"/>
    <x v="1"/>
    <x v="2"/>
    <n v="5"/>
    <m/>
    <n v="5632"/>
    <n v="0"/>
    <n v="5"/>
    <s v="Recovered"/>
    <n v="1"/>
  </r>
  <r>
    <s v="ADM-244469"/>
    <d v="2025-08-13T00:00:00"/>
    <d v="2025-08-14T00:00:00"/>
    <x v="1"/>
    <s v="Q3"/>
    <x v="7"/>
    <x v="2"/>
    <x v="2"/>
    <x v="0"/>
    <x v="0"/>
    <x v="2"/>
    <x v="2"/>
    <n v="1"/>
    <n v="35"/>
    <n v="1743"/>
    <n v="0"/>
    <n v="4"/>
    <s v="Recovered"/>
    <n v="1"/>
  </r>
  <r>
    <s v="ADM-244470"/>
    <d v="2025-08-14T00:00:00"/>
    <d v="2025-08-16T00:00:00"/>
    <x v="1"/>
    <s v="Q3"/>
    <x v="7"/>
    <x v="3"/>
    <x v="2"/>
    <x v="2"/>
    <x v="0"/>
    <x v="2"/>
    <x v="2"/>
    <n v="2"/>
    <m/>
    <n v="2141"/>
    <n v="0"/>
    <n v="4"/>
    <s v="Recovered"/>
    <n v="1"/>
  </r>
  <r>
    <s v="ADM-244471"/>
    <d v="2025-08-14T00:00:00"/>
    <d v="2025-08-15T00:00:00"/>
    <x v="1"/>
    <s v="Q3"/>
    <x v="7"/>
    <x v="3"/>
    <x v="3"/>
    <x v="0"/>
    <x v="1"/>
    <x v="3"/>
    <x v="0"/>
    <n v="1"/>
    <n v="46"/>
    <n v="1763"/>
    <n v="0"/>
    <n v="4"/>
    <s v="Transferred"/>
    <n v="1"/>
  </r>
  <r>
    <s v="ADM-244472"/>
    <d v="2025-08-14T00:00:00"/>
    <d v="2025-08-18T00:00:00"/>
    <x v="1"/>
    <s v="Q3"/>
    <x v="7"/>
    <x v="3"/>
    <x v="0"/>
    <x v="0"/>
    <x v="0"/>
    <x v="1"/>
    <x v="0"/>
    <n v="4"/>
    <n v="49"/>
    <n v="2565"/>
    <n v="0"/>
    <n v="4"/>
    <s v="Recovered"/>
    <n v="1"/>
  </r>
  <r>
    <s v="ADM-244473"/>
    <d v="2025-08-14T00:00:00"/>
    <d v="2025-08-23T00:00:00"/>
    <x v="1"/>
    <s v="Q3"/>
    <x v="7"/>
    <x v="3"/>
    <x v="5"/>
    <x v="2"/>
    <x v="1"/>
    <x v="0"/>
    <x v="0"/>
    <n v="9"/>
    <m/>
    <n v="8284"/>
    <n v="0"/>
    <n v="4"/>
    <s v="Transferred"/>
    <n v="1"/>
  </r>
  <r>
    <s v="ADM-244474"/>
    <d v="2025-08-14T00:00:00"/>
    <d v="2025-08-17T00:00:00"/>
    <x v="1"/>
    <s v="Q3"/>
    <x v="7"/>
    <x v="3"/>
    <x v="0"/>
    <x v="2"/>
    <x v="0"/>
    <x v="0"/>
    <x v="0"/>
    <n v="3"/>
    <m/>
    <n v="3119"/>
    <n v="0"/>
    <n v="5"/>
    <s v="Improved"/>
    <n v="1"/>
  </r>
  <r>
    <s v="ADM-244475"/>
    <d v="2025-08-15T00:00:00"/>
    <d v="2025-08-21T00:00:00"/>
    <x v="1"/>
    <s v="Q3"/>
    <x v="7"/>
    <x v="4"/>
    <x v="0"/>
    <x v="1"/>
    <x v="1"/>
    <x v="0"/>
    <x v="2"/>
    <n v="6"/>
    <m/>
    <n v="3155"/>
    <n v="0"/>
    <n v="4"/>
    <s v="Transferred"/>
    <n v="1"/>
  </r>
  <r>
    <s v="ADM-244476"/>
    <d v="2025-08-15T00:00:00"/>
    <d v="2025-08-17T00:00:00"/>
    <x v="1"/>
    <s v="Q3"/>
    <x v="7"/>
    <x v="4"/>
    <x v="1"/>
    <x v="2"/>
    <x v="0"/>
    <x v="0"/>
    <x v="2"/>
    <n v="2"/>
    <m/>
    <n v="2273"/>
    <n v="0"/>
    <n v="4"/>
    <s v="Recovered"/>
    <n v="1"/>
  </r>
  <r>
    <s v="ADM-244477"/>
    <d v="2025-08-15T00:00:00"/>
    <d v="2025-08-23T00:00:00"/>
    <x v="1"/>
    <s v="Q3"/>
    <x v="7"/>
    <x v="4"/>
    <x v="3"/>
    <x v="0"/>
    <x v="1"/>
    <x v="3"/>
    <x v="2"/>
    <n v="8"/>
    <n v="106"/>
    <n v="4798"/>
    <n v="0"/>
    <n v="3"/>
    <s v="Recovered"/>
    <n v="1"/>
  </r>
  <r>
    <s v="ADM-244478"/>
    <d v="2025-08-15T00:00:00"/>
    <d v="2025-08-26T00:00:00"/>
    <x v="1"/>
    <s v="Q3"/>
    <x v="7"/>
    <x v="4"/>
    <x v="4"/>
    <x v="2"/>
    <x v="0"/>
    <x v="0"/>
    <x v="2"/>
    <n v="11"/>
    <m/>
    <n v="13420"/>
    <n v="0"/>
    <n v="4"/>
    <s v="Recovered"/>
    <n v="1"/>
  </r>
  <r>
    <s v="ADM-244479"/>
    <d v="2025-08-15T00:00:00"/>
    <d v="2025-08-19T00:00:00"/>
    <x v="1"/>
    <s v="Q3"/>
    <x v="7"/>
    <x v="4"/>
    <x v="4"/>
    <x v="0"/>
    <x v="1"/>
    <x v="0"/>
    <x v="1"/>
    <n v="4"/>
    <n v="37"/>
    <n v="6325"/>
    <n v="0"/>
    <n v="5"/>
    <s v="Recovered"/>
    <n v="1"/>
  </r>
  <r>
    <s v="ADM-244480"/>
    <d v="2025-08-15T00:00:00"/>
    <d v="2025-08-20T00:00:00"/>
    <x v="1"/>
    <s v="Q3"/>
    <x v="7"/>
    <x v="4"/>
    <x v="1"/>
    <x v="2"/>
    <x v="0"/>
    <x v="0"/>
    <x v="2"/>
    <n v="5"/>
    <m/>
    <n v="4191"/>
    <n v="0"/>
    <n v="4"/>
    <s v="Improved"/>
    <n v="1"/>
  </r>
  <r>
    <s v="ADM-244481"/>
    <d v="2025-08-15T00:00:00"/>
    <d v="2025-08-18T00:00:00"/>
    <x v="1"/>
    <s v="Q3"/>
    <x v="7"/>
    <x v="4"/>
    <x v="2"/>
    <x v="0"/>
    <x v="0"/>
    <x v="1"/>
    <x v="2"/>
    <n v="3"/>
    <n v="121"/>
    <n v="2041"/>
    <n v="0"/>
    <n v="4"/>
    <s v="Improved"/>
    <n v="1"/>
  </r>
  <r>
    <s v="ADM-244482"/>
    <d v="2025-08-16T00:00:00"/>
    <d v="2025-08-17T00:00:00"/>
    <x v="1"/>
    <s v="Q3"/>
    <x v="7"/>
    <x v="5"/>
    <x v="4"/>
    <x v="0"/>
    <x v="1"/>
    <x v="0"/>
    <x v="2"/>
    <n v="1"/>
    <n v="48"/>
    <n v="2177"/>
    <n v="1"/>
    <n v="4"/>
    <s v="Improved"/>
    <n v="1"/>
  </r>
  <r>
    <s v="ADM-244483"/>
    <d v="2025-08-16T00:00:00"/>
    <d v="2025-08-17T00:00:00"/>
    <x v="1"/>
    <s v="Q3"/>
    <x v="7"/>
    <x v="5"/>
    <x v="3"/>
    <x v="2"/>
    <x v="1"/>
    <x v="3"/>
    <x v="0"/>
    <n v="1"/>
    <m/>
    <n v="1505"/>
    <n v="0"/>
    <n v="5"/>
    <s v="Recovered"/>
    <n v="1"/>
  </r>
  <r>
    <s v="ADM-244484"/>
    <d v="2025-08-16T00:00:00"/>
    <d v="2025-08-21T00:00:00"/>
    <x v="1"/>
    <s v="Q3"/>
    <x v="7"/>
    <x v="5"/>
    <x v="3"/>
    <x v="0"/>
    <x v="0"/>
    <x v="3"/>
    <x v="2"/>
    <n v="5"/>
    <n v="41"/>
    <n v="3395"/>
    <n v="1"/>
    <n v="3"/>
    <s v="Recovered"/>
    <n v="1"/>
  </r>
  <r>
    <s v="ADM-244485"/>
    <d v="2025-08-16T00:00:00"/>
    <d v="2025-08-17T00:00:00"/>
    <x v="1"/>
    <s v="Q3"/>
    <x v="7"/>
    <x v="5"/>
    <x v="2"/>
    <x v="0"/>
    <x v="0"/>
    <x v="2"/>
    <x v="0"/>
    <n v="1"/>
    <n v="42"/>
    <n v="1627"/>
    <n v="0"/>
    <n v="4"/>
    <s v="Recovered"/>
    <n v="1"/>
  </r>
  <r>
    <s v="ADM-244486"/>
    <d v="2025-08-16T00:00:00"/>
    <d v="2025-08-17T00:00:00"/>
    <x v="1"/>
    <s v="Q3"/>
    <x v="7"/>
    <x v="5"/>
    <x v="2"/>
    <x v="2"/>
    <x v="0"/>
    <x v="2"/>
    <x v="2"/>
    <n v="1"/>
    <m/>
    <n v="1934"/>
    <n v="0"/>
    <n v="5"/>
    <s v="Recovered"/>
    <n v="1"/>
  </r>
  <r>
    <s v="ADM-244487"/>
    <d v="2025-08-16T00:00:00"/>
    <d v="2025-08-23T00:00:00"/>
    <x v="1"/>
    <s v="Q3"/>
    <x v="7"/>
    <x v="5"/>
    <x v="0"/>
    <x v="0"/>
    <x v="0"/>
    <x v="1"/>
    <x v="2"/>
    <n v="7"/>
    <n v="31"/>
    <n v="6634"/>
    <n v="1"/>
    <n v="5"/>
    <s v="Improved"/>
    <n v="1"/>
  </r>
  <r>
    <s v="ADM-244488"/>
    <d v="2025-08-16T00:00:00"/>
    <d v="2025-08-20T00:00:00"/>
    <x v="1"/>
    <s v="Q3"/>
    <x v="7"/>
    <x v="5"/>
    <x v="2"/>
    <x v="1"/>
    <x v="0"/>
    <x v="2"/>
    <x v="2"/>
    <n v="4"/>
    <m/>
    <n v="3840"/>
    <n v="0"/>
    <n v="4"/>
    <s v="Recovered"/>
    <n v="1"/>
  </r>
  <r>
    <s v="ADM-244489"/>
    <d v="2025-08-17T00:00:00"/>
    <d v="2025-08-23T00:00:00"/>
    <x v="1"/>
    <s v="Q3"/>
    <x v="7"/>
    <x v="6"/>
    <x v="4"/>
    <x v="2"/>
    <x v="1"/>
    <x v="4"/>
    <x v="0"/>
    <n v="6"/>
    <m/>
    <n v="10600"/>
    <n v="0"/>
    <n v="3"/>
    <s v="Improved"/>
    <n v="1"/>
  </r>
  <r>
    <s v="ADM-244490"/>
    <d v="2025-08-17T00:00:00"/>
    <d v="2025-08-20T00:00:00"/>
    <x v="1"/>
    <s v="Q3"/>
    <x v="7"/>
    <x v="6"/>
    <x v="1"/>
    <x v="0"/>
    <x v="0"/>
    <x v="0"/>
    <x v="0"/>
    <n v="3"/>
    <n v="40"/>
    <n v="3100"/>
    <n v="0"/>
    <n v="4"/>
    <s v="Recovered"/>
    <n v="1"/>
  </r>
  <r>
    <s v="ADM-244491"/>
    <d v="2025-08-17T00:00:00"/>
    <d v="2025-08-26T00:00:00"/>
    <x v="1"/>
    <s v="Q3"/>
    <x v="7"/>
    <x v="6"/>
    <x v="0"/>
    <x v="0"/>
    <x v="0"/>
    <x v="0"/>
    <x v="2"/>
    <n v="9"/>
    <n v="42"/>
    <n v="8265"/>
    <n v="1"/>
    <n v="4"/>
    <s v="Recovered"/>
    <n v="1"/>
  </r>
  <r>
    <s v="ADM-244492"/>
    <d v="2025-08-17T00:00:00"/>
    <d v="2025-08-23T00:00:00"/>
    <x v="1"/>
    <s v="Q3"/>
    <x v="7"/>
    <x v="6"/>
    <x v="0"/>
    <x v="2"/>
    <x v="1"/>
    <x v="4"/>
    <x v="2"/>
    <n v="6"/>
    <m/>
    <n v="4743"/>
    <n v="0"/>
    <n v="5"/>
    <s v="Recovered"/>
    <n v="1"/>
  </r>
  <r>
    <s v="ADM-244493"/>
    <d v="2025-08-17T00:00:00"/>
    <d v="2025-08-24T00:00:00"/>
    <x v="1"/>
    <s v="Q3"/>
    <x v="7"/>
    <x v="6"/>
    <x v="1"/>
    <x v="2"/>
    <x v="1"/>
    <x v="1"/>
    <x v="0"/>
    <n v="7"/>
    <m/>
    <n v="7204"/>
    <n v="0"/>
    <n v="4"/>
    <s v="Recovered"/>
    <n v="1"/>
  </r>
  <r>
    <s v="ADM-244494"/>
    <d v="2025-08-18T00:00:00"/>
    <d v="2025-08-21T00:00:00"/>
    <x v="1"/>
    <s v="Q3"/>
    <x v="7"/>
    <x v="0"/>
    <x v="1"/>
    <x v="2"/>
    <x v="0"/>
    <x v="0"/>
    <x v="2"/>
    <n v="3"/>
    <m/>
    <n v="4584"/>
    <n v="0"/>
    <n v="5"/>
    <s v="Improved"/>
    <n v="1"/>
  </r>
  <r>
    <s v="ADM-244495"/>
    <d v="2025-08-18T00:00:00"/>
    <d v="2025-08-19T00:00:00"/>
    <x v="1"/>
    <s v="Q3"/>
    <x v="7"/>
    <x v="0"/>
    <x v="1"/>
    <x v="2"/>
    <x v="0"/>
    <x v="2"/>
    <x v="1"/>
    <n v="1"/>
    <m/>
    <n v="1658"/>
    <n v="0"/>
    <n v="5"/>
    <s v="Recovered"/>
    <n v="1"/>
  </r>
  <r>
    <s v="ADM-244496"/>
    <d v="2025-08-18T00:00:00"/>
    <d v="2025-08-22T00:00:00"/>
    <x v="1"/>
    <s v="Q3"/>
    <x v="7"/>
    <x v="0"/>
    <x v="4"/>
    <x v="2"/>
    <x v="0"/>
    <x v="4"/>
    <x v="2"/>
    <n v="4"/>
    <m/>
    <n v="5963"/>
    <n v="0"/>
    <n v="5"/>
    <s v="Recovered"/>
    <n v="1"/>
  </r>
  <r>
    <s v="ADM-244497"/>
    <d v="2025-08-18T00:00:00"/>
    <d v="2025-08-20T00:00:00"/>
    <x v="1"/>
    <s v="Q3"/>
    <x v="7"/>
    <x v="0"/>
    <x v="3"/>
    <x v="0"/>
    <x v="1"/>
    <x v="3"/>
    <x v="0"/>
    <n v="2"/>
    <n v="38"/>
    <n v="2168"/>
    <n v="0"/>
    <n v="4"/>
    <s v="Recovered"/>
    <n v="1"/>
  </r>
  <r>
    <s v="ADM-244498"/>
    <d v="2025-08-18T00:00:00"/>
    <d v="2025-08-24T00:00:00"/>
    <x v="1"/>
    <s v="Q3"/>
    <x v="7"/>
    <x v="0"/>
    <x v="4"/>
    <x v="0"/>
    <x v="0"/>
    <x v="0"/>
    <x v="0"/>
    <n v="6"/>
    <n v="60"/>
    <n v="7157"/>
    <n v="0"/>
    <n v="5"/>
    <s v="Improved"/>
    <n v="1"/>
  </r>
  <r>
    <s v="ADM-244499"/>
    <d v="2025-08-18T00:00:00"/>
    <d v="2025-08-21T00:00:00"/>
    <x v="1"/>
    <s v="Q3"/>
    <x v="7"/>
    <x v="0"/>
    <x v="0"/>
    <x v="0"/>
    <x v="0"/>
    <x v="1"/>
    <x v="0"/>
    <n v="3"/>
    <n v="43"/>
    <n v="2606"/>
    <n v="0"/>
    <n v="4"/>
    <s v="Improved"/>
    <n v="1"/>
  </r>
  <r>
    <s v="ADM-244500"/>
    <d v="2025-08-18T00:00:00"/>
    <d v="2025-08-22T00:00:00"/>
    <x v="1"/>
    <s v="Q3"/>
    <x v="7"/>
    <x v="0"/>
    <x v="3"/>
    <x v="0"/>
    <x v="1"/>
    <x v="3"/>
    <x v="1"/>
    <n v="4"/>
    <n v="26"/>
    <n v="3346"/>
    <n v="0"/>
    <n v="4"/>
    <s v="Improved"/>
    <n v="1"/>
  </r>
  <r>
    <s v="ADM-244501"/>
    <d v="2025-08-18T00:00:00"/>
    <d v="2025-09-04T00:00:00"/>
    <x v="1"/>
    <s v="Q3"/>
    <x v="7"/>
    <x v="0"/>
    <x v="4"/>
    <x v="0"/>
    <x v="0"/>
    <x v="0"/>
    <x v="2"/>
    <n v="17"/>
    <n v="81"/>
    <n v="18900"/>
    <n v="1"/>
    <n v="4"/>
    <s v="Recovered"/>
    <n v="1"/>
  </r>
  <r>
    <s v="ADM-244502"/>
    <d v="2025-08-19T00:00:00"/>
    <d v="2025-08-21T00:00:00"/>
    <x v="1"/>
    <s v="Q3"/>
    <x v="7"/>
    <x v="1"/>
    <x v="5"/>
    <x v="2"/>
    <x v="1"/>
    <x v="4"/>
    <x v="0"/>
    <n v="2"/>
    <m/>
    <n v="3445"/>
    <n v="0"/>
    <n v="3"/>
    <s v="Improved"/>
    <n v="1"/>
  </r>
  <r>
    <s v="ADM-244503"/>
    <d v="2025-08-19T00:00:00"/>
    <d v="2025-09-12T00:00:00"/>
    <x v="1"/>
    <s v="Q3"/>
    <x v="7"/>
    <x v="1"/>
    <x v="4"/>
    <x v="0"/>
    <x v="0"/>
    <x v="0"/>
    <x v="2"/>
    <n v="24"/>
    <n v="83"/>
    <n v="33767"/>
    <n v="0"/>
    <n v="5"/>
    <s v="Improved"/>
    <n v="1"/>
  </r>
  <r>
    <s v="ADM-244504"/>
    <d v="2025-08-20T00:00:00"/>
    <d v="2025-08-23T00:00:00"/>
    <x v="1"/>
    <s v="Q3"/>
    <x v="7"/>
    <x v="2"/>
    <x v="2"/>
    <x v="0"/>
    <x v="0"/>
    <x v="1"/>
    <x v="0"/>
    <n v="3"/>
    <n v="85"/>
    <n v="2556"/>
    <n v="0"/>
    <n v="3"/>
    <s v="Improved"/>
    <n v="1"/>
  </r>
  <r>
    <s v="ADM-244505"/>
    <d v="2025-08-20T00:00:00"/>
    <d v="2025-08-22T00:00:00"/>
    <x v="1"/>
    <s v="Q3"/>
    <x v="7"/>
    <x v="2"/>
    <x v="2"/>
    <x v="1"/>
    <x v="0"/>
    <x v="2"/>
    <x v="0"/>
    <n v="2"/>
    <m/>
    <n v="1961"/>
    <n v="0"/>
    <n v="5"/>
    <s v="Recovered"/>
    <n v="1"/>
  </r>
  <r>
    <s v="ADM-244506"/>
    <d v="2025-08-20T00:00:00"/>
    <d v="2025-08-26T00:00:00"/>
    <x v="1"/>
    <s v="Q3"/>
    <x v="7"/>
    <x v="2"/>
    <x v="1"/>
    <x v="2"/>
    <x v="0"/>
    <x v="4"/>
    <x v="0"/>
    <n v="6"/>
    <m/>
    <n v="6455"/>
    <n v="0"/>
    <n v="4"/>
    <s v="Improved"/>
    <n v="1"/>
  </r>
  <r>
    <s v="ADM-244507"/>
    <d v="2025-08-20T00:00:00"/>
    <d v="2025-09-07T00:00:00"/>
    <x v="1"/>
    <s v="Q3"/>
    <x v="7"/>
    <x v="2"/>
    <x v="5"/>
    <x v="2"/>
    <x v="0"/>
    <x v="0"/>
    <x v="0"/>
    <n v="18"/>
    <m/>
    <n v="17307"/>
    <n v="0"/>
    <n v="5"/>
    <s v="Recovered"/>
    <n v="1"/>
  </r>
  <r>
    <s v="ADM-244508"/>
    <d v="2025-08-20T00:00:00"/>
    <d v="2025-08-23T00:00:00"/>
    <x v="1"/>
    <s v="Q3"/>
    <x v="7"/>
    <x v="2"/>
    <x v="2"/>
    <x v="0"/>
    <x v="0"/>
    <x v="1"/>
    <x v="0"/>
    <n v="3"/>
    <n v="32"/>
    <n v="2422"/>
    <n v="0"/>
    <n v="4"/>
    <s v="Recovered"/>
    <n v="1"/>
  </r>
  <r>
    <s v="ADM-244509"/>
    <d v="2025-08-20T00:00:00"/>
    <d v="2025-08-26T00:00:00"/>
    <x v="1"/>
    <s v="Q3"/>
    <x v="7"/>
    <x v="2"/>
    <x v="4"/>
    <x v="0"/>
    <x v="0"/>
    <x v="2"/>
    <x v="2"/>
    <n v="6"/>
    <n v="25"/>
    <n v="7694"/>
    <n v="0"/>
    <n v="4"/>
    <s v="Improved"/>
    <n v="1"/>
  </r>
  <r>
    <s v="ADM-244510"/>
    <d v="2025-08-20T00:00:00"/>
    <d v="2025-08-21T00:00:00"/>
    <x v="1"/>
    <s v="Q3"/>
    <x v="7"/>
    <x v="2"/>
    <x v="0"/>
    <x v="1"/>
    <x v="0"/>
    <x v="0"/>
    <x v="0"/>
    <n v="1"/>
    <m/>
    <n v="1254"/>
    <n v="0"/>
    <n v="4"/>
    <s v="Improved"/>
    <n v="1"/>
  </r>
  <r>
    <s v="ADM-244511"/>
    <d v="2025-08-20T00:00:00"/>
    <d v="2025-08-28T00:00:00"/>
    <x v="1"/>
    <s v="Q3"/>
    <x v="7"/>
    <x v="2"/>
    <x v="5"/>
    <x v="2"/>
    <x v="1"/>
    <x v="0"/>
    <x v="2"/>
    <n v="8"/>
    <m/>
    <n v="7243"/>
    <n v="0"/>
    <n v="3"/>
    <s v="Recovered"/>
    <n v="1"/>
  </r>
  <r>
    <s v="ADM-244512"/>
    <d v="2025-08-20T00:00:00"/>
    <d v="2025-09-11T00:00:00"/>
    <x v="1"/>
    <s v="Q3"/>
    <x v="7"/>
    <x v="2"/>
    <x v="0"/>
    <x v="0"/>
    <x v="0"/>
    <x v="0"/>
    <x v="0"/>
    <n v="22"/>
    <n v="30"/>
    <n v="14286"/>
    <n v="0"/>
    <n v="4"/>
    <s v="Recovered"/>
    <n v="1"/>
  </r>
  <r>
    <s v="ADM-244513"/>
    <d v="2025-08-20T00:00:00"/>
    <d v="2025-08-25T00:00:00"/>
    <x v="1"/>
    <s v="Q3"/>
    <x v="7"/>
    <x v="2"/>
    <x v="4"/>
    <x v="0"/>
    <x v="0"/>
    <x v="0"/>
    <x v="0"/>
    <n v="5"/>
    <n v="29"/>
    <n v="5882"/>
    <n v="0"/>
    <n v="4"/>
    <s v="Recovered"/>
    <n v="1"/>
  </r>
  <r>
    <s v="ADM-244514"/>
    <d v="2025-08-20T00:00:00"/>
    <d v="2025-08-27T00:00:00"/>
    <x v="1"/>
    <s v="Q3"/>
    <x v="7"/>
    <x v="2"/>
    <x v="0"/>
    <x v="2"/>
    <x v="0"/>
    <x v="0"/>
    <x v="2"/>
    <n v="7"/>
    <m/>
    <n v="5846"/>
    <n v="1"/>
    <n v="4"/>
    <s v="Recovered"/>
    <n v="1"/>
  </r>
  <r>
    <s v="ADM-244515"/>
    <d v="2025-08-21T00:00:00"/>
    <d v="2025-08-24T00:00:00"/>
    <x v="1"/>
    <s v="Q3"/>
    <x v="7"/>
    <x v="3"/>
    <x v="5"/>
    <x v="0"/>
    <x v="1"/>
    <x v="0"/>
    <x v="2"/>
    <n v="3"/>
    <n v="50"/>
    <n v="3591"/>
    <n v="0"/>
    <n v="3"/>
    <s v="Recovered"/>
    <n v="1"/>
  </r>
  <r>
    <s v="ADM-244516"/>
    <d v="2025-08-21T00:00:00"/>
    <d v="2025-08-27T00:00:00"/>
    <x v="1"/>
    <s v="Q3"/>
    <x v="7"/>
    <x v="3"/>
    <x v="3"/>
    <x v="0"/>
    <x v="0"/>
    <x v="3"/>
    <x v="0"/>
    <n v="6"/>
    <n v="46"/>
    <n v="3458"/>
    <n v="0"/>
    <n v="4"/>
    <s v="Recovered"/>
    <n v="1"/>
  </r>
  <r>
    <s v="ADM-244517"/>
    <d v="2025-08-21T00:00:00"/>
    <d v="2025-08-26T00:00:00"/>
    <x v="1"/>
    <s v="Q3"/>
    <x v="7"/>
    <x v="3"/>
    <x v="1"/>
    <x v="2"/>
    <x v="0"/>
    <x v="4"/>
    <x v="0"/>
    <n v="5"/>
    <m/>
    <n v="6770"/>
    <n v="1"/>
    <n v="4"/>
    <s v="Improved"/>
    <n v="1"/>
  </r>
  <r>
    <s v="ADM-244518"/>
    <d v="2025-08-21T00:00:00"/>
    <d v="2025-08-23T00:00:00"/>
    <x v="1"/>
    <s v="Q3"/>
    <x v="7"/>
    <x v="3"/>
    <x v="4"/>
    <x v="0"/>
    <x v="1"/>
    <x v="1"/>
    <x v="0"/>
    <n v="2"/>
    <n v="70"/>
    <n v="3382"/>
    <n v="0"/>
    <n v="3"/>
    <s v="Recovered"/>
    <n v="1"/>
  </r>
  <r>
    <s v="ADM-244519"/>
    <d v="2025-08-21T00:00:00"/>
    <d v="2025-08-29T00:00:00"/>
    <x v="1"/>
    <s v="Q3"/>
    <x v="7"/>
    <x v="3"/>
    <x v="1"/>
    <x v="2"/>
    <x v="0"/>
    <x v="0"/>
    <x v="1"/>
    <n v="8"/>
    <m/>
    <n v="7903"/>
    <n v="0"/>
    <n v="3"/>
    <s v="Transferred"/>
    <n v="1"/>
  </r>
  <r>
    <s v="ADM-244520"/>
    <d v="2025-08-21T00:00:00"/>
    <d v="2025-08-25T00:00:00"/>
    <x v="1"/>
    <s v="Q3"/>
    <x v="7"/>
    <x v="3"/>
    <x v="0"/>
    <x v="0"/>
    <x v="1"/>
    <x v="0"/>
    <x v="0"/>
    <n v="4"/>
    <n v="11"/>
    <n v="3514"/>
    <n v="1"/>
    <n v="4"/>
    <s v="Recovered"/>
    <n v="1"/>
  </r>
  <r>
    <s v="ADM-244521"/>
    <d v="2025-08-22T00:00:00"/>
    <d v="2025-08-23T00:00:00"/>
    <x v="1"/>
    <s v="Q3"/>
    <x v="7"/>
    <x v="4"/>
    <x v="3"/>
    <x v="0"/>
    <x v="1"/>
    <x v="3"/>
    <x v="1"/>
    <n v="1"/>
    <n v="90"/>
    <n v="1643"/>
    <n v="0"/>
    <n v="5"/>
    <s v="Improved"/>
    <n v="1"/>
  </r>
  <r>
    <s v="ADM-244522"/>
    <d v="2025-08-22T00:00:00"/>
    <d v="2025-08-24T00:00:00"/>
    <x v="1"/>
    <s v="Q3"/>
    <x v="7"/>
    <x v="4"/>
    <x v="1"/>
    <x v="2"/>
    <x v="1"/>
    <x v="4"/>
    <x v="2"/>
    <n v="2"/>
    <m/>
    <n v="3089"/>
    <n v="0"/>
    <n v="4"/>
    <s v="Recovered"/>
    <n v="1"/>
  </r>
  <r>
    <s v="ADM-244523"/>
    <d v="2025-08-22T00:00:00"/>
    <d v="2025-08-25T00:00:00"/>
    <x v="1"/>
    <s v="Q3"/>
    <x v="7"/>
    <x v="4"/>
    <x v="1"/>
    <x v="2"/>
    <x v="0"/>
    <x v="4"/>
    <x v="0"/>
    <n v="3"/>
    <m/>
    <n v="3944"/>
    <n v="0"/>
    <n v="5"/>
    <s v="Recovered"/>
    <n v="1"/>
  </r>
  <r>
    <s v="ADM-244524"/>
    <d v="2025-08-22T00:00:00"/>
    <d v="2025-08-25T00:00:00"/>
    <x v="1"/>
    <s v="Q3"/>
    <x v="7"/>
    <x v="4"/>
    <x v="3"/>
    <x v="0"/>
    <x v="1"/>
    <x v="3"/>
    <x v="2"/>
    <n v="3"/>
    <n v="28"/>
    <n v="2337"/>
    <n v="0"/>
    <n v="5"/>
    <s v="Recovered"/>
    <n v="1"/>
  </r>
  <r>
    <s v="ADM-244525"/>
    <d v="2025-08-22T00:00:00"/>
    <d v="2025-08-24T00:00:00"/>
    <x v="1"/>
    <s v="Q3"/>
    <x v="7"/>
    <x v="4"/>
    <x v="1"/>
    <x v="0"/>
    <x v="1"/>
    <x v="0"/>
    <x v="2"/>
    <n v="2"/>
    <n v="88"/>
    <n v="2945"/>
    <n v="0"/>
    <n v="4"/>
    <s v="Recovered"/>
    <n v="1"/>
  </r>
  <r>
    <s v="ADM-244526"/>
    <d v="2025-08-22T00:00:00"/>
    <d v="2025-08-29T00:00:00"/>
    <x v="1"/>
    <s v="Q3"/>
    <x v="7"/>
    <x v="4"/>
    <x v="0"/>
    <x v="0"/>
    <x v="1"/>
    <x v="4"/>
    <x v="0"/>
    <n v="7"/>
    <n v="13"/>
    <n v="4646"/>
    <n v="0"/>
    <n v="4"/>
    <s v="Recovered"/>
    <n v="1"/>
  </r>
  <r>
    <s v="ADM-244527"/>
    <d v="2025-08-22T00:00:00"/>
    <d v="2025-08-31T00:00:00"/>
    <x v="1"/>
    <s v="Q3"/>
    <x v="7"/>
    <x v="4"/>
    <x v="5"/>
    <x v="0"/>
    <x v="1"/>
    <x v="0"/>
    <x v="0"/>
    <n v="9"/>
    <n v="76"/>
    <n v="9714"/>
    <n v="0"/>
    <n v="5"/>
    <s v="Recovered"/>
    <n v="1"/>
  </r>
  <r>
    <s v="ADM-244528"/>
    <d v="2025-08-23T00:00:00"/>
    <d v="2025-08-26T00:00:00"/>
    <x v="1"/>
    <s v="Q3"/>
    <x v="7"/>
    <x v="5"/>
    <x v="4"/>
    <x v="0"/>
    <x v="0"/>
    <x v="1"/>
    <x v="0"/>
    <n v="3"/>
    <n v="46"/>
    <n v="4561"/>
    <n v="0"/>
    <n v="5"/>
    <s v="Transferred"/>
    <n v="1"/>
  </r>
  <r>
    <s v="ADM-244529"/>
    <d v="2025-08-23T00:00:00"/>
    <d v="2025-08-30T00:00:00"/>
    <x v="1"/>
    <s v="Q3"/>
    <x v="7"/>
    <x v="5"/>
    <x v="3"/>
    <x v="0"/>
    <x v="0"/>
    <x v="3"/>
    <x v="0"/>
    <n v="7"/>
    <n v="57"/>
    <n v="5260"/>
    <n v="0"/>
    <n v="5"/>
    <s v="Recovered"/>
    <n v="1"/>
  </r>
  <r>
    <s v="ADM-244530"/>
    <d v="2025-08-23T00:00:00"/>
    <d v="2025-09-02T00:00:00"/>
    <x v="1"/>
    <s v="Q3"/>
    <x v="7"/>
    <x v="5"/>
    <x v="4"/>
    <x v="0"/>
    <x v="1"/>
    <x v="4"/>
    <x v="0"/>
    <n v="10"/>
    <n v="92"/>
    <n v="17696"/>
    <n v="0"/>
    <n v="3"/>
    <s v="Recovered"/>
    <n v="1"/>
  </r>
  <r>
    <s v="ADM-244531"/>
    <d v="2025-08-23T00:00:00"/>
    <d v="2025-08-27T00:00:00"/>
    <x v="1"/>
    <s v="Q3"/>
    <x v="7"/>
    <x v="5"/>
    <x v="1"/>
    <x v="2"/>
    <x v="0"/>
    <x v="4"/>
    <x v="2"/>
    <n v="4"/>
    <m/>
    <n v="4707"/>
    <n v="0"/>
    <n v="4"/>
    <s v="Recovered"/>
    <n v="1"/>
  </r>
  <r>
    <s v="ADM-244532"/>
    <d v="2025-08-23T00:00:00"/>
    <d v="2025-09-01T00:00:00"/>
    <x v="1"/>
    <s v="Q3"/>
    <x v="7"/>
    <x v="5"/>
    <x v="4"/>
    <x v="0"/>
    <x v="0"/>
    <x v="0"/>
    <x v="2"/>
    <n v="9"/>
    <n v="66"/>
    <n v="12851"/>
    <n v="0"/>
    <n v="4"/>
    <s v="Improved"/>
    <n v="1"/>
  </r>
  <r>
    <s v="ADM-244533"/>
    <d v="2025-08-23T00:00:00"/>
    <d v="2025-08-26T00:00:00"/>
    <x v="1"/>
    <s v="Q3"/>
    <x v="7"/>
    <x v="5"/>
    <x v="2"/>
    <x v="0"/>
    <x v="0"/>
    <x v="2"/>
    <x v="2"/>
    <n v="3"/>
    <n v="75"/>
    <n v="3090"/>
    <n v="0"/>
    <n v="5"/>
    <s v="Recovered"/>
    <n v="1"/>
  </r>
  <r>
    <s v="ADM-244534"/>
    <d v="2025-08-23T00:00:00"/>
    <d v="2025-09-03T00:00:00"/>
    <x v="1"/>
    <s v="Q3"/>
    <x v="7"/>
    <x v="5"/>
    <x v="4"/>
    <x v="0"/>
    <x v="1"/>
    <x v="2"/>
    <x v="2"/>
    <n v="11"/>
    <n v="54"/>
    <n v="8077"/>
    <n v="0"/>
    <n v="4"/>
    <s v="Recovered"/>
    <n v="1"/>
  </r>
  <r>
    <s v="ADM-244535"/>
    <d v="2025-08-23T00:00:00"/>
    <d v="2025-08-29T00:00:00"/>
    <x v="1"/>
    <s v="Q3"/>
    <x v="7"/>
    <x v="5"/>
    <x v="5"/>
    <x v="2"/>
    <x v="1"/>
    <x v="0"/>
    <x v="0"/>
    <n v="6"/>
    <m/>
    <n v="7389"/>
    <n v="0"/>
    <n v="5"/>
    <s v="Recovered"/>
    <n v="1"/>
  </r>
  <r>
    <s v="ADM-244536"/>
    <d v="2025-08-23T00:00:00"/>
    <d v="2025-08-24T00:00:00"/>
    <x v="1"/>
    <s v="Q3"/>
    <x v="7"/>
    <x v="5"/>
    <x v="2"/>
    <x v="0"/>
    <x v="0"/>
    <x v="1"/>
    <x v="0"/>
    <n v="1"/>
    <n v="29"/>
    <n v="1487"/>
    <n v="0"/>
    <n v="5"/>
    <s v="Recovered"/>
    <n v="1"/>
  </r>
  <r>
    <s v="ADM-244537"/>
    <d v="2025-08-24T00:00:00"/>
    <d v="2025-08-26T00:00:00"/>
    <x v="1"/>
    <s v="Q3"/>
    <x v="7"/>
    <x v="6"/>
    <x v="4"/>
    <x v="0"/>
    <x v="0"/>
    <x v="1"/>
    <x v="0"/>
    <n v="2"/>
    <n v="12"/>
    <n v="3205"/>
    <n v="0"/>
    <n v="4"/>
    <s v="Improved"/>
    <n v="1"/>
  </r>
  <r>
    <s v="ADM-244538"/>
    <d v="2025-08-24T00:00:00"/>
    <d v="2025-08-27T00:00:00"/>
    <x v="1"/>
    <s v="Q3"/>
    <x v="7"/>
    <x v="6"/>
    <x v="3"/>
    <x v="0"/>
    <x v="1"/>
    <x v="3"/>
    <x v="2"/>
    <n v="3"/>
    <n v="59"/>
    <n v="2594"/>
    <n v="0"/>
    <n v="3"/>
    <s v="Recovered"/>
    <n v="1"/>
  </r>
  <r>
    <s v="ADM-244539"/>
    <d v="2025-08-24T00:00:00"/>
    <d v="2025-08-28T00:00:00"/>
    <x v="1"/>
    <s v="Q3"/>
    <x v="7"/>
    <x v="6"/>
    <x v="5"/>
    <x v="2"/>
    <x v="0"/>
    <x v="0"/>
    <x v="2"/>
    <n v="4"/>
    <m/>
    <n v="4050"/>
    <n v="0"/>
    <n v="3"/>
    <s v="Recovered"/>
    <n v="1"/>
  </r>
  <r>
    <s v="ADM-244540"/>
    <d v="2025-08-24T00:00:00"/>
    <d v="2025-08-31T00:00:00"/>
    <x v="1"/>
    <s v="Q3"/>
    <x v="7"/>
    <x v="6"/>
    <x v="0"/>
    <x v="0"/>
    <x v="0"/>
    <x v="1"/>
    <x v="0"/>
    <n v="7"/>
    <n v="42"/>
    <n v="5379"/>
    <n v="0"/>
    <n v="4"/>
    <s v="Recovered"/>
    <n v="1"/>
  </r>
  <r>
    <s v="ADM-244541"/>
    <d v="2025-08-24T00:00:00"/>
    <d v="2025-08-30T00:00:00"/>
    <x v="1"/>
    <s v="Q3"/>
    <x v="7"/>
    <x v="6"/>
    <x v="0"/>
    <x v="2"/>
    <x v="1"/>
    <x v="4"/>
    <x v="0"/>
    <n v="6"/>
    <m/>
    <n v="4291"/>
    <n v="0"/>
    <n v="4"/>
    <s v="Recovered"/>
    <n v="1"/>
  </r>
  <r>
    <s v="ADM-244542"/>
    <d v="2025-08-24T00:00:00"/>
    <d v="2025-08-28T00:00:00"/>
    <x v="1"/>
    <s v="Q3"/>
    <x v="7"/>
    <x v="6"/>
    <x v="5"/>
    <x v="2"/>
    <x v="1"/>
    <x v="0"/>
    <x v="2"/>
    <n v="4"/>
    <m/>
    <n v="4690"/>
    <n v="1"/>
    <n v="3"/>
    <s v="Recovered"/>
    <n v="1"/>
  </r>
  <r>
    <s v="ADM-244543"/>
    <d v="2025-08-24T00:00:00"/>
    <d v="2025-09-03T00:00:00"/>
    <x v="1"/>
    <s v="Q3"/>
    <x v="7"/>
    <x v="6"/>
    <x v="0"/>
    <x v="2"/>
    <x v="1"/>
    <x v="0"/>
    <x v="0"/>
    <n v="10"/>
    <m/>
    <n v="7590"/>
    <n v="0"/>
    <n v="4"/>
    <s v="Recovered"/>
    <n v="1"/>
  </r>
  <r>
    <s v="ADM-244544"/>
    <d v="2025-08-24T00:00:00"/>
    <d v="2025-08-25T00:00:00"/>
    <x v="1"/>
    <s v="Q3"/>
    <x v="7"/>
    <x v="6"/>
    <x v="3"/>
    <x v="0"/>
    <x v="0"/>
    <x v="3"/>
    <x v="0"/>
    <n v="1"/>
    <n v="25"/>
    <n v="1308"/>
    <n v="1"/>
    <n v="3"/>
    <s v="Recovered"/>
    <n v="1"/>
  </r>
  <r>
    <s v="ADM-244545"/>
    <d v="2025-08-25T00:00:00"/>
    <d v="2025-08-27T00:00:00"/>
    <x v="1"/>
    <s v="Q3"/>
    <x v="7"/>
    <x v="0"/>
    <x v="0"/>
    <x v="2"/>
    <x v="0"/>
    <x v="0"/>
    <x v="2"/>
    <n v="2"/>
    <m/>
    <n v="1881"/>
    <n v="1"/>
    <n v="4"/>
    <s v="Recovered"/>
    <n v="1"/>
  </r>
  <r>
    <s v="ADM-244546"/>
    <d v="2025-08-25T00:00:00"/>
    <d v="2025-08-28T00:00:00"/>
    <x v="1"/>
    <s v="Q3"/>
    <x v="7"/>
    <x v="0"/>
    <x v="1"/>
    <x v="2"/>
    <x v="0"/>
    <x v="0"/>
    <x v="2"/>
    <n v="3"/>
    <m/>
    <n v="3794"/>
    <n v="0"/>
    <n v="4"/>
    <s v="Recovered"/>
    <n v="1"/>
  </r>
  <r>
    <s v="ADM-244547"/>
    <d v="2025-08-25T00:00:00"/>
    <d v="2025-08-27T00:00:00"/>
    <x v="1"/>
    <s v="Q3"/>
    <x v="7"/>
    <x v="0"/>
    <x v="1"/>
    <x v="2"/>
    <x v="1"/>
    <x v="1"/>
    <x v="0"/>
    <n v="2"/>
    <m/>
    <n v="2895"/>
    <n v="0"/>
    <n v="4"/>
    <s v="Improved"/>
    <n v="1"/>
  </r>
  <r>
    <s v="ADM-244548"/>
    <d v="2025-08-25T00:00:00"/>
    <d v="2025-08-31T00:00:00"/>
    <x v="1"/>
    <s v="Q3"/>
    <x v="7"/>
    <x v="0"/>
    <x v="0"/>
    <x v="0"/>
    <x v="0"/>
    <x v="2"/>
    <x v="0"/>
    <n v="6"/>
    <n v="42"/>
    <n v="4408"/>
    <n v="0"/>
    <n v="4"/>
    <s v="Recovered"/>
    <n v="1"/>
  </r>
  <r>
    <s v="ADM-244549"/>
    <d v="2025-08-25T00:00:00"/>
    <d v="2025-08-29T00:00:00"/>
    <x v="1"/>
    <s v="Q3"/>
    <x v="7"/>
    <x v="0"/>
    <x v="2"/>
    <x v="0"/>
    <x v="0"/>
    <x v="2"/>
    <x v="0"/>
    <n v="4"/>
    <n v="15"/>
    <n v="2645"/>
    <n v="0"/>
    <n v="4"/>
    <s v="Improved"/>
    <n v="1"/>
  </r>
  <r>
    <s v="ADM-244550"/>
    <d v="2025-08-25T00:00:00"/>
    <d v="2025-09-04T00:00:00"/>
    <x v="1"/>
    <s v="Q3"/>
    <x v="7"/>
    <x v="0"/>
    <x v="3"/>
    <x v="0"/>
    <x v="1"/>
    <x v="3"/>
    <x v="0"/>
    <n v="10"/>
    <n v="61"/>
    <n v="5778"/>
    <n v="0"/>
    <n v="4"/>
    <s v="Recovered"/>
    <n v="1"/>
  </r>
  <r>
    <s v="ADM-244551"/>
    <d v="2025-08-25T00:00:00"/>
    <d v="2025-09-03T00:00:00"/>
    <x v="1"/>
    <s v="Q3"/>
    <x v="7"/>
    <x v="0"/>
    <x v="0"/>
    <x v="0"/>
    <x v="1"/>
    <x v="2"/>
    <x v="2"/>
    <n v="9"/>
    <n v="56"/>
    <n v="8119"/>
    <n v="0"/>
    <n v="5"/>
    <s v="Recovered"/>
    <n v="1"/>
  </r>
  <r>
    <s v="ADM-244552"/>
    <d v="2025-08-25T00:00:00"/>
    <d v="2025-08-28T00:00:00"/>
    <x v="1"/>
    <s v="Q3"/>
    <x v="7"/>
    <x v="0"/>
    <x v="0"/>
    <x v="2"/>
    <x v="1"/>
    <x v="0"/>
    <x v="2"/>
    <n v="3"/>
    <m/>
    <n v="3108"/>
    <n v="0"/>
    <n v="5"/>
    <s v="Recovered"/>
    <n v="1"/>
  </r>
  <r>
    <s v="ADM-244553"/>
    <d v="2025-08-26T00:00:00"/>
    <d v="2025-08-27T00:00:00"/>
    <x v="1"/>
    <s v="Q3"/>
    <x v="7"/>
    <x v="1"/>
    <x v="5"/>
    <x v="0"/>
    <x v="1"/>
    <x v="0"/>
    <x v="2"/>
    <n v="1"/>
    <n v="36"/>
    <n v="1393"/>
    <n v="0"/>
    <n v="4"/>
    <s v="Improved"/>
    <n v="1"/>
  </r>
  <r>
    <s v="ADM-244554"/>
    <d v="2025-08-26T00:00:00"/>
    <d v="2025-08-27T00:00:00"/>
    <x v="1"/>
    <s v="Q3"/>
    <x v="7"/>
    <x v="1"/>
    <x v="3"/>
    <x v="2"/>
    <x v="1"/>
    <x v="3"/>
    <x v="0"/>
    <n v="1"/>
    <m/>
    <n v="1645"/>
    <n v="0"/>
    <n v="5"/>
    <s v="Improved"/>
    <n v="1"/>
  </r>
  <r>
    <s v="ADM-244555"/>
    <d v="2025-08-26T00:00:00"/>
    <d v="2025-09-01T00:00:00"/>
    <x v="1"/>
    <s v="Q3"/>
    <x v="7"/>
    <x v="1"/>
    <x v="5"/>
    <x v="2"/>
    <x v="1"/>
    <x v="4"/>
    <x v="2"/>
    <n v="6"/>
    <m/>
    <n v="5759"/>
    <n v="0"/>
    <n v="3"/>
    <s v="Recovered"/>
    <n v="1"/>
  </r>
  <r>
    <s v="ADM-244556"/>
    <d v="2025-08-26T00:00:00"/>
    <d v="2025-08-29T00:00:00"/>
    <x v="1"/>
    <s v="Q3"/>
    <x v="7"/>
    <x v="1"/>
    <x v="3"/>
    <x v="0"/>
    <x v="1"/>
    <x v="3"/>
    <x v="0"/>
    <n v="3"/>
    <n v="14"/>
    <n v="2524"/>
    <n v="0"/>
    <n v="4"/>
    <s v="Recovered"/>
    <n v="1"/>
  </r>
  <r>
    <s v="ADM-244557"/>
    <d v="2025-08-26T00:00:00"/>
    <d v="2025-08-29T00:00:00"/>
    <x v="1"/>
    <s v="Q3"/>
    <x v="7"/>
    <x v="1"/>
    <x v="1"/>
    <x v="2"/>
    <x v="0"/>
    <x v="1"/>
    <x v="0"/>
    <n v="3"/>
    <m/>
    <n v="2987"/>
    <n v="0"/>
    <n v="5"/>
    <s v="Recovered"/>
    <n v="1"/>
  </r>
  <r>
    <s v="ADM-244558"/>
    <d v="2025-08-26T00:00:00"/>
    <d v="2025-08-29T00:00:00"/>
    <x v="1"/>
    <s v="Q3"/>
    <x v="7"/>
    <x v="1"/>
    <x v="1"/>
    <x v="2"/>
    <x v="1"/>
    <x v="0"/>
    <x v="2"/>
    <n v="3"/>
    <m/>
    <n v="4181"/>
    <n v="0"/>
    <n v="4"/>
    <s v="Recovered"/>
    <n v="1"/>
  </r>
  <r>
    <s v="ADM-244559"/>
    <d v="2025-08-26T00:00:00"/>
    <d v="2025-08-29T00:00:00"/>
    <x v="1"/>
    <s v="Q3"/>
    <x v="7"/>
    <x v="1"/>
    <x v="4"/>
    <x v="2"/>
    <x v="0"/>
    <x v="1"/>
    <x v="0"/>
    <n v="3"/>
    <m/>
    <n v="4890"/>
    <n v="0"/>
    <n v="3"/>
    <s v="Recovered"/>
    <n v="1"/>
  </r>
  <r>
    <s v="ADM-244560"/>
    <d v="2025-08-26T00:00:00"/>
    <d v="2025-08-28T00:00:00"/>
    <x v="1"/>
    <s v="Q3"/>
    <x v="7"/>
    <x v="1"/>
    <x v="0"/>
    <x v="2"/>
    <x v="1"/>
    <x v="1"/>
    <x v="2"/>
    <n v="2"/>
    <m/>
    <n v="1888"/>
    <n v="0"/>
    <n v="4"/>
    <s v="Recovered"/>
    <n v="1"/>
  </r>
  <r>
    <s v="ADM-244561"/>
    <d v="2025-08-26T00:00:00"/>
    <d v="2025-08-30T00:00:00"/>
    <x v="1"/>
    <s v="Q3"/>
    <x v="7"/>
    <x v="1"/>
    <x v="0"/>
    <x v="0"/>
    <x v="1"/>
    <x v="4"/>
    <x v="0"/>
    <n v="4"/>
    <n v="24"/>
    <n v="3287"/>
    <n v="0"/>
    <n v="4"/>
    <s v="Recovered"/>
    <n v="1"/>
  </r>
  <r>
    <s v="ADM-244562"/>
    <d v="2025-08-27T00:00:00"/>
    <d v="2025-08-29T00:00:00"/>
    <x v="1"/>
    <s v="Q3"/>
    <x v="7"/>
    <x v="2"/>
    <x v="4"/>
    <x v="2"/>
    <x v="0"/>
    <x v="4"/>
    <x v="0"/>
    <n v="2"/>
    <m/>
    <n v="3076"/>
    <n v="0"/>
    <n v="4"/>
    <s v="Recovered"/>
    <n v="1"/>
  </r>
  <r>
    <s v="ADM-244563"/>
    <d v="2025-08-27T00:00:00"/>
    <d v="2025-09-01T00:00:00"/>
    <x v="1"/>
    <s v="Q3"/>
    <x v="7"/>
    <x v="2"/>
    <x v="4"/>
    <x v="0"/>
    <x v="0"/>
    <x v="1"/>
    <x v="0"/>
    <n v="5"/>
    <n v="35"/>
    <n v="5594"/>
    <n v="0"/>
    <n v="3"/>
    <s v="Improved"/>
    <n v="1"/>
  </r>
  <r>
    <s v="ADM-244564"/>
    <d v="2025-08-27T00:00:00"/>
    <d v="2025-08-28T00:00:00"/>
    <x v="1"/>
    <s v="Q3"/>
    <x v="7"/>
    <x v="2"/>
    <x v="5"/>
    <x v="0"/>
    <x v="0"/>
    <x v="2"/>
    <x v="1"/>
    <n v="1"/>
    <n v="85"/>
    <n v="1346"/>
    <n v="0"/>
    <n v="5"/>
    <s v="Improved"/>
    <n v="1"/>
  </r>
  <r>
    <s v="ADM-244565"/>
    <d v="2025-08-27T00:00:00"/>
    <d v="2025-08-30T00:00:00"/>
    <x v="1"/>
    <s v="Q3"/>
    <x v="7"/>
    <x v="2"/>
    <x v="0"/>
    <x v="0"/>
    <x v="0"/>
    <x v="0"/>
    <x v="2"/>
    <n v="3"/>
    <n v="52"/>
    <n v="2740"/>
    <n v="0"/>
    <n v="4"/>
    <s v="Recovered"/>
    <n v="1"/>
  </r>
  <r>
    <s v="ADM-244566"/>
    <d v="2025-08-27T00:00:00"/>
    <d v="2025-08-31T00:00:00"/>
    <x v="1"/>
    <s v="Q3"/>
    <x v="7"/>
    <x v="2"/>
    <x v="2"/>
    <x v="0"/>
    <x v="0"/>
    <x v="1"/>
    <x v="0"/>
    <n v="4"/>
    <n v="60"/>
    <n v="3184"/>
    <n v="0"/>
    <n v="4"/>
    <s v="Recovered"/>
    <n v="1"/>
  </r>
  <r>
    <s v="ADM-244567"/>
    <d v="2025-08-27T00:00:00"/>
    <d v="2025-08-30T00:00:00"/>
    <x v="1"/>
    <s v="Q3"/>
    <x v="7"/>
    <x v="2"/>
    <x v="5"/>
    <x v="2"/>
    <x v="0"/>
    <x v="0"/>
    <x v="2"/>
    <n v="3"/>
    <m/>
    <n v="4560"/>
    <n v="0"/>
    <n v="5"/>
    <s v="Recovered"/>
    <n v="1"/>
  </r>
  <r>
    <s v="ADM-244568"/>
    <d v="2025-08-27T00:00:00"/>
    <d v="2025-08-29T00:00:00"/>
    <x v="1"/>
    <s v="Q3"/>
    <x v="7"/>
    <x v="2"/>
    <x v="2"/>
    <x v="2"/>
    <x v="0"/>
    <x v="2"/>
    <x v="0"/>
    <n v="2"/>
    <m/>
    <n v="2009"/>
    <n v="0"/>
    <n v="4"/>
    <s v="Recovered"/>
    <n v="1"/>
  </r>
  <r>
    <s v="ADM-244569"/>
    <d v="2025-08-27T00:00:00"/>
    <d v="2025-08-31T00:00:00"/>
    <x v="1"/>
    <s v="Q3"/>
    <x v="7"/>
    <x v="2"/>
    <x v="4"/>
    <x v="2"/>
    <x v="1"/>
    <x v="1"/>
    <x v="1"/>
    <n v="4"/>
    <m/>
    <n v="3739"/>
    <n v="0"/>
    <n v="5"/>
    <s v="Improved"/>
    <n v="1"/>
  </r>
  <r>
    <s v="ADM-244570"/>
    <d v="2025-08-27T00:00:00"/>
    <d v="2025-09-01T00:00:00"/>
    <x v="1"/>
    <s v="Q3"/>
    <x v="7"/>
    <x v="2"/>
    <x v="0"/>
    <x v="0"/>
    <x v="0"/>
    <x v="2"/>
    <x v="0"/>
    <n v="5"/>
    <n v="51"/>
    <n v="3814"/>
    <n v="0"/>
    <n v="4"/>
    <s v="Improved"/>
    <n v="1"/>
  </r>
  <r>
    <s v="ADM-244571"/>
    <d v="2025-08-28T00:00:00"/>
    <d v="2025-09-07T00:00:00"/>
    <x v="1"/>
    <s v="Q3"/>
    <x v="7"/>
    <x v="3"/>
    <x v="4"/>
    <x v="0"/>
    <x v="0"/>
    <x v="0"/>
    <x v="0"/>
    <n v="10"/>
    <n v="24"/>
    <n v="12957"/>
    <n v="1"/>
    <n v="4"/>
    <s v="Recovered"/>
    <n v="1"/>
  </r>
  <r>
    <s v="ADM-244572"/>
    <d v="2025-08-28T00:00:00"/>
    <d v="2025-08-30T00:00:00"/>
    <x v="1"/>
    <s v="Q3"/>
    <x v="7"/>
    <x v="3"/>
    <x v="2"/>
    <x v="0"/>
    <x v="0"/>
    <x v="2"/>
    <x v="0"/>
    <n v="2"/>
    <n v="39"/>
    <n v="2132"/>
    <n v="0"/>
    <n v="4"/>
    <s v="Recovered"/>
    <n v="1"/>
  </r>
  <r>
    <s v="ADM-244573"/>
    <d v="2025-08-28T00:00:00"/>
    <d v="2025-09-17T00:00:00"/>
    <x v="1"/>
    <s v="Q3"/>
    <x v="7"/>
    <x v="3"/>
    <x v="0"/>
    <x v="0"/>
    <x v="0"/>
    <x v="0"/>
    <x v="1"/>
    <n v="20"/>
    <n v="48"/>
    <n v="10498"/>
    <n v="0"/>
    <n v="4"/>
    <s v="Improved"/>
    <n v="1"/>
  </r>
  <r>
    <s v="ADM-244574"/>
    <d v="2025-08-28T00:00:00"/>
    <d v="2025-09-03T00:00:00"/>
    <x v="1"/>
    <s v="Q3"/>
    <x v="7"/>
    <x v="3"/>
    <x v="4"/>
    <x v="0"/>
    <x v="1"/>
    <x v="4"/>
    <x v="0"/>
    <n v="6"/>
    <n v="25"/>
    <n v="8716"/>
    <n v="1"/>
    <n v="4"/>
    <s v="Recovered"/>
    <n v="1"/>
  </r>
  <r>
    <s v="ADM-244575"/>
    <d v="2025-08-28T00:00:00"/>
    <d v="2025-09-02T00:00:00"/>
    <x v="1"/>
    <s v="Q3"/>
    <x v="7"/>
    <x v="3"/>
    <x v="2"/>
    <x v="0"/>
    <x v="0"/>
    <x v="1"/>
    <x v="1"/>
    <n v="5"/>
    <n v="40"/>
    <n v="4858"/>
    <n v="0"/>
    <n v="5"/>
    <s v="Transferred"/>
    <n v="1"/>
  </r>
  <r>
    <s v="ADM-244576"/>
    <d v="2025-08-28T00:00:00"/>
    <d v="2025-09-02T00:00:00"/>
    <x v="1"/>
    <s v="Q3"/>
    <x v="7"/>
    <x v="3"/>
    <x v="4"/>
    <x v="1"/>
    <x v="1"/>
    <x v="4"/>
    <x v="2"/>
    <n v="5"/>
    <m/>
    <n v="7139"/>
    <n v="0"/>
    <n v="5"/>
    <s v="Recovered"/>
    <n v="1"/>
  </r>
  <r>
    <s v="ADM-244577"/>
    <d v="2025-08-28T00:00:00"/>
    <d v="2025-09-01T00:00:00"/>
    <x v="1"/>
    <s v="Q3"/>
    <x v="7"/>
    <x v="3"/>
    <x v="3"/>
    <x v="0"/>
    <x v="1"/>
    <x v="3"/>
    <x v="0"/>
    <n v="4"/>
    <n v="47"/>
    <n v="4107"/>
    <n v="0"/>
    <n v="3"/>
    <s v="Improved"/>
    <n v="1"/>
  </r>
  <r>
    <s v="ADM-244578"/>
    <d v="2025-08-28T00:00:00"/>
    <d v="2025-09-03T00:00:00"/>
    <x v="1"/>
    <s v="Q3"/>
    <x v="7"/>
    <x v="3"/>
    <x v="3"/>
    <x v="2"/>
    <x v="1"/>
    <x v="3"/>
    <x v="0"/>
    <n v="6"/>
    <m/>
    <n v="3004"/>
    <n v="0"/>
    <n v="4"/>
    <s v="Recovered"/>
    <n v="1"/>
  </r>
  <r>
    <s v="ADM-244579"/>
    <d v="2025-08-29T00:00:00"/>
    <d v="2025-09-03T00:00:00"/>
    <x v="1"/>
    <s v="Q3"/>
    <x v="7"/>
    <x v="4"/>
    <x v="3"/>
    <x v="0"/>
    <x v="1"/>
    <x v="3"/>
    <x v="2"/>
    <n v="5"/>
    <n v="39"/>
    <n v="2755"/>
    <n v="0"/>
    <n v="4"/>
    <s v="Recovered"/>
    <n v="1"/>
  </r>
  <r>
    <s v="ADM-244580"/>
    <d v="2025-08-29T00:00:00"/>
    <d v="2025-09-03T00:00:00"/>
    <x v="1"/>
    <s v="Q3"/>
    <x v="7"/>
    <x v="4"/>
    <x v="0"/>
    <x v="0"/>
    <x v="1"/>
    <x v="0"/>
    <x v="2"/>
    <n v="5"/>
    <n v="73"/>
    <n v="4071"/>
    <n v="0"/>
    <n v="5"/>
    <s v="Improved"/>
    <n v="1"/>
  </r>
  <r>
    <s v="ADM-244581"/>
    <d v="2025-08-29T00:00:00"/>
    <d v="2025-09-01T00:00:00"/>
    <x v="1"/>
    <s v="Q3"/>
    <x v="7"/>
    <x v="4"/>
    <x v="2"/>
    <x v="0"/>
    <x v="0"/>
    <x v="1"/>
    <x v="0"/>
    <n v="3"/>
    <n v="48"/>
    <n v="2877"/>
    <n v="0"/>
    <n v="5"/>
    <s v="Recovered"/>
    <n v="1"/>
  </r>
  <r>
    <s v="ADM-244582"/>
    <d v="2025-08-29T00:00:00"/>
    <d v="2025-08-31T00:00:00"/>
    <x v="1"/>
    <s v="Q3"/>
    <x v="7"/>
    <x v="4"/>
    <x v="4"/>
    <x v="2"/>
    <x v="1"/>
    <x v="4"/>
    <x v="2"/>
    <n v="2"/>
    <m/>
    <n v="2632"/>
    <n v="0"/>
    <n v="5"/>
    <s v="Recovered"/>
    <n v="1"/>
  </r>
  <r>
    <s v="ADM-244583"/>
    <d v="2025-08-29T00:00:00"/>
    <d v="2025-09-01T00:00:00"/>
    <x v="1"/>
    <s v="Q3"/>
    <x v="7"/>
    <x v="4"/>
    <x v="2"/>
    <x v="0"/>
    <x v="0"/>
    <x v="1"/>
    <x v="1"/>
    <n v="3"/>
    <n v="10"/>
    <n v="3165"/>
    <n v="0"/>
    <n v="4"/>
    <s v="Recovered"/>
    <n v="1"/>
  </r>
  <r>
    <s v="ADM-244584"/>
    <d v="2025-08-30T00:00:00"/>
    <d v="2025-09-03T00:00:00"/>
    <x v="1"/>
    <s v="Q3"/>
    <x v="7"/>
    <x v="5"/>
    <x v="2"/>
    <x v="0"/>
    <x v="0"/>
    <x v="2"/>
    <x v="2"/>
    <n v="4"/>
    <n v="77"/>
    <n v="3529"/>
    <n v="0"/>
    <n v="4"/>
    <s v="Improved"/>
    <n v="1"/>
  </r>
  <r>
    <s v="ADM-244585"/>
    <d v="2025-08-30T00:00:00"/>
    <d v="2025-09-02T00:00:00"/>
    <x v="1"/>
    <s v="Q3"/>
    <x v="7"/>
    <x v="5"/>
    <x v="3"/>
    <x v="2"/>
    <x v="0"/>
    <x v="3"/>
    <x v="1"/>
    <n v="3"/>
    <m/>
    <n v="2417"/>
    <n v="0"/>
    <n v="5"/>
    <s v="Improved"/>
    <n v="1"/>
  </r>
  <r>
    <s v="ADM-244586"/>
    <d v="2025-08-30T00:00:00"/>
    <d v="2025-09-04T00:00:00"/>
    <x v="1"/>
    <s v="Q3"/>
    <x v="7"/>
    <x v="5"/>
    <x v="4"/>
    <x v="0"/>
    <x v="0"/>
    <x v="0"/>
    <x v="2"/>
    <n v="5"/>
    <n v="62"/>
    <n v="3981"/>
    <n v="0"/>
    <n v="4"/>
    <s v="Recovered"/>
    <n v="1"/>
  </r>
  <r>
    <s v="ADM-244587"/>
    <d v="2025-08-30T00:00:00"/>
    <d v="2025-09-02T00:00:00"/>
    <x v="1"/>
    <s v="Q3"/>
    <x v="7"/>
    <x v="5"/>
    <x v="4"/>
    <x v="0"/>
    <x v="1"/>
    <x v="2"/>
    <x v="2"/>
    <n v="3"/>
    <n v="13"/>
    <n v="4686"/>
    <n v="0"/>
    <n v="5"/>
    <s v="Improved"/>
    <n v="1"/>
  </r>
  <r>
    <s v="ADM-244588"/>
    <d v="2025-08-30T00:00:00"/>
    <d v="2025-09-04T00:00:00"/>
    <x v="1"/>
    <s v="Q3"/>
    <x v="7"/>
    <x v="5"/>
    <x v="0"/>
    <x v="0"/>
    <x v="0"/>
    <x v="4"/>
    <x v="2"/>
    <n v="5"/>
    <n v="51"/>
    <n v="3298"/>
    <n v="0"/>
    <n v="4"/>
    <s v="Recovered"/>
    <n v="1"/>
  </r>
  <r>
    <s v="ADM-244589"/>
    <d v="2025-08-30T00:00:00"/>
    <d v="2025-09-06T00:00:00"/>
    <x v="1"/>
    <s v="Q3"/>
    <x v="7"/>
    <x v="5"/>
    <x v="4"/>
    <x v="0"/>
    <x v="0"/>
    <x v="1"/>
    <x v="0"/>
    <n v="7"/>
    <n v="16"/>
    <n v="7634"/>
    <n v="0"/>
    <n v="5"/>
    <s v="Recovered"/>
    <n v="1"/>
  </r>
  <r>
    <s v="ADM-244590"/>
    <d v="2025-08-30T00:00:00"/>
    <d v="2025-09-04T00:00:00"/>
    <x v="1"/>
    <s v="Q3"/>
    <x v="7"/>
    <x v="5"/>
    <x v="4"/>
    <x v="0"/>
    <x v="1"/>
    <x v="4"/>
    <x v="1"/>
    <n v="5"/>
    <n v="54"/>
    <n v="7768"/>
    <n v="0"/>
    <n v="4"/>
    <s v="Recovered"/>
    <n v="1"/>
  </r>
  <r>
    <s v="ADM-244591"/>
    <d v="2025-08-30T00:00:00"/>
    <d v="2025-09-02T00:00:00"/>
    <x v="1"/>
    <s v="Q3"/>
    <x v="7"/>
    <x v="5"/>
    <x v="1"/>
    <x v="2"/>
    <x v="1"/>
    <x v="4"/>
    <x v="2"/>
    <n v="3"/>
    <m/>
    <n v="3365"/>
    <n v="0"/>
    <n v="4"/>
    <s v="Recovered"/>
    <n v="1"/>
  </r>
  <r>
    <s v="ADM-244592"/>
    <d v="2025-08-30T00:00:00"/>
    <d v="2025-09-01T00:00:00"/>
    <x v="1"/>
    <s v="Q3"/>
    <x v="7"/>
    <x v="5"/>
    <x v="4"/>
    <x v="2"/>
    <x v="1"/>
    <x v="1"/>
    <x v="1"/>
    <n v="2"/>
    <m/>
    <n v="2263"/>
    <n v="0"/>
    <n v="4"/>
    <s v="Recovered"/>
    <n v="1"/>
  </r>
  <r>
    <s v="ADM-244593"/>
    <d v="2025-08-30T00:00:00"/>
    <d v="2025-09-05T00:00:00"/>
    <x v="1"/>
    <s v="Q3"/>
    <x v="7"/>
    <x v="5"/>
    <x v="0"/>
    <x v="1"/>
    <x v="1"/>
    <x v="4"/>
    <x v="0"/>
    <n v="6"/>
    <m/>
    <n v="4900"/>
    <n v="0"/>
    <n v="4"/>
    <s v="Recovered"/>
    <n v="1"/>
  </r>
  <r>
    <s v="ADM-244594"/>
    <d v="2025-08-31T00:00:00"/>
    <d v="2025-09-06T00:00:00"/>
    <x v="1"/>
    <s v="Q3"/>
    <x v="7"/>
    <x v="6"/>
    <x v="5"/>
    <x v="2"/>
    <x v="0"/>
    <x v="0"/>
    <x v="2"/>
    <n v="6"/>
    <m/>
    <n v="7315"/>
    <n v="0"/>
    <n v="4"/>
    <s v="Recovered"/>
    <n v="1"/>
  </r>
  <r>
    <s v="ADM-244595"/>
    <d v="2025-08-31T00:00:00"/>
    <d v="2025-09-01T00:00:00"/>
    <x v="1"/>
    <s v="Q3"/>
    <x v="7"/>
    <x v="6"/>
    <x v="0"/>
    <x v="2"/>
    <x v="0"/>
    <x v="2"/>
    <x v="0"/>
    <n v="1"/>
    <m/>
    <n v="1398"/>
    <n v="0"/>
    <n v="3"/>
    <s v="Recovered"/>
    <n v="1"/>
  </r>
  <r>
    <s v="ADM-244596"/>
    <d v="2025-08-31T00:00:00"/>
    <d v="2025-09-06T00:00:00"/>
    <x v="1"/>
    <s v="Q3"/>
    <x v="7"/>
    <x v="6"/>
    <x v="2"/>
    <x v="2"/>
    <x v="0"/>
    <x v="2"/>
    <x v="0"/>
    <n v="6"/>
    <m/>
    <n v="4207"/>
    <n v="0"/>
    <n v="3"/>
    <s v="Recovered"/>
    <n v="1"/>
  </r>
  <r>
    <s v="ADM-244597"/>
    <d v="2025-08-31T00:00:00"/>
    <d v="2025-09-02T00:00:00"/>
    <x v="1"/>
    <s v="Q3"/>
    <x v="7"/>
    <x v="6"/>
    <x v="2"/>
    <x v="0"/>
    <x v="0"/>
    <x v="1"/>
    <x v="1"/>
    <n v="2"/>
    <n v="25"/>
    <n v="2292"/>
    <n v="0"/>
    <n v="4"/>
    <s v="Recovered"/>
    <n v="1"/>
  </r>
  <r>
    <s v="ADM-244598"/>
    <d v="2025-09-01T00:00:00"/>
    <d v="2025-09-07T00:00:00"/>
    <x v="1"/>
    <s v="Q3"/>
    <x v="8"/>
    <x v="0"/>
    <x v="4"/>
    <x v="2"/>
    <x v="0"/>
    <x v="2"/>
    <x v="0"/>
    <n v="6"/>
    <m/>
    <n v="7074"/>
    <n v="0"/>
    <n v="4"/>
    <s v="Recovered"/>
    <n v="1"/>
  </r>
  <r>
    <s v="ADM-244599"/>
    <d v="2025-09-01T00:00:00"/>
    <d v="2025-09-13T00:00:00"/>
    <x v="1"/>
    <s v="Q3"/>
    <x v="8"/>
    <x v="0"/>
    <x v="5"/>
    <x v="0"/>
    <x v="1"/>
    <x v="2"/>
    <x v="2"/>
    <n v="12"/>
    <n v="29"/>
    <n v="14225"/>
    <n v="0"/>
    <n v="4"/>
    <s v="Improved"/>
    <n v="1"/>
  </r>
  <r>
    <s v="ADM-244600"/>
    <d v="2025-09-01T00:00:00"/>
    <d v="2025-09-07T00:00:00"/>
    <x v="1"/>
    <s v="Q3"/>
    <x v="8"/>
    <x v="0"/>
    <x v="1"/>
    <x v="2"/>
    <x v="1"/>
    <x v="2"/>
    <x v="2"/>
    <n v="6"/>
    <m/>
    <n v="8939"/>
    <n v="0"/>
    <n v="4"/>
    <s v="Improved"/>
    <n v="1"/>
  </r>
  <r>
    <s v="ADM-244601"/>
    <d v="2025-09-01T00:00:00"/>
    <d v="2025-09-02T00:00:00"/>
    <x v="1"/>
    <s v="Q3"/>
    <x v="8"/>
    <x v="0"/>
    <x v="2"/>
    <x v="0"/>
    <x v="0"/>
    <x v="2"/>
    <x v="0"/>
    <n v="1"/>
    <n v="82"/>
    <n v="1581"/>
    <n v="0"/>
    <n v="4"/>
    <s v="Recovered"/>
    <n v="1"/>
  </r>
  <r>
    <s v="ADM-244602"/>
    <d v="2025-09-01T00:00:00"/>
    <d v="2025-09-06T00:00:00"/>
    <x v="1"/>
    <s v="Q3"/>
    <x v="8"/>
    <x v="0"/>
    <x v="0"/>
    <x v="1"/>
    <x v="0"/>
    <x v="1"/>
    <x v="0"/>
    <n v="5"/>
    <m/>
    <n v="4376"/>
    <n v="0"/>
    <n v="4"/>
    <s v="Recovered"/>
    <n v="1"/>
  </r>
  <r>
    <s v="ADM-244603"/>
    <d v="2025-09-01T00:00:00"/>
    <d v="2025-09-02T00:00:00"/>
    <x v="1"/>
    <s v="Q3"/>
    <x v="8"/>
    <x v="0"/>
    <x v="5"/>
    <x v="2"/>
    <x v="1"/>
    <x v="1"/>
    <x v="0"/>
    <n v="1"/>
    <m/>
    <n v="1959"/>
    <n v="0"/>
    <n v="4"/>
    <s v="Recovered"/>
    <n v="1"/>
  </r>
  <r>
    <s v="ADM-244604"/>
    <d v="2025-09-02T00:00:00"/>
    <d v="2025-09-06T00:00:00"/>
    <x v="1"/>
    <s v="Q3"/>
    <x v="8"/>
    <x v="1"/>
    <x v="2"/>
    <x v="0"/>
    <x v="0"/>
    <x v="2"/>
    <x v="1"/>
    <n v="4"/>
    <n v="60"/>
    <n v="2660"/>
    <n v="0"/>
    <n v="3"/>
    <s v="Recovered"/>
    <n v="1"/>
  </r>
  <r>
    <s v="ADM-244605"/>
    <d v="2025-09-02T00:00:00"/>
    <d v="2025-09-13T00:00:00"/>
    <x v="1"/>
    <s v="Q3"/>
    <x v="8"/>
    <x v="1"/>
    <x v="1"/>
    <x v="0"/>
    <x v="1"/>
    <x v="2"/>
    <x v="2"/>
    <n v="11"/>
    <n v="51"/>
    <n v="10870"/>
    <n v="0"/>
    <n v="4"/>
    <s v="Improved"/>
    <n v="1"/>
  </r>
  <r>
    <s v="ADM-244606"/>
    <d v="2025-09-02T00:00:00"/>
    <d v="2025-09-15T00:00:00"/>
    <x v="1"/>
    <s v="Q3"/>
    <x v="8"/>
    <x v="1"/>
    <x v="0"/>
    <x v="0"/>
    <x v="1"/>
    <x v="0"/>
    <x v="2"/>
    <n v="13"/>
    <n v="46"/>
    <n v="8219"/>
    <n v="0"/>
    <n v="4"/>
    <s v="Improved"/>
    <n v="1"/>
  </r>
  <r>
    <s v="ADM-244607"/>
    <d v="2025-09-02T00:00:00"/>
    <d v="2025-09-05T00:00:00"/>
    <x v="1"/>
    <s v="Q3"/>
    <x v="8"/>
    <x v="1"/>
    <x v="5"/>
    <x v="0"/>
    <x v="1"/>
    <x v="4"/>
    <x v="2"/>
    <n v="3"/>
    <n v="110"/>
    <n v="3424"/>
    <n v="0"/>
    <n v="3"/>
    <s v="Improved"/>
    <n v="1"/>
  </r>
  <r>
    <s v="ADM-244608"/>
    <d v="2025-09-02T00:00:00"/>
    <d v="2025-09-04T00:00:00"/>
    <x v="1"/>
    <s v="Q3"/>
    <x v="8"/>
    <x v="1"/>
    <x v="2"/>
    <x v="0"/>
    <x v="0"/>
    <x v="2"/>
    <x v="2"/>
    <n v="2"/>
    <n v="23"/>
    <n v="2222"/>
    <n v="0"/>
    <n v="4"/>
    <s v="Recovered"/>
    <n v="1"/>
  </r>
  <r>
    <s v="ADM-244609"/>
    <d v="2025-09-02T00:00:00"/>
    <d v="2025-09-04T00:00:00"/>
    <x v="1"/>
    <s v="Q3"/>
    <x v="8"/>
    <x v="1"/>
    <x v="5"/>
    <x v="2"/>
    <x v="0"/>
    <x v="2"/>
    <x v="2"/>
    <n v="2"/>
    <m/>
    <n v="1924"/>
    <n v="0"/>
    <n v="5"/>
    <s v="Recovered"/>
    <n v="1"/>
  </r>
  <r>
    <s v="ADM-244610"/>
    <d v="2025-09-02T00:00:00"/>
    <d v="2025-09-04T00:00:00"/>
    <x v="1"/>
    <s v="Q3"/>
    <x v="8"/>
    <x v="1"/>
    <x v="5"/>
    <x v="2"/>
    <x v="1"/>
    <x v="0"/>
    <x v="2"/>
    <n v="2"/>
    <m/>
    <n v="2546"/>
    <n v="0"/>
    <n v="4"/>
    <s v="Recovered"/>
    <n v="1"/>
  </r>
  <r>
    <s v="ADM-244611"/>
    <d v="2025-09-02T00:00:00"/>
    <d v="2025-09-03T00:00:00"/>
    <x v="1"/>
    <s v="Q3"/>
    <x v="8"/>
    <x v="1"/>
    <x v="5"/>
    <x v="0"/>
    <x v="1"/>
    <x v="0"/>
    <x v="0"/>
    <n v="1"/>
    <n v="18"/>
    <n v="2065"/>
    <n v="0"/>
    <n v="4"/>
    <s v="Transferred"/>
    <n v="1"/>
  </r>
  <r>
    <s v="ADM-244612"/>
    <d v="2025-09-02T00:00:00"/>
    <d v="2025-09-04T00:00:00"/>
    <x v="1"/>
    <s v="Q3"/>
    <x v="8"/>
    <x v="1"/>
    <x v="3"/>
    <x v="0"/>
    <x v="1"/>
    <x v="3"/>
    <x v="2"/>
    <n v="2"/>
    <n v="52"/>
    <n v="1842"/>
    <n v="0"/>
    <n v="5"/>
    <s v="Recovered"/>
    <n v="1"/>
  </r>
  <r>
    <s v="ADM-244613"/>
    <d v="2025-09-02T00:00:00"/>
    <d v="2025-09-06T00:00:00"/>
    <x v="1"/>
    <s v="Q3"/>
    <x v="8"/>
    <x v="1"/>
    <x v="3"/>
    <x v="0"/>
    <x v="0"/>
    <x v="3"/>
    <x v="1"/>
    <n v="4"/>
    <n v="24"/>
    <n v="3028"/>
    <n v="0"/>
    <n v="4"/>
    <s v="Recovered"/>
    <n v="1"/>
  </r>
  <r>
    <s v="ADM-244614"/>
    <d v="2025-09-02T00:00:00"/>
    <d v="2025-09-05T00:00:00"/>
    <x v="1"/>
    <s v="Q3"/>
    <x v="8"/>
    <x v="1"/>
    <x v="4"/>
    <x v="0"/>
    <x v="0"/>
    <x v="1"/>
    <x v="0"/>
    <n v="3"/>
    <n v="82"/>
    <n v="3698"/>
    <n v="0"/>
    <n v="5"/>
    <s v="Recovered"/>
    <n v="1"/>
  </r>
  <r>
    <s v="ADM-244615"/>
    <d v="2025-09-02T00:00:00"/>
    <d v="2025-09-03T00:00:00"/>
    <x v="1"/>
    <s v="Q3"/>
    <x v="8"/>
    <x v="1"/>
    <x v="3"/>
    <x v="0"/>
    <x v="1"/>
    <x v="3"/>
    <x v="0"/>
    <n v="1"/>
    <n v="32"/>
    <n v="1157"/>
    <n v="0"/>
    <n v="5"/>
    <s v="Improved"/>
    <n v="1"/>
  </r>
  <r>
    <s v="ADM-244616"/>
    <d v="2025-09-03T00:00:00"/>
    <d v="2025-09-07T00:00:00"/>
    <x v="1"/>
    <s v="Q3"/>
    <x v="8"/>
    <x v="2"/>
    <x v="1"/>
    <x v="2"/>
    <x v="0"/>
    <x v="4"/>
    <x v="2"/>
    <n v="4"/>
    <m/>
    <n v="3399"/>
    <n v="0"/>
    <n v="5"/>
    <s v="Improved"/>
    <n v="1"/>
  </r>
  <r>
    <s v="ADM-244617"/>
    <d v="2025-09-03T00:00:00"/>
    <d v="2025-09-10T00:00:00"/>
    <x v="1"/>
    <s v="Q3"/>
    <x v="8"/>
    <x v="2"/>
    <x v="5"/>
    <x v="0"/>
    <x v="1"/>
    <x v="4"/>
    <x v="2"/>
    <n v="7"/>
    <n v="52"/>
    <n v="7992"/>
    <n v="0"/>
    <n v="4"/>
    <s v="Recovered"/>
    <n v="1"/>
  </r>
  <r>
    <s v="ADM-244618"/>
    <d v="2025-09-03T00:00:00"/>
    <d v="2025-09-06T00:00:00"/>
    <x v="1"/>
    <s v="Q3"/>
    <x v="8"/>
    <x v="2"/>
    <x v="2"/>
    <x v="0"/>
    <x v="0"/>
    <x v="2"/>
    <x v="2"/>
    <n v="3"/>
    <n v="13"/>
    <n v="2224"/>
    <n v="0"/>
    <n v="5"/>
    <s v="Recovered"/>
    <n v="1"/>
  </r>
  <r>
    <s v="ADM-244619"/>
    <d v="2025-09-03T00:00:00"/>
    <d v="2025-09-07T00:00:00"/>
    <x v="1"/>
    <s v="Q3"/>
    <x v="8"/>
    <x v="2"/>
    <x v="3"/>
    <x v="2"/>
    <x v="0"/>
    <x v="3"/>
    <x v="0"/>
    <n v="4"/>
    <m/>
    <n v="3501"/>
    <n v="0"/>
    <n v="4"/>
    <s v="Improved"/>
    <n v="1"/>
  </r>
  <r>
    <s v="ADM-244620"/>
    <d v="2025-09-03T00:00:00"/>
    <d v="2025-09-05T00:00:00"/>
    <x v="1"/>
    <s v="Q3"/>
    <x v="8"/>
    <x v="2"/>
    <x v="0"/>
    <x v="0"/>
    <x v="1"/>
    <x v="0"/>
    <x v="2"/>
    <n v="2"/>
    <n v="17"/>
    <n v="1536"/>
    <n v="0"/>
    <n v="4"/>
    <s v="Recovered"/>
    <n v="1"/>
  </r>
  <r>
    <s v="ADM-244621"/>
    <d v="2025-09-03T00:00:00"/>
    <d v="2025-09-07T00:00:00"/>
    <x v="1"/>
    <s v="Q3"/>
    <x v="8"/>
    <x v="2"/>
    <x v="5"/>
    <x v="2"/>
    <x v="0"/>
    <x v="2"/>
    <x v="0"/>
    <n v="4"/>
    <m/>
    <n v="4167"/>
    <n v="0"/>
    <n v="4"/>
    <s v="Recovered"/>
    <n v="1"/>
  </r>
  <r>
    <s v="ADM-244622"/>
    <d v="2025-09-04T00:00:00"/>
    <d v="2025-09-06T00:00:00"/>
    <x v="1"/>
    <s v="Q3"/>
    <x v="8"/>
    <x v="3"/>
    <x v="5"/>
    <x v="2"/>
    <x v="0"/>
    <x v="2"/>
    <x v="1"/>
    <n v="2"/>
    <m/>
    <n v="2690"/>
    <n v="0"/>
    <n v="5"/>
    <s v="Recovered"/>
    <n v="1"/>
  </r>
  <r>
    <s v="ADM-244623"/>
    <d v="2025-09-04T00:00:00"/>
    <d v="2025-09-06T00:00:00"/>
    <x v="1"/>
    <s v="Q3"/>
    <x v="8"/>
    <x v="3"/>
    <x v="0"/>
    <x v="0"/>
    <x v="1"/>
    <x v="4"/>
    <x v="0"/>
    <n v="2"/>
    <n v="89"/>
    <n v="2127"/>
    <n v="0"/>
    <n v="5"/>
    <s v="Recovered"/>
    <n v="1"/>
  </r>
  <r>
    <s v="ADM-244624"/>
    <d v="2025-09-04T00:00:00"/>
    <d v="2025-09-07T00:00:00"/>
    <x v="1"/>
    <s v="Q3"/>
    <x v="8"/>
    <x v="3"/>
    <x v="1"/>
    <x v="0"/>
    <x v="1"/>
    <x v="4"/>
    <x v="0"/>
    <n v="3"/>
    <n v="11"/>
    <n v="3787"/>
    <n v="1"/>
    <n v="4"/>
    <s v="Deceased"/>
    <n v="1"/>
  </r>
  <r>
    <s v="ADM-244625"/>
    <d v="2025-09-04T00:00:00"/>
    <d v="2025-09-08T00:00:00"/>
    <x v="1"/>
    <s v="Q3"/>
    <x v="8"/>
    <x v="3"/>
    <x v="3"/>
    <x v="0"/>
    <x v="0"/>
    <x v="3"/>
    <x v="2"/>
    <n v="4"/>
    <n v="82"/>
    <n v="2885"/>
    <n v="0"/>
    <n v="5"/>
    <s v="Recovered"/>
    <n v="1"/>
  </r>
  <r>
    <s v="ADM-244626"/>
    <d v="2025-09-05T00:00:00"/>
    <d v="2025-09-09T00:00:00"/>
    <x v="1"/>
    <s v="Q3"/>
    <x v="8"/>
    <x v="4"/>
    <x v="3"/>
    <x v="2"/>
    <x v="0"/>
    <x v="3"/>
    <x v="0"/>
    <n v="4"/>
    <m/>
    <n v="3313"/>
    <n v="0"/>
    <n v="4"/>
    <s v="Recovered"/>
    <n v="1"/>
  </r>
  <r>
    <s v="ADM-244627"/>
    <d v="2025-09-05T00:00:00"/>
    <d v="2025-09-07T00:00:00"/>
    <x v="1"/>
    <s v="Q3"/>
    <x v="8"/>
    <x v="4"/>
    <x v="2"/>
    <x v="0"/>
    <x v="0"/>
    <x v="2"/>
    <x v="2"/>
    <n v="2"/>
    <n v="23"/>
    <n v="1891"/>
    <n v="0"/>
    <n v="5"/>
    <s v="Recovered"/>
    <n v="1"/>
  </r>
  <r>
    <s v="ADM-244628"/>
    <d v="2025-09-06T00:00:00"/>
    <d v="2025-09-11T00:00:00"/>
    <x v="1"/>
    <s v="Q3"/>
    <x v="8"/>
    <x v="5"/>
    <x v="0"/>
    <x v="0"/>
    <x v="0"/>
    <x v="4"/>
    <x v="2"/>
    <n v="5"/>
    <n v="25"/>
    <n v="4006"/>
    <n v="0"/>
    <n v="4"/>
    <s v="Recovered"/>
    <n v="1"/>
  </r>
  <r>
    <s v="ADM-244629"/>
    <d v="2025-09-06T00:00:00"/>
    <d v="2025-09-12T00:00:00"/>
    <x v="1"/>
    <s v="Q3"/>
    <x v="8"/>
    <x v="5"/>
    <x v="4"/>
    <x v="0"/>
    <x v="1"/>
    <x v="4"/>
    <x v="0"/>
    <n v="6"/>
    <n v="25"/>
    <n v="8418"/>
    <n v="0"/>
    <n v="4"/>
    <s v="Improved"/>
    <n v="1"/>
  </r>
  <r>
    <s v="ADM-244630"/>
    <d v="2025-09-06T00:00:00"/>
    <d v="2025-09-09T00:00:00"/>
    <x v="1"/>
    <s v="Q3"/>
    <x v="8"/>
    <x v="5"/>
    <x v="5"/>
    <x v="2"/>
    <x v="0"/>
    <x v="4"/>
    <x v="0"/>
    <n v="3"/>
    <m/>
    <n v="3729"/>
    <n v="0"/>
    <n v="3"/>
    <s v="Recovered"/>
    <n v="1"/>
  </r>
  <r>
    <s v="ADM-244631"/>
    <d v="2025-09-06T00:00:00"/>
    <d v="2025-09-08T00:00:00"/>
    <x v="1"/>
    <s v="Q3"/>
    <x v="8"/>
    <x v="5"/>
    <x v="3"/>
    <x v="2"/>
    <x v="1"/>
    <x v="3"/>
    <x v="0"/>
    <n v="2"/>
    <m/>
    <n v="2566"/>
    <n v="0"/>
    <n v="4"/>
    <s v="Recovered"/>
    <n v="1"/>
  </r>
  <r>
    <s v="ADM-244632"/>
    <d v="2025-09-06T00:00:00"/>
    <d v="2025-09-08T00:00:00"/>
    <x v="1"/>
    <s v="Q3"/>
    <x v="8"/>
    <x v="5"/>
    <x v="0"/>
    <x v="0"/>
    <x v="1"/>
    <x v="1"/>
    <x v="2"/>
    <n v="2"/>
    <n v="79"/>
    <n v="2056"/>
    <n v="0"/>
    <n v="4"/>
    <s v="Deceased"/>
    <n v="1"/>
  </r>
  <r>
    <s v="ADM-244633"/>
    <d v="2025-09-06T00:00:00"/>
    <d v="2025-09-09T00:00:00"/>
    <x v="1"/>
    <s v="Q3"/>
    <x v="8"/>
    <x v="5"/>
    <x v="1"/>
    <x v="2"/>
    <x v="1"/>
    <x v="0"/>
    <x v="0"/>
    <n v="3"/>
    <m/>
    <n v="2806"/>
    <n v="0"/>
    <n v="3"/>
    <s v="Recovered"/>
    <n v="1"/>
  </r>
  <r>
    <s v="ADM-244634"/>
    <d v="2025-09-06T00:00:00"/>
    <d v="2025-09-07T00:00:00"/>
    <x v="1"/>
    <s v="Q3"/>
    <x v="8"/>
    <x v="5"/>
    <x v="1"/>
    <x v="2"/>
    <x v="1"/>
    <x v="0"/>
    <x v="2"/>
    <n v="1"/>
    <m/>
    <n v="1709"/>
    <n v="1"/>
    <n v="4"/>
    <s v="Improved"/>
    <n v="1"/>
  </r>
  <r>
    <s v="ADM-244635"/>
    <d v="2025-09-06T00:00:00"/>
    <d v="2025-09-08T00:00:00"/>
    <x v="1"/>
    <s v="Q3"/>
    <x v="8"/>
    <x v="5"/>
    <x v="2"/>
    <x v="2"/>
    <x v="0"/>
    <x v="2"/>
    <x v="0"/>
    <n v="2"/>
    <m/>
    <n v="1842"/>
    <n v="0"/>
    <n v="3"/>
    <s v="Recovered"/>
    <n v="1"/>
  </r>
  <r>
    <s v="ADM-244636"/>
    <d v="2025-09-06T00:00:00"/>
    <d v="2025-09-18T00:00:00"/>
    <x v="1"/>
    <s v="Q3"/>
    <x v="8"/>
    <x v="5"/>
    <x v="0"/>
    <x v="0"/>
    <x v="1"/>
    <x v="4"/>
    <x v="2"/>
    <n v="12"/>
    <n v="122"/>
    <n v="9569"/>
    <n v="0"/>
    <n v="3"/>
    <s v="Improved"/>
    <n v="1"/>
  </r>
  <r>
    <s v="ADM-244637"/>
    <d v="2025-09-07T00:00:00"/>
    <d v="2025-09-14T00:00:00"/>
    <x v="1"/>
    <s v="Q3"/>
    <x v="8"/>
    <x v="6"/>
    <x v="4"/>
    <x v="0"/>
    <x v="1"/>
    <x v="4"/>
    <x v="0"/>
    <n v="7"/>
    <n v="32"/>
    <n v="10797"/>
    <n v="1"/>
    <n v="4"/>
    <s v="Improved"/>
    <n v="1"/>
  </r>
  <r>
    <s v="ADM-244638"/>
    <d v="2025-09-07T00:00:00"/>
    <d v="2025-09-09T00:00:00"/>
    <x v="1"/>
    <s v="Q3"/>
    <x v="8"/>
    <x v="6"/>
    <x v="2"/>
    <x v="2"/>
    <x v="0"/>
    <x v="1"/>
    <x v="2"/>
    <n v="2"/>
    <m/>
    <n v="1354"/>
    <n v="0"/>
    <n v="5"/>
    <s v="Recovered"/>
    <n v="1"/>
  </r>
  <r>
    <s v="ADM-244639"/>
    <d v="2025-09-07T00:00:00"/>
    <d v="2025-09-09T00:00:00"/>
    <x v="1"/>
    <s v="Q3"/>
    <x v="8"/>
    <x v="6"/>
    <x v="2"/>
    <x v="1"/>
    <x v="0"/>
    <x v="1"/>
    <x v="0"/>
    <n v="2"/>
    <m/>
    <n v="2467"/>
    <n v="0"/>
    <n v="5"/>
    <s v="Recovered"/>
    <n v="1"/>
  </r>
  <r>
    <s v="ADM-244640"/>
    <d v="2025-09-07T00:00:00"/>
    <d v="2025-09-08T00:00:00"/>
    <x v="1"/>
    <s v="Q3"/>
    <x v="8"/>
    <x v="6"/>
    <x v="1"/>
    <x v="0"/>
    <x v="1"/>
    <x v="1"/>
    <x v="2"/>
    <n v="1"/>
    <n v="20"/>
    <n v="1605"/>
    <n v="0"/>
    <n v="4"/>
    <s v="Improved"/>
    <n v="1"/>
  </r>
  <r>
    <s v="ADM-244641"/>
    <d v="2025-09-07T00:00:00"/>
    <d v="2025-09-09T00:00:00"/>
    <x v="1"/>
    <s v="Q3"/>
    <x v="8"/>
    <x v="6"/>
    <x v="3"/>
    <x v="2"/>
    <x v="1"/>
    <x v="3"/>
    <x v="2"/>
    <n v="2"/>
    <m/>
    <n v="1702"/>
    <n v="0"/>
    <n v="5"/>
    <s v="Recovered"/>
    <n v="1"/>
  </r>
  <r>
    <s v="ADM-244642"/>
    <d v="2025-09-08T00:00:00"/>
    <d v="2025-09-12T00:00:00"/>
    <x v="1"/>
    <s v="Q3"/>
    <x v="8"/>
    <x v="0"/>
    <x v="4"/>
    <x v="2"/>
    <x v="0"/>
    <x v="0"/>
    <x v="2"/>
    <n v="4"/>
    <m/>
    <n v="6100"/>
    <n v="1"/>
    <n v="3"/>
    <s v="Improved"/>
    <n v="1"/>
  </r>
  <r>
    <s v="ADM-244643"/>
    <d v="2025-09-08T00:00:00"/>
    <d v="2025-09-12T00:00:00"/>
    <x v="1"/>
    <s v="Q3"/>
    <x v="8"/>
    <x v="0"/>
    <x v="3"/>
    <x v="0"/>
    <x v="1"/>
    <x v="3"/>
    <x v="0"/>
    <n v="4"/>
    <n v="25"/>
    <n v="2628"/>
    <n v="0"/>
    <n v="4"/>
    <s v="Improved"/>
    <n v="1"/>
  </r>
  <r>
    <s v="ADM-244644"/>
    <d v="2025-09-08T00:00:00"/>
    <d v="2025-09-15T00:00:00"/>
    <x v="1"/>
    <s v="Q3"/>
    <x v="8"/>
    <x v="0"/>
    <x v="0"/>
    <x v="0"/>
    <x v="1"/>
    <x v="2"/>
    <x v="2"/>
    <n v="7"/>
    <n v="113"/>
    <n v="4336"/>
    <n v="0"/>
    <n v="4"/>
    <s v="Recovered"/>
    <n v="1"/>
  </r>
  <r>
    <s v="ADM-244645"/>
    <d v="2025-09-08T00:00:00"/>
    <d v="2025-09-12T00:00:00"/>
    <x v="1"/>
    <s v="Q3"/>
    <x v="8"/>
    <x v="0"/>
    <x v="3"/>
    <x v="0"/>
    <x v="0"/>
    <x v="3"/>
    <x v="2"/>
    <n v="4"/>
    <n v="50"/>
    <n v="2686"/>
    <n v="0"/>
    <n v="3"/>
    <s v="Deceased"/>
    <n v="1"/>
  </r>
  <r>
    <s v="ADM-244646"/>
    <d v="2025-09-08T00:00:00"/>
    <d v="2025-09-12T00:00:00"/>
    <x v="1"/>
    <s v="Q3"/>
    <x v="8"/>
    <x v="0"/>
    <x v="3"/>
    <x v="0"/>
    <x v="1"/>
    <x v="3"/>
    <x v="0"/>
    <n v="4"/>
    <n v="72"/>
    <n v="3525"/>
    <n v="0"/>
    <n v="3"/>
    <s v="Improved"/>
    <n v="1"/>
  </r>
  <r>
    <s v="ADM-244647"/>
    <d v="2025-09-08T00:00:00"/>
    <d v="2025-09-12T00:00:00"/>
    <x v="1"/>
    <s v="Q3"/>
    <x v="8"/>
    <x v="0"/>
    <x v="4"/>
    <x v="1"/>
    <x v="1"/>
    <x v="4"/>
    <x v="2"/>
    <n v="4"/>
    <m/>
    <n v="6396"/>
    <n v="0"/>
    <n v="3"/>
    <s v="Deceased"/>
    <n v="1"/>
  </r>
  <r>
    <s v="ADM-244648"/>
    <d v="2025-09-08T00:00:00"/>
    <d v="2025-09-10T00:00:00"/>
    <x v="1"/>
    <s v="Q3"/>
    <x v="8"/>
    <x v="0"/>
    <x v="0"/>
    <x v="0"/>
    <x v="0"/>
    <x v="2"/>
    <x v="0"/>
    <n v="2"/>
    <n v="77"/>
    <n v="1797"/>
    <n v="0"/>
    <n v="5"/>
    <s v="Recovered"/>
    <n v="1"/>
  </r>
  <r>
    <s v="ADM-244649"/>
    <d v="2025-09-08T00:00:00"/>
    <d v="2025-09-10T00:00:00"/>
    <x v="1"/>
    <s v="Q3"/>
    <x v="8"/>
    <x v="0"/>
    <x v="3"/>
    <x v="2"/>
    <x v="1"/>
    <x v="3"/>
    <x v="2"/>
    <n v="2"/>
    <m/>
    <n v="2134"/>
    <n v="1"/>
    <n v="4"/>
    <s v="Recovered"/>
    <n v="1"/>
  </r>
  <r>
    <s v="ADM-244650"/>
    <d v="2025-09-08T00:00:00"/>
    <d v="2025-09-13T00:00:00"/>
    <x v="1"/>
    <s v="Q3"/>
    <x v="8"/>
    <x v="0"/>
    <x v="0"/>
    <x v="2"/>
    <x v="1"/>
    <x v="1"/>
    <x v="0"/>
    <n v="5"/>
    <m/>
    <n v="3287"/>
    <n v="0"/>
    <n v="5"/>
    <s v="Recovered"/>
    <n v="1"/>
  </r>
  <r>
    <s v="ADM-244651"/>
    <d v="2025-09-08T00:00:00"/>
    <d v="2025-09-12T00:00:00"/>
    <x v="1"/>
    <s v="Q3"/>
    <x v="8"/>
    <x v="0"/>
    <x v="5"/>
    <x v="0"/>
    <x v="1"/>
    <x v="1"/>
    <x v="0"/>
    <n v="4"/>
    <n v="24"/>
    <n v="3723"/>
    <n v="0"/>
    <n v="4"/>
    <s v="Recovered"/>
    <n v="1"/>
  </r>
  <r>
    <s v="ADM-244652"/>
    <d v="2025-09-08T00:00:00"/>
    <d v="2025-09-26T00:00:00"/>
    <x v="1"/>
    <s v="Q3"/>
    <x v="8"/>
    <x v="0"/>
    <x v="1"/>
    <x v="2"/>
    <x v="1"/>
    <x v="2"/>
    <x v="2"/>
    <n v="18"/>
    <m/>
    <n v="20567"/>
    <n v="0"/>
    <n v="3"/>
    <s v="Recovered"/>
    <n v="1"/>
  </r>
  <r>
    <s v="ADM-244653"/>
    <d v="2025-09-08T00:00:00"/>
    <d v="2025-09-09T00:00:00"/>
    <x v="1"/>
    <s v="Q3"/>
    <x v="8"/>
    <x v="0"/>
    <x v="5"/>
    <x v="2"/>
    <x v="0"/>
    <x v="4"/>
    <x v="0"/>
    <n v="1"/>
    <m/>
    <n v="1895"/>
    <n v="0"/>
    <n v="4"/>
    <s v="Recovered"/>
    <n v="1"/>
  </r>
  <r>
    <s v="ADM-244654"/>
    <d v="2025-09-08T00:00:00"/>
    <d v="2025-09-14T00:00:00"/>
    <x v="1"/>
    <s v="Q3"/>
    <x v="8"/>
    <x v="0"/>
    <x v="4"/>
    <x v="1"/>
    <x v="1"/>
    <x v="0"/>
    <x v="0"/>
    <n v="6"/>
    <m/>
    <n v="7970"/>
    <n v="0"/>
    <n v="4"/>
    <s v="Improved"/>
    <n v="1"/>
  </r>
  <r>
    <s v="ADM-244655"/>
    <d v="2025-09-08T00:00:00"/>
    <d v="2025-09-13T00:00:00"/>
    <x v="1"/>
    <s v="Q3"/>
    <x v="8"/>
    <x v="0"/>
    <x v="0"/>
    <x v="0"/>
    <x v="0"/>
    <x v="4"/>
    <x v="0"/>
    <n v="5"/>
    <n v="33"/>
    <n v="4491"/>
    <n v="1"/>
    <n v="4"/>
    <s v="Transferred"/>
    <n v="1"/>
  </r>
  <r>
    <s v="ADM-244656"/>
    <d v="2025-09-08T00:00:00"/>
    <d v="2025-09-10T00:00:00"/>
    <x v="1"/>
    <s v="Q3"/>
    <x v="8"/>
    <x v="0"/>
    <x v="2"/>
    <x v="0"/>
    <x v="0"/>
    <x v="2"/>
    <x v="2"/>
    <n v="2"/>
    <n v="61"/>
    <n v="2306"/>
    <n v="0"/>
    <n v="5"/>
    <s v="Improved"/>
    <n v="1"/>
  </r>
  <r>
    <s v="ADM-244657"/>
    <d v="2025-09-08T00:00:00"/>
    <d v="2025-09-16T00:00:00"/>
    <x v="1"/>
    <s v="Q3"/>
    <x v="8"/>
    <x v="0"/>
    <x v="4"/>
    <x v="0"/>
    <x v="0"/>
    <x v="1"/>
    <x v="2"/>
    <n v="8"/>
    <n v="29"/>
    <n v="9677"/>
    <n v="0"/>
    <n v="5"/>
    <s v="Improved"/>
    <n v="1"/>
  </r>
  <r>
    <s v="ADM-244658"/>
    <d v="2025-09-09T00:00:00"/>
    <d v="2025-09-12T00:00:00"/>
    <x v="1"/>
    <s v="Q3"/>
    <x v="8"/>
    <x v="1"/>
    <x v="4"/>
    <x v="0"/>
    <x v="0"/>
    <x v="0"/>
    <x v="0"/>
    <n v="3"/>
    <n v="43"/>
    <n v="3649"/>
    <n v="0"/>
    <n v="5"/>
    <s v="Improved"/>
    <n v="1"/>
  </r>
  <r>
    <s v="ADM-244659"/>
    <d v="2025-09-09T00:00:00"/>
    <d v="2025-09-13T00:00:00"/>
    <x v="1"/>
    <s v="Q3"/>
    <x v="8"/>
    <x v="1"/>
    <x v="2"/>
    <x v="1"/>
    <x v="0"/>
    <x v="2"/>
    <x v="0"/>
    <n v="4"/>
    <m/>
    <n v="4005"/>
    <n v="0"/>
    <n v="5"/>
    <s v="Recovered"/>
    <n v="1"/>
  </r>
  <r>
    <s v="ADM-244660"/>
    <d v="2025-09-09T00:00:00"/>
    <d v="2025-09-12T00:00:00"/>
    <x v="1"/>
    <s v="Q3"/>
    <x v="8"/>
    <x v="1"/>
    <x v="5"/>
    <x v="2"/>
    <x v="0"/>
    <x v="4"/>
    <x v="0"/>
    <n v="3"/>
    <m/>
    <n v="2798"/>
    <n v="0"/>
    <n v="5"/>
    <s v="Recovered"/>
    <n v="1"/>
  </r>
  <r>
    <s v="ADM-244661"/>
    <d v="2025-09-09T00:00:00"/>
    <d v="2025-09-14T00:00:00"/>
    <x v="1"/>
    <s v="Q3"/>
    <x v="8"/>
    <x v="1"/>
    <x v="3"/>
    <x v="2"/>
    <x v="0"/>
    <x v="3"/>
    <x v="2"/>
    <n v="5"/>
    <m/>
    <n v="4033"/>
    <n v="0"/>
    <n v="4"/>
    <s v="Improved"/>
    <n v="1"/>
  </r>
  <r>
    <s v="ADM-244662"/>
    <d v="2025-09-09T00:00:00"/>
    <d v="2025-09-10T00:00:00"/>
    <x v="1"/>
    <s v="Q3"/>
    <x v="8"/>
    <x v="1"/>
    <x v="5"/>
    <x v="2"/>
    <x v="0"/>
    <x v="4"/>
    <x v="1"/>
    <n v="1"/>
    <m/>
    <n v="1951"/>
    <n v="0"/>
    <n v="5"/>
    <s v="Recovered"/>
    <n v="1"/>
  </r>
  <r>
    <s v="ADM-244663"/>
    <d v="2025-09-09T00:00:00"/>
    <d v="2025-09-21T00:00:00"/>
    <x v="1"/>
    <s v="Q3"/>
    <x v="8"/>
    <x v="1"/>
    <x v="0"/>
    <x v="2"/>
    <x v="1"/>
    <x v="0"/>
    <x v="2"/>
    <n v="12"/>
    <m/>
    <n v="9139"/>
    <n v="0"/>
    <n v="4"/>
    <s v="Recovered"/>
    <n v="1"/>
  </r>
  <r>
    <s v="ADM-244664"/>
    <d v="2025-09-09T00:00:00"/>
    <d v="2025-09-11T00:00:00"/>
    <x v="1"/>
    <s v="Q3"/>
    <x v="8"/>
    <x v="1"/>
    <x v="2"/>
    <x v="2"/>
    <x v="0"/>
    <x v="1"/>
    <x v="0"/>
    <n v="2"/>
    <m/>
    <n v="1908"/>
    <n v="0"/>
    <n v="4"/>
    <s v="Improved"/>
    <n v="1"/>
  </r>
  <r>
    <s v="ADM-244665"/>
    <d v="2025-09-10T00:00:00"/>
    <d v="2025-09-13T00:00:00"/>
    <x v="1"/>
    <s v="Q3"/>
    <x v="8"/>
    <x v="2"/>
    <x v="0"/>
    <x v="2"/>
    <x v="0"/>
    <x v="1"/>
    <x v="0"/>
    <n v="3"/>
    <m/>
    <n v="2540"/>
    <n v="0"/>
    <n v="4"/>
    <s v="Recovered"/>
    <n v="1"/>
  </r>
  <r>
    <s v="ADM-244666"/>
    <d v="2025-09-10T00:00:00"/>
    <d v="2025-09-11T00:00:00"/>
    <x v="1"/>
    <s v="Q3"/>
    <x v="8"/>
    <x v="2"/>
    <x v="3"/>
    <x v="0"/>
    <x v="1"/>
    <x v="3"/>
    <x v="0"/>
    <n v="1"/>
    <n v="88"/>
    <n v="1786"/>
    <n v="0"/>
    <n v="4"/>
    <s v="Improved"/>
    <n v="1"/>
  </r>
  <r>
    <s v="ADM-244667"/>
    <d v="2025-09-10T00:00:00"/>
    <d v="2025-09-25T00:00:00"/>
    <x v="1"/>
    <s v="Q3"/>
    <x v="8"/>
    <x v="2"/>
    <x v="0"/>
    <x v="0"/>
    <x v="1"/>
    <x v="0"/>
    <x v="0"/>
    <n v="15"/>
    <n v="59"/>
    <n v="9582"/>
    <n v="0"/>
    <n v="4"/>
    <s v="Recovered"/>
    <n v="1"/>
  </r>
  <r>
    <s v="ADM-244668"/>
    <d v="2025-09-11T00:00:00"/>
    <d v="2025-09-13T00:00:00"/>
    <x v="1"/>
    <s v="Q3"/>
    <x v="8"/>
    <x v="3"/>
    <x v="5"/>
    <x v="0"/>
    <x v="1"/>
    <x v="0"/>
    <x v="2"/>
    <n v="2"/>
    <n v="19"/>
    <n v="2438"/>
    <n v="0"/>
    <n v="5"/>
    <s v="Recovered"/>
    <n v="1"/>
  </r>
  <r>
    <s v="ADM-244669"/>
    <d v="2025-09-11T00:00:00"/>
    <d v="2025-09-16T00:00:00"/>
    <x v="1"/>
    <s v="Q3"/>
    <x v="8"/>
    <x v="3"/>
    <x v="5"/>
    <x v="2"/>
    <x v="1"/>
    <x v="2"/>
    <x v="2"/>
    <n v="5"/>
    <m/>
    <n v="5441"/>
    <n v="0"/>
    <n v="4"/>
    <s v="Improved"/>
    <n v="1"/>
  </r>
  <r>
    <s v="ADM-244670"/>
    <d v="2025-09-11T00:00:00"/>
    <d v="2025-09-14T00:00:00"/>
    <x v="1"/>
    <s v="Q3"/>
    <x v="8"/>
    <x v="3"/>
    <x v="5"/>
    <x v="2"/>
    <x v="1"/>
    <x v="4"/>
    <x v="2"/>
    <n v="3"/>
    <m/>
    <n v="3954"/>
    <n v="0"/>
    <n v="5"/>
    <s v="Recovered"/>
    <n v="1"/>
  </r>
  <r>
    <s v="ADM-244671"/>
    <d v="2025-09-11T00:00:00"/>
    <d v="2025-10-14T00:00:00"/>
    <x v="1"/>
    <s v="Q3"/>
    <x v="8"/>
    <x v="3"/>
    <x v="4"/>
    <x v="0"/>
    <x v="1"/>
    <x v="0"/>
    <x v="2"/>
    <n v="33"/>
    <n v="17"/>
    <n v="48234"/>
    <n v="1"/>
    <n v="5"/>
    <s v="Recovered"/>
    <n v="1"/>
  </r>
  <r>
    <s v="ADM-244672"/>
    <d v="2025-09-12T00:00:00"/>
    <d v="2025-09-14T00:00:00"/>
    <x v="1"/>
    <s v="Q3"/>
    <x v="8"/>
    <x v="4"/>
    <x v="3"/>
    <x v="0"/>
    <x v="1"/>
    <x v="3"/>
    <x v="0"/>
    <n v="2"/>
    <n v="59"/>
    <n v="1844"/>
    <n v="0"/>
    <n v="3"/>
    <s v="Recovered"/>
    <n v="1"/>
  </r>
  <r>
    <s v="ADM-244673"/>
    <d v="2025-09-12T00:00:00"/>
    <d v="2025-09-13T00:00:00"/>
    <x v="1"/>
    <s v="Q3"/>
    <x v="8"/>
    <x v="4"/>
    <x v="0"/>
    <x v="2"/>
    <x v="0"/>
    <x v="1"/>
    <x v="2"/>
    <n v="1"/>
    <m/>
    <n v="1810"/>
    <n v="0"/>
    <n v="4"/>
    <s v="Improved"/>
    <n v="1"/>
  </r>
  <r>
    <s v="ADM-244674"/>
    <d v="2025-09-12T00:00:00"/>
    <d v="2025-10-01T00:00:00"/>
    <x v="1"/>
    <s v="Q3"/>
    <x v="8"/>
    <x v="4"/>
    <x v="0"/>
    <x v="0"/>
    <x v="0"/>
    <x v="0"/>
    <x v="0"/>
    <n v="19"/>
    <n v="92"/>
    <n v="9405"/>
    <n v="1"/>
    <n v="3"/>
    <s v="Transferred"/>
    <n v="1"/>
  </r>
  <r>
    <s v="ADM-244675"/>
    <d v="2025-09-12T00:00:00"/>
    <d v="2025-09-16T00:00:00"/>
    <x v="1"/>
    <s v="Q3"/>
    <x v="8"/>
    <x v="4"/>
    <x v="5"/>
    <x v="2"/>
    <x v="1"/>
    <x v="2"/>
    <x v="2"/>
    <n v="4"/>
    <m/>
    <n v="4430"/>
    <n v="0"/>
    <n v="3"/>
    <s v="Deceased"/>
    <n v="1"/>
  </r>
  <r>
    <s v="ADM-244676"/>
    <d v="2025-09-12T00:00:00"/>
    <d v="2025-09-20T00:00:00"/>
    <x v="1"/>
    <s v="Q3"/>
    <x v="8"/>
    <x v="4"/>
    <x v="0"/>
    <x v="2"/>
    <x v="1"/>
    <x v="0"/>
    <x v="0"/>
    <n v="8"/>
    <m/>
    <n v="6321"/>
    <n v="0"/>
    <n v="5"/>
    <s v="Recovered"/>
    <n v="1"/>
  </r>
  <r>
    <s v="ADM-244677"/>
    <d v="2025-09-12T00:00:00"/>
    <d v="2025-09-13T00:00:00"/>
    <x v="1"/>
    <s v="Q3"/>
    <x v="8"/>
    <x v="4"/>
    <x v="3"/>
    <x v="2"/>
    <x v="1"/>
    <x v="3"/>
    <x v="0"/>
    <n v="1"/>
    <m/>
    <n v="1323"/>
    <n v="0"/>
    <n v="3"/>
    <s v="Improved"/>
    <n v="1"/>
  </r>
  <r>
    <s v="ADM-244678"/>
    <d v="2025-09-13T00:00:00"/>
    <d v="2025-09-15T00:00:00"/>
    <x v="1"/>
    <s v="Q3"/>
    <x v="8"/>
    <x v="5"/>
    <x v="4"/>
    <x v="0"/>
    <x v="0"/>
    <x v="0"/>
    <x v="2"/>
    <n v="2"/>
    <n v="144"/>
    <n v="3775"/>
    <n v="0"/>
    <n v="3"/>
    <s v="Recovered"/>
    <n v="1"/>
  </r>
  <r>
    <s v="ADM-244679"/>
    <d v="2025-09-13T00:00:00"/>
    <d v="2025-09-25T00:00:00"/>
    <x v="1"/>
    <s v="Q3"/>
    <x v="8"/>
    <x v="5"/>
    <x v="0"/>
    <x v="0"/>
    <x v="0"/>
    <x v="0"/>
    <x v="0"/>
    <n v="12"/>
    <n v="24"/>
    <n v="11027"/>
    <n v="1"/>
    <n v="4"/>
    <s v="Recovered"/>
    <n v="1"/>
  </r>
  <r>
    <s v="ADM-244680"/>
    <d v="2025-09-13T00:00:00"/>
    <d v="2025-09-21T00:00:00"/>
    <x v="1"/>
    <s v="Q3"/>
    <x v="8"/>
    <x v="5"/>
    <x v="0"/>
    <x v="2"/>
    <x v="0"/>
    <x v="0"/>
    <x v="0"/>
    <n v="8"/>
    <m/>
    <n v="6722"/>
    <n v="1"/>
    <n v="4"/>
    <s v="Recovered"/>
    <n v="1"/>
  </r>
  <r>
    <s v="ADM-244681"/>
    <d v="2025-09-13T00:00:00"/>
    <d v="2025-09-18T00:00:00"/>
    <x v="1"/>
    <s v="Q3"/>
    <x v="8"/>
    <x v="5"/>
    <x v="1"/>
    <x v="2"/>
    <x v="1"/>
    <x v="4"/>
    <x v="0"/>
    <n v="5"/>
    <m/>
    <n v="6233"/>
    <n v="0"/>
    <n v="4"/>
    <s v="Recovered"/>
    <n v="1"/>
  </r>
  <r>
    <s v="ADM-244682"/>
    <d v="2025-09-13T00:00:00"/>
    <d v="2025-09-14T00:00:00"/>
    <x v="1"/>
    <s v="Q3"/>
    <x v="8"/>
    <x v="5"/>
    <x v="4"/>
    <x v="0"/>
    <x v="0"/>
    <x v="1"/>
    <x v="0"/>
    <n v="1"/>
    <n v="47"/>
    <n v="2424"/>
    <n v="0"/>
    <n v="3"/>
    <s v="Deceased"/>
    <n v="1"/>
  </r>
  <r>
    <s v="ADM-244683"/>
    <d v="2025-09-13T00:00:00"/>
    <d v="2025-09-22T00:00:00"/>
    <x v="1"/>
    <s v="Q3"/>
    <x v="8"/>
    <x v="5"/>
    <x v="0"/>
    <x v="0"/>
    <x v="1"/>
    <x v="4"/>
    <x v="0"/>
    <n v="9"/>
    <n v="18"/>
    <n v="6099"/>
    <n v="0"/>
    <n v="4"/>
    <s v="Transferred"/>
    <n v="1"/>
  </r>
  <r>
    <s v="ADM-244684"/>
    <d v="2025-09-13T00:00:00"/>
    <d v="2025-09-14T00:00:00"/>
    <x v="1"/>
    <s v="Q3"/>
    <x v="8"/>
    <x v="5"/>
    <x v="3"/>
    <x v="2"/>
    <x v="0"/>
    <x v="3"/>
    <x v="2"/>
    <n v="1"/>
    <m/>
    <n v="1846"/>
    <n v="0"/>
    <n v="5"/>
    <s v="Recovered"/>
    <n v="1"/>
  </r>
  <r>
    <s v="ADM-244685"/>
    <d v="2025-09-14T00:00:00"/>
    <d v="2025-09-17T00:00:00"/>
    <x v="1"/>
    <s v="Q3"/>
    <x v="8"/>
    <x v="6"/>
    <x v="3"/>
    <x v="0"/>
    <x v="0"/>
    <x v="3"/>
    <x v="2"/>
    <n v="3"/>
    <n v="37"/>
    <n v="2612"/>
    <n v="0"/>
    <n v="5"/>
    <s v="Improved"/>
    <n v="1"/>
  </r>
  <r>
    <s v="ADM-244686"/>
    <d v="2025-09-14T00:00:00"/>
    <d v="2025-09-23T00:00:00"/>
    <x v="1"/>
    <s v="Q3"/>
    <x v="8"/>
    <x v="6"/>
    <x v="0"/>
    <x v="0"/>
    <x v="1"/>
    <x v="0"/>
    <x v="2"/>
    <n v="9"/>
    <n v="39"/>
    <n v="7472"/>
    <n v="0"/>
    <n v="3"/>
    <s v="Recovered"/>
    <n v="1"/>
  </r>
  <r>
    <s v="ADM-244687"/>
    <d v="2025-09-14T00:00:00"/>
    <d v="2025-09-16T00:00:00"/>
    <x v="1"/>
    <s v="Q3"/>
    <x v="8"/>
    <x v="6"/>
    <x v="1"/>
    <x v="2"/>
    <x v="1"/>
    <x v="4"/>
    <x v="2"/>
    <n v="2"/>
    <m/>
    <n v="2697"/>
    <n v="0"/>
    <n v="5"/>
    <s v="Recovered"/>
    <n v="1"/>
  </r>
  <r>
    <s v="ADM-244688"/>
    <d v="2025-09-14T00:00:00"/>
    <d v="2025-09-25T00:00:00"/>
    <x v="1"/>
    <s v="Q3"/>
    <x v="8"/>
    <x v="6"/>
    <x v="0"/>
    <x v="0"/>
    <x v="1"/>
    <x v="2"/>
    <x v="0"/>
    <n v="11"/>
    <n v="47"/>
    <n v="7516"/>
    <n v="1"/>
    <n v="4"/>
    <s v="Recovered"/>
    <n v="1"/>
  </r>
  <r>
    <s v="ADM-244689"/>
    <d v="2025-09-14T00:00:00"/>
    <d v="2025-09-24T00:00:00"/>
    <x v="1"/>
    <s v="Q3"/>
    <x v="8"/>
    <x v="6"/>
    <x v="0"/>
    <x v="2"/>
    <x v="1"/>
    <x v="2"/>
    <x v="1"/>
    <n v="10"/>
    <m/>
    <n v="9159"/>
    <n v="0"/>
    <n v="5"/>
    <s v="Recovered"/>
    <n v="1"/>
  </r>
  <r>
    <s v="ADM-244690"/>
    <d v="2025-09-14T00:00:00"/>
    <d v="2025-09-20T00:00:00"/>
    <x v="1"/>
    <s v="Q3"/>
    <x v="8"/>
    <x v="6"/>
    <x v="5"/>
    <x v="2"/>
    <x v="0"/>
    <x v="1"/>
    <x v="0"/>
    <n v="6"/>
    <m/>
    <n v="6595"/>
    <n v="0"/>
    <n v="5"/>
    <s v="Recovered"/>
    <n v="1"/>
  </r>
  <r>
    <s v="ADM-244691"/>
    <d v="2025-09-14T00:00:00"/>
    <d v="2025-09-21T00:00:00"/>
    <x v="1"/>
    <s v="Q3"/>
    <x v="8"/>
    <x v="6"/>
    <x v="1"/>
    <x v="2"/>
    <x v="1"/>
    <x v="0"/>
    <x v="2"/>
    <n v="7"/>
    <m/>
    <n v="6368"/>
    <n v="0"/>
    <n v="5"/>
    <s v="Transferred"/>
    <n v="1"/>
  </r>
  <r>
    <s v="ADM-244692"/>
    <d v="2025-09-14T00:00:00"/>
    <d v="2025-09-16T00:00:00"/>
    <x v="1"/>
    <s v="Q3"/>
    <x v="8"/>
    <x v="6"/>
    <x v="2"/>
    <x v="0"/>
    <x v="0"/>
    <x v="1"/>
    <x v="0"/>
    <n v="2"/>
    <n v="69"/>
    <n v="2625"/>
    <n v="0"/>
    <n v="4"/>
    <s v="Recovered"/>
    <n v="1"/>
  </r>
  <r>
    <s v="ADM-244693"/>
    <d v="2025-09-14T00:00:00"/>
    <d v="2025-09-24T00:00:00"/>
    <x v="1"/>
    <s v="Q3"/>
    <x v="8"/>
    <x v="6"/>
    <x v="0"/>
    <x v="2"/>
    <x v="1"/>
    <x v="0"/>
    <x v="0"/>
    <n v="10"/>
    <m/>
    <n v="8396"/>
    <n v="0"/>
    <n v="5"/>
    <s v="Recovered"/>
    <n v="1"/>
  </r>
  <r>
    <s v="ADM-244694"/>
    <d v="2025-09-15T00:00:00"/>
    <d v="2025-09-19T00:00:00"/>
    <x v="1"/>
    <s v="Q3"/>
    <x v="8"/>
    <x v="0"/>
    <x v="0"/>
    <x v="2"/>
    <x v="1"/>
    <x v="4"/>
    <x v="2"/>
    <n v="4"/>
    <m/>
    <n v="3620"/>
    <n v="0"/>
    <n v="4"/>
    <s v="Improved"/>
    <n v="1"/>
  </r>
  <r>
    <s v="ADM-244695"/>
    <d v="2025-09-15T00:00:00"/>
    <d v="2025-09-20T00:00:00"/>
    <x v="1"/>
    <s v="Q3"/>
    <x v="8"/>
    <x v="0"/>
    <x v="1"/>
    <x v="2"/>
    <x v="0"/>
    <x v="1"/>
    <x v="0"/>
    <n v="5"/>
    <m/>
    <n v="5536"/>
    <n v="0"/>
    <n v="4"/>
    <s v="Recovered"/>
    <n v="1"/>
  </r>
  <r>
    <s v="ADM-244696"/>
    <d v="2025-09-15T00:00:00"/>
    <d v="2025-09-17T00:00:00"/>
    <x v="1"/>
    <s v="Q3"/>
    <x v="8"/>
    <x v="0"/>
    <x v="4"/>
    <x v="0"/>
    <x v="0"/>
    <x v="0"/>
    <x v="1"/>
    <n v="2"/>
    <n v="51"/>
    <n v="2855"/>
    <n v="0"/>
    <n v="5"/>
    <s v="Deceased"/>
    <n v="1"/>
  </r>
  <r>
    <s v="ADM-244697"/>
    <d v="2025-09-15T00:00:00"/>
    <d v="2025-09-28T00:00:00"/>
    <x v="1"/>
    <s v="Q3"/>
    <x v="8"/>
    <x v="0"/>
    <x v="0"/>
    <x v="1"/>
    <x v="0"/>
    <x v="4"/>
    <x v="0"/>
    <n v="13"/>
    <m/>
    <n v="12318"/>
    <n v="0"/>
    <n v="4"/>
    <s v="Recovered"/>
    <n v="1"/>
  </r>
  <r>
    <s v="ADM-244698"/>
    <d v="2025-09-15T00:00:00"/>
    <d v="2025-09-19T00:00:00"/>
    <x v="1"/>
    <s v="Q3"/>
    <x v="8"/>
    <x v="0"/>
    <x v="1"/>
    <x v="2"/>
    <x v="1"/>
    <x v="4"/>
    <x v="2"/>
    <n v="4"/>
    <m/>
    <n v="5115"/>
    <n v="0"/>
    <n v="4"/>
    <s v="Improved"/>
    <n v="1"/>
  </r>
  <r>
    <s v="ADM-244699"/>
    <d v="2025-09-15T00:00:00"/>
    <d v="2025-09-18T00:00:00"/>
    <x v="1"/>
    <s v="Q3"/>
    <x v="8"/>
    <x v="0"/>
    <x v="1"/>
    <x v="2"/>
    <x v="0"/>
    <x v="0"/>
    <x v="0"/>
    <n v="3"/>
    <m/>
    <n v="3698"/>
    <n v="0"/>
    <n v="3"/>
    <s v="Recovered"/>
    <n v="1"/>
  </r>
  <r>
    <s v="ADM-244700"/>
    <d v="2025-09-15T00:00:00"/>
    <d v="2025-09-26T00:00:00"/>
    <x v="1"/>
    <s v="Q3"/>
    <x v="8"/>
    <x v="0"/>
    <x v="4"/>
    <x v="0"/>
    <x v="0"/>
    <x v="2"/>
    <x v="2"/>
    <n v="11"/>
    <n v="31"/>
    <n v="14472"/>
    <n v="0"/>
    <n v="4"/>
    <s v="Recovered"/>
    <n v="1"/>
  </r>
  <r>
    <s v="ADM-244701"/>
    <d v="2025-09-15T00:00:00"/>
    <d v="2025-09-20T00:00:00"/>
    <x v="1"/>
    <s v="Q3"/>
    <x v="8"/>
    <x v="0"/>
    <x v="1"/>
    <x v="2"/>
    <x v="0"/>
    <x v="0"/>
    <x v="0"/>
    <n v="5"/>
    <m/>
    <n v="3676"/>
    <n v="0"/>
    <n v="5"/>
    <s v="Recovered"/>
    <n v="1"/>
  </r>
  <r>
    <s v="ADM-244702"/>
    <d v="2025-09-16T00:00:00"/>
    <d v="2025-09-20T00:00:00"/>
    <x v="1"/>
    <s v="Q3"/>
    <x v="8"/>
    <x v="1"/>
    <x v="4"/>
    <x v="1"/>
    <x v="1"/>
    <x v="0"/>
    <x v="2"/>
    <n v="4"/>
    <m/>
    <n v="5096"/>
    <n v="1"/>
    <n v="4"/>
    <s v="Improved"/>
    <n v="1"/>
  </r>
  <r>
    <s v="ADM-244703"/>
    <d v="2025-09-16T00:00:00"/>
    <d v="2025-09-26T00:00:00"/>
    <x v="1"/>
    <s v="Q3"/>
    <x v="8"/>
    <x v="1"/>
    <x v="4"/>
    <x v="0"/>
    <x v="1"/>
    <x v="1"/>
    <x v="2"/>
    <n v="10"/>
    <n v="51"/>
    <n v="11264"/>
    <n v="1"/>
    <n v="5"/>
    <s v="Transferred"/>
    <n v="1"/>
  </r>
  <r>
    <s v="ADM-244704"/>
    <d v="2025-09-16T00:00:00"/>
    <d v="2025-09-24T00:00:00"/>
    <x v="1"/>
    <s v="Q3"/>
    <x v="8"/>
    <x v="1"/>
    <x v="4"/>
    <x v="0"/>
    <x v="0"/>
    <x v="0"/>
    <x v="0"/>
    <n v="8"/>
    <n v="92"/>
    <n v="11275"/>
    <n v="1"/>
    <n v="2"/>
    <s v="Recovered"/>
    <n v="1"/>
  </r>
  <r>
    <s v="ADM-244705"/>
    <d v="2025-09-16T00:00:00"/>
    <d v="2025-09-21T00:00:00"/>
    <x v="1"/>
    <s v="Q3"/>
    <x v="8"/>
    <x v="1"/>
    <x v="2"/>
    <x v="0"/>
    <x v="0"/>
    <x v="1"/>
    <x v="0"/>
    <n v="5"/>
    <n v="25"/>
    <n v="3968"/>
    <n v="0"/>
    <n v="4"/>
    <s v="Improved"/>
    <n v="1"/>
  </r>
  <r>
    <s v="ADM-244706"/>
    <d v="2025-09-16T00:00:00"/>
    <d v="2025-09-19T00:00:00"/>
    <x v="1"/>
    <s v="Q3"/>
    <x v="8"/>
    <x v="1"/>
    <x v="1"/>
    <x v="2"/>
    <x v="0"/>
    <x v="2"/>
    <x v="0"/>
    <n v="3"/>
    <m/>
    <n v="2937"/>
    <n v="0"/>
    <n v="3"/>
    <s v="Improved"/>
    <n v="1"/>
  </r>
  <r>
    <s v="ADM-244707"/>
    <d v="2025-09-17T00:00:00"/>
    <d v="2025-09-19T00:00:00"/>
    <x v="1"/>
    <s v="Q3"/>
    <x v="8"/>
    <x v="2"/>
    <x v="3"/>
    <x v="0"/>
    <x v="0"/>
    <x v="3"/>
    <x v="1"/>
    <n v="2"/>
    <n v="52"/>
    <n v="1359"/>
    <n v="0"/>
    <n v="3"/>
    <s v="Recovered"/>
    <n v="1"/>
  </r>
  <r>
    <s v="ADM-244708"/>
    <d v="2025-09-17T00:00:00"/>
    <d v="2025-09-20T00:00:00"/>
    <x v="1"/>
    <s v="Q3"/>
    <x v="8"/>
    <x v="2"/>
    <x v="0"/>
    <x v="0"/>
    <x v="0"/>
    <x v="0"/>
    <x v="2"/>
    <n v="3"/>
    <n v="34"/>
    <n v="2833"/>
    <n v="0"/>
    <n v="4"/>
    <s v="Improved"/>
    <n v="1"/>
  </r>
  <r>
    <s v="ADM-244709"/>
    <d v="2025-09-17T00:00:00"/>
    <d v="2025-09-20T00:00:00"/>
    <x v="1"/>
    <s v="Q3"/>
    <x v="8"/>
    <x v="2"/>
    <x v="3"/>
    <x v="0"/>
    <x v="0"/>
    <x v="3"/>
    <x v="1"/>
    <n v="3"/>
    <n v="21"/>
    <n v="2194"/>
    <n v="0"/>
    <n v="5"/>
    <s v="Recovered"/>
    <n v="1"/>
  </r>
  <r>
    <s v="ADM-244710"/>
    <d v="2025-09-17T00:00:00"/>
    <d v="2025-09-18T00:00:00"/>
    <x v="1"/>
    <s v="Q3"/>
    <x v="8"/>
    <x v="2"/>
    <x v="0"/>
    <x v="2"/>
    <x v="0"/>
    <x v="2"/>
    <x v="0"/>
    <n v="1"/>
    <m/>
    <n v="1618"/>
    <n v="0"/>
    <n v="3"/>
    <s v="Recovered"/>
    <n v="1"/>
  </r>
  <r>
    <s v="ADM-244711"/>
    <d v="2025-09-17T00:00:00"/>
    <d v="2025-09-19T00:00:00"/>
    <x v="1"/>
    <s v="Q3"/>
    <x v="8"/>
    <x v="2"/>
    <x v="1"/>
    <x v="2"/>
    <x v="1"/>
    <x v="4"/>
    <x v="2"/>
    <n v="2"/>
    <m/>
    <n v="3290"/>
    <n v="0"/>
    <n v="4"/>
    <s v="Improved"/>
    <n v="1"/>
  </r>
  <r>
    <s v="ADM-244712"/>
    <d v="2025-09-17T00:00:00"/>
    <d v="2025-09-20T00:00:00"/>
    <x v="1"/>
    <s v="Q3"/>
    <x v="8"/>
    <x v="2"/>
    <x v="0"/>
    <x v="2"/>
    <x v="1"/>
    <x v="1"/>
    <x v="0"/>
    <n v="3"/>
    <m/>
    <n v="2680"/>
    <n v="0"/>
    <n v="4"/>
    <s v="Recovered"/>
    <n v="1"/>
  </r>
  <r>
    <s v="ADM-244713"/>
    <d v="2025-09-17T00:00:00"/>
    <d v="2025-09-20T00:00:00"/>
    <x v="1"/>
    <s v="Q3"/>
    <x v="8"/>
    <x v="2"/>
    <x v="5"/>
    <x v="0"/>
    <x v="1"/>
    <x v="2"/>
    <x v="0"/>
    <n v="3"/>
    <n v="71"/>
    <n v="3202"/>
    <n v="0"/>
    <n v="5"/>
    <s v="Improved"/>
    <n v="1"/>
  </r>
  <r>
    <s v="ADM-244714"/>
    <d v="2025-09-17T00:00:00"/>
    <d v="2025-10-01T00:00:00"/>
    <x v="1"/>
    <s v="Q3"/>
    <x v="8"/>
    <x v="2"/>
    <x v="0"/>
    <x v="0"/>
    <x v="1"/>
    <x v="1"/>
    <x v="2"/>
    <n v="14"/>
    <n v="108"/>
    <n v="10690"/>
    <n v="0"/>
    <n v="3"/>
    <s v="Improved"/>
    <n v="1"/>
  </r>
  <r>
    <s v="ADM-244715"/>
    <d v="2025-09-17T00:00:00"/>
    <d v="2025-09-24T00:00:00"/>
    <x v="1"/>
    <s v="Q3"/>
    <x v="8"/>
    <x v="2"/>
    <x v="5"/>
    <x v="0"/>
    <x v="1"/>
    <x v="0"/>
    <x v="0"/>
    <n v="7"/>
    <n v="112"/>
    <n v="8130"/>
    <n v="0"/>
    <n v="3"/>
    <s v="Improved"/>
    <n v="1"/>
  </r>
  <r>
    <s v="ADM-244716"/>
    <d v="2025-09-17T00:00:00"/>
    <d v="2025-09-22T00:00:00"/>
    <x v="1"/>
    <s v="Q3"/>
    <x v="8"/>
    <x v="2"/>
    <x v="5"/>
    <x v="0"/>
    <x v="0"/>
    <x v="4"/>
    <x v="0"/>
    <n v="5"/>
    <n v="14"/>
    <n v="4313"/>
    <n v="0"/>
    <n v="4"/>
    <s v="Recovered"/>
    <n v="1"/>
  </r>
  <r>
    <s v="ADM-244717"/>
    <d v="2025-09-17T00:00:00"/>
    <d v="2025-09-23T00:00:00"/>
    <x v="1"/>
    <s v="Q3"/>
    <x v="8"/>
    <x v="2"/>
    <x v="2"/>
    <x v="0"/>
    <x v="0"/>
    <x v="1"/>
    <x v="2"/>
    <n v="6"/>
    <n v="70"/>
    <n v="4092"/>
    <n v="0"/>
    <n v="5"/>
    <s v="Recovered"/>
    <n v="1"/>
  </r>
  <r>
    <s v="ADM-244718"/>
    <d v="2025-09-17T00:00:00"/>
    <d v="2025-09-21T00:00:00"/>
    <x v="1"/>
    <s v="Q3"/>
    <x v="8"/>
    <x v="2"/>
    <x v="0"/>
    <x v="0"/>
    <x v="0"/>
    <x v="4"/>
    <x v="2"/>
    <n v="4"/>
    <n v="24"/>
    <n v="3105"/>
    <n v="0"/>
    <n v="4"/>
    <s v="Improved"/>
    <n v="1"/>
  </r>
  <r>
    <s v="ADM-244719"/>
    <d v="2025-09-18T00:00:00"/>
    <d v="2025-09-22T00:00:00"/>
    <x v="1"/>
    <s v="Q3"/>
    <x v="8"/>
    <x v="3"/>
    <x v="3"/>
    <x v="0"/>
    <x v="0"/>
    <x v="3"/>
    <x v="0"/>
    <n v="4"/>
    <n v="35"/>
    <n v="3211"/>
    <n v="0"/>
    <n v="4"/>
    <s v="Recovered"/>
    <n v="1"/>
  </r>
  <r>
    <s v="ADM-244720"/>
    <d v="2025-09-18T00:00:00"/>
    <d v="2025-09-21T00:00:00"/>
    <x v="1"/>
    <s v="Q3"/>
    <x v="8"/>
    <x v="3"/>
    <x v="0"/>
    <x v="0"/>
    <x v="1"/>
    <x v="0"/>
    <x v="1"/>
    <n v="3"/>
    <n v="23"/>
    <n v="2478"/>
    <n v="0"/>
    <n v="4"/>
    <s v="Recovered"/>
    <n v="1"/>
  </r>
  <r>
    <s v="ADM-244721"/>
    <d v="2025-09-18T00:00:00"/>
    <d v="2025-09-23T00:00:00"/>
    <x v="1"/>
    <s v="Q3"/>
    <x v="8"/>
    <x v="3"/>
    <x v="0"/>
    <x v="0"/>
    <x v="1"/>
    <x v="0"/>
    <x v="2"/>
    <n v="5"/>
    <n v="34"/>
    <n v="3879"/>
    <n v="0"/>
    <n v="3"/>
    <s v="Recovered"/>
    <n v="1"/>
  </r>
  <r>
    <s v="ADM-244722"/>
    <d v="2025-09-19T00:00:00"/>
    <d v="2025-09-23T00:00:00"/>
    <x v="1"/>
    <s v="Q3"/>
    <x v="8"/>
    <x v="4"/>
    <x v="1"/>
    <x v="2"/>
    <x v="0"/>
    <x v="0"/>
    <x v="0"/>
    <n v="4"/>
    <m/>
    <n v="4587"/>
    <n v="0"/>
    <n v="3"/>
    <s v="Recovered"/>
    <n v="1"/>
  </r>
  <r>
    <s v="ADM-244723"/>
    <d v="2025-09-19T00:00:00"/>
    <d v="2025-09-24T00:00:00"/>
    <x v="1"/>
    <s v="Q3"/>
    <x v="8"/>
    <x v="4"/>
    <x v="3"/>
    <x v="0"/>
    <x v="0"/>
    <x v="3"/>
    <x v="2"/>
    <n v="5"/>
    <n v="123"/>
    <n v="3610"/>
    <n v="0"/>
    <n v="4"/>
    <s v="Recovered"/>
    <n v="1"/>
  </r>
  <r>
    <s v="ADM-244724"/>
    <d v="2025-09-19T00:00:00"/>
    <d v="2025-09-20T00:00:00"/>
    <x v="1"/>
    <s v="Q3"/>
    <x v="8"/>
    <x v="4"/>
    <x v="0"/>
    <x v="0"/>
    <x v="1"/>
    <x v="1"/>
    <x v="2"/>
    <n v="1"/>
    <n v="80"/>
    <n v="1641"/>
    <n v="0"/>
    <n v="4"/>
    <s v="Recovered"/>
    <n v="1"/>
  </r>
  <r>
    <s v="ADM-244725"/>
    <d v="2025-09-19T00:00:00"/>
    <d v="2025-09-20T00:00:00"/>
    <x v="1"/>
    <s v="Q3"/>
    <x v="8"/>
    <x v="4"/>
    <x v="3"/>
    <x v="2"/>
    <x v="0"/>
    <x v="3"/>
    <x v="0"/>
    <n v="1"/>
    <m/>
    <n v="1364"/>
    <n v="0"/>
    <n v="4"/>
    <s v="Improved"/>
    <n v="1"/>
  </r>
  <r>
    <s v="ADM-244726"/>
    <d v="2025-09-19T00:00:00"/>
    <d v="2025-09-21T00:00:00"/>
    <x v="1"/>
    <s v="Q3"/>
    <x v="8"/>
    <x v="4"/>
    <x v="5"/>
    <x v="0"/>
    <x v="0"/>
    <x v="1"/>
    <x v="2"/>
    <n v="2"/>
    <n v="25"/>
    <n v="2824"/>
    <n v="0"/>
    <n v="4"/>
    <s v="Transferred"/>
    <n v="1"/>
  </r>
  <r>
    <s v="ADM-244727"/>
    <d v="2025-09-20T00:00:00"/>
    <d v="2025-09-21T00:00:00"/>
    <x v="1"/>
    <s v="Q3"/>
    <x v="8"/>
    <x v="5"/>
    <x v="4"/>
    <x v="0"/>
    <x v="1"/>
    <x v="4"/>
    <x v="2"/>
    <n v="1"/>
    <n v="198"/>
    <n v="1652"/>
    <n v="1"/>
    <n v="3"/>
    <s v="Improved"/>
    <n v="1"/>
  </r>
  <r>
    <s v="ADM-244728"/>
    <d v="2025-09-20T00:00:00"/>
    <d v="2025-09-24T00:00:00"/>
    <x v="1"/>
    <s v="Q3"/>
    <x v="8"/>
    <x v="5"/>
    <x v="3"/>
    <x v="0"/>
    <x v="1"/>
    <x v="3"/>
    <x v="0"/>
    <n v="4"/>
    <n v="66"/>
    <n v="2366"/>
    <n v="0"/>
    <n v="4"/>
    <s v="Recovered"/>
    <n v="1"/>
  </r>
  <r>
    <s v="ADM-244729"/>
    <d v="2025-09-20T00:00:00"/>
    <d v="2025-09-23T00:00:00"/>
    <x v="1"/>
    <s v="Q3"/>
    <x v="8"/>
    <x v="5"/>
    <x v="3"/>
    <x v="0"/>
    <x v="0"/>
    <x v="3"/>
    <x v="2"/>
    <n v="3"/>
    <n v="81"/>
    <n v="2862"/>
    <n v="0"/>
    <n v="4"/>
    <s v="Recovered"/>
    <n v="1"/>
  </r>
  <r>
    <s v="ADM-244730"/>
    <d v="2025-09-20T00:00:00"/>
    <d v="2025-09-24T00:00:00"/>
    <x v="1"/>
    <s v="Q3"/>
    <x v="8"/>
    <x v="5"/>
    <x v="1"/>
    <x v="2"/>
    <x v="1"/>
    <x v="1"/>
    <x v="0"/>
    <n v="4"/>
    <m/>
    <n v="5442"/>
    <n v="0"/>
    <n v="4"/>
    <s v="Recovered"/>
    <n v="1"/>
  </r>
  <r>
    <s v="ADM-244731"/>
    <d v="2025-09-20T00:00:00"/>
    <d v="2025-09-24T00:00:00"/>
    <x v="1"/>
    <s v="Q3"/>
    <x v="8"/>
    <x v="5"/>
    <x v="0"/>
    <x v="0"/>
    <x v="0"/>
    <x v="0"/>
    <x v="2"/>
    <n v="4"/>
    <n v="38"/>
    <n v="3412"/>
    <n v="1"/>
    <n v="4"/>
    <s v="Recovered"/>
    <n v="1"/>
  </r>
  <r>
    <s v="ADM-244732"/>
    <d v="2025-09-21T00:00:00"/>
    <d v="2025-09-23T00:00:00"/>
    <x v="1"/>
    <s v="Q3"/>
    <x v="8"/>
    <x v="6"/>
    <x v="2"/>
    <x v="0"/>
    <x v="0"/>
    <x v="2"/>
    <x v="0"/>
    <n v="2"/>
    <n v="125"/>
    <n v="2305"/>
    <n v="1"/>
    <n v="2"/>
    <s v="Recovered"/>
    <n v="1"/>
  </r>
  <r>
    <s v="ADM-244733"/>
    <d v="2025-09-21T00:00:00"/>
    <d v="2025-09-26T00:00:00"/>
    <x v="1"/>
    <s v="Q3"/>
    <x v="8"/>
    <x v="6"/>
    <x v="3"/>
    <x v="2"/>
    <x v="1"/>
    <x v="3"/>
    <x v="0"/>
    <n v="5"/>
    <m/>
    <n v="3366"/>
    <n v="0"/>
    <n v="5"/>
    <s v="Recovered"/>
    <n v="1"/>
  </r>
  <r>
    <s v="ADM-244734"/>
    <d v="2025-09-22T00:00:00"/>
    <d v="2025-09-23T00:00:00"/>
    <x v="1"/>
    <s v="Q3"/>
    <x v="8"/>
    <x v="0"/>
    <x v="5"/>
    <x v="2"/>
    <x v="0"/>
    <x v="0"/>
    <x v="0"/>
    <n v="1"/>
    <m/>
    <n v="2054"/>
    <n v="0"/>
    <n v="4"/>
    <s v="Recovered"/>
    <n v="1"/>
  </r>
  <r>
    <s v="ADM-244735"/>
    <d v="2025-09-22T00:00:00"/>
    <d v="2025-09-24T00:00:00"/>
    <x v="1"/>
    <s v="Q3"/>
    <x v="8"/>
    <x v="0"/>
    <x v="3"/>
    <x v="0"/>
    <x v="0"/>
    <x v="3"/>
    <x v="2"/>
    <n v="2"/>
    <n v="47"/>
    <n v="1694"/>
    <n v="0"/>
    <n v="4"/>
    <s v="Recovered"/>
    <n v="1"/>
  </r>
  <r>
    <s v="ADM-244736"/>
    <d v="2025-09-22T00:00:00"/>
    <d v="2025-10-03T00:00:00"/>
    <x v="1"/>
    <s v="Q3"/>
    <x v="8"/>
    <x v="0"/>
    <x v="0"/>
    <x v="0"/>
    <x v="1"/>
    <x v="0"/>
    <x v="0"/>
    <n v="11"/>
    <n v="130"/>
    <n v="8403"/>
    <n v="0"/>
    <n v="4"/>
    <s v="Recovered"/>
    <n v="1"/>
  </r>
  <r>
    <s v="ADM-244737"/>
    <d v="2025-09-22T00:00:00"/>
    <d v="2025-09-23T00:00:00"/>
    <x v="1"/>
    <s v="Q3"/>
    <x v="8"/>
    <x v="0"/>
    <x v="3"/>
    <x v="0"/>
    <x v="1"/>
    <x v="3"/>
    <x v="2"/>
    <n v="1"/>
    <n v="54"/>
    <n v="958"/>
    <n v="0"/>
    <n v="4"/>
    <s v="Transferred"/>
    <n v="1"/>
  </r>
  <r>
    <s v="ADM-244738"/>
    <d v="2025-09-22T00:00:00"/>
    <d v="2025-09-26T00:00:00"/>
    <x v="1"/>
    <s v="Q3"/>
    <x v="8"/>
    <x v="0"/>
    <x v="5"/>
    <x v="2"/>
    <x v="0"/>
    <x v="0"/>
    <x v="2"/>
    <n v="4"/>
    <m/>
    <n v="3001"/>
    <n v="0"/>
    <n v="3"/>
    <s v="Recovered"/>
    <n v="1"/>
  </r>
  <r>
    <s v="ADM-244739"/>
    <d v="2025-09-22T00:00:00"/>
    <d v="2025-09-25T00:00:00"/>
    <x v="1"/>
    <s v="Q3"/>
    <x v="8"/>
    <x v="0"/>
    <x v="4"/>
    <x v="0"/>
    <x v="1"/>
    <x v="0"/>
    <x v="2"/>
    <n v="3"/>
    <n v="61"/>
    <n v="4988"/>
    <n v="0"/>
    <n v="4"/>
    <s v="Recovered"/>
    <n v="1"/>
  </r>
  <r>
    <s v="ADM-244740"/>
    <d v="2025-09-22T00:00:00"/>
    <d v="2025-10-04T00:00:00"/>
    <x v="1"/>
    <s v="Q3"/>
    <x v="8"/>
    <x v="0"/>
    <x v="0"/>
    <x v="2"/>
    <x v="0"/>
    <x v="1"/>
    <x v="2"/>
    <n v="12"/>
    <m/>
    <n v="6749"/>
    <n v="0"/>
    <n v="4"/>
    <s v="Recovered"/>
    <n v="1"/>
  </r>
  <r>
    <s v="ADM-244741"/>
    <d v="2025-09-22T00:00:00"/>
    <d v="2025-10-01T00:00:00"/>
    <x v="1"/>
    <s v="Q3"/>
    <x v="8"/>
    <x v="0"/>
    <x v="4"/>
    <x v="0"/>
    <x v="1"/>
    <x v="4"/>
    <x v="0"/>
    <n v="9"/>
    <n v="14"/>
    <n v="14437"/>
    <n v="0"/>
    <n v="5"/>
    <s v="Recovered"/>
    <n v="1"/>
  </r>
  <r>
    <s v="ADM-244742"/>
    <d v="2025-09-22T00:00:00"/>
    <d v="2025-09-25T00:00:00"/>
    <x v="1"/>
    <s v="Q3"/>
    <x v="8"/>
    <x v="0"/>
    <x v="4"/>
    <x v="2"/>
    <x v="1"/>
    <x v="0"/>
    <x v="2"/>
    <n v="3"/>
    <m/>
    <n v="4140"/>
    <n v="1"/>
    <n v="4"/>
    <s v="Improved"/>
    <n v="1"/>
  </r>
  <r>
    <s v="ADM-244743"/>
    <d v="2025-09-23T00:00:00"/>
    <d v="2025-09-28T00:00:00"/>
    <x v="1"/>
    <s v="Q3"/>
    <x v="8"/>
    <x v="1"/>
    <x v="0"/>
    <x v="2"/>
    <x v="1"/>
    <x v="2"/>
    <x v="1"/>
    <n v="5"/>
    <m/>
    <n v="3549"/>
    <n v="0"/>
    <n v="4"/>
    <s v="Recovered"/>
    <n v="1"/>
  </r>
  <r>
    <s v="ADM-244744"/>
    <d v="2025-09-23T00:00:00"/>
    <d v="2025-09-24T00:00:00"/>
    <x v="1"/>
    <s v="Q3"/>
    <x v="8"/>
    <x v="1"/>
    <x v="1"/>
    <x v="0"/>
    <x v="1"/>
    <x v="1"/>
    <x v="0"/>
    <n v="1"/>
    <n v="24"/>
    <n v="2207"/>
    <n v="0"/>
    <n v="4"/>
    <s v="Recovered"/>
    <n v="1"/>
  </r>
  <r>
    <s v="ADM-244745"/>
    <d v="2025-09-23T00:00:00"/>
    <d v="2025-09-27T00:00:00"/>
    <x v="1"/>
    <s v="Q3"/>
    <x v="8"/>
    <x v="1"/>
    <x v="3"/>
    <x v="0"/>
    <x v="1"/>
    <x v="3"/>
    <x v="0"/>
    <n v="4"/>
    <n v="68"/>
    <n v="3824"/>
    <n v="0"/>
    <n v="4"/>
    <s v="Recovered"/>
    <n v="1"/>
  </r>
  <r>
    <s v="ADM-244746"/>
    <d v="2025-09-23T00:00:00"/>
    <d v="2025-09-24T00:00:00"/>
    <x v="1"/>
    <s v="Q3"/>
    <x v="8"/>
    <x v="1"/>
    <x v="0"/>
    <x v="0"/>
    <x v="1"/>
    <x v="2"/>
    <x v="0"/>
    <n v="1"/>
    <n v="51"/>
    <n v="1674"/>
    <n v="0"/>
    <n v="3"/>
    <s v="Improved"/>
    <n v="1"/>
  </r>
  <r>
    <s v="ADM-244747"/>
    <d v="2025-09-23T00:00:00"/>
    <d v="2025-09-29T00:00:00"/>
    <x v="1"/>
    <s v="Q3"/>
    <x v="8"/>
    <x v="1"/>
    <x v="1"/>
    <x v="0"/>
    <x v="1"/>
    <x v="0"/>
    <x v="0"/>
    <n v="6"/>
    <n v="43"/>
    <n v="8076"/>
    <n v="0"/>
    <n v="3"/>
    <s v="Recovered"/>
    <n v="1"/>
  </r>
  <r>
    <s v="ADM-244748"/>
    <d v="2025-09-23T00:00:00"/>
    <d v="2025-09-29T00:00:00"/>
    <x v="1"/>
    <s v="Q3"/>
    <x v="8"/>
    <x v="1"/>
    <x v="1"/>
    <x v="2"/>
    <x v="0"/>
    <x v="0"/>
    <x v="0"/>
    <n v="6"/>
    <m/>
    <n v="5496"/>
    <n v="0"/>
    <n v="4"/>
    <s v="Improved"/>
    <n v="1"/>
  </r>
  <r>
    <s v="ADM-244749"/>
    <d v="2025-09-23T00:00:00"/>
    <d v="2025-09-26T00:00:00"/>
    <x v="1"/>
    <s v="Q3"/>
    <x v="8"/>
    <x v="1"/>
    <x v="1"/>
    <x v="2"/>
    <x v="0"/>
    <x v="1"/>
    <x v="2"/>
    <n v="3"/>
    <m/>
    <n v="3891"/>
    <n v="0"/>
    <n v="4"/>
    <s v="Recovered"/>
    <n v="1"/>
  </r>
  <r>
    <s v="ADM-244750"/>
    <d v="2025-09-23T00:00:00"/>
    <d v="2025-09-26T00:00:00"/>
    <x v="1"/>
    <s v="Q3"/>
    <x v="8"/>
    <x v="1"/>
    <x v="1"/>
    <x v="0"/>
    <x v="0"/>
    <x v="0"/>
    <x v="0"/>
    <n v="3"/>
    <n v="47"/>
    <n v="2206"/>
    <n v="0"/>
    <n v="4"/>
    <s v="Recovered"/>
    <n v="1"/>
  </r>
  <r>
    <s v="ADM-244751"/>
    <d v="2025-09-23T00:00:00"/>
    <d v="2025-09-24T00:00:00"/>
    <x v="1"/>
    <s v="Q3"/>
    <x v="8"/>
    <x v="1"/>
    <x v="2"/>
    <x v="1"/>
    <x v="0"/>
    <x v="2"/>
    <x v="2"/>
    <n v="1"/>
    <m/>
    <n v="1364"/>
    <n v="0"/>
    <n v="5"/>
    <s v="Recovered"/>
    <n v="1"/>
  </r>
  <r>
    <s v="ADM-244752"/>
    <d v="2025-09-23T00:00:00"/>
    <d v="2025-10-12T00:00:00"/>
    <x v="1"/>
    <s v="Q3"/>
    <x v="8"/>
    <x v="1"/>
    <x v="0"/>
    <x v="0"/>
    <x v="0"/>
    <x v="2"/>
    <x v="2"/>
    <n v="19"/>
    <n v="27"/>
    <n v="17052"/>
    <n v="0"/>
    <n v="5"/>
    <s v="Improved"/>
    <n v="1"/>
  </r>
  <r>
    <s v="ADM-244753"/>
    <d v="2025-09-24T00:00:00"/>
    <d v="2025-09-28T00:00:00"/>
    <x v="1"/>
    <s v="Q3"/>
    <x v="8"/>
    <x v="2"/>
    <x v="4"/>
    <x v="2"/>
    <x v="1"/>
    <x v="0"/>
    <x v="2"/>
    <n v="4"/>
    <m/>
    <n v="6611"/>
    <n v="0"/>
    <n v="5"/>
    <s v="Improved"/>
    <n v="1"/>
  </r>
  <r>
    <s v="ADM-244754"/>
    <d v="2025-09-24T00:00:00"/>
    <d v="2025-09-30T00:00:00"/>
    <x v="1"/>
    <s v="Q3"/>
    <x v="8"/>
    <x v="2"/>
    <x v="5"/>
    <x v="2"/>
    <x v="0"/>
    <x v="2"/>
    <x v="0"/>
    <n v="6"/>
    <m/>
    <n v="6341"/>
    <n v="0"/>
    <n v="4"/>
    <s v="Improved"/>
    <n v="1"/>
  </r>
  <r>
    <s v="ADM-244755"/>
    <d v="2025-09-24T00:00:00"/>
    <d v="2025-09-28T00:00:00"/>
    <x v="1"/>
    <s v="Q3"/>
    <x v="8"/>
    <x v="2"/>
    <x v="1"/>
    <x v="2"/>
    <x v="0"/>
    <x v="0"/>
    <x v="0"/>
    <n v="4"/>
    <m/>
    <n v="4009"/>
    <n v="0"/>
    <n v="5"/>
    <s v="Recovered"/>
    <n v="1"/>
  </r>
  <r>
    <s v="ADM-244756"/>
    <d v="2025-09-24T00:00:00"/>
    <d v="2025-09-30T00:00:00"/>
    <x v="1"/>
    <s v="Q3"/>
    <x v="8"/>
    <x v="2"/>
    <x v="1"/>
    <x v="1"/>
    <x v="1"/>
    <x v="0"/>
    <x v="0"/>
    <n v="6"/>
    <m/>
    <n v="7807"/>
    <n v="0"/>
    <n v="5"/>
    <s v="Recovered"/>
    <n v="1"/>
  </r>
  <r>
    <s v="ADM-244757"/>
    <d v="2025-09-24T00:00:00"/>
    <d v="2025-09-27T00:00:00"/>
    <x v="1"/>
    <s v="Q3"/>
    <x v="8"/>
    <x v="2"/>
    <x v="0"/>
    <x v="0"/>
    <x v="0"/>
    <x v="4"/>
    <x v="0"/>
    <n v="3"/>
    <n v="37"/>
    <n v="2344"/>
    <n v="0"/>
    <n v="4"/>
    <s v="Recovered"/>
    <n v="1"/>
  </r>
  <r>
    <s v="ADM-244758"/>
    <d v="2025-09-24T00:00:00"/>
    <d v="2025-09-30T00:00:00"/>
    <x v="1"/>
    <s v="Q3"/>
    <x v="8"/>
    <x v="2"/>
    <x v="2"/>
    <x v="0"/>
    <x v="0"/>
    <x v="2"/>
    <x v="2"/>
    <n v="6"/>
    <n v="38"/>
    <n v="3476"/>
    <n v="0"/>
    <n v="3"/>
    <s v="Recovered"/>
    <n v="1"/>
  </r>
  <r>
    <s v="ADM-244759"/>
    <d v="2025-09-24T00:00:00"/>
    <d v="2025-09-30T00:00:00"/>
    <x v="1"/>
    <s v="Q3"/>
    <x v="8"/>
    <x v="2"/>
    <x v="0"/>
    <x v="2"/>
    <x v="0"/>
    <x v="1"/>
    <x v="0"/>
    <n v="6"/>
    <m/>
    <n v="4575"/>
    <n v="0"/>
    <n v="5"/>
    <s v="Recovered"/>
    <n v="1"/>
  </r>
  <r>
    <s v="ADM-244760"/>
    <d v="2025-09-24T00:00:00"/>
    <d v="2025-09-28T00:00:00"/>
    <x v="1"/>
    <s v="Q3"/>
    <x v="8"/>
    <x v="2"/>
    <x v="2"/>
    <x v="0"/>
    <x v="0"/>
    <x v="1"/>
    <x v="0"/>
    <n v="4"/>
    <n v="70"/>
    <n v="3418"/>
    <n v="0"/>
    <n v="5"/>
    <s v="Improved"/>
    <n v="1"/>
  </r>
  <r>
    <s v="ADM-244761"/>
    <d v="2025-09-25T00:00:00"/>
    <d v="2025-09-27T00:00:00"/>
    <x v="1"/>
    <s v="Q3"/>
    <x v="8"/>
    <x v="3"/>
    <x v="5"/>
    <x v="0"/>
    <x v="0"/>
    <x v="1"/>
    <x v="1"/>
    <n v="2"/>
    <n v="13"/>
    <n v="2651"/>
    <n v="0"/>
    <n v="5"/>
    <s v="Recovered"/>
    <n v="1"/>
  </r>
  <r>
    <s v="ADM-244762"/>
    <d v="2025-09-25T00:00:00"/>
    <d v="2025-09-26T00:00:00"/>
    <x v="1"/>
    <s v="Q3"/>
    <x v="8"/>
    <x v="3"/>
    <x v="3"/>
    <x v="0"/>
    <x v="0"/>
    <x v="3"/>
    <x v="0"/>
    <n v="1"/>
    <n v="26"/>
    <n v="1283"/>
    <n v="0"/>
    <n v="4"/>
    <s v="Improved"/>
    <n v="1"/>
  </r>
  <r>
    <s v="ADM-244763"/>
    <d v="2025-09-25T00:00:00"/>
    <d v="2025-09-27T00:00:00"/>
    <x v="1"/>
    <s v="Q3"/>
    <x v="8"/>
    <x v="3"/>
    <x v="3"/>
    <x v="2"/>
    <x v="1"/>
    <x v="3"/>
    <x v="2"/>
    <n v="2"/>
    <m/>
    <n v="1940"/>
    <n v="0"/>
    <n v="4"/>
    <s v="Improved"/>
    <n v="1"/>
  </r>
  <r>
    <s v="ADM-244764"/>
    <d v="2025-09-25T00:00:00"/>
    <d v="2025-09-26T00:00:00"/>
    <x v="1"/>
    <s v="Q3"/>
    <x v="8"/>
    <x v="3"/>
    <x v="3"/>
    <x v="0"/>
    <x v="0"/>
    <x v="3"/>
    <x v="2"/>
    <n v="1"/>
    <n v="75"/>
    <n v="1740"/>
    <n v="0"/>
    <n v="4"/>
    <s v="Recovered"/>
    <n v="1"/>
  </r>
  <r>
    <s v="ADM-244765"/>
    <d v="2025-09-25T00:00:00"/>
    <d v="2025-09-27T00:00:00"/>
    <x v="1"/>
    <s v="Q3"/>
    <x v="8"/>
    <x v="3"/>
    <x v="2"/>
    <x v="0"/>
    <x v="0"/>
    <x v="1"/>
    <x v="0"/>
    <n v="2"/>
    <n v="111"/>
    <n v="1908"/>
    <n v="0"/>
    <n v="3"/>
    <s v="Recovered"/>
    <n v="1"/>
  </r>
  <r>
    <s v="ADM-244766"/>
    <d v="2025-09-25T00:00:00"/>
    <d v="2025-10-09T00:00:00"/>
    <x v="1"/>
    <s v="Q3"/>
    <x v="8"/>
    <x v="3"/>
    <x v="0"/>
    <x v="0"/>
    <x v="1"/>
    <x v="0"/>
    <x v="0"/>
    <n v="14"/>
    <n v="24"/>
    <n v="13248"/>
    <n v="1"/>
    <n v="3"/>
    <s v="Improved"/>
    <n v="1"/>
  </r>
  <r>
    <s v="ADM-244767"/>
    <d v="2025-09-25T00:00:00"/>
    <d v="2025-09-27T00:00:00"/>
    <x v="1"/>
    <s v="Q3"/>
    <x v="8"/>
    <x v="3"/>
    <x v="5"/>
    <x v="2"/>
    <x v="0"/>
    <x v="1"/>
    <x v="1"/>
    <n v="2"/>
    <m/>
    <n v="2909"/>
    <n v="0"/>
    <n v="5"/>
    <s v="Improved"/>
    <n v="1"/>
  </r>
  <r>
    <s v="ADM-244768"/>
    <d v="2025-09-25T00:00:00"/>
    <d v="2025-09-27T00:00:00"/>
    <x v="1"/>
    <s v="Q3"/>
    <x v="8"/>
    <x v="3"/>
    <x v="3"/>
    <x v="2"/>
    <x v="1"/>
    <x v="3"/>
    <x v="0"/>
    <n v="2"/>
    <m/>
    <n v="2038"/>
    <n v="0"/>
    <n v="3"/>
    <s v="Improved"/>
    <n v="1"/>
  </r>
  <r>
    <s v="ADM-244769"/>
    <d v="2025-09-25T00:00:00"/>
    <d v="2025-09-28T00:00:00"/>
    <x v="1"/>
    <s v="Q3"/>
    <x v="8"/>
    <x v="3"/>
    <x v="0"/>
    <x v="1"/>
    <x v="1"/>
    <x v="4"/>
    <x v="2"/>
    <n v="3"/>
    <m/>
    <n v="2465"/>
    <n v="0"/>
    <n v="3"/>
    <s v="Recovered"/>
    <n v="1"/>
  </r>
  <r>
    <s v="ADM-244770"/>
    <d v="2025-09-25T00:00:00"/>
    <d v="2025-09-28T00:00:00"/>
    <x v="1"/>
    <s v="Q3"/>
    <x v="8"/>
    <x v="3"/>
    <x v="4"/>
    <x v="0"/>
    <x v="0"/>
    <x v="1"/>
    <x v="2"/>
    <n v="3"/>
    <n v="54"/>
    <n v="4097"/>
    <n v="1"/>
    <n v="3"/>
    <s v="Improved"/>
    <n v="1"/>
  </r>
  <r>
    <s v="ADM-244771"/>
    <d v="2025-09-26T00:00:00"/>
    <d v="2025-09-29T00:00:00"/>
    <x v="1"/>
    <s v="Q3"/>
    <x v="8"/>
    <x v="4"/>
    <x v="4"/>
    <x v="2"/>
    <x v="0"/>
    <x v="4"/>
    <x v="2"/>
    <n v="3"/>
    <m/>
    <n v="4857"/>
    <n v="0"/>
    <n v="5"/>
    <s v="Improved"/>
    <n v="1"/>
  </r>
  <r>
    <s v="ADM-244772"/>
    <d v="2025-09-26T00:00:00"/>
    <d v="2025-09-28T00:00:00"/>
    <x v="1"/>
    <s v="Q3"/>
    <x v="8"/>
    <x v="4"/>
    <x v="4"/>
    <x v="2"/>
    <x v="1"/>
    <x v="4"/>
    <x v="2"/>
    <n v="2"/>
    <m/>
    <n v="3180"/>
    <n v="0"/>
    <n v="5"/>
    <s v="Recovered"/>
    <n v="1"/>
  </r>
  <r>
    <s v="ADM-244773"/>
    <d v="2025-09-26T00:00:00"/>
    <d v="2025-09-29T00:00:00"/>
    <x v="1"/>
    <s v="Q3"/>
    <x v="8"/>
    <x v="4"/>
    <x v="2"/>
    <x v="0"/>
    <x v="0"/>
    <x v="1"/>
    <x v="2"/>
    <n v="3"/>
    <n v="64"/>
    <n v="3320"/>
    <n v="0"/>
    <n v="4"/>
    <s v="Recovered"/>
    <n v="1"/>
  </r>
  <r>
    <s v="ADM-244774"/>
    <d v="2025-09-26T00:00:00"/>
    <d v="2025-09-27T00:00:00"/>
    <x v="1"/>
    <s v="Q3"/>
    <x v="8"/>
    <x v="4"/>
    <x v="2"/>
    <x v="0"/>
    <x v="0"/>
    <x v="1"/>
    <x v="0"/>
    <n v="1"/>
    <n v="87"/>
    <n v="1468"/>
    <n v="0"/>
    <n v="4"/>
    <s v="Recovered"/>
    <n v="1"/>
  </r>
  <r>
    <s v="ADM-244775"/>
    <d v="2025-09-26T00:00:00"/>
    <d v="2025-09-27T00:00:00"/>
    <x v="1"/>
    <s v="Q3"/>
    <x v="8"/>
    <x v="4"/>
    <x v="0"/>
    <x v="0"/>
    <x v="1"/>
    <x v="1"/>
    <x v="2"/>
    <n v="1"/>
    <n v="37"/>
    <n v="1741"/>
    <n v="0"/>
    <n v="4"/>
    <s v="Recovered"/>
    <n v="1"/>
  </r>
  <r>
    <s v="ADM-244776"/>
    <d v="2025-09-26T00:00:00"/>
    <d v="2025-10-03T00:00:00"/>
    <x v="1"/>
    <s v="Q3"/>
    <x v="8"/>
    <x v="4"/>
    <x v="0"/>
    <x v="0"/>
    <x v="1"/>
    <x v="4"/>
    <x v="0"/>
    <n v="7"/>
    <n v="101"/>
    <n v="6167"/>
    <n v="1"/>
    <n v="4"/>
    <s v="Recovered"/>
    <n v="1"/>
  </r>
  <r>
    <s v="ADM-244777"/>
    <d v="2025-09-27T00:00:00"/>
    <d v="2025-09-30T00:00:00"/>
    <x v="1"/>
    <s v="Q3"/>
    <x v="8"/>
    <x v="5"/>
    <x v="1"/>
    <x v="2"/>
    <x v="1"/>
    <x v="1"/>
    <x v="0"/>
    <n v="3"/>
    <m/>
    <n v="3836"/>
    <n v="0"/>
    <n v="4"/>
    <s v="Recovered"/>
    <n v="1"/>
  </r>
  <r>
    <s v="ADM-244778"/>
    <d v="2025-09-27T00:00:00"/>
    <d v="2025-09-30T00:00:00"/>
    <x v="1"/>
    <s v="Q3"/>
    <x v="8"/>
    <x v="5"/>
    <x v="1"/>
    <x v="2"/>
    <x v="1"/>
    <x v="4"/>
    <x v="0"/>
    <n v="3"/>
    <m/>
    <n v="4265"/>
    <n v="0"/>
    <n v="4"/>
    <s v="Improved"/>
    <n v="1"/>
  </r>
  <r>
    <s v="ADM-244779"/>
    <d v="2025-09-27T00:00:00"/>
    <d v="2025-10-05T00:00:00"/>
    <x v="1"/>
    <s v="Q3"/>
    <x v="8"/>
    <x v="5"/>
    <x v="3"/>
    <x v="0"/>
    <x v="1"/>
    <x v="3"/>
    <x v="0"/>
    <n v="8"/>
    <n v="31"/>
    <n v="5631"/>
    <n v="1"/>
    <n v="3"/>
    <s v="Recovered"/>
    <n v="1"/>
  </r>
  <r>
    <s v="ADM-244780"/>
    <d v="2025-09-27T00:00:00"/>
    <d v="2025-09-29T00:00:00"/>
    <x v="1"/>
    <s v="Q3"/>
    <x v="8"/>
    <x v="5"/>
    <x v="5"/>
    <x v="2"/>
    <x v="1"/>
    <x v="0"/>
    <x v="0"/>
    <n v="2"/>
    <m/>
    <n v="2421"/>
    <n v="0"/>
    <n v="5"/>
    <s v="Recovered"/>
    <n v="1"/>
  </r>
  <r>
    <s v="ADM-244781"/>
    <d v="2025-09-27T00:00:00"/>
    <d v="2025-09-29T00:00:00"/>
    <x v="1"/>
    <s v="Q3"/>
    <x v="8"/>
    <x v="5"/>
    <x v="5"/>
    <x v="2"/>
    <x v="1"/>
    <x v="1"/>
    <x v="2"/>
    <n v="2"/>
    <m/>
    <n v="2075"/>
    <n v="0"/>
    <n v="4"/>
    <s v="Transferred"/>
    <n v="1"/>
  </r>
  <r>
    <s v="ADM-244782"/>
    <d v="2025-09-27T00:00:00"/>
    <d v="2025-09-29T00:00:00"/>
    <x v="1"/>
    <s v="Q3"/>
    <x v="8"/>
    <x v="5"/>
    <x v="3"/>
    <x v="1"/>
    <x v="1"/>
    <x v="3"/>
    <x v="0"/>
    <n v="2"/>
    <m/>
    <n v="1792"/>
    <n v="0"/>
    <n v="4"/>
    <s v="Improved"/>
    <n v="1"/>
  </r>
  <r>
    <s v="ADM-244783"/>
    <d v="2025-09-28T00:00:00"/>
    <d v="2025-10-06T00:00:00"/>
    <x v="1"/>
    <s v="Q3"/>
    <x v="8"/>
    <x v="6"/>
    <x v="1"/>
    <x v="2"/>
    <x v="0"/>
    <x v="0"/>
    <x v="2"/>
    <n v="8"/>
    <m/>
    <n v="8005"/>
    <n v="0"/>
    <n v="4"/>
    <s v="Recovered"/>
    <n v="1"/>
  </r>
  <r>
    <s v="ADM-244784"/>
    <d v="2025-09-28T00:00:00"/>
    <d v="2025-09-30T00:00:00"/>
    <x v="1"/>
    <s v="Q3"/>
    <x v="8"/>
    <x v="6"/>
    <x v="1"/>
    <x v="0"/>
    <x v="1"/>
    <x v="0"/>
    <x v="0"/>
    <n v="2"/>
    <n v="13"/>
    <n v="4199"/>
    <n v="0"/>
    <n v="4"/>
    <s v="Recovered"/>
    <n v="1"/>
  </r>
  <r>
    <s v="ADM-244785"/>
    <d v="2025-09-28T00:00:00"/>
    <d v="2025-10-07T00:00:00"/>
    <x v="1"/>
    <s v="Q3"/>
    <x v="8"/>
    <x v="6"/>
    <x v="1"/>
    <x v="2"/>
    <x v="0"/>
    <x v="4"/>
    <x v="1"/>
    <n v="9"/>
    <m/>
    <n v="8555"/>
    <n v="0"/>
    <n v="4"/>
    <s v="Recovered"/>
    <n v="1"/>
  </r>
  <r>
    <s v="ADM-244786"/>
    <d v="2025-09-28T00:00:00"/>
    <d v="2025-10-05T00:00:00"/>
    <x v="1"/>
    <s v="Q3"/>
    <x v="8"/>
    <x v="6"/>
    <x v="5"/>
    <x v="2"/>
    <x v="0"/>
    <x v="0"/>
    <x v="1"/>
    <n v="7"/>
    <m/>
    <n v="7258"/>
    <n v="0"/>
    <n v="4"/>
    <s v="Recovered"/>
    <n v="1"/>
  </r>
  <r>
    <s v="ADM-244787"/>
    <d v="2025-09-28T00:00:00"/>
    <d v="2025-10-03T00:00:00"/>
    <x v="1"/>
    <s v="Q3"/>
    <x v="8"/>
    <x v="6"/>
    <x v="5"/>
    <x v="2"/>
    <x v="0"/>
    <x v="2"/>
    <x v="1"/>
    <n v="5"/>
    <m/>
    <n v="5147"/>
    <n v="0"/>
    <n v="4"/>
    <s v="Recovered"/>
    <n v="1"/>
  </r>
  <r>
    <s v="ADM-244788"/>
    <d v="2025-09-28T00:00:00"/>
    <d v="2025-09-29T00:00:00"/>
    <x v="1"/>
    <s v="Q3"/>
    <x v="8"/>
    <x v="6"/>
    <x v="5"/>
    <x v="2"/>
    <x v="0"/>
    <x v="2"/>
    <x v="2"/>
    <n v="1"/>
    <m/>
    <n v="1716"/>
    <n v="0"/>
    <n v="3"/>
    <s v="Recovered"/>
    <n v="1"/>
  </r>
  <r>
    <s v="ADM-244789"/>
    <d v="2025-09-29T00:00:00"/>
    <d v="2025-10-01T00:00:00"/>
    <x v="1"/>
    <s v="Q3"/>
    <x v="8"/>
    <x v="0"/>
    <x v="1"/>
    <x v="2"/>
    <x v="1"/>
    <x v="0"/>
    <x v="0"/>
    <n v="2"/>
    <m/>
    <n v="2353"/>
    <n v="0"/>
    <n v="5"/>
    <s v="Recovered"/>
    <n v="1"/>
  </r>
  <r>
    <s v="ADM-244790"/>
    <d v="2025-09-29T00:00:00"/>
    <d v="2025-10-02T00:00:00"/>
    <x v="1"/>
    <s v="Q3"/>
    <x v="8"/>
    <x v="0"/>
    <x v="2"/>
    <x v="0"/>
    <x v="0"/>
    <x v="2"/>
    <x v="2"/>
    <n v="3"/>
    <n v="26"/>
    <n v="2356"/>
    <n v="0"/>
    <n v="4"/>
    <s v="Improved"/>
    <n v="1"/>
  </r>
  <r>
    <s v="ADM-244791"/>
    <d v="2025-09-29T00:00:00"/>
    <d v="2025-10-02T00:00:00"/>
    <x v="1"/>
    <s v="Q3"/>
    <x v="8"/>
    <x v="0"/>
    <x v="1"/>
    <x v="2"/>
    <x v="1"/>
    <x v="2"/>
    <x v="2"/>
    <n v="3"/>
    <m/>
    <n v="3782"/>
    <n v="0"/>
    <n v="5"/>
    <s v="Improved"/>
    <n v="1"/>
  </r>
  <r>
    <s v="ADM-244792"/>
    <d v="2025-09-29T00:00:00"/>
    <d v="2025-10-04T00:00:00"/>
    <x v="1"/>
    <s v="Q3"/>
    <x v="8"/>
    <x v="0"/>
    <x v="4"/>
    <x v="0"/>
    <x v="1"/>
    <x v="1"/>
    <x v="2"/>
    <n v="5"/>
    <n v="72"/>
    <n v="8273"/>
    <n v="0"/>
    <n v="5"/>
    <s v="Recovered"/>
    <n v="1"/>
  </r>
  <r>
    <s v="ADM-244793"/>
    <d v="2025-09-29T00:00:00"/>
    <d v="2025-10-08T00:00:00"/>
    <x v="1"/>
    <s v="Q3"/>
    <x v="8"/>
    <x v="0"/>
    <x v="5"/>
    <x v="2"/>
    <x v="0"/>
    <x v="0"/>
    <x v="0"/>
    <n v="9"/>
    <m/>
    <n v="8218"/>
    <n v="0"/>
    <n v="4"/>
    <s v="Recovered"/>
    <n v="1"/>
  </r>
  <r>
    <s v="ADM-244794"/>
    <d v="2025-09-30T00:00:00"/>
    <d v="2025-10-05T00:00:00"/>
    <x v="1"/>
    <s v="Q3"/>
    <x v="8"/>
    <x v="1"/>
    <x v="2"/>
    <x v="0"/>
    <x v="0"/>
    <x v="1"/>
    <x v="2"/>
    <n v="5"/>
    <n v="19"/>
    <n v="4057"/>
    <n v="0"/>
    <n v="5"/>
    <s v="Recovered"/>
    <n v="1"/>
  </r>
  <r>
    <s v="ADM-244795"/>
    <d v="2025-09-30T00:00:00"/>
    <d v="2025-10-02T00:00:00"/>
    <x v="1"/>
    <s v="Q3"/>
    <x v="8"/>
    <x v="1"/>
    <x v="3"/>
    <x v="2"/>
    <x v="1"/>
    <x v="3"/>
    <x v="2"/>
    <n v="2"/>
    <m/>
    <n v="1688"/>
    <n v="0"/>
    <n v="5"/>
    <s v="Improved"/>
    <n v="1"/>
  </r>
  <r>
    <s v="ADM-244796"/>
    <d v="2025-09-30T00:00:00"/>
    <d v="2025-10-02T00:00:00"/>
    <x v="1"/>
    <s v="Q3"/>
    <x v="8"/>
    <x v="1"/>
    <x v="3"/>
    <x v="0"/>
    <x v="1"/>
    <x v="3"/>
    <x v="2"/>
    <n v="2"/>
    <n v="25"/>
    <n v="2006"/>
    <n v="0"/>
    <n v="5"/>
    <s v="Recovered"/>
    <n v="1"/>
  </r>
  <r>
    <s v="ADM-244797"/>
    <d v="2025-09-30T00:00:00"/>
    <d v="2025-10-01T00:00:00"/>
    <x v="1"/>
    <s v="Q3"/>
    <x v="8"/>
    <x v="1"/>
    <x v="2"/>
    <x v="0"/>
    <x v="0"/>
    <x v="1"/>
    <x v="0"/>
    <n v="1"/>
    <n v="17"/>
    <n v="1048"/>
    <n v="0"/>
    <n v="5"/>
    <s v="Recovered"/>
    <n v="1"/>
  </r>
  <r>
    <s v="ADM-244798"/>
    <d v="2025-09-30T00:00:00"/>
    <d v="2025-10-11T00:00:00"/>
    <x v="1"/>
    <s v="Q3"/>
    <x v="8"/>
    <x v="1"/>
    <x v="1"/>
    <x v="0"/>
    <x v="0"/>
    <x v="1"/>
    <x v="2"/>
    <n v="11"/>
    <n v="39"/>
    <n v="12229"/>
    <n v="0"/>
    <n v="4"/>
    <s v="Improved"/>
    <n v="1"/>
  </r>
  <r>
    <s v="ADM-244799"/>
    <d v="2025-09-30T00:00:00"/>
    <d v="2025-10-06T00:00:00"/>
    <x v="1"/>
    <s v="Q3"/>
    <x v="8"/>
    <x v="1"/>
    <x v="0"/>
    <x v="2"/>
    <x v="1"/>
    <x v="0"/>
    <x v="2"/>
    <n v="6"/>
    <m/>
    <n v="5667"/>
    <n v="1"/>
    <n v="3"/>
    <s v="Improved"/>
    <n v="1"/>
  </r>
  <r>
    <s v="ADM-244800"/>
    <d v="2025-09-30T00:00:00"/>
    <d v="2025-10-02T00:00:00"/>
    <x v="1"/>
    <s v="Q3"/>
    <x v="8"/>
    <x v="1"/>
    <x v="5"/>
    <x v="2"/>
    <x v="0"/>
    <x v="4"/>
    <x v="0"/>
    <n v="2"/>
    <m/>
    <n v="2815"/>
    <n v="0"/>
    <n v="5"/>
    <s v="Transferred"/>
    <n v="1"/>
  </r>
  <r>
    <s v="ADM-244801"/>
    <d v="2025-09-30T00:00:00"/>
    <d v="2025-10-03T00:00:00"/>
    <x v="1"/>
    <s v="Q3"/>
    <x v="8"/>
    <x v="1"/>
    <x v="1"/>
    <x v="0"/>
    <x v="1"/>
    <x v="0"/>
    <x v="2"/>
    <n v="3"/>
    <n v="28"/>
    <n v="3761"/>
    <n v="0"/>
    <n v="4"/>
    <s v="Improved"/>
    <n v="1"/>
  </r>
  <r>
    <s v="ADM-244802"/>
    <d v="2025-10-01T00:00:00"/>
    <d v="2025-10-02T00:00:00"/>
    <x v="1"/>
    <s v="Q4"/>
    <x v="9"/>
    <x v="2"/>
    <x v="2"/>
    <x v="2"/>
    <x v="0"/>
    <x v="1"/>
    <x v="2"/>
    <n v="1"/>
    <m/>
    <n v="1253"/>
    <n v="0"/>
    <n v="5"/>
    <s v="Recovered"/>
    <n v="1"/>
  </r>
  <r>
    <s v="ADM-244803"/>
    <d v="2025-10-01T00:00:00"/>
    <d v="2025-10-02T00:00:00"/>
    <x v="1"/>
    <s v="Q4"/>
    <x v="9"/>
    <x v="2"/>
    <x v="2"/>
    <x v="1"/>
    <x v="0"/>
    <x v="2"/>
    <x v="2"/>
    <n v="1"/>
    <m/>
    <n v="962"/>
    <n v="0"/>
    <n v="4"/>
    <s v="Recovered"/>
    <n v="1"/>
  </r>
  <r>
    <s v="ADM-244804"/>
    <d v="2025-10-01T00:00:00"/>
    <d v="2025-10-03T00:00:00"/>
    <x v="1"/>
    <s v="Q4"/>
    <x v="9"/>
    <x v="2"/>
    <x v="3"/>
    <x v="0"/>
    <x v="1"/>
    <x v="3"/>
    <x v="2"/>
    <n v="2"/>
    <n v="15"/>
    <n v="2126"/>
    <n v="0"/>
    <n v="4"/>
    <s v="Recovered"/>
    <n v="1"/>
  </r>
  <r>
    <s v="ADM-244805"/>
    <d v="2025-10-01T00:00:00"/>
    <d v="2025-10-06T00:00:00"/>
    <x v="1"/>
    <s v="Q4"/>
    <x v="9"/>
    <x v="2"/>
    <x v="4"/>
    <x v="0"/>
    <x v="1"/>
    <x v="4"/>
    <x v="0"/>
    <n v="5"/>
    <n v="23"/>
    <n v="8561"/>
    <n v="1"/>
    <n v="4"/>
    <s v="Improved"/>
    <n v="1"/>
  </r>
  <r>
    <s v="ADM-244806"/>
    <d v="2025-10-01T00:00:00"/>
    <d v="2025-10-05T00:00:00"/>
    <x v="1"/>
    <s v="Q4"/>
    <x v="9"/>
    <x v="2"/>
    <x v="4"/>
    <x v="0"/>
    <x v="0"/>
    <x v="2"/>
    <x v="2"/>
    <n v="4"/>
    <n v="43"/>
    <n v="4708"/>
    <n v="0"/>
    <n v="4"/>
    <s v="Recovered"/>
    <n v="1"/>
  </r>
  <r>
    <s v="ADM-244807"/>
    <d v="2025-10-01T00:00:00"/>
    <d v="2025-10-06T00:00:00"/>
    <x v="1"/>
    <s v="Q4"/>
    <x v="9"/>
    <x v="2"/>
    <x v="1"/>
    <x v="2"/>
    <x v="1"/>
    <x v="0"/>
    <x v="0"/>
    <n v="5"/>
    <m/>
    <n v="5310"/>
    <n v="0"/>
    <n v="4"/>
    <s v="Recovered"/>
    <n v="1"/>
  </r>
  <r>
    <s v="ADM-244808"/>
    <d v="2025-10-01T00:00:00"/>
    <d v="2025-10-03T00:00:00"/>
    <x v="1"/>
    <s v="Q4"/>
    <x v="9"/>
    <x v="2"/>
    <x v="0"/>
    <x v="0"/>
    <x v="0"/>
    <x v="2"/>
    <x v="0"/>
    <n v="2"/>
    <n v="75"/>
    <n v="1802"/>
    <n v="0"/>
    <n v="5"/>
    <s v="Recovered"/>
    <n v="1"/>
  </r>
  <r>
    <s v="ADM-244809"/>
    <d v="2025-10-01T00:00:00"/>
    <d v="2025-10-06T00:00:00"/>
    <x v="1"/>
    <s v="Q4"/>
    <x v="9"/>
    <x v="2"/>
    <x v="1"/>
    <x v="2"/>
    <x v="1"/>
    <x v="4"/>
    <x v="2"/>
    <n v="5"/>
    <m/>
    <n v="7201"/>
    <n v="0"/>
    <n v="4"/>
    <s v="Recovered"/>
    <n v="1"/>
  </r>
  <r>
    <s v="ADM-244810"/>
    <d v="2025-10-01T00:00:00"/>
    <d v="2025-10-08T00:00:00"/>
    <x v="1"/>
    <s v="Q4"/>
    <x v="9"/>
    <x v="2"/>
    <x v="2"/>
    <x v="0"/>
    <x v="0"/>
    <x v="2"/>
    <x v="2"/>
    <n v="7"/>
    <n v="78"/>
    <n v="3671"/>
    <n v="0"/>
    <n v="5"/>
    <s v="Improved"/>
    <n v="1"/>
  </r>
  <r>
    <s v="ADM-244811"/>
    <d v="2025-10-02T00:00:00"/>
    <d v="2025-10-05T00:00:00"/>
    <x v="1"/>
    <s v="Q4"/>
    <x v="9"/>
    <x v="3"/>
    <x v="3"/>
    <x v="0"/>
    <x v="1"/>
    <x v="3"/>
    <x v="2"/>
    <n v="3"/>
    <n v="38"/>
    <n v="2462"/>
    <n v="0"/>
    <n v="4"/>
    <s v="Improved"/>
    <n v="1"/>
  </r>
  <r>
    <s v="ADM-244812"/>
    <d v="2025-10-02T00:00:00"/>
    <d v="2025-10-09T00:00:00"/>
    <x v="1"/>
    <s v="Q4"/>
    <x v="9"/>
    <x v="3"/>
    <x v="1"/>
    <x v="0"/>
    <x v="0"/>
    <x v="4"/>
    <x v="0"/>
    <n v="7"/>
    <n v="24"/>
    <n v="8385"/>
    <n v="0"/>
    <n v="5"/>
    <s v="Recovered"/>
    <n v="1"/>
  </r>
  <r>
    <s v="ADM-244813"/>
    <d v="2025-10-02T00:00:00"/>
    <d v="2025-10-04T00:00:00"/>
    <x v="1"/>
    <s v="Q4"/>
    <x v="9"/>
    <x v="3"/>
    <x v="3"/>
    <x v="0"/>
    <x v="1"/>
    <x v="3"/>
    <x v="2"/>
    <n v="2"/>
    <n v="26"/>
    <n v="1118"/>
    <n v="0"/>
    <n v="5"/>
    <s v="Recovered"/>
    <n v="1"/>
  </r>
  <r>
    <s v="ADM-244814"/>
    <d v="2025-10-02T00:00:00"/>
    <d v="2025-10-11T00:00:00"/>
    <x v="1"/>
    <s v="Q4"/>
    <x v="9"/>
    <x v="3"/>
    <x v="1"/>
    <x v="2"/>
    <x v="1"/>
    <x v="0"/>
    <x v="2"/>
    <n v="9"/>
    <m/>
    <n v="12532"/>
    <n v="0"/>
    <n v="5"/>
    <s v="Recovered"/>
    <n v="1"/>
  </r>
  <r>
    <s v="ADM-244815"/>
    <d v="2025-10-02T00:00:00"/>
    <d v="2025-10-04T00:00:00"/>
    <x v="1"/>
    <s v="Q4"/>
    <x v="9"/>
    <x v="3"/>
    <x v="2"/>
    <x v="2"/>
    <x v="0"/>
    <x v="2"/>
    <x v="1"/>
    <n v="2"/>
    <m/>
    <n v="2509"/>
    <n v="0"/>
    <n v="4"/>
    <s v="Recovered"/>
    <n v="1"/>
  </r>
  <r>
    <s v="ADM-244816"/>
    <d v="2025-10-02T00:00:00"/>
    <d v="2025-10-08T00:00:00"/>
    <x v="1"/>
    <s v="Q4"/>
    <x v="9"/>
    <x v="3"/>
    <x v="0"/>
    <x v="0"/>
    <x v="0"/>
    <x v="2"/>
    <x v="0"/>
    <n v="6"/>
    <n v="44"/>
    <n v="5207"/>
    <n v="0"/>
    <n v="3"/>
    <s v="Recovered"/>
    <n v="1"/>
  </r>
  <r>
    <s v="ADM-244817"/>
    <d v="2025-10-02T00:00:00"/>
    <d v="2025-10-08T00:00:00"/>
    <x v="1"/>
    <s v="Q4"/>
    <x v="9"/>
    <x v="3"/>
    <x v="0"/>
    <x v="0"/>
    <x v="0"/>
    <x v="1"/>
    <x v="2"/>
    <n v="6"/>
    <n v="59"/>
    <n v="3776"/>
    <n v="0"/>
    <n v="4"/>
    <s v="Recovered"/>
    <n v="1"/>
  </r>
  <r>
    <s v="ADM-244818"/>
    <d v="2025-10-03T00:00:00"/>
    <d v="2025-10-19T00:00:00"/>
    <x v="1"/>
    <s v="Q4"/>
    <x v="9"/>
    <x v="4"/>
    <x v="0"/>
    <x v="0"/>
    <x v="0"/>
    <x v="1"/>
    <x v="2"/>
    <n v="16"/>
    <n v="26"/>
    <n v="9101"/>
    <n v="0"/>
    <n v="4"/>
    <s v="Recovered"/>
    <n v="1"/>
  </r>
  <r>
    <s v="ADM-244819"/>
    <d v="2025-10-03T00:00:00"/>
    <d v="2025-10-10T00:00:00"/>
    <x v="1"/>
    <s v="Q4"/>
    <x v="9"/>
    <x v="4"/>
    <x v="5"/>
    <x v="2"/>
    <x v="1"/>
    <x v="0"/>
    <x v="2"/>
    <n v="7"/>
    <m/>
    <n v="8857"/>
    <n v="0"/>
    <n v="4"/>
    <s v="Improved"/>
    <n v="1"/>
  </r>
  <r>
    <s v="ADM-244820"/>
    <d v="2025-10-03T00:00:00"/>
    <d v="2025-10-11T00:00:00"/>
    <x v="1"/>
    <s v="Q4"/>
    <x v="9"/>
    <x v="4"/>
    <x v="3"/>
    <x v="0"/>
    <x v="0"/>
    <x v="3"/>
    <x v="0"/>
    <n v="8"/>
    <n v="77"/>
    <n v="5438"/>
    <n v="0"/>
    <n v="3"/>
    <s v="Improved"/>
    <n v="1"/>
  </r>
  <r>
    <s v="ADM-244821"/>
    <d v="2025-10-03T00:00:00"/>
    <d v="2025-10-06T00:00:00"/>
    <x v="1"/>
    <s v="Q4"/>
    <x v="9"/>
    <x v="4"/>
    <x v="3"/>
    <x v="0"/>
    <x v="0"/>
    <x v="3"/>
    <x v="0"/>
    <n v="3"/>
    <n v="100"/>
    <n v="3197"/>
    <n v="0"/>
    <n v="4"/>
    <s v="Recovered"/>
    <n v="1"/>
  </r>
  <r>
    <s v="ADM-244822"/>
    <d v="2025-10-03T00:00:00"/>
    <d v="2025-10-09T00:00:00"/>
    <x v="1"/>
    <s v="Q4"/>
    <x v="9"/>
    <x v="4"/>
    <x v="2"/>
    <x v="0"/>
    <x v="0"/>
    <x v="1"/>
    <x v="1"/>
    <n v="6"/>
    <n v="30"/>
    <n v="5185"/>
    <n v="0"/>
    <n v="4"/>
    <s v="Recovered"/>
    <n v="1"/>
  </r>
  <r>
    <s v="ADM-244823"/>
    <d v="2025-10-03T00:00:00"/>
    <d v="2025-10-07T00:00:00"/>
    <x v="1"/>
    <s v="Q4"/>
    <x v="9"/>
    <x v="4"/>
    <x v="0"/>
    <x v="0"/>
    <x v="1"/>
    <x v="2"/>
    <x v="2"/>
    <n v="4"/>
    <n v="23"/>
    <n v="3650"/>
    <n v="1"/>
    <n v="4"/>
    <s v="Improved"/>
    <n v="1"/>
  </r>
  <r>
    <s v="ADM-244824"/>
    <d v="2025-10-03T00:00:00"/>
    <d v="2025-10-09T00:00:00"/>
    <x v="1"/>
    <s v="Q4"/>
    <x v="9"/>
    <x v="4"/>
    <x v="4"/>
    <x v="0"/>
    <x v="0"/>
    <x v="0"/>
    <x v="2"/>
    <n v="6"/>
    <n v="58"/>
    <n v="7477"/>
    <n v="0"/>
    <n v="4"/>
    <s v="Recovered"/>
    <n v="1"/>
  </r>
  <r>
    <s v="ADM-244825"/>
    <d v="2025-10-03T00:00:00"/>
    <d v="2025-10-04T00:00:00"/>
    <x v="1"/>
    <s v="Q4"/>
    <x v="9"/>
    <x v="4"/>
    <x v="5"/>
    <x v="2"/>
    <x v="0"/>
    <x v="4"/>
    <x v="1"/>
    <n v="1"/>
    <m/>
    <n v="2014"/>
    <n v="0"/>
    <n v="4"/>
    <s v="Recovered"/>
    <n v="1"/>
  </r>
  <r>
    <s v="ADM-244826"/>
    <d v="2025-10-03T00:00:00"/>
    <d v="2025-10-06T00:00:00"/>
    <x v="1"/>
    <s v="Q4"/>
    <x v="9"/>
    <x v="4"/>
    <x v="2"/>
    <x v="0"/>
    <x v="0"/>
    <x v="2"/>
    <x v="2"/>
    <n v="3"/>
    <n v="91"/>
    <n v="2258"/>
    <n v="0"/>
    <n v="3"/>
    <s v="Recovered"/>
    <n v="1"/>
  </r>
  <r>
    <s v="ADM-244827"/>
    <d v="2025-10-03T00:00:00"/>
    <d v="2025-10-10T00:00:00"/>
    <x v="1"/>
    <s v="Q4"/>
    <x v="9"/>
    <x v="4"/>
    <x v="0"/>
    <x v="2"/>
    <x v="0"/>
    <x v="1"/>
    <x v="2"/>
    <n v="7"/>
    <m/>
    <n v="5159"/>
    <n v="0"/>
    <n v="5"/>
    <s v="Recovered"/>
    <n v="1"/>
  </r>
  <r>
    <s v="ADM-244828"/>
    <d v="2025-10-03T00:00:00"/>
    <d v="2025-10-12T00:00:00"/>
    <x v="1"/>
    <s v="Q4"/>
    <x v="9"/>
    <x v="4"/>
    <x v="0"/>
    <x v="0"/>
    <x v="0"/>
    <x v="0"/>
    <x v="2"/>
    <n v="9"/>
    <n v="35"/>
    <n v="5086"/>
    <n v="0"/>
    <n v="3"/>
    <s v="Improved"/>
    <n v="1"/>
  </r>
  <r>
    <s v="ADM-244829"/>
    <d v="2025-10-03T00:00:00"/>
    <d v="2025-10-11T00:00:00"/>
    <x v="1"/>
    <s v="Q4"/>
    <x v="9"/>
    <x v="4"/>
    <x v="5"/>
    <x v="2"/>
    <x v="0"/>
    <x v="2"/>
    <x v="2"/>
    <n v="8"/>
    <m/>
    <n v="9874"/>
    <n v="0"/>
    <n v="4"/>
    <s v="Recovered"/>
    <n v="1"/>
  </r>
  <r>
    <s v="ADM-244830"/>
    <d v="2025-10-03T00:00:00"/>
    <d v="2025-10-10T00:00:00"/>
    <x v="1"/>
    <s v="Q4"/>
    <x v="9"/>
    <x v="4"/>
    <x v="4"/>
    <x v="0"/>
    <x v="0"/>
    <x v="0"/>
    <x v="0"/>
    <n v="7"/>
    <n v="66"/>
    <n v="8531"/>
    <n v="1"/>
    <n v="5"/>
    <s v="Improved"/>
    <n v="1"/>
  </r>
  <r>
    <s v="ADM-244831"/>
    <d v="2025-10-04T00:00:00"/>
    <d v="2025-10-05T00:00:00"/>
    <x v="1"/>
    <s v="Q4"/>
    <x v="9"/>
    <x v="5"/>
    <x v="1"/>
    <x v="0"/>
    <x v="1"/>
    <x v="4"/>
    <x v="0"/>
    <n v="1"/>
    <n v="35"/>
    <n v="1198"/>
    <n v="0"/>
    <n v="5"/>
    <s v="Recovered"/>
    <n v="1"/>
  </r>
  <r>
    <s v="ADM-244832"/>
    <d v="2025-10-04T00:00:00"/>
    <d v="2025-10-06T00:00:00"/>
    <x v="1"/>
    <s v="Q4"/>
    <x v="9"/>
    <x v="5"/>
    <x v="2"/>
    <x v="0"/>
    <x v="0"/>
    <x v="1"/>
    <x v="2"/>
    <n v="2"/>
    <n v="41"/>
    <n v="2440"/>
    <n v="0"/>
    <n v="4"/>
    <s v="Improved"/>
    <n v="1"/>
  </r>
  <r>
    <s v="ADM-244833"/>
    <d v="2025-10-04T00:00:00"/>
    <d v="2025-10-11T00:00:00"/>
    <x v="1"/>
    <s v="Q4"/>
    <x v="9"/>
    <x v="5"/>
    <x v="1"/>
    <x v="1"/>
    <x v="0"/>
    <x v="4"/>
    <x v="2"/>
    <n v="7"/>
    <m/>
    <n v="6087"/>
    <n v="0"/>
    <n v="5"/>
    <s v="Recovered"/>
    <n v="1"/>
  </r>
  <r>
    <s v="ADM-244834"/>
    <d v="2025-10-05T00:00:00"/>
    <d v="2025-10-08T00:00:00"/>
    <x v="1"/>
    <s v="Q4"/>
    <x v="9"/>
    <x v="6"/>
    <x v="3"/>
    <x v="0"/>
    <x v="1"/>
    <x v="3"/>
    <x v="2"/>
    <n v="3"/>
    <n v="27"/>
    <n v="2171"/>
    <n v="0"/>
    <n v="4"/>
    <s v="Recovered"/>
    <n v="1"/>
  </r>
  <r>
    <s v="ADM-244835"/>
    <d v="2025-10-05T00:00:00"/>
    <d v="2025-10-17T00:00:00"/>
    <x v="1"/>
    <s v="Q4"/>
    <x v="9"/>
    <x v="6"/>
    <x v="0"/>
    <x v="0"/>
    <x v="1"/>
    <x v="0"/>
    <x v="2"/>
    <n v="12"/>
    <n v="61"/>
    <n v="8037"/>
    <n v="0"/>
    <n v="4"/>
    <s v="Recovered"/>
    <n v="1"/>
  </r>
  <r>
    <s v="ADM-244836"/>
    <d v="2025-10-05T00:00:00"/>
    <d v="2025-10-06T00:00:00"/>
    <x v="1"/>
    <s v="Q4"/>
    <x v="9"/>
    <x v="6"/>
    <x v="1"/>
    <x v="2"/>
    <x v="0"/>
    <x v="4"/>
    <x v="1"/>
    <n v="1"/>
    <m/>
    <n v="2245"/>
    <n v="0"/>
    <n v="5"/>
    <s v="Recovered"/>
    <n v="1"/>
  </r>
  <r>
    <s v="ADM-244837"/>
    <d v="2025-10-05T00:00:00"/>
    <d v="2025-10-07T00:00:00"/>
    <x v="1"/>
    <s v="Q4"/>
    <x v="9"/>
    <x v="6"/>
    <x v="3"/>
    <x v="0"/>
    <x v="1"/>
    <x v="3"/>
    <x v="0"/>
    <n v="2"/>
    <n v="17"/>
    <n v="1261"/>
    <n v="0"/>
    <n v="4"/>
    <s v="Recovered"/>
    <n v="1"/>
  </r>
  <r>
    <s v="ADM-244838"/>
    <d v="2025-10-05T00:00:00"/>
    <d v="2025-10-08T00:00:00"/>
    <x v="1"/>
    <s v="Q4"/>
    <x v="9"/>
    <x v="6"/>
    <x v="3"/>
    <x v="0"/>
    <x v="0"/>
    <x v="3"/>
    <x v="0"/>
    <n v="3"/>
    <n v="48"/>
    <n v="2859"/>
    <n v="0"/>
    <n v="4"/>
    <s v="Improved"/>
    <n v="1"/>
  </r>
  <r>
    <s v="ADM-244839"/>
    <d v="2025-10-05T00:00:00"/>
    <d v="2025-10-06T00:00:00"/>
    <x v="1"/>
    <s v="Q4"/>
    <x v="9"/>
    <x v="6"/>
    <x v="4"/>
    <x v="0"/>
    <x v="0"/>
    <x v="1"/>
    <x v="0"/>
    <n v="1"/>
    <n v="19"/>
    <n v="1605"/>
    <n v="0"/>
    <n v="5"/>
    <s v="Recovered"/>
    <n v="1"/>
  </r>
  <r>
    <s v="ADM-244840"/>
    <d v="2025-10-05T00:00:00"/>
    <d v="2025-10-08T00:00:00"/>
    <x v="1"/>
    <s v="Q4"/>
    <x v="9"/>
    <x v="6"/>
    <x v="3"/>
    <x v="2"/>
    <x v="1"/>
    <x v="3"/>
    <x v="2"/>
    <n v="3"/>
    <m/>
    <n v="2710"/>
    <n v="0"/>
    <n v="4"/>
    <s v="Recovered"/>
    <n v="1"/>
  </r>
  <r>
    <s v="ADM-244841"/>
    <d v="2025-10-05T00:00:00"/>
    <d v="2025-10-07T00:00:00"/>
    <x v="1"/>
    <s v="Q4"/>
    <x v="9"/>
    <x v="6"/>
    <x v="2"/>
    <x v="0"/>
    <x v="0"/>
    <x v="1"/>
    <x v="0"/>
    <n v="2"/>
    <n v="58"/>
    <n v="2236"/>
    <n v="0"/>
    <n v="4"/>
    <s v="Deceased"/>
    <n v="1"/>
  </r>
  <r>
    <s v="ADM-244842"/>
    <d v="2025-10-06T00:00:00"/>
    <d v="2025-10-12T00:00:00"/>
    <x v="1"/>
    <s v="Q4"/>
    <x v="9"/>
    <x v="0"/>
    <x v="1"/>
    <x v="0"/>
    <x v="0"/>
    <x v="1"/>
    <x v="0"/>
    <n v="6"/>
    <n v="64"/>
    <n v="6801"/>
    <n v="1"/>
    <n v="4"/>
    <s v="Recovered"/>
    <n v="1"/>
  </r>
  <r>
    <s v="ADM-244843"/>
    <d v="2025-10-06T00:00:00"/>
    <d v="2025-10-08T00:00:00"/>
    <x v="1"/>
    <s v="Q4"/>
    <x v="9"/>
    <x v="0"/>
    <x v="2"/>
    <x v="0"/>
    <x v="0"/>
    <x v="2"/>
    <x v="2"/>
    <n v="2"/>
    <n v="30"/>
    <n v="1680"/>
    <n v="0"/>
    <n v="5"/>
    <s v="Deceased"/>
    <n v="1"/>
  </r>
  <r>
    <s v="ADM-244844"/>
    <d v="2025-10-06T00:00:00"/>
    <d v="2025-10-08T00:00:00"/>
    <x v="1"/>
    <s v="Q4"/>
    <x v="9"/>
    <x v="0"/>
    <x v="2"/>
    <x v="2"/>
    <x v="0"/>
    <x v="1"/>
    <x v="0"/>
    <n v="2"/>
    <m/>
    <n v="2183"/>
    <n v="0"/>
    <n v="4"/>
    <s v="Recovered"/>
    <n v="1"/>
  </r>
  <r>
    <s v="ADM-244845"/>
    <d v="2025-10-06T00:00:00"/>
    <d v="2025-10-07T00:00:00"/>
    <x v="1"/>
    <s v="Q4"/>
    <x v="9"/>
    <x v="0"/>
    <x v="1"/>
    <x v="2"/>
    <x v="0"/>
    <x v="2"/>
    <x v="2"/>
    <n v="1"/>
    <m/>
    <n v="2208"/>
    <n v="0"/>
    <n v="5"/>
    <s v="Improved"/>
    <n v="1"/>
  </r>
  <r>
    <s v="ADM-244846"/>
    <d v="2025-10-06T00:00:00"/>
    <d v="2025-10-08T00:00:00"/>
    <x v="1"/>
    <s v="Q4"/>
    <x v="9"/>
    <x v="0"/>
    <x v="5"/>
    <x v="1"/>
    <x v="1"/>
    <x v="1"/>
    <x v="0"/>
    <n v="2"/>
    <m/>
    <n v="2732"/>
    <n v="0"/>
    <n v="5"/>
    <s v="Improved"/>
    <n v="1"/>
  </r>
  <r>
    <s v="ADM-244847"/>
    <d v="2025-10-07T00:00:00"/>
    <d v="2025-10-10T00:00:00"/>
    <x v="1"/>
    <s v="Q4"/>
    <x v="9"/>
    <x v="1"/>
    <x v="1"/>
    <x v="2"/>
    <x v="0"/>
    <x v="4"/>
    <x v="2"/>
    <n v="3"/>
    <m/>
    <n v="3875"/>
    <n v="0"/>
    <n v="4"/>
    <s v="Improved"/>
    <n v="1"/>
  </r>
  <r>
    <s v="ADM-244848"/>
    <d v="2025-10-07T00:00:00"/>
    <d v="2025-10-08T00:00:00"/>
    <x v="1"/>
    <s v="Q4"/>
    <x v="9"/>
    <x v="1"/>
    <x v="2"/>
    <x v="2"/>
    <x v="0"/>
    <x v="1"/>
    <x v="1"/>
    <n v="1"/>
    <m/>
    <n v="1590"/>
    <n v="0"/>
    <n v="5"/>
    <s v="Improved"/>
    <n v="1"/>
  </r>
  <r>
    <s v="ADM-244849"/>
    <d v="2025-10-07T00:00:00"/>
    <d v="2025-10-08T00:00:00"/>
    <x v="1"/>
    <s v="Q4"/>
    <x v="9"/>
    <x v="1"/>
    <x v="2"/>
    <x v="1"/>
    <x v="0"/>
    <x v="1"/>
    <x v="2"/>
    <n v="1"/>
    <m/>
    <n v="2160"/>
    <n v="0"/>
    <n v="4"/>
    <s v="Recovered"/>
    <n v="1"/>
  </r>
  <r>
    <s v="ADM-244850"/>
    <d v="2025-10-07T00:00:00"/>
    <d v="2025-10-23T00:00:00"/>
    <x v="1"/>
    <s v="Q4"/>
    <x v="9"/>
    <x v="1"/>
    <x v="0"/>
    <x v="0"/>
    <x v="0"/>
    <x v="2"/>
    <x v="1"/>
    <n v="16"/>
    <n v="27"/>
    <n v="10867"/>
    <n v="0"/>
    <n v="4"/>
    <s v="Recovered"/>
    <n v="1"/>
  </r>
  <r>
    <s v="ADM-244851"/>
    <d v="2025-10-07T00:00:00"/>
    <d v="2025-10-25T00:00:00"/>
    <x v="1"/>
    <s v="Q4"/>
    <x v="9"/>
    <x v="1"/>
    <x v="0"/>
    <x v="0"/>
    <x v="1"/>
    <x v="0"/>
    <x v="0"/>
    <n v="18"/>
    <n v="56"/>
    <n v="12725"/>
    <n v="0"/>
    <n v="4"/>
    <s v="Improved"/>
    <n v="1"/>
  </r>
  <r>
    <s v="ADM-244852"/>
    <d v="2025-10-07T00:00:00"/>
    <d v="2025-10-10T00:00:00"/>
    <x v="1"/>
    <s v="Q4"/>
    <x v="9"/>
    <x v="1"/>
    <x v="5"/>
    <x v="2"/>
    <x v="1"/>
    <x v="2"/>
    <x v="0"/>
    <n v="3"/>
    <m/>
    <n v="3473"/>
    <n v="0"/>
    <n v="4"/>
    <s v="Recovered"/>
    <n v="1"/>
  </r>
  <r>
    <s v="ADM-244853"/>
    <d v="2025-10-07T00:00:00"/>
    <d v="2025-10-10T00:00:00"/>
    <x v="1"/>
    <s v="Q4"/>
    <x v="9"/>
    <x v="1"/>
    <x v="3"/>
    <x v="2"/>
    <x v="0"/>
    <x v="3"/>
    <x v="0"/>
    <n v="3"/>
    <m/>
    <n v="2207"/>
    <n v="0"/>
    <n v="4"/>
    <s v="Recovered"/>
    <n v="1"/>
  </r>
  <r>
    <s v="ADM-244854"/>
    <d v="2025-10-08T00:00:00"/>
    <d v="2025-10-09T00:00:00"/>
    <x v="1"/>
    <s v="Q4"/>
    <x v="9"/>
    <x v="2"/>
    <x v="4"/>
    <x v="2"/>
    <x v="1"/>
    <x v="2"/>
    <x v="2"/>
    <n v="1"/>
    <m/>
    <n v="2122"/>
    <n v="0"/>
    <n v="4"/>
    <s v="Recovered"/>
    <n v="1"/>
  </r>
  <r>
    <s v="ADM-244855"/>
    <d v="2025-10-08T00:00:00"/>
    <d v="2025-10-21T00:00:00"/>
    <x v="1"/>
    <s v="Q4"/>
    <x v="9"/>
    <x v="2"/>
    <x v="4"/>
    <x v="0"/>
    <x v="0"/>
    <x v="4"/>
    <x v="2"/>
    <n v="13"/>
    <n v="12"/>
    <n v="13452"/>
    <n v="1"/>
    <n v="3"/>
    <s v="Recovered"/>
    <n v="1"/>
  </r>
  <r>
    <s v="ADM-244856"/>
    <d v="2025-10-08T00:00:00"/>
    <d v="2025-10-15T00:00:00"/>
    <x v="1"/>
    <s v="Q4"/>
    <x v="9"/>
    <x v="2"/>
    <x v="3"/>
    <x v="0"/>
    <x v="1"/>
    <x v="3"/>
    <x v="0"/>
    <n v="7"/>
    <n v="32"/>
    <n v="5379"/>
    <n v="0"/>
    <n v="4"/>
    <s v="Recovered"/>
    <n v="1"/>
  </r>
  <r>
    <s v="ADM-244857"/>
    <d v="2025-10-08T00:00:00"/>
    <d v="2025-10-13T00:00:00"/>
    <x v="1"/>
    <s v="Q4"/>
    <x v="9"/>
    <x v="2"/>
    <x v="0"/>
    <x v="0"/>
    <x v="0"/>
    <x v="2"/>
    <x v="0"/>
    <n v="5"/>
    <n v="39"/>
    <n v="4051"/>
    <n v="0"/>
    <n v="3"/>
    <s v="Recovered"/>
    <n v="1"/>
  </r>
  <r>
    <s v="ADM-244858"/>
    <d v="2025-10-08T00:00:00"/>
    <d v="2025-10-09T00:00:00"/>
    <x v="1"/>
    <s v="Q4"/>
    <x v="9"/>
    <x v="2"/>
    <x v="4"/>
    <x v="0"/>
    <x v="1"/>
    <x v="0"/>
    <x v="1"/>
    <n v="1"/>
    <n v="30"/>
    <n v="1420"/>
    <n v="1"/>
    <n v="4"/>
    <s v="Recovered"/>
    <n v="1"/>
  </r>
  <r>
    <s v="ADM-244859"/>
    <d v="2025-10-09T00:00:00"/>
    <d v="2025-10-30T00:00:00"/>
    <x v="1"/>
    <s v="Q4"/>
    <x v="9"/>
    <x v="3"/>
    <x v="0"/>
    <x v="0"/>
    <x v="1"/>
    <x v="0"/>
    <x v="2"/>
    <n v="21"/>
    <n v="12"/>
    <n v="12810"/>
    <n v="0"/>
    <n v="4"/>
    <s v="Recovered"/>
    <n v="1"/>
  </r>
  <r>
    <s v="ADM-244860"/>
    <d v="2025-10-09T00:00:00"/>
    <d v="2025-10-11T00:00:00"/>
    <x v="1"/>
    <s v="Q4"/>
    <x v="9"/>
    <x v="3"/>
    <x v="5"/>
    <x v="2"/>
    <x v="0"/>
    <x v="2"/>
    <x v="0"/>
    <n v="2"/>
    <m/>
    <n v="3803"/>
    <n v="1"/>
    <n v="4"/>
    <s v="Recovered"/>
    <n v="1"/>
  </r>
  <r>
    <s v="ADM-244861"/>
    <d v="2025-10-09T00:00:00"/>
    <d v="2025-10-13T00:00:00"/>
    <x v="1"/>
    <s v="Q4"/>
    <x v="9"/>
    <x v="3"/>
    <x v="1"/>
    <x v="2"/>
    <x v="0"/>
    <x v="0"/>
    <x v="2"/>
    <n v="4"/>
    <m/>
    <n v="3216"/>
    <n v="0"/>
    <n v="4"/>
    <s v="Recovered"/>
    <n v="1"/>
  </r>
  <r>
    <s v="ADM-244862"/>
    <d v="2025-10-09T00:00:00"/>
    <d v="2025-10-11T00:00:00"/>
    <x v="1"/>
    <s v="Q4"/>
    <x v="9"/>
    <x v="3"/>
    <x v="2"/>
    <x v="0"/>
    <x v="0"/>
    <x v="1"/>
    <x v="0"/>
    <n v="2"/>
    <n v="73"/>
    <n v="2271"/>
    <n v="0"/>
    <n v="4"/>
    <s v="Improved"/>
    <n v="1"/>
  </r>
  <r>
    <s v="ADM-244863"/>
    <d v="2025-10-09T00:00:00"/>
    <d v="2025-10-20T00:00:00"/>
    <x v="1"/>
    <s v="Q4"/>
    <x v="9"/>
    <x v="3"/>
    <x v="0"/>
    <x v="0"/>
    <x v="1"/>
    <x v="0"/>
    <x v="0"/>
    <n v="11"/>
    <n v="25"/>
    <n v="9142"/>
    <n v="0"/>
    <n v="4"/>
    <s v="Transferred"/>
    <n v="1"/>
  </r>
  <r>
    <s v="ADM-244864"/>
    <d v="2025-10-09T00:00:00"/>
    <d v="2025-10-11T00:00:00"/>
    <x v="1"/>
    <s v="Q4"/>
    <x v="9"/>
    <x v="3"/>
    <x v="0"/>
    <x v="0"/>
    <x v="1"/>
    <x v="1"/>
    <x v="2"/>
    <n v="2"/>
    <n v="50"/>
    <n v="2010"/>
    <n v="0"/>
    <n v="4"/>
    <s v="Improved"/>
    <n v="1"/>
  </r>
  <r>
    <s v="ADM-244865"/>
    <d v="2025-10-09T00:00:00"/>
    <d v="2025-10-14T00:00:00"/>
    <x v="1"/>
    <s v="Q4"/>
    <x v="9"/>
    <x v="3"/>
    <x v="1"/>
    <x v="0"/>
    <x v="1"/>
    <x v="1"/>
    <x v="0"/>
    <n v="5"/>
    <n v="30"/>
    <n v="7225"/>
    <n v="0"/>
    <n v="5"/>
    <s v="Recovered"/>
    <n v="1"/>
  </r>
  <r>
    <s v="ADM-244866"/>
    <d v="2025-10-09T00:00:00"/>
    <d v="2025-10-15T00:00:00"/>
    <x v="1"/>
    <s v="Q4"/>
    <x v="9"/>
    <x v="3"/>
    <x v="2"/>
    <x v="0"/>
    <x v="0"/>
    <x v="1"/>
    <x v="2"/>
    <n v="6"/>
    <n v="39"/>
    <n v="4565"/>
    <n v="0"/>
    <n v="4"/>
    <s v="Recovered"/>
    <n v="1"/>
  </r>
  <r>
    <s v="ADM-244867"/>
    <d v="2025-10-09T00:00:00"/>
    <d v="2025-10-10T00:00:00"/>
    <x v="1"/>
    <s v="Q4"/>
    <x v="9"/>
    <x v="3"/>
    <x v="4"/>
    <x v="2"/>
    <x v="0"/>
    <x v="4"/>
    <x v="1"/>
    <n v="1"/>
    <m/>
    <n v="2066"/>
    <n v="0"/>
    <n v="5"/>
    <s v="Recovered"/>
    <n v="1"/>
  </r>
  <r>
    <s v="ADM-244868"/>
    <d v="2025-10-09T00:00:00"/>
    <d v="2025-10-12T00:00:00"/>
    <x v="1"/>
    <s v="Q4"/>
    <x v="9"/>
    <x v="3"/>
    <x v="0"/>
    <x v="2"/>
    <x v="0"/>
    <x v="4"/>
    <x v="0"/>
    <n v="3"/>
    <m/>
    <n v="2619"/>
    <n v="0"/>
    <n v="4"/>
    <s v="Recovered"/>
    <n v="1"/>
  </r>
  <r>
    <s v="ADM-244869"/>
    <d v="2025-10-10T00:00:00"/>
    <d v="2025-10-11T00:00:00"/>
    <x v="1"/>
    <s v="Q4"/>
    <x v="9"/>
    <x v="4"/>
    <x v="3"/>
    <x v="0"/>
    <x v="1"/>
    <x v="3"/>
    <x v="0"/>
    <n v="1"/>
    <n v="68"/>
    <n v="1373"/>
    <n v="0"/>
    <n v="4"/>
    <s v="Recovered"/>
    <n v="1"/>
  </r>
  <r>
    <s v="ADM-244870"/>
    <d v="2025-10-10T00:00:00"/>
    <d v="2025-10-30T00:00:00"/>
    <x v="1"/>
    <s v="Q4"/>
    <x v="9"/>
    <x v="4"/>
    <x v="1"/>
    <x v="0"/>
    <x v="0"/>
    <x v="0"/>
    <x v="0"/>
    <n v="20"/>
    <n v="43"/>
    <n v="22084"/>
    <n v="0"/>
    <n v="3"/>
    <s v="Recovered"/>
    <n v="1"/>
  </r>
  <r>
    <s v="ADM-244871"/>
    <d v="2025-10-10T00:00:00"/>
    <d v="2025-10-21T00:00:00"/>
    <x v="1"/>
    <s v="Q4"/>
    <x v="9"/>
    <x v="4"/>
    <x v="0"/>
    <x v="0"/>
    <x v="1"/>
    <x v="2"/>
    <x v="0"/>
    <n v="11"/>
    <n v="13"/>
    <n v="6736"/>
    <n v="0"/>
    <n v="5"/>
    <s v="Recovered"/>
    <n v="1"/>
  </r>
  <r>
    <s v="ADM-244872"/>
    <d v="2025-10-10T00:00:00"/>
    <d v="2025-10-14T00:00:00"/>
    <x v="1"/>
    <s v="Q4"/>
    <x v="9"/>
    <x v="4"/>
    <x v="5"/>
    <x v="2"/>
    <x v="1"/>
    <x v="0"/>
    <x v="2"/>
    <n v="4"/>
    <m/>
    <n v="4342"/>
    <n v="0"/>
    <n v="4"/>
    <s v="Recovered"/>
    <n v="1"/>
  </r>
  <r>
    <s v="ADM-244873"/>
    <d v="2025-10-10T00:00:00"/>
    <d v="2025-10-13T00:00:00"/>
    <x v="1"/>
    <s v="Q4"/>
    <x v="9"/>
    <x v="4"/>
    <x v="0"/>
    <x v="0"/>
    <x v="0"/>
    <x v="4"/>
    <x v="0"/>
    <n v="3"/>
    <n v="85"/>
    <n v="3201"/>
    <n v="0"/>
    <n v="3"/>
    <s v="Recovered"/>
    <n v="1"/>
  </r>
  <r>
    <s v="ADM-244874"/>
    <d v="2025-10-10T00:00:00"/>
    <d v="2025-10-15T00:00:00"/>
    <x v="1"/>
    <s v="Q4"/>
    <x v="9"/>
    <x v="4"/>
    <x v="5"/>
    <x v="2"/>
    <x v="0"/>
    <x v="2"/>
    <x v="1"/>
    <n v="5"/>
    <m/>
    <n v="4861"/>
    <n v="0"/>
    <n v="4"/>
    <s v="Deceased"/>
    <n v="1"/>
  </r>
  <r>
    <s v="ADM-244875"/>
    <d v="2025-10-11T00:00:00"/>
    <d v="2025-10-19T00:00:00"/>
    <x v="1"/>
    <s v="Q4"/>
    <x v="9"/>
    <x v="5"/>
    <x v="0"/>
    <x v="0"/>
    <x v="1"/>
    <x v="0"/>
    <x v="1"/>
    <n v="8"/>
    <n v="83"/>
    <n v="6009"/>
    <n v="0"/>
    <n v="4"/>
    <s v="Transferred"/>
    <n v="1"/>
  </r>
  <r>
    <s v="ADM-244876"/>
    <d v="2025-10-11T00:00:00"/>
    <d v="2025-10-15T00:00:00"/>
    <x v="1"/>
    <s v="Q4"/>
    <x v="9"/>
    <x v="5"/>
    <x v="2"/>
    <x v="1"/>
    <x v="0"/>
    <x v="2"/>
    <x v="0"/>
    <n v="4"/>
    <m/>
    <n v="4062"/>
    <n v="0"/>
    <n v="4"/>
    <s v="Improved"/>
    <n v="1"/>
  </r>
  <r>
    <s v="ADM-244877"/>
    <d v="2025-10-11T00:00:00"/>
    <d v="2025-10-14T00:00:00"/>
    <x v="1"/>
    <s v="Q4"/>
    <x v="9"/>
    <x v="5"/>
    <x v="4"/>
    <x v="0"/>
    <x v="1"/>
    <x v="1"/>
    <x v="2"/>
    <n v="3"/>
    <n v="69"/>
    <n v="3888"/>
    <n v="0"/>
    <n v="5"/>
    <s v="Improved"/>
    <n v="1"/>
  </r>
  <r>
    <s v="ADM-244878"/>
    <d v="2025-10-11T00:00:00"/>
    <d v="2025-10-18T00:00:00"/>
    <x v="1"/>
    <s v="Q4"/>
    <x v="9"/>
    <x v="5"/>
    <x v="3"/>
    <x v="0"/>
    <x v="0"/>
    <x v="3"/>
    <x v="2"/>
    <n v="7"/>
    <n v="99"/>
    <n v="3557"/>
    <n v="0"/>
    <n v="4"/>
    <s v="Recovered"/>
    <n v="1"/>
  </r>
  <r>
    <s v="ADM-244879"/>
    <d v="2025-10-11T00:00:00"/>
    <d v="2025-10-14T00:00:00"/>
    <x v="1"/>
    <s v="Q4"/>
    <x v="9"/>
    <x v="5"/>
    <x v="1"/>
    <x v="2"/>
    <x v="0"/>
    <x v="1"/>
    <x v="2"/>
    <n v="3"/>
    <m/>
    <n v="3570"/>
    <n v="0"/>
    <n v="4"/>
    <s v="Recovered"/>
    <n v="1"/>
  </r>
  <r>
    <s v="ADM-244880"/>
    <d v="2025-10-12T00:00:00"/>
    <d v="2025-10-16T00:00:00"/>
    <x v="1"/>
    <s v="Q4"/>
    <x v="9"/>
    <x v="6"/>
    <x v="1"/>
    <x v="2"/>
    <x v="0"/>
    <x v="1"/>
    <x v="0"/>
    <n v="4"/>
    <m/>
    <n v="4176"/>
    <n v="0"/>
    <n v="4"/>
    <s v="Transferred"/>
    <n v="1"/>
  </r>
  <r>
    <s v="ADM-244881"/>
    <d v="2025-10-12T00:00:00"/>
    <d v="2025-10-13T00:00:00"/>
    <x v="1"/>
    <s v="Q4"/>
    <x v="9"/>
    <x v="6"/>
    <x v="2"/>
    <x v="0"/>
    <x v="0"/>
    <x v="1"/>
    <x v="2"/>
    <n v="1"/>
    <n v="50"/>
    <n v="1615"/>
    <n v="0"/>
    <n v="4"/>
    <s v="Recovered"/>
    <n v="1"/>
  </r>
  <r>
    <s v="ADM-244882"/>
    <d v="2025-10-12T00:00:00"/>
    <d v="2025-10-16T00:00:00"/>
    <x v="1"/>
    <s v="Q4"/>
    <x v="9"/>
    <x v="6"/>
    <x v="3"/>
    <x v="0"/>
    <x v="0"/>
    <x v="3"/>
    <x v="2"/>
    <n v="4"/>
    <n v="56"/>
    <n v="2268"/>
    <n v="0"/>
    <n v="4"/>
    <s v="Recovered"/>
    <n v="1"/>
  </r>
  <r>
    <s v="ADM-244883"/>
    <d v="2025-10-12T00:00:00"/>
    <d v="2025-10-20T00:00:00"/>
    <x v="1"/>
    <s v="Q4"/>
    <x v="9"/>
    <x v="6"/>
    <x v="2"/>
    <x v="0"/>
    <x v="0"/>
    <x v="2"/>
    <x v="2"/>
    <n v="8"/>
    <n v="34"/>
    <n v="7029"/>
    <n v="1"/>
    <n v="4"/>
    <s v="Improved"/>
    <n v="1"/>
  </r>
  <r>
    <s v="ADM-244884"/>
    <d v="2025-10-12T00:00:00"/>
    <d v="2025-10-13T00:00:00"/>
    <x v="1"/>
    <s v="Q4"/>
    <x v="9"/>
    <x v="6"/>
    <x v="2"/>
    <x v="2"/>
    <x v="0"/>
    <x v="2"/>
    <x v="1"/>
    <n v="1"/>
    <m/>
    <n v="1502"/>
    <n v="0"/>
    <n v="5"/>
    <s v="Recovered"/>
    <n v="1"/>
  </r>
  <r>
    <s v="ADM-244885"/>
    <d v="2025-10-13T00:00:00"/>
    <d v="2025-10-17T00:00:00"/>
    <x v="1"/>
    <s v="Q4"/>
    <x v="9"/>
    <x v="0"/>
    <x v="4"/>
    <x v="0"/>
    <x v="1"/>
    <x v="0"/>
    <x v="2"/>
    <n v="4"/>
    <n v="32"/>
    <n v="4917"/>
    <n v="0"/>
    <n v="4"/>
    <s v="Improved"/>
    <n v="1"/>
  </r>
  <r>
    <s v="ADM-244886"/>
    <d v="2025-10-13T00:00:00"/>
    <d v="2025-10-18T00:00:00"/>
    <x v="1"/>
    <s v="Q4"/>
    <x v="9"/>
    <x v="0"/>
    <x v="1"/>
    <x v="2"/>
    <x v="0"/>
    <x v="0"/>
    <x v="1"/>
    <n v="5"/>
    <m/>
    <n v="5193"/>
    <n v="1"/>
    <n v="4"/>
    <s v="Recovered"/>
    <n v="1"/>
  </r>
  <r>
    <s v="ADM-244887"/>
    <d v="2025-10-13T00:00:00"/>
    <d v="2025-10-18T00:00:00"/>
    <x v="1"/>
    <s v="Q4"/>
    <x v="9"/>
    <x v="0"/>
    <x v="4"/>
    <x v="0"/>
    <x v="0"/>
    <x v="4"/>
    <x v="0"/>
    <n v="5"/>
    <n v="28"/>
    <n v="6584"/>
    <n v="1"/>
    <n v="4"/>
    <s v="Recovered"/>
    <n v="1"/>
  </r>
  <r>
    <s v="ADM-244888"/>
    <d v="2025-10-13T00:00:00"/>
    <d v="2025-10-14T00:00:00"/>
    <x v="1"/>
    <s v="Q4"/>
    <x v="9"/>
    <x v="0"/>
    <x v="5"/>
    <x v="2"/>
    <x v="1"/>
    <x v="0"/>
    <x v="2"/>
    <n v="1"/>
    <m/>
    <n v="2098"/>
    <n v="0"/>
    <n v="5"/>
    <s v="Improved"/>
    <n v="1"/>
  </r>
  <r>
    <s v="ADM-244889"/>
    <d v="2025-10-13T00:00:00"/>
    <d v="2025-10-15T00:00:00"/>
    <x v="1"/>
    <s v="Q4"/>
    <x v="9"/>
    <x v="0"/>
    <x v="0"/>
    <x v="1"/>
    <x v="1"/>
    <x v="2"/>
    <x v="1"/>
    <n v="2"/>
    <m/>
    <n v="2097"/>
    <n v="1"/>
    <n v="3"/>
    <s v="Recovered"/>
    <n v="1"/>
  </r>
  <r>
    <s v="ADM-244890"/>
    <d v="2025-10-13T00:00:00"/>
    <d v="2025-10-17T00:00:00"/>
    <x v="1"/>
    <s v="Q4"/>
    <x v="9"/>
    <x v="0"/>
    <x v="3"/>
    <x v="0"/>
    <x v="1"/>
    <x v="3"/>
    <x v="0"/>
    <n v="4"/>
    <n v="53"/>
    <n v="3755"/>
    <n v="0"/>
    <n v="4"/>
    <s v="Recovered"/>
    <n v="1"/>
  </r>
  <r>
    <s v="ADM-244891"/>
    <d v="2025-10-13T00:00:00"/>
    <d v="2025-10-21T00:00:00"/>
    <x v="1"/>
    <s v="Q4"/>
    <x v="9"/>
    <x v="0"/>
    <x v="5"/>
    <x v="2"/>
    <x v="1"/>
    <x v="0"/>
    <x v="2"/>
    <n v="8"/>
    <m/>
    <n v="7533"/>
    <n v="0"/>
    <n v="4"/>
    <s v="Recovered"/>
    <n v="1"/>
  </r>
  <r>
    <s v="ADM-244892"/>
    <d v="2025-10-14T00:00:00"/>
    <d v="2025-10-16T00:00:00"/>
    <x v="1"/>
    <s v="Q4"/>
    <x v="9"/>
    <x v="1"/>
    <x v="0"/>
    <x v="1"/>
    <x v="0"/>
    <x v="4"/>
    <x v="0"/>
    <n v="2"/>
    <m/>
    <n v="2357"/>
    <n v="1"/>
    <n v="3"/>
    <s v="Improved"/>
    <n v="1"/>
  </r>
  <r>
    <s v="ADM-244893"/>
    <d v="2025-10-14T00:00:00"/>
    <d v="2025-10-17T00:00:00"/>
    <x v="1"/>
    <s v="Q4"/>
    <x v="9"/>
    <x v="1"/>
    <x v="1"/>
    <x v="2"/>
    <x v="1"/>
    <x v="4"/>
    <x v="2"/>
    <n v="3"/>
    <m/>
    <n v="3312"/>
    <n v="0"/>
    <n v="5"/>
    <s v="Recovered"/>
    <n v="1"/>
  </r>
  <r>
    <s v="ADM-244894"/>
    <d v="2025-10-14T00:00:00"/>
    <d v="2025-10-21T00:00:00"/>
    <x v="1"/>
    <s v="Q4"/>
    <x v="9"/>
    <x v="1"/>
    <x v="4"/>
    <x v="0"/>
    <x v="0"/>
    <x v="0"/>
    <x v="0"/>
    <n v="7"/>
    <n v="53"/>
    <n v="8819"/>
    <n v="0"/>
    <n v="3"/>
    <s v="Recovered"/>
    <n v="1"/>
  </r>
  <r>
    <s v="ADM-244895"/>
    <d v="2025-10-14T00:00:00"/>
    <d v="2025-10-25T00:00:00"/>
    <x v="1"/>
    <s v="Q4"/>
    <x v="9"/>
    <x v="1"/>
    <x v="0"/>
    <x v="0"/>
    <x v="0"/>
    <x v="4"/>
    <x v="2"/>
    <n v="11"/>
    <n v="50"/>
    <n v="7903"/>
    <n v="0"/>
    <n v="5"/>
    <s v="Improved"/>
    <n v="1"/>
  </r>
  <r>
    <s v="ADM-244896"/>
    <d v="2025-10-14T00:00:00"/>
    <d v="2025-10-16T00:00:00"/>
    <x v="1"/>
    <s v="Q4"/>
    <x v="9"/>
    <x v="1"/>
    <x v="5"/>
    <x v="2"/>
    <x v="0"/>
    <x v="0"/>
    <x v="0"/>
    <n v="2"/>
    <m/>
    <n v="2682"/>
    <n v="0"/>
    <n v="4"/>
    <s v="Transferred"/>
    <n v="1"/>
  </r>
  <r>
    <s v="ADM-244897"/>
    <d v="2025-10-14T00:00:00"/>
    <d v="2025-10-15T00:00:00"/>
    <x v="1"/>
    <s v="Q4"/>
    <x v="9"/>
    <x v="1"/>
    <x v="3"/>
    <x v="2"/>
    <x v="0"/>
    <x v="3"/>
    <x v="2"/>
    <n v="1"/>
    <m/>
    <n v="1233"/>
    <n v="0"/>
    <n v="4"/>
    <s v="Recovered"/>
    <n v="1"/>
  </r>
  <r>
    <s v="ADM-244898"/>
    <d v="2025-10-14T00:00:00"/>
    <d v="2025-10-15T00:00:00"/>
    <x v="1"/>
    <s v="Q4"/>
    <x v="9"/>
    <x v="1"/>
    <x v="2"/>
    <x v="0"/>
    <x v="0"/>
    <x v="2"/>
    <x v="0"/>
    <n v="1"/>
    <n v="25"/>
    <n v="1189"/>
    <n v="0"/>
    <n v="4"/>
    <s v="Recovered"/>
    <n v="1"/>
  </r>
  <r>
    <s v="ADM-244899"/>
    <d v="2025-10-14T00:00:00"/>
    <d v="2025-10-17T00:00:00"/>
    <x v="1"/>
    <s v="Q4"/>
    <x v="9"/>
    <x v="1"/>
    <x v="3"/>
    <x v="0"/>
    <x v="0"/>
    <x v="3"/>
    <x v="0"/>
    <n v="3"/>
    <n v="86"/>
    <n v="2769"/>
    <n v="0"/>
    <n v="4"/>
    <s v="Transferred"/>
    <n v="1"/>
  </r>
  <r>
    <s v="ADM-244900"/>
    <d v="2025-10-14T00:00:00"/>
    <d v="2025-10-16T00:00:00"/>
    <x v="1"/>
    <s v="Q4"/>
    <x v="9"/>
    <x v="1"/>
    <x v="5"/>
    <x v="2"/>
    <x v="0"/>
    <x v="0"/>
    <x v="2"/>
    <n v="2"/>
    <m/>
    <n v="3145"/>
    <n v="0"/>
    <n v="5"/>
    <s v="Recovered"/>
    <n v="1"/>
  </r>
  <r>
    <s v="ADM-244901"/>
    <d v="2025-10-14T00:00:00"/>
    <d v="2025-10-28T00:00:00"/>
    <x v="1"/>
    <s v="Q4"/>
    <x v="9"/>
    <x v="1"/>
    <x v="0"/>
    <x v="0"/>
    <x v="1"/>
    <x v="4"/>
    <x v="2"/>
    <n v="14"/>
    <n v="74"/>
    <n v="11368"/>
    <n v="0"/>
    <n v="4"/>
    <s v="Deceased"/>
    <n v="1"/>
  </r>
  <r>
    <s v="ADM-244902"/>
    <d v="2025-10-15T00:00:00"/>
    <d v="2025-10-19T00:00:00"/>
    <x v="1"/>
    <s v="Q4"/>
    <x v="9"/>
    <x v="2"/>
    <x v="3"/>
    <x v="1"/>
    <x v="1"/>
    <x v="3"/>
    <x v="1"/>
    <n v="4"/>
    <m/>
    <n v="3341"/>
    <n v="0"/>
    <n v="4"/>
    <s v="Recovered"/>
    <n v="1"/>
  </r>
  <r>
    <s v="ADM-244903"/>
    <d v="2025-10-15T00:00:00"/>
    <d v="2025-10-17T00:00:00"/>
    <x v="1"/>
    <s v="Q4"/>
    <x v="9"/>
    <x v="2"/>
    <x v="4"/>
    <x v="1"/>
    <x v="0"/>
    <x v="0"/>
    <x v="0"/>
    <n v="2"/>
    <m/>
    <n v="2169"/>
    <n v="0"/>
    <n v="4"/>
    <s v="Recovered"/>
    <n v="1"/>
  </r>
  <r>
    <s v="ADM-244904"/>
    <d v="2025-10-15T00:00:00"/>
    <d v="2025-10-16T00:00:00"/>
    <x v="1"/>
    <s v="Q4"/>
    <x v="9"/>
    <x v="2"/>
    <x v="1"/>
    <x v="0"/>
    <x v="0"/>
    <x v="1"/>
    <x v="0"/>
    <n v="1"/>
    <n v="52"/>
    <n v="1553"/>
    <n v="0"/>
    <n v="5"/>
    <s v="Transferred"/>
    <n v="1"/>
  </r>
  <r>
    <s v="ADM-244905"/>
    <d v="2025-10-15T00:00:00"/>
    <d v="2025-10-24T00:00:00"/>
    <x v="1"/>
    <s v="Q4"/>
    <x v="9"/>
    <x v="2"/>
    <x v="0"/>
    <x v="1"/>
    <x v="0"/>
    <x v="0"/>
    <x v="1"/>
    <n v="9"/>
    <m/>
    <n v="4292"/>
    <n v="0"/>
    <n v="5"/>
    <s v="Recovered"/>
    <n v="1"/>
  </r>
  <r>
    <s v="ADM-244906"/>
    <d v="2025-10-15T00:00:00"/>
    <d v="2025-10-18T00:00:00"/>
    <x v="1"/>
    <s v="Q4"/>
    <x v="9"/>
    <x v="2"/>
    <x v="1"/>
    <x v="2"/>
    <x v="1"/>
    <x v="4"/>
    <x v="2"/>
    <n v="3"/>
    <m/>
    <n v="3564"/>
    <n v="0"/>
    <n v="4"/>
    <s v="Improved"/>
    <n v="1"/>
  </r>
  <r>
    <s v="ADM-244907"/>
    <d v="2025-10-15T00:00:00"/>
    <d v="2025-10-18T00:00:00"/>
    <x v="1"/>
    <s v="Q4"/>
    <x v="9"/>
    <x v="2"/>
    <x v="0"/>
    <x v="0"/>
    <x v="0"/>
    <x v="4"/>
    <x v="0"/>
    <n v="3"/>
    <n v="50"/>
    <n v="2304"/>
    <n v="0"/>
    <n v="4"/>
    <s v="Improved"/>
    <n v="1"/>
  </r>
  <r>
    <s v="ADM-244908"/>
    <d v="2025-10-15T00:00:00"/>
    <d v="2025-10-28T00:00:00"/>
    <x v="1"/>
    <s v="Q4"/>
    <x v="9"/>
    <x v="2"/>
    <x v="4"/>
    <x v="0"/>
    <x v="0"/>
    <x v="0"/>
    <x v="2"/>
    <n v="13"/>
    <n v="42"/>
    <n v="13154"/>
    <n v="0"/>
    <n v="4"/>
    <s v="Recovered"/>
    <n v="1"/>
  </r>
  <r>
    <s v="ADM-244909"/>
    <d v="2025-10-16T00:00:00"/>
    <d v="2025-10-17T00:00:00"/>
    <x v="1"/>
    <s v="Q4"/>
    <x v="9"/>
    <x v="3"/>
    <x v="3"/>
    <x v="0"/>
    <x v="0"/>
    <x v="3"/>
    <x v="2"/>
    <n v="1"/>
    <n v="24"/>
    <n v="1523"/>
    <n v="0"/>
    <n v="5"/>
    <s v="Recovered"/>
    <n v="1"/>
  </r>
  <r>
    <s v="ADM-244910"/>
    <d v="2025-10-16T00:00:00"/>
    <d v="2025-10-19T00:00:00"/>
    <x v="1"/>
    <s v="Q4"/>
    <x v="9"/>
    <x v="3"/>
    <x v="2"/>
    <x v="2"/>
    <x v="0"/>
    <x v="1"/>
    <x v="0"/>
    <n v="3"/>
    <m/>
    <n v="3102"/>
    <n v="0"/>
    <n v="5"/>
    <s v="Improved"/>
    <n v="1"/>
  </r>
  <r>
    <s v="ADM-244911"/>
    <d v="2025-10-16T00:00:00"/>
    <d v="2025-10-17T00:00:00"/>
    <x v="1"/>
    <s v="Q4"/>
    <x v="9"/>
    <x v="3"/>
    <x v="2"/>
    <x v="0"/>
    <x v="0"/>
    <x v="1"/>
    <x v="0"/>
    <n v="1"/>
    <n v="68"/>
    <n v="1065"/>
    <n v="0"/>
    <n v="3"/>
    <s v="Improved"/>
    <n v="1"/>
  </r>
  <r>
    <s v="ADM-244912"/>
    <d v="2025-10-16T00:00:00"/>
    <d v="2025-10-19T00:00:00"/>
    <x v="1"/>
    <s v="Q4"/>
    <x v="9"/>
    <x v="3"/>
    <x v="0"/>
    <x v="2"/>
    <x v="0"/>
    <x v="4"/>
    <x v="2"/>
    <n v="3"/>
    <m/>
    <n v="3080"/>
    <n v="1"/>
    <n v="3"/>
    <s v="Recovered"/>
    <n v="1"/>
  </r>
  <r>
    <s v="ADM-244913"/>
    <d v="2025-10-16T00:00:00"/>
    <d v="2025-10-18T00:00:00"/>
    <x v="1"/>
    <s v="Q4"/>
    <x v="9"/>
    <x v="3"/>
    <x v="3"/>
    <x v="0"/>
    <x v="0"/>
    <x v="3"/>
    <x v="2"/>
    <n v="2"/>
    <n v="35"/>
    <n v="2040"/>
    <n v="0"/>
    <n v="4"/>
    <s v="Improved"/>
    <n v="1"/>
  </r>
  <r>
    <s v="ADM-244914"/>
    <d v="2025-10-16T00:00:00"/>
    <d v="2025-10-19T00:00:00"/>
    <x v="1"/>
    <s v="Q4"/>
    <x v="9"/>
    <x v="3"/>
    <x v="4"/>
    <x v="0"/>
    <x v="0"/>
    <x v="0"/>
    <x v="0"/>
    <n v="3"/>
    <n v="17"/>
    <n v="5622"/>
    <n v="0"/>
    <n v="5"/>
    <s v="Deceased"/>
    <n v="1"/>
  </r>
  <r>
    <s v="ADM-244915"/>
    <d v="2025-10-16T00:00:00"/>
    <d v="2025-10-22T00:00:00"/>
    <x v="1"/>
    <s v="Q4"/>
    <x v="9"/>
    <x v="3"/>
    <x v="0"/>
    <x v="0"/>
    <x v="0"/>
    <x v="0"/>
    <x v="2"/>
    <n v="6"/>
    <n v="43"/>
    <n v="3608"/>
    <n v="1"/>
    <n v="5"/>
    <s v="Improved"/>
    <n v="1"/>
  </r>
  <r>
    <s v="ADM-244916"/>
    <d v="2025-10-17T00:00:00"/>
    <d v="2025-10-22T00:00:00"/>
    <x v="1"/>
    <s v="Q4"/>
    <x v="9"/>
    <x v="4"/>
    <x v="0"/>
    <x v="0"/>
    <x v="1"/>
    <x v="4"/>
    <x v="2"/>
    <n v="5"/>
    <n v="23"/>
    <n v="3173"/>
    <n v="0"/>
    <n v="4"/>
    <s v="Improved"/>
    <n v="1"/>
  </r>
  <r>
    <s v="ADM-244917"/>
    <d v="2025-10-17T00:00:00"/>
    <d v="2025-10-27T00:00:00"/>
    <x v="1"/>
    <s v="Q4"/>
    <x v="9"/>
    <x v="4"/>
    <x v="0"/>
    <x v="0"/>
    <x v="0"/>
    <x v="4"/>
    <x v="0"/>
    <n v="10"/>
    <n v="53"/>
    <n v="7070"/>
    <n v="0"/>
    <n v="4"/>
    <s v="Improved"/>
    <n v="1"/>
  </r>
  <r>
    <s v="ADM-244918"/>
    <d v="2025-10-17T00:00:00"/>
    <d v="2025-10-18T00:00:00"/>
    <x v="1"/>
    <s v="Q4"/>
    <x v="9"/>
    <x v="4"/>
    <x v="5"/>
    <x v="2"/>
    <x v="0"/>
    <x v="2"/>
    <x v="0"/>
    <n v="1"/>
    <m/>
    <n v="2098"/>
    <n v="0"/>
    <n v="5"/>
    <s v="Improved"/>
    <n v="1"/>
  </r>
  <r>
    <s v="ADM-244919"/>
    <d v="2025-10-17T00:00:00"/>
    <d v="2025-10-19T00:00:00"/>
    <x v="1"/>
    <s v="Q4"/>
    <x v="9"/>
    <x v="4"/>
    <x v="2"/>
    <x v="0"/>
    <x v="0"/>
    <x v="1"/>
    <x v="1"/>
    <n v="2"/>
    <n v="55"/>
    <n v="2229"/>
    <n v="0"/>
    <n v="4"/>
    <s v="Improved"/>
    <n v="1"/>
  </r>
  <r>
    <s v="ADM-244920"/>
    <d v="2025-10-17T00:00:00"/>
    <d v="2025-10-26T00:00:00"/>
    <x v="1"/>
    <s v="Q4"/>
    <x v="9"/>
    <x v="4"/>
    <x v="2"/>
    <x v="0"/>
    <x v="0"/>
    <x v="2"/>
    <x v="0"/>
    <n v="9"/>
    <n v="83"/>
    <n v="7292"/>
    <n v="0"/>
    <n v="4"/>
    <s v="Improved"/>
    <n v="1"/>
  </r>
  <r>
    <s v="ADM-244921"/>
    <d v="2025-10-17T00:00:00"/>
    <d v="2025-10-22T00:00:00"/>
    <x v="1"/>
    <s v="Q4"/>
    <x v="9"/>
    <x v="4"/>
    <x v="4"/>
    <x v="0"/>
    <x v="1"/>
    <x v="1"/>
    <x v="0"/>
    <n v="5"/>
    <n v="211"/>
    <n v="8029"/>
    <n v="0"/>
    <n v="3"/>
    <s v="Recovered"/>
    <n v="1"/>
  </r>
  <r>
    <s v="ADM-244922"/>
    <d v="2025-10-17T00:00:00"/>
    <d v="2025-10-22T00:00:00"/>
    <x v="1"/>
    <s v="Q4"/>
    <x v="9"/>
    <x v="4"/>
    <x v="4"/>
    <x v="0"/>
    <x v="1"/>
    <x v="1"/>
    <x v="2"/>
    <n v="5"/>
    <n v="115"/>
    <n v="6151"/>
    <n v="0"/>
    <n v="3"/>
    <s v="Improved"/>
    <n v="1"/>
  </r>
  <r>
    <s v="ADM-244923"/>
    <d v="2025-10-17T00:00:00"/>
    <d v="2025-10-20T00:00:00"/>
    <x v="1"/>
    <s v="Q4"/>
    <x v="9"/>
    <x v="4"/>
    <x v="3"/>
    <x v="0"/>
    <x v="1"/>
    <x v="3"/>
    <x v="2"/>
    <n v="3"/>
    <n v="25"/>
    <n v="2442"/>
    <n v="0"/>
    <n v="3"/>
    <s v="Recovered"/>
    <n v="1"/>
  </r>
  <r>
    <s v="ADM-244924"/>
    <d v="2025-10-18T00:00:00"/>
    <d v="2025-10-20T00:00:00"/>
    <x v="1"/>
    <s v="Q4"/>
    <x v="9"/>
    <x v="5"/>
    <x v="0"/>
    <x v="0"/>
    <x v="1"/>
    <x v="0"/>
    <x v="2"/>
    <n v="2"/>
    <n v="36"/>
    <n v="2179"/>
    <n v="1"/>
    <n v="4"/>
    <s v="Recovered"/>
    <n v="1"/>
  </r>
  <r>
    <s v="ADM-244925"/>
    <d v="2025-10-18T00:00:00"/>
    <d v="2025-10-22T00:00:00"/>
    <x v="1"/>
    <s v="Q4"/>
    <x v="9"/>
    <x v="5"/>
    <x v="5"/>
    <x v="0"/>
    <x v="0"/>
    <x v="1"/>
    <x v="0"/>
    <n v="4"/>
    <n v="116"/>
    <n v="3266"/>
    <n v="0"/>
    <n v="3"/>
    <s v="Recovered"/>
    <n v="1"/>
  </r>
  <r>
    <s v="ADM-244926"/>
    <d v="2025-10-18T00:00:00"/>
    <d v="2025-10-21T00:00:00"/>
    <x v="1"/>
    <s v="Q4"/>
    <x v="9"/>
    <x v="5"/>
    <x v="3"/>
    <x v="2"/>
    <x v="0"/>
    <x v="3"/>
    <x v="2"/>
    <n v="3"/>
    <m/>
    <n v="1697"/>
    <n v="0"/>
    <n v="4"/>
    <s v="Recovered"/>
    <n v="1"/>
  </r>
  <r>
    <s v="ADM-244927"/>
    <d v="2025-10-18T00:00:00"/>
    <d v="2025-10-20T00:00:00"/>
    <x v="1"/>
    <s v="Q4"/>
    <x v="9"/>
    <x v="5"/>
    <x v="5"/>
    <x v="2"/>
    <x v="0"/>
    <x v="0"/>
    <x v="0"/>
    <n v="2"/>
    <m/>
    <n v="2678"/>
    <n v="0"/>
    <n v="5"/>
    <s v="Recovered"/>
    <n v="1"/>
  </r>
  <r>
    <s v="ADM-244928"/>
    <d v="2025-10-18T00:00:00"/>
    <d v="2025-10-19T00:00:00"/>
    <x v="1"/>
    <s v="Q4"/>
    <x v="9"/>
    <x v="5"/>
    <x v="2"/>
    <x v="2"/>
    <x v="0"/>
    <x v="2"/>
    <x v="0"/>
    <n v="1"/>
    <m/>
    <n v="1697"/>
    <n v="0"/>
    <n v="5"/>
    <s v="Improved"/>
    <n v="1"/>
  </r>
  <r>
    <s v="ADM-244929"/>
    <d v="2025-10-18T00:00:00"/>
    <d v="2025-10-20T00:00:00"/>
    <x v="1"/>
    <s v="Q4"/>
    <x v="9"/>
    <x v="5"/>
    <x v="3"/>
    <x v="0"/>
    <x v="0"/>
    <x v="3"/>
    <x v="2"/>
    <n v="2"/>
    <n v="62"/>
    <n v="1963"/>
    <n v="0"/>
    <n v="4"/>
    <s v="Improved"/>
    <n v="1"/>
  </r>
  <r>
    <s v="ADM-244930"/>
    <d v="2025-10-18T00:00:00"/>
    <d v="2025-10-24T00:00:00"/>
    <x v="1"/>
    <s v="Q4"/>
    <x v="9"/>
    <x v="5"/>
    <x v="4"/>
    <x v="1"/>
    <x v="0"/>
    <x v="0"/>
    <x v="0"/>
    <n v="6"/>
    <m/>
    <n v="8278"/>
    <n v="0"/>
    <n v="5"/>
    <s v="Recovered"/>
    <n v="1"/>
  </r>
  <r>
    <s v="ADM-244931"/>
    <d v="2025-10-18T00:00:00"/>
    <d v="2025-10-19T00:00:00"/>
    <x v="1"/>
    <s v="Q4"/>
    <x v="9"/>
    <x v="5"/>
    <x v="3"/>
    <x v="0"/>
    <x v="1"/>
    <x v="3"/>
    <x v="1"/>
    <n v="1"/>
    <n v="40"/>
    <n v="1482"/>
    <n v="0"/>
    <n v="5"/>
    <s v="Recovered"/>
    <n v="1"/>
  </r>
  <r>
    <s v="ADM-244932"/>
    <d v="2025-10-19T00:00:00"/>
    <d v="2025-10-28T00:00:00"/>
    <x v="1"/>
    <s v="Q4"/>
    <x v="9"/>
    <x v="6"/>
    <x v="0"/>
    <x v="0"/>
    <x v="0"/>
    <x v="4"/>
    <x v="0"/>
    <n v="9"/>
    <n v="23"/>
    <n v="6729"/>
    <n v="0"/>
    <n v="4"/>
    <s v="Recovered"/>
    <n v="1"/>
  </r>
  <r>
    <s v="ADM-244933"/>
    <d v="2025-10-19T00:00:00"/>
    <d v="2025-10-20T00:00:00"/>
    <x v="1"/>
    <s v="Q4"/>
    <x v="9"/>
    <x v="6"/>
    <x v="2"/>
    <x v="0"/>
    <x v="0"/>
    <x v="1"/>
    <x v="2"/>
    <n v="1"/>
    <n v="32"/>
    <n v="1585"/>
    <n v="0"/>
    <n v="5"/>
    <s v="Recovered"/>
    <n v="1"/>
  </r>
  <r>
    <s v="ADM-244934"/>
    <d v="2025-10-19T00:00:00"/>
    <d v="2025-10-22T00:00:00"/>
    <x v="1"/>
    <s v="Q4"/>
    <x v="9"/>
    <x v="6"/>
    <x v="0"/>
    <x v="0"/>
    <x v="0"/>
    <x v="0"/>
    <x v="2"/>
    <n v="3"/>
    <n v="42"/>
    <n v="2653"/>
    <n v="1"/>
    <n v="4"/>
    <s v="Improved"/>
    <n v="1"/>
  </r>
  <r>
    <s v="ADM-244935"/>
    <d v="2025-10-19T00:00:00"/>
    <d v="2025-10-23T00:00:00"/>
    <x v="1"/>
    <s v="Q4"/>
    <x v="9"/>
    <x v="6"/>
    <x v="3"/>
    <x v="2"/>
    <x v="1"/>
    <x v="3"/>
    <x v="2"/>
    <n v="4"/>
    <m/>
    <n v="2517"/>
    <n v="0"/>
    <n v="4"/>
    <s v="Improved"/>
    <n v="1"/>
  </r>
  <r>
    <s v="ADM-244936"/>
    <d v="2025-10-19T00:00:00"/>
    <d v="2025-10-21T00:00:00"/>
    <x v="1"/>
    <s v="Q4"/>
    <x v="9"/>
    <x v="6"/>
    <x v="3"/>
    <x v="0"/>
    <x v="0"/>
    <x v="3"/>
    <x v="0"/>
    <n v="2"/>
    <n v="44"/>
    <n v="1623"/>
    <n v="0"/>
    <n v="3"/>
    <s v="Improved"/>
    <n v="1"/>
  </r>
  <r>
    <s v="ADM-244937"/>
    <d v="2025-10-19T00:00:00"/>
    <d v="2025-10-20T00:00:00"/>
    <x v="1"/>
    <s v="Q4"/>
    <x v="9"/>
    <x v="6"/>
    <x v="4"/>
    <x v="2"/>
    <x v="1"/>
    <x v="1"/>
    <x v="0"/>
    <n v="1"/>
    <m/>
    <n v="2442"/>
    <n v="0"/>
    <n v="5"/>
    <s v="Recovered"/>
    <n v="1"/>
  </r>
  <r>
    <s v="ADM-244938"/>
    <d v="2025-10-19T00:00:00"/>
    <d v="2025-10-23T00:00:00"/>
    <x v="1"/>
    <s v="Q4"/>
    <x v="9"/>
    <x v="6"/>
    <x v="1"/>
    <x v="2"/>
    <x v="0"/>
    <x v="4"/>
    <x v="2"/>
    <n v="4"/>
    <m/>
    <n v="4852"/>
    <n v="1"/>
    <n v="4"/>
    <s v="Improved"/>
    <n v="1"/>
  </r>
  <r>
    <s v="ADM-244939"/>
    <d v="2025-10-19T00:00:00"/>
    <d v="2025-10-21T00:00:00"/>
    <x v="1"/>
    <s v="Q4"/>
    <x v="9"/>
    <x v="6"/>
    <x v="2"/>
    <x v="0"/>
    <x v="0"/>
    <x v="1"/>
    <x v="0"/>
    <n v="2"/>
    <n v="41"/>
    <n v="1755"/>
    <n v="0"/>
    <n v="3"/>
    <s v="Improved"/>
    <n v="1"/>
  </r>
  <r>
    <s v="ADM-244940"/>
    <d v="2025-10-19T00:00:00"/>
    <d v="2025-10-21T00:00:00"/>
    <x v="1"/>
    <s v="Q4"/>
    <x v="9"/>
    <x v="6"/>
    <x v="0"/>
    <x v="2"/>
    <x v="0"/>
    <x v="4"/>
    <x v="0"/>
    <n v="2"/>
    <m/>
    <n v="2269"/>
    <n v="0"/>
    <n v="5"/>
    <s v="Recovered"/>
    <n v="1"/>
  </r>
  <r>
    <s v="ADM-244941"/>
    <d v="2025-10-19T00:00:00"/>
    <d v="2025-10-22T00:00:00"/>
    <x v="1"/>
    <s v="Q4"/>
    <x v="9"/>
    <x v="6"/>
    <x v="2"/>
    <x v="0"/>
    <x v="0"/>
    <x v="2"/>
    <x v="0"/>
    <n v="3"/>
    <n v="39"/>
    <n v="2645"/>
    <n v="0"/>
    <n v="3"/>
    <s v="Transferred"/>
    <n v="1"/>
  </r>
  <r>
    <s v="ADM-244942"/>
    <d v="2025-10-19T00:00:00"/>
    <d v="2025-10-21T00:00:00"/>
    <x v="1"/>
    <s v="Q4"/>
    <x v="9"/>
    <x v="6"/>
    <x v="4"/>
    <x v="2"/>
    <x v="1"/>
    <x v="4"/>
    <x v="2"/>
    <n v="2"/>
    <m/>
    <n v="2636"/>
    <n v="0"/>
    <n v="5"/>
    <s v="Recovered"/>
    <n v="1"/>
  </r>
  <r>
    <s v="ADM-244943"/>
    <d v="2025-10-19T00:00:00"/>
    <d v="2025-10-25T00:00:00"/>
    <x v="1"/>
    <s v="Q4"/>
    <x v="9"/>
    <x v="6"/>
    <x v="4"/>
    <x v="0"/>
    <x v="1"/>
    <x v="4"/>
    <x v="2"/>
    <n v="6"/>
    <n v="24"/>
    <n v="8102"/>
    <n v="0"/>
    <n v="5"/>
    <s v="Recovered"/>
    <n v="1"/>
  </r>
  <r>
    <s v="ADM-244944"/>
    <d v="2025-10-19T00:00:00"/>
    <d v="2025-10-26T00:00:00"/>
    <x v="1"/>
    <s v="Q4"/>
    <x v="9"/>
    <x v="6"/>
    <x v="4"/>
    <x v="0"/>
    <x v="0"/>
    <x v="0"/>
    <x v="2"/>
    <n v="7"/>
    <n v="56"/>
    <n v="10153"/>
    <n v="0"/>
    <n v="5"/>
    <s v="Recovered"/>
    <n v="1"/>
  </r>
  <r>
    <s v="ADM-244945"/>
    <d v="2025-10-19T00:00:00"/>
    <d v="2025-11-07T00:00:00"/>
    <x v="1"/>
    <s v="Q4"/>
    <x v="9"/>
    <x v="6"/>
    <x v="0"/>
    <x v="0"/>
    <x v="1"/>
    <x v="0"/>
    <x v="2"/>
    <n v="19"/>
    <n v="20"/>
    <n v="14023"/>
    <n v="0"/>
    <n v="5"/>
    <s v="Recovered"/>
    <n v="1"/>
  </r>
  <r>
    <s v="ADM-244946"/>
    <d v="2025-10-19T00:00:00"/>
    <d v="2025-11-02T00:00:00"/>
    <x v="1"/>
    <s v="Q4"/>
    <x v="9"/>
    <x v="6"/>
    <x v="0"/>
    <x v="2"/>
    <x v="1"/>
    <x v="0"/>
    <x v="0"/>
    <n v="14"/>
    <m/>
    <n v="6894"/>
    <n v="0"/>
    <n v="5"/>
    <s v="Improved"/>
    <n v="1"/>
  </r>
  <r>
    <s v="ADM-244947"/>
    <d v="2025-10-19T00:00:00"/>
    <d v="2025-10-30T00:00:00"/>
    <x v="1"/>
    <s v="Q4"/>
    <x v="9"/>
    <x v="6"/>
    <x v="0"/>
    <x v="0"/>
    <x v="1"/>
    <x v="2"/>
    <x v="0"/>
    <n v="11"/>
    <n v="90"/>
    <n v="7090"/>
    <n v="0"/>
    <n v="4"/>
    <s v="Recovered"/>
    <n v="1"/>
  </r>
  <r>
    <s v="ADM-244948"/>
    <d v="2025-10-20T00:00:00"/>
    <d v="2025-10-26T00:00:00"/>
    <x v="1"/>
    <s v="Q4"/>
    <x v="9"/>
    <x v="0"/>
    <x v="1"/>
    <x v="0"/>
    <x v="0"/>
    <x v="4"/>
    <x v="1"/>
    <n v="6"/>
    <n v="16"/>
    <n v="4249"/>
    <n v="0"/>
    <n v="4"/>
    <s v="Recovered"/>
    <n v="1"/>
  </r>
  <r>
    <s v="ADM-244949"/>
    <d v="2025-10-20T00:00:00"/>
    <d v="2025-11-14T00:00:00"/>
    <x v="1"/>
    <s v="Q4"/>
    <x v="9"/>
    <x v="0"/>
    <x v="0"/>
    <x v="0"/>
    <x v="0"/>
    <x v="2"/>
    <x v="2"/>
    <n v="25"/>
    <n v="36"/>
    <n v="18803"/>
    <n v="0"/>
    <n v="4"/>
    <s v="Improved"/>
    <n v="1"/>
  </r>
  <r>
    <s v="ADM-244950"/>
    <d v="2025-10-20T00:00:00"/>
    <d v="2025-10-26T00:00:00"/>
    <x v="1"/>
    <s v="Q4"/>
    <x v="9"/>
    <x v="0"/>
    <x v="0"/>
    <x v="0"/>
    <x v="0"/>
    <x v="0"/>
    <x v="0"/>
    <n v="6"/>
    <n v="69"/>
    <n v="5317"/>
    <n v="1"/>
    <n v="4"/>
    <s v="Recovered"/>
    <n v="1"/>
  </r>
  <r>
    <s v="ADM-244951"/>
    <d v="2025-10-20T00:00:00"/>
    <d v="2025-10-21T00:00:00"/>
    <x v="1"/>
    <s v="Q4"/>
    <x v="9"/>
    <x v="0"/>
    <x v="3"/>
    <x v="1"/>
    <x v="1"/>
    <x v="3"/>
    <x v="2"/>
    <n v="1"/>
    <m/>
    <n v="1682"/>
    <n v="0"/>
    <n v="4"/>
    <s v="Recovered"/>
    <n v="1"/>
  </r>
  <r>
    <s v="ADM-244952"/>
    <d v="2025-10-20T00:00:00"/>
    <d v="2025-10-24T00:00:00"/>
    <x v="1"/>
    <s v="Q4"/>
    <x v="9"/>
    <x v="0"/>
    <x v="2"/>
    <x v="0"/>
    <x v="0"/>
    <x v="2"/>
    <x v="0"/>
    <n v="4"/>
    <n v="51"/>
    <n v="2851"/>
    <n v="0"/>
    <n v="4"/>
    <s v="Recovered"/>
    <n v="1"/>
  </r>
  <r>
    <s v="ADM-244953"/>
    <d v="2025-10-20T00:00:00"/>
    <d v="2025-10-24T00:00:00"/>
    <x v="1"/>
    <s v="Q4"/>
    <x v="9"/>
    <x v="0"/>
    <x v="2"/>
    <x v="0"/>
    <x v="0"/>
    <x v="1"/>
    <x v="2"/>
    <n v="4"/>
    <n v="29"/>
    <n v="4264"/>
    <n v="0"/>
    <n v="5"/>
    <s v="Recovered"/>
    <n v="1"/>
  </r>
  <r>
    <s v="ADM-244954"/>
    <d v="2025-10-20T00:00:00"/>
    <d v="2025-10-23T00:00:00"/>
    <x v="1"/>
    <s v="Q4"/>
    <x v="9"/>
    <x v="0"/>
    <x v="5"/>
    <x v="2"/>
    <x v="0"/>
    <x v="4"/>
    <x v="0"/>
    <n v="3"/>
    <m/>
    <n v="4170"/>
    <n v="0"/>
    <n v="5"/>
    <s v="Recovered"/>
    <n v="1"/>
  </r>
  <r>
    <s v="ADM-244955"/>
    <d v="2025-10-20T00:00:00"/>
    <d v="2025-10-25T00:00:00"/>
    <x v="1"/>
    <s v="Q4"/>
    <x v="9"/>
    <x v="0"/>
    <x v="3"/>
    <x v="0"/>
    <x v="0"/>
    <x v="3"/>
    <x v="2"/>
    <n v="5"/>
    <n v="12"/>
    <n v="3489"/>
    <n v="0"/>
    <n v="3"/>
    <s v="Improved"/>
    <n v="1"/>
  </r>
  <r>
    <s v="ADM-244956"/>
    <d v="2025-10-21T00:00:00"/>
    <d v="2025-10-26T00:00:00"/>
    <x v="1"/>
    <s v="Q4"/>
    <x v="9"/>
    <x v="1"/>
    <x v="1"/>
    <x v="2"/>
    <x v="0"/>
    <x v="0"/>
    <x v="0"/>
    <n v="5"/>
    <m/>
    <n v="4925"/>
    <n v="1"/>
    <n v="5"/>
    <s v="Improved"/>
    <n v="1"/>
  </r>
  <r>
    <s v="ADM-244957"/>
    <d v="2025-10-21T00:00:00"/>
    <d v="2025-10-22T00:00:00"/>
    <x v="1"/>
    <s v="Q4"/>
    <x v="9"/>
    <x v="1"/>
    <x v="1"/>
    <x v="2"/>
    <x v="0"/>
    <x v="0"/>
    <x v="0"/>
    <n v="1"/>
    <m/>
    <n v="2009"/>
    <n v="0"/>
    <n v="4"/>
    <s v="Recovered"/>
    <n v="1"/>
  </r>
  <r>
    <s v="ADM-244958"/>
    <d v="2025-10-21T00:00:00"/>
    <d v="2025-10-24T00:00:00"/>
    <x v="1"/>
    <s v="Q4"/>
    <x v="9"/>
    <x v="1"/>
    <x v="3"/>
    <x v="2"/>
    <x v="0"/>
    <x v="3"/>
    <x v="0"/>
    <n v="3"/>
    <m/>
    <n v="2467"/>
    <n v="0"/>
    <n v="4"/>
    <s v="Improved"/>
    <n v="1"/>
  </r>
  <r>
    <s v="ADM-244959"/>
    <d v="2025-10-21T00:00:00"/>
    <d v="2025-10-22T00:00:00"/>
    <x v="1"/>
    <s v="Q4"/>
    <x v="9"/>
    <x v="1"/>
    <x v="1"/>
    <x v="2"/>
    <x v="1"/>
    <x v="1"/>
    <x v="1"/>
    <n v="1"/>
    <m/>
    <n v="1651"/>
    <n v="0"/>
    <n v="4"/>
    <s v="Improved"/>
    <n v="1"/>
  </r>
  <r>
    <s v="ADM-244960"/>
    <d v="2025-10-21T00:00:00"/>
    <d v="2025-10-23T00:00:00"/>
    <x v="1"/>
    <s v="Q4"/>
    <x v="9"/>
    <x v="1"/>
    <x v="5"/>
    <x v="2"/>
    <x v="0"/>
    <x v="4"/>
    <x v="2"/>
    <n v="2"/>
    <m/>
    <n v="3343"/>
    <n v="0"/>
    <n v="2"/>
    <s v="Recovered"/>
    <n v="1"/>
  </r>
  <r>
    <s v="ADM-244961"/>
    <d v="2025-10-21T00:00:00"/>
    <d v="2025-10-25T00:00:00"/>
    <x v="1"/>
    <s v="Q4"/>
    <x v="9"/>
    <x v="1"/>
    <x v="2"/>
    <x v="0"/>
    <x v="0"/>
    <x v="1"/>
    <x v="0"/>
    <n v="4"/>
    <n v="36"/>
    <n v="3474"/>
    <n v="0"/>
    <n v="4"/>
    <s v="Recovered"/>
    <n v="1"/>
  </r>
  <r>
    <s v="ADM-244962"/>
    <d v="2025-10-21T00:00:00"/>
    <d v="2025-11-06T00:00:00"/>
    <x v="1"/>
    <s v="Q4"/>
    <x v="9"/>
    <x v="1"/>
    <x v="0"/>
    <x v="0"/>
    <x v="0"/>
    <x v="0"/>
    <x v="0"/>
    <n v="16"/>
    <n v="26"/>
    <n v="9899"/>
    <n v="0"/>
    <n v="5"/>
    <s v="Recovered"/>
    <n v="1"/>
  </r>
  <r>
    <s v="ADM-244963"/>
    <d v="2025-10-21T00:00:00"/>
    <d v="2025-10-22T00:00:00"/>
    <x v="1"/>
    <s v="Q4"/>
    <x v="9"/>
    <x v="1"/>
    <x v="2"/>
    <x v="2"/>
    <x v="0"/>
    <x v="2"/>
    <x v="0"/>
    <n v="1"/>
    <m/>
    <n v="1410"/>
    <n v="0"/>
    <n v="4"/>
    <s v="Recovered"/>
    <n v="1"/>
  </r>
  <r>
    <s v="ADM-244964"/>
    <d v="2025-10-21T00:00:00"/>
    <d v="2025-10-28T00:00:00"/>
    <x v="1"/>
    <s v="Q4"/>
    <x v="9"/>
    <x v="1"/>
    <x v="0"/>
    <x v="0"/>
    <x v="1"/>
    <x v="0"/>
    <x v="0"/>
    <n v="7"/>
    <n v="108"/>
    <n v="6168"/>
    <n v="1"/>
    <n v="3"/>
    <s v="Recovered"/>
    <n v="1"/>
  </r>
  <r>
    <s v="ADM-244965"/>
    <d v="2025-10-21T00:00:00"/>
    <d v="2025-10-23T00:00:00"/>
    <x v="1"/>
    <s v="Q4"/>
    <x v="9"/>
    <x v="1"/>
    <x v="3"/>
    <x v="0"/>
    <x v="1"/>
    <x v="3"/>
    <x v="1"/>
    <n v="2"/>
    <n v="44"/>
    <n v="2150"/>
    <n v="1"/>
    <n v="4"/>
    <s v="Improved"/>
    <n v="1"/>
  </r>
  <r>
    <s v="ADM-244966"/>
    <d v="2025-10-21T00:00:00"/>
    <d v="2025-10-26T00:00:00"/>
    <x v="1"/>
    <s v="Q4"/>
    <x v="9"/>
    <x v="1"/>
    <x v="4"/>
    <x v="0"/>
    <x v="0"/>
    <x v="0"/>
    <x v="2"/>
    <n v="5"/>
    <n v="47"/>
    <n v="5930"/>
    <n v="0"/>
    <n v="5"/>
    <s v="Recovered"/>
    <n v="1"/>
  </r>
  <r>
    <s v="ADM-244967"/>
    <d v="2025-10-22T00:00:00"/>
    <d v="2025-10-23T00:00:00"/>
    <x v="1"/>
    <s v="Q4"/>
    <x v="9"/>
    <x v="2"/>
    <x v="2"/>
    <x v="1"/>
    <x v="0"/>
    <x v="1"/>
    <x v="0"/>
    <n v="1"/>
    <m/>
    <n v="1831"/>
    <n v="0"/>
    <n v="4"/>
    <s v="Recovered"/>
    <n v="1"/>
  </r>
  <r>
    <s v="ADM-244968"/>
    <d v="2025-10-22T00:00:00"/>
    <d v="2025-10-24T00:00:00"/>
    <x v="1"/>
    <s v="Q4"/>
    <x v="9"/>
    <x v="2"/>
    <x v="2"/>
    <x v="0"/>
    <x v="0"/>
    <x v="1"/>
    <x v="0"/>
    <n v="2"/>
    <n v="70"/>
    <n v="1841"/>
    <n v="0"/>
    <n v="4"/>
    <s v="Recovered"/>
    <n v="1"/>
  </r>
  <r>
    <s v="ADM-244969"/>
    <d v="2025-10-22T00:00:00"/>
    <d v="2025-10-28T00:00:00"/>
    <x v="1"/>
    <s v="Q4"/>
    <x v="9"/>
    <x v="2"/>
    <x v="0"/>
    <x v="0"/>
    <x v="0"/>
    <x v="0"/>
    <x v="2"/>
    <n v="6"/>
    <n v="10"/>
    <n v="3699"/>
    <n v="0"/>
    <n v="5"/>
    <s v="Recovered"/>
    <n v="1"/>
  </r>
  <r>
    <s v="ADM-244970"/>
    <d v="2025-10-22T00:00:00"/>
    <d v="2025-10-25T00:00:00"/>
    <x v="1"/>
    <s v="Q4"/>
    <x v="9"/>
    <x v="2"/>
    <x v="4"/>
    <x v="0"/>
    <x v="0"/>
    <x v="0"/>
    <x v="2"/>
    <n v="3"/>
    <n v="41"/>
    <n v="5030"/>
    <n v="0"/>
    <n v="4"/>
    <s v="Improved"/>
    <n v="1"/>
  </r>
  <r>
    <s v="ADM-244971"/>
    <d v="2025-10-22T00:00:00"/>
    <d v="2025-10-25T00:00:00"/>
    <x v="1"/>
    <s v="Q4"/>
    <x v="9"/>
    <x v="2"/>
    <x v="5"/>
    <x v="2"/>
    <x v="1"/>
    <x v="0"/>
    <x v="0"/>
    <n v="3"/>
    <m/>
    <n v="3575"/>
    <n v="0"/>
    <n v="4"/>
    <s v="Recovered"/>
    <n v="1"/>
  </r>
  <r>
    <s v="ADM-244972"/>
    <d v="2025-10-22T00:00:00"/>
    <d v="2025-10-26T00:00:00"/>
    <x v="1"/>
    <s v="Q4"/>
    <x v="9"/>
    <x v="2"/>
    <x v="4"/>
    <x v="2"/>
    <x v="1"/>
    <x v="4"/>
    <x v="0"/>
    <n v="4"/>
    <m/>
    <n v="7471"/>
    <n v="0"/>
    <n v="3"/>
    <s v="Recovered"/>
    <n v="1"/>
  </r>
  <r>
    <s v="ADM-244973"/>
    <d v="2025-10-22T00:00:00"/>
    <d v="2025-10-24T00:00:00"/>
    <x v="1"/>
    <s v="Q4"/>
    <x v="9"/>
    <x v="2"/>
    <x v="1"/>
    <x v="0"/>
    <x v="0"/>
    <x v="2"/>
    <x v="0"/>
    <n v="2"/>
    <n v="20"/>
    <n v="2874"/>
    <n v="0"/>
    <n v="4"/>
    <s v="Recovered"/>
    <n v="1"/>
  </r>
  <r>
    <s v="ADM-244974"/>
    <d v="2025-10-22T00:00:00"/>
    <d v="2025-10-26T00:00:00"/>
    <x v="1"/>
    <s v="Q4"/>
    <x v="9"/>
    <x v="2"/>
    <x v="0"/>
    <x v="1"/>
    <x v="0"/>
    <x v="1"/>
    <x v="2"/>
    <n v="4"/>
    <m/>
    <n v="4129"/>
    <n v="1"/>
    <n v="5"/>
    <s v="Improved"/>
    <n v="1"/>
  </r>
  <r>
    <s v="ADM-244975"/>
    <d v="2025-10-23T00:00:00"/>
    <d v="2025-10-25T00:00:00"/>
    <x v="1"/>
    <s v="Q4"/>
    <x v="9"/>
    <x v="3"/>
    <x v="2"/>
    <x v="0"/>
    <x v="0"/>
    <x v="2"/>
    <x v="0"/>
    <n v="2"/>
    <n v="29"/>
    <n v="2530"/>
    <n v="0"/>
    <n v="4"/>
    <s v="Transferred"/>
    <n v="1"/>
  </r>
  <r>
    <s v="ADM-244976"/>
    <d v="2025-10-23T00:00:00"/>
    <d v="2025-10-27T00:00:00"/>
    <x v="1"/>
    <s v="Q4"/>
    <x v="9"/>
    <x v="3"/>
    <x v="1"/>
    <x v="2"/>
    <x v="0"/>
    <x v="2"/>
    <x v="0"/>
    <n v="4"/>
    <m/>
    <n v="3011"/>
    <n v="0"/>
    <n v="4"/>
    <s v="Improved"/>
    <n v="1"/>
  </r>
  <r>
    <s v="ADM-244977"/>
    <d v="2025-10-23T00:00:00"/>
    <d v="2025-10-25T00:00:00"/>
    <x v="1"/>
    <s v="Q4"/>
    <x v="9"/>
    <x v="3"/>
    <x v="0"/>
    <x v="1"/>
    <x v="1"/>
    <x v="2"/>
    <x v="0"/>
    <n v="2"/>
    <m/>
    <n v="1914"/>
    <n v="0"/>
    <n v="4"/>
    <s v="Recovered"/>
    <n v="1"/>
  </r>
  <r>
    <s v="ADM-244978"/>
    <d v="2025-10-23T00:00:00"/>
    <d v="2025-10-24T00:00:00"/>
    <x v="1"/>
    <s v="Q4"/>
    <x v="9"/>
    <x v="3"/>
    <x v="4"/>
    <x v="0"/>
    <x v="0"/>
    <x v="1"/>
    <x v="0"/>
    <n v="1"/>
    <n v="37"/>
    <n v="1793"/>
    <n v="0"/>
    <n v="4"/>
    <s v="Recovered"/>
    <n v="1"/>
  </r>
  <r>
    <s v="ADM-244979"/>
    <d v="2025-10-23T00:00:00"/>
    <d v="2025-10-29T00:00:00"/>
    <x v="1"/>
    <s v="Q4"/>
    <x v="9"/>
    <x v="3"/>
    <x v="1"/>
    <x v="0"/>
    <x v="1"/>
    <x v="2"/>
    <x v="0"/>
    <n v="6"/>
    <n v="29"/>
    <n v="6573"/>
    <n v="0"/>
    <n v="4"/>
    <s v="Recovered"/>
    <n v="1"/>
  </r>
  <r>
    <s v="ADM-244980"/>
    <d v="2025-10-23T00:00:00"/>
    <d v="2025-10-24T00:00:00"/>
    <x v="1"/>
    <s v="Q4"/>
    <x v="9"/>
    <x v="3"/>
    <x v="1"/>
    <x v="0"/>
    <x v="1"/>
    <x v="1"/>
    <x v="1"/>
    <n v="1"/>
    <n v="55"/>
    <n v="1519"/>
    <n v="0"/>
    <n v="4"/>
    <s v="Improved"/>
    <n v="1"/>
  </r>
  <r>
    <s v="ADM-244981"/>
    <d v="2025-10-23T00:00:00"/>
    <d v="2025-10-26T00:00:00"/>
    <x v="1"/>
    <s v="Q4"/>
    <x v="9"/>
    <x v="3"/>
    <x v="2"/>
    <x v="0"/>
    <x v="0"/>
    <x v="1"/>
    <x v="0"/>
    <n v="3"/>
    <n v="34"/>
    <n v="2303"/>
    <n v="0"/>
    <n v="4"/>
    <s v="Recovered"/>
    <n v="1"/>
  </r>
  <r>
    <s v="ADM-244982"/>
    <d v="2025-10-23T00:00:00"/>
    <d v="2025-10-31T00:00:00"/>
    <x v="1"/>
    <s v="Q4"/>
    <x v="9"/>
    <x v="3"/>
    <x v="1"/>
    <x v="2"/>
    <x v="1"/>
    <x v="4"/>
    <x v="2"/>
    <n v="8"/>
    <m/>
    <n v="10233"/>
    <n v="0"/>
    <n v="3"/>
    <s v="Recovered"/>
    <n v="1"/>
  </r>
  <r>
    <s v="ADM-244983"/>
    <d v="2025-10-23T00:00:00"/>
    <d v="2025-10-27T00:00:00"/>
    <x v="1"/>
    <s v="Q4"/>
    <x v="9"/>
    <x v="3"/>
    <x v="1"/>
    <x v="2"/>
    <x v="1"/>
    <x v="2"/>
    <x v="2"/>
    <n v="4"/>
    <m/>
    <n v="5276"/>
    <n v="0"/>
    <n v="4"/>
    <s v="Recovered"/>
    <n v="1"/>
  </r>
  <r>
    <s v="ADM-244984"/>
    <d v="2025-10-23T00:00:00"/>
    <d v="2025-10-25T00:00:00"/>
    <x v="1"/>
    <s v="Q4"/>
    <x v="9"/>
    <x v="3"/>
    <x v="3"/>
    <x v="0"/>
    <x v="0"/>
    <x v="3"/>
    <x v="0"/>
    <n v="2"/>
    <n v="31"/>
    <n v="1855"/>
    <n v="0"/>
    <n v="4"/>
    <s v="Transferred"/>
    <n v="1"/>
  </r>
  <r>
    <s v="ADM-244985"/>
    <d v="2025-10-23T00:00:00"/>
    <d v="2025-10-27T00:00:00"/>
    <x v="1"/>
    <s v="Q4"/>
    <x v="9"/>
    <x v="3"/>
    <x v="4"/>
    <x v="0"/>
    <x v="1"/>
    <x v="2"/>
    <x v="0"/>
    <n v="4"/>
    <n v="100"/>
    <n v="6214"/>
    <n v="0"/>
    <n v="2"/>
    <s v="Transferred"/>
    <n v="1"/>
  </r>
  <r>
    <s v="ADM-244986"/>
    <d v="2025-10-23T00:00:00"/>
    <d v="2025-10-28T00:00:00"/>
    <x v="1"/>
    <s v="Q4"/>
    <x v="9"/>
    <x v="3"/>
    <x v="5"/>
    <x v="2"/>
    <x v="1"/>
    <x v="1"/>
    <x v="2"/>
    <n v="5"/>
    <m/>
    <n v="5793"/>
    <n v="0"/>
    <n v="4"/>
    <s v="Deceased"/>
    <n v="1"/>
  </r>
  <r>
    <s v="ADM-244987"/>
    <d v="2025-10-23T00:00:00"/>
    <d v="2025-10-25T00:00:00"/>
    <x v="1"/>
    <s v="Q4"/>
    <x v="9"/>
    <x v="3"/>
    <x v="5"/>
    <x v="2"/>
    <x v="1"/>
    <x v="1"/>
    <x v="0"/>
    <n v="2"/>
    <m/>
    <n v="2354"/>
    <n v="0"/>
    <n v="5"/>
    <s v="Improved"/>
    <n v="1"/>
  </r>
  <r>
    <s v="ADM-244988"/>
    <d v="2025-10-24T00:00:00"/>
    <d v="2025-10-31T00:00:00"/>
    <x v="1"/>
    <s v="Q4"/>
    <x v="9"/>
    <x v="4"/>
    <x v="4"/>
    <x v="0"/>
    <x v="0"/>
    <x v="0"/>
    <x v="0"/>
    <n v="7"/>
    <n v="53"/>
    <n v="7839"/>
    <n v="0"/>
    <n v="5"/>
    <s v="Improved"/>
    <n v="1"/>
  </r>
  <r>
    <s v="ADM-244989"/>
    <d v="2025-10-24T00:00:00"/>
    <d v="2025-10-25T00:00:00"/>
    <x v="1"/>
    <s v="Q4"/>
    <x v="9"/>
    <x v="4"/>
    <x v="4"/>
    <x v="2"/>
    <x v="1"/>
    <x v="4"/>
    <x v="0"/>
    <n v="1"/>
    <m/>
    <n v="2151"/>
    <n v="1"/>
    <n v="3"/>
    <s v="Recovered"/>
    <n v="1"/>
  </r>
  <r>
    <s v="ADM-244990"/>
    <d v="2025-10-24T00:00:00"/>
    <d v="2025-10-25T00:00:00"/>
    <x v="1"/>
    <s v="Q4"/>
    <x v="9"/>
    <x v="4"/>
    <x v="2"/>
    <x v="0"/>
    <x v="0"/>
    <x v="2"/>
    <x v="0"/>
    <n v="1"/>
    <n v="54"/>
    <n v="1597"/>
    <n v="0"/>
    <n v="4"/>
    <s v="Improved"/>
    <n v="1"/>
  </r>
  <r>
    <s v="ADM-244991"/>
    <d v="2025-10-24T00:00:00"/>
    <d v="2025-10-25T00:00:00"/>
    <x v="1"/>
    <s v="Q4"/>
    <x v="9"/>
    <x v="4"/>
    <x v="5"/>
    <x v="2"/>
    <x v="0"/>
    <x v="0"/>
    <x v="1"/>
    <n v="1"/>
    <m/>
    <n v="1815"/>
    <n v="1"/>
    <n v="4"/>
    <s v="Improved"/>
    <n v="1"/>
  </r>
  <r>
    <s v="ADM-244992"/>
    <d v="2025-10-24T00:00:00"/>
    <d v="2025-10-27T00:00:00"/>
    <x v="1"/>
    <s v="Q4"/>
    <x v="9"/>
    <x v="4"/>
    <x v="4"/>
    <x v="1"/>
    <x v="1"/>
    <x v="0"/>
    <x v="2"/>
    <n v="3"/>
    <m/>
    <n v="3122"/>
    <n v="0"/>
    <n v="5"/>
    <s v="Improved"/>
    <n v="1"/>
  </r>
  <r>
    <s v="ADM-244993"/>
    <d v="2025-10-24T00:00:00"/>
    <d v="2025-10-27T00:00:00"/>
    <x v="1"/>
    <s v="Q4"/>
    <x v="9"/>
    <x v="4"/>
    <x v="3"/>
    <x v="2"/>
    <x v="1"/>
    <x v="3"/>
    <x v="2"/>
    <n v="3"/>
    <m/>
    <n v="2196"/>
    <n v="0"/>
    <n v="4"/>
    <s v="Recovered"/>
    <n v="1"/>
  </r>
  <r>
    <s v="ADM-244994"/>
    <d v="2025-10-24T00:00:00"/>
    <d v="2025-10-25T00:00:00"/>
    <x v="1"/>
    <s v="Q4"/>
    <x v="9"/>
    <x v="4"/>
    <x v="3"/>
    <x v="0"/>
    <x v="1"/>
    <x v="3"/>
    <x v="0"/>
    <n v="1"/>
    <n v="39"/>
    <n v="1146"/>
    <n v="0"/>
    <n v="4"/>
    <s v="Recovered"/>
    <n v="1"/>
  </r>
  <r>
    <s v="ADM-244995"/>
    <d v="2025-10-25T00:00:00"/>
    <d v="2025-11-01T00:00:00"/>
    <x v="1"/>
    <s v="Q4"/>
    <x v="9"/>
    <x v="5"/>
    <x v="1"/>
    <x v="0"/>
    <x v="1"/>
    <x v="0"/>
    <x v="2"/>
    <n v="7"/>
    <n v="44"/>
    <n v="8660"/>
    <n v="1"/>
    <n v="5"/>
    <s v="Recovered"/>
    <n v="1"/>
  </r>
  <r>
    <s v="ADM-244996"/>
    <d v="2025-10-25T00:00:00"/>
    <d v="2025-10-30T00:00:00"/>
    <x v="1"/>
    <s v="Q4"/>
    <x v="9"/>
    <x v="5"/>
    <x v="2"/>
    <x v="0"/>
    <x v="0"/>
    <x v="1"/>
    <x v="2"/>
    <n v="5"/>
    <n v="30"/>
    <n v="3110"/>
    <n v="0"/>
    <n v="4"/>
    <s v="Recovered"/>
    <n v="1"/>
  </r>
  <r>
    <s v="ADM-244997"/>
    <d v="2025-10-25T00:00:00"/>
    <d v="2025-10-29T00:00:00"/>
    <x v="1"/>
    <s v="Q4"/>
    <x v="9"/>
    <x v="5"/>
    <x v="0"/>
    <x v="0"/>
    <x v="1"/>
    <x v="2"/>
    <x v="2"/>
    <n v="4"/>
    <n v="133"/>
    <n v="3272"/>
    <n v="0"/>
    <n v="4"/>
    <s v="Recovered"/>
    <n v="1"/>
  </r>
  <r>
    <s v="ADM-244998"/>
    <d v="2025-10-25T00:00:00"/>
    <d v="2025-11-02T00:00:00"/>
    <x v="1"/>
    <s v="Q4"/>
    <x v="9"/>
    <x v="5"/>
    <x v="1"/>
    <x v="2"/>
    <x v="1"/>
    <x v="0"/>
    <x v="1"/>
    <n v="8"/>
    <m/>
    <n v="8238"/>
    <n v="0"/>
    <n v="5"/>
    <s v="Improved"/>
    <n v="1"/>
  </r>
  <r>
    <s v="ADM-244999"/>
    <d v="2025-10-25T00:00:00"/>
    <d v="2025-10-27T00:00:00"/>
    <x v="1"/>
    <s v="Q4"/>
    <x v="9"/>
    <x v="5"/>
    <x v="1"/>
    <x v="1"/>
    <x v="0"/>
    <x v="0"/>
    <x v="0"/>
    <n v="2"/>
    <m/>
    <n v="2683"/>
    <n v="0"/>
    <n v="4"/>
    <s v="Improved"/>
    <n v="1"/>
  </r>
  <r>
    <s v="ADM-245000"/>
    <d v="2025-10-25T00:00:00"/>
    <d v="2025-11-10T00:00:00"/>
    <x v="1"/>
    <s v="Q4"/>
    <x v="9"/>
    <x v="5"/>
    <x v="0"/>
    <x v="0"/>
    <x v="1"/>
    <x v="1"/>
    <x v="2"/>
    <n v="16"/>
    <n v="32"/>
    <n v="13684"/>
    <n v="0"/>
    <n v="5"/>
    <s v="Improved"/>
    <n v="1"/>
  </r>
  <r>
    <s v="ADM-245001"/>
    <d v="2025-10-25T00:00:00"/>
    <d v="2025-11-06T00:00:00"/>
    <x v="1"/>
    <s v="Q4"/>
    <x v="9"/>
    <x v="5"/>
    <x v="4"/>
    <x v="0"/>
    <x v="1"/>
    <x v="0"/>
    <x v="1"/>
    <n v="12"/>
    <n v="47"/>
    <n v="16839"/>
    <n v="0"/>
    <n v="4"/>
    <s v="Recovered"/>
    <n v="1"/>
  </r>
  <r>
    <s v="ADM-245002"/>
    <d v="2025-10-26T00:00:00"/>
    <d v="2025-10-30T00:00:00"/>
    <x v="1"/>
    <s v="Q4"/>
    <x v="9"/>
    <x v="6"/>
    <x v="3"/>
    <x v="0"/>
    <x v="0"/>
    <x v="3"/>
    <x v="2"/>
    <n v="4"/>
    <n v="48"/>
    <n v="3026"/>
    <n v="1"/>
    <n v="3"/>
    <s v="Recovered"/>
    <n v="1"/>
  </r>
  <r>
    <s v="ADM-245003"/>
    <d v="2025-10-26T00:00:00"/>
    <d v="2025-10-31T00:00:00"/>
    <x v="1"/>
    <s v="Q4"/>
    <x v="9"/>
    <x v="6"/>
    <x v="0"/>
    <x v="0"/>
    <x v="1"/>
    <x v="2"/>
    <x v="0"/>
    <n v="5"/>
    <n v="17"/>
    <n v="3691"/>
    <n v="0"/>
    <n v="4"/>
    <s v="Improved"/>
    <n v="1"/>
  </r>
  <r>
    <s v="ADM-245004"/>
    <d v="2025-10-26T00:00:00"/>
    <d v="2025-11-02T00:00:00"/>
    <x v="1"/>
    <s v="Q4"/>
    <x v="9"/>
    <x v="6"/>
    <x v="1"/>
    <x v="2"/>
    <x v="0"/>
    <x v="0"/>
    <x v="2"/>
    <n v="7"/>
    <m/>
    <n v="8726"/>
    <n v="0"/>
    <n v="5"/>
    <s v="Recovered"/>
    <n v="1"/>
  </r>
  <r>
    <s v="ADM-245005"/>
    <d v="2025-10-26T00:00:00"/>
    <d v="2025-10-29T00:00:00"/>
    <x v="1"/>
    <s v="Q4"/>
    <x v="9"/>
    <x v="6"/>
    <x v="2"/>
    <x v="0"/>
    <x v="0"/>
    <x v="2"/>
    <x v="0"/>
    <n v="3"/>
    <n v="86"/>
    <n v="3584"/>
    <n v="0"/>
    <n v="4"/>
    <s v="Recovered"/>
    <n v="1"/>
  </r>
  <r>
    <s v="ADM-245006"/>
    <d v="2025-10-26T00:00:00"/>
    <d v="2025-10-31T00:00:00"/>
    <x v="1"/>
    <s v="Q4"/>
    <x v="9"/>
    <x v="6"/>
    <x v="4"/>
    <x v="2"/>
    <x v="0"/>
    <x v="2"/>
    <x v="0"/>
    <n v="5"/>
    <m/>
    <n v="7357"/>
    <n v="0"/>
    <n v="4"/>
    <s v="Recovered"/>
    <n v="1"/>
  </r>
  <r>
    <s v="ADM-245007"/>
    <d v="2025-10-26T00:00:00"/>
    <d v="2025-10-28T00:00:00"/>
    <x v="1"/>
    <s v="Q4"/>
    <x v="9"/>
    <x v="6"/>
    <x v="2"/>
    <x v="2"/>
    <x v="0"/>
    <x v="2"/>
    <x v="2"/>
    <n v="2"/>
    <m/>
    <n v="1689"/>
    <n v="0"/>
    <n v="4"/>
    <s v="Improved"/>
    <n v="1"/>
  </r>
  <r>
    <s v="ADM-245008"/>
    <d v="2025-10-27T00:00:00"/>
    <d v="2025-11-08T00:00:00"/>
    <x v="1"/>
    <s v="Q4"/>
    <x v="9"/>
    <x v="0"/>
    <x v="4"/>
    <x v="1"/>
    <x v="1"/>
    <x v="2"/>
    <x v="2"/>
    <n v="12"/>
    <m/>
    <n v="15034"/>
    <n v="0"/>
    <n v="5"/>
    <s v="Improved"/>
    <n v="1"/>
  </r>
  <r>
    <s v="ADM-245009"/>
    <d v="2025-10-27T00:00:00"/>
    <d v="2025-11-03T00:00:00"/>
    <x v="1"/>
    <s v="Q4"/>
    <x v="9"/>
    <x v="0"/>
    <x v="5"/>
    <x v="0"/>
    <x v="0"/>
    <x v="0"/>
    <x v="2"/>
    <n v="7"/>
    <n v="59"/>
    <n v="7082"/>
    <n v="0"/>
    <n v="2"/>
    <s v="Recovered"/>
    <n v="1"/>
  </r>
  <r>
    <s v="ADM-245010"/>
    <d v="2025-10-27T00:00:00"/>
    <d v="2025-11-01T00:00:00"/>
    <x v="1"/>
    <s v="Q4"/>
    <x v="9"/>
    <x v="0"/>
    <x v="1"/>
    <x v="2"/>
    <x v="0"/>
    <x v="1"/>
    <x v="0"/>
    <n v="5"/>
    <m/>
    <n v="4972"/>
    <n v="0"/>
    <n v="4"/>
    <s v="Improved"/>
    <n v="1"/>
  </r>
  <r>
    <s v="ADM-245011"/>
    <d v="2025-10-27T00:00:00"/>
    <d v="2025-11-03T00:00:00"/>
    <x v="1"/>
    <s v="Q4"/>
    <x v="9"/>
    <x v="0"/>
    <x v="0"/>
    <x v="0"/>
    <x v="1"/>
    <x v="0"/>
    <x v="2"/>
    <n v="7"/>
    <n v="26"/>
    <n v="4590"/>
    <n v="0"/>
    <n v="5"/>
    <s v="Recovered"/>
    <n v="1"/>
  </r>
  <r>
    <s v="ADM-245012"/>
    <d v="2025-10-27T00:00:00"/>
    <d v="2025-10-31T00:00:00"/>
    <x v="1"/>
    <s v="Q4"/>
    <x v="9"/>
    <x v="0"/>
    <x v="2"/>
    <x v="1"/>
    <x v="0"/>
    <x v="1"/>
    <x v="2"/>
    <n v="4"/>
    <m/>
    <n v="3850"/>
    <n v="0"/>
    <n v="4"/>
    <s v="Recovered"/>
    <n v="1"/>
  </r>
  <r>
    <s v="ADM-245013"/>
    <d v="2025-10-27T00:00:00"/>
    <d v="2025-11-03T00:00:00"/>
    <x v="1"/>
    <s v="Q4"/>
    <x v="9"/>
    <x v="0"/>
    <x v="3"/>
    <x v="2"/>
    <x v="0"/>
    <x v="3"/>
    <x v="1"/>
    <n v="7"/>
    <m/>
    <n v="4445"/>
    <n v="0"/>
    <n v="4"/>
    <s v="Recovered"/>
    <n v="1"/>
  </r>
  <r>
    <s v="ADM-245014"/>
    <d v="2025-10-27T00:00:00"/>
    <d v="2025-10-30T00:00:00"/>
    <x v="1"/>
    <s v="Q4"/>
    <x v="9"/>
    <x v="0"/>
    <x v="3"/>
    <x v="0"/>
    <x v="1"/>
    <x v="3"/>
    <x v="2"/>
    <n v="3"/>
    <n v="28"/>
    <n v="2838"/>
    <n v="0"/>
    <n v="4"/>
    <s v="Recovered"/>
    <n v="1"/>
  </r>
  <r>
    <s v="ADM-245015"/>
    <d v="2025-10-27T00:00:00"/>
    <d v="2025-11-02T00:00:00"/>
    <x v="1"/>
    <s v="Q4"/>
    <x v="9"/>
    <x v="0"/>
    <x v="3"/>
    <x v="0"/>
    <x v="1"/>
    <x v="3"/>
    <x v="2"/>
    <n v="6"/>
    <n v="55"/>
    <n v="3984"/>
    <n v="0"/>
    <n v="4"/>
    <s v="Recovered"/>
    <n v="1"/>
  </r>
  <r>
    <s v="ADM-245016"/>
    <d v="2025-10-28T00:00:00"/>
    <d v="2025-10-31T00:00:00"/>
    <x v="1"/>
    <s v="Q4"/>
    <x v="9"/>
    <x v="1"/>
    <x v="3"/>
    <x v="0"/>
    <x v="1"/>
    <x v="3"/>
    <x v="2"/>
    <n v="3"/>
    <n v="41"/>
    <n v="2137"/>
    <n v="0"/>
    <n v="4"/>
    <s v="Recovered"/>
    <n v="1"/>
  </r>
  <r>
    <s v="ADM-245017"/>
    <d v="2025-10-28T00:00:00"/>
    <d v="2025-10-30T00:00:00"/>
    <x v="1"/>
    <s v="Q4"/>
    <x v="9"/>
    <x v="1"/>
    <x v="3"/>
    <x v="0"/>
    <x v="1"/>
    <x v="3"/>
    <x v="0"/>
    <n v="2"/>
    <n v="56"/>
    <n v="2082"/>
    <n v="0"/>
    <n v="4"/>
    <s v="Recovered"/>
    <n v="1"/>
  </r>
  <r>
    <s v="ADM-245018"/>
    <d v="2025-10-28T00:00:00"/>
    <d v="2025-11-05T00:00:00"/>
    <x v="1"/>
    <s v="Q4"/>
    <x v="9"/>
    <x v="1"/>
    <x v="3"/>
    <x v="0"/>
    <x v="1"/>
    <x v="3"/>
    <x v="2"/>
    <n v="8"/>
    <n v="28"/>
    <n v="6556"/>
    <n v="0"/>
    <n v="3"/>
    <s v="Improved"/>
    <n v="1"/>
  </r>
  <r>
    <s v="ADM-245019"/>
    <d v="2025-10-28T00:00:00"/>
    <d v="2025-11-05T00:00:00"/>
    <x v="1"/>
    <s v="Q4"/>
    <x v="9"/>
    <x v="1"/>
    <x v="1"/>
    <x v="2"/>
    <x v="0"/>
    <x v="0"/>
    <x v="1"/>
    <n v="8"/>
    <m/>
    <n v="7721"/>
    <n v="0"/>
    <n v="4"/>
    <s v="Improved"/>
    <n v="1"/>
  </r>
  <r>
    <s v="ADM-245020"/>
    <d v="2025-10-28T00:00:00"/>
    <d v="2025-11-07T00:00:00"/>
    <x v="1"/>
    <s v="Q4"/>
    <x v="9"/>
    <x v="1"/>
    <x v="3"/>
    <x v="0"/>
    <x v="0"/>
    <x v="3"/>
    <x v="2"/>
    <n v="10"/>
    <n v="57"/>
    <n v="5166"/>
    <n v="0"/>
    <n v="4"/>
    <s v="Recovered"/>
    <n v="1"/>
  </r>
  <r>
    <s v="ADM-245021"/>
    <d v="2025-10-28T00:00:00"/>
    <d v="2025-11-06T00:00:00"/>
    <x v="1"/>
    <s v="Q4"/>
    <x v="9"/>
    <x v="1"/>
    <x v="3"/>
    <x v="0"/>
    <x v="1"/>
    <x v="3"/>
    <x v="2"/>
    <n v="9"/>
    <n v="66"/>
    <n v="4939"/>
    <n v="0"/>
    <n v="5"/>
    <s v="Recovered"/>
    <n v="1"/>
  </r>
  <r>
    <s v="ADM-245022"/>
    <d v="2025-10-28T00:00:00"/>
    <d v="2025-10-31T00:00:00"/>
    <x v="1"/>
    <s v="Q4"/>
    <x v="9"/>
    <x v="1"/>
    <x v="2"/>
    <x v="0"/>
    <x v="0"/>
    <x v="2"/>
    <x v="2"/>
    <n v="3"/>
    <n v="43"/>
    <n v="2535"/>
    <n v="0"/>
    <n v="4"/>
    <s v="Improved"/>
    <n v="1"/>
  </r>
  <r>
    <s v="ADM-245023"/>
    <d v="2025-10-28T00:00:00"/>
    <d v="2025-11-08T00:00:00"/>
    <x v="1"/>
    <s v="Q4"/>
    <x v="9"/>
    <x v="1"/>
    <x v="0"/>
    <x v="0"/>
    <x v="0"/>
    <x v="1"/>
    <x v="2"/>
    <n v="11"/>
    <n v="35"/>
    <n v="7935"/>
    <n v="1"/>
    <n v="5"/>
    <s v="Improved"/>
    <n v="1"/>
  </r>
  <r>
    <s v="ADM-245024"/>
    <d v="2025-10-29T00:00:00"/>
    <d v="2025-10-30T00:00:00"/>
    <x v="1"/>
    <s v="Q4"/>
    <x v="9"/>
    <x v="2"/>
    <x v="2"/>
    <x v="2"/>
    <x v="0"/>
    <x v="1"/>
    <x v="2"/>
    <n v="1"/>
    <m/>
    <n v="1407"/>
    <n v="0"/>
    <n v="5"/>
    <s v="Recovered"/>
    <n v="1"/>
  </r>
  <r>
    <s v="ADM-245025"/>
    <d v="2025-10-29T00:00:00"/>
    <d v="2025-11-06T00:00:00"/>
    <x v="1"/>
    <s v="Q4"/>
    <x v="9"/>
    <x v="2"/>
    <x v="2"/>
    <x v="0"/>
    <x v="0"/>
    <x v="2"/>
    <x v="0"/>
    <n v="8"/>
    <n v="89"/>
    <n v="6522"/>
    <n v="0"/>
    <n v="4"/>
    <s v="Improved"/>
    <n v="1"/>
  </r>
  <r>
    <s v="ADM-245026"/>
    <d v="2025-10-29T00:00:00"/>
    <d v="2025-11-01T00:00:00"/>
    <x v="1"/>
    <s v="Q4"/>
    <x v="9"/>
    <x v="2"/>
    <x v="0"/>
    <x v="2"/>
    <x v="1"/>
    <x v="0"/>
    <x v="2"/>
    <n v="3"/>
    <m/>
    <n v="2406"/>
    <n v="0"/>
    <n v="5"/>
    <s v="Improved"/>
    <n v="1"/>
  </r>
  <r>
    <s v="ADM-245027"/>
    <d v="2025-10-29T00:00:00"/>
    <d v="2025-11-06T00:00:00"/>
    <x v="1"/>
    <s v="Q4"/>
    <x v="9"/>
    <x v="2"/>
    <x v="0"/>
    <x v="0"/>
    <x v="1"/>
    <x v="0"/>
    <x v="0"/>
    <n v="8"/>
    <n v="47"/>
    <n v="4068"/>
    <n v="1"/>
    <n v="3"/>
    <s v="Recovered"/>
    <n v="1"/>
  </r>
  <r>
    <s v="ADM-245028"/>
    <d v="2025-10-29T00:00:00"/>
    <d v="2025-11-09T00:00:00"/>
    <x v="1"/>
    <s v="Q4"/>
    <x v="9"/>
    <x v="2"/>
    <x v="1"/>
    <x v="2"/>
    <x v="0"/>
    <x v="0"/>
    <x v="0"/>
    <n v="11"/>
    <m/>
    <n v="14865"/>
    <n v="0"/>
    <n v="5"/>
    <s v="Recovered"/>
    <n v="1"/>
  </r>
  <r>
    <s v="ADM-245029"/>
    <d v="2025-10-29T00:00:00"/>
    <d v="2025-10-30T00:00:00"/>
    <x v="1"/>
    <s v="Q4"/>
    <x v="9"/>
    <x v="2"/>
    <x v="2"/>
    <x v="2"/>
    <x v="0"/>
    <x v="2"/>
    <x v="1"/>
    <n v="1"/>
    <m/>
    <n v="861"/>
    <n v="0"/>
    <n v="4"/>
    <s v="Improved"/>
    <n v="1"/>
  </r>
  <r>
    <s v="ADM-245030"/>
    <d v="2025-10-29T00:00:00"/>
    <d v="2025-11-09T00:00:00"/>
    <x v="1"/>
    <s v="Q4"/>
    <x v="9"/>
    <x v="2"/>
    <x v="1"/>
    <x v="2"/>
    <x v="0"/>
    <x v="0"/>
    <x v="0"/>
    <n v="11"/>
    <m/>
    <n v="7044"/>
    <n v="0"/>
    <n v="4"/>
    <s v="Deceased"/>
    <n v="1"/>
  </r>
  <r>
    <s v="ADM-245031"/>
    <d v="2025-10-29T00:00:00"/>
    <d v="2025-10-31T00:00:00"/>
    <x v="1"/>
    <s v="Q4"/>
    <x v="9"/>
    <x v="2"/>
    <x v="1"/>
    <x v="2"/>
    <x v="1"/>
    <x v="2"/>
    <x v="2"/>
    <n v="2"/>
    <m/>
    <n v="2174"/>
    <n v="0"/>
    <n v="5"/>
    <s v="Improved"/>
    <n v="1"/>
  </r>
  <r>
    <s v="ADM-245032"/>
    <d v="2025-10-29T00:00:00"/>
    <d v="2025-11-06T00:00:00"/>
    <x v="1"/>
    <s v="Q4"/>
    <x v="9"/>
    <x v="2"/>
    <x v="1"/>
    <x v="2"/>
    <x v="0"/>
    <x v="0"/>
    <x v="2"/>
    <n v="8"/>
    <m/>
    <n v="8943"/>
    <n v="0"/>
    <n v="5"/>
    <s v="Recovered"/>
    <n v="1"/>
  </r>
  <r>
    <s v="ADM-245033"/>
    <d v="2025-10-30T00:00:00"/>
    <d v="2025-11-03T00:00:00"/>
    <x v="1"/>
    <s v="Q4"/>
    <x v="9"/>
    <x v="3"/>
    <x v="3"/>
    <x v="0"/>
    <x v="1"/>
    <x v="3"/>
    <x v="2"/>
    <n v="4"/>
    <n v="20"/>
    <n v="2794"/>
    <n v="0"/>
    <n v="5"/>
    <s v="Transferred"/>
    <n v="1"/>
  </r>
  <r>
    <s v="ADM-245034"/>
    <d v="2025-10-30T00:00:00"/>
    <d v="2025-11-01T00:00:00"/>
    <x v="1"/>
    <s v="Q4"/>
    <x v="9"/>
    <x v="3"/>
    <x v="3"/>
    <x v="2"/>
    <x v="0"/>
    <x v="3"/>
    <x v="0"/>
    <n v="2"/>
    <m/>
    <n v="2085"/>
    <n v="0"/>
    <n v="4"/>
    <s v="Transferred"/>
    <n v="1"/>
  </r>
  <r>
    <s v="ADM-245035"/>
    <d v="2025-10-30T00:00:00"/>
    <d v="2025-11-02T00:00:00"/>
    <x v="1"/>
    <s v="Q4"/>
    <x v="9"/>
    <x v="3"/>
    <x v="1"/>
    <x v="2"/>
    <x v="1"/>
    <x v="4"/>
    <x v="0"/>
    <n v="3"/>
    <m/>
    <n v="3065"/>
    <n v="0"/>
    <n v="4"/>
    <s v="Improved"/>
    <n v="1"/>
  </r>
  <r>
    <s v="ADM-245036"/>
    <d v="2025-10-30T00:00:00"/>
    <d v="2025-11-01T00:00:00"/>
    <x v="1"/>
    <s v="Q4"/>
    <x v="9"/>
    <x v="3"/>
    <x v="2"/>
    <x v="0"/>
    <x v="0"/>
    <x v="1"/>
    <x v="0"/>
    <n v="2"/>
    <n v="98"/>
    <n v="2309"/>
    <n v="0"/>
    <n v="3"/>
    <s v="Transferred"/>
    <n v="1"/>
  </r>
  <r>
    <s v="ADM-245037"/>
    <d v="2025-10-30T00:00:00"/>
    <d v="2025-11-04T00:00:00"/>
    <x v="1"/>
    <s v="Q4"/>
    <x v="9"/>
    <x v="3"/>
    <x v="5"/>
    <x v="2"/>
    <x v="0"/>
    <x v="4"/>
    <x v="2"/>
    <n v="5"/>
    <m/>
    <n v="5252"/>
    <n v="0"/>
    <n v="5"/>
    <s v="Recovered"/>
    <n v="1"/>
  </r>
  <r>
    <s v="ADM-245038"/>
    <d v="2025-10-30T00:00:00"/>
    <d v="2025-11-03T00:00:00"/>
    <x v="1"/>
    <s v="Q4"/>
    <x v="9"/>
    <x v="3"/>
    <x v="3"/>
    <x v="0"/>
    <x v="1"/>
    <x v="3"/>
    <x v="0"/>
    <n v="4"/>
    <n v="42"/>
    <n v="2970"/>
    <n v="0"/>
    <n v="4"/>
    <s v="Recovered"/>
    <n v="1"/>
  </r>
  <r>
    <s v="ADM-245039"/>
    <d v="2025-10-31T00:00:00"/>
    <d v="2025-11-03T00:00:00"/>
    <x v="1"/>
    <s v="Q4"/>
    <x v="9"/>
    <x v="4"/>
    <x v="0"/>
    <x v="0"/>
    <x v="0"/>
    <x v="1"/>
    <x v="2"/>
    <n v="3"/>
    <n v="68"/>
    <n v="3231"/>
    <n v="0"/>
    <n v="5"/>
    <s v="Recovered"/>
    <n v="1"/>
  </r>
  <r>
    <s v="ADM-245040"/>
    <d v="2025-10-31T00:00:00"/>
    <d v="2025-11-05T00:00:00"/>
    <x v="1"/>
    <s v="Q4"/>
    <x v="9"/>
    <x v="4"/>
    <x v="0"/>
    <x v="2"/>
    <x v="0"/>
    <x v="0"/>
    <x v="0"/>
    <n v="5"/>
    <m/>
    <n v="2901"/>
    <n v="0"/>
    <n v="5"/>
    <s v="Improved"/>
    <n v="1"/>
  </r>
  <r>
    <s v="ADM-245041"/>
    <d v="2025-10-31T00:00:00"/>
    <d v="2025-11-07T00:00:00"/>
    <x v="1"/>
    <s v="Q4"/>
    <x v="9"/>
    <x v="4"/>
    <x v="0"/>
    <x v="0"/>
    <x v="1"/>
    <x v="0"/>
    <x v="0"/>
    <n v="7"/>
    <n v="31"/>
    <n v="4137"/>
    <n v="0"/>
    <n v="5"/>
    <s v="Recovered"/>
    <n v="1"/>
  </r>
  <r>
    <s v="ADM-245042"/>
    <d v="2025-10-31T00:00:00"/>
    <d v="2025-11-06T00:00:00"/>
    <x v="1"/>
    <s v="Q4"/>
    <x v="9"/>
    <x v="4"/>
    <x v="0"/>
    <x v="2"/>
    <x v="0"/>
    <x v="4"/>
    <x v="0"/>
    <n v="6"/>
    <m/>
    <n v="4740"/>
    <n v="0"/>
    <n v="4"/>
    <s v="Improved"/>
    <n v="1"/>
  </r>
  <r>
    <s v="ADM-245043"/>
    <d v="2025-10-31T00:00:00"/>
    <d v="2025-11-02T00:00:00"/>
    <x v="1"/>
    <s v="Q4"/>
    <x v="9"/>
    <x v="4"/>
    <x v="0"/>
    <x v="2"/>
    <x v="0"/>
    <x v="4"/>
    <x v="2"/>
    <n v="2"/>
    <m/>
    <n v="2810"/>
    <n v="0"/>
    <n v="5"/>
    <s v="Recovered"/>
    <n v="1"/>
  </r>
  <r>
    <s v="ADM-245044"/>
    <d v="2025-10-31T00:00:00"/>
    <d v="2025-11-06T00:00:00"/>
    <x v="1"/>
    <s v="Q4"/>
    <x v="9"/>
    <x v="4"/>
    <x v="0"/>
    <x v="0"/>
    <x v="0"/>
    <x v="2"/>
    <x v="2"/>
    <n v="6"/>
    <n v="30"/>
    <n v="4877"/>
    <n v="0"/>
    <n v="5"/>
    <s v="Recovered"/>
    <n v="1"/>
  </r>
  <r>
    <s v="ADM-245045"/>
    <d v="2025-10-31T00:00:00"/>
    <d v="2025-11-07T00:00:00"/>
    <x v="1"/>
    <s v="Q4"/>
    <x v="9"/>
    <x v="4"/>
    <x v="4"/>
    <x v="0"/>
    <x v="1"/>
    <x v="1"/>
    <x v="2"/>
    <n v="7"/>
    <n v="45"/>
    <n v="9039"/>
    <n v="1"/>
    <n v="4"/>
    <s v="Recovered"/>
    <n v="1"/>
  </r>
  <r>
    <s v="ADM-245046"/>
    <d v="2025-10-31T00:00:00"/>
    <d v="2025-11-08T00:00:00"/>
    <x v="1"/>
    <s v="Q4"/>
    <x v="9"/>
    <x v="4"/>
    <x v="0"/>
    <x v="0"/>
    <x v="0"/>
    <x v="0"/>
    <x v="2"/>
    <n v="8"/>
    <n v="95"/>
    <n v="5173"/>
    <n v="0"/>
    <n v="3"/>
    <s v="Recovered"/>
    <n v="1"/>
  </r>
  <r>
    <s v="ADM-245047"/>
    <d v="2025-11-01T00:00:00"/>
    <d v="2025-11-03T00:00:00"/>
    <x v="1"/>
    <s v="Q4"/>
    <x v="10"/>
    <x v="5"/>
    <x v="0"/>
    <x v="2"/>
    <x v="0"/>
    <x v="0"/>
    <x v="2"/>
    <n v="2"/>
    <m/>
    <n v="2573"/>
    <n v="0"/>
    <n v="5"/>
    <s v="Recovered"/>
    <n v="1"/>
  </r>
  <r>
    <s v="ADM-245048"/>
    <d v="2025-11-01T00:00:00"/>
    <d v="2025-11-02T00:00:00"/>
    <x v="1"/>
    <s v="Q4"/>
    <x v="10"/>
    <x v="5"/>
    <x v="1"/>
    <x v="0"/>
    <x v="0"/>
    <x v="0"/>
    <x v="2"/>
    <n v="1"/>
    <n v="101"/>
    <n v="2568"/>
    <n v="0"/>
    <n v="2"/>
    <s v="Recovered"/>
    <n v="1"/>
  </r>
  <r>
    <s v="ADM-245049"/>
    <d v="2025-11-01T00:00:00"/>
    <d v="2025-11-03T00:00:00"/>
    <x v="1"/>
    <s v="Q4"/>
    <x v="10"/>
    <x v="5"/>
    <x v="3"/>
    <x v="0"/>
    <x v="1"/>
    <x v="3"/>
    <x v="2"/>
    <n v="2"/>
    <n v="41"/>
    <n v="2396"/>
    <n v="0"/>
    <n v="3"/>
    <s v="Improved"/>
    <n v="1"/>
  </r>
  <r>
    <s v="ADM-245050"/>
    <d v="2025-11-01T00:00:00"/>
    <d v="2025-11-04T00:00:00"/>
    <x v="1"/>
    <s v="Q4"/>
    <x v="10"/>
    <x v="5"/>
    <x v="3"/>
    <x v="0"/>
    <x v="1"/>
    <x v="3"/>
    <x v="1"/>
    <n v="3"/>
    <n v="24"/>
    <n v="2485"/>
    <n v="0"/>
    <n v="4"/>
    <s v="Recovered"/>
    <n v="1"/>
  </r>
  <r>
    <s v="ADM-245051"/>
    <d v="2025-11-01T00:00:00"/>
    <d v="2025-11-13T00:00:00"/>
    <x v="1"/>
    <s v="Q4"/>
    <x v="10"/>
    <x v="5"/>
    <x v="0"/>
    <x v="0"/>
    <x v="0"/>
    <x v="1"/>
    <x v="2"/>
    <n v="12"/>
    <n v="51"/>
    <n v="11520"/>
    <n v="0"/>
    <n v="5"/>
    <s v="Recovered"/>
    <n v="1"/>
  </r>
  <r>
    <s v="ADM-245052"/>
    <d v="2025-11-01T00:00:00"/>
    <d v="2025-11-02T00:00:00"/>
    <x v="1"/>
    <s v="Q4"/>
    <x v="10"/>
    <x v="5"/>
    <x v="2"/>
    <x v="0"/>
    <x v="0"/>
    <x v="2"/>
    <x v="2"/>
    <n v="1"/>
    <n v="43"/>
    <n v="1877"/>
    <n v="0"/>
    <n v="3"/>
    <s v="Improved"/>
    <n v="1"/>
  </r>
  <r>
    <s v="ADM-245053"/>
    <d v="2025-11-01T00:00:00"/>
    <d v="2025-11-08T00:00:00"/>
    <x v="1"/>
    <s v="Q4"/>
    <x v="10"/>
    <x v="5"/>
    <x v="4"/>
    <x v="0"/>
    <x v="0"/>
    <x v="1"/>
    <x v="2"/>
    <n v="7"/>
    <n v="59"/>
    <n v="6527"/>
    <n v="0"/>
    <n v="5"/>
    <s v="Recovered"/>
    <n v="1"/>
  </r>
  <r>
    <s v="ADM-245054"/>
    <d v="2025-11-01T00:00:00"/>
    <d v="2025-11-03T00:00:00"/>
    <x v="1"/>
    <s v="Q4"/>
    <x v="10"/>
    <x v="5"/>
    <x v="3"/>
    <x v="2"/>
    <x v="0"/>
    <x v="3"/>
    <x v="2"/>
    <n v="2"/>
    <m/>
    <n v="2122"/>
    <n v="0"/>
    <n v="4"/>
    <s v="Recovered"/>
    <n v="1"/>
  </r>
  <r>
    <s v="ADM-245055"/>
    <d v="2025-11-01T00:00:00"/>
    <d v="2025-11-04T00:00:00"/>
    <x v="1"/>
    <s v="Q4"/>
    <x v="10"/>
    <x v="5"/>
    <x v="5"/>
    <x v="2"/>
    <x v="0"/>
    <x v="1"/>
    <x v="2"/>
    <n v="3"/>
    <m/>
    <n v="3362"/>
    <n v="0"/>
    <n v="3"/>
    <s v="Improved"/>
    <n v="1"/>
  </r>
  <r>
    <s v="ADM-245056"/>
    <d v="2025-11-01T00:00:00"/>
    <d v="2025-11-03T00:00:00"/>
    <x v="1"/>
    <s v="Q4"/>
    <x v="10"/>
    <x v="5"/>
    <x v="3"/>
    <x v="0"/>
    <x v="1"/>
    <x v="3"/>
    <x v="0"/>
    <n v="2"/>
    <n v="95"/>
    <n v="1950"/>
    <n v="0"/>
    <n v="3"/>
    <s v="Recovered"/>
    <n v="1"/>
  </r>
  <r>
    <s v="ADM-245057"/>
    <d v="2025-11-01T00:00:00"/>
    <d v="2025-11-05T00:00:00"/>
    <x v="1"/>
    <s v="Q4"/>
    <x v="10"/>
    <x v="5"/>
    <x v="2"/>
    <x v="2"/>
    <x v="0"/>
    <x v="2"/>
    <x v="0"/>
    <n v="4"/>
    <m/>
    <n v="3268"/>
    <n v="0"/>
    <n v="5"/>
    <s v="Recovered"/>
    <n v="1"/>
  </r>
  <r>
    <s v="ADM-245058"/>
    <d v="2025-11-01T00:00:00"/>
    <d v="2025-11-06T00:00:00"/>
    <x v="1"/>
    <s v="Q4"/>
    <x v="10"/>
    <x v="5"/>
    <x v="0"/>
    <x v="0"/>
    <x v="0"/>
    <x v="0"/>
    <x v="0"/>
    <n v="5"/>
    <n v="18"/>
    <n v="4614"/>
    <n v="0"/>
    <n v="4"/>
    <s v="Transferred"/>
    <n v="1"/>
  </r>
  <r>
    <s v="ADM-245059"/>
    <d v="2025-11-01T00:00:00"/>
    <d v="2025-11-05T00:00:00"/>
    <x v="1"/>
    <s v="Q4"/>
    <x v="10"/>
    <x v="5"/>
    <x v="5"/>
    <x v="2"/>
    <x v="0"/>
    <x v="2"/>
    <x v="2"/>
    <n v="4"/>
    <m/>
    <n v="4821"/>
    <n v="0"/>
    <n v="4"/>
    <s v="Recovered"/>
    <n v="1"/>
  </r>
  <r>
    <s v="ADM-245060"/>
    <d v="2025-11-01T00:00:00"/>
    <d v="2025-11-04T00:00:00"/>
    <x v="1"/>
    <s v="Q4"/>
    <x v="10"/>
    <x v="5"/>
    <x v="4"/>
    <x v="2"/>
    <x v="0"/>
    <x v="0"/>
    <x v="0"/>
    <n v="3"/>
    <m/>
    <n v="4052"/>
    <n v="1"/>
    <n v="4"/>
    <s v="Recovered"/>
    <n v="1"/>
  </r>
  <r>
    <s v="ADM-245061"/>
    <d v="2025-11-02T00:00:00"/>
    <d v="2025-11-06T00:00:00"/>
    <x v="1"/>
    <s v="Q4"/>
    <x v="10"/>
    <x v="6"/>
    <x v="1"/>
    <x v="2"/>
    <x v="1"/>
    <x v="0"/>
    <x v="2"/>
    <n v="4"/>
    <m/>
    <n v="4252"/>
    <n v="0"/>
    <n v="5"/>
    <s v="Recovered"/>
    <n v="1"/>
  </r>
  <r>
    <s v="ADM-245062"/>
    <d v="2025-11-02T00:00:00"/>
    <d v="2025-11-06T00:00:00"/>
    <x v="1"/>
    <s v="Q4"/>
    <x v="10"/>
    <x v="6"/>
    <x v="1"/>
    <x v="0"/>
    <x v="1"/>
    <x v="0"/>
    <x v="2"/>
    <n v="4"/>
    <n v="15"/>
    <n v="5682"/>
    <n v="0"/>
    <n v="4"/>
    <s v="Recovered"/>
    <n v="1"/>
  </r>
  <r>
    <s v="ADM-245063"/>
    <d v="2025-11-02T00:00:00"/>
    <d v="2025-11-04T00:00:00"/>
    <x v="1"/>
    <s v="Q4"/>
    <x v="10"/>
    <x v="6"/>
    <x v="5"/>
    <x v="2"/>
    <x v="1"/>
    <x v="0"/>
    <x v="2"/>
    <n v="2"/>
    <m/>
    <n v="2265"/>
    <n v="1"/>
    <n v="4"/>
    <s v="Improved"/>
    <n v="1"/>
  </r>
  <r>
    <s v="ADM-245064"/>
    <d v="2025-11-02T00:00:00"/>
    <d v="2025-11-06T00:00:00"/>
    <x v="1"/>
    <s v="Q4"/>
    <x v="10"/>
    <x v="6"/>
    <x v="4"/>
    <x v="2"/>
    <x v="1"/>
    <x v="4"/>
    <x v="0"/>
    <n v="4"/>
    <m/>
    <n v="5281"/>
    <n v="0"/>
    <n v="4"/>
    <s v="Recovered"/>
    <n v="1"/>
  </r>
  <r>
    <s v="ADM-245065"/>
    <d v="2025-11-02T00:00:00"/>
    <d v="2025-11-03T00:00:00"/>
    <x v="1"/>
    <s v="Q4"/>
    <x v="10"/>
    <x v="6"/>
    <x v="1"/>
    <x v="2"/>
    <x v="0"/>
    <x v="2"/>
    <x v="0"/>
    <n v="1"/>
    <m/>
    <n v="1461"/>
    <n v="0"/>
    <n v="5"/>
    <s v="Recovered"/>
    <n v="1"/>
  </r>
  <r>
    <s v="ADM-245066"/>
    <d v="2025-11-02T00:00:00"/>
    <d v="2025-11-07T00:00:00"/>
    <x v="1"/>
    <s v="Q4"/>
    <x v="10"/>
    <x v="6"/>
    <x v="2"/>
    <x v="0"/>
    <x v="0"/>
    <x v="2"/>
    <x v="1"/>
    <n v="5"/>
    <n v="57"/>
    <n v="3320"/>
    <n v="0"/>
    <n v="3"/>
    <s v="Recovered"/>
    <n v="1"/>
  </r>
  <r>
    <s v="ADM-245067"/>
    <d v="2025-11-02T00:00:00"/>
    <d v="2025-11-07T00:00:00"/>
    <x v="1"/>
    <s v="Q4"/>
    <x v="10"/>
    <x v="6"/>
    <x v="3"/>
    <x v="0"/>
    <x v="1"/>
    <x v="3"/>
    <x v="2"/>
    <n v="5"/>
    <n v="28"/>
    <n v="3083"/>
    <n v="0"/>
    <n v="4"/>
    <s v="Improved"/>
    <n v="1"/>
  </r>
  <r>
    <s v="ADM-245068"/>
    <d v="2025-11-02T00:00:00"/>
    <d v="2025-11-03T00:00:00"/>
    <x v="1"/>
    <s v="Q4"/>
    <x v="10"/>
    <x v="6"/>
    <x v="3"/>
    <x v="0"/>
    <x v="0"/>
    <x v="3"/>
    <x v="2"/>
    <n v="1"/>
    <n v="69"/>
    <n v="1504"/>
    <n v="0"/>
    <n v="4"/>
    <s v="Recovered"/>
    <n v="1"/>
  </r>
  <r>
    <s v="ADM-245069"/>
    <d v="2025-11-02T00:00:00"/>
    <d v="2025-11-03T00:00:00"/>
    <x v="1"/>
    <s v="Q4"/>
    <x v="10"/>
    <x v="6"/>
    <x v="2"/>
    <x v="2"/>
    <x v="0"/>
    <x v="1"/>
    <x v="0"/>
    <n v="1"/>
    <m/>
    <n v="1044"/>
    <n v="0"/>
    <n v="4"/>
    <s v="Recovered"/>
    <n v="1"/>
  </r>
  <r>
    <s v="ADM-245070"/>
    <d v="2025-11-03T00:00:00"/>
    <d v="2025-11-05T00:00:00"/>
    <x v="1"/>
    <s v="Q4"/>
    <x v="10"/>
    <x v="0"/>
    <x v="2"/>
    <x v="0"/>
    <x v="0"/>
    <x v="1"/>
    <x v="0"/>
    <n v="2"/>
    <n v="56"/>
    <n v="2541"/>
    <n v="0"/>
    <n v="4"/>
    <s v="Improved"/>
    <n v="1"/>
  </r>
  <r>
    <s v="ADM-245071"/>
    <d v="2025-11-03T00:00:00"/>
    <d v="2025-11-09T00:00:00"/>
    <x v="1"/>
    <s v="Q4"/>
    <x v="10"/>
    <x v="0"/>
    <x v="1"/>
    <x v="2"/>
    <x v="0"/>
    <x v="4"/>
    <x v="0"/>
    <n v="6"/>
    <m/>
    <n v="5426"/>
    <n v="1"/>
    <n v="4"/>
    <s v="Recovered"/>
    <n v="1"/>
  </r>
  <r>
    <s v="ADM-245072"/>
    <d v="2025-11-03T00:00:00"/>
    <d v="2025-11-08T00:00:00"/>
    <x v="1"/>
    <s v="Q4"/>
    <x v="10"/>
    <x v="0"/>
    <x v="0"/>
    <x v="2"/>
    <x v="0"/>
    <x v="1"/>
    <x v="2"/>
    <n v="5"/>
    <m/>
    <n v="3728"/>
    <n v="0"/>
    <n v="5"/>
    <s v="Improved"/>
    <n v="1"/>
  </r>
  <r>
    <s v="ADM-245073"/>
    <d v="2025-11-04T00:00:00"/>
    <d v="2025-11-07T00:00:00"/>
    <x v="1"/>
    <s v="Q4"/>
    <x v="10"/>
    <x v="1"/>
    <x v="5"/>
    <x v="2"/>
    <x v="1"/>
    <x v="1"/>
    <x v="2"/>
    <n v="3"/>
    <m/>
    <n v="3739"/>
    <n v="0"/>
    <n v="4"/>
    <s v="Recovered"/>
    <n v="1"/>
  </r>
  <r>
    <s v="ADM-245074"/>
    <d v="2025-11-04T00:00:00"/>
    <d v="2025-11-05T00:00:00"/>
    <x v="1"/>
    <s v="Q4"/>
    <x v="10"/>
    <x v="1"/>
    <x v="2"/>
    <x v="0"/>
    <x v="0"/>
    <x v="1"/>
    <x v="2"/>
    <n v="1"/>
    <n v="21"/>
    <n v="1448"/>
    <n v="0"/>
    <n v="4"/>
    <s v="Recovered"/>
    <n v="1"/>
  </r>
  <r>
    <s v="ADM-245075"/>
    <d v="2025-11-04T00:00:00"/>
    <d v="2025-11-16T00:00:00"/>
    <x v="1"/>
    <s v="Q4"/>
    <x v="10"/>
    <x v="1"/>
    <x v="0"/>
    <x v="0"/>
    <x v="0"/>
    <x v="1"/>
    <x v="2"/>
    <n v="12"/>
    <n v="18"/>
    <n v="7670"/>
    <n v="0"/>
    <n v="4"/>
    <s v="Recovered"/>
    <n v="1"/>
  </r>
  <r>
    <s v="ADM-245076"/>
    <d v="2025-11-04T00:00:00"/>
    <d v="2025-11-06T00:00:00"/>
    <x v="1"/>
    <s v="Q4"/>
    <x v="10"/>
    <x v="1"/>
    <x v="0"/>
    <x v="0"/>
    <x v="0"/>
    <x v="4"/>
    <x v="2"/>
    <n v="2"/>
    <n v="37"/>
    <n v="2402"/>
    <n v="0"/>
    <n v="4"/>
    <s v="Recovered"/>
    <n v="1"/>
  </r>
  <r>
    <s v="ADM-245077"/>
    <d v="2025-11-04T00:00:00"/>
    <d v="2025-11-14T00:00:00"/>
    <x v="1"/>
    <s v="Q4"/>
    <x v="10"/>
    <x v="1"/>
    <x v="0"/>
    <x v="0"/>
    <x v="0"/>
    <x v="0"/>
    <x v="2"/>
    <n v="10"/>
    <n v="34"/>
    <n v="6712"/>
    <n v="0"/>
    <n v="4"/>
    <s v="Recovered"/>
    <n v="1"/>
  </r>
  <r>
    <s v="ADM-245078"/>
    <d v="2025-11-04T00:00:00"/>
    <d v="2025-11-05T00:00:00"/>
    <x v="1"/>
    <s v="Q4"/>
    <x v="10"/>
    <x v="1"/>
    <x v="0"/>
    <x v="1"/>
    <x v="0"/>
    <x v="0"/>
    <x v="2"/>
    <n v="1"/>
    <m/>
    <n v="1429"/>
    <n v="0"/>
    <n v="5"/>
    <s v="Recovered"/>
    <n v="1"/>
  </r>
  <r>
    <s v="ADM-245079"/>
    <d v="2025-11-04T00:00:00"/>
    <d v="2025-11-09T00:00:00"/>
    <x v="1"/>
    <s v="Q4"/>
    <x v="10"/>
    <x v="1"/>
    <x v="4"/>
    <x v="0"/>
    <x v="0"/>
    <x v="2"/>
    <x v="1"/>
    <n v="5"/>
    <n v="33"/>
    <n v="6253"/>
    <n v="0"/>
    <n v="5"/>
    <s v="Recovered"/>
    <n v="1"/>
  </r>
  <r>
    <s v="ADM-245080"/>
    <d v="2025-11-05T00:00:00"/>
    <d v="2025-11-07T00:00:00"/>
    <x v="1"/>
    <s v="Q4"/>
    <x v="10"/>
    <x v="2"/>
    <x v="3"/>
    <x v="0"/>
    <x v="0"/>
    <x v="3"/>
    <x v="0"/>
    <n v="2"/>
    <n v="36"/>
    <n v="1789"/>
    <n v="0"/>
    <n v="4"/>
    <s v="Recovered"/>
    <n v="1"/>
  </r>
  <r>
    <s v="ADM-245081"/>
    <d v="2025-11-05T00:00:00"/>
    <d v="2025-11-08T00:00:00"/>
    <x v="1"/>
    <s v="Q4"/>
    <x v="10"/>
    <x v="2"/>
    <x v="3"/>
    <x v="2"/>
    <x v="1"/>
    <x v="3"/>
    <x v="2"/>
    <n v="3"/>
    <m/>
    <n v="2986"/>
    <n v="0"/>
    <n v="5"/>
    <s v="Recovered"/>
    <n v="1"/>
  </r>
  <r>
    <s v="ADM-245082"/>
    <d v="2025-11-05T00:00:00"/>
    <d v="2025-11-14T00:00:00"/>
    <x v="1"/>
    <s v="Q4"/>
    <x v="10"/>
    <x v="2"/>
    <x v="5"/>
    <x v="2"/>
    <x v="0"/>
    <x v="4"/>
    <x v="0"/>
    <n v="9"/>
    <m/>
    <n v="4434"/>
    <n v="0"/>
    <n v="4"/>
    <s v="Recovered"/>
    <n v="1"/>
  </r>
  <r>
    <s v="ADM-245083"/>
    <d v="2025-11-05T00:00:00"/>
    <d v="2025-11-08T00:00:00"/>
    <x v="1"/>
    <s v="Q4"/>
    <x v="10"/>
    <x v="2"/>
    <x v="3"/>
    <x v="0"/>
    <x v="0"/>
    <x v="3"/>
    <x v="2"/>
    <n v="3"/>
    <n v="15"/>
    <n v="2938"/>
    <n v="0"/>
    <n v="5"/>
    <s v="Recovered"/>
    <n v="1"/>
  </r>
  <r>
    <s v="ADM-245084"/>
    <d v="2025-11-05T00:00:00"/>
    <d v="2025-11-09T00:00:00"/>
    <x v="1"/>
    <s v="Q4"/>
    <x v="10"/>
    <x v="2"/>
    <x v="1"/>
    <x v="0"/>
    <x v="1"/>
    <x v="0"/>
    <x v="2"/>
    <n v="4"/>
    <n v="24"/>
    <n v="4754"/>
    <n v="0"/>
    <n v="4"/>
    <s v="Recovered"/>
    <n v="1"/>
  </r>
  <r>
    <s v="ADM-245085"/>
    <d v="2025-11-05T00:00:00"/>
    <d v="2025-11-11T00:00:00"/>
    <x v="1"/>
    <s v="Q4"/>
    <x v="10"/>
    <x v="2"/>
    <x v="1"/>
    <x v="2"/>
    <x v="0"/>
    <x v="2"/>
    <x v="1"/>
    <n v="6"/>
    <m/>
    <n v="6256"/>
    <n v="0"/>
    <n v="4"/>
    <s v="Recovered"/>
    <n v="1"/>
  </r>
  <r>
    <s v="ADM-245086"/>
    <d v="2025-11-05T00:00:00"/>
    <d v="2025-11-07T00:00:00"/>
    <x v="1"/>
    <s v="Q4"/>
    <x v="10"/>
    <x v="2"/>
    <x v="1"/>
    <x v="1"/>
    <x v="1"/>
    <x v="0"/>
    <x v="2"/>
    <n v="2"/>
    <m/>
    <n v="3206"/>
    <n v="0"/>
    <n v="5"/>
    <s v="Improved"/>
    <n v="1"/>
  </r>
  <r>
    <s v="ADM-245087"/>
    <d v="2025-11-05T00:00:00"/>
    <d v="2025-11-06T00:00:00"/>
    <x v="1"/>
    <s v="Q4"/>
    <x v="10"/>
    <x v="2"/>
    <x v="3"/>
    <x v="0"/>
    <x v="1"/>
    <x v="3"/>
    <x v="0"/>
    <n v="1"/>
    <n v="36"/>
    <n v="1752"/>
    <n v="0"/>
    <n v="4"/>
    <s v="Recovered"/>
    <n v="1"/>
  </r>
  <r>
    <s v="ADM-245088"/>
    <d v="2025-11-05T00:00:00"/>
    <d v="2025-11-07T00:00:00"/>
    <x v="1"/>
    <s v="Q4"/>
    <x v="10"/>
    <x v="2"/>
    <x v="4"/>
    <x v="0"/>
    <x v="0"/>
    <x v="0"/>
    <x v="0"/>
    <n v="2"/>
    <n v="76"/>
    <n v="3513"/>
    <n v="0"/>
    <n v="5"/>
    <s v="Improved"/>
    <n v="1"/>
  </r>
  <r>
    <s v="ADM-245089"/>
    <d v="2025-11-05T00:00:00"/>
    <d v="2025-11-10T00:00:00"/>
    <x v="1"/>
    <s v="Q4"/>
    <x v="10"/>
    <x v="2"/>
    <x v="4"/>
    <x v="0"/>
    <x v="0"/>
    <x v="4"/>
    <x v="2"/>
    <n v="5"/>
    <n v="23"/>
    <n v="7005"/>
    <n v="0"/>
    <n v="4"/>
    <s v="Improved"/>
    <n v="1"/>
  </r>
  <r>
    <s v="ADM-245090"/>
    <d v="2025-11-06T00:00:00"/>
    <d v="2025-11-13T00:00:00"/>
    <x v="1"/>
    <s v="Q4"/>
    <x v="10"/>
    <x v="3"/>
    <x v="0"/>
    <x v="0"/>
    <x v="1"/>
    <x v="2"/>
    <x v="0"/>
    <n v="7"/>
    <n v="40"/>
    <n v="5498"/>
    <n v="0"/>
    <n v="3"/>
    <s v="Improved"/>
    <n v="1"/>
  </r>
  <r>
    <s v="ADM-245091"/>
    <d v="2025-11-06T00:00:00"/>
    <d v="2025-11-08T00:00:00"/>
    <x v="1"/>
    <s v="Q4"/>
    <x v="10"/>
    <x v="3"/>
    <x v="2"/>
    <x v="0"/>
    <x v="0"/>
    <x v="2"/>
    <x v="0"/>
    <n v="2"/>
    <n v="72"/>
    <n v="1778"/>
    <n v="0"/>
    <n v="4"/>
    <s v="Improved"/>
    <n v="1"/>
  </r>
  <r>
    <s v="ADM-245092"/>
    <d v="2025-11-06T00:00:00"/>
    <d v="2025-11-15T00:00:00"/>
    <x v="1"/>
    <s v="Q4"/>
    <x v="10"/>
    <x v="3"/>
    <x v="1"/>
    <x v="2"/>
    <x v="0"/>
    <x v="0"/>
    <x v="0"/>
    <n v="9"/>
    <m/>
    <n v="7296"/>
    <n v="0"/>
    <n v="5"/>
    <s v="Recovered"/>
    <n v="1"/>
  </r>
  <r>
    <s v="ADM-245093"/>
    <d v="2025-11-06T00:00:00"/>
    <d v="2025-11-10T00:00:00"/>
    <x v="1"/>
    <s v="Q4"/>
    <x v="10"/>
    <x v="3"/>
    <x v="5"/>
    <x v="2"/>
    <x v="0"/>
    <x v="4"/>
    <x v="0"/>
    <n v="4"/>
    <m/>
    <n v="4285"/>
    <n v="1"/>
    <n v="4"/>
    <s v="Recovered"/>
    <n v="1"/>
  </r>
  <r>
    <s v="ADM-245094"/>
    <d v="2025-11-06T00:00:00"/>
    <d v="2025-11-10T00:00:00"/>
    <x v="1"/>
    <s v="Q4"/>
    <x v="10"/>
    <x v="3"/>
    <x v="0"/>
    <x v="0"/>
    <x v="0"/>
    <x v="0"/>
    <x v="2"/>
    <n v="4"/>
    <n v="24"/>
    <n v="3615"/>
    <n v="0"/>
    <n v="5"/>
    <s v="Recovered"/>
    <n v="1"/>
  </r>
  <r>
    <s v="ADM-245095"/>
    <d v="2025-11-06T00:00:00"/>
    <d v="2025-11-07T00:00:00"/>
    <x v="1"/>
    <s v="Q4"/>
    <x v="10"/>
    <x v="3"/>
    <x v="1"/>
    <x v="0"/>
    <x v="0"/>
    <x v="1"/>
    <x v="2"/>
    <n v="1"/>
    <n v="70"/>
    <n v="2066"/>
    <n v="0"/>
    <n v="4"/>
    <s v="Deceased"/>
    <n v="1"/>
  </r>
  <r>
    <s v="ADM-245096"/>
    <d v="2025-11-06T00:00:00"/>
    <d v="2025-11-12T00:00:00"/>
    <x v="1"/>
    <s v="Q4"/>
    <x v="10"/>
    <x v="3"/>
    <x v="0"/>
    <x v="2"/>
    <x v="0"/>
    <x v="1"/>
    <x v="2"/>
    <n v="6"/>
    <m/>
    <n v="5085"/>
    <n v="0"/>
    <n v="4"/>
    <s v="Recovered"/>
    <n v="1"/>
  </r>
  <r>
    <s v="ADM-245097"/>
    <d v="2025-11-06T00:00:00"/>
    <d v="2025-11-08T00:00:00"/>
    <x v="1"/>
    <s v="Q4"/>
    <x v="10"/>
    <x v="3"/>
    <x v="0"/>
    <x v="0"/>
    <x v="0"/>
    <x v="0"/>
    <x v="2"/>
    <n v="2"/>
    <n v="36"/>
    <n v="2214"/>
    <n v="0"/>
    <n v="5"/>
    <s v="Improved"/>
    <n v="1"/>
  </r>
  <r>
    <s v="ADM-245098"/>
    <d v="2025-11-06T00:00:00"/>
    <d v="2025-11-15T00:00:00"/>
    <x v="1"/>
    <s v="Q4"/>
    <x v="10"/>
    <x v="3"/>
    <x v="4"/>
    <x v="1"/>
    <x v="0"/>
    <x v="0"/>
    <x v="1"/>
    <n v="9"/>
    <m/>
    <n v="14687"/>
    <n v="0"/>
    <n v="5"/>
    <s v="Transferred"/>
    <n v="1"/>
  </r>
  <r>
    <s v="ADM-245099"/>
    <d v="2025-11-06T00:00:00"/>
    <d v="2025-11-07T00:00:00"/>
    <x v="1"/>
    <s v="Q4"/>
    <x v="10"/>
    <x v="3"/>
    <x v="5"/>
    <x v="2"/>
    <x v="1"/>
    <x v="1"/>
    <x v="2"/>
    <n v="1"/>
    <m/>
    <n v="1693"/>
    <n v="0"/>
    <n v="3"/>
    <s v="Improved"/>
    <n v="1"/>
  </r>
  <r>
    <s v="ADM-245100"/>
    <d v="2025-11-06T00:00:00"/>
    <d v="2025-11-09T00:00:00"/>
    <x v="1"/>
    <s v="Q4"/>
    <x v="10"/>
    <x v="3"/>
    <x v="1"/>
    <x v="0"/>
    <x v="0"/>
    <x v="1"/>
    <x v="2"/>
    <n v="3"/>
    <n v="86"/>
    <n v="3176"/>
    <n v="0"/>
    <n v="4"/>
    <s v="Recovered"/>
    <n v="1"/>
  </r>
  <r>
    <s v="ADM-245101"/>
    <d v="2025-11-07T00:00:00"/>
    <d v="2025-11-10T00:00:00"/>
    <x v="1"/>
    <s v="Q4"/>
    <x v="10"/>
    <x v="4"/>
    <x v="5"/>
    <x v="2"/>
    <x v="0"/>
    <x v="4"/>
    <x v="2"/>
    <n v="3"/>
    <m/>
    <n v="3468"/>
    <n v="0"/>
    <n v="4"/>
    <s v="Recovered"/>
    <n v="1"/>
  </r>
  <r>
    <s v="ADM-245102"/>
    <d v="2025-11-07T00:00:00"/>
    <d v="2025-11-10T00:00:00"/>
    <x v="1"/>
    <s v="Q4"/>
    <x v="10"/>
    <x v="4"/>
    <x v="4"/>
    <x v="0"/>
    <x v="1"/>
    <x v="4"/>
    <x v="2"/>
    <n v="3"/>
    <n v="24"/>
    <n v="4694"/>
    <n v="0"/>
    <n v="5"/>
    <s v="Recovered"/>
    <n v="1"/>
  </r>
  <r>
    <s v="ADM-245103"/>
    <d v="2025-11-07T00:00:00"/>
    <d v="2025-11-08T00:00:00"/>
    <x v="1"/>
    <s v="Q4"/>
    <x v="10"/>
    <x v="4"/>
    <x v="4"/>
    <x v="0"/>
    <x v="0"/>
    <x v="4"/>
    <x v="0"/>
    <n v="1"/>
    <n v="57"/>
    <n v="1841"/>
    <n v="0"/>
    <n v="4"/>
    <s v="Recovered"/>
    <n v="1"/>
  </r>
  <r>
    <s v="ADM-245104"/>
    <d v="2025-11-07T00:00:00"/>
    <d v="2025-11-13T00:00:00"/>
    <x v="1"/>
    <s v="Q4"/>
    <x v="10"/>
    <x v="4"/>
    <x v="1"/>
    <x v="2"/>
    <x v="0"/>
    <x v="2"/>
    <x v="1"/>
    <n v="6"/>
    <m/>
    <n v="5841"/>
    <n v="0"/>
    <n v="5"/>
    <s v="Improved"/>
    <n v="1"/>
  </r>
  <r>
    <s v="ADM-245105"/>
    <d v="2025-11-07T00:00:00"/>
    <d v="2025-11-14T00:00:00"/>
    <x v="1"/>
    <s v="Q4"/>
    <x v="10"/>
    <x v="4"/>
    <x v="5"/>
    <x v="1"/>
    <x v="1"/>
    <x v="2"/>
    <x v="2"/>
    <n v="7"/>
    <m/>
    <n v="7601"/>
    <n v="0"/>
    <n v="5"/>
    <s v="Recovered"/>
    <n v="1"/>
  </r>
  <r>
    <s v="ADM-245106"/>
    <d v="2025-11-07T00:00:00"/>
    <d v="2025-11-08T00:00:00"/>
    <x v="1"/>
    <s v="Q4"/>
    <x v="10"/>
    <x v="4"/>
    <x v="3"/>
    <x v="0"/>
    <x v="1"/>
    <x v="3"/>
    <x v="2"/>
    <n v="1"/>
    <n v="35"/>
    <n v="1359"/>
    <n v="0"/>
    <n v="5"/>
    <s v="Recovered"/>
    <n v="1"/>
  </r>
  <r>
    <s v="ADM-245107"/>
    <d v="2025-11-07T00:00:00"/>
    <d v="2025-11-09T00:00:00"/>
    <x v="1"/>
    <s v="Q4"/>
    <x v="10"/>
    <x v="4"/>
    <x v="4"/>
    <x v="0"/>
    <x v="0"/>
    <x v="2"/>
    <x v="0"/>
    <n v="2"/>
    <n v="19"/>
    <n v="3279"/>
    <n v="0"/>
    <n v="5"/>
    <s v="Recovered"/>
    <n v="1"/>
  </r>
  <r>
    <s v="ADM-245108"/>
    <d v="2025-11-08T00:00:00"/>
    <d v="2025-11-13T00:00:00"/>
    <x v="1"/>
    <s v="Q4"/>
    <x v="10"/>
    <x v="5"/>
    <x v="0"/>
    <x v="1"/>
    <x v="0"/>
    <x v="1"/>
    <x v="0"/>
    <n v="5"/>
    <m/>
    <n v="4392"/>
    <n v="0"/>
    <n v="5"/>
    <s v="Recovered"/>
    <n v="1"/>
  </r>
  <r>
    <s v="ADM-245109"/>
    <d v="2025-11-08T00:00:00"/>
    <d v="2025-11-11T00:00:00"/>
    <x v="1"/>
    <s v="Q4"/>
    <x v="10"/>
    <x v="5"/>
    <x v="2"/>
    <x v="0"/>
    <x v="0"/>
    <x v="2"/>
    <x v="2"/>
    <n v="3"/>
    <n v="32"/>
    <n v="1775"/>
    <n v="0"/>
    <n v="4"/>
    <s v="Recovered"/>
    <n v="1"/>
  </r>
  <r>
    <s v="ADM-245110"/>
    <d v="2025-11-08T00:00:00"/>
    <d v="2025-11-10T00:00:00"/>
    <x v="1"/>
    <s v="Q4"/>
    <x v="10"/>
    <x v="5"/>
    <x v="1"/>
    <x v="2"/>
    <x v="1"/>
    <x v="0"/>
    <x v="0"/>
    <n v="2"/>
    <m/>
    <n v="2686"/>
    <n v="0"/>
    <n v="5"/>
    <s v="Recovered"/>
    <n v="1"/>
  </r>
  <r>
    <s v="ADM-245111"/>
    <d v="2025-11-08T00:00:00"/>
    <d v="2025-11-12T00:00:00"/>
    <x v="1"/>
    <s v="Q4"/>
    <x v="10"/>
    <x v="5"/>
    <x v="2"/>
    <x v="0"/>
    <x v="0"/>
    <x v="1"/>
    <x v="2"/>
    <n v="4"/>
    <n v="60"/>
    <n v="3471"/>
    <n v="0"/>
    <n v="5"/>
    <s v="Improved"/>
    <n v="1"/>
  </r>
  <r>
    <s v="ADM-245112"/>
    <d v="2025-11-08T00:00:00"/>
    <d v="2025-11-14T00:00:00"/>
    <x v="1"/>
    <s v="Q4"/>
    <x v="10"/>
    <x v="5"/>
    <x v="4"/>
    <x v="0"/>
    <x v="1"/>
    <x v="0"/>
    <x v="2"/>
    <n v="6"/>
    <n v="35"/>
    <n v="8434"/>
    <n v="0"/>
    <n v="5"/>
    <s v="Transferred"/>
    <n v="1"/>
  </r>
  <r>
    <s v="ADM-245113"/>
    <d v="2025-11-09T00:00:00"/>
    <d v="2025-11-11T00:00:00"/>
    <x v="1"/>
    <s v="Q4"/>
    <x v="10"/>
    <x v="6"/>
    <x v="1"/>
    <x v="0"/>
    <x v="1"/>
    <x v="0"/>
    <x v="0"/>
    <n v="2"/>
    <n v="55"/>
    <n v="2655"/>
    <n v="1"/>
    <n v="4"/>
    <s v="Recovered"/>
    <n v="1"/>
  </r>
  <r>
    <s v="ADM-245114"/>
    <d v="2025-11-09T00:00:00"/>
    <d v="2025-11-11T00:00:00"/>
    <x v="1"/>
    <s v="Q4"/>
    <x v="10"/>
    <x v="6"/>
    <x v="5"/>
    <x v="2"/>
    <x v="1"/>
    <x v="4"/>
    <x v="2"/>
    <n v="2"/>
    <m/>
    <n v="2762"/>
    <n v="0"/>
    <n v="4"/>
    <s v="Improved"/>
    <n v="1"/>
  </r>
  <r>
    <s v="ADM-245115"/>
    <d v="2025-11-09T00:00:00"/>
    <d v="2025-11-10T00:00:00"/>
    <x v="1"/>
    <s v="Q4"/>
    <x v="10"/>
    <x v="6"/>
    <x v="5"/>
    <x v="2"/>
    <x v="0"/>
    <x v="4"/>
    <x v="2"/>
    <n v="1"/>
    <m/>
    <n v="1680"/>
    <n v="0"/>
    <n v="5"/>
    <s v="Recovered"/>
    <n v="1"/>
  </r>
  <r>
    <s v="ADM-245116"/>
    <d v="2025-11-09T00:00:00"/>
    <d v="2025-11-10T00:00:00"/>
    <x v="1"/>
    <s v="Q4"/>
    <x v="10"/>
    <x v="6"/>
    <x v="5"/>
    <x v="0"/>
    <x v="1"/>
    <x v="0"/>
    <x v="0"/>
    <n v="1"/>
    <n v="72"/>
    <n v="1784"/>
    <n v="0"/>
    <n v="5"/>
    <s v="Recovered"/>
    <n v="1"/>
  </r>
  <r>
    <s v="ADM-245117"/>
    <d v="2025-11-09T00:00:00"/>
    <d v="2025-11-13T00:00:00"/>
    <x v="1"/>
    <s v="Q4"/>
    <x v="10"/>
    <x v="6"/>
    <x v="1"/>
    <x v="0"/>
    <x v="0"/>
    <x v="1"/>
    <x v="0"/>
    <n v="4"/>
    <n v="77"/>
    <n v="4809"/>
    <n v="0"/>
    <n v="4"/>
    <s v="Recovered"/>
    <n v="1"/>
  </r>
  <r>
    <s v="ADM-245118"/>
    <d v="2025-11-09T00:00:00"/>
    <d v="2025-11-11T00:00:00"/>
    <x v="1"/>
    <s v="Q4"/>
    <x v="10"/>
    <x v="6"/>
    <x v="5"/>
    <x v="2"/>
    <x v="0"/>
    <x v="4"/>
    <x v="1"/>
    <n v="2"/>
    <m/>
    <n v="2810"/>
    <n v="1"/>
    <n v="3"/>
    <s v="Recovered"/>
    <n v="1"/>
  </r>
  <r>
    <s v="ADM-245119"/>
    <d v="2025-11-09T00:00:00"/>
    <d v="2025-11-11T00:00:00"/>
    <x v="1"/>
    <s v="Q4"/>
    <x v="10"/>
    <x v="6"/>
    <x v="3"/>
    <x v="0"/>
    <x v="1"/>
    <x v="3"/>
    <x v="2"/>
    <n v="2"/>
    <n v="36"/>
    <n v="2027"/>
    <n v="0"/>
    <n v="4"/>
    <s v="Improved"/>
    <n v="1"/>
  </r>
  <r>
    <s v="ADM-245120"/>
    <d v="2025-11-09T00:00:00"/>
    <d v="2025-11-13T00:00:00"/>
    <x v="1"/>
    <s v="Q4"/>
    <x v="10"/>
    <x v="6"/>
    <x v="2"/>
    <x v="0"/>
    <x v="0"/>
    <x v="2"/>
    <x v="0"/>
    <n v="4"/>
    <n v="31"/>
    <n v="3489"/>
    <n v="0"/>
    <n v="5"/>
    <s v="Improved"/>
    <n v="1"/>
  </r>
  <r>
    <s v="ADM-245121"/>
    <d v="2025-11-09T00:00:00"/>
    <d v="2025-11-11T00:00:00"/>
    <x v="1"/>
    <s v="Q4"/>
    <x v="10"/>
    <x v="6"/>
    <x v="1"/>
    <x v="2"/>
    <x v="0"/>
    <x v="1"/>
    <x v="0"/>
    <n v="2"/>
    <m/>
    <n v="2726"/>
    <n v="0"/>
    <n v="4"/>
    <s v="Improved"/>
    <n v="1"/>
  </r>
  <r>
    <s v="ADM-245122"/>
    <d v="2025-11-10T00:00:00"/>
    <d v="2025-11-11T00:00:00"/>
    <x v="1"/>
    <s v="Q4"/>
    <x v="10"/>
    <x v="0"/>
    <x v="1"/>
    <x v="2"/>
    <x v="0"/>
    <x v="0"/>
    <x v="0"/>
    <n v="1"/>
    <m/>
    <n v="1937"/>
    <n v="0"/>
    <n v="5"/>
    <s v="Recovered"/>
    <n v="1"/>
  </r>
  <r>
    <s v="ADM-245123"/>
    <d v="2025-11-10T00:00:00"/>
    <d v="2025-11-16T00:00:00"/>
    <x v="1"/>
    <s v="Q4"/>
    <x v="10"/>
    <x v="0"/>
    <x v="4"/>
    <x v="0"/>
    <x v="1"/>
    <x v="4"/>
    <x v="2"/>
    <n v="6"/>
    <n v="70"/>
    <n v="5603"/>
    <n v="0"/>
    <n v="5"/>
    <s v="Improved"/>
    <n v="1"/>
  </r>
  <r>
    <s v="ADM-245124"/>
    <d v="2025-11-10T00:00:00"/>
    <d v="2025-11-13T00:00:00"/>
    <x v="1"/>
    <s v="Q4"/>
    <x v="10"/>
    <x v="0"/>
    <x v="0"/>
    <x v="0"/>
    <x v="1"/>
    <x v="4"/>
    <x v="2"/>
    <n v="3"/>
    <n v="103"/>
    <n v="2985"/>
    <n v="0"/>
    <n v="3"/>
    <s v="Improved"/>
    <n v="1"/>
  </r>
  <r>
    <s v="ADM-245125"/>
    <d v="2025-11-10T00:00:00"/>
    <d v="2025-11-16T00:00:00"/>
    <x v="1"/>
    <s v="Q4"/>
    <x v="10"/>
    <x v="0"/>
    <x v="0"/>
    <x v="0"/>
    <x v="0"/>
    <x v="0"/>
    <x v="2"/>
    <n v="6"/>
    <n v="17"/>
    <n v="5089"/>
    <n v="0"/>
    <n v="4"/>
    <s v="Recovered"/>
    <n v="1"/>
  </r>
  <r>
    <s v="ADM-245126"/>
    <d v="2025-11-10T00:00:00"/>
    <d v="2025-11-13T00:00:00"/>
    <x v="1"/>
    <s v="Q4"/>
    <x v="10"/>
    <x v="0"/>
    <x v="1"/>
    <x v="2"/>
    <x v="0"/>
    <x v="0"/>
    <x v="0"/>
    <n v="3"/>
    <m/>
    <n v="3924"/>
    <n v="0"/>
    <n v="4"/>
    <s v="Transferred"/>
    <n v="1"/>
  </r>
  <r>
    <s v="ADM-245127"/>
    <d v="2025-11-10T00:00:00"/>
    <d v="2025-11-18T00:00:00"/>
    <x v="1"/>
    <s v="Q4"/>
    <x v="10"/>
    <x v="0"/>
    <x v="5"/>
    <x v="0"/>
    <x v="1"/>
    <x v="1"/>
    <x v="2"/>
    <n v="8"/>
    <n v="69"/>
    <n v="7177"/>
    <n v="0"/>
    <n v="5"/>
    <s v="Recovered"/>
    <n v="1"/>
  </r>
  <r>
    <s v="ADM-245128"/>
    <d v="2025-11-11T00:00:00"/>
    <d v="2025-11-15T00:00:00"/>
    <x v="1"/>
    <s v="Q4"/>
    <x v="10"/>
    <x v="1"/>
    <x v="0"/>
    <x v="2"/>
    <x v="0"/>
    <x v="0"/>
    <x v="2"/>
    <n v="4"/>
    <m/>
    <n v="3097"/>
    <n v="0"/>
    <n v="3"/>
    <s v="Recovered"/>
    <n v="1"/>
  </r>
  <r>
    <s v="ADM-245129"/>
    <d v="2025-11-11T00:00:00"/>
    <d v="2025-11-28T00:00:00"/>
    <x v="1"/>
    <s v="Q4"/>
    <x v="10"/>
    <x v="1"/>
    <x v="4"/>
    <x v="0"/>
    <x v="1"/>
    <x v="0"/>
    <x v="0"/>
    <n v="17"/>
    <n v="77"/>
    <n v="16029"/>
    <n v="0"/>
    <n v="5"/>
    <s v="Recovered"/>
    <n v="1"/>
  </r>
  <r>
    <s v="ADM-245130"/>
    <d v="2025-11-11T00:00:00"/>
    <d v="2025-11-19T00:00:00"/>
    <x v="1"/>
    <s v="Q4"/>
    <x v="10"/>
    <x v="1"/>
    <x v="0"/>
    <x v="0"/>
    <x v="1"/>
    <x v="4"/>
    <x v="0"/>
    <n v="8"/>
    <n v="36"/>
    <n v="6212"/>
    <n v="0"/>
    <n v="4"/>
    <s v="Improved"/>
    <n v="1"/>
  </r>
  <r>
    <s v="ADM-245131"/>
    <d v="2025-11-11T00:00:00"/>
    <d v="2025-11-13T00:00:00"/>
    <x v="1"/>
    <s v="Q4"/>
    <x v="10"/>
    <x v="1"/>
    <x v="5"/>
    <x v="2"/>
    <x v="0"/>
    <x v="1"/>
    <x v="2"/>
    <n v="2"/>
    <m/>
    <n v="2626"/>
    <n v="0"/>
    <n v="4"/>
    <s v="Improved"/>
    <n v="1"/>
  </r>
  <r>
    <s v="ADM-245132"/>
    <d v="2025-11-11T00:00:00"/>
    <d v="2025-11-12T00:00:00"/>
    <x v="1"/>
    <s v="Q4"/>
    <x v="10"/>
    <x v="1"/>
    <x v="2"/>
    <x v="1"/>
    <x v="0"/>
    <x v="2"/>
    <x v="2"/>
    <n v="1"/>
    <m/>
    <n v="1738"/>
    <n v="0"/>
    <n v="4"/>
    <s v="Improved"/>
    <n v="1"/>
  </r>
  <r>
    <s v="ADM-245133"/>
    <d v="2025-11-11T00:00:00"/>
    <d v="2025-11-14T00:00:00"/>
    <x v="1"/>
    <s v="Q4"/>
    <x v="10"/>
    <x v="1"/>
    <x v="0"/>
    <x v="0"/>
    <x v="1"/>
    <x v="2"/>
    <x v="2"/>
    <n v="3"/>
    <n v="37"/>
    <n v="2852"/>
    <n v="0"/>
    <n v="4"/>
    <s v="Recovered"/>
    <n v="1"/>
  </r>
  <r>
    <s v="ADM-245134"/>
    <d v="2025-11-11T00:00:00"/>
    <d v="2025-11-13T00:00:00"/>
    <x v="1"/>
    <s v="Q4"/>
    <x v="10"/>
    <x v="1"/>
    <x v="1"/>
    <x v="2"/>
    <x v="0"/>
    <x v="1"/>
    <x v="2"/>
    <n v="2"/>
    <m/>
    <n v="2497"/>
    <n v="0"/>
    <n v="4"/>
    <s v="Improved"/>
    <n v="1"/>
  </r>
  <r>
    <s v="ADM-245135"/>
    <d v="2025-11-11T00:00:00"/>
    <d v="2025-11-18T00:00:00"/>
    <x v="1"/>
    <s v="Q4"/>
    <x v="10"/>
    <x v="1"/>
    <x v="0"/>
    <x v="1"/>
    <x v="0"/>
    <x v="0"/>
    <x v="1"/>
    <n v="7"/>
    <m/>
    <n v="4098"/>
    <n v="1"/>
    <n v="4"/>
    <s v="Improved"/>
    <n v="1"/>
  </r>
  <r>
    <s v="ADM-245136"/>
    <d v="2025-11-11T00:00:00"/>
    <d v="2025-11-20T00:00:00"/>
    <x v="1"/>
    <s v="Q4"/>
    <x v="10"/>
    <x v="1"/>
    <x v="0"/>
    <x v="0"/>
    <x v="0"/>
    <x v="4"/>
    <x v="1"/>
    <n v="9"/>
    <n v="56"/>
    <n v="7739"/>
    <n v="0"/>
    <n v="5"/>
    <s v="Recovered"/>
    <n v="1"/>
  </r>
  <r>
    <s v="ADM-245137"/>
    <d v="2025-11-12T00:00:00"/>
    <d v="2025-11-14T00:00:00"/>
    <x v="1"/>
    <s v="Q4"/>
    <x v="10"/>
    <x v="2"/>
    <x v="5"/>
    <x v="2"/>
    <x v="1"/>
    <x v="2"/>
    <x v="0"/>
    <n v="2"/>
    <m/>
    <n v="3011"/>
    <n v="1"/>
    <n v="3"/>
    <s v="Improved"/>
    <n v="1"/>
  </r>
  <r>
    <s v="ADM-245138"/>
    <d v="2025-11-12T00:00:00"/>
    <d v="2025-11-14T00:00:00"/>
    <x v="1"/>
    <s v="Q4"/>
    <x v="10"/>
    <x v="2"/>
    <x v="2"/>
    <x v="0"/>
    <x v="0"/>
    <x v="1"/>
    <x v="0"/>
    <n v="2"/>
    <n v="28"/>
    <n v="2506"/>
    <n v="0"/>
    <n v="5"/>
    <s v="Recovered"/>
    <n v="1"/>
  </r>
  <r>
    <s v="ADM-245139"/>
    <d v="2025-11-12T00:00:00"/>
    <d v="2025-11-17T00:00:00"/>
    <x v="1"/>
    <s v="Q4"/>
    <x v="10"/>
    <x v="2"/>
    <x v="2"/>
    <x v="0"/>
    <x v="0"/>
    <x v="1"/>
    <x v="2"/>
    <n v="5"/>
    <n v="22"/>
    <n v="3885"/>
    <n v="0"/>
    <n v="5"/>
    <s v="Recovered"/>
    <n v="1"/>
  </r>
  <r>
    <s v="ADM-245140"/>
    <d v="2025-11-12T00:00:00"/>
    <d v="2025-11-13T00:00:00"/>
    <x v="1"/>
    <s v="Q4"/>
    <x v="10"/>
    <x v="2"/>
    <x v="2"/>
    <x v="0"/>
    <x v="0"/>
    <x v="2"/>
    <x v="0"/>
    <n v="1"/>
    <n v="49"/>
    <n v="1306"/>
    <n v="0"/>
    <n v="4"/>
    <s v="Recovered"/>
    <n v="1"/>
  </r>
  <r>
    <s v="ADM-245141"/>
    <d v="2025-11-12T00:00:00"/>
    <d v="2025-11-13T00:00:00"/>
    <x v="1"/>
    <s v="Q4"/>
    <x v="10"/>
    <x v="2"/>
    <x v="3"/>
    <x v="2"/>
    <x v="1"/>
    <x v="3"/>
    <x v="0"/>
    <n v="1"/>
    <m/>
    <n v="1663"/>
    <n v="0"/>
    <n v="4"/>
    <s v="Recovered"/>
    <n v="1"/>
  </r>
  <r>
    <s v="ADM-245142"/>
    <d v="2025-11-12T00:00:00"/>
    <d v="2025-11-21T00:00:00"/>
    <x v="1"/>
    <s v="Q4"/>
    <x v="10"/>
    <x v="2"/>
    <x v="5"/>
    <x v="2"/>
    <x v="1"/>
    <x v="2"/>
    <x v="2"/>
    <n v="9"/>
    <m/>
    <n v="9444"/>
    <n v="0"/>
    <n v="4"/>
    <s v="Recovered"/>
    <n v="1"/>
  </r>
  <r>
    <s v="ADM-245143"/>
    <d v="2025-11-12T00:00:00"/>
    <d v="2025-11-13T00:00:00"/>
    <x v="1"/>
    <s v="Q4"/>
    <x v="10"/>
    <x v="2"/>
    <x v="3"/>
    <x v="0"/>
    <x v="1"/>
    <x v="3"/>
    <x v="0"/>
    <n v="1"/>
    <n v="38"/>
    <n v="1137"/>
    <n v="0"/>
    <n v="4"/>
    <s v="Recovered"/>
    <n v="1"/>
  </r>
  <r>
    <s v="ADM-245144"/>
    <d v="2025-11-13T00:00:00"/>
    <d v="2025-11-18T00:00:00"/>
    <x v="1"/>
    <s v="Q4"/>
    <x v="10"/>
    <x v="3"/>
    <x v="0"/>
    <x v="0"/>
    <x v="0"/>
    <x v="0"/>
    <x v="0"/>
    <n v="5"/>
    <n v="68"/>
    <n v="4060"/>
    <n v="0"/>
    <n v="5"/>
    <s v="Recovered"/>
    <n v="1"/>
  </r>
  <r>
    <s v="ADM-245145"/>
    <d v="2025-11-13T00:00:00"/>
    <d v="2025-11-15T00:00:00"/>
    <x v="1"/>
    <s v="Q4"/>
    <x v="10"/>
    <x v="3"/>
    <x v="3"/>
    <x v="0"/>
    <x v="0"/>
    <x v="3"/>
    <x v="2"/>
    <n v="2"/>
    <n v="57"/>
    <n v="2167"/>
    <n v="0"/>
    <n v="3"/>
    <s v="Recovered"/>
    <n v="1"/>
  </r>
  <r>
    <s v="ADM-245146"/>
    <d v="2025-11-13T00:00:00"/>
    <d v="2025-11-14T00:00:00"/>
    <x v="1"/>
    <s v="Q4"/>
    <x v="10"/>
    <x v="3"/>
    <x v="0"/>
    <x v="2"/>
    <x v="1"/>
    <x v="4"/>
    <x v="2"/>
    <n v="1"/>
    <m/>
    <n v="1775"/>
    <n v="0"/>
    <n v="4"/>
    <s v="Recovered"/>
    <n v="1"/>
  </r>
  <r>
    <s v="ADM-245147"/>
    <d v="2025-11-13T00:00:00"/>
    <d v="2025-11-14T00:00:00"/>
    <x v="1"/>
    <s v="Q4"/>
    <x v="10"/>
    <x v="3"/>
    <x v="1"/>
    <x v="0"/>
    <x v="1"/>
    <x v="2"/>
    <x v="2"/>
    <n v="1"/>
    <n v="19"/>
    <n v="1978"/>
    <n v="0"/>
    <n v="4"/>
    <s v="Recovered"/>
    <n v="1"/>
  </r>
  <r>
    <s v="ADM-245148"/>
    <d v="2025-11-13T00:00:00"/>
    <d v="2025-11-24T00:00:00"/>
    <x v="1"/>
    <s v="Q4"/>
    <x v="10"/>
    <x v="3"/>
    <x v="4"/>
    <x v="0"/>
    <x v="1"/>
    <x v="0"/>
    <x v="2"/>
    <n v="11"/>
    <n v="50"/>
    <n v="16481"/>
    <n v="0"/>
    <n v="4"/>
    <s v="Improved"/>
    <n v="1"/>
  </r>
  <r>
    <s v="ADM-245149"/>
    <d v="2025-11-13T00:00:00"/>
    <d v="2025-11-14T00:00:00"/>
    <x v="1"/>
    <s v="Q4"/>
    <x v="10"/>
    <x v="3"/>
    <x v="2"/>
    <x v="0"/>
    <x v="0"/>
    <x v="2"/>
    <x v="1"/>
    <n v="1"/>
    <n v="21"/>
    <n v="1620"/>
    <n v="0"/>
    <n v="5"/>
    <s v="Recovered"/>
    <n v="1"/>
  </r>
  <r>
    <s v="ADM-245150"/>
    <d v="2025-11-14T00:00:00"/>
    <d v="2025-11-17T00:00:00"/>
    <x v="1"/>
    <s v="Q4"/>
    <x v="10"/>
    <x v="4"/>
    <x v="5"/>
    <x v="2"/>
    <x v="0"/>
    <x v="4"/>
    <x v="0"/>
    <n v="3"/>
    <m/>
    <n v="3206"/>
    <n v="0"/>
    <n v="4"/>
    <s v="Recovered"/>
    <n v="1"/>
  </r>
  <r>
    <s v="ADM-245151"/>
    <d v="2025-11-14T00:00:00"/>
    <d v="2025-11-19T00:00:00"/>
    <x v="1"/>
    <s v="Q4"/>
    <x v="10"/>
    <x v="4"/>
    <x v="4"/>
    <x v="1"/>
    <x v="0"/>
    <x v="0"/>
    <x v="0"/>
    <n v="5"/>
    <m/>
    <n v="6207"/>
    <n v="0"/>
    <n v="4"/>
    <s v="Recovered"/>
    <n v="1"/>
  </r>
  <r>
    <s v="ADM-245152"/>
    <d v="2025-11-14T00:00:00"/>
    <d v="2025-11-15T00:00:00"/>
    <x v="1"/>
    <s v="Q4"/>
    <x v="10"/>
    <x v="4"/>
    <x v="1"/>
    <x v="0"/>
    <x v="0"/>
    <x v="1"/>
    <x v="0"/>
    <n v="1"/>
    <n v="31"/>
    <n v="1878"/>
    <n v="0"/>
    <n v="5"/>
    <s v="Recovered"/>
    <n v="1"/>
  </r>
  <r>
    <s v="ADM-245153"/>
    <d v="2025-11-14T00:00:00"/>
    <d v="2025-11-16T00:00:00"/>
    <x v="1"/>
    <s v="Q4"/>
    <x v="10"/>
    <x v="4"/>
    <x v="2"/>
    <x v="2"/>
    <x v="0"/>
    <x v="1"/>
    <x v="0"/>
    <n v="2"/>
    <m/>
    <n v="1581"/>
    <n v="0"/>
    <n v="4"/>
    <s v="Recovered"/>
    <n v="1"/>
  </r>
  <r>
    <s v="ADM-245154"/>
    <d v="2025-11-14T00:00:00"/>
    <d v="2025-11-15T00:00:00"/>
    <x v="1"/>
    <s v="Q4"/>
    <x v="10"/>
    <x v="4"/>
    <x v="2"/>
    <x v="2"/>
    <x v="0"/>
    <x v="1"/>
    <x v="2"/>
    <n v="1"/>
    <m/>
    <n v="1420"/>
    <n v="0"/>
    <n v="4"/>
    <s v="Improved"/>
    <n v="1"/>
  </r>
  <r>
    <s v="ADM-245155"/>
    <d v="2025-11-14T00:00:00"/>
    <d v="2025-11-16T00:00:00"/>
    <x v="1"/>
    <s v="Q4"/>
    <x v="10"/>
    <x v="4"/>
    <x v="2"/>
    <x v="2"/>
    <x v="0"/>
    <x v="1"/>
    <x v="2"/>
    <n v="2"/>
    <m/>
    <n v="2106"/>
    <n v="0"/>
    <n v="4"/>
    <s v="Recovered"/>
    <n v="1"/>
  </r>
  <r>
    <s v="ADM-245156"/>
    <d v="2025-11-14T00:00:00"/>
    <d v="2025-11-16T00:00:00"/>
    <x v="1"/>
    <s v="Q4"/>
    <x v="10"/>
    <x v="4"/>
    <x v="2"/>
    <x v="0"/>
    <x v="0"/>
    <x v="2"/>
    <x v="1"/>
    <n v="2"/>
    <n v="47"/>
    <n v="1833"/>
    <n v="0"/>
    <n v="5"/>
    <s v="Improved"/>
    <n v="1"/>
  </r>
  <r>
    <s v="ADM-245157"/>
    <d v="2025-11-14T00:00:00"/>
    <d v="2025-11-23T00:00:00"/>
    <x v="1"/>
    <s v="Q4"/>
    <x v="10"/>
    <x v="4"/>
    <x v="1"/>
    <x v="2"/>
    <x v="1"/>
    <x v="4"/>
    <x v="0"/>
    <n v="9"/>
    <m/>
    <n v="9032"/>
    <n v="0"/>
    <n v="4"/>
    <s v="Recovered"/>
    <n v="1"/>
  </r>
  <r>
    <s v="ADM-245158"/>
    <d v="2025-11-14T00:00:00"/>
    <d v="2025-11-24T00:00:00"/>
    <x v="1"/>
    <s v="Q4"/>
    <x v="10"/>
    <x v="4"/>
    <x v="0"/>
    <x v="2"/>
    <x v="0"/>
    <x v="4"/>
    <x v="0"/>
    <n v="10"/>
    <m/>
    <n v="7495"/>
    <n v="0"/>
    <n v="4"/>
    <s v="Recovered"/>
    <n v="1"/>
  </r>
  <r>
    <s v="ADM-245159"/>
    <d v="2025-11-14T00:00:00"/>
    <d v="2025-11-18T00:00:00"/>
    <x v="1"/>
    <s v="Q4"/>
    <x v="10"/>
    <x v="4"/>
    <x v="1"/>
    <x v="2"/>
    <x v="1"/>
    <x v="4"/>
    <x v="0"/>
    <n v="4"/>
    <m/>
    <n v="4949"/>
    <n v="0"/>
    <n v="5"/>
    <s v="Recovered"/>
    <n v="1"/>
  </r>
  <r>
    <s v="ADM-245160"/>
    <d v="2025-11-14T00:00:00"/>
    <d v="2025-11-19T00:00:00"/>
    <x v="1"/>
    <s v="Q4"/>
    <x v="10"/>
    <x v="4"/>
    <x v="0"/>
    <x v="0"/>
    <x v="0"/>
    <x v="0"/>
    <x v="2"/>
    <n v="5"/>
    <n v="50"/>
    <n v="4445"/>
    <n v="0"/>
    <n v="5"/>
    <s v="Recovered"/>
    <n v="1"/>
  </r>
  <r>
    <s v="ADM-245161"/>
    <d v="2025-11-14T00:00:00"/>
    <d v="2025-11-16T00:00:00"/>
    <x v="1"/>
    <s v="Q4"/>
    <x v="10"/>
    <x v="4"/>
    <x v="4"/>
    <x v="0"/>
    <x v="1"/>
    <x v="2"/>
    <x v="0"/>
    <n v="2"/>
    <n v="54"/>
    <n v="3963"/>
    <n v="0"/>
    <n v="4"/>
    <s v="Transferred"/>
    <n v="1"/>
  </r>
  <r>
    <s v="ADM-245162"/>
    <d v="2025-11-14T00:00:00"/>
    <d v="2025-11-18T00:00:00"/>
    <x v="1"/>
    <s v="Q4"/>
    <x v="10"/>
    <x v="4"/>
    <x v="1"/>
    <x v="2"/>
    <x v="0"/>
    <x v="4"/>
    <x v="0"/>
    <n v="4"/>
    <m/>
    <n v="5008"/>
    <n v="0"/>
    <n v="5"/>
    <s v="Recovered"/>
    <n v="1"/>
  </r>
  <r>
    <s v="ADM-245163"/>
    <d v="2025-11-14T00:00:00"/>
    <d v="2025-11-16T00:00:00"/>
    <x v="1"/>
    <s v="Q4"/>
    <x v="10"/>
    <x v="4"/>
    <x v="2"/>
    <x v="1"/>
    <x v="0"/>
    <x v="2"/>
    <x v="2"/>
    <n v="2"/>
    <m/>
    <n v="1910"/>
    <n v="0"/>
    <n v="5"/>
    <s v="Recovered"/>
    <n v="1"/>
  </r>
  <r>
    <s v="ADM-245164"/>
    <d v="2025-11-15T00:00:00"/>
    <d v="2025-11-16T00:00:00"/>
    <x v="1"/>
    <s v="Q4"/>
    <x v="10"/>
    <x v="5"/>
    <x v="2"/>
    <x v="2"/>
    <x v="0"/>
    <x v="1"/>
    <x v="2"/>
    <n v="1"/>
    <m/>
    <n v="1903"/>
    <n v="0"/>
    <n v="4"/>
    <s v="Recovered"/>
    <n v="1"/>
  </r>
  <r>
    <s v="ADM-245165"/>
    <d v="2025-11-15T00:00:00"/>
    <d v="2025-11-18T00:00:00"/>
    <x v="1"/>
    <s v="Q4"/>
    <x v="10"/>
    <x v="5"/>
    <x v="4"/>
    <x v="0"/>
    <x v="0"/>
    <x v="0"/>
    <x v="0"/>
    <n v="3"/>
    <n v="143"/>
    <n v="3762"/>
    <n v="1"/>
    <n v="3"/>
    <s v="Deceased"/>
    <n v="1"/>
  </r>
  <r>
    <s v="ADM-245166"/>
    <d v="2025-11-15T00:00:00"/>
    <d v="2025-11-16T00:00:00"/>
    <x v="1"/>
    <s v="Q4"/>
    <x v="10"/>
    <x v="5"/>
    <x v="1"/>
    <x v="2"/>
    <x v="0"/>
    <x v="1"/>
    <x v="2"/>
    <n v="1"/>
    <m/>
    <n v="2268"/>
    <n v="0"/>
    <n v="5"/>
    <s v="Recovered"/>
    <n v="1"/>
  </r>
  <r>
    <s v="ADM-245167"/>
    <d v="2025-11-15T00:00:00"/>
    <d v="2025-11-25T00:00:00"/>
    <x v="1"/>
    <s v="Q4"/>
    <x v="10"/>
    <x v="5"/>
    <x v="2"/>
    <x v="0"/>
    <x v="0"/>
    <x v="1"/>
    <x v="0"/>
    <n v="10"/>
    <n v="75"/>
    <n v="7112"/>
    <n v="0"/>
    <n v="4"/>
    <s v="Recovered"/>
    <n v="1"/>
  </r>
  <r>
    <s v="ADM-245168"/>
    <d v="2025-11-15T00:00:00"/>
    <d v="2025-11-18T00:00:00"/>
    <x v="1"/>
    <s v="Q4"/>
    <x v="10"/>
    <x v="5"/>
    <x v="5"/>
    <x v="2"/>
    <x v="1"/>
    <x v="2"/>
    <x v="0"/>
    <n v="3"/>
    <m/>
    <n v="4123"/>
    <n v="0"/>
    <n v="5"/>
    <s v="Recovered"/>
    <n v="1"/>
  </r>
  <r>
    <s v="ADM-245169"/>
    <d v="2025-11-15T00:00:00"/>
    <d v="2025-11-16T00:00:00"/>
    <x v="1"/>
    <s v="Q4"/>
    <x v="10"/>
    <x v="5"/>
    <x v="2"/>
    <x v="0"/>
    <x v="0"/>
    <x v="2"/>
    <x v="0"/>
    <n v="1"/>
    <n v="50"/>
    <n v="1409"/>
    <n v="0"/>
    <n v="4"/>
    <s v="Recovered"/>
    <n v="1"/>
  </r>
  <r>
    <s v="ADM-245170"/>
    <d v="2025-11-15T00:00:00"/>
    <d v="2025-11-28T00:00:00"/>
    <x v="1"/>
    <s v="Q4"/>
    <x v="10"/>
    <x v="5"/>
    <x v="1"/>
    <x v="2"/>
    <x v="1"/>
    <x v="0"/>
    <x v="2"/>
    <n v="13"/>
    <m/>
    <n v="13689"/>
    <n v="0"/>
    <n v="4"/>
    <s v="Recovered"/>
    <n v="1"/>
  </r>
  <r>
    <s v="ADM-245171"/>
    <d v="2025-11-16T00:00:00"/>
    <d v="2025-11-17T00:00:00"/>
    <x v="1"/>
    <s v="Q4"/>
    <x v="10"/>
    <x v="6"/>
    <x v="4"/>
    <x v="0"/>
    <x v="0"/>
    <x v="2"/>
    <x v="0"/>
    <n v="1"/>
    <n v="35"/>
    <n v="2273"/>
    <n v="0"/>
    <n v="4"/>
    <s v="Improved"/>
    <n v="1"/>
  </r>
  <r>
    <s v="ADM-245172"/>
    <d v="2025-11-16T00:00:00"/>
    <d v="2025-11-22T00:00:00"/>
    <x v="1"/>
    <s v="Q4"/>
    <x v="10"/>
    <x v="6"/>
    <x v="4"/>
    <x v="2"/>
    <x v="1"/>
    <x v="0"/>
    <x v="0"/>
    <n v="6"/>
    <m/>
    <n v="5390"/>
    <n v="0"/>
    <n v="4"/>
    <s v="Recovered"/>
    <n v="1"/>
  </r>
  <r>
    <s v="ADM-245173"/>
    <d v="2025-11-16T00:00:00"/>
    <d v="2025-11-18T00:00:00"/>
    <x v="1"/>
    <s v="Q4"/>
    <x v="10"/>
    <x v="6"/>
    <x v="2"/>
    <x v="2"/>
    <x v="0"/>
    <x v="2"/>
    <x v="0"/>
    <n v="2"/>
    <m/>
    <n v="1845"/>
    <n v="0"/>
    <n v="3"/>
    <s v="Recovered"/>
    <n v="1"/>
  </r>
  <r>
    <s v="ADM-245174"/>
    <d v="2025-11-16T00:00:00"/>
    <d v="2025-11-20T00:00:00"/>
    <x v="1"/>
    <s v="Q4"/>
    <x v="10"/>
    <x v="6"/>
    <x v="2"/>
    <x v="2"/>
    <x v="0"/>
    <x v="2"/>
    <x v="2"/>
    <n v="4"/>
    <m/>
    <n v="4116"/>
    <n v="0"/>
    <n v="4"/>
    <s v="Transferred"/>
    <n v="1"/>
  </r>
  <r>
    <s v="ADM-245175"/>
    <d v="2025-11-16T00:00:00"/>
    <d v="2025-11-23T00:00:00"/>
    <x v="1"/>
    <s v="Q4"/>
    <x v="10"/>
    <x v="6"/>
    <x v="4"/>
    <x v="0"/>
    <x v="0"/>
    <x v="4"/>
    <x v="2"/>
    <n v="7"/>
    <n v="25"/>
    <n v="12480"/>
    <n v="0"/>
    <n v="4"/>
    <s v="Improved"/>
    <n v="1"/>
  </r>
  <r>
    <s v="ADM-245176"/>
    <d v="2025-11-17T00:00:00"/>
    <d v="2025-11-21T00:00:00"/>
    <x v="1"/>
    <s v="Q4"/>
    <x v="10"/>
    <x v="0"/>
    <x v="2"/>
    <x v="0"/>
    <x v="0"/>
    <x v="1"/>
    <x v="2"/>
    <n v="4"/>
    <n v="19"/>
    <n v="4506"/>
    <n v="0"/>
    <n v="5"/>
    <s v="Improved"/>
    <n v="1"/>
  </r>
  <r>
    <s v="ADM-245177"/>
    <d v="2025-11-17T00:00:00"/>
    <d v="2025-11-18T00:00:00"/>
    <x v="1"/>
    <s v="Q4"/>
    <x v="10"/>
    <x v="0"/>
    <x v="5"/>
    <x v="2"/>
    <x v="1"/>
    <x v="4"/>
    <x v="2"/>
    <n v="1"/>
    <m/>
    <n v="2176"/>
    <n v="1"/>
    <n v="4"/>
    <s v="Recovered"/>
    <n v="1"/>
  </r>
  <r>
    <s v="ADM-245178"/>
    <d v="2025-11-17T00:00:00"/>
    <d v="2025-11-23T00:00:00"/>
    <x v="1"/>
    <s v="Q4"/>
    <x v="10"/>
    <x v="0"/>
    <x v="3"/>
    <x v="0"/>
    <x v="1"/>
    <x v="3"/>
    <x v="0"/>
    <n v="6"/>
    <n v="53"/>
    <n v="4467"/>
    <n v="0"/>
    <n v="3"/>
    <s v="Recovered"/>
    <n v="1"/>
  </r>
  <r>
    <s v="ADM-245179"/>
    <d v="2025-11-17T00:00:00"/>
    <d v="2025-11-18T00:00:00"/>
    <x v="1"/>
    <s v="Q4"/>
    <x v="10"/>
    <x v="0"/>
    <x v="1"/>
    <x v="0"/>
    <x v="1"/>
    <x v="4"/>
    <x v="2"/>
    <n v="1"/>
    <n v="18"/>
    <n v="1534"/>
    <n v="0"/>
    <n v="3"/>
    <s v="Recovered"/>
    <n v="1"/>
  </r>
  <r>
    <s v="ADM-245180"/>
    <d v="2025-11-17T00:00:00"/>
    <d v="2025-11-20T00:00:00"/>
    <x v="1"/>
    <s v="Q4"/>
    <x v="10"/>
    <x v="0"/>
    <x v="2"/>
    <x v="1"/>
    <x v="0"/>
    <x v="1"/>
    <x v="0"/>
    <n v="3"/>
    <m/>
    <n v="2799"/>
    <n v="0"/>
    <n v="4"/>
    <s v="Transferred"/>
    <n v="1"/>
  </r>
  <r>
    <s v="ADM-245181"/>
    <d v="2025-11-17T00:00:00"/>
    <d v="2025-11-18T00:00:00"/>
    <x v="1"/>
    <s v="Q4"/>
    <x v="10"/>
    <x v="0"/>
    <x v="5"/>
    <x v="2"/>
    <x v="0"/>
    <x v="1"/>
    <x v="0"/>
    <n v="1"/>
    <m/>
    <n v="1807"/>
    <n v="0"/>
    <n v="4"/>
    <s v="Recovered"/>
    <n v="1"/>
  </r>
  <r>
    <s v="ADM-245182"/>
    <d v="2025-11-17T00:00:00"/>
    <d v="2025-11-23T00:00:00"/>
    <x v="1"/>
    <s v="Q4"/>
    <x v="10"/>
    <x v="0"/>
    <x v="2"/>
    <x v="0"/>
    <x v="0"/>
    <x v="2"/>
    <x v="2"/>
    <n v="6"/>
    <n v="60"/>
    <n v="4246"/>
    <n v="0"/>
    <n v="3"/>
    <s v="Recovered"/>
    <n v="1"/>
  </r>
  <r>
    <s v="ADM-245183"/>
    <d v="2025-11-17T00:00:00"/>
    <d v="2025-11-24T00:00:00"/>
    <x v="1"/>
    <s v="Q4"/>
    <x v="10"/>
    <x v="0"/>
    <x v="4"/>
    <x v="0"/>
    <x v="0"/>
    <x v="1"/>
    <x v="2"/>
    <n v="7"/>
    <n v="111"/>
    <n v="6973"/>
    <n v="0"/>
    <n v="4"/>
    <s v="Improved"/>
    <n v="1"/>
  </r>
  <r>
    <s v="ADM-245184"/>
    <d v="2025-11-17T00:00:00"/>
    <d v="2025-11-19T00:00:00"/>
    <x v="1"/>
    <s v="Q4"/>
    <x v="10"/>
    <x v="0"/>
    <x v="3"/>
    <x v="2"/>
    <x v="1"/>
    <x v="3"/>
    <x v="1"/>
    <n v="2"/>
    <m/>
    <n v="2081"/>
    <n v="0"/>
    <n v="5"/>
    <s v="Recovered"/>
    <n v="1"/>
  </r>
  <r>
    <s v="ADM-245185"/>
    <d v="2025-11-17T00:00:00"/>
    <d v="2025-11-22T00:00:00"/>
    <x v="1"/>
    <s v="Q4"/>
    <x v="10"/>
    <x v="0"/>
    <x v="0"/>
    <x v="0"/>
    <x v="0"/>
    <x v="0"/>
    <x v="2"/>
    <n v="5"/>
    <n v="72"/>
    <n v="4934"/>
    <n v="0"/>
    <n v="5"/>
    <s v="Transferred"/>
    <n v="1"/>
  </r>
  <r>
    <s v="ADM-245186"/>
    <d v="2025-11-17T00:00:00"/>
    <d v="2025-11-19T00:00:00"/>
    <x v="1"/>
    <s v="Q4"/>
    <x v="10"/>
    <x v="0"/>
    <x v="2"/>
    <x v="0"/>
    <x v="0"/>
    <x v="2"/>
    <x v="2"/>
    <n v="2"/>
    <n v="58"/>
    <n v="1956"/>
    <n v="0"/>
    <n v="4"/>
    <s v="Recovered"/>
    <n v="1"/>
  </r>
  <r>
    <s v="ADM-245187"/>
    <d v="2025-11-17T00:00:00"/>
    <d v="2025-11-22T00:00:00"/>
    <x v="1"/>
    <s v="Q4"/>
    <x v="10"/>
    <x v="0"/>
    <x v="0"/>
    <x v="1"/>
    <x v="0"/>
    <x v="1"/>
    <x v="2"/>
    <n v="5"/>
    <m/>
    <n v="3830"/>
    <n v="0"/>
    <n v="5"/>
    <s v="Recovered"/>
    <n v="1"/>
  </r>
  <r>
    <s v="ADM-245188"/>
    <d v="2025-11-17T00:00:00"/>
    <d v="2025-11-18T00:00:00"/>
    <x v="1"/>
    <s v="Q4"/>
    <x v="10"/>
    <x v="0"/>
    <x v="4"/>
    <x v="0"/>
    <x v="1"/>
    <x v="0"/>
    <x v="0"/>
    <n v="1"/>
    <n v="18"/>
    <n v="2121"/>
    <n v="0"/>
    <n v="5"/>
    <s v="Improved"/>
    <n v="1"/>
  </r>
  <r>
    <s v="ADM-245189"/>
    <d v="2025-11-18T00:00:00"/>
    <d v="2025-11-25T00:00:00"/>
    <x v="1"/>
    <s v="Q4"/>
    <x v="10"/>
    <x v="1"/>
    <x v="0"/>
    <x v="2"/>
    <x v="0"/>
    <x v="4"/>
    <x v="0"/>
    <n v="7"/>
    <m/>
    <n v="5200"/>
    <n v="0"/>
    <n v="4"/>
    <s v="Improved"/>
    <n v="1"/>
  </r>
  <r>
    <s v="ADM-245190"/>
    <d v="2025-11-18T00:00:00"/>
    <d v="2025-11-27T00:00:00"/>
    <x v="1"/>
    <s v="Q4"/>
    <x v="10"/>
    <x v="1"/>
    <x v="5"/>
    <x v="2"/>
    <x v="1"/>
    <x v="0"/>
    <x v="0"/>
    <n v="9"/>
    <m/>
    <n v="7828"/>
    <n v="0"/>
    <n v="4"/>
    <s v="Recovered"/>
    <n v="1"/>
  </r>
  <r>
    <s v="ADM-245191"/>
    <d v="2025-11-18T00:00:00"/>
    <d v="2025-11-21T00:00:00"/>
    <x v="1"/>
    <s v="Q4"/>
    <x v="10"/>
    <x v="1"/>
    <x v="5"/>
    <x v="2"/>
    <x v="0"/>
    <x v="2"/>
    <x v="1"/>
    <n v="3"/>
    <m/>
    <n v="2831"/>
    <n v="0"/>
    <n v="5"/>
    <s v="Recovered"/>
    <n v="1"/>
  </r>
  <r>
    <s v="ADM-245192"/>
    <d v="2025-11-18T00:00:00"/>
    <d v="2025-11-19T00:00:00"/>
    <x v="1"/>
    <s v="Q4"/>
    <x v="10"/>
    <x v="1"/>
    <x v="2"/>
    <x v="0"/>
    <x v="0"/>
    <x v="2"/>
    <x v="2"/>
    <n v="1"/>
    <n v="41"/>
    <n v="1672"/>
    <n v="0"/>
    <n v="4"/>
    <s v="Improved"/>
    <n v="1"/>
  </r>
  <r>
    <s v="ADM-245193"/>
    <d v="2025-11-18T00:00:00"/>
    <d v="2025-11-20T00:00:00"/>
    <x v="1"/>
    <s v="Q4"/>
    <x v="10"/>
    <x v="1"/>
    <x v="2"/>
    <x v="2"/>
    <x v="0"/>
    <x v="1"/>
    <x v="0"/>
    <n v="2"/>
    <m/>
    <n v="1661"/>
    <n v="0"/>
    <n v="4"/>
    <s v="Recovered"/>
    <n v="1"/>
  </r>
  <r>
    <s v="ADM-245194"/>
    <d v="2025-11-19T00:00:00"/>
    <d v="2025-11-24T00:00:00"/>
    <x v="1"/>
    <s v="Q4"/>
    <x v="10"/>
    <x v="2"/>
    <x v="1"/>
    <x v="2"/>
    <x v="1"/>
    <x v="4"/>
    <x v="2"/>
    <n v="5"/>
    <m/>
    <n v="4657"/>
    <n v="0"/>
    <n v="4"/>
    <s v="Recovered"/>
    <n v="1"/>
  </r>
  <r>
    <s v="ADM-245195"/>
    <d v="2025-11-19T00:00:00"/>
    <d v="2025-11-21T00:00:00"/>
    <x v="1"/>
    <s v="Q4"/>
    <x v="10"/>
    <x v="2"/>
    <x v="2"/>
    <x v="0"/>
    <x v="0"/>
    <x v="2"/>
    <x v="0"/>
    <n v="2"/>
    <n v="52"/>
    <n v="1769"/>
    <n v="0"/>
    <n v="4"/>
    <s v="Improved"/>
    <n v="1"/>
  </r>
  <r>
    <s v="ADM-245196"/>
    <d v="2025-11-19T00:00:00"/>
    <d v="2025-11-23T00:00:00"/>
    <x v="1"/>
    <s v="Q4"/>
    <x v="10"/>
    <x v="2"/>
    <x v="4"/>
    <x v="0"/>
    <x v="0"/>
    <x v="4"/>
    <x v="2"/>
    <n v="4"/>
    <n v="37"/>
    <n v="5384"/>
    <n v="0"/>
    <n v="3"/>
    <s v="Improved"/>
    <n v="1"/>
  </r>
  <r>
    <s v="ADM-245197"/>
    <d v="2025-11-19T00:00:00"/>
    <d v="2025-12-06T00:00:00"/>
    <x v="1"/>
    <s v="Q4"/>
    <x v="10"/>
    <x v="2"/>
    <x v="5"/>
    <x v="2"/>
    <x v="0"/>
    <x v="0"/>
    <x v="2"/>
    <n v="17"/>
    <m/>
    <n v="19984"/>
    <n v="0"/>
    <n v="5"/>
    <s v="Recovered"/>
    <n v="1"/>
  </r>
  <r>
    <s v="ADM-245198"/>
    <d v="2025-11-19T00:00:00"/>
    <d v="2025-11-23T00:00:00"/>
    <x v="1"/>
    <s v="Q4"/>
    <x v="10"/>
    <x v="2"/>
    <x v="5"/>
    <x v="2"/>
    <x v="0"/>
    <x v="4"/>
    <x v="2"/>
    <n v="4"/>
    <m/>
    <n v="5088"/>
    <n v="0"/>
    <n v="4"/>
    <s v="Recovered"/>
    <n v="1"/>
  </r>
  <r>
    <s v="ADM-245199"/>
    <d v="2025-11-19T00:00:00"/>
    <d v="2025-11-20T00:00:00"/>
    <x v="1"/>
    <s v="Q4"/>
    <x v="10"/>
    <x v="2"/>
    <x v="3"/>
    <x v="2"/>
    <x v="1"/>
    <x v="3"/>
    <x v="2"/>
    <n v="1"/>
    <m/>
    <n v="1438"/>
    <n v="0"/>
    <n v="4"/>
    <s v="Improved"/>
    <n v="1"/>
  </r>
  <r>
    <s v="ADM-245200"/>
    <d v="2025-11-19T00:00:00"/>
    <d v="2025-11-22T00:00:00"/>
    <x v="1"/>
    <s v="Q4"/>
    <x v="10"/>
    <x v="2"/>
    <x v="4"/>
    <x v="1"/>
    <x v="1"/>
    <x v="4"/>
    <x v="2"/>
    <n v="3"/>
    <m/>
    <n v="4810"/>
    <n v="0"/>
    <n v="5"/>
    <s v="Recovered"/>
    <n v="1"/>
  </r>
  <r>
    <s v="ADM-245201"/>
    <d v="2025-11-19T00:00:00"/>
    <d v="2025-11-22T00:00:00"/>
    <x v="1"/>
    <s v="Q4"/>
    <x v="10"/>
    <x v="2"/>
    <x v="4"/>
    <x v="1"/>
    <x v="1"/>
    <x v="0"/>
    <x v="0"/>
    <n v="3"/>
    <m/>
    <n v="4737"/>
    <n v="0"/>
    <n v="3"/>
    <s v="Recovered"/>
    <n v="1"/>
  </r>
  <r>
    <s v="ADM-245202"/>
    <d v="2025-11-19T00:00:00"/>
    <d v="2025-11-20T00:00:00"/>
    <x v="1"/>
    <s v="Q4"/>
    <x v="10"/>
    <x v="2"/>
    <x v="1"/>
    <x v="2"/>
    <x v="0"/>
    <x v="1"/>
    <x v="0"/>
    <n v="1"/>
    <m/>
    <n v="2133"/>
    <n v="0"/>
    <n v="3"/>
    <s v="Recovered"/>
    <n v="1"/>
  </r>
  <r>
    <s v="ADM-245203"/>
    <d v="2025-11-19T00:00:00"/>
    <d v="2025-11-23T00:00:00"/>
    <x v="1"/>
    <s v="Q4"/>
    <x v="10"/>
    <x v="2"/>
    <x v="4"/>
    <x v="0"/>
    <x v="1"/>
    <x v="2"/>
    <x v="0"/>
    <n v="4"/>
    <n v="59"/>
    <n v="6415"/>
    <n v="0"/>
    <n v="4"/>
    <s v="Recovered"/>
    <n v="1"/>
  </r>
  <r>
    <s v="ADM-245204"/>
    <d v="2025-11-19T00:00:00"/>
    <d v="2025-11-23T00:00:00"/>
    <x v="1"/>
    <s v="Q4"/>
    <x v="10"/>
    <x v="2"/>
    <x v="5"/>
    <x v="0"/>
    <x v="0"/>
    <x v="1"/>
    <x v="0"/>
    <n v="4"/>
    <n v="55"/>
    <n v="5118"/>
    <n v="0"/>
    <n v="3"/>
    <s v="Improved"/>
    <n v="1"/>
  </r>
  <r>
    <s v="ADM-245205"/>
    <d v="2025-11-19T00:00:00"/>
    <d v="2025-11-21T00:00:00"/>
    <x v="1"/>
    <s v="Q4"/>
    <x v="10"/>
    <x v="2"/>
    <x v="3"/>
    <x v="0"/>
    <x v="0"/>
    <x v="3"/>
    <x v="0"/>
    <n v="2"/>
    <n v="135"/>
    <n v="1274"/>
    <n v="0"/>
    <n v="3"/>
    <s v="Recovered"/>
    <n v="1"/>
  </r>
  <r>
    <s v="ADM-245206"/>
    <d v="2025-11-20T00:00:00"/>
    <d v="2025-11-25T00:00:00"/>
    <x v="1"/>
    <s v="Q4"/>
    <x v="10"/>
    <x v="3"/>
    <x v="5"/>
    <x v="1"/>
    <x v="0"/>
    <x v="0"/>
    <x v="2"/>
    <n v="5"/>
    <m/>
    <n v="5051"/>
    <n v="0"/>
    <n v="5"/>
    <s v="Improved"/>
    <n v="1"/>
  </r>
  <r>
    <s v="ADM-245207"/>
    <d v="2025-11-20T00:00:00"/>
    <d v="2025-11-27T00:00:00"/>
    <x v="1"/>
    <s v="Q4"/>
    <x v="10"/>
    <x v="3"/>
    <x v="1"/>
    <x v="2"/>
    <x v="0"/>
    <x v="4"/>
    <x v="2"/>
    <n v="7"/>
    <m/>
    <n v="8321"/>
    <n v="0"/>
    <n v="5"/>
    <s v="Recovered"/>
    <n v="1"/>
  </r>
  <r>
    <s v="ADM-245208"/>
    <d v="2025-11-20T00:00:00"/>
    <d v="2025-11-23T00:00:00"/>
    <x v="1"/>
    <s v="Q4"/>
    <x v="10"/>
    <x v="3"/>
    <x v="5"/>
    <x v="2"/>
    <x v="1"/>
    <x v="2"/>
    <x v="2"/>
    <n v="3"/>
    <m/>
    <n v="3746"/>
    <n v="0"/>
    <n v="4"/>
    <s v="Recovered"/>
    <n v="1"/>
  </r>
  <r>
    <s v="ADM-245209"/>
    <d v="2025-11-20T00:00:00"/>
    <d v="2025-11-24T00:00:00"/>
    <x v="1"/>
    <s v="Q4"/>
    <x v="10"/>
    <x v="3"/>
    <x v="2"/>
    <x v="0"/>
    <x v="0"/>
    <x v="2"/>
    <x v="0"/>
    <n v="4"/>
    <n v="50"/>
    <n v="3150"/>
    <n v="0"/>
    <n v="5"/>
    <s v="Recovered"/>
    <n v="1"/>
  </r>
  <r>
    <s v="ADM-245210"/>
    <d v="2025-11-20T00:00:00"/>
    <d v="2025-11-21T00:00:00"/>
    <x v="1"/>
    <s v="Q4"/>
    <x v="10"/>
    <x v="3"/>
    <x v="2"/>
    <x v="1"/>
    <x v="0"/>
    <x v="2"/>
    <x v="2"/>
    <n v="1"/>
    <m/>
    <n v="1401"/>
    <n v="0"/>
    <n v="5"/>
    <s v="Improved"/>
    <n v="1"/>
  </r>
  <r>
    <s v="ADM-245211"/>
    <d v="2025-11-20T00:00:00"/>
    <d v="2025-11-26T00:00:00"/>
    <x v="1"/>
    <s v="Q4"/>
    <x v="10"/>
    <x v="3"/>
    <x v="5"/>
    <x v="2"/>
    <x v="1"/>
    <x v="0"/>
    <x v="0"/>
    <n v="6"/>
    <m/>
    <n v="7068"/>
    <n v="0"/>
    <n v="4"/>
    <s v="Recovered"/>
    <n v="1"/>
  </r>
  <r>
    <s v="ADM-245212"/>
    <d v="2025-11-20T00:00:00"/>
    <d v="2025-11-27T00:00:00"/>
    <x v="1"/>
    <s v="Q4"/>
    <x v="10"/>
    <x v="3"/>
    <x v="0"/>
    <x v="0"/>
    <x v="0"/>
    <x v="2"/>
    <x v="2"/>
    <n v="7"/>
    <n v="29"/>
    <n v="6278"/>
    <n v="0"/>
    <n v="4"/>
    <s v="Recovered"/>
    <n v="1"/>
  </r>
  <r>
    <s v="ADM-245213"/>
    <d v="2025-11-20T00:00:00"/>
    <d v="2025-11-24T00:00:00"/>
    <x v="1"/>
    <s v="Q4"/>
    <x v="10"/>
    <x v="3"/>
    <x v="2"/>
    <x v="0"/>
    <x v="0"/>
    <x v="2"/>
    <x v="2"/>
    <n v="4"/>
    <n v="41"/>
    <n v="3612"/>
    <n v="0"/>
    <n v="4"/>
    <s v="Recovered"/>
    <n v="1"/>
  </r>
  <r>
    <s v="ADM-245214"/>
    <d v="2025-11-20T00:00:00"/>
    <d v="2025-11-24T00:00:00"/>
    <x v="1"/>
    <s v="Q4"/>
    <x v="10"/>
    <x v="3"/>
    <x v="0"/>
    <x v="0"/>
    <x v="0"/>
    <x v="2"/>
    <x v="1"/>
    <n v="4"/>
    <n v="65"/>
    <n v="2950"/>
    <n v="0"/>
    <n v="5"/>
    <s v="Recovered"/>
    <n v="1"/>
  </r>
  <r>
    <s v="ADM-245215"/>
    <d v="2025-11-21T00:00:00"/>
    <d v="2025-11-29T00:00:00"/>
    <x v="1"/>
    <s v="Q4"/>
    <x v="10"/>
    <x v="4"/>
    <x v="1"/>
    <x v="2"/>
    <x v="0"/>
    <x v="0"/>
    <x v="2"/>
    <n v="8"/>
    <m/>
    <n v="8538"/>
    <n v="0"/>
    <n v="4"/>
    <s v="Recovered"/>
    <n v="1"/>
  </r>
  <r>
    <s v="ADM-245216"/>
    <d v="2025-11-21T00:00:00"/>
    <d v="2025-11-25T00:00:00"/>
    <x v="1"/>
    <s v="Q4"/>
    <x v="10"/>
    <x v="4"/>
    <x v="1"/>
    <x v="0"/>
    <x v="0"/>
    <x v="4"/>
    <x v="0"/>
    <n v="4"/>
    <n v="89"/>
    <n v="6124"/>
    <n v="0"/>
    <n v="4"/>
    <s v="Improved"/>
    <n v="1"/>
  </r>
  <r>
    <s v="ADM-245217"/>
    <d v="2025-11-21T00:00:00"/>
    <d v="2025-11-22T00:00:00"/>
    <x v="1"/>
    <s v="Q4"/>
    <x v="10"/>
    <x v="4"/>
    <x v="3"/>
    <x v="0"/>
    <x v="0"/>
    <x v="3"/>
    <x v="0"/>
    <n v="1"/>
    <n v="45"/>
    <n v="1120"/>
    <n v="0"/>
    <n v="5"/>
    <s v="Recovered"/>
    <n v="1"/>
  </r>
  <r>
    <s v="ADM-245218"/>
    <d v="2025-11-21T00:00:00"/>
    <d v="2025-11-22T00:00:00"/>
    <x v="1"/>
    <s v="Q4"/>
    <x v="10"/>
    <x v="4"/>
    <x v="2"/>
    <x v="2"/>
    <x v="0"/>
    <x v="1"/>
    <x v="0"/>
    <n v="1"/>
    <m/>
    <n v="1801"/>
    <n v="0"/>
    <n v="4"/>
    <s v="Improved"/>
    <n v="1"/>
  </r>
  <r>
    <s v="ADM-245219"/>
    <d v="2025-11-21T00:00:00"/>
    <d v="2025-11-25T00:00:00"/>
    <x v="1"/>
    <s v="Q4"/>
    <x v="10"/>
    <x v="4"/>
    <x v="4"/>
    <x v="0"/>
    <x v="1"/>
    <x v="0"/>
    <x v="2"/>
    <n v="4"/>
    <n v="43"/>
    <n v="6503"/>
    <n v="0"/>
    <n v="4"/>
    <s v="Recovered"/>
    <n v="1"/>
  </r>
  <r>
    <s v="ADM-245220"/>
    <d v="2025-11-21T00:00:00"/>
    <d v="2025-12-14T00:00:00"/>
    <x v="1"/>
    <s v="Q4"/>
    <x v="10"/>
    <x v="4"/>
    <x v="0"/>
    <x v="0"/>
    <x v="1"/>
    <x v="0"/>
    <x v="0"/>
    <n v="23"/>
    <n v="53"/>
    <n v="15177"/>
    <n v="0"/>
    <n v="3"/>
    <s v="Recovered"/>
    <n v="1"/>
  </r>
  <r>
    <s v="ADM-245221"/>
    <d v="2025-11-21T00:00:00"/>
    <d v="2025-11-22T00:00:00"/>
    <x v="1"/>
    <s v="Q4"/>
    <x v="10"/>
    <x v="4"/>
    <x v="4"/>
    <x v="0"/>
    <x v="1"/>
    <x v="4"/>
    <x v="0"/>
    <n v="1"/>
    <n v="52"/>
    <n v="1562"/>
    <n v="0"/>
    <n v="4"/>
    <s v="Recovered"/>
    <n v="1"/>
  </r>
  <r>
    <s v="ADM-245222"/>
    <d v="2025-11-21T00:00:00"/>
    <d v="2025-12-01T00:00:00"/>
    <x v="1"/>
    <s v="Q4"/>
    <x v="10"/>
    <x v="4"/>
    <x v="0"/>
    <x v="0"/>
    <x v="0"/>
    <x v="0"/>
    <x v="2"/>
    <n v="10"/>
    <n v="19"/>
    <n v="6505"/>
    <n v="0"/>
    <n v="3"/>
    <s v="Recovered"/>
    <n v="1"/>
  </r>
  <r>
    <s v="ADM-245223"/>
    <d v="2025-11-21T00:00:00"/>
    <d v="2025-11-23T00:00:00"/>
    <x v="1"/>
    <s v="Q4"/>
    <x v="10"/>
    <x v="4"/>
    <x v="1"/>
    <x v="2"/>
    <x v="1"/>
    <x v="4"/>
    <x v="2"/>
    <n v="2"/>
    <m/>
    <n v="2010"/>
    <n v="0"/>
    <n v="3"/>
    <s v="Recovered"/>
    <n v="1"/>
  </r>
  <r>
    <s v="ADM-245224"/>
    <d v="2025-11-21T00:00:00"/>
    <d v="2025-11-25T00:00:00"/>
    <x v="1"/>
    <s v="Q4"/>
    <x v="10"/>
    <x v="4"/>
    <x v="2"/>
    <x v="1"/>
    <x v="0"/>
    <x v="2"/>
    <x v="2"/>
    <n v="4"/>
    <m/>
    <n v="2677"/>
    <n v="0"/>
    <n v="5"/>
    <s v="Transferred"/>
    <n v="1"/>
  </r>
  <r>
    <s v="ADM-245225"/>
    <d v="2025-11-21T00:00:00"/>
    <d v="2025-11-25T00:00:00"/>
    <x v="1"/>
    <s v="Q4"/>
    <x v="10"/>
    <x v="4"/>
    <x v="1"/>
    <x v="0"/>
    <x v="0"/>
    <x v="4"/>
    <x v="2"/>
    <n v="4"/>
    <n v="25"/>
    <n v="4099"/>
    <n v="0"/>
    <n v="5"/>
    <s v="Recovered"/>
    <n v="1"/>
  </r>
  <r>
    <s v="ADM-245226"/>
    <d v="2025-11-21T00:00:00"/>
    <d v="2025-11-29T00:00:00"/>
    <x v="1"/>
    <s v="Q4"/>
    <x v="10"/>
    <x v="4"/>
    <x v="0"/>
    <x v="0"/>
    <x v="0"/>
    <x v="0"/>
    <x v="2"/>
    <n v="8"/>
    <n v="118"/>
    <n v="6950"/>
    <n v="0"/>
    <n v="3"/>
    <s v="Recovered"/>
    <n v="1"/>
  </r>
  <r>
    <s v="ADM-245227"/>
    <d v="2025-11-22T00:00:00"/>
    <d v="2025-11-25T00:00:00"/>
    <x v="1"/>
    <s v="Q4"/>
    <x v="10"/>
    <x v="5"/>
    <x v="0"/>
    <x v="0"/>
    <x v="1"/>
    <x v="2"/>
    <x v="1"/>
    <n v="3"/>
    <n v="72"/>
    <n v="2748"/>
    <n v="0"/>
    <n v="4"/>
    <s v="Recovered"/>
    <n v="1"/>
  </r>
  <r>
    <s v="ADM-245228"/>
    <d v="2025-11-22T00:00:00"/>
    <d v="2025-11-23T00:00:00"/>
    <x v="1"/>
    <s v="Q4"/>
    <x v="10"/>
    <x v="5"/>
    <x v="1"/>
    <x v="2"/>
    <x v="1"/>
    <x v="4"/>
    <x v="2"/>
    <n v="1"/>
    <m/>
    <n v="1640"/>
    <n v="1"/>
    <n v="3"/>
    <s v="Recovered"/>
    <n v="1"/>
  </r>
  <r>
    <s v="ADM-245229"/>
    <d v="2025-11-22T00:00:00"/>
    <d v="2025-11-24T00:00:00"/>
    <x v="1"/>
    <s v="Q4"/>
    <x v="10"/>
    <x v="5"/>
    <x v="2"/>
    <x v="0"/>
    <x v="0"/>
    <x v="2"/>
    <x v="2"/>
    <n v="2"/>
    <n v="41"/>
    <n v="2028"/>
    <n v="0"/>
    <n v="4"/>
    <s v="Recovered"/>
    <n v="1"/>
  </r>
  <r>
    <s v="ADM-245230"/>
    <d v="2025-11-22T00:00:00"/>
    <d v="2025-11-25T00:00:00"/>
    <x v="1"/>
    <s v="Q4"/>
    <x v="10"/>
    <x v="5"/>
    <x v="0"/>
    <x v="2"/>
    <x v="0"/>
    <x v="0"/>
    <x v="2"/>
    <n v="3"/>
    <m/>
    <n v="2271"/>
    <n v="1"/>
    <n v="5"/>
    <s v="Improved"/>
    <n v="1"/>
  </r>
  <r>
    <s v="ADM-245231"/>
    <d v="2025-11-22T00:00:00"/>
    <d v="2025-11-29T00:00:00"/>
    <x v="1"/>
    <s v="Q4"/>
    <x v="10"/>
    <x v="5"/>
    <x v="2"/>
    <x v="0"/>
    <x v="0"/>
    <x v="1"/>
    <x v="0"/>
    <n v="7"/>
    <n v="30"/>
    <n v="5593"/>
    <n v="0"/>
    <n v="3"/>
    <s v="Recovered"/>
    <n v="1"/>
  </r>
  <r>
    <s v="ADM-245232"/>
    <d v="2025-11-22T00:00:00"/>
    <d v="2025-11-25T00:00:00"/>
    <x v="1"/>
    <s v="Q4"/>
    <x v="10"/>
    <x v="5"/>
    <x v="1"/>
    <x v="0"/>
    <x v="1"/>
    <x v="1"/>
    <x v="1"/>
    <n v="3"/>
    <n v="54"/>
    <n v="4483"/>
    <n v="1"/>
    <n v="3"/>
    <s v="Transferred"/>
    <n v="1"/>
  </r>
  <r>
    <s v="ADM-245233"/>
    <d v="2025-11-22T00:00:00"/>
    <d v="2025-11-29T00:00:00"/>
    <x v="1"/>
    <s v="Q4"/>
    <x v="10"/>
    <x v="5"/>
    <x v="5"/>
    <x v="2"/>
    <x v="1"/>
    <x v="0"/>
    <x v="2"/>
    <n v="7"/>
    <m/>
    <n v="8220"/>
    <n v="0"/>
    <n v="5"/>
    <s v="Recovered"/>
    <n v="1"/>
  </r>
  <r>
    <s v="ADM-245234"/>
    <d v="2025-11-22T00:00:00"/>
    <d v="2025-11-28T00:00:00"/>
    <x v="1"/>
    <s v="Q4"/>
    <x v="10"/>
    <x v="5"/>
    <x v="1"/>
    <x v="0"/>
    <x v="1"/>
    <x v="1"/>
    <x v="0"/>
    <n v="6"/>
    <n v="103"/>
    <n v="7441"/>
    <n v="1"/>
    <n v="3"/>
    <s v="Deceased"/>
    <n v="1"/>
  </r>
  <r>
    <s v="ADM-245235"/>
    <d v="2025-11-22T00:00:00"/>
    <d v="2025-11-24T00:00:00"/>
    <x v="1"/>
    <s v="Q4"/>
    <x v="10"/>
    <x v="5"/>
    <x v="0"/>
    <x v="1"/>
    <x v="1"/>
    <x v="0"/>
    <x v="2"/>
    <n v="2"/>
    <m/>
    <n v="1579"/>
    <n v="0"/>
    <n v="5"/>
    <s v="Transferred"/>
    <n v="1"/>
  </r>
  <r>
    <s v="ADM-245236"/>
    <d v="2025-11-23T00:00:00"/>
    <d v="2025-11-25T00:00:00"/>
    <x v="1"/>
    <s v="Q4"/>
    <x v="10"/>
    <x v="6"/>
    <x v="4"/>
    <x v="0"/>
    <x v="1"/>
    <x v="4"/>
    <x v="0"/>
    <n v="2"/>
    <n v="48"/>
    <n v="3345"/>
    <n v="1"/>
    <n v="3"/>
    <s v="Deceased"/>
    <n v="1"/>
  </r>
  <r>
    <s v="ADM-245237"/>
    <d v="2025-11-23T00:00:00"/>
    <d v="2025-11-29T00:00:00"/>
    <x v="1"/>
    <s v="Q4"/>
    <x v="10"/>
    <x v="6"/>
    <x v="5"/>
    <x v="1"/>
    <x v="0"/>
    <x v="1"/>
    <x v="2"/>
    <n v="6"/>
    <m/>
    <n v="7219"/>
    <n v="0"/>
    <n v="5"/>
    <s v="Improved"/>
    <n v="1"/>
  </r>
  <r>
    <s v="ADM-245238"/>
    <d v="2025-11-23T00:00:00"/>
    <d v="2025-12-03T00:00:00"/>
    <x v="1"/>
    <s v="Q4"/>
    <x v="10"/>
    <x v="6"/>
    <x v="2"/>
    <x v="2"/>
    <x v="0"/>
    <x v="1"/>
    <x v="2"/>
    <n v="10"/>
    <m/>
    <n v="6383"/>
    <n v="0"/>
    <n v="4"/>
    <s v="Recovered"/>
    <n v="1"/>
  </r>
  <r>
    <s v="ADM-245239"/>
    <d v="2025-11-23T00:00:00"/>
    <d v="2025-11-25T00:00:00"/>
    <x v="1"/>
    <s v="Q4"/>
    <x v="10"/>
    <x v="6"/>
    <x v="4"/>
    <x v="0"/>
    <x v="0"/>
    <x v="4"/>
    <x v="2"/>
    <n v="2"/>
    <n v="66"/>
    <n v="3621"/>
    <n v="0"/>
    <n v="5"/>
    <s v="Recovered"/>
    <n v="1"/>
  </r>
  <r>
    <s v="ADM-245240"/>
    <d v="2025-11-23T00:00:00"/>
    <d v="2025-11-25T00:00:00"/>
    <x v="1"/>
    <s v="Q4"/>
    <x v="10"/>
    <x v="6"/>
    <x v="0"/>
    <x v="2"/>
    <x v="0"/>
    <x v="2"/>
    <x v="1"/>
    <n v="2"/>
    <m/>
    <n v="1723"/>
    <n v="0"/>
    <n v="5"/>
    <s v="Improved"/>
    <n v="1"/>
  </r>
  <r>
    <s v="ADM-245241"/>
    <d v="2025-11-23T00:00:00"/>
    <d v="2025-11-28T00:00:00"/>
    <x v="1"/>
    <s v="Q4"/>
    <x v="10"/>
    <x v="6"/>
    <x v="0"/>
    <x v="0"/>
    <x v="1"/>
    <x v="4"/>
    <x v="2"/>
    <n v="5"/>
    <n v="47"/>
    <n v="4478"/>
    <n v="0"/>
    <n v="5"/>
    <s v="Improved"/>
    <n v="1"/>
  </r>
  <r>
    <s v="ADM-245242"/>
    <d v="2025-11-23T00:00:00"/>
    <d v="2025-11-25T00:00:00"/>
    <x v="1"/>
    <s v="Q4"/>
    <x v="10"/>
    <x v="6"/>
    <x v="2"/>
    <x v="0"/>
    <x v="0"/>
    <x v="2"/>
    <x v="2"/>
    <n v="2"/>
    <n v="48"/>
    <n v="1827"/>
    <n v="0"/>
    <n v="4"/>
    <s v="Improved"/>
    <n v="1"/>
  </r>
  <r>
    <s v="ADM-245243"/>
    <d v="2025-11-24T00:00:00"/>
    <d v="2025-11-25T00:00:00"/>
    <x v="1"/>
    <s v="Q4"/>
    <x v="10"/>
    <x v="0"/>
    <x v="4"/>
    <x v="0"/>
    <x v="0"/>
    <x v="4"/>
    <x v="1"/>
    <n v="1"/>
    <n v="25"/>
    <n v="2031"/>
    <n v="1"/>
    <n v="4"/>
    <s v="Recovered"/>
    <n v="1"/>
  </r>
  <r>
    <s v="ADM-245244"/>
    <d v="2025-11-24T00:00:00"/>
    <d v="2025-11-28T00:00:00"/>
    <x v="1"/>
    <s v="Q4"/>
    <x v="10"/>
    <x v="0"/>
    <x v="3"/>
    <x v="0"/>
    <x v="1"/>
    <x v="3"/>
    <x v="2"/>
    <n v="4"/>
    <n v="56"/>
    <n v="3088"/>
    <n v="1"/>
    <n v="4"/>
    <s v="Recovered"/>
    <n v="1"/>
  </r>
  <r>
    <s v="ADM-245245"/>
    <d v="2025-11-24T00:00:00"/>
    <d v="2025-11-28T00:00:00"/>
    <x v="1"/>
    <s v="Q4"/>
    <x v="10"/>
    <x v="0"/>
    <x v="2"/>
    <x v="0"/>
    <x v="0"/>
    <x v="1"/>
    <x v="2"/>
    <n v="4"/>
    <n v="71"/>
    <n v="3508"/>
    <n v="0"/>
    <n v="5"/>
    <s v="Recovered"/>
    <n v="1"/>
  </r>
  <r>
    <s v="ADM-245246"/>
    <d v="2025-11-24T00:00:00"/>
    <d v="2025-12-06T00:00:00"/>
    <x v="1"/>
    <s v="Q4"/>
    <x v="10"/>
    <x v="0"/>
    <x v="1"/>
    <x v="2"/>
    <x v="1"/>
    <x v="2"/>
    <x v="1"/>
    <n v="12"/>
    <m/>
    <n v="11338"/>
    <n v="0"/>
    <n v="4"/>
    <s v="Recovered"/>
    <n v="1"/>
  </r>
  <r>
    <s v="ADM-245247"/>
    <d v="2025-11-24T00:00:00"/>
    <d v="2025-11-27T00:00:00"/>
    <x v="1"/>
    <s v="Q4"/>
    <x v="10"/>
    <x v="0"/>
    <x v="1"/>
    <x v="2"/>
    <x v="1"/>
    <x v="1"/>
    <x v="2"/>
    <n v="3"/>
    <m/>
    <n v="3630"/>
    <n v="0"/>
    <n v="4"/>
    <s v="Recovered"/>
    <n v="1"/>
  </r>
  <r>
    <s v="ADM-245248"/>
    <d v="2025-11-24T00:00:00"/>
    <d v="2025-11-27T00:00:00"/>
    <x v="1"/>
    <s v="Q4"/>
    <x v="10"/>
    <x v="0"/>
    <x v="0"/>
    <x v="0"/>
    <x v="0"/>
    <x v="4"/>
    <x v="0"/>
    <n v="3"/>
    <n v="28"/>
    <n v="2653"/>
    <n v="1"/>
    <n v="3"/>
    <s v="Recovered"/>
    <n v="1"/>
  </r>
  <r>
    <s v="ADM-245249"/>
    <d v="2025-11-24T00:00:00"/>
    <d v="2025-11-26T00:00:00"/>
    <x v="1"/>
    <s v="Q4"/>
    <x v="10"/>
    <x v="0"/>
    <x v="2"/>
    <x v="1"/>
    <x v="0"/>
    <x v="2"/>
    <x v="0"/>
    <n v="2"/>
    <m/>
    <n v="2694"/>
    <n v="1"/>
    <n v="3"/>
    <s v="Recovered"/>
    <n v="1"/>
  </r>
  <r>
    <s v="ADM-245250"/>
    <d v="2025-11-24T00:00:00"/>
    <d v="2025-11-28T00:00:00"/>
    <x v="1"/>
    <s v="Q4"/>
    <x v="10"/>
    <x v="0"/>
    <x v="2"/>
    <x v="0"/>
    <x v="0"/>
    <x v="2"/>
    <x v="0"/>
    <n v="4"/>
    <n v="21"/>
    <n v="3489"/>
    <n v="0"/>
    <n v="3"/>
    <s v="Improved"/>
    <n v="1"/>
  </r>
  <r>
    <s v="ADM-245251"/>
    <d v="2025-11-24T00:00:00"/>
    <d v="2025-12-09T00:00:00"/>
    <x v="1"/>
    <s v="Q4"/>
    <x v="10"/>
    <x v="0"/>
    <x v="4"/>
    <x v="0"/>
    <x v="1"/>
    <x v="1"/>
    <x v="0"/>
    <n v="15"/>
    <n v="64"/>
    <n v="23483"/>
    <n v="0"/>
    <n v="3"/>
    <s v="Improved"/>
    <n v="1"/>
  </r>
  <r>
    <s v="ADM-245252"/>
    <d v="2025-11-25T00:00:00"/>
    <d v="2025-11-27T00:00:00"/>
    <x v="1"/>
    <s v="Q4"/>
    <x v="10"/>
    <x v="1"/>
    <x v="0"/>
    <x v="2"/>
    <x v="0"/>
    <x v="0"/>
    <x v="0"/>
    <n v="2"/>
    <m/>
    <n v="2356"/>
    <n v="1"/>
    <n v="5"/>
    <s v="Recovered"/>
    <n v="1"/>
  </r>
  <r>
    <s v="ADM-245253"/>
    <d v="2025-11-25T00:00:00"/>
    <d v="2025-11-28T00:00:00"/>
    <x v="1"/>
    <s v="Q4"/>
    <x v="10"/>
    <x v="1"/>
    <x v="0"/>
    <x v="0"/>
    <x v="1"/>
    <x v="0"/>
    <x v="0"/>
    <n v="3"/>
    <n v="30"/>
    <n v="2957"/>
    <n v="0"/>
    <n v="5"/>
    <s v="Recovered"/>
    <n v="1"/>
  </r>
  <r>
    <s v="ADM-245254"/>
    <d v="2025-11-25T00:00:00"/>
    <d v="2025-11-26T00:00:00"/>
    <x v="1"/>
    <s v="Q4"/>
    <x v="10"/>
    <x v="1"/>
    <x v="5"/>
    <x v="2"/>
    <x v="0"/>
    <x v="0"/>
    <x v="0"/>
    <n v="1"/>
    <m/>
    <n v="1827"/>
    <n v="0"/>
    <n v="5"/>
    <s v="Transferred"/>
    <n v="1"/>
  </r>
  <r>
    <s v="ADM-245255"/>
    <d v="2025-11-25T00:00:00"/>
    <d v="2025-11-28T00:00:00"/>
    <x v="1"/>
    <s v="Q4"/>
    <x v="10"/>
    <x v="1"/>
    <x v="3"/>
    <x v="2"/>
    <x v="1"/>
    <x v="3"/>
    <x v="2"/>
    <n v="3"/>
    <m/>
    <n v="2779"/>
    <n v="0"/>
    <n v="5"/>
    <s v="Recovered"/>
    <n v="1"/>
  </r>
  <r>
    <s v="ADM-245256"/>
    <d v="2025-11-25T00:00:00"/>
    <d v="2025-11-27T00:00:00"/>
    <x v="1"/>
    <s v="Q4"/>
    <x v="10"/>
    <x v="1"/>
    <x v="4"/>
    <x v="0"/>
    <x v="0"/>
    <x v="4"/>
    <x v="2"/>
    <n v="2"/>
    <n v="96"/>
    <n v="2959"/>
    <n v="0"/>
    <n v="4"/>
    <s v="Improved"/>
    <n v="1"/>
  </r>
  <r>
    <s v="ADM-245257"/>
    <d v="2025-11-25T00:00:00"/>
    <d v="2025-11-29T00:00:00"/>
    <x v="1"/>
    <s v="Q4"/>
    <x v="10"/>
    <x v="1"/>
    <x v="5"/>
    <x v="2"/>
    <x v="0"/>
    <x v="1"/>
    <x v="0"/>
    <n v="4"/>
    <m/>
    <n v="5166"/>
    <n v="0"/>
    <n v="5"/>
    <s v="Improved"/>
    <n v="1"/>
  </r>
  <r>
    <s v="ADM-245258"/>
    <d v="2025-11-25T00:00:00"/>
    <d v="2025-11-28T00:00:00"/>
    <x v="1"/>
    <s v="Q4"/>
    <x v="10"/>
    <x v="1"/>
    <x v="0"/>
    <x v="0"/>
    <x v="1"/>
    <x v="4"/>
    <x v="0"/>
    <n v="3"/>
    <n v="89"/>
    <n v="2985"/>
    <n v="0"/>
    <n v="4"/>
    <s v="Recovered"/>
    <n v="1"/>
  </r>
  <r>
    <s v="ADM-245259"/>
    <d v="2025-11-26T00:00:00"/>
    <d v="2025-11-30T00:00:00"/>
    <x v="1"/>
    <s v="Q4"/>
    <x v="10"/>
    <x v="2"/>
    <x v="4"/>
    <x v="1"/>
    <x v="0"/>
    <x v="4"/>
    <x v="0"/>
    <n v="4"/>
    <m/>
    <n v="4900"/>
    <n v="0"/>
    <n v="4"/>
    <s v="Improved"/>
    <n v="1"/>
  </r>
  <r>
    <s v="ADM-245260"/>
    <d v="2025-11-26T00:00:00"/>
    <d v="2025-12-07T00:00:00"/>
    <x v="1"/>
    <s v="Q4"/>
    <x v="10"/>
    <x v="2"/>
    <x v="0"/>
    <x v="0"/>
    <x v="0"/>
    <x v="1"/>
    <x v="2"/>
    <n v="11"/>
    <n v="29"/>
    <n v="8945"/>
    <n v="0"/>
    <n v="4"/>
    <s v="Recovered"/>
    <n v="1"/>
  </r>
  <r>
    <s v="ADM-245261"/>
    <d v="2025-11-26T00:00:00"/>
    <d v="2025-12-01T00:00:00"/>
    <x v="1"/>
    <s v="Q4"/>
    <x v="10"/>
    <x v="2"/>
    <x v="1"/>
    <x v="2"/>
    <x v="1"/>
    <x v="4"/>
    <x v="1"/>
    <n v="5"/>
    <m/>
    <n v="4369"/>
    <n v="0"/>
    <n v="4"/>
    <s v="Deceased"/>
    <n v="1"/>
  </r>
  <r>
    <s v="ADM-245262"/>
    <d v="2025-11-26T00:00:00"/>
    <d v="2025-12-01T00:00:00"/>
    <x v="1"/>
    <s v="Q4"/>
    <x v="10"/>
    <x v="2"/>
    <x v="0"/>
    <x v="1"/>
    <x v="0"/>
    <x v="0"/>
    <x v="0"/>
    <n v="5"/>
    <m/>
    <n v="2125"/>
    <n v="0"/>
    <n v="5"/>
    <s v="Recovered"/>
    <n v="1"/>
  </r>
  <r>
    <s v="ADM-245263"/>
    <d v="2025-11-26T00:00:00"/>
    <d v="2025-12-01T00:00:00"/>
    <x v="1"/>
    <s v="Q4"/>
    <x v="10"/>
    <x v="2"/>
    <x v="1"/>
    <x v="2"/>
    <x v="0"/>
    <x v="1"/>
    <x v="2"/>
    <n v="5"/>
    <m/>
    <n v="6954"/>
    <n v="0"/>
    <n v="3"/>
    <s v="Recovered"/>
    <n v="1"/>
  </r>
  <r>
    <s v="ADM-245264"/>
    <d v="2025-11-26T00:00:00"/>
    <d v="2025-12-01T00:00:00"/>
    <x v="1"/>
    <s v="Q4"/>
    <x v="10"/>
    <x v="2"/>
    <x v="2"/>
    <x v="0"/>
    <x v="0"/>
    <x v="2"/>
    <x v="0"/>
    <n v="5"/>
    <n v="74"/>
    <n v="4038"/>
    <n v="0"/>
    <n v="5"/>
    <s v="Recovered"/>
    <n v="1"/>
  </r>
  <r>
    <s v="ADM-245265"/>
    <d v="2025-11-26T00:00:00"/>
    <d v="2025-11-28T00:00:00"/>
    <x v="1"/>
    <s v="Q4"/>
    <x v="10"/>
    <x v="2"/>
    <x v="2"/>
    <x v="0"/>
    <x v="0"/>
    <x v="2"/>
    <x v="0"/>
    <n v="2"/>
    <n v="35"/>
    <n v="2258"/>
    <n v="0"/>
    <n v="4"/>
    <s v="Recovered"/>
    <n v="1"/>
  </r>
  <r>
    <s v="ADM-245266"/>
    <d v="2025-11-26T00:00:00"/>
    <d v="2025-12-01T00:00:00"/>
    <x v="1"/>
    <s v="Q4"/>
    <x v="10"/>
    <x v="2"/>
    <x v="4"/>
    <x v="0"/>
    <x v="0"/>
    <x v="0"/>
    <x v="0"/>
    <n v="5"/>
    <n v="51"/>
    <n v="7172"/>
    <n v="0"/>
    <n v="5"/>
    <s v="Recovered"/>
    <n v="1"/>
  </r>
  <r>
    <s v="ADM-245267"/>
    <d v="2025-11-27T00:00:00"/>
    <d v="2025-11-28T00:00:00"/>
    <x v="1"/>
    <s v="Q4"/>
    <x v="10"/>
    <x v="3"/>
    <x v="2"/>
    <x v="1"/>
    <x v="0"/>
    <x v="1"/>
    <x v="0"/>
    <n v="1"/>
    <m/>
    <n v="1360"/>
    <n v="0"/>
    <n v="5"/>
    <s v="Improved"/>
    <n v="1"/>
  </r>
  <r>
    <s v="ADM-245268"/>
    <d v="2025-11-27T00:00:00"/>
    <d v="2025-12-05T00:00:00"/>
    <x v="1"/>
    <s v="Q4"/>
    <x v="10"/>
    <x v="3"/>
    <x v="1"/>
    <x v="2"/>
    <x v="0"/>
    <x v="0"/>
    <x v="2"/>
    <n v="8"/>
    <m/>
    <n v="10143"/>
    <n v="0"/>
    <n v="3"/>
    <s v="Recovered"/>
    <n v="1"/>
  </r>
  <r>
    <s v="ADM-245269"/>
    <d v="2025-11-27T00:00:00"/>
    <d v="2025-12-01T00:00:00"/>
    <x v="1"/>
    <s v="Q4"/>
    <x v="10"/>
    <x v="3"/>
    <x v="1"/>
    <x v="2"/>
    <x v="0"/>
    <x v="2"/>
    <x v="2"/>
    <n v="4"/>
    <m/>
    <n v="4262"/>
    <n v="1"/>
    <n v="4"/>
    <s v="Recovered"/>
    <n v="1"/>
  </r>
  <r>
    <s v="ADM-245270"/>
    <d v="2025-11-27T00:00:00"/>
    <d v="2025-12-11T00:00:00"/>
    <x v="1"/>
    <s v="Q4"/>
    <x v="10"/>
    <x v="3"/>
    <x v="4"/>
    <x v="0"/>
    <x v="1"/>
    <x v="0"/>
    <x v="1"/>
    <n v="14"/>
    <n v="37"/>
    <n v="16218"/>
    <n v="0"/>
    <n v="4"/>
    <s v="Improved"/>
    <n v="1"/>
  </r>
  <r>
    <s v="ADM-245271"/>
    <d v="2025-11-27T00:00:00"/>
    <d v="2025-12-03T00:00:00"/>
    <x v="1"/>
    <s v="Q4"/>
    <x v="10"/>
    <x v="3"/>
    <x v="1"/>
    <x v="2"/>
    <x v="1"/>
    <x v="4"/>
    <x v="0"/>
    <n v="6"/>
    <m/>
    <n v="6524"/>
    <n v="0"/>
    <n v="4"/>
    <s v="Recovered"/>
    <n v="1"/>
  </r>
  <r>
    <s v="ADM-245272"/>
    <d v="2025-11-27T00:00:00"/>
    <d v="2025-11-30T00:00:00"/>
    <x v="1"/>
    <s v="Q4"/>
    <x v="10"/>
    <x v="3"/>
    <x v="2"/>
    <x v="1"/>
    <x v="0"/>
    <x v="1"/>
    <x v="2"/>
    <n v="3"/>
    <m/>
    <n v="3916"/>
    <n v="0"/>
    <n v="4"/>
    <s v="Improved"/>
    <n v="1"/>
  </r>
  <r>
    <s v="ADM-245273"/>
    <d v="2025-11-27T00:00:00"/>
    <d v="2025-11-29T00:00:00"/>
    <x v="1"/>
    <s v="Q4"/>
    <x v="10"/>
    <x v="3"/>
    <x v="3"/>
    <x v="2"/>
    <x v="0"/>
    <x v="3"/>
    <x v="0"/>
    <n v="2"/>
    <m/>
    <n v="2278"/>
    <n v="0"/>
    <n v="4"/>
    <s v="Improved"/>
    <n v="1"/>
  </r>
  <r>
    <s v="ADM-245274"/>
    <d v="2025-11-28T00:00:00"/>
    <d v="2025-11-29T00:00:00"/>
    <x v="1"/>
    <s v="Q4"/>
    <x v="10"/>
    <x v="4"/>
    <x v="4"/>
    <x v="2"/>
    <x v="1"/>
    <x v="2"/>
    <x v="1"/>
    <n v="1"/>
    <m/>
    <n v="1391"/>
    <n v="0"/>
    <n v="4"/>
    <s v="Recovered"/>
    <n v="1"/>
  </r>
  <r>
    <s v="ADM-245275"/>
    <d v="2025-11-28T00:00:00"/>
    <d v="2025-12-01T00:00:00"/>
    <x v="1"/>
    <s v="Q4"/>
    <x v="10"/>
    <x v="4"/>
    <x v="1"/>
    <x v="2"/>
    <x v="1"/>
    <x v="4"/>
    <x v="0"/>
    <n v="3"/>
    <m/>
    <n v="4183"/>
    <n v="1"/>
    <n v="2"/>
    <s v="Recovered"/>
    <n v="1"/>
  </r>
  <r>
    <s v="ADM-245276"/>
    <d v="2025-11-28T00:00:00"/>
    <d v="2025-11-30T00:00:00"/>
    <x v="1"/>
    <s v="Q4"/>
    <x v="10"/>
    <x v="4"/>
    <x v="0"/>
    <x v="0"/>
    <x v="0"/>
    <x v="1"/>
    <x v="2"/>
    <n v="2"/>
    <n v="41"/>
    <n v="2623"/>
    <n v="0"/>
    <n v="3"/>
    <s v="Improved"/>
    <n v="1"/>
  </r>
  <r>
    <s v="ADM-245277"/>
    <d v="2025-11-28T00:00:00"/>
    <d v="2025-12-01T00:00:00"/>
    <x v="1"/>
    <s v="Q4"/>
    <x v="10"/>
    <x v="4"/>
    <x v="1"/>
    <x v="2"/>
    <x v="0"/>
    <x v="4"/>
    <x v="0"/>
    <n v="3"/>
    <m/>
    <n v="3854"/>
    <n v="0"/>
    <n v="5"/>
    <s v="Recovered"/>
    <n v="1"/>
  </r>
  <r>
    <s v="ADM-245278"/>
    <d v="2025-11-28T00:00:00"/>
    <d v="2025-12-01T00:00:00"/>
    <x v="1"/>
    <s v="Q4"/>
    <x v="10"/>
    <x v="4"/>
    <x v="1"/>
    <x v="2"/>
    <x v="0"/>
    <x v="0"/>
    <x v="2"/>
    <n v="3"/>
    <m/>
    <n v="4830"/>
    <n v="0"/>
    <n v="4"/>
    <s v="Deceased"/>
    <n v="1"/>
  </r>
  <r>
    <s v="ADM-245279"/>
    <d v="2025-11-28T00:00:00"/>
    <d v="2025-12-03T00:00:00"/>
    <x v="1"/>
    <s v="Q4"/>
    <x v="10"/>
    <x v="4"/>
    <x v="3"/>
    <x v="0"/>
    <x v="1"/>
    <x v="3"/>
    <x v="1"/>
    <n v="5"/>
    <n v="64"/>
    <n v="3349"/>
    <n v="0"/>
    <n v="5"/>
    <s v="Recovered"/>
    <n v="1"/>
  </r>
  <r>
    <s v="ADM-245280"/>
    <d v="2025-11-28T00:00:00"/>
    <d v="2025-11-30T00:00:00"/>
    <x v="1"/>
    <s v="Q4"/>
    <x v="10"/>
    <x v="4"/>
    <x v="2"/>
    <x v="0"/>
    <x v="0"/>
    <x v="1"/>
    <x v="0"/>
    <n v="2"/>
    <n v="78"/>
    <n v="1149"/>
    <n v="0"/>
    <n v="5"/>
    <s v="Deceased"/>
    <n v="1"/>
  </r>
  <r>
    <s v="ADM-245281"/>
    <d v="2025-11-28T00:00:00"/>
    <d v="2025-12-11T00:00:00"/>
    <x v="1"/>
    <s v="Q4"/>
    <x v="10"/>
    <x v="4"/>
    <x v="0"/>
    <x v="0"/>
    <x v="1"/>
    <x v="0"/>
    <x v="2"/>
    <n v="13"/>
    <n v="20"/>
    <n v="6464"/>
    <n v="1"/>
    <n v="3"/>
    <s v="Recovered"/>
    <n v="1"/>
  </r>
  <r>
    <s v="ADM-245282"/>
    <d v="2025-11-28T00:00:00"/>
    <d v="2025-12-02T00:00:00"/>
    <x v="1"/>
    <s v="Q4"/>
    <x v="10"/>
    <x v="4"/>
    <x v="5"/>
    <x v="2"/>
    <x v="0"/>
    <x v="1"/>
    <x v="2"/>
    <n v="4"/>
    <m/>
    <n v="4475"/>
    <n v="0"/>
    <n v="3"/>
    <s v="Improved"/>
    <n v="1"/>
  </r>
  <r>
    <s v="ADM-245283"/>
    <d v="2025-11-28T00:00:00"/>
    <d v="2025-11-30T00:00:00"/>
    <x v="1"/>
    <s v="Q4"/>
    <x v="10"/>
    <x v="4"/>
    <x v="0"/>
    <x v="1"/>
    <x v="0"/>
    <x v="0"/>
    <x v="2"/>
    <n v="2"/>
    <m/>
    <n v="1831"/>
    <n v="1"/>
    <n v="4"/>
    <s v="Recovered"/>
    <n v="1"/>
  </r>
  <r>
    <s v="ADM-245284"/>
    <d v="2025-11-28T00:00:00"/>
    <d v="2025-11-30T00:00:00"/>
    <x v="1"/>
    <s v="Q4"/>
    <x v="10"/>
    <x v="4"/>
    <x v="5"/>
    <x v="2"/>
    <x v="1"/>
    <x v="0"/>
    <x v="2"/>
    <n v="2"/>
    <m/>
    <n v="2835"/>
    <n v="0"/>
    <n v="5"/>
    <s v="Improved"/>
    <n v="1"/>
  </r>
  <r>
    <s v="ADM-245285"/>
    <d v="2025-11-28T00:00:00"/>
    <d v="2025-12-01T00:00:00"/>
    <x v="1"/>
    <s v="Q4"/>
    <x v="10"/>
    <x v="4"/>
    <x v="1"/>
    <x v="2"/>
    <x v="0"/>
    <x v="2"/>
    <x v="1"/>
    <n v="3"/>
    <m/>
    <n v="3591"/>
    <n v="0"/>
    <n v="4"/>
    <s v="Improved"/>
    <n v="1"/>
  </r>
  <r>
    <s v="ADM-245286"/>
    <d v="2025-11-29T00:00:00"/>
    <d v="2025-12-04T00:00:00"/>
    <x v="1"/>
    <s v="Q4"/>
    <x v="10"/>
    <x v="5"/>
    <x v="1"/>
    <x v="2"/>
    <x v="1"/>
    <x v="1"/>
    <x v="1"/>
    <n v="5"/>
    <m/>
    <n v="5629"/>
    <n v="0"/>
    <n v="5"/>
    <s v="Recovered"/>
    <n v="1"/>
  </r>
  <r>
    <s v="ADM-245287"/>
    <d v="2025-11-29T00:00:00"/>
    <d v="2025-12-03T00:00:00"/>
    <x v="1"/>
    <s v="Q4"/>
    <x v="10"/>
    <x v="5"/>
    <x v="1"/>
    <x v="0"/>
    <x v="0"/>
    <x v="4"/>
    <x v="0"/>
    <n v="4"/>
    <n v="64"/>
    <n v="4613"/>
    <n v="0"/>
    <n v="5"/>
    <s v="Transferred"/>
    <n v="1"/>
  </r>
  <r>
    <s v="ADM-245288"/>
    <d v="2025-11-29T00:00:00"/>
    <d v="2025-12-01T00:00:00"/>
    <x v="1"/>
    <s v="Q4"/>
    <x v="10"/>
    <x v="5"/>
    <x v="0"/>
    <x v="0"/>
    <x v="1"/>
    <x v="2"/>
    <x v="2"/>
    <n v="2"/>
    <n v="56"/>
    <n v="1942"/>
    <n v="0"/>
    <n v="4"/>
    <s v="Deceased"/>
    <n v="1"/>
  </r>
  <r>
    <s v="ADM-245289"/>
    <d v="2025-11-29T00:00:00"/>
    <d v="2025-12-03T00:00:00"/>
    <x v="1"/>
    <s v="Q4"/>
    <x v="10"/>
    <x v="5"/>
    <x v="0"/>
    <x v="0"/>
    <x v="1"/>
    <x v="1"/>
    <x v="2"/>
    <n v="4"/>
    <n v="50"/>
    <n v="2664"/>
    <n v="1"/>
    <n v="4"/>
    <s v="Recovered"/>
    <n v="1"/>
  </r>
  <r>
    <s v="ADM-245290"/>
    <d v="2025-11-29T00:00:00"/>
    <d v="2025-11-30T00:00:00"/>
    <x v="1"/>
    <s v="Q4"/>
    <x v="10"/>
    <x v="5"/>
    <x v="2"/>
    <x v="2"/>
    <x v="0"/>
    <x v="1"/>
    <x v="1"/>
    <n v="1"/>
    <m/>
    <n v="1380"/>
    <n v="0"/>
    <n v="5"/>
    <s v="Recovered"/>
    <n v="1"/>
  </r>
  <r>
    <s v="ADM-245291"/>
    <d v="2025-11-29T00:00:00"/>
    <d v="2025-11-30T00:00:00"/>
    <x v="1"/>
    <s v="Q4"/>
    <x v="10"/>
    <x v="5"/>
    <x v="3"/>
    <x v="2"/>
    <x v="1"/>
    <x v="3"/>
    <x v="0"/>
    <n v="1"/>
    <m/>
    <n v="1306"/>
    <n v="0"/>
    <n v="3"/>
    <s v="Recovered"/>
    <n v="1"/>
  </r>
  <r>
    <s v="ADM-245292"/>
    <d v="2025-11-30T00:00:00"/>
    <d v="2025-12-05T00:00:00"/>
    <x v="1"/>
    <s v="Q4"/>
    <x v="10"/>
    <x v="6"/>
    <x v="0"/>
    <x v="0"/>
    <x v="0"/>
    <x v="0"/>
    <x v="0"/>
    <n v="5"/>
    <n v="47"/>
    <n v="3820"/>
    <n v="0"/>
    <n v="3"/>
    <s v="Improved"/>
    <n v="1"/>
  </r>
  <r>
    <s v="ADM-245293"/>
    <d v="2025-11-30T00:00:00"/>
    <d v="2025-12-01T00:00:00"/>
    <x v="1"/>
    <s v="Q4"/>
    <x v="10"/>
    <x v="6"/>
    <x v="5"/>
    <x v="2"/>
    <x v="1"/>
    <x v="4"/>
    <x v="2"/>
    <n v="1"/>
    <m/>
    <n v="2016"/>
    <n v="0"/>
    <n v="4"/>
    <s v="Recovered"/>
    <n v="1"/>
  </r>
  <r>
    <s v="ADM-245294"/>
    <d v="2025-11-30T00:00:00"/>
    <d v="2025-12-02T00:00:00"/>
    <x v="1"/>
    <s v="Q4"/>
    <x v="10"/>
    <x v="6"/>
    <x v="2"/>
    <x v="1"/>
    <x v="0"/>
    <x v="2"/>
    <x v="1"/>
    <n v="2"/>
    <m/>
    <n v="2071"/>
    <n v="0"/>
    <n v="4"/>
    <s v="Recovered"/>
    <n v="1"/>
  </r>
  <r>
    <s v="ADM-245295"/>
    <d v="2025-11-30T00:00:00"/>
    <d v="2025-12-13T00:00:00"/>
    <x v="1"/>
    <s v="Q4"/>
    <x v="10"/>
    <x v="6"/>
    <x v="0"/>
    <x v="0"/>
    <x v="0"/>
    <x v="4"/>
    <x v="0"/>
    <n v="13"/>
    <n v="47"/>
    <n v="9075"/>
    <n v="0"/>
    <n v="4"/>
    <s v="Recovered"/>
    <n v="1"/>
  </r>
  <r>
    <s v="ADM-245296"/>
    <d v="2025-11-30T00:00:00"/>
    <d v="2025-12-04T00:00:00"/>
    <x v="1"/>
    <s v="Q4"/>
    <x v="10"/>
    <x v="6"/>
    <x v="5"/>
    <x v="2"/>
    <x v="0"/>
    <x v="4"/>
    <x v="0"/>
    <n v="4"/>
    <m/>
    <n v="4825"/>
    <n v="0"/>
    <n v="5"/>
    <s v="Improved"/>
    <n v="1"/>
  </r>
  <r>
    <s v="ADM-245297"/>
    <d v="2025-12-01T00:00:00"/>
    <d v="2025-12-04T00:00:00"/>
    <x v="1"/>
    <s v="Q4"/>
    <x v="11"/>
    <x v="0"/>
    <x v="3"/>
    <x v="0"/>
    <x v="0"/>
    <x v="3"/>
    <x v="2"/>
    <n v="3"/>
    <n v="54"/>
    <n v="2564"/>
    <n v="0"/>
    <n v="4"/>
    <s v="Recovered"/>
    <n v="1"/>
  </r>
  <r>
    <s v="ADM-245298"/>
    <d v="2025-12-01T00:00:00"/>
    <d v="2025-12-04T00:00:00"/>
    <x v="1"/>
    <s v="Q4"/>
    <x v="11"/>
    <x v="0"/>
    <x v="0"/>
    <x v="0"/>
    <x v="0"/>
    <x v="0"/>
    <x v="0"/>
    <n v="3"/>
    <n v="73"/>
    <n v="3079"/>
    <n v="0"/>
    <n v="4"/>
    <s v="Recovered"/>
    <n v="1"/>
  </r>
  <r>
    <s v="ADM-245299"/>
    <d v="2025-12-01T00:00:00"/>
    <d v="2025-12-04T00:00:00"/>
    <x v="1"/>
    <s v="Q4"/>
    <x v="11"/>
    <x v="0"/>
    <x v="5"/>
    <x v="2"/>
    <x v="0"/>
    <x v="4"/>
    <x v="2"/>
    <n v="3"/>
    <m/>
    <n v="4420"/>
    <n v="0"/>
    <n v="5"/>
    <s v="Recovered"/>
    <n v="1"/>
  </r>
  <r>
    <s v="ADM-245300"/>
    <d v="2025-12-01T00:00:00"/>
    <d v="2025-12-11T00:00:00"/>
    <x v="1"/>
    <s v="Q4"/>
    <x v="11"/>
    <x v="0"/>
    <x v="1"/>
    <x v="2"/>
    <x v="1"/>
    <x v="0"/>
    <x v="2"/>
    <n v="10"/>
    <m/>
    <n v="10416"/>
    <n v="0"/>
    <n v="4"/>
    <s v="Improved"/>
    <n v="1"/>
  </r>
  <r>
    <s v="ADM-245301"/>
    <d v="2025-12-01T00:00:00"/>
    <d v="2025-12-03T00:00:00"/>
    <x v="1"/>
    <s v="Q4"/>
    <x v="11"/>
    <x v="0"/>
    <x v="3"/>
    <x v="0"/>
    <x v="0"/>
    <x v="3"/>
    <x v="0"/>
    <n v="2"/>
    <n v="17"/>
    <n v="1997"/>
    <n v="0"/>
    <n v="5"/>
    <s v="Improved"/>
    <n v="1"/>
  </r>
  <r>
    <s v="ADM-245302"/>
    <d v="2025-12-01T00:00:00"/>
    <d v="2025-12-05T00:00:00"/>
    <x v="1"/>
    <s v="Q4"/>
    <x v="11"/>
    <x v="0"/>
    <x v="0"/>
    <x v="2"/>
    <x v="1"/>
    <x v="2"/>
    <x v="0"/>
    <n v="4"/>
    <m/>
    <n v="3965"/>
    <n v="0"/>
    <n v="5"/>
    <s v="Recovered"/>
    <n v="1"/>
  </r>
  <r>
    <s v="ADM-245303"/>
    <d v="2025-12-01T00:00:00"/>
    <d v="2025-12-04T00:00:00"/>
    <x v="1"/>
    <s v="Q4"/>
    <x v="11"/>
    <x v="0"/>
    <x v="1"/>
    <x v="2"/>
    <x v="1"/>
    <x v="4"/>
    <x v="0"/>
    <n v="3"/>
    <m/>
    <n v="5213"/>
    <n v="0"/>
    <n v="4"/>
    <s v="Recovered"/>
    <n v="1"/>
  </r>
  <r>
    <s v="ADM-245304"/>
    <d v="2025-12-01T00:00:00"/>
    <d v="2025-12-03T00:00:00"/>
    <x v="1"/>
    <s v="Q4"/>
    <x v="11"/>
    <x v="0"/>
    <x v="2"/>
    <x v="0"/>
    <x v="0"/>
    <x v="2"/>
    <x v="2"/>
    <n v="2"/>
    <n v="70"/>
    <n v="2556"/>
    <n v="0"/>
    <n v="5"/>
    <s v="Improved"/>
    <n v="1"/>
  </r>
  <r>
    <s v="ADM-245305"/>
    <d v="2025-12-02T00:00:00"/>
    <d v="2025-12-05T00:00:00"/>
    <x v="1"/>
    <s v="Q4"/>
    <x v="11"/>
    <x v="1"/>
    <x v="1"/>
    <x v="2"/>
    <x v="1"/>
    <x v="0"/>
    <x v="2"/>
    <n v="3"/>
    <m/>
    <n v="2663"/>
    <n v="0"/>
    <n v="5"/>
    <s v="Recovered"/>
    <n v="1"/>
  </r>
  <r>
    <s v="ADM-245306"/>
    <d v="2025-12-02T00:00:00"/>
    <d v="2025-12-05T00:00:00"/>
    <x v="1"/>
    <s v="Q4"/>
    <x v="11"/>
    <x v="1"/>
    <x v="4"/>
    <x v="0"/>
    <x v="1"/>
    <x v="4"/>
    <x v="0"/>
    <n v="3"/>
    <n v="95"/>
    <n v="4521"/>
    <n v="0"/>
    <n v="3"/>
    <s v="Recovered"/>
    <n v="1"/>
  </r>
  <r>
    <s v="ADM-245307"/>
    <d v="2025-12-02T00:00:00"/>
    <d v="2025-12-11T00:00:00"/>
    <x v="1"/>
    <s v="Q4"/>
    <x v="11"/>
    <x v="1"/>
    <x v="0"/>
    <x v="1"/>
    <x v="0"/>
    <x v="0"/>
    <x v="2"/>
    <n v="9"/>
    <m/>
    <n v="7215"/>
    <n v="0"/>
    <n v="5"/>
    <s v="Recovered"/>
    <n v="1"/>
  </r>
  <r>
    <s v="ADM-245308"/>
    <d v="2025-12-02T00:00:00"/>
    <d v="2025-12-13T00:00:00"/>
    <x v="1"/>
    <s v="Q4"/>
    <x v="11"/>
    <x v="1"/>
    <x v="0"/>
    <x v="0"/>
    <x v="0"/>
    <x v="4"/>
    <x v="1"/>
    <n v="11"/>
    <n v="129"/>
    <n v="8665"/>
    <n v="0"/>
    <n v="4"/>
    <s v="Recovered"/>
    <n v="1"/>
  </r>
  <r>
    <s v="ADM-245309"/>
    <d v="2025-12-02T00:00:00"/>
    <d v="2025-12-03T00:00:00"/>
    <x v="1"/>
    <s v="Q4"/>
    <x v="11"/>
    <x v="1"/>
    <x v="3"/>
    <x v="1"/>
    <x v="0"/>
    <x v="3"/>
    <x v="1"/>
    <n v="1"/>
    <m/>
    <n v="1438"/>
    <n v="0"/>
    <n v="4"/>
    <s v="Improved"/>
    <n v="1"/>
  </r>
  <r>
    <s v="ADM-245310"/>
    <d v="2025-12-02T00:00:00"/>
    <d v="2025-12-13T00:00:00"/>
    <x v="1"/>
    <s v="Q4"/>
    <x v="11"/>
    <x v="1"/>
    <x v="0"/>
    <x v="2"/>
    <x v="0"/>
    <x v="4"/>
    <x v="2"/>
    <n v="11"/>
    <m/>
    <n v="7773"/>
    <n v="0"/>
    <n v="4"/>
    <s v="Recovered"/>
    <n v="1"/>
  </r>
  <r>
    <s v="ADM-245311"/>
    <d v="2025-12-02T00:00:00"/>
    <d v="2025-12-10T00:00:00"/>
    <x v="1"/>
    <s v="Q4"/>
    <x v="11"/>
    <x v="1"/>
    <x v="0"/>
    <x v="2"/>
    <x v="0"/>
    <x v="4"/>
    <x v="2"/>
    <n v="8"/>
    <m/>
    <n v="6664"/>
    <n v="0"/>
    <n v="5"/>
    <s v="Improved"/>
    <n v="1"/>
  </r>
  <r>
    <s v="ADM-245312"/>
    <d v="2025-12-02T00:00:00"/>
    <d v="2025-12-04T00:00:00"/>
    <x v="1"/>
    <s v="Q4"/>
    <x v="11"/>
    <x v="1"/>
    <x v="0"/>
    <x v="2"/>
    <x v="0"/>
    <x v="4"/>
    <x v="0"/>
    <n v="2"/>
    <m/>
    <n v="1633"/>
    <n v="0"/>
    <n v="5"/>
    <s v="Recovered"/>
    <n v="1"/>
  </r>
  <r>
    <s v="ADM-245313"/>
    <d v="2025-12-02T00:00:00"/>
    <d v="2025-12-09T00:00:00"/>
    <x v="1"/>
    <s v="Q4"/>
    <x v="11"/>
    <x v="1"/>
    <x v="3"/>
    <x v="0"/>
    <x v="0"/>
    <x v="3"/>
    <x v="2"/>
    <n v="7"/>
    <n v="61"/>
    <n v="5553"/>
    <n v="0"/>
    <n v="4"/>
    <s v="Recovered"/>
    <n v="1"/>
  </r>
  <r>
    <s v="ADM-245314"/>
    <d v="2025-12-02T00:00:00"/>
    <d v="2025-12-07T00:00:00"/>
    <x v="1"/>
    <s v="Q4"/>
    <x v="11"/>
    <x v="1"/>
    <x v="0"/>
    <x v="2"/>
    <x v="0"/>
    <x v="0"/>
    <x v="1"/>
    <n v="5"/>
    <m/>
    <n v="4163"/>
    <n v="0"/>
    <n v="4"/>
    <s v="Recovered"/>
    <n v="1"/>
  </r>
  <r>
    <s v="ADM-245315"/>
    <d v="2025-12-02T00:00:00"/>
    <d v="2025-12-03T00:00:00"/>
    <x v="1"/>
    <s v="Q4"/>
    <x v="11"/>
    <x v="1"/>
    <x v="0"/>
    <x v="0"/>
    <x v="1"/>
    <x v="0"/>
    <x v="1"/>
    <n v="1"/>
    <n v="34"/>
    <n v="1581"/>
    <n v="0"/>
    <n v="4"/>
    <s v="Transferred"/>
    <n v="1"/>
  </r>
  <r>
    <s v="ADM-245316"/>
    <d v="2025-12-02T00:00:00"/>
    <d v="2025-12-06T00:00:00"/>
    <x v="1"/>
    <s v="Q4"/>
    <x v="11"/>
    <x v="1"/>
    <x v="5"/>
    <x v="2"/>
    <x v="0"/>
    <x v="0"/>
    <x v="1"/>
    <n v="4"/>
    <m/>
    <n v="4802"/>
    <n v="0"/>
    <n v="5"/>
    <s v="Recovered"/>
    <n v="1"/>
  </r>
  <r>
    <s v="ADM-245317"/>
    <d v="2025-12-02T00:00:00"/>
    <d v="2025-12-04T00:00:00"/>
    <x v="1"/>
    <s v="Q4"/>
    <x v="11"/>
    <x v="1"/>
    <x v="0"/>
    <x v="2"/>
    <x v="0"/>
    <x v="0"/>
    <x v="1"/>
    <n v="2"/>
    <m/>
    <n v="1736"/>
    <n v="0"/>
    <n v="5"/>
    <s v="Recovered"/>
    <n v="1"/>
  </r>
  <r>
    <s v="ADM-245318"/>
    <d v="2025-12-03T00:00:00"/>
    <d v="2025-12-06T00:00:00"/>
    <x v="1"/>
    <s v="Q4"/>
    <x v="11"/>
    <x v="2"/>
    <x v="1"/>
    <x v="0"/>
    <x v="0"/>
    <x v="4"/>
    <x v="0"/>
    <n v="3"/>
    <n v="72"/>
    <n v="4918"/>
    <n v="1"/>
    <n v="4"/>
    <s v="Recovered"/>
    <n v="1"/>
  </r>
  <r>
    <s v="ADM-245319"/>
    <d v="2025-12-03T00:00:00"/>
    <d v="2025-12-07T00:00:00"/>
    <x v="1"/>
    <s v="Q4"/>
    <x v="11"/>
    <x v="2"/>
    <x v="1"/>
    <x v="2"/>
    <x v="0"/>
    <x v="1"/>
    <x v="0"/>
    <n v="4"/>
    <m/>
    <n v="6035"/>
    <n v="0"/>
    <n v="4"/>
    <s v="Recovered"/>
    <n v="1"/>
  </r>
  <r>
    <s v="ADM-245320"/>
    <d v="2025-12-03T00:00:00"/>
    <d v="2025-12-04T00:00:00"/>
    <x v="1"/>
    <s v="Q4"/>
    <x v="11"/>
    <x v="2"/>
    <x v="5"/>
    <x v="0"/>
    <x v="1"/>
    <x v="1"/>
    <x v="0"/>
    <n v="1"/>
    <n v="46"/>
    <n v="2098"/>
    <n v="0"/>
    <n v="4"/>
    <s v="Improved"/>
    <n v="1"/>
  </r>
  <r>
    <s v="ADM-245321"/>
    <d v="2025-12-03T00:00:00"/>
    <d v="2025-12-05T00:00:00"/>
    <x v="1"/>
    <s v="Q4"/>
    <x v="11"/>
    <x v="2"/>
    <x v="2"/>
    <x v="2"/>
    <x v="0"/>
    <x v="2"/>
    <x v="0"/>
    <n v="2"/>
    <m/>
    <n v="1587"/>
    <n v="0"/>
    <n v="4"/>
    <s v="Recovered"/>
    <n v="1"/>
  </r>
  <r>
    <s v="ADM-245322"/>
    <d v="2025-12-03T00:00:00"/>
    <d v="2025-12-07T00:00:00"/>
    <x v="1"/>
    <s v="Q4"/>
    <x v="11"/>
    <x v="2"/>
    <x v="3"/>
    <x v="0"/>
    <x v="1"/>
    <x v="3"/>
    <x v="0"/>
    <n v="4"/>
    <n v="138"/>
    <n v="3270"/>
    <n v="0"/>
    <n v="3"/>
    <s v="Recovered"/>
    <n v="1"/>
  </r>
  <r>
    <s v="ADM-245323"/>
    <d v="2025-12-03T00:00:00"/>
    <d v="2025-12-04T00:00:00"/>
    <x v="1"/>
    <s v="Q4"/>
    <x v="11"/>
    <x v="2"/>
    <x v="1"/>
    <x v="0"/>
    <x v="1"/>
    <x v="4"/>
    <x v="0"/>
    <n v="1"/>
    <n v="186"/>
    <n v="1579"/>
    <n v="0"/>
    <n v="2"/>
    <s v="Recovered"/>
    <n v="1"/>
  </r>
  <r>
    <s v="ADM-245324"/>
    <d v="2025-12-03T00:00:00"/>
    <d v="2025-12-08T00:00:00"/>
    <x v="1"/>
    <s v="Q4"/>
    <x v="11"/>
    <x v="2"/>
    <x v="1"/>
    <x v="2"/>
    <x v="1"/>
    <x v="4"/>
    <x v="2"/>
    <n v="5"/>
    <m/>
    <n v="6870"/>
    <n v="0"/>
    <n v="5"/>
    <s v="Recovered"/>
    <n v="1"/>
  </r>
  <r>
    <s v="ADM-245325"/>
    <d v="2025-12-03T00:00:00"/>
    <d v="2025-12-12T00:00:00"/>
    <x v="1"/>
    <s v="Q4"/>
    <x v="11"/>
    <x v="2"/>
    <x v="4"/>
    <x v="0"/>
    <x v="1"/>
    <x v="0"/>
    <x v="2"/>
    <n v="9"/>
    <n v="39"/>
    <n v="10124"/>
    <n v="0"/>
    <n v="4"/>
    <s v="Recovered"/>
    <n v="1"/>
  </r>
  <r>
    <s v="ADM-245326"/>
    <d v="2025-12-04T00:00:00"/>
    <d v="2025-12-07T00:00:00"/>
    <x v="1"/>
    <s v="Q4"/>
    <x v="11"/>
    <x v="3"/>
    <x v="2"/>
    <x v="1"/>
    <x v="0"/>
    <x v="2"/>
    <x v="0"/>
    <n v="3"/>
    <m/>
    <n v="2553"/>
    <n v="0"/>
    <n v="4"/>
    <s v="Improved"/>
    <n v="1"/>
  </r>
  <r>
    <s v="ADM-245327"/>
    <d v="2025-12-04T00:00:00"/>
    <d v="2025-12-12T00:00:00"/>
    <x v="1"/>
    <s v="Q4"/>
    <x v="11"/>
    <x v="3"/>
    <x v="0"/>
    <x v="0"/>
    <x v="1"/>
    <x v="0"/>
    <x v="2"/>
    <n v="8"/>
    <n v="54"/>
    <n v="5694"/>
    <n v="1"/>
    <n v="4"/>
    <s v="Recovered"/>
    <n v="1"/>
  </r>
  <r>
    <s v="ADM-245328"/>
    <d v="2025-12-04T00:00:00"/>
    <d v="2025-12-05T00:00:00"/>
    <x v="1"/>
    <s v="Q4"/>
    <x v="11"/>
    <x v="3"/>
    <x v="0"/>
    <x v="0"/>
    <x v="1"/>
    <x v="4"/>
    <x v="0"/>
    <n v="1"/>
    <n v="62"/>
    <n v="1266"/>
    <n v="0"/>
    <n v="5"/>
    <s v="Improved"/>
    <n v="1"/>
  </r>
  <r>
    <s v="ADM-245329"/>
    <d v="2025-12-04T00:00:00"/>
    <d v="2025-12-09T00:00:00"/>
    <x v="1"/>
    <s v="Q4"/>
    <x v="11"/>
    <x v="3"/>
    <x v="0"/>
    <x v="2"/>
    <x v="1"/>
    <x v="4"/>
    <x v="2"/>
    <n v="5"/>
    <m/>
    <n v="3839"/>
    <n v="0"/>
    <n v="4"/>
    <s v="Recovered"/>
    <n v="1"/>
  </r>
  <r>
    <s v="ADM-245330"/>
    <d v="2025-12-04T00:00:00"/>
    <d v="2025-12-10T00:00:00"/>
    <x v="1"/>
    <s v="Q4"/>
    <x v="11"/>
    <x v="3"/>
    <x v="0"/>
    <x v="0"/>
    <x v="1"/>
    <x v="1"/>
    <x v="2"/>
    <n v="6"/>
    <n v="72"/>
    <n v="4420"/>
    <n v="0"/>
    <n v="4"/>
    <s v="Improved"/>
    <n v="1"/>
  </r>
  <r>
    <s v="ADM-245331"/>
    <d v="2025-12-04T00:00:00"/>
    <d v="2025-12-05T00:00:00"/>
    <x v="1"/>
    <s v="Q4"/>
    <x v="11"/>
    <x v="3"/>
    <x v="5"/>
    <x v="2"/>
    <x v="0"/>
    <x v="4"/>
    <x v="2"/>
    <n v="1"/>
    <m/>
    <n v="1801"/>
    <n v="0"/>
    <n v="4"/>
    <s v="Recovered"/>
    <n v="1"/>
  </r>
  <r>
    <s v="ADM-245332"/>
    <d v="2025-12-04T00:00:00"/>
    <d v="2025-12-07T00:00:00"/>
    <x v="1"/>
    <s v="Q4"/>
    <x v="11"/>
    <x v="3"/>
    <x v="0"/>
    <x v="0"/>
    <x v="0"/>
    <x v="2"/>
    <x v="0"/>
    <n v="3"/>
    <n v="67"/>
    <n v="2452"/>
    <n v="0"/>
    <n v="4"/>
    <s v="Improved"/>
    <n v="1"/>
  </r>
  <r>
    <s v="ADM-245333"/>
    <d v="2025-12-04T00:00:00"/>
    <d v="2025-12-05T00:00:00"/>
    <x v="1"/>
    <s v="Q4"/>
    <x v="11"/>
    <x v="3"/>
    <x v="2"/>
    <x v="2"/>
    <x v="0"/>
    <x v="1"/>
    <x v="2"/>
    <n v="1"/>
    <m/>
    <n v="1486"/>
    <n v="0"/>
    <n v="2"/>
    <s v="Recovered"/>
    <n v="1"/>
  </r>
  <r>
    <s v="ADM-245334"/>
    <d v="2025-12-04T00:00:00"/>
    <d v="2025-12-07T00:00:00"/>
    <x v="1"/>
    <s v="Q4"/>
    <x v="11"/>
    <x v="3"/>
    <x v="2"/>
    <x v="0"/>
    <x v="0"/>
    <x v="1"/>
    <x v="1"/>
    <n v="3"/>
    <n v="15"/>
    <n v="3137"/>
    <n v="0"/>
    <n v="5"/>
    <s v="Improved"/>
    <n v="1"/>
  </r>
  <r>
    <s v="ADM-245335"/>
    <d v="2025-12-04T00:00:00"/>
    <d v="2025-12-05T00:00:00"/>
    <x v="1"/>
    <s v="Q4"/>
    <x v="11"/>
    <x v="3"/>
    <x v="1"/>
    <x v="2"/>
    <x v="0"/>
    <x v="1"/>
    <x v="0"/>
    <n v="1"/>
    <m/>
    <n v="2061"/>
    <n v="0"/>
    <n v="4"/>
    <s v="Recovered"/>
    <n v="1"/>
  </r>
  <r>
    <s v="ADM-245336"/>
    <d v="2025-12-04T00:00:00"/>
    <d v="2025-12-08T00:00:00"/>
    <x v="1"/>
    <s v="Q4"/>
    <x v="11"/>
    <x v="3"/>
    <x v="0"/>
    <x v="0"/>
    <x v="1"/>
    <x v="0"/>
    <x v="2"/>
    <n v="4"/>
    <n v="53"/>
    <n v="3604"/>
    <n v="0"/>
    <n v="5"/>
    <s v="Recovered"/>
    <n v="1"/>
  </r>
  <r>
    <s v="ADM-245337"/>
    <d v="2025-12-04T00:00:00"/>
    <d v="2025-12-07T00:00:00"/>
    <x v="1"/>
    <s v="Q4"/>
    <x v="11"/>
    <x v="3"/>
    <x v="2"/>
    <x v="2"/>
    <x v="0"/>
    <x v="2"/>
    <x v="2"/>
    <n v="3"/>
    <m/>
    <n v="2940"/>
    <n v="0"/>
    <n v="4"/>
    <s v="Improved"/>
    <n v="1"/>
  </r>
  <r>
    <s v="ADM-245338"/>
    <d v="2025-12-04T00:00:00"/>
    <d v="2025-12-05T00:00:00"/>
    <x v="1"/>
    <s v="Q4"/>
    <x v="11"/>
    <x v="3"/>
    <x v="1"/>
    <x v="2"/>
    <x v="1"/>
    <x v="0"/>
    <x v="0"/>
    <n v="1"/>
    <m/>
    <n v="1846"/>
    <n v="0"/>
    <n v="4"/>
    <s v="Improved"/>
    <n v="1"/>
  </r>
  <r>
    <s v="ADM-245339"/>
    <d v="2025-12-05T00:00:00"/>
    <d v="2025-12-07T00:00:00"/>
    <x v="1"/>
    <s v="Q4"/>
    <x v="11"/>
    <x v="4"/>
    <x v="1"/>
    <x v="2"/>
    <x v="0"/>
    <x v="1"/>
    <x v="1"/>
    <n v="2"/>
    <m/>
    <n v="2350"/>
    <n v="0"/>
    <n v="4"/>
    <s v="Recovered"/>
    <n v="1"/>
  </r>
  <r>
    <s v="ADM-245340"/>
    <d v="2025-12-05T00:00:00"/>
    <d v="2025-12-09T00:00:00"/>
    <x v="1"/>
    <s v="Q4"/>
    <x v="11"/>
    <x v="4"/>
    <x v="2"/>
    <x v="0"/>
    <x v="0"/>
    <x v="1"/>
    <x v="2"/>
    <n v="4"/>
    <n v="61"/>
    <n v="3168"/>
    <n v="0"/>
    <n v="4"/>
    <s v="Recovered"/>
    <n v="1"/>
  </r>
  <r>
    <s v="ADM-245341"/>
    <d v="2025-12-05T00:00:00"/>
    <d v="2025-12-07T00:00:00"/>
    <x v="1"/>
    <s v="Q4"/>
    <x v="11"/>
    <x v="4"/>
    <x v="2"/>
    <x v="2"/>
    <x v="0"/>
    <x v="1"/>
    <x v="2"/>
    <n v="2"/>
    <m/>
    <n v="2219"/>
    <n v="0"/>
    <n v="3"/>
    <s v="Recovered"/>
    <n v="1"/>
  </r>
  <r>
    <s v="ADM-245342"/>
    <d v="2025-12-05T00:00:00"/>
    <d v="2025-12-10T00:00:00"/>
    <x v="1"/>
    <s v="Q4"/>
    <x v="11"/>
    <x v="4"/>
    <x v="1"/>
    <x v="2"/>
    <x v="1"/>
    <x v="1"/>
    <x v="2"/>
    <n v="5"/>
    <m/>
    <n v="5728"/>
    <n v="0"/>
    <n v="4"/>
    <s v="Recovered"/>
    <n v="1"/>
  </r>
  <r>
    <s v="ADM-245343"/>
    <d v="2025-12-05T00:00:00"/>
    <d v="2025-12-06T00:00:00"/>
    <x v="1"/>
    <s v="Q4"/>
    <x v="11"/>
    <x v="4"/>
    <x v="3"/>
    <x v="0"/>
    <x v="1"/>
    <x v="3"/>
    <x v="2"/>
    <n v="1"/>
    <n v="73"/>
    <n v="1575"/>
    <n v="1"/>
    <n v="3"/>
    <s v="Improved"/>
    <n v="1"/>
  </r>
  <r>
    <s v="ADM-245344"/>
    <d v="2025-12-05T00:00:00"/>
    <d v="2025-12-09T00:00:00"/>
    <x v="1"/>
    <s v="Q4"/>
    <x v="11"/>
    <x v="4"/>
    <x v="2"/>
    <x v="0"/>
    <x v="0"/>
    <x v="2"/>
    <x v="2"/>
    <n v="4"/>
    <n v="19"/>
    <n v="2858"/>
    <n v="0"/>
    <n v="4"/>
    <s v="Recovered"/>
    <n v="1"/>
  </r>
  <r>
    <s v="ADM-245345"/>
    <d v="2025-12-05T00:00:00"/>
    <d v="2025-12-08T00:00:00"/>
    <x v="1"/>
    <s v="Q4"/>
    <x v="11"/>
    <x v="4"/>
    <x v="0"/>
    <x v="1"/>
    <x v="0"/>
    <x v="1"/>
    <x v="0"/>
    <n v="3"/>
    <m/>
    <n v="2567"/>
    <n v="0"/>
    <n v="4"/>
    <s v="Recovered"/>
    <n v="1"/>
  </r>
  <r>
    <s v="ADM-245346"/>
    <d v="2025-12-05T00:00:00"/>
    <d v="2025-12-09T00:00:00"/>
    <x v="1"/>
    <s v="Q4"/>
    <x v="11"/>
    <x v="4"/>
    <x v="3"/>
    <x v="0"/>
    <x v="0"/>
    <x v="3"/>
    <x v="2"/>
    <n v="4"/>
    <n v="232"/>
    <n v="3218"/>
    <n v="0"/>
    <n v="3"/>
    <s v="Improved"/>
    <n v="1"/>
  </r>
  <r>
    <s v="ADM-245347"/>
    <d v="2025-12-05T00:00:00"/>
    <d v="2025-12-13T00:00:00"/>
    <x v="1"/>
    <s v="Q4"/>
    <x v="11"/>
    <x v="4"/>
    <x v="4"/>
    <x v="0"/>
    <x v="1"/>
    <x v="0"/>
    <x v="2"/>
    <n v="8"/>
    <n v="64"/>
    <n v="9704"/>
    <n v="0"/>
    <n v="4"/>
    <s v="Recovered"/>
    <n v="1"/>
  </r>
  <r>
    <s v="ADM-245348"/>
    <d v="2025-12-05T00:00:00"/>
    <d v="2025-12-07T00:00:00"/>
    <x v="1"/>
    <s v="Q4"/>
    <x v="11"/>
    <x v="4"/>
    <x v="5"/>
    <x v="2"/>
    <x v="0"/>
    <x v="0"/>
    <x v="2"/>
    <n v="2"/>
    <m/>
    <n v="2813"/>
    <n v="0"/>
    <n v="4"/>
    <s v="Recovered"/>
    <n v="1"/>
  </r>
  <r>
    <s v="ADM-245349"/>
    <d v="2025-12-05T00:00:00"/>
    <d v="2025-12-14T00:00:00"/>
    <x v="1"/>
    <s v="Q4"/>
    <x v="11"/>
    <x v="4"/>
    <x v="0"/>
    <x v="2"/>
    <x v="0"/>
    <x v="0"/>
    <x v="0"/>
    <n v="9"/>
    <m/>
    <n v="6611"/>
    <n v="0"/>
    <n v="5"/>
    <s v="Improved"/>
    <n v="1"/>
  </r>
  <r>
    <s v="ADM-245350"/>
    <d v="2025-12-05T00:00:00"/>
    <d v="2025-12-10T00:00:00"/>
    <x v="1"/>
    <s v="Q4"/>
    <x v="11"/>
    <x v="4"/>
    <x v="3"/>
    <x v="0"/>
    <x v="0"/>
    <x v="3"/>
    <x v="2"/>
    <n v="5"/>
    <n v="60"/>
    <n v="3952"/>
    <n v="0"/>
    <n v="5"/>
    <s v="Improved"/>
    <n v="1"/>
  </r>
  <r>
    <s v="ADM-245351"/>
    <d v="2025-12-05T00:00:00"/>
    <d v="2025-12-11T00:00:00"/>
    <x v="1"/>
    <s v="Q4"/>
    <x v="11"/>
    <x v="4"/>
    <x v="0"/>
    <x v="0"/>
    <x v="0"/>
    <x v="0"/>
    <x v="2"/>
    <n v="6"/>
    <n v="34"/>
    <n v="5455"/>
    <n v="1"/>
    <n v="3"/>
    <s v="Improved"/>
    <n v="1"/>
  </r>
  <r>
    <s v="ADM-245352"/>
    <d v="2025-12-05T00:00:00"/>
    <d v="2025-12-07T00:00:00"/>
    <x v="1"/>
    <s v="Q4"/>
    <x v="11"/>
    <x v="4"/>
    <x v="2"/>
    <x v="0"/>
    <x v="0"/>
    <x v="1"/>
    <x v="2"/>
    <n v="2"/>
    <n v="27"/>
    <n v="1499"/>
    <n v="0"/>
    <n v="5"/>
    <s v="Recovered"/>
    <n v="1"/>
  </r>
  <r>
    <s v="ADM-245353"/>
    <d v="2025-12-05T00:00:00"/>
    <d v="2025-12-07T00:00:00"/>
    <x v="1"/>
    <s v="Q4"/>
    <x v="11"/>
    <x v="4"/>
    <x v="5"/>
    <x v="2"/>
    <x v="1"/>
    <x v="1"/>
    <x v="0"/>
    <n v="2"/>
    <m/>
    <n v="2318"/>
    <n v="0"/>
    <n v="3"/>
    <s v="Recovered"/>
    <n v="1"/>
  </r>
  <r>
    <s v="ADM-245354"/>
    <d v="2025-12-05T00:00:00"/>
    <d v="2025-12-08T00:00:00"/>
    <x v="1"/>
    <s v="Q4"/>
    <x v="11"/>
    <x v="4"/>
    <x v="4"/>
    <x v="0"/>
    <x v="0"/>
    <x v="0"/>
    <x v="1"/>
    <n v="3"/>
    <n v="56"/>
    <n v="4692"/>
    <n v="0"/>
    <n v="4"/>
    <s v="Recovered"/>
    <n v="1"/>
  </r>
  <r>
    <s v="ADM-245355"/>
    <d v="2025-12-06T00:00:00"/>
    <d v="2025-12-08T00:00:00"/>
    <x v="1"/>
    <s v="Q4"/>
    <x v="11"/>
    <x v="5"/>
    <x v="2"/>
    <x v="2"/>
    <x v="0"/>
    <x v="2"/>
    <x v="2"/>
    <n v="2"/>
    <m/>
    <n v="2121"/>
    <n v="0"/>
    <n v="5"/>
    <s v="Recovered"/>
    <n v="1"/>
  </r>
  <r>
    <s v="ADM-245356"/>
    <d v="2025-12-06T00:00:00"/>
    <d v="2025-12-09T00:00:00"/>
    <x v="1"/>
    <s v="Q4"/>
    <x v="11"/>
    <x v="5"/>
    <x v="3"/>
    <x v="0"/>
    <x v="1"/>
    <x v="3"/>
    <x v="0"/>
    <n v="3"/>
    <n v="122"/>
    <n v="2942"/>
    <n v="0"/>
    <n v="4"/>
    <s v="Improved"/>
    <n v="1"/>
  </r>
  <r>
    <s v="ADM-245357"/>
    <d v="2025-12-06T00:00:00"/>
    <d v="2025-12-14T00:00:00"/>
    <x v="1"/>
    <s v="Q4"/>
    <x v="11"/>
    <x v="5"/>
    <x v="0"/>
    <x v="0"/>
    <x v="0"/>
    <x v="1"/>
    <x v="1"/>
    <n v="8"/>
    <n v="25"/>
    <n v="5420"/>
    <n v="0"/>
    <n v="4"/>
    <s v="Improved"/>
    <n v="1"/>
  </r>
  <r>
    <s v="ADM-245358"/>
    <d v="2025-12-06T00:00:00"/>
    <d v="2025-12-11T00:00:00"/>
    <x v="1"/>
    <s v="Q4"/>
    <x v="11"/>
    <x v="5"/>
    <x v="3"/>
    <x v="0"/>
    <x v="1"/>
    <x v="3"/>
    <x v="0"/>
    <n v="5"/>
    <n v="27"/>
    <n v="3997"/>
    <n v="0"/>
    <n v="4"/>
    <s v="Recovered"/>
    <n v="1"/>
  </r>
  <r>
    <s v="ADM-245359"/>
    <d v="2025-12-07T00:00:00"/>
    <d v="2025-12-16T00:00:00"/>
    <x v="1"/>
    <s v="Q4"/>
    <x v="11"/>
    <x v="6"/>
    <x v="0"/>
    <x v="0"/>
    <x v="0"/>
    <x v="0"/>
    <x v="1"/>
    <n v="9"/>
    <n v="30"/>
    <n v="6343"/>
    <n v="0"/>
    <n v="5"/>
    <s v="Improved"/>
    <n v="1"/>
  </r>
  <r>
    <s v="ADM-245360"/>
    <d v="2025-12-07T00:00:00"/>
    <d v="2025-12-11T00:00:00"/>
    <x v="1"/>
    <s v="Q4"/>
    <x v="11"/>
    <x v="6"/>
    <x v="1"/>
    <x v="2"/>
    <x v="1"/>
    <x v="4"/>
    <x v="2"/>
    <n v="4"/>
    <m/>
    <n v="5150"/>
    <n v="1"/>
    <n v="4"/>
    <s v="Improved"/>
    <n v="1"/>
  </r>
  <r>
    <s v="ADM-245361"/>
    <d v="2025-12-07T00:00:00"/>
    <d v="2025-12-13T00:00:00"/>
    <x v="1"/>
    <s v="Q4"/>
    <x v="11"/>
    <x v="6"/>
    <x v="3"/>
    <x v="0"/>
    <x v="0"/>
    <x v="3"/>
    <x v="1"/>
    <n v="6"/>
    <n v="26"/>
    <n v="3805"/>
    <n v="0"/>
    <n v="4"/>
    <s v="Improved"/>
    <n v="1"/>
  </r>
  <r>
    <s v="ADM-245362"/>
    <d v="2025-12-07T00:00:00"/>
    <d v="2025-12-15T00:00:00"/>
    <x v="1"/>
    <s v="Q4"/>
    <x v="11"/>
    <x v="6"/>
    <x v="4"/>
    <x v="0"/>
    <x v="0"/>
    <x v="0"/>
    <x v="1"/>
    <n v="8"/>
    <n v="98"/>
    <n v="8670"/>
    <n v="0"/>
    <n v="4"/>
    <s v="Deceased"/>
    <n v="1"/>
  </r>
  <r>
    <s v="ADM-245363"/>
    <d v="2025-12-07T00:00:00"/>
    <d v="2025-12-09T00:00:00"/>
    <x v="1"/>
    <s v="Q4"/>
    <x v="11"/>
    <x v="6"/>
    <x v="5"/>
    <x v="2"/>
    <x v="1"/>
    <x v="2"/>
    <x v="0"/>
    <n v="2"/>
    <m/>
    <n v="2816"/>
    <n v="0"/>
    <n v="4"/>
    <s v="Improved"/>
    <n v="1"/>
  </r>
  <r>
    <s v="ADM-245364"/>
    <d v="2025-12-07T00:00:00"/>
    <d v="2025-12-09T00:00:00"/>
    <x v="1"/>
    <s v="Q4"/>
    <x v="11"/>
    <x v="6"/>
    <x v="4"/>
    <x v="0"/>
    <x v="1"/>
    <x v="0"/>
    <x v="2"/>
    <n v="2"/>
    <n v="78"/>
    <n v="2694"/>
    <n v="0"/>
    <n v="4"/>
    <s v="Recovered"/>
    <n v="1"/>
  </r>
  <r>
    <s v="ADM-245365"/>
    <d v="2025-12-07T00:00:00"/>
    <d v="2025-12-10T00:00:00"/>
    <x v="1"/>
    <s v="Q4"/>
    <x v="11"/>
    <x v="6"/>
    <x v="3"/>
    <x v="0"/>
    <x v="1"/>
    <x v="3"/>
    <x v="2"/>
    <n v="3"/>
    <n v="31"/>
    <n v="1722"/>
    <n v="0"/>
    <n v="4"/>
    <s v="Recovered"/>
    <n v="1"/>
  </r>
  <r>
    <s v="ADM-245366"/>
    <d v="2025-12-08T00:00:00"/>
    <d v="2025-12-15T00:00:00"/>
    <x v="1"/>
    <s v="Q4"/>
    <x v="11"/>
    <x v="0"/>
    <x v="0"/>
    <x v="1"/>
    <x v="0"/>
    <x v="4"/>
    <x v="1"/>
    <n v="7"/>
    <m/>
    <n v="5196"/>
    <n v="0"/>
    <n v="4"/>
    <s v="Recovered"/>
    <n v="1"/>
  </r>
  <r>
    <s v="ADM-245367"/>
    <d v="2025-12-08T00:00:00"/>
    <d v="2025-12-09T00:00:00"/>
    <x v="1"/>
    <s v="Q4"/>
    <x v="11"/>
    <x v="0"/>
    <x v="1"/>
    <x v="2"/>
    <x v="1"/>
    <x v="2"/>
    <x v="2"/>
    <n v="1"/>
    <m/>
    <n v="1639"/>
    <n v="0"/>
    <n v="4"/>
    <s v="Recovered"/>
    <n v="1"/>
  </r>
  <r>
    <s v="ADM-245368"/>
    <d v="2025-12-08T00:00:00"/>
    <d v="2025-12-11T00:00:00"/>
    <x v="1"/>
    <s v="Q4"/>
    <x v="11"/>
    <x v="0"/>
    <x v="0"/>
    <x v="1"/>
    <x v="1"/>
    <x v="1"/>
    <x v="0"/>
    <n v="3"/>
    <m/>
    <n v="2434"/>
    <n v="0"/>
    <n v="5"/>
    <s v="Improved"/>
    <n v="1"/>
  </r>
  <r>
    <s v="ADM-245369"/>
    <d v="2025-12-08T00:00:00"/>
    <d v="2025-12-22T00:00:00"/>
    <x v="1"/>
    <s v="Q4"/>
    <x v="11"/>
    <x v="0"/>
    <x v="1"/>
    <x v="2"/>
    <x v="1"/>
    <x v="0"/>
    <x v="0"/>
    <n v="14"/>
    <m/>
    <n v="14341"/>
    <n v="0"/>
    <n v="4"/>
    <s v="Improved"/>
    <n v="1"/>
  </r>
  <r>
    <s v="ADM-245370"/>
    <d v="2025-12-08T00:00:00"/>
    <d v="2025-12-11T00:00:00"/>
    <x v="1"/>
    <s v="Q4"/>
    <x v="11"/>
    <x v="0"/>
    <x v="4"/>
    <x v="0"/>
    <x v="0"/>
    <x v="2"/>
    <x v="2"/>
    <n v="3"/>
    <n v="52"/>
    <n v="2991"/>
    <n v="0"/>
    <n v="5"/>
    <s v="Improved"/>
    <n v="1"/>
  </r>
  <r>
    <s v="ADM-245371"/>
    <d v="2025-12-08T00:00:00"/>
    <d v="2025-12-11T00:00:00"/>
    <x v="1"/>
    <s v="Q4"/>
    <x v="11"/>
    <x v="0"/>
    <x v="0"/>
    <x v="0"/>
    <x v="1"/>
    <x v="0"/>
    <x v="0"/>
    <n v="3"/>
    <n v="30"/>
    <n v="2929"/>
    <n v="0"/>
    <n v="4"/>
    <s v="Transferred"/>
    <n v="1"/>
  </r>
  <r>
    <s v="ADM-245372"/>
    <d v="2025-12-08T00:00:00"/>
    <d v="2025-12-24T00:00:00"/>
    <x v="1"/>
    <s v="Q4"/>
    <x v="11"/>
    <x v="0"/>
    <x v="3"/>
    <x v="0"/>
    <x v="0"/>
    <x v="3"/>
    <x v="2"/>
    <n v="16"/>
    <n v="102"/>
    <n v="11623"/>
    <n v="0"/>
    <n v="4"/>
    <s v="Recovered"/>
    <n v="1"/>
  </r>
  <r>
    <s v="ADM-245373"/>
    <d v="2025-12-08T00:00:00"/>
    <d v="2025-12-11T00:00:00"/>
    <x v="1"/>
    <s v="Q4"/>
    <x v="11"/>
    <x v="0"/>
    <x v="4"/>
    <x v="2"/>
    <x v="0"/>
    <x v="0"/>
    <x v="2"/>
    <n v="3"/>
    <m/>
    <n v="4329"/>
    <n v="0"/>
    <n v="2"/>
    <s v="Recovered"/>
    <n v="1"/>
  </r>
  <r>
    <s v="ADM-245374"/>
    <d v="2025-12-08T00:00:00"/>
    <d v="2025-12-16T00:00:00"/>
    <x v="1"/>
    <s v="Q4"/>
    <x v="11"/>
    <x v="0"/>
    <x v="1"/>
    <x v="2"/>
    <x v="0"/>
    <x v="1"/>
    <x v="1"/>
    <n v="8"/>
    <m/>
    <n v="10332"/>
    <n v="0"/>
    <n v="3"/>
    <s v="Improved"/>
    <n v="1"/>
  </r>
  <r>
    <s v="ADM-245375"/>
    <d v="2025-12-08T00:00:00"/>
    <d v="2025-12-14T00:00:00"/>
    <x v="1"/>
    <s v="Q4"/>
    <x v="11"/>
    <x v="0"/>
    <x v="0"/>
    <x v="0"/>
    <x v="1"/>
    <x v="1"/>
    <x v="2"/>
    <n v="6"/>
    <n v="107"/>
    <n v="5143"/>
    <n v="0"/>
    <n v="4"/>
    <s v="Recovered"/>
    <n v="1"/>
  </r>
  <r>
    <s v="ADM-245376"/>
    <d v="2025-12-09T00:00:00"/>
    <d v="2025-12-21T00:00:00"/>
    <x v="1"/>
    <s v="Q4"/>
    <x v="11"/>
    <x v="1"/>
    <x v="2"/>
    <x v="0"/>
    <x v="0"/>
    <x v="1"/>
    <x v="1"/>
    <n v="12"/>
    <n v="110"/>
    <n v="9328"/>
    <n v="0"/>
    <n v="3"/>
    <s v="Improved"/>
    <n v="1"/>
  </r>
  <r>
    <s v="ADM-245377"/>
    <d v="2025-12-09T00:00:00"/>
    <d v="2025-12-15T00:00:00"/>
    <x v="1"/>
    <s v="Q4"/>
    <x v="11"/>
    <x v="1"/>
    <x v="1"/>
    <x v="2"/>
    <x v="1"/>
    <x v="2"/>
    <x v="0"/>
    <n v="6"/>
    <m/>
    <n v="7858"/>
    <n v="0"/>
    <n v="5"/>
    <s v="Recovered"/>
    <n v="1"/>
  </r>
  <r>
    <s v="ADM-245378"/>
    <d v="2025-12-09T00:00:00"/>
    <d v="2025-12-14T00:00:00"/>
    <x v="1"/>
    <s v="Q4"/>
    <x v="11"/>
    <x v="1"/>
    <x v="1"/>
    <x v="2"/>
    <x v="1"/>
    <x v="4"/>
    <x v="2"/>
    <n v="5"/>
    <m/>
    <n v="7655"/>
    <n v="0"/>
    <n v="4"/>
    <s v="Recovered"/>
    <n v="1"/>
  </r>
  <r>
    <s v="ADM-245379"/>
    <d v="2025-12-09T00:00:00"/>
    <d v="2025-12-10T00:00:00"/>
    <x v="1"/>
    <s v="Q4"/>
    <x v="11"/>
    <x v="1"/>
    <x v="3"/>
    <x v="1"/>
    <x v="1"/>
    <x v="3"/>
    <x v="2"/>
    <n v="1"/>
    <m/>
    <n v="1679"/>
    <n v="0"/>
    <n v="4"/>
    <s v="Recovered"/>
    <n v="1"/>
  </r>
  <r>
    <s v="ADM-245380"/>
    <d v="2025-12-09T00:00:00"/>
    <d v="2025-12-19T00:00:00"/>
    <x v="1"/>
    <s v="Q4"/>
    <x v="11"/>
    <x v="1"/>
    <x v="3"/>
    <x v="0"/>
    <x v="0"/>
    <x v="3"/>
    <x v="0"/>
    <n v="10"/>
    <n v="94"/>
    <n v="6432"/>
    <n v="0"/>
    <n v="2"/>
    <s v="Recovered"/>
    <n v="1"/>
  </r>
  <r>
    <s v="ADM-245381"/>
    <d v="2025-12-09T00:00:00"/>
    <d v="2025-12-11T00:00:00"/>
    <x v="1"/>
    <s v="Q4"/>
    <x v="11"/>
    <x v="1"/>
    <x v="5"/>
    <x v="2"/>
    <x v="0"/>
    <x v="1"/>
    <x v="2"/>
    <n v="2"/>
    <m/>
    <n v="2900"/>
    <n v="0"/>
    <n v="5"/>
    <s v="Improved"/>
    <n v="1"/>
  </r>
  <r>
    <s v="ADM-245382"/>
    <d v="2025-12-09T00:00:00"/>
    <d v="2025-12-11T00:00:00"/>
    <x v="1"/>
    <s v="Q4"/>
    <x v="11"/>
    <x v="1"/>
    <x v="3"/>
    <x v="2"/>
    <x v="1"/>
    <x v="3"/>
    <x v="1"/>
    <n v="2"/>
    <m/>
    <n v="2396"/>
    <n v="0"/>
    <n v="5"/>
    <s v="Recovered"/>
    <n v="1"/>
  </r>
  <r>
    <s v="ADM-245383"/>
    <d v="2025-12-09T00:00:00"/>
    <d v="2025-12-14T00:00:00"/>
    <x v="1"/>
    <s v="Q4"/>
    <x v="11"/>
    <x v="1"/>
    <x v="0"/>
    <x v="0"/>
    <x v="1"/>
    <x v="4"/>
    <x v="0"/>
    <n v="5"/>
    <n v="34"/>
    <n v="4191"/>
    <n v="0"/>
    <n v="3"/>
    <s v="Recovered"/>
    <n v="1"/>
  </r>
  <r>
    <s v="ADM-245384"/>
    <d v="2025-12-09T00:00:00"/>
    <d v="2025-12-20T00:00:00"/>
    <x v="1"/>
    <s v="Q4"/>
    <x v="11"/>
    <x v="1"/>
    <x v="0"/>
    <x v="0"/>
    <x v="0"/>
    <x v="4"/>
    <x v="2"/>
    <n v="11"/>
    <n v="32"/>
    <n v="8712"/>
    <n v="0"/>
    <n v="2"/>
    <s v="Recovered"/>
    <n v="1"/>
  </r>
  <r>
    <s v="ADM-245385"/>
    <d v="2025-12-09T00:00:00"/>
    <d v="2025-12-10T00:00:00"/>
    <x v="1"/>
    <s v="Q4"/>
    <x v="11"/>
    <x v="1"/>
    <x v="3"/>
    <x v="2"/>
    <x v="1"/>
    <x v="3"/>
    <x v="0"/>
    <n v="1"/>
    <m/>
    <n v="1864"/>
    <n v="0"/>
    <n v="4"/>
    <s v="Improved"/>
    <n v="1"/>
  </r>
  <r>
    <s v="ADM-245386"/>
    <d v="2025-12-09T00:00:00"/>
    <d v="2025-12-17T00:00:00"/>
    <x v="1"/>
    <s v="Q4"/>
    <x v="11"/>
    <x v="1"/>
    <x v="0"/>
    <x v="0"/>
    <x v="1"/>
    <x v="0"/>
    <x v="2"/>
    <n v="8"/>
    <n v="129"/>
    <n v="5570"/>
    <n v="0"/>
    <n v="3"/>
    <s v="Transferred"/>
    <n v="1"/>
  </r>
  <r>
    <s v="ADM-245387"/>
    <d v="2025-12-09T00:00:00"/>
    <d v="2025-12-23T00:00:00"/>
    <x v="1"/>
    <s v="Q4"/>
    <x v="11"/>
    <x v="1"/>
    <x v="4"/>
    <x v="2"/>
    <x v="0"/>
    <x v="0"/>
    <x v="0"/>
    <n v="14"/>
    <m/>
    <n v="18138"/>
    <n v="0"/>
    <n v="4"/>
    <s v="Recovered"/>
    <n v="1"/>
  </r>
  <r>
    <s v="ADM-245388"/>
    <d v="2025-12-10T00:00:00"/>
    <d v="2025-12-14T00:00:00"/>
    <x v="1"/>
    <s v="Q4"/>
    <x v="11"/>
    <x v="2"/>
    <x v="1"/>
    <x v="2"/>
    <x v="0"/>
    <x v="4"/>
    <x v="2"/>
    <n v="4"/>
    <m/>
    <n v="3869"/>
    <n v="0"/>
    <n v="4"/>
    <s v="Recovered"/>
    <n v="1"/>
  </r>
  <r>
    <s v="ADM-245389"/>
    <d v="2025-12-10T00:00:00"/>
    <d v="2025-12-23T00:00:00"/>
    <x v="1"/>
    <s v="Q4"/>
    <x v="11"/>
    <x v="2"/>
    <x v="5"/>
    <x v="0"/>
    <x v="0"/>
    <x v="0"/>
    <x v="0"/>
    <n v="13"/>
    <n v="80"/>
    <n v="11131"/>
    <n v="0"/>
    <n v="4"/>
    <s v="Improved"/>
    <n v="1"/>
  </r>
  <r>
    <s v="ADM-245390"/>
    <d v="2025-12-10T00:00:00"/>
    <d v="2025-12-16T00:00:00"/>
    <x v="1"/>
    <s v="Q4"/>
    <x v="11"/>
    <x v="2"/>
    <x v="4"/>
    <x v="0"/>
    <x v="0"/>
    <x v="4"/>
    <x v="1"/>
    <n v="6"/>
    <n v="73"/>
    <n v="8541"/>
    <n v="0"/>
    <n v="4"/>
    <s v="Recovered"/>
    <n v="1"/>
  </r>
  <r>
    <s v="ADM-245391"/>
    <d v="2025-12-10T00:00:00"/>
    <d v="2025-12-15T00:00:00"/>
    <x v="1"/>
    <s v="Q4"/>
    <x v="11"/>
    <x v="2"/>
    <x v="0"/>
    <x v="1"/>
    <x v="0"/>
    <x v="1"/>
    <x v="0"/>
    <n v="5"/>
    <m/>
    <n v="4687"/>
    <n v="0"/>
    <n v="3"/>
    <s v="Improved"/>
    <n v="1"/>
  </r>
  <r>
    <s v="ADM-245392"/>
    <d v="2025-12-10T00:00:00"/>
    <d v="2025-12-12T00:00:00"/>
    <x v="1"/>
    <s v="Q4"/>
    <x v="11"/>
    <x v="2"/>
    <x v="3"/>
    <x v="0"/>
    <x v="1"/>
    <x v="3"/>
    <x v="0"/>
    <n v="2"/>
    <n v="122"/>
    <n v="1685"/>
    <n v="0"/>
    <n v="3"/>
    <s v="Improved"/>
    <n v="1"/>
  </r>
  <r>
    <s v="ADM-245393"/>
    <d v="2025-12-10T00:00:00"/>
    <d v="2025-12-11T00:00:00"/>
    <x v="1"/>
    <s v="Q4"/>
    <x v="11"/>
    <x v="2"/>
    <x v="5"/>
    <x v="0"/>
    <x v="1"/>
    <x v="2"/>
    <x v="1"/>
    <n v="1"/>
    <n v="19"/>
    <n v="1946"/>
    <n v="0"/>
    <n v="4"/>
    <s v="Recovered"/>
    <n v="1"/>
  </r>
  <r>
    <s v="ADM-245394"/>
    <d v="2025-12-10T00:00:00"/>
    <d v="2025-12-20T00:00:00"/>
    <x v="1"/>
    <s v="Q4"/>
    <x v="11"/>
    <x v="2"/>
    <x v="4"/>
    <x v="0"/>
    <x v="1"/>
    <x v="0"/>
    <x v="2"/>
    <n v="10"/>
    <n v="197"/>
    <n v="8763"/>
    <n v="0"/>
    <n v="3"/>
    <s v="Improved"/>
    <n v="1"/>
  </r>
  <r>
    <s v="ADM-245395"/>
    <d v="2025-12-11T00:00:00"/>
    <d v="2025-12-17T00:00:00"/>
    <x v="1"/>
    <s v="Q4"/>
    <x v="11"/>
    <x v="3"/>
    <x v="1"/>
    <x v="0"/>
    <x v="1"/>
    <x v="2"/>
    <x v="1"/>
    <n v="6"/>
    <n v="111"/>
    <n v="5964"/>
    <n v="0"/>
    <n v="3"/>
    <s v="Recovered"/>
    <n v="1"/>
  </r>
  <r>
    <s v="ADM-245396"/>
    <d v="2025-12-11T00:00:00"/>
    <d v="2025-12-14T00:00:00"/>
    <x v="1"/>
    <s v="Q4"/>
    <x v="11"/>
    <x v="3"/>
    <x v="5"/>
    <x v="1"/>
    <x v="1"/>
    <x v="2"/>
    <x v="2"/>
    <n v="3"/>
    <m/>
    <n v="3809"/>
    <n v="0"/>
    <n v="5"/>
    <s v="Recovered"/>
    <n v="1"/>
  </r>
  <r>
    <s v="ADM-245397"/>
    <d v="2025-12-11T00:00:00"/>
    <d v="2025-12-23T00:00:00"/>
    <x v="1"/>
    <s v="Q4"/>
    <x v="11"/>
    <x v="3"/>
    <x v="5"/>
    <x v="2"/>
    <x v="1"/>
    <x v="0"/>
    <x v="0"/>
    <n v="12"/>
    <m/>
    <n v="16930"/>
    <n v="0"/>
    <n v="3"/>
    <s v="Recovered"/>
    <n v="1"/>
  </r>
  <r>
    <s v="ADM-245398"/>
    <d v="2025-12-12T00:00:00"/>
    <d v="2025-12-16T00:00:00"/>
    <x v="1"/>
    <s v="Q4"/>
    <x v="11"/>
    <x v="4"/>
    <x v="0"/>
    <x v="0"/>
    <x v="1"/>
    <x v="4"/>
    <x v="0"/>
    <n v="4"/>
    <n v="204"/>
    <n v="2849"/>
    <n v="0"/>
    <n v="4"/>
    <s v="Recovered"/>
    <n v="1"/>
  </r>
  <r>
    <s v="ADM-245399"/>
    <d v="2025-12-12T00:00:00"/>
    <d v="2025-12-24T00:00:00"/>
    <x v="1"/>
    <s v="Q4"/>
    <x v="11"/>
    <x v="4"/>
    <x v="0"/>
    <x v="0"/>
    <x v="1"/>
    <x v="0"/>
    <x v="0"/>
    <n v="12"/>
    <n v="83"/>
    <n v="8767"/>
    <n v="0"/>
    <n v="4"/>
    <s v="Recovered"/>
    <n v="1"/>
  </r>
  <r>
    <s v="ADM-245400"/>
    <d v="2025-12-12T00:00:00"/>
    <d v="2025-12-16T00:00:00"/>
    <x v="1"/>
    <s v="Q4"/>
    <x v="11"/>
    <x v="4"/>
    <x v="0"/>
    <x v="0"/>
    <x v="1"/>
    <x v="0"/>
    <x v="0"/>
    <n v="4"/>
    <n v="127"/>
    <n v="4149"/>
    <n v="0"/>
    <n v="4"/>
    <s v="Recovered"/>
    <n v="1"/>
  </r>
  <r>
    <s v="ADM-245401"/>
    <d v="2025-12-12T00:00:00"/>
    <d v="2025-12-14T00:00:00"/>
    <x v="1"/>
    <s v="Q4"/>
    <x v="11"/>
    <x v="4"/>
    <x v="1"/>
    <x v="1"/>
    <x v="0"/>
    <x v="2"/>
    <x v="0"/>
    <n v="2"/>
    <m/>
    <n v="2665"/>
    <n v="0"/>
    <n v="5"/>
    <s v="Improved"/>
    <n v="1"/>
  </r>
  <r>
    <s v="ADM-245402"/>
    <d v="2025-12-12T00:00:00"/>
    <d v="2025-12-13T00:00:00"/>
    <x v="1"/>
    <s v="Q4"/>
    <x v="11"/>
    <x v="4"/>
    <x v="1"/>
    <x v="0"/>
    <x v="0"/>
    <x v="0"/>
    <x v="2"/>
    <n v="1"/>
    <n v="42"/>
    <n v="1758"/>
    <n v="0"/>
    <n v="5"/>
    <s v="Improved"/>
    <n v="1"/>
  </r>
  <r>
    <s v="ADM-245403"/>
    <d v="2025-12-12T00:00:00"/>
    <d v="2025-12-21T00:00:00"/>
    <x v="1"/>
    <s v="Q4"/>
    <x v="11"/>
    <x v="4"/>
    <x v="0"/>
    <x v="0"/>
    <x v="1"/>
    <x v="2"/>
    <x v="0"/>
    <n v="9"/>
    <n v="70"/>
    <n v="5668"/>
    <n v="0"/>
    <n v="3"/>
    <s v="Recovered"/>
    <n v="1"/>
  </r>
  <r>
    <s v="ADM-245404"/>
    <d v="2025-12-13T00:00:00"/>
    <d v="2025-12-19T00:00:00"/>
    <x v="1"/>
    <s v="Q4"/>
    <x v="11"/>
    <x v="5"/>
    <x v="5"/>
    <x v="0"/>
    <x v="1"/>
    <x v="1"/>
    <x v="1"/>
    <n v="6"/>
    <n v="31"/>
    <n v="6020"/>
    <n v="0"/>
    <n v="4"/>
    <s v="Recovered"/>
    <n v="1"/>
  </r>
  <r>
    <s v="ADM-245405"/>
    <d v="2025-12-13T00:00:00"/>
    <d v="2025-12-15T00:00:00"/>
    <x v="1"/>
    <s v="Q4"/>
    <x v="11"/>
    <x v="5"/>
    <x v="5"/>
    <x v="2"/>
    <x v="1"/>
    <x v="0"/>
    <x v="0"/>
    <n v="2"/>
    <m/>
    <n v="2301"/>
    <n v="1"/>
    <n v="4"/>
    <s v="Improved"/>
    <n v="1"/>
  </r>
  <r>
    <s v="ADM-245406"/>
    <d v="2025-12-13T00:00:00"/>
    <d v="2025-12-15T00:00:00"/>
    <x v="1"/>
    <s v="Q4"/>
    <x v="11"/>
    <x v="5"/>
    <x v="5"/>
    <x v="0"/>
    <x v="1"/>
    <x v="4"/>
    <x v="0"/>
    <n v="2"/>
    <n v="94"/>
    <n v="2446"/>
    <n v="0"/>
    <n v="3"/>
    <s v="Recovered"/>
    <n v="1"/>
  </r>
  <r>
    <s v="ADM-245407"/>
    <d v="2025-12-13T00:00:00"/>
    <d v="2025-12-17T00:00:00"/>
    <x v="1"/>
    <s v="Q4"/>
    <x v="11"/>
    <x v="5"/>
    <x v="0"/>
    <x v="0"/>
    <x v="1"/>
    <x v="1"/>
    <x v="2"/>
    <n v="4"/>
    <n v="54"/>
    <n v="3794"/>
    <n v="0"/>
    <n v="5"/>
    <s v="Recovered"/>
    <n v="1"/>
  </r>
  <r>
    <s v="ADM-245408"/>
    <d v="2025-12-13T00:00:00"/>
    <d v="2025-12-16T00:00:00"/>
    <x v="1"/>
    <s v="Q4"/>
    <x v="11"/>
    <x v="5"/>
    <x v="1"/>
    <x v="0"/>
    <x v="1"/>
    <x v="4"/>
    <x v="0"/>
    <n v="3"/>
    <n v="189"/>
    <n v="4940"/>
    <n v="0"/>
    <n v="2"/>
    <s v="Recovered"/>
    <n v="1"/>
  </r>
  <r>
    <s v="ADM-245409"/>
    <d v="2025-12-13T00:00:00"/>
    <d v="2025-12-19T00:00:00"/>
    <x v="1"/>
    <s v="Q4"/>
    <x v="11"/>
    <x v="5"/>
    <x v="4"/>
    <x v="0"/>
    <x v="1"/>
    <x v="4"/>
    <x v="0"/>
    <n v="6"/>
    <n v="14"/>
    <n v="8910"/>
    <n v="0"/>
    <n v="5"/>
    <s v="Improved"/>
    <n v="1"/>
  </r>
  <r>
    <s v="ADM-245410"/>
    <d v="2025-12-13T00:00:00"/>
    <d v="2025-12-16T00:00:00"/>
    <x v="1"/>
    <s v="Q4"/>
    <x v="11"/>
    <x v="5"/>
    <x v="0"/>
    <x v="2"/>
    <x v="1"/>
    <x v="1"/>
    <x v="2"/>
    <n v="3"/>
    <m/>
    <n v="2584"/>
    <n v="0"/>
    <n v="4"/>
    <s v="Improved"/>
    <n v="1"/>
  </r>
  <r>
    <s v="ADM-245411"/>
    <d v="2025-12-13T00:00:00"/>
    <d v="2025-12-21T00:00:00"/>
    <x v="1"/>
    <s v="Q4"/>
    <x v="11"/>
    <x v="5"/>
    <x v="0"/>
    <x v="0"/>
    <x v="0"/>
    <x v="0"/>
    <x v="0"/>
    <n v="8"/>
    <n v="126"/>
    <n v="6342"/>
    <n v="1"/>
    <n v="3"/>
    <s v="Recovered"/>
    <n v="1"/>
  </r>
  <r>
    <s v="ADM-245412"/>
    <d v="2025-12-13T00:00:00"/>
    <d v="2025-12-16T00:00:00"/>
    <x v="1"/>
    <s v="Q4"/>
    <x v="11"/>
    <x v="5"/>
    <x v="3"/>
    <x v="0"/>
    <x v="1"/>
    <x v="3"/>
    <x v="0"/>
    <n v="3"/>
    <n v="146"/>
    <n v="2489"/>
    <n v="0"/>
    <n v="4"/>
    <s v="Transferred"/>
    <n v="1"/>
  </r>
  <r>
    <s v="ADM-245413"/>
    <d v="2025-12-13T00:00:00"/>
    <d v="2025-12-14T00:00:00"/>
    <x v="1"/>
    <s v="Q4"/>
    <x v="11"/>
    <x v="5"/>
    <x v="0"/>
    <x v="0"/>
    <x v="1"/>
    <x v="1"/>
    <x v="2"/>
    <n v="1"/>
    <n v="25"/>
    <n v="1619"/>
    <n v="0"/>
    <n v="5"/>
    <s v="Transferred"/>
    <n v="1"/>
  </r>
  <r>
    <s v="ADM-245414"/>
    <d v="2025-12-13T00:00:00"/>
    <d v="2025-12-17T00:00:00"/>
    <x v="1"/>
    <s v="Q4"/>
    <x v="11"/>
    <x v="5"/>
    <x v="0"/>
    <x v="0"/>
    <x v="1"/>
    <x v="0"/>
    <x v="0"/>
    <n v="4"/>
    <n v="67"/>
    <n v="3325"/>
    <n v="0"/>
    <n v="3"/>
    <s v="Recovered"/>
    <n v="1"/>
  </r>
  <r>
    <s v="ADM-245415"/>
    <d v="2025-12-13T00:00:00"/>
    <d v="2025-12-14T00:00:00"/>
    <x v="1"/>
    <s v="Q4"/>
    <x v="11"/>
    <x v="5"/>
    <x v="3"/>
    <x v="0"/>
    <x v="0"/>
    <x v="3"/>
    <x v="0"/>
    <n v="1"/>
    <n v="108"/>
    <n v="1356"/>
    <n v="0"/>
    <n v="4"/>
    <s v="Recovered"/>
    <n v="1"/>
  </r>
  <r>
    <s v="ADM-245416"/>
    <d v="2025-12-13T00:00:00"/>
    <d v="2025-12-16T00:00:00"/>
    <x v="1"/>
    <s v="Q4"/>
    <x v="11"/>
    <x v="5"/>
    <x v="0"/>
    <x v="0"/>
    <x v="1"/>
    <x v="0"/>
    <x v="2"/>
    <n v="3"/>
    <n v="76"/>
    <n v="2790"/>
    <n v="0"/>
    <n v="4"/>
    <s v="Improved"/>
    <n v="1"/>
  </r>
  <r>
    <s v="ADM-245417"/>
    <d v="2025-12-13T00:00:00"/>
    <d v="2025-12-21T00:00:00"/>
    <x v="1"/>
    <s v="Q4"/>
    <x v="11"/>
    <x v="5"/>
    <x v="0"/>
    <x v="2"/>
    <x v="1"/>
    <x v="4"/>
    <x v="0"/>
    <n v="8"/>
    <m/>
    <n v="5539"/>
    <n v="0"/>
    <n v="4"/>
    <s v="Recovered"/>
    <n v="1"/>
  </r>
  <r>
    <s v="ADM-245418"/>
    <d v="2025-12-14T00:00:00"/>
    <d v="2025-12-23T00:00:00"/>
    <x v="1"/>
    <s v="Q4"/>
    <x v="11"/>
    <x v="6"/>
    <x v="1"/>
    <x v="2"/>
    <x v="0"/>
    <x v="4"/>
    <x v="2"/>
    <n v="9"/>
    <m/>
    <n v="7345"/>
    <n v="0"/>
    <n v="5"/>
    <s v="Recovered"/>
    <n v="1"/>
  </r>
  <r>
    <s v="ADM-245419"/>
    <d v="2025-12-14T00:00:00"/>
    <d v="2025-12-15T00:00:00"/>
    <x v="1"/>
    <s v="Q4"/>
    <x v="11"/>
    <x v="6"/>
    <x v="2"/>
    <x v="0"/>
    <x v="0"/>
    <x v="1"/>
    <x v="0"/>
    <n v="1"/>
    <n v="66"/>
    <n v="1032"/>
    <n v="0"/>
    <n v="5"/>
    <s v="Recovered"/>
    <n v="1"/>
  </r>
  <r>
    <s v="ADM-245420"/>
    <d v="2025-12-14T00:00:00"/>
    <d v="2025-12-16T00:00:00"/>
    <x v="1"/>
    <s v="Q4"/>
    <x v="11"/>
    <x v="6"/>
    <x v="3"/>
    <x v="0"/>
    <x v="0"/>
    <x v="3"/>
    <x v="2"/>
    <n v="2"/>
    <n v="131"/>
    <n v="2020"/>
    <n v="0"/>
    <n v="3"/>
    <s v="Recovered"/>
    <n v="1"/>
  </r>
  <r>
    <s v="ADM-245421"/>
    <d v="2025-12-14T00:00:00"/>
    <d v="2025-12-16T00:00:00"/>
    <x v="1"/>
    <s v="Q4"/>
    <x v="11"/>
    <x v="6"/>
    <x v="0"/>
    <x v="0"/>
    <x v="1"/>
    <x v="0"/>
    <x v="2"/>
    <n v="2"/>
    <n v="46"/>
    <n v="2301"/>
    <n v="0"/>
    <n v="5"/>
    <s v="Improved"/>
    <n v="1"/>
  </r>
  <r>
    <s v="ADM-245422"/>
    <d v="2025-12-14T00:00:00"/>
    <d v="2025-12-18T00:00:00"/>
    <x v="1"/>
    <s v="Q4"/>
    <x v="11"/>
    <x v="6"/>
    <x v="0"/>
    <x v="0"/>
    <x v="1"/>
    <x v="2"/>
    <x v="0"/>
    <n v="4"/>
    <n v="52"/>
    <n v="3587"/>
    <n v="0"/>
    <n v="4"/>
    <s v="Improved"/>
    <n v="1"/>
  </r>
  <r>
    <s v="ADM-245423"/>
    <d v="2025-12-14T00:00:00"/>
    <d v="2025-12-27T00:00:00"/>
    <x v="1"/>
    <s v="Q4"/>
    <x v="11"/>
    <x v="6"/>
    <x v="0"/>
    <x v="2"/>
    <x v="0"/>
    <x v="0"/>
    <x v="0"/>
    <n v="13"/>
    <m/>
    <n v="10625"/>
    <n v="0"/>
    <n v="4"/>
    <s v="Improved"/>
    <n v="1"/>
  </r>
  <r>
    <s v="ADM-245424"/>
    <d v="2025-12-14T00:00:00"/>
    <d v="2025-12-16T00:00:00"/>
    <x v="1"/>
    <s v="Q4"/>
    <x v="11"/>
    <x v="6"/>
    <x v="0"/>
    <x v="2"/>
    <x v="1"/>
    <x v="4"/>
    <x v="2"/>
    <n v="2"/>
    <m/>
    <n v="2088"/>
    <n v="0"/>
    <n v="4"/>
    <s v="Recovered"/>
    <n v="1"/>
  </r>
  <r>
    <s v="ADM-245425"/>
    <d v="2025-12-14T00:00:00"/>
    <d v="2025-12-22T00:00:00"/>
    <x v="1"/>
    <s v="Q4"/>
    <x v="11"/>
    <x v="6"/>
    <x v="0"/>
    <x v="0"/>
    <x v="1"/>
    <x v="0"/>
    <x v="2"/>
    <n v="8"/>
    <n v="132"/>
    <n v="5254"/>
    <n v="0"/>
    <n v="3"/>
    <s v="Improved"/>
    <n v="1"/>
  </r>
  <r>
    <s v="ADM-245426"/>
    <d v="2025-12-14T00:00:00"/>
    <d v="2025-12-15T00:00:00"/>
    <x v="1"/>
    <s v="Q4"/>
    <x v="11"/>
    <x v="6"/>
    <x v="4"/>
    <x v="0"/>
    <x v="1"/>
    <x v="4"/>
    <x v="2"/>
    <n v="1"/>
    <n v="15"/>
    <n v="2139"/>
    <n v="0"/>
    <n v="4"/>
    <s v="Recovered"/>
    <n v="1"/>
  </r>
  <r>
    <s v="ADM-245427"/>
    <d v="2025-12-14T00:00:00"/>
    <d v="2025-12-21T00:00:00"/>
    <x v="1"/>
    <s v="Q4"/>
    <x v="11"/>
    <x v="6"/>
    <x v="0"/>
    <x v="0"/>
    <x v="1"/>
    <x v="0"/>
    <x v="2"/>
    <n v="7"/>
    <n v="93"/>
    <n v="4274"/>
    <n v="1"/>
    <n v="3"/>
    <s v="Recovered"/>
    <n v="1"/>
  </r>
  <r>
    <s v="ADM-245428"/>
    <d v="2025-12-14T00:00:00"/>
    <d v="2025-12-16T00:00:00"/>
    <x v="1"/>
    <s v="Q4"/>
    <x v="11"/>
    <x v="6"/>
    <x v="5"/>
    <x v="2"/>
    <x v="1"/>
    <x v="1"/>
    <x v="0"/>
    <n v="2"/>
    <m/>
    <n v="3111"/>
    <n v="0"/>
    <n v="4"/>
    <s v="Recovered"/>
    <n v="1"/>
  </r>
  <r>
    <s v="ADM-245429"/>
    <d v="2025-12-14T00:00:00"/>
    <d v="2025-12-20T00:00:00"/>
    <x v="1"/>
    <s v="Q4"/>
    <x v="11"/>
    <x v="6"/>
    <x v="0"/>
    <x v="0"/>
    <x v="0"/>
    <x v="0"/>
    <x v="2"/>
    <n v="6"/>
    <n v="124"/>
    <n v="4387"/>
    <n v="0"/>
    <n v="4"/>
    <s v="Improved"/>
    <n v="1"/>
  </r>
  <r>
    <s v="ADM-245430"/>
    <d v="2025-12-14T00:00:00"/>
    <d v="2025-12-17T00:00:00"/>
    <x v="1"/>
    <s v="Q4"/>
    <x v="11"/>
    <x v="6"/>
    <x v="1"/>
    <x v="2"/>
    <x v="0"/>
    <x v="4"/>
    <x v="1"/>
    <n v="3"/>
    <m/>
    <n v="2996"/>
    <n v="0"/>
    <n v="3"/>
    <s v="Improved"/>
    <n v="1"/>
  </r>
  <r>
    <s v="ADM-245431"/>
    <d v="2025-12-15T00:00:00"/>
    <d v="2025-12-21T00:00:00"/>
    <x v="1"/>
    <s v="Q4"/>
    <x v="11"/>
    <x v="0"/>
    <x v="0"/>
    <x v="2"/>
    <x v="1"/>
    <x v="0"/>
    <x v="1"/>
    <n v="6"/>
    <m/>
    <n v="4764"/>
    <n v="1"/>
    <n v="3"/>
    <s v="Recovered"/>
    <n v="1"/>
  </r>
  <r>
    <s v="ADM-245432"/>
    <d v="2025-12-15T00:00:00"/>
    <d v="2025-12-16T00:00:00"/>
    <x v="1"/>
    <s v="Q4"/>
    <x v="11"/>
    <x v="0"/>
    <x v="5"/>
    <x v="2"/>
    <x v="0"/>
    <x v="4"/>
    <x v="0"/>
    <n v="1"/>
    <m/>
    <n v="2051"/>
    <n v="0"/>
    <n v="4"/>
    <s v="Recovered"/>
    <n v="1"/>
  </r>
  <r>
    <s v="ADM-245433"/>
    <d v="2025-12-15T00:00:00"/>
    <d v="2025-12-16T00:00:00"/>
    <x v="1"/>
    <s v="Q4"/>
    <x v="11"/>
    <x v="0"/>
    <x v="3"/>
    <x v="0"/>
    <x v="1"/>
    <x v="3"/>
    <x v="0"/>
    <n v="1"/>
    <n v="70"/>
    <n v="1351"/>
    <n v="0"/>
    <n v="4"/>
    <s v="Improved"/>
    <n v="1"/>
  </r>
  <r>
    <s v="ADM-245434"/>
    <d v="2025-12-15T00:00:00"/>
    <d v="2025-12-22T00:00:00"/>
    <x v="1"/>
    <s v="Q4"/>
    <x v="11"/>
    <x v="0"/>
    <x v="0"/>
    <x v="1"/>
    <x v="1"/>
    <x v="2"/>
    <x v="2"/>
    <n v="7"/>
    <m/>
    <n v="5275"/>
    <n v="0"/>
    <n v="4"/>
    <s v="Improved"/>
    <n v="1"/>
  </r>
  <r>
    <s v="ADM-245435"/>
    <d v="2025-12-15T00:00:00"/>
    <d v="2025-12-24T00:00:00"/>
    <x v="1"/>
    <s v="Q4"/>
    <x v="11"/>
    <x v="0"/>
    <x v="0"/>
    <x v="0"/>
    <x v="0"/>
    <x v="0"/>
    <x v="0"/>
    <n v="9"/>
    <n v="42"/>
    <n v="7056"/>
    <n v="0"/>
    <n v="4"/>
    <s v="Recovered"/>
    <n v="1"/>
  </r>
  <r>
    <s v="ADM-245436"/>
    <d v="2025-12-15T00:00:00"/>
    <d v="2025-12-23T00:00:00"/>
    <x v="1"/>
    <s v="Q4"/>
    <x v="11"/>
    <x v="0"/>
    <x v="5"/>
    <x v="2"/>
    <x v="1"/>
    <x v="0"/>
    <x v="0"/>
    <n v="8"/>
    <m/>
    <n v="7103"/>
    <n v="1"/>
    <n v="5"/>
    <s v="Recovered"/>
    <n v="1"/>
  </r>
  <r>
    <s v="ADM-245437"/>
    <d v="2025-12-15T00:00:00"/>
    <d v="2025-12-22T00:00:00"/>
    <x v="1"/>
    <s v="Q4"/>
    <x v="11"/>
    <x v="0"/>
    <x v="2"/>
    <x v="0"/>
    <x v="0"/>
    <x v="2"/>
    <x v="2"/>
    <n v="7"/>
    <n v="26"/>
    <n v="4491"/>
    <n v="0"/>
    <n v="5"/>
    <s v="Improved"/>
    <n v="1"/>
  </r>
  <r>
    <s v="ADM-245438"/>
    <d v="2025-12-15T00:00:00"/>
    <d v="2025-12-16T00:00:00"/>
    <x v="1"/>
    <s v="Q4"/>
    <x v="11"/>
    <x v="0"/>
    <x v="3"/>
    <x v="2"/>
    <x v="1"/>
    <x v="3"/>
    <x v="2"/>
    <n v="1"/>
    <m/>
    <n v="1180"/>
    <n v="0"/>
    <n v="4"/>
    <s v="Transferred"/>
    <n v="1"/>
  </r>
  <r>
    <s v="ADM-245439"/>
    <d v="2025-12-15T00:00:00"/>
    <d v="2025-12-16T00:00:00"/>
    <x v="1"/>
    <s v="Q4"/>
    <x v="11"/>
    <x v="0"/>
    <x v="2"/>
    <x v="1"/>
    <x v="0"/>
    <x v="2"/>
    <x v="0"/>
    <n v="1"/>
    <m/>
    <n v="1446"/>
    <n v="0"/>
    <n v="5"/>
    <s v="Recovered"/>
    <n v="1"/>
  </r>
  <r>
    <s v="ADM-245440"/>
    <d v="2025-12-15T00:00:00"/>
    <d v="2025-12-21T00:00:00"/>
    <x v="1"/>
    <s v="Q4"/>
    <x v="11"/>
    <x v="0"/>
    <x v="5"/>
    <x v="2"/>
    <x v="0"/>
    <x v="0"/>
    <x v="0"/>
    <n v="6"/>
    <m/>
    <n v="6276"/>
    <n v="0"/>
    <n v="4"/>
    <s v="Recovered"/>
    <n v="1"/>
  </r>
  <r>
    <s v="ADM-245441"/>
    <d v="2025-12-16T00:00:00"/>
    <d v="2025-12-24T00:00:00"/>
    <x v="1"/>
    <s v="Q4"/>
    <x v="11"/>
    <x v="1"/>
    <x v="4"/>
    <x v="0"/>
    <x v="1"/>
    <x v="4"/>
    <x v="0"/>
    <n v="8"/>
    <n v="26"/>
    <n v="8781"/>
    <n v="0"/>
    <n v="4"/>
    <s v="Recovered"/>
    <n v="1"/>
  </r>
  <r>
    <s v="ADM-245442"/>
    <d v="2025-12-16T00:00:00"/>
    <d v="2025-12-18T00:00:00"/>
    <x v="1"/>
    <s v="Q4"/>
    <x v="11"/>
    <x v="1"/>
    <x v="5"/>
    <x v="2"/>
    <x v="0"/>
    <x v="1"/>
    <x v="2"/>
    <n v="2"/>
    <m/>
    <n v="2367"/>
    <n v="0"/>
    <n v="4"/>
    <s v="Improved"/>
    <n v="1"/>
  </r>
  <r>
    <s v="ADM-245443"/>
    <d v="2025-12-16T00:00:00"/>
    <d v="2025-12-18T00:00:00"/>
    <x v="1"/>
    <s v="Q4"/>
    <x v="11"/>
    <x v="1"/>
    <x v="0"/>
    <x v="2"/>
    <x v="1"/>
    <x v="2"/>
    <x v="0"/>
    <n v="2"/>
    <m/>
    <n v="1957"/>
    <n v="0"/>
    <n v="4"/>
    <s v="Recovered"/>
    <n v="1"/>
  </r>
  <r>
    <s v="ADM-245444"/>
    <d v="2025-12-16T00:00:00"/>
    <d v="2025-12-27T00:00:00"/>
    <x v="1"/>
    <s v="Q4"/>
    <x v="11"/>
    <x v="1"/>
    <x v="0"/>
    <x v="0"/>
    <x v="0"/>
    <x v="0"/>
    <x v="2"/>
    <n v="11"/>
    <n v="98"/>
    <n v="7568"/>
    <n v="0"/>
    <n v="4"/>
    <s v="Recovered"/>
    <n v="1"/>
  </r>
  <r>
    <s v="ADM-245445"/>
    <d v="2025-12-16T00:00:00"/>
    <d v="2025-12-18T00:00:00"/>
    <x v="1"/>
    <s v="Q4"/>
    <x v="11"/>
    <x v="1"/>
    <x v="1"/>
    <x v="2"/>
    <x v="1"/>
    <x v="1"/>
    <x v="0"/>
    <n v="2"/>
    <m/>
    <n v="3850"/>
    <n v="0"/>
    <n v="5"/>
    <s v="Improved"/>
    <n v="1"/>
  </r>
  <r>
    <s v="ADM-245446"/>
    <d v="2025-12-16T00:00:00"/>
    <d v="2025-12-18T00:00:00"/>
    <x v="1"/>
    <s v="Q4"/>
    <x v="11"/>
    <x v="1"/>
    <x v="2"/>
    <x v="0"/>
    <x v="0"/>
    <x v="2"/>
    <x v="0"/>
    <n v="2"/>
    <n v="58"/>
    <n v="1996"/>
    <n v="0"/>
    <n v="4"/>
    <s v="Recovered"/>
    <n v="1"/>
  </r>
  <r>
    <s v="ADM-245447"/>
    <d v="2025-12-16T00:00:00"/>
    <d v="2025-12-29T00:00:00"/>
    <x v="1"/>
    <s v="Q4"/>
    <x v="11"/>
    <x v="1"/>
    <x v="3"/>
    <x v="0"/>
    <x v="0"/>
    <x v="3"/>
    <x v="2"/>
    <n v="13"/>
    <n v="112"/>
    <n v="9862"/>
    <n v="0"/>
    <n v="2"/>
    <s v="Recovered"/>
    <n v="1"/>
  </r>
  <r>
    <s v="ADM-245448"/>
    <d v="2025-12-16T00:00:00"/>
    <d v="2025-12-19T00:00:00"/>
    <x v="1"/>
    <s v="Q4"/>
    <x v="11"/>
    <x v="1"/>
    <x v="0"/>
    <x v="2"/>
    <x v="1"/>
    <x v="1"/>
    <x v="0"/>
    <n v="3"/>
    <m/>
    <n v="3499"/>
    <n v="0"/>
    <n v="4"/>
    <s v="Improved"/>
    <n v="1"/>
  </r>
  <r>
    <s v="ADM-245449"/>
    <d v="2025-12-17T00:00:00"/>
    <d v="2025-12-22T00:00:00"/>
    <x v="1"/>
    <s v="Q4"/>
    <x v="11"/>
    <x v="2"/>
    <x v="4"/>
    <x v="0"/>
    <x v="1"/>
    <x v="1"/>
    <x v="0"/>
    <n v="5"/>
    <n v="200"/>
    <n v="7302"/>
    <n v="0"/>
    <n v="3"/>
    <s v="Improved"/>
    <n v="1"/>
  </r>
  <r>
    <s v="ADM-245450"/>
    <d v="2025-12-17T00:00:00"/>
    <d v="2025-12-22T00:00:00"/>
    <x v="1"/>
    <s v="Q4"/>
    <x v="11"/>
    <x v="2"/>
    <x v="0"/>
    <x v="1"/>
    <x v="0"/>
    <x v="1"/>
    <x v="2"/>
    <n v="5"/>
    <m/>
    <n v="3444"/>
    <n v="0"/>
    <n v="5"/>
    <s v="Recovered"/>
    <n v="1"/>
  </r>
  <r>
    <s v="ADM-245451"/>
    <d v="2025-12-17T00:00:00"/>
    <d v="2025-12-22T00:00:00"/>
    <x v="1"/>
    <s v="Q4"/>
    <x v="11"/>
    <x v="2"/>
    <x v="5"/>
    <x v="2"/>
    <x v="1"/>
    <x v="0"/>
    <x v="0"/>
    <n v="5"/>
    <m/>
    <n v="5121"/>
    <n v="0"/>
    <n v="4"/>
    <s v="Improved"/>
    <n v="1"/>
  </r>
  <r>
    <s v="ADM-245452"/>
    <d v="2025-12-17T00:00:00"/>
    <d v="2025-12-18T00:00:00"/>
    <x v="1"/>
    <s v="Q4"/>
    <x v="11"/>
    <x v="2"/>
    <x v="3"/>
    <x v="0"/>
    <x v="0"/>
    <x v="3"/>
    <x v="0"/>
    <n v="1"/>
    <n v="30"/>
    <n v="1161"/>
    <n v="0"/>
    <n v="4"/>
    <s v="Improved"/>
    <n v="1"/>
  </r>
  <r>
    <s v="ADM-245453"/>
    <d v="2025-12-17T00:00:00"/>
    <d v="2025-12-18T00:00:00"/>
    <x v="1"/>
    <s v="Q4"/>
    <x v="11"/>
    <x v="2"/>
    <x v="2"/>
    <x v="0"/>
    <x v="0"/>
    <x v="1"/>
    <x v="2"/>
    <n v="1"/>
    <n v="39"/>
    <n v="1983"/>
    <n v="0"/>
    <n v="5"/>
    <s v="Recovered"/>
    <n v="1"/>
  </r>
  <r>
    <s v="ADM-245454"/>
    <d v="2025-12-18T00:00:00"/>
    <d v="2025-12-22T00:00:00"/>
    <x v="1"/>
    <s v="Q4"/>
    <x v="11"/>
    <x v="3"/>
    <x v="1"/>
    <x v="2"/>
    <x v="1"/>
    <x v="0"/>
    <x v="0"/>
    <n v="4"/>
    <m/>
    <n v="4401"/>
    <n v="0"/>
    <n v="4"/>
    <s v="Recovered"/>
    <n v="1"/>
  </r>
  <r>
    <s v="ADM-245455"/>
    <d v="2025-12-18T00:00:00"/>
    <d v="2025-12-21T00:00:00"/>
    <x v="1"/>
    <s v="Q4"/>
    <x v="11"/>
    <x v="3"/>
    <x v="5"/>
    <x v="2"/>
    <x v="0"/>
    <x v="1"/>
    <x v="0"/>
    <n v="3"/>
    <m/>
    <n v="3469"/>
    <n v="0"/>
    <n v="5"/>
    <s v="Deceased"/>
    <n v="1"/>
  </r>
  <r>
    <s v="ADM-245456"/>
    <d v="2025-12-18T00:00:00"/>
    <d v="2025-12-23T00:00:00"/>
    <x v="1"/>
    <s v="Q4"/>
    <x v="11"/>
    <x v="3"/>
    <x v="4"/>
    <x v="2"/>
    <x v="0"/>
    <x v="1"/>
    <x v="0"/>
    <n v="5"/>
    <m/>
    <n v="6507"/>
    <n v="0"/>
    <n v="4"/>
    <s v="Improved"/>
    <n v="1"/>
  </r>
  <r>
    <s v="ADM-245457"/>
    <d v="2025-12-18T00:00:00"/>
    <d v="2025-12-23T00:00:00"/>
    <x v="1"/>
    <s v="Q4"/>
    <x v="11"/>
    <x v="3"/>
    <x v="0"/>
    <x v="0"/>
    <x v="1"/>
    <x v="1"/>
    <x v="0"/>
    <n v="5"/>
    <n v="36"/>
    <n v="4686"/>
    <n v="0"/>
    <n v="5"/>
    <s v="Recovered"/>
    <n v="1"/>
  </r>
  <r>
    <s v="ADM-245458"/>
    <d v="2025-12-18T00:00:00"/>
    <d v="2025-12-19T00:00:00"/>
    <x v="1"/>
    <s v="Q4"/>
    <x v="11"/>
    <x v="3"/>
    <x v="2"/>
    <x v="1"/>
    <x v="0"/>
    <x v="1"/>
    <x v="1"/>
    <n v="1"/>
    <m/>
    <n v="1638"/>
    <n v="1"/>
    <n v="4"/>
    <s v="Improved"/>
    <n v="1"/>
  </r>
  <r>
    <s v="ADM-245459"/>
    <d v="2025-12-18T00:00:00"/>
    <d v="2025-12-23T00:00:00"/>
    <x v="1"/>
    <s v="Q4"/>
    <x v="11"/>
    <x v="3"/>
    <x v="0"/>
    <x v="0"/>
    <x v="1"/>
    <x v="4"/>
    <x v="2"/>
    <n v="5"/>
    <n v="100"/>
    <n v="4678"/>
    <n v="0"/>
    <n v="4"/>
    <s v="Recovered"/>
    <n v="1"/>
  </r>
  <r>
    <s v="ADM-245460"/>
    <d v="2025-12-18T00:00:00"/>
    <d v="2025-12-19T00:00:00"/>
    <x v="1"/>
    <s v="Q4"/>
    <x v="11"/>
    <x v="3"/>
    <x v="3"/>
    <x v="0"/>
    <x v="0"/>
    <x v="3"/>
    <x v="0"/>
    <n v="1"/>
    <n v="49"/>
    <n v="1545"/>
    <n v="0"/>
    <n v="4"/>
    <s v="Transferred"/>
    <n v="1"/>
  </r>
  <r>
    <s v="ADM-245461"/>
    <d v="2025-12-18T00:00:00"/>
    <d v="2025-12-21T00:00:00"/>
    <x v="1"/>
    <s v="Q4"/>
    <x v="11"/>
    <x v="3"/>
    <x v="3"/>
    <x v="1"/>
    <x v="1"/>
    <x v="3"/>
    <x v="0"/>
    <n v="3"/>
    <m/>
    <n v="2693"/>
    <n v="0"/>
    <n v="5"/>
    <s v="Improved"/>
    <n v="1"/>
  </r>
  <r>
    <s v="ADM-245462"/>
    <d v="2025-12-19T00:00:00"/>
    <d v="2026-01-09T00:00:00"/>
    <x v="1"/>
    <s v="Q4"/>
    <x v="11"/>
    <x v="4"/>
    <x v="0"/>
    <x v="0"/>
    <x v="1"/>
    <x v="0"/>
    <x v="0"/>
    <n v="21"/>
    <n v="25"/>
    <n v="13416"/>
    <n v="0"/>
    <n v="5"/>
    <s v="Improved"/>
    <n v="1"/>
  </r>
  <r>
    <s v="ADM-245463"/>
    <d v="2025-12-19T00:00:00"/>
    <d v="2025-12-28T00:00:00"/>
    <x v="1"/>
    <s v="Q4"/>
    <x v="11"/>
    <x v="4"/>
    <x v="0"/>
    <x v="0"/>
    <x v="1"/>
    <x v="0"/>
    <x v="0"/>
    <n v="9"/>
    <n v="119"/>
    <n v="7181"/>
    <n v="0"/>
    <n v="4"/>
    <s v="Recovered"/>
    <n v="1"/>
  </r>
  <r>
    <s v="ADM-245464"/>
    <d v="2025-12-19T00:00:00"/>
    <d v="2025-12-25T00:00:00"/>
    <x v="1"/>
    <s v="Q4"/>
    <x v="11"/>
    <x v="4"/>
    <x v="3"/>
    <x v="0"/>
    <x v="0"/>
    <x v="3"/>
    <x v="0"/>
    <n v="6"/>
    <n v="18"/>
    <n v="4095"/>
    <n v="0"/>
    <n v="4"/>
    <s v="Improved"/>
    <n v="1"/>
  </r>
  <r>
    <s v="ADM-245465"/>
    <d v="2025-12-19T00:00:00"/>
    <d v="2025-12-21T00:00:00"/>
    <x v="1"/>
    <s v="Q4"/>
    <x v="11"/>
    <x v="4"/>
    <x v="0"/>
    <x v="0"/>
    <x v="1"/>
    <x v="0"/>
    <x v="2"/>
    <n v="2"/>
    <n v="204"/>
    <n v="2046"/>
    <n v="0"/>
    <n v="4"/>
    <s v="Recovered"/>
    <n v="1"/>
  </r>
  <r>
    <s v="ADM-245466"/>
    <d v="2025-12-19T00:00:00"/>
    <d v="2025-12-22T00:00:00"/>
    <x v="1"/>
    <s v="Q4"/>
    <x v="11"/>
    <x v="4"/>
    <x v="3"/>
    <x v="0"/>
    <x v="0"/>
    <x v="3"/>
    <x v="1"/>
    <n v="3"/>
    <n v="110"/>
    <n v="2905"/>
    <n v="0"/>
    <n v="3"/>
    <s v="Recovered"/>
    <n v="1"/>
  </r>
  <r>
    <s v="ADM-245467"/>
    <d v="2025-12-19T00:00:00"/>
    <d v="2025-12-24T00:00:00"/>
    <x v="1"/>
    <s v="Q4"/>
    <x v="11"/>
    <x v="4"/>
    <x v="3"/>
    <x v="0"/>
    <x v="1"/>
    <x v="3"/>
    <x v="0"/>
    <n v="5"/>
    <n v="101"/>
    <n v="3667"/>
    <n v="0"/>
    <n v="3"/>
    <s v="Recovered"/>
    <n v="1"/>
  </r>
  <r>
    <s v="ADM-245468"/>
    <d v="2025-12-20T00:00:00"/>
    <d v="2025-12-25T00:00:00"/>
    <x v="1"/>
    <s v="Q4"/>
    <x v="11"/>
    <x v="5"/>
    <x v="0"/>
    <x v="0"/>
    <x v="0"/>
    <x v="0"/>
    <x v="2"/>
    <n v="5"/>
    <n v="37"/>
    <n v="3770"/>
    <n v="0"/>
    <n v="4"/>
    <s v="Improved"/>
    <n v="1"/>
  </r>
  <r>
    <s v="ADM-245469"/>
    <d v="2025-12-20T00:00:00"/>
    <d v="2025-12-21T00:00:00"/>
    <x v="1"/>
    <s v="Q4"/>
    <x v="11"/>
    <x v="5"/>
    <x v="3"/>
    <x v="0"/>
    <x v="0"/>
    <x v="3"/>
    <x v="2"/>
    <n v="1"/>
    <n v="62"/>
    <n v="1627"/>
    <n v="0"/>
    <n v="5"/>
    <s v="Recovered"/>
    <n v="1"/>
  </r>
  <r>
    <s v="ADM-245470"/>
    <d v="2025-12-20T00:00:00"/>
    <d v="2025-12-21T00:00:00"/>
    <x v="1"/>
    <s v="Q4"/>
    <x v="11"/>
    <x v="5"/>
    <x v="3"/>
    <x v="0"/>
    <x v="0"/>
    <x v="3"/>
    <x v="2"/>
    <n v="1"/>
    <n v="41"/>
    <n v="1553"/>
    <n v="0"/>
    <n v="4"/>
    <s v="Improved"/>
    <n v="1"/>
  </r>
  <r>
    <s v="ADM-245471"/>
    <d v="2025-12-20T00:00:00"/>
    <d v="2025-12-26T00:00:00"/>
    <x v="1"/>
    <s v="Q4"/>
    <x v="11"/>
    <x v="5"/>
    <x v="0"/>
    <x v="0"/>
    <x v="1"/>
    <x v="4"/>
    <x v="2"/>
    <n v="6"/>
    <n v="97"/>
    <n v="5174"/>
    <n v="1"/>
    <n v="4"/>
    <s v="Improved"/>
    <n v="1"/>
  </r>
  <r>
    <s v="ADM-245472"/>
    <d v="2025-12-20T00:00:00"/>
    <d v="2025-12-30T00:00:00"/>
    <x v="1"/>
    <s v="Q4"/>
    <x v="11"/>
    <x v="5"/>
    <x v="0"/>
    <x v="1"/>
    <x v="1"/>
    <x v="4"/>
    <x v="2"/>
    <n v="10"/>
    <m/>
    <n v="6901"/>
    <n v="0"/>
    <n v="4"/>
    <s v="Improved"/>
    <n v="1"/>
  </r>
  <r>
    <s v="ADM-245473"/>
    <d v="2025-12-20T00:00:00"/>
    <d v="2025-12-23T00:00:00"/>
    <x v="1"/>
    <s v="Q4"/>
    <x v="11"/>
    <x v="5"/>
    <x v="1"/>
    <x v="1"/>
    <x v="0"/>
    <x v="2"/>
    <x v="1"/>
    <n v="3"/>
    <m/>
    <n v="4309"/>
    <n v="0"/>
    <n v="4"/>
    <s v="Improved"/>
    <n v="1"/>
  </r>
  <r>
    <s v="ADM-245474"/>
    <d v="2025-12-20T00:00:00"/>
    <d v="2025-12-24T00:00:00"/>
    <x v="1"/>
    <s v="Q4"/>
    <x v="11"/>
    <x v="5"/>
    <x v="0"/>
    <x v="0"/>
    <x v="1"/>
    <x v="4"/>
    <x v="2"/>
    <n v="4"/>
    <n v="50"/>
    <n v="2927"/>
    <n v="0"/>
    <n v="5"/>
    <s v="Improved"/>
    <n v="1"/>
  </r>
  <r>
    <s v="ADM-245475"/>
    <d v="2025-12-20T00:00:00"/>
    <d v="2025-12-25T00:00:00"/>
    <x v="1"/>
    <s v="Q4"/>
    <x v="11"/>
    <x v="5"/>
    <x v="0"/>
    <x v="0"/>
    <x v="0"/>
    <x v="0"/>
    <x v="2"/>
    <n v="5"/>
    <n v="66"/>
    <n v="4258"/>
    <n v="1"/>
    <n v="3"/>
    <s v="Recovered"/>
    <n v="1"/>
  </r>
  <r>
    <s v="ADM-245476"/>
    <d v="2025-12-20T00:00:00"/>
    <d v="2025-12-28T00:00:00"/>
    <x v="1"/>
    <s v="Q4"/>
    <x v="11"/>
    <x v="5"/>
    <x v="1"/>
    <x v="0"/>
    <x v="1"/>
    <x v="4"/>
    <x v="2"/>
    <n v="8"/>
    <n v="102"/>
    <n v="7481"/>
    <n v="0"/>
    <n v="3"/>
    <s v="Recovered"/>
    <n v="1"/>
  </r>
  <r>
    <s v="ADM-245477"/>
    <d v="2025-12-20T00:00:00"/>
    <d v="2025-12-23T00:00:00"/>
    <x v="1"/>
    <s v="Q4"/>
    <x v="11"/>
    <x v="5"/>
    <x v="0"/>
    <x v="2"/>
    <x v="1"/>
    <x v="4"/>
    <x v="2"/>
    <n v="3"/>
    <m/>
    <n v="2297"/>
    <n v="0"/>
    <n v="4"/>
    <s v="Improved"/>
    <n v="1"/>
  </r>
  <r>
    <s v="ADM-245478"/>
    <d v="2025-12-20T00:00:00"/>
    <d v="2025-12-28T00:00:00"/>
    <x v="1"/>
    <s v="Q4"/>
    <x v="11"/>
    <x v="5"/>
    <x v="4"/>
    <x v="0"/>
    <x v="0"/>
    <x v="4"/>
    <x v="2"/>
    <n v="8"/>
    <n v="141"/>
    <n v="10767"/>
    <n v="0"/>
    <n v="3"/>
    <s v="Recovered"/>
    <n v="1"/>
  </r>
  <r>
    <s v="ADM-245479"/>
    <d v="2025-12-20T00:00:00"/>
    <d v="2025-12-21T00:00:00"/>
    <x v="1"/>
    <s v="Q4"/>
    <x v="11"/>
    <x v="5"/>
    <x v="3"/>
    <x v="0"/>
    <x v="1"/>
    <x v="3"/>
    <x v="2"/>
    <n v="1"/>
    <n v="23"/>
    <n v="1220"/>
    <n v="0"/>
    <n v="5"/>
    <s v="Recovered"/>
    <n v="1"/>
  </r>
  <r>
    <s v="ADM-245480"/>
    <d v="2025-12-20T00:00:00"/>
    <d v="2025-12-23T00:00:00"/>
    <x v="1"/>
    <s v="Q4"/>
    <x v="11"/>
    <x v="5"/>
    <x v="0"/>
    <x v="0"/>
    <x v="0"/>
    <x v="4"/>
    <x v="2"/>
    <n v="3"/>
    <n v="31"/>
    <n v="2599"/>
    <n v="1"/>
    <n v="3"/>
    <s v="Recovered"/>
    <n v="1"/>
  </r>
  <r>
    <s v="ADM-245481"/>
    <d v="2025-12-20T00:00:00"/>
    <d v="2025-12-25T00:00:00"/>
    <x v="1"/>
    <s v="Q4"/>
    <x v="11"/>
    <x v="5"/>
    <x v="4"/>
    <x v="0"/>
    <x v="1"/>
    <x v="2"/>
    <x v="2"/>
    <n v="5"/>
    <n v="49"/>
    <n v="5412"/>
    <n v="0"/>
    <n v="4"/>
    <s v="Improved"/>
    <n v="1"/>
  </r>
  <r>
    <s v="ADM-245482"/>
    <d v="2025-12-20T00:00:00"/>
    <d v="2025-12-24T00:00:00"/>
    <x v="1"/>
    <s v="Q4"/>
    <x v="11"/>
    <x v="5"/>
    <x v="4"/>
    <x v="0"/>
    <x v="0"/>
    <x v="1"/>
    <x v="0"/>
    <n v="4"/>
    <n v="108"/>
    <n v="7259"/>
    <n v="0"/>
    <n v="2"/>
    <s v="Recovered"/>
    <n v="1"/>
  </r>
  <r>
    <s v="ADM-245483"/>
    <d v="2025-12-20T00:00:00"/>
    <d v="2025-12-24T00:00:00"/>
    <x v="1"/>
    <s v="Q4"/>
    <x v="11"/>
    <x v="5"/>
    <x v="4"/>
    <x v="0"/>
    <x v="0"/>
    <x v="0"/>
    <x v="0"/>
    <n v="4"/>
    <n v="144"/>
    <n v="4517"/>
    <n v="0"/>
    <n v="3"/>
    <s v="Improved"/>
    <n v="1"/>
  </r>
  <r>
    <s v="ADM-245484"/>
    <d v="2025-12-20T00:00:00"/>
    <d v="2025-12-23T00:00:00"/>
    <x v="1"/>
    <s v="Q4"/>
    <x v="11"/>
    <x v="5"/>
    <x v="0"/>
    <x v="0"/>
    <x v="1"/>
    <x v="1"/>
    <x v="0"/>
    <n v="3"/>
    <n v="60"/>
    <n v="3208"/>
    <n v="0"/>
    <n v="4"/>
    <s v="Recovered"/>
    <n v="1"/>
  </r>
  <r>
    <s v="ADM-245485"/>
    <d v="2025-12-20T00:00:00"/>
    <d v="2025-12-23T00:00:00"/>
    <x v="1"/>
    <s v="Q4"/>
    <x v="11"/>
    <x v="5"/>
    <x v="3"/>
    <x v="0"/>
    <x v="1"/>
    <x v="3"/>
    <x v="2"/>
    <n v="3"/>
    <n v="97"/>
    <n v="2887"/>
    <n v="1"/>
    <n v="4"/>
    <s v="Recovered"/>
    <n v="1"/>
  </r>
  <r>
    <s v="ADM-245486"/>
    <d v="2025-12-20T00:00:00"/>
    <d v="2025-12-26T00:00:00"/>
    <x v="1"/>
    <s v="Q4"/>
    <x v="11"/>
    <x v="5"/>
    <x v="0"/>
    <x v="0"/>
    <x v="0"/>
    <x v="4"/>
    <x v="2"/>
    <n v="6"/>
    <n v="51"/>
    <n v="4017"/>
    <n v="0"/>
    <n v="4"/>
    <s v="Recovered"/>
    <n v="1"/>
  </r>
  <r>
    <s v="ADM-245487"/>
    <d v="2025-12-20T00:00:00"/>
    <d v="2025-12-24T00:00:00"/>
    <x v="1"/>
    <s v="Q4"/>
    <x v="11"/>
    <x v="5"/>
    <x v="1"/>
    <x v="2"/>
    <x v="1"/>
    <x v="1"/>
    <x v="2"/>
    <n v="4"/>
    <m/>
    <n v="5733"/>
    <n v="0"/>
    <n v="4"/>
    <s v="Recovered"/>
    <n v="1"/>
  </r>
  <r>
    <s v="ADM-245488"/>
    <d v="2025-12-21T00:00:00"/>
    <d v="2025-12-25T00:00:00"/>
    <x v="1"/>
    <s v="Q4"/>
    <x v="11"/>
    <x v="6"/>
    <x v="3"/>
    <x v="0"/>
    <x v="0"/>
    <x v="3"/>
    <x v="1"/>
    <n v="4"/>
    <n v="110"/>
    <n v="3171"/>
    <n v="0"/>
    <n v="3"/>
    <s v="Improved"/>
    <n v="1"/>
  </r>
  <r>
    <s v="ADM-245489"/>
    <d v="2025-12-21T00:00:00"/>
    <d v="2025-12-30T00:00:00"/>
    <x v="1"/>
    <s v="Q4"/>
    <x v="11"/>
    <x v="6"/>
    <x v="0"/>
    <x v="0"/>
    <x v="1"/>
    <x v="0"/>
    <x v="0"/>
    <n v="9"/>
    <n v="26"/>
    <n v="7302"/>
    <n v="1"/>
    <n v="4"/>
    <s v="Recovered"/>
    <n v="1"/>
  </r>
  <r>
    <s v="ADM-245490"/>
    <d v="2025-12-21T00:00:00"/>
    <d v="2025-12-26T00:00:00"/>
    <x v="1"/>
    <s v="Q4"/>
    <x v="11"/>
    <x v="6"/>
    <x v="0"/>
    <x v="0"/>
    <x v="1"/>
    <x v="1"/>
    <x v="1"/>
    <n v="5"/>
    <n v="72"/>
    <n v="3452"/>
    <n v="0"/>
    <n v="4"/>
    <s v="Recovered"/>
    <n v="1"/>
  </r>
  <r>
    <s v="ADM-245491"/>
    <d v="2025-12-21T00:00:00"/>
    <d v="2025-12-22T00:00:00"/>
    <x v="1"/>
    <s v="Q4"/>
    <x v="11"/>
    <x v="6"/>
    <x v="5"/>
    <x v="2"/>
    <x v="0"/>
    <x v="0"/>
    <x v="2"/>
    <n v="1"/>
    <m/>
    <n v="2237"/>
    <n v="0"/>
    <n v="3"/>
    <s v="Improved"/>
    <n v="1"/>
  </r>
  <r>
    <s v="ADM-245492"/>
    <d v="2025-12-21T00:00:00"/>
    <d v="2025-12-22T00:00:00"/>
    <x v="1"/>
    <s v="Q4"/>
    <x v="11"/>
    <x v="6"/>
    <x v="5"/>
    <x v="2"/>
    <x v="1"/>
    <x v="2"/>
    <x v="2"/>
    <n v="1"/>
    <m/>
    <n v="2278"/>
    <n v="0"/>
    <n v="4"/>
    <s v="Recovered"/>
    <n v="1"/>
  </r>
  <r>
    <s v="ADM-245493"/>
    <d v="2025-12-21T00:00:00"/>
    <d v="2025-12-25T00:00:00"/>
    <x v="1"/>
    <s v="Q4"/>
    <x v="11"/>
    <x v="6"/>
    <x v="3"/>
    <x v="0"/>
    <x v="0"/>
    <x v="3"/>
    <x v="2"/>
    <n v="4"/>
    <n v="21"/>
    <n v="3425"/>
    <n v="0"/>
    <n v="5"/>
    <s v="Recovered"/>
    <n v="1"/>
  </r>
  <r>
    <s v="ADM-245494"/>
    <d v="2025-12-21T00:00:00"/>
    <d v="2025-12-22T00:00:00"/>
    <x v="1"/>
    <s v="Q4"/>
    <x v="11"/>
    <x v="6"/>
    <x v="1"/>
    <x v="2"/>
    <x v="1"/>
    <x v="4"/>
    <x v="2"/>
    <n v="1"/>
    <m/>
    <n v="1427"/>
    <n v="0"/>
    <n v="5"/>
    <s v="Recovered"/>
    <n v="1"/>
  </r>
  <r>
    <s v="ADM-245495"/>
    <d v="2025-12-21T00:00:00"/>
    <d v="2025-12-24T00:00:00"/>
    <x v="1"/>
    <s v="Q4"/>
    <x v="11"/>
    <x v="6"/>
    <x v="5"/>
    <x v="2"/>
    <x v="0"/>
    <x v="4"/>
    <x v="2"/>
    <n v="3"/>
    <m/>
    <n v="2657"/>
    <n v="0"/>
    <n v="5"/>
    <s v="Recovered"/>
    <n v="1"/>
  </r>
  <r>
    <s v="ADM-245496"/>
    <d v="2025-12-21T00:00:00"/>
    <d v="2025-12-23T00:00:00"/>
    <x v="1"/>
    <s v="Q4"/>
    <x v="11"/>
    <x v="6"/>
    <x v="1"/>
    <x v="1"/>
    <x v="0"/>
    <x v="0"/>
    <x v="2"/>
    <n v="2"/>
    <m/>
    <n v="3197"/>
    <n v="0"/>
    <n v="5"/>
    <s v="Recovered"/>
    <n v="1"/>
  </r>
  <r>
    <s v="ADM-245497"/>
    <d v="2025-12-21T00:00:00"/>
    <d v="2025-12-23T00:00:00"/>
    <x v="1"/>
    <s v="Q4"/>
    <x v="11"/>
    <x v="6"/>
    <x v="4"/>
    <x v="2"/>
    <x v="1"/>
    <x v="4"/>
    <x v="2"/>
    <n v="2"/>
    <m/>
    <n v="2980"/>
    <n v="0"/>
    <n v="4"/>
    <s v="Improved"/>
    <n v="1"/>
  </r>
  <r>
    <s v="ADM-245498"/>
    <d v="2025-12-22T00:00:00"/>
    <d v="2025-12-24T00:00:00"/>
    <x v="1"/>
    <s v="Q4"/>
    <x v="11"/>
    <x v="0"/>
    <x v="3"/>
    <x v="2"/>
    <x v="0"/>
    <x v="3"/>
    <x v="0"/>
    <n v="2"/>
    <m/>
    <n v="1671"/>
    <n v="0"/>
    <n v="5"/>
    <s v="Recovered"/>
    <n v="1"/>
  </r>
  <r>
    <s v="ADM-245499"/>
    <d v="2025-12-22T00:00:00"/>
    <d v="2025-12-26T00:00:00"/>
    <x v="1"/>
    <s v="Q4"/>
    <x v="11"/>
    <x v="0"/>
    <x v="4"/>
    <x v="2"/>
    <x v="0"/>
    <x v="0"/>
    <x v="0"/>
    <n v="4"/>
    <m/>
    <n v="6255"/>
    <n v="0"/>
    <n v="5"/>
    <s v="Improved"/>
    <n v="1"/>
  </r>
  <r>
    <s v="ADM-245500"/>
    <d v="2025-12-22T00:00:00"/>
    <d v="2025-12-27T00:00:00"/>
    <x v="1"/>
    <s v="Q4"/>
    <x v="11"/>
    <x v="0"/>
    <x v="3"/>
    <x v="0"/>
    <x v="0"/>
    <x v="3"/>
    <x v="2"/>
    <n v="5"/>
    <n v="26"/>
    <n v="5222"/>
    <n v="0"/>
    <n v="4"/>
    <s v="Improved"/>
    <n v="1"/>
  </r>
  <r>
    <s v="ADM-245501"/>
    <d v="2025-12-22T00:00:00"/>
    <d v="2025-12-31T00:00:00"/>
    <x v="1"/>
    <s v="Q4"/>
    <x v="11"/>
    <x v="0"/>
    <x v="4"/>
    <x v="2"/>
    <x v="0"/>
    <x v="0"/>
    <x v="0"/>
    <n v="9"/>
    <m/>
    <n v="10620"/>
    <n v="1"/>
    <n v="5"/>
    <s v="Recovered"/>
    <n v="1"/>
  </r>
  <r>
    <s v="ADM-245502"/>
    <d v="2025-12-22T00:00:00"/>
    <d v="2025-12-24T00:00:00"/>
    <x v="1"/>
    <s v="Q4"/>
    <x v="11"/>
    <x v="0"/>
    <x v="2"/>
    <x v="2"/>
    <x v="0"/>
    <x v="2"/>
    <x v="0"/>
    <n v="2"/>
    <m/>
    <n v="2080"/>
    <n v="0"/>
    <n v="4"/>
    <s v="Recovered"/>
    <n v="1"/>
  </r>
  <r>
    <s v="ADM-245503"/>
    <d v="2025-12-22T00:00:00"/>
    <d v="2025-12-24T00:00:00"/>
    <x v="1"/>
    <s v="Q4"/>
    <x v="11"/>
    <x v="0"/>
    <x v="2"/>
    <x v="0"/>
    <x v="0"/>
    <x v="2"/>
    <x v="0"/>
    <n v="2"/>
    <n v="43"/>
    <n v="2357"/>
    <n v="1"/>
    <n v="4"/>
    <s v="Improved"/>
    <n v="1"/>
  </r>
  <r>
    <s v="ADM-245504"/>
    <d v="2025-12-22T00:00:00"/>
    <d v="2025-12-23T00:00:00"/>
    <x v="1"/>
    <s v="Q4"/>
    <x v="11"/>
    <x v="0"/>
    <x v="3"/>
    <x v="2"/>
    <x v="1"/>
    <x v="3"/>
    <x v="0"/>
    <n v="1"/>
    <m/>
    <n v="1166"/>
    <n v="0"/>
    <n v="5"/>
    <s v="Recovered"/>
    <n v="1"/>
  </r>
  <r>
    <s v="ADM-245505"/>
    <d v="2025-12-22T00:00:00"/>
    <d v="2026-01-08T00:00:00"/>
    <x v="1"/>
    <s v="Q4"/>
    <x v="11"/>
    <x v="0"/>
    <x v="0"/>
    <x v="0"/>
    <x v="1"/>
    <x v="0"/>
    <x v="0"/>
    <n v="17"/>
    <n v="56"/>
    <n v="11670"/>
    <n v="1"/>
    <n v="4"/>
    <s v="Recovered"/>
    <n v="1"/>
  </r>
  <r>
    <s v="ADM-245506"/>
    <d v="2025-12-22T00:00:00"/>
    <d v="2026-01-02T00:00:00"/>
    <x v="1"/>
    <s v="Q4"/>
    <x v="11"/>
    <x v="0"/>
    <x v="4"/>
    <x v="2"/>
    <x v="0"/>
    <x v="4"/>
    <x v="0"/>
    <n v="11"/>
    <m/>
    <n v="9096"/>
    <n v="0"/>
    <n v="5"/>
    <s v="Improved"/>
    <n v="1"/>
  </r>
  <r>
    <s v="ADM-245507"/>
    <d v="2025-12-22T00:00:00"/>
    <d v="2025-12-27T00:00:00"/>
    <x v="1"/>
    <s v="Q4"/>
    <x v="11"/>
    <x v="0"/>
    <x v="5"/>
    <x v="0"/>
    <x v="1"/>
    <x v="0"/>
    <x v="2"/>
    <n v="5"/>
    <n v="58"/>
    <n v="5889"/>
    <n v="0"/>
    <n v="5"/>
    <s v="Recovered"/>
    <n v="1"/>
  </r>
  <r>
    <s v="ADM-245508"/>
    <d v="2025-12-22T00:00:00"/>
    <d v="2025-12-25T00:00:00"/>
    <x v="1"/>
    <s v="Q4"/>
    <x v="11"/>
    <x v="0"/>
    <x v="5"/>
    <x v="2"/>
    <x v="1"/>
    <x v="0"/>
    <x v="2"/>
    <n v="3"/>
    <m/>
    <n v="4140"/>
    <n v="0"/>
    <n v="3"/>
    <s v="Recovered"/>
    <n v="1"/>
  </r>
  <r>
    <s v="ADM-245509"/>
    <d v="2025-12-23T00:00:00"/>
    <d v="2025-12-29T00:00:00"/>
    <x v="1"/>
    <s v="Q4"/>
    <x v="11"/>
    <x v="1"/>
    <x v="0"/>
    <x v="0"/>
    <x v="1"/>
    <x v="4"/>
    <x v="0"/>
    <n v="6"/>
    <n v="151"/>
    <n v="5103"/>
    <n v="0"/>
    <n v="4"/>
    <s v="Improved"/>
    <n v="1"/>
  </r>
  <r>
    <s v="ADM-245510"/>
    <d v="2025-12-23T00:00:00"/>
    <d v="2025-12-25T00:00:00"/>
    <x v="1"/>
    <s v="Q4"/>
    <x v="11"/>
    <x v="1"/>
    <x v="2"/>
    <x v="0"/>
    <x v="0"/>
    <x v="2"/>
    <x v="2"/>
    <n v="2"/>
    <n v="24"/>
    <n v="2298"/>
    <n v="0"/>
    <n v="4"/>
    <s v="Transferred"/>
    <n v="1"/>
  </r>
  <r>
    <s v="ADM-245511"/>
    <d v="2025-12-23T00:00:00"/>
    <d v="2025-12-27T00:00:00"/>
    <x v="1"/>
    <s v="Q4"/>
    <x v="11"/>
    <x v="1"/>
    <x v="5"/>
    <x v="2"/>
    <x v="0"/>
    <x v="0"/>
    <x v="2"/>
    <n v="4"/>
    <m/>
    <n v="3711"/>
    <n v="0"/>
    <n v="5"/>
    <s v="Recovered"/>
    <n v="1"/>
  </r>
  <r>
    <s v="ADM-245512"/>
    <d v="2025-12-23T00:00:00"/>
    <d v="2026-01-10T00:00:00"/>
    <x v="1"/>
    <s v="Q4"/>
    <x v="11"/>
    <x v="1"/>
    <x v="0"/>
    <x v="0"/>
    <x v="0"/>
    <x v="0"/>
    <x v="0"/>
    <n v="18"/>
    <n v="42"/>
    <n v="15328"/>
    <n v="0"/>
    <n v="4"/>
    <s v="Improved"/>
    <n v="1"/>
  </r>
  <r>
    <s v="ADM-245513"/>
    <d v="2025-12-23T00:00:00"/>
    <d v="2025-12-25T00:00:00"/>
    <x v="1"/>
    <s v="Q4"/>
    <x v="11"/>
    <x v="1"/>
    <x v="0"/>
    <x v="2"/>
    <x v="1"/>
    <x v="0"/>
    <x v="0"/>
    <n v="2"/>
    <m/>
    <n v="2045"/>
    <n v="0"/>
    <n v="3"/>
    <s v="Recovered"/>
    <n v="1"/>
  </r>
  <r>
    <s v="ADM-245514"/>
    <d v="2025-12-23T00:00:00"/>
    <d v="2025-12-28T00:00:00"/>
    <x v="1"/>
    <s v="Q4"/>
    <x v="11"/>
    <x v="1"/>
    <x v="4"/>
    <x v="0"/>
    <x v="0"/>
    <x v="1"/>
    <x v="0"/>
    <n v="5"/>
    <n v="20"/>
    <n v="6705"/>
    <n v="0"/>
    <n v="3"/>
    <s v="Recovered"/>
    <n v="1"/>
  </r>
  <r>
    <s v="ADM-245515"/>
    <d v="2025-12-23T00:00:00"/>
    <d v="2025-12-29T00:00:00"/>
    <x v="1"/>
    <s v="Q4"/>
    <x v="11"/>
    <x v="1"/>
    <x v="0"/>
    <x v="1"/>
    <x v="1"/>
    <x v="0"/>
    <x v="0"/>
    <n v="6"/>
    <m/>
    <n v="3583"/>
    <n v="0"/>
    <n v="4"/>
    <s v="Recovered"/>
    <n v="1"/>
  </r>
  <r>
    <s v="ADM-245516"/>
    <d v="2025-12-23T00:00:00"/>
    <d v="2025-12-27T00:00:00"/>
    <x v="1"/>
    <s v="Q4"/>
    <x v="11"/>
    <x v="1"/>
    <x v="2"/>
    <x v="0"/>
    <x v="0"/>
    <x v="1"/>
    <x v="2"/>
    <n v="4"/>
    <n v="66"/>
    <n v="3226"/>
    <n v="1"/>
    <n v="3"/>
    <s v="Recovered"/>
    <n v="1"/>
  </r>
  <r>
    <s v="ADM-245517"/>
    <d v="2025-12-23T00:00:00"/>
    <d v="2025-12-24T00:00:00"/>
    <x v="1"/>
    <s v="Q4"/>
    <x v="11"/>
    <x v="1"/>
    <x v="2"/>
    <x v="0"/>
    <x v="0"/>
    <x v="1"/>
    <x v="0"/>
    <n v="1"/>
    <n v="69"/>
    <n v="1241"/>
    <n v="0"/>
    <n v="4"/>
    <s v="Recovered"/>
    <n v="1"/>
  </r>
  <r>
    <s v="ADM-245518"/>
    <d v="2025-12-23T00:00:00"/>
    <d v="2026-01-01T00:00:00"/>
    <x v="1"/>
    <s v="Q4"/>
    <x v="11"/>
    <x v="1"/>
    <x v="1"/>
    <x v="2"/>
    <x v="1"/>
    <x v="0"/>
    <x v="0"/>
    <n v="9"/>
    <m/>
    <n v="9092"/>
    <n v="0"/>
    <n v="4"/>
    <s v="Improved"/>
    <n v="1"/>
  </r>
  <r>
    <s v="ADM-245519"/>
    <d v="2025-12-23T00:00:00"/>
    <d v="2025-12-27T00:00:00"/>
    <x v="1"/>
    <s v="Q4"/>
    <x v="11"/>
    <x v="1"/>
    <x v="3"/>
    <x v="0"/>
    <x v="0"/>
    <x v="3"/>
    <x v="2"/>
    <n v="4"/>
    <n v="95"/>
    <n v="3073"/>
    <n v="0"/>
    <n v="4"/>
    <s v="Recovered"/>
    <n v="1"/>
  </r>
  <r>
    <s v="ADM-245520"/>
    <d v="2025-12-23T00:00:00"/>
    <d v="2025-12-26T00:00:00"/>
    <x v="1"/>
    <s v="Q4"/>
    <x v="11"/>
    <x v="1"/>
    <x v="0"/>
    <x v="2"/>
    <x v="0"/>
    <x v="2"/>
    <x v="0"/>
    <n v="3"/>
    <m/>
    <n v="2092"/>
    <n v="0"/>
    <n v="4"/>
    <s v="Recovered"/>
    <n v="1"/>
  </r>
  <r>
    <s v="ADM-245521"/>
    <d v="2025-12-24T00:00:00"/>
    <d v="2025-12-29T00:00:00"/>
    <x v="1"/>
    <s v="Q4"/>
    <x v="11"/>
    <x v="2"/>
    <x v="1"/>
    <x v="2"/>
    <x v="0"/>
    <x v="4"/>
    <x v="0"/>
    <n v="5"/>
    <m/>
    <n v="5739"/>
    <n v="0"/>
    <n v="4"/>
    <s v="Recovered"/>
    <n v="1"/>
  </r>
  <r>
    <s v="ADM-245522"/>
    <d v="2025-12-24T00:00:00"/>
    <d v="2025-12-26T00:00:00"/>
    <x v="1"/>
    <s v="Q4"/>
    <x v="11"/>
    <x v="2"/>
    <x v="3"/>
    <x v="0"/>
    <x v="0"/>
    <x v="3"/>
    <x v="0"/>
    <n v="2"/>
    <n v="20"/>
    <n v="2204"/>
    <n v="0"/>
    <n v="4"/>
    <s v="Recovered"/>
    <n v="1"/>
  </r>
  <r>
    <s v="ADM-245523"/>
    <d v="2025-12-24T00:00:00"/>
    <d v="2025-12-29T00:00:00"/>
    <x v="1"/>
    <s v="Q4"/>
    <x v="11"/>
    <x v="2"/>
    <x v="3"/>
    <x v="0"/>
    <x v="1"/>
    <x v="3"/>
    <x v="0"/>
    <n v="5"/>
    <n v="43"/>
    <n v="2857"/>
    <n v="0"/>
    <n v="5"/>
    <s v="Improved"/>
    <n v="1"/>
  </r>
  <r>
    <s v="ADM-245524"/>
    <d v="2025-12-24T00:00:00"/>
    <d v="2025-12-25T00:00:00"/>
    <x v="1"/>
    <s v="Q4"/>
    <x v="11"/>
    <x v="2"/>
    <x v="2"/>
    <x v="0"/>
    <x v="0"/>
    <x v="2"/>
    <x v="0"/>
    <n v="1"/>
    <n v="17"/>
    <n v="1613"/>
    <n v="0"/>
    <n v="5"/>
    <s v="Recovered"/>
    <n v="1"/>
  </r>
  <r>
    <s v="ADM-245525"/>
    <d v="2025-12-24T00:00:00"/>
    <d v="2025-12-30T00:00:00"/>
    <x v="1"/>
    <s v="Q4"/>
    <x v="11"/>
    <x v="2"/>
    <x v="2"/>
    <x v="0"/>
    <x v="0"/>
    <x v="1"/>
    <x v="0"/>
    <n v="6"/>
    <n v="42"/>
    <n v="4789"/>
    <n v="0"/>
    <n v="3"/>
    <s v="Transferred"/>
    <n v="1"/>
  </r>
  <r>
    <s v="ADM-245526"/>
    <d v="2025-12-24T00:00:00"/>
    <d v="2025-12-28T00:00:00"/>
    <x v="1"/>
    <s v="Q4"/>
    <x v="11"/>
    <x v="2"/>
    <x v="1"/>
    <x v="1"/>
    <x v="0"/>
    <x v="0"/>
    <x v="2"/>
    <n v="4"/>
    <m/>
    <n v="4860"/>
    <n v="0"/>
    <n v="5"/>
    <s v="Recovered"/>
    <n v="1"/>
  </r>
  <r>
    <s v="ADM-245527"/>
    <d v="2025-12-25T00:00:00"/>
    <d v="2025-12-26T00:00:00"/>
    <x v="1"/>
    <s v="Q4"/>
    <x v="11"/>
    <x v="3"/>
    <x v="5"/>
    <x v="2"/>
    <x v="1"/>
    <x v="4"/>
    <x v="2"/>
    <n v="1"/>
    <m/>
    <n v="1727"/>
    <n v="0"/>
    <n v="4"/>
    <s v="Recovered"/>
    <n v="1"/>
  </r>
  <r>
    <s v="ADM-245528"/>
    <d v="2025-12-25T00:00:00"/>
    <d v="2025-12-27T00:00:00"/>
    <x v="1"/>
    <s v="Q4"/>
    <x v="11"/>
    <x v="3"/>
    <x v="4"/>
    <x v="2"/>
    <x v="0"/>
    <x v="0"/>
    <x v="2"/>
    <n v="2"/>
    <m/>
    <n v="2422"/>
    <n v="0"/>
    <n v="4"/>
    <s v="Improved"/>
    <n v="1"/>
  </r>
  <r>
    <s v="ADM-245529"/>
    <d v="2025-12-25T00:00:00"/>
    <d v="2026-01-01T00:00:00"/>
    <x v="1"/>
    <s v="Q4"/>
    <x v="11"/>
    <x v="3"/>
    <x v="0"/>
    <x v="0"/>
    <x v="1"/>
    <x v="1"/>
    <x v="1"/>
    <n v="7"/>
    <n v="42"/>
    <n v="5093"/>
    <n v="0"/>
    <n v="5"/>
    <s v="Recovered"/>
    <n v="1"/>
  </r>
  <r>
    <s v="ADM-245530"/>
    <d v="2025-12-25T00:00:00"/>
    <d v="2025-12-30T00:00:00"/>
    <x v="1"/>
    <s v="Q4"/>
    <x v="11"/>
    <x v="3"/>
    <x v="1"/>
    <x v="0"/>
    <x v="0"/>
    <x v="2"/>
    <x v="0"/>
    <n v="5"/>
    <n v="94"/>
    <n v="6063"/>
    <n v="0"/>
    <n v="4"/>
    <s v="Recovered"/>
    <n v="1"/>
  </r>
  <r>
    <s v="ADM-245531"/>
    <d v="2025-12-25T00:00:00"/>
    <d v="2026-01-02T00:00:00"/>
    <x v="1"/>
    <s v="Q4"/>
    <x v="11"/>
    <x v="3"/>
    <x v="4"/>
    <x v="0"/>
    <x v="1"/>
    <x v="4"/>
    <x v="0"/>
    <n v="8"/>
    <n v="85"/>
    <n v="9178"/>
    <n v="0"/>
    <n v="5"/>
    <s v="Recovered"/>
    <n v="1"/>
  </r>
  <r>
    <s v="ADM-245532"/>
    <d v="2025-12-25T00:00:00"/>
    <d v="2025-12-30T00:00:00"/>
    <x v="1"/>
    <s v="Q4"/>
    <x v="11"/>
    <x v="3"/>
    <x v="5"/>
    <x v="2"/>
    <x v="0"/>
    <x v="4"/>
    <x v="2"/>
    <n v="5"/>
    <m/>
    <n v="5147"/>
    <n v="0"/>
    <n v="5"/>
    <s v="Recovered"/>
    <n v="1"/>
  </r>
  <r>
    <s v="ADM-245533"/>
    <d v="2025-12-25T00:00:00"/>
    <d v="2026-01-05T00:00:00"/>
    <x v="1"/>
    <s v="Q4"/>
    <x v="11"/>
    <x v="3"/>
    <x v="4"/>
    <x v="0"/>
    <x v="0"/>
    <x v="0"/>
    <x v="0"/>
    <n v="11"/>
    <n v="52"/>
    <n v="14035"/>
    <n v="1"/>
    <n v="3"/>
    <s v="Recovered"/>
    <n v="1"/>
  </r>
  <r>
    <s v="ADM-245534"/>
    <d v="2025-12-25T00:00:00"/>
    <d v="2025-12-29T00:00:00"/>
    <x v="1"/>
    <s v="Q4"/>
    <x v="11"/>
    <x v="3"/>
    <x v="4"/>
    <x v="0"/>
    <x v="1"/>
    <x v="2"/>
    <x v="1"/>
    <n v="4"/>
    <n v="94"/>
    <n v="3647"/>
    <n v="0"/>
    <n v="5"/>
    <s v="Improved"/>
    <n v="1"/>
  </r>
  <r>
    <s v="ADM-245535"/>
    <d v="2025-12-25T00:00:00"/>
    <d v="2025-12-27T00:00:00"/>
    <x v="1"/>
    <s v="Q4"/>
    <x v="11"/>
    <x v="3"/>
    <x v="4"/>
    <x v="2"/>
    <x v="0"/>
    <x v="1"/>
    <x v="2"/>
    <n v="2"/>
    <m/>
    <n v="3320"/>
    <n v="0"/>
    <n v="4"/>
    <s v="Recovered"/>
    <n v="1"/>
  </r>
  <r>
    <s v="ADM-245536"/>
    <d v="2025-12-26T00:00:00"/>
    <d v="2026-01-06T00:00:00"/>
    <x v="1"/>
    <s v="Q4"/>
    <x v="11"/>
    <x v="4"/>
    <x v="5"/>
    <x v="0"/>
    <x v="1"/>
    <x v="0"/>
    <x v="0"/>
    <n v="11"/>
    <n v="95"/>
    <n v="9202"/>
    <n v="0"/>
    <n v="3"/>
    <s v="Recovered"/>
    <n v="1"/>
  </r>
  <r>
    <s v="ADM-245537"/>
    <d v="2025-12-26T00:00:00"/>
    <d v="2026-01-02T00:00:00"/>
    <x v="1"/>
    <s v="Q4"/>
    <x v="11"/>
    <x v="4"/>
    <x v="0"/>
    <x v="0"/>
    <x v="0"/>
    <x v="0"/>
    <x v="0"/>
    <n v="7"/>
    <n v="112"/>
    <n v="5193"/>
    <n v="0"/>
    <n v="4"/>
    <s v="Recovered"/>
    <n v="1"/>
  </r>
  <r>
    <s v="ADM-245538"/>
    <d v="2025-12-26T00:00:00"/>
    <d v="2025-12-28T00:00:00"/>
    <x v="1"/>
    <s v="Q4"/>
    <x v="11"/>
    <x v="4"/>
    <x v="3"/>
    <x v="0"/>
    <x v="1"/>
    <x v="3"/>
    <x v="2"/>
    <n v="2"/>
    <n v="220"/>
    <n v="2302"/>
    <n v="0"/>
    <n v="5"/>
    <s v="Recovered"/>
    <n v="1"/>
  </r>
  <r>
    <s v="ADM-245539"/>
    <d v="2025-12-26T00:00:00"/>
    <d v="2025-12-30T00:00:00"/>
    <x v="1"/>
    <s v="Q4"/>
    <x v="11"/>
    <x v="4"/>
    <x v="0"/>
    <x v="0"/>
    <x v="0"/>
    <x v="4"/>
    <x v="0"/>
    <n v="4"/>
    <n v="32"/>
    <n v="3613"/>
    <n v="0"/>
    <n v="4"/>
    <s v="Recovered"/>
    <n v="1"/>
  </r>
  <r>
    <s v="ADM-245540"/>
    <d v="2025-12-26T00:00:00"/>
    <d v="2025-12-31T00:00:00"/>
    <x v="1"/>
    <s v="Q4"/>
    <x v="11"/>
    <x v="4"/>
    <x v="3"/>
    <x v="0"/>
    <x v="0"/>
    <x v="3"/>
    <x v="2"/>
    <n v="5"/>
    <n v="50"/>
    <n v="4943"/>
    <n v="0"/>
    <n v="5"/>
    <s v="Recovered"/>
    <n v="1"/>
  </r>
  <r>
    <s v="ADM-245541"/>
    <d v="2025-12-26T00:00:00"/>
    <d v="2025-12-29T00:00:00"/>
    <x v="1"/>
    <s v="Q4"/>
    <x v="11"/>
    <x v="4"/>
    <x v="0"/>
    <x v="0"/>
    <x v="1"/>
    <x v="0"/>
    <x v="1"/>
    <n v="3"/>
    <n v="143"/>
    <n v="2000"/>
    <n v="0"/>
    <n v="4"/>
    <s v="Recovered"/>
    <n v="1"/>
  </r>
  <r>
    <s v="ADM-245542"/>
    <d v="2025-12-26T00:00:00"/>
    <d v="2026-01-02T00:00:00"/>
    <x v="1"/>
    <s v="Q4"/>
    <x v="11"/>
    <x v="4"/>
    <x v="0"/>
    <x v="0"/>
    <x v="0"/>
    <x v="0"/>
    <x v="2"/>
    <n v="7"/>
    <n v="86"/>
    <n v="7210"/>
    <n v="0"/>
    <n v="4"/>
    <s v="Improved"/>
    <n v="1"/>
  </r>
  <r>
    <s v="ADM-245543"/>
    <d v="2025-12-26T00:00:00"/>
    <d v="2026-01-01T00:00:00"/>
    <x v="1"/>
    <s v="Q4"/>
    <x v="11"/>
    <x v="4"/>
    <x v="0"/>
    <x v="0"/>
    <x v="0"/>
    <x v="4"/>
    <x v="0"/>
    <n v="6"/>
    <n v="72"/>
    <n v="5092"/>
    <n v="0"/>
    <n v="4"/>
    <s v="Recovered"/>
    <n v="1"/>
  </r>
  <r>
    <s v="ADM-245544"/>
    <d v="2025-12-26T00:00:00"/>
    <d v="2025-12-29T00:00:00"/>
    <x v="1"/>
    <s v="Q4"/>
    <x v="11"/>
    <x v="4"/>
    <x v="0"/>
    <x v="2"/>
    <x v="1"/>
    <x v="1"/>
    <x v="2"/>
    <n v="3"/>
    <m/>
    <n v="2892"/>
    <n v="0"/>
    <n v="5"/>
    <s v="Recovered"/>
    <n v="1"/>
  </r>
  <r>
    <s v="ADM-245545"/>
    <d v="2025-12-26T00:00:00"/>
    <d v="2025-12-28T00:00:00"/>
    <x v="1"/>
    <s v="Q4"/>
    <x v="11"/>
    <x v="4"/>
    <x v="1"/>
    <x v="1"/>
    <x v="0"/>
    <x v="2"/>
    <x v="2"/>
    <n v="2"/>
    <m/>
    <n v="3116"/>
    <n v="0"/>
    <n v="5"/>
    <s v="Improved"/>
    <n v="1"/>
  </r>
  <r>
    <s v="ADM-245546"/>
    <d v="2025-12-26T00:00:00"/>
    <d v="2025-12-30T00:00:00"/>
    <x v="1"/>
    <s v="Q4"/>
    <x v="11"/>
    <x v="4"/>
    <x v="5"/>
    <x v="2"/>
    <x v="0"/>
    <x v="4"/>
    <x v="2"/>
    <n v="4"/>
    <m/>
    <n v="3327"/>
    <n v="0"/>
    <n v="5"/>
    <s v="Improved"/>
    <n v="1"/>
  </r>
  <r>
    <s v="ADM-245547"/>
    <d v="2025-12-26T00:00:00"/>
    <d v="2025-12-28T00:00:00"/>
    <x v="1"/>
    <s v="Q4"/>
    <x v="11"/>
    <x v="4"/>
    <x v="5"/>
    <x v="2"/>
    <x v="1"/>
    <x v="4"/>
    <x v="2"/>
    <n v="2"/>
    <m/>
    <n v="2599"/>
    <n v="0"/>
    <n v="4"/>
    <s v="Improved"/>
    <n v="1"/>
  </r>
  <r>
    <s v="ADM-245548"/>
    <d v="2025-12-26T00:00:00"/>
    <d v="2026-01-02T00:00:00"/>
    <x v="1"/>
    <s v="Q4"/>
    <x v="11"/>
    <x v="4"/>
    <x v="4"/>
    <x v="0"/>
    <x v="1"/>
    <x v="0"/>
    <x v="0"/>
    <n v="7"/>
    <n v="44"/>
    <n v="10103"/>
    <n v="0"/>
    <n v="4"/>
    <s v="Improved"/>
    <n v="1"/>
  </r>
  <r>
    <s v="ADM-245549"/>
    <d v="2025-12-26T00:00:00"/>
    <d v="2026-01-03T00:00:00"/>
    <x v="1"/>
    <s v="Q4"/>
    <x v="11"/>
    <x v="4"/>
    <x v="4"/>
    <x v="0"/>
    <x v="1"/>
    <x v="0"/>
    <x v="1"/>
    <n v="8"/>
    <n v="85"/>
    <n v="9630"/>
    <n v="0"/>
    <n v="4"/>
    <s v="Recovered"/>
    <n v="1"/>
  </r>
  <r>
    <s v="ADM-245550"/>
    <d v="2025-12-27T00:00:00"/>
    <d v="2026-01-02T00:00:00"/>
    <x v="1"/>
    <s v="Q4"/>
    <x v="11"/>
    <x v="5"/>
    <x v="5"/>
    <x v="0"/>
    <x v="0"/>
    <x v="1"/>
    <x v="2"/>
    <n v="6"/>
    <n v="75"/>
    <n v="6628"/>
    <n v="0"/>
    <n v="4"/>
    <s v="Improved"/>
    <n v="1"/>
  </r>
  <r>
    <s v="ADM-245551"/>
    <d v="2025-12-27T00:00:00"/>
    <d v="2026-01-02T00:00:00"/>
    <x v="1"/>
    <s v="Q4"/>
    <x v="11"/>
    <x v="5"/>
    <x v="3"/>
    <x v="2"/>
    <x v="0"/>
    <x v="3"/>
    <x v="2"/>
    <n v="6"/>
    <m/>
    <n v="4227"/>
    <n v="0"/>
    <n v="4"/>
    <s v="Improved"/>
    <n v="1"/>
  </r>
  <r>
    <s v="ADM-245552"/>
    <d v="2025-12-27T00:00:00"/>
    <d v="2025-12-31T00:00:00"/>
    <x v="1"/>
    <s v="Q4"/>
    <x v="11"/>
    <x v="5"/>
    <x v="0"/>
    <x v="2"/>
    <x v="1"/>
    <x v="0"/>
    <x v="2"/>
    <n v="4"/>
    <m/>
    <n v="3441"/>
    <n v="1"/>
    <n v="4"/>
    <s v="Recovered"/>
    <n v="1"/>
  </r>
  <r>
    <s v="ADM-245553"/>
    <d v="2025-12-27T00:00:00"/>
    <d v="2025-12-29T00:00:00"/>
    <x v="1"/>
    <s v="Q4"/>
    <x v="11"/>
    <x v="5"/>
    <x v="2"/>
    <x v="0"/>
    <x v="0"/>
    <x v="1"/>
    <x v="1"/>
    <n v="2"/>
    <n v="67"/>
    <n v="2293"/>
    <n v="0"/>
    <n v="4"/>
    <s v="Deceased"/>
    <n v="1"/>
  </r>
  <r>
    <s v="ADM-245554"/>
    <d v="2025-12-27T00:00:00"/>
    <d v="2025-12-28T00:00:00"/>
    <x v="1"/>
    <s v="Q4"/>
    <x v="11"/>
    <x v="5"/>
    <x v="3"/>
    <x v="2"/>
    <x v="1"/>
    <x v="3"/>
    <x v="1"/>
    <n v="1"/>
    <m/>
    <n v="1253"/>
    <n v="0"/>
    <n v="5"/>
    <s v="Recovered"/>
    <n v="1"/>
  </r>
  <r>
    <s v="ADM-245555"/>
    <d v="2025-12-27T00:00:00"/>
    <d v="2025-12-28T00:00:00"/>
    <x v="1"/>
    <s v="Q4"/>
    <x v="11"/>
    <x v="5"/>
    <x v="2"/>
    <x v="0"/>
    <x v="0"/>
    <x v="2"/>
    <x v="2"/>
    <n v="1"/>
    <n v="39"/>
    <n v="1352"/>
    <n v="0"/>
    <n v="4"/>
    <s v="Recovered"/>
    <n v="1"/>
  </r>
  <r>
    <s v="ADM-245556"/>
    <d v="2025-12-27T00:00:00"/>
    <d v="2025-12-31T00:00:00"/>
    <x v="1"/>
    <s v="Q4"/>
    <x v="11"/>
    <x v="5"/>
    <x v="5"/>
    <x v="2"/>
    <x v="0"/>
    <x v="0"/>
    <x v="1"/>
    <n v="4"/>
    <m/>
    <n v="4558"/>
    <n v="0"/>
    <n v="4"/>
    <s v="Transferred"/>
    <n v="1"/>
  </r>
  <r>
    <s v="ADM-245557"/>
    <d v="2025-12-27T00:00:00"/>
    <d v="2026-01-07T00:00:00"/>
    <x v="1"/>
    <s v="Q4"/>
    <x v="11"/>
    <x v="5"/>
    <x v="0"/>
    <x v="0"/>
    <x v="0"/>
    <x v="4"/>
    <x v="2"/>
    <n v="11"/>
    <n v="89"/>
    <n v="5988"/>
    <n v="0"/>
    <n v="4"/>
    <s v="Recovered"/>
    <n v="1"/>
  </r>
  <r>
    <s v="ADM-245558"/>
    <d v="2025-12-27T00:00:00"/>
    <d v="2025-12-29T00:00:00"/>
    <x v="1"/>
    <s v="Q4"/>
    <x v="11"/>
    <x v="5"/>
    <x v="0"/>
    <x v="2"/>
    <x v="1"/>
    <x v="2"/>
    <x v="2"/>
    <n v="2"/>
    <m/>
    <n v="1936"/>
    <n v="0"/>
    <n v="3"/>
    <s v="Recovered"/>
    <n v="1"/>
  </r>
  <r>
    <s v="ADM-245559"/>
    <d v="2025-12-28T00:00:00"/>
    <d v="2025-12-31T00:00:00"/>
    <x v="1"/>
    <s v="Q4"/>
    <x v="11"/>
    <x v="6"/>
    <x v="3"/>
    <x v="0"/>
    <x v="1"/>
    <x v="3"/>
    <x v="2"/>
    <n v="3"/>
    <n v="79"/>
    <n v="2440"/>
    <n v="0"/>
    <n v="3"/>
    <s v="Recovered"/>
    <n v="1"/>
  </r>
  <r>
    <s v="ADM-245560"/>
    <d v="2025-12-28T00:00:00"/>
    <d v="2025-12-29T00:00:00"/>
    <x v="1"/>
    <s v="Q4"/>
    <x v="11"/>
    <x v="6"/>
    <x v="2"/>
    <x v="2"/>
    <x v="0"/>
    <x v="1"/>
    <x v="1"/>
    <n v="1"/>
    <m/>
    <n v="1434"/>
    <n v="0"/>
    <n v="3"/>
    <s v="Recovered"/>
    <n v="1"/>
  </r>
  <r>
    <s v="ADM-245561"/>
    <d v="2025-12-28T00:00:00"/>
    <d v="2025-12-30T00:00:00"/>
    <x v="1"/>
    <s v="Q4"/>
    <x v="11"/>
    <x v="6"/>
    <x v="3"/>
    <x v="0"/>
    <x v="0"/>
    <x v="3"/>
    <x v="2"/>
    <n v="2"/>
    <n v="28"/>
    <n v="1808"/>
    <n v="0"/>
    <n v="4"/>
    <s v="Recovered"/>
    <n v="1"/>
  </r>
  <r>
    <s v="ADM-245562"/>
    <d v="2025-12-28T00:00:00"/>
    <d v="2026-01-06T00:00:00"/>
    <x v="1"/>
    <s v="Q4"/>
    <x v="11"/>
    <x v="6"/>
    <x v="4"/>
    <x v="2"/>
    <x v="1"/>
    <x v="4"/>
    <x v="0"/>
    <n v="9"/>
    <m/>
    <n v="9460"/>
    <n v="0"/>
    <n v="4"/>
    <s v="Recovered"/>
    <n v="1"/>
  </r>
  <r>
    <s v="ADM-245563"/>
    <d v="2025-12-28T00:00:00"/>
    <d v="2026-01-13T00:00:00"/>
    <x v="1"/>
    <s v="Q4"/>
    <x v="11"/>
    <x v="6"/>
    <x v="0"/>
    <x v="0"/>
    <x v="1"/>
    <x v="4"/>
    <x v="2"/>
    <n v="16"/>
    <n v="44"/>
    <n v="10094"/>
    <n v="1"/>
    <n v="3"/>
    <s v="Recovered"/>
    <n v="1"/>
  </r>
  <r>
    <s v="ADM-245564"/>
    <d v="2025-12-28T00:00:00"/>
    <d v="2026-01-03T00:00:00"/>
    <x v="1"/>
    <s v="Q4"/>
    <x v="11"/>
    <x v="6"/>
    <x v="5"/>
    <x v="2"/>
    <x v="1"/>
    <x v="2"/>
    <x v="2"/>
    <n v="6"/>
    <m/>
    <n v="4068"/>
    <n v="0"/>
    <n v="5"/>
    <s v="Recovered"/>
    <n v="1"/>
  </r>
  <r>
    <s v="ADM-245565"/>
    <d v="2025-12-28T00:00:00"/>
    <d v="2026-01-07T00:00:00"/>
    <x v="1"/>
    <s v="Q4"/>
    <x v="11"/>
    <x v="6"/>
    <x v="1"/>
    <x v="2"/>
    <x v="0"/>
    <x v="0"/>
    <x v="2"/>
    <n v="10"/>
    <m/>
    <n v="10398"/>
    <n v="0"/>
    <n v="5"/>
    <s v="Improved"/>
    <n v="1"/>
  </r>
  <r>
    <s v="ADM-245566"/>
    <d v="2025-12-28T00:00:00"/>
    <d v="2026-01-06T00:00:00"/>
    <x v="1"/>
    <s v="Q4"/>
    <x v="11"/>
    <x v="6"/>
    <x v="5"/>
    <x v="2"/>
    <x v="0"/>
    <x v="0"/>
    <x v="2"/>
    <n v="9"/>
    <m/>
    <n v="6026"/>
    <n v="1"/>
    <n v="3"/>
    <s v="Improved"/>
    <n v="1"/>
  </r>
  <r>
    <s v="ADM-245567"/>
    <d v="2025-12-29T00:00:00"/>
    <d v="2026-01-04T00:00:00"/>
    <x v="1"/>
    <s v="Q4"/>
    <x v="11"/>
    <x v="0"/>
    <x v="3"/>
    <x v="2"/>
    <x v="0"/>
    <x v="3"/>
    <x v="0"/>
    <n v="6"/>
    <m/>
    <n v="5386"/>
    <n v="1"/>
    <n v="4"/>
    <s v="Improved"/>
    <n v="1"/>
  </r>
  <r>
    <s v="ADM-245568"/>
    <d v="2025-12-29T00:00:00"/>
    <d v="2026-01-13T00:00:00"/>
    <x v="1"/>
    <s v="Q4"/>
    <x v="11"/>
    <x v="0"/>
    <x v="0"/>
    <x v="0"/>
    <x v="1"/>
    <x v="0"/>
    <x v="0"/>
    <n v="15"/>
    <n v="60"/>
    <n v="9004"/>
    <n v="0"/>
    <n v="4"/>
    <s v="Deceased"/>
    <n v="1"/>
  </r>
  <r>
    <s v="ADM-245569"/>
    <d v="2025-12-29T00:00:00"/>
    <d v="2026-01-07T00:00:00"/>
    <x v="1"/>
    <s v="Q4"/>
    <x v="11"/>
    <x v="0"/>
    <x v="0"/>
    <x v="0"/>
    <x v="0"/>
    <x v="2"/>
    <x v="2"/>
    <n v="9"/>
    <n v="159"/>
    <n v="5655"/>
    <n v="1"/>
    <n v="3"/>
    <s v="Recovered"/>
    <n v="1"/>
  </r>
  <r>
    <s v="ADM-245570"/>
    <d v="2025-12-29T00:00:00"/>
    <d v="2026-01-08T00:00:00"/>
    <x v="1"/>
    <s v="Q4"/>
    <x v="11"/>
    <x v="0"/>
    <x v="4"/>
    <x v="0"/>
    <x v="1"/>
    <x v="4"/>
    <x v="1"/>
    <n v="10"/>
    <n v="30"/>
    <n v="14809"/>
    <n v="0"/>
    <n v="4"/>
    <s v="Improved"/>
    <n v="1"/>
  </r>
  <r>
    <s v="ADM-245571"/>
    <d v="2025-12-29T00:00:00"/>
    <d v="2026-01-05T00:00:00"/>
    <x v="1"/>
    <s v="Q4"/>
    <x v="11"/>
    <x v="0"/>
    <x v="2"/>
    <x v="0"/>
    <x v="0"/>
    <x v="1"/>
    <x v="2"/>
    <n v="7"/>
    <n v="77"/>
    <n v="5871"/>
    <n v="0"/>
    <n v="4"/>
    <s v="Recovered"/>
    <n v="1"/>
  </r>
  <r>
    <s v="ADM-245572"/>
    <d v="2025-12-29T00:00:00"/>
    <d v="2025-12-31T00:00:00"/>
    <x v="1"/>
    <s v="Q4"/>
    <x v="11"/>
    <x v="0"/>
    <x v="5"/>
    <x v="0"/>
    <x v="1"/>
    <x v="4"/>
    <x v="0"/>
    <n v="2"/>
    <n v="45"/>
    <n v="3284"/>
    <n v="0"/>
    <n v="4"/>
    <s v="Recovered"/>
    <n v="1"/>
  </r>
  <r>
    <s v="ADM-245573"/>
    <d v="2025-12-29T00:00:00"/>
    <d v="2026-01-08T00:00:00"/>
    <x v="1"/>
    <s v="Q4"/>
    <x v="11"/>
    <x v="0"/>
    <x v="5"/>
    <x v="2"/>
    <x v="0"/>
    <x v="1"/>
    <x v="2"/>
    <n v="10"/>
    <m/>
    <n v="5872"/>
    <n v="0"/>
    <n v="5"/>
    <s v="Recovered"/>
    <n v="1"/>
  </r>
  <r>
    <s v="ADM-245574"/>
    <d v="2025-12-30T00:00:00"/>
    <d v="2026-01-05T00:00:00"/>
    <x v="1"/>
    <s v="Q4"/>
    <x v="11"/>
    <x v="1"/>
    <x v="0"/>
    <x v="2"/>
    <x v="0"/>
    <x v="2"/>
    <x v="0"/>
    <n v="6"/>
    <m/>
    <n v="3851"/>
    <n v="0"/>
    <n v="5"/>
    <s v="Recovered"/>
    <n v="1"/>
  </r>
  <r>
    <s v="ADM-245575"/>
    <d v="2025-12-30T00:00:00"/>
    <d v="2026-01-01T00:00:00"/>
    <x v="1"/>
    <s v="Q4"/>
    <x v="11"/>
    <x v="1"/>
    <x v="3"/>
    <x v="0"/>
    <x v="0"/>
    <x v="3"/>
    <x v="2"/>
    <n v="2"/>
    <n v="39"/>
    <n v="1995"/>
    <n v="0"/>
    <n v="5"/>
    <s v="Recovered"/>
    <n v="1"/>
  </r>
  <r>
    <s v="ADM-245576"/>
    <d v="2025-12-30T00:00:00"/>
    <d v="2026-01-02T00:00:00"/>
    <x v="1"/>
    <s v="Q4"/>
    <x v="11"/>
    <x v="1"/>
    <x v="3"/>
    <x v="1"/>
    <x v="0"/>
    <x v="3"/>
    <x v="2"/>
    <n v="3"/>
    <m/>
    <n v="2612"/>
    <n v="1"/>
    <n v="4"/>
    <s v="Improved"/>
    <n v="1"/>
  </r>
  <r>
    <s v="ADM-245577"/>
    <d v="2025-12-30T00:00:00"/>
    <d v="2026-01-15T00:00:00"/>
    <x v="1"/>
    <s v="Q4"/>
    <x v="11"/>
    <x v="1"/>
    <x v="0"/>
    <x v="0"/>
    <x v="0"/>
    <x v="0"/>
    <x v="2"/>
    <n v="16"/>
    <n v="58"/>
    <n v="10488"/>
    <n v="0"/>
    <n v="4"/>
    <s v="Improved"/>
    <n v="1"/>
  </r>
  <r>
    <s v="ADM-245578"/>
    <d v="2025-12-30T00:00:00"/>
    <d v="2026-01-02T00:00:00"/>
    <x v="1"/>
    <s v="Q4"/>
    <x v="11"/>
    <x v="1"/>
    <x v="3"/>
    <x v="0"/>
    <x v="1"/>
    <x v="3"/>
    <x v="2"/>
    <n v="3"/>
    <n v="71"/>
    <n v="2469"/>
    <n v="0"/>
    <n v="4"/>
    <s v="Transferred"/>
    <n v="1"/>
  </r>
  <r>
    <s v="ADM-245579"/>
    <d v="2025-12-30T00:00:00"/>
    <d v="2025-12-31T00:00:00"/>
    <x v="1"/>
    <s v="Q4"/>
    <x v="11"/>
    <x v="1"/>
    <x v="5"/>
    <x v="2"/>
    <x v="0"/>
    <x v="2"/>
    <x v="2"/>
    <n v="1"/>
    <m/>
    <n v="2005"/>
    <n v="1"/>
    <n v="3"/>
    <s v="Improved"/>
    <n v="1"/>
  </r>
  <r>
    <s v="ADM-245580"/>
    <d v="2025-12-30T00:00:00"/>
    <d v="2026-01-03T00:00:00"/>
    <x v="1"/>
    <s v="Q4"/>
    <x v="11"/>
    <x v="1"/>
    <x v="2"/>
    <x v="0"/>
    <x v="0"/>
    <x v="2"/>
    <x v="2"/>
    <n v="4"/>
    <n v="64"/>
    <n v="3657"/>
    <n v="0"/>
    <n v="3"/>
    <s v="Recovered"/>
    <n v="1"/>
  </r>
  <r>
    <s v="ADM-245581"/>
    <d v="2025-12-30T00:00:00"/>
    <d v="2025-12-31T00:00:00"/>
    <x v="1"/>
    <s v="Q4"/>
    <x v="11"/>
    <x v="1"/>
    <x v="1"/>
    <x v="2"/>
    <x v="0"/>
    <x v="4"/>
    <x v="0"/>
    <n v="1"/>
    <m/>
    <n v="1281"/>
    <n v="0"/>
    <n v="5"/>
    <s v="Improved"/>
    <n v="1"/>
  </r>
  <r>
    <s v="ADM-245582"/>
    <d v="2025-12-30T00:00:00"/>
    <d v="2026-01-04T00:00:00"/>
    <x v="1"/>
    <s v="Q4"/>
    <x v="11"/>
    <x v="1"/>
    <x v="5"/>
    <x v="2"/>
    <x v="1"/>
    <x v="4"/>
    <x v="2"/>
    <n v="5"/>
    <m/>
    <n v="6610"/>
    <n v="0"/>
    <n v="5"/>
    <s v="Recovered"/>
    <n v="1"/>
  </r>
  <r>
    <s v="ADM-245583"/>
    <d v="2025-12-30T00:00:00"/>
    <d v="2026-01-02T00:00:00"/>
    <x v="1"/>
    <s v="Q4"/>
    <x v="11"/>
    <x v="1"/>
    <x v="3"/>
    <x v="2"/>
    <x v="1"/>
    <x v="3"/>
    <x v="2"/>
    <n v="3"/>
    <m/>
    <n v="2269"/>
    <n v="0"/>
    <n v="4"/>
    <s v="Recovered"/>
    <n v="1"/>
  </r>
  <r>
    <s v="ADM-245584"/>
    <d v="2025-12-30T00:00:00"/>
    <d v="2026-01-04T00:00:00"/>
    <x v="1"/>
    <s v="Q4"/>
    <x v="11"/>
    <x v="1"/>
    <x v="2"/>
    <x v="0"/>
    <x v="0"/>
    <x v="1"/>
    <x v="2"/>
    <n v="5"/>
    <n v="72"/>
    <n v="4312"/>
    <n v="0"/>
    <n v="3"/>
    <s v="Improved"/>
    <n v="1"/>
  </r>
  <r>
    <s v="ADM-245585"/>
    <d v="2025-12-30T00:00:00"/>
    <d v="2026-01-10T00:00:00"/>
    <x v="1"/>
    <s v="Q4"/>
    <x v="11"/>
    <x v="1"/>
    <x v="4"/>
    <x v="0"/>
    <x v="0"/>
    <x v="2"/>
    <x v="2"/>
    <n v="11"/>
    <n v="17"/>
    <n v="15417"/>
    <n v="0"/>
    <n v="4"/>
    <s v="Recovered"/>
    <n v="1"/>
  </r>
  <r>
    <s v="ADM-245586"/>
    <d v="2025-12-30T00:00:00"/>
    <d v="2026-01-07T00:00:00"/>
    <x v="1"/>
    <s v="Q4"/>
    <x v="11"/>
    <x v="1"/>
    <x v="1"/>
    <x v="2"/>
    <x v="1"/>
    <x v="1"/>
    <x v="0"/>
    <n v="8"/>
    <m/>
    <n v="8738"/>
    <n v="0"/>
    <n v="4"/>
    <s v="Recovered"/>
    <n v="1"/>
  </r>
  <r>
    <s v="ADM-245587"/>
    <d v="2025-12-31T00:00:00"/>
    <d v="2026-01-05T00:00:00"/>
    <x v="1"/>
    <s v="Q4"/>
    <x v="11"/>
    <x v="2"/>
    <x v="4"/>
    <x v="0"/>
    <x v="0"/>
    <x v="0"/>
    <x v="0"/>
    <n v="5"/>
    <n v="111"/>
    <n v="7349"/>
    <n v="0"/>
    <n v="3"/>
    <s v="Improved"/>
    <n v="1"/>
  </r>
  <r>
    <s v="ADM-245588"/>
    <d v="2025-12-31T00:00:00"/>
    <d v="2026-01-11T00:00:00"/>
    <x v="1"/>
    <s v="Q4"/>
    <x v="11"/>
    <x v="2"/>
    <x v="4"/>
    <x v="0"/>
    <x v="0"/>
    <x v="0"/>
    <x v="2"/>
    <n v="11"/>
    <n v="56"/>
    <n v="16187"/>
    <n v="1"/>
    <n v="4"/>
    <s v="Improved"/>
    <n v="1"/>
  </r>
  <r>
    <s v="ADM-245589"/>
    <d v="2025-12-31T00:00:00"/>
    <d v="2026-01-09T00:00:00"/>
    <x v="1"/>
    <s v="Q4"/>
    <x v="11"/>
    <x v="2"/>
    <x v="1"/>
    <x v="2"/>
    <x v="1"/>
    <x v="1"/>
    <x v="0"/>
    <n v="9"/>
    <m/>
    <n v="6128"/>
    <n v="1"/>
    <n v="3"/>
    <s v="Transferred"/>
    <n v="1"/>
  </r>
  <r>
    <s v="ADM-245590"/>
    <d v="2025-12-31T00:00:00"/>
    <d v="2026-01-04T00:00:00"/>
    <x v="1"/>
    <s v="Q4"/>
    <x v="11"/>
    <x v="2"/>
    <x v="1"/>
    <x v="2"/>
    <x v="0"/>
    <x v="0"/>
    <x v="0"/>
    <n v="4"/>
    <m/>
    <n v="4913"/>
    <n v="1"/>
    <n v="3"/>
    <s v="Recovered"/>
    <n v="1"/>
  </r>
  <r>
    <s v="ADM-245591"/>
    <d v="2025-12-31T00:00:00"/>
    <d v="2026-01-02T00:00:00"/>
    <x v="1"/>
    <s v="Q4"/>
    <x v="11"/>
    <x v="2"/>
    <x v="2"/>
    <x v="2"/>
    <x v="0"/>
    <x v="1"/>
    <x v="2"/>
    <n v="2"/>
    <m/>
    <n v="2137"/>
    <n v="1"/>
    <n v="5"/>
    <s v="Recovered"/>
    <n v="1"/>
  </r>
  <r>
    <s v="ADM-245592"/>
    <d v="2025-12-31T00:00:00"/>
    <d v="2026-01-13T00:00:00"/>
    <x v="1"/>
    <s v="Q4"/>
    <x v="11"/>
    <x v="2"/>
    <x v="0"/>
    <x v="1"/>
    <x v="1"/>
    <x v="4"/>
    <x v="2"/>
    <n v="13"/>
    <m/>
    <n v="6892"/>
    <n v="0"/>
    <n v="3"/>
    <s v="Improved"/>
    <n v="1"/>
  </r>
  <r>
    <s v="ADM-245593"/>
    <d v="2025-12-31T00:00:00"/>
    <d v="2026-01-03T00:00:00"/>
    <x v="1"/>
    <s v="Q4"/>
    <x v="11"/>
    <x v="2"/>
    <x v="3"/>
    <x v="0"/>
    <x v="1"/>
    <x v="3"/>
    <x v="1"/>
    <n v="3"/>
    <n v="53"/>
    <n v="2186"/>
    <n v="1"/>
    <n v="5"/>
    <s v="Transferred"/>
    <n v="1"/>
  </r>
  <r>
    <s v="ADM-245594"/>
    <d v="2025-12-31T00:00:00"/>
    <d v="2026-01-01T00:00:00"/>
    <x v="1"/>
    <s v="Q4"/>
    <x v="11"/>
    <x v="2"/>
    <x v="2"/>
    <x v="2"/>
    <x v="0"/>
    <x v="2"/>
    <x v="0"/>
    <n v="1"/>
    <m/>
    <n v="1320"/>
    <n v="0"/>
    <n v="4"/>
    <s v="Recovered"/>
    <n v="1"/>
  </r>
  <r>
    <s v="ADM-245595"/>
    <d v="2025-12-31T00:00:00"/>
    <d v="2026-01-07T00:00:00"/>
    <x v="1"/>
    <s v="Q4"/>
    <x v="11"/>
    <x v="2"/>
    <x v="4"/>
    <x v="0"/>
    <x v="1"/>
    <x v="1"/>
    <x v="2"/>
    <n v="7"/>
    <n v="184"/>
    <n v="7875"/>
    <n v="0"/>
    <n v="4"/>
    <s v="Improved"/>
    <n v="1"/>
  </r>
  <r>
    <s v="ADM-245596"/>
    <d v="2025-12-31T00:00:00"/>
    <d v="2026-01-10T00:00:00"/>
    <x v="1"/>
    <s v="Q4"/>
    <x v="11"/>
    <x v="2"/>
    <x v="4"/>
    <x v="0"/>
    <x v="0"/>
    <x v="4"/>
    <x v="1"/>
    <n v="10"/>
    <n v="109"/>
    <n v="14601"/>
    <n v="0"/>
    <n v="4"/>
    <s v="Recovered"/>
    <n v="1"/>
  </r>
  <r>
    <s v="ADM-245597"/>
    <d v="2025-12-31T00:00:00"/>
    <d v="2026-01-05T00:00:00"/>
    <x v="1"/>
    <s v="Q4"/>
    <x v="11"/>
    <x v="2"/>
    <x v="3"/>
    <x v="2"/>
    <x v="0"/>
    <x v="3"/>
    <x v="2"/>
    <n v="5"/>
    <m/>
    <n v="3112"/>
    <n v="0"/>
    <n v="5"/>
    <s v="Improved"/>
    <n v="1"/>
  </r>
  <r>
    <s v="ADM-245598"/>
    <d v="2025-12-31T00:00:00"/>
    <d v="2026-01-10T00:00:00"/>
    <x v="1"/>
    <s v="Q4"/>
    <x v="11"/>
    <x v="2"/>
    <x v="4"/>
    <x v="1"/>
    <x v="0"/>
    <x v="0"/>
    <x v="2"/>
    <n v="10"/>
    <m/>
    <n v="11045"/>
    <n v="0"/>
    <n v="3"/>
    <s v="Recovered"/>
    <n v="1"/>
  </r>
  <r>
    <s v="ADM-245599"/>
    <d v="2025-12-31T00:00:00"/>
    <d v="2026-01-04T00:00:00"/>
    <x v="1"/>
    <s v="Q4"/>
    <x v="11"/>
    <x v="2"/>
    <x v="0"/>
    <x v="0"/>
    <x v="0"/>
    <x v="4"/>
    <x v="0"/>
    <n v="4"/>
    <n v="42"/>
    <n v="2823"/>
    <n v="0"/>
    <n v="4"/>
    <s v="Recovered"/>
    <n v="1"/>
  </r>
  <r>
    <s v="ADM-245600"/>
    <d v="2025-12-31T00:00:00"/>
    <d v="2026-01-11T00:00:00"/>
    <x v="1"/>
    <s v="Q4"/>
    <x v="11"/>
    <x v="2"/>
    <x v="0"/>
    <x v="0"/>
    <x v="0"/>
    <x v="1"/>
    <x v="2"/>
    <n v="11"/>
    <n v="139"/>
    <n v="7745"/>
    <n v="0"/>
    <n v="3"/>
    <s v="Recovered"/>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537E5-511E-4ED6-A761-5FF7B6CF455E}" name="ptWait" cacheId="16"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V5:Y14" firstHeaderRow="1" firstDataRow="2" firstDataCol="1"/>
  <pivotFields count="20">
    <pivotField compact="0" outline="0" showAll="0"/>
    <pivotField compact="0" numFmtId="165" outline="0" showAll="0"/>
    <pivotField compact="0" numFmtId="165" outline="0" showAll="0"/>
    <pivotField axis="axisCol" compact="0" outline="0" showAll="0" defaultSubtotal="0">
      <items count="2">
        <item x="0"/>
        <item x="1"/>
      </items>
    </pivotField>
    <pivotField compact="0" outline="0" showAll="0"/>
    <pivotField compact="0" outline="0" showAll="0"/>
    <pivotField axis="axisRow" compact="0" outline="0" showAll="0" defaultSubtotal="0">
      <items count="7">
        <item x="6"/>
        <item x="0"/>
        <item x="1"/>
        <item x="2"/>
        <item x="3"/>
        <item x="4"/>
        <item x="5"/>
      </items>
    </pivotField>
    <pivotField compact="0" outline="0" showAll="0">
      <items count="7">
        <item x="4"/>
        <item x="1"/>
        <item x="0"/>
        <item x="2"/>
        <item x="5"/>
        <item x="3"/>
        <item t="default"/>
      </items>
    </pivotField>
    <pivotField compact="0" outline="0" showAll="0"/>
    <pivotField compact="0" outline="0" showAll="0">
      <items count="3">
        <item x="0"/>
        <item x="1"/>
        <item t="default"/>
      </items>
    </pivotField>
    <pivotField compact="0" outline="0" showAll="0">
      <items count="6">
        <item x="3"/>
        <item x="2"/>
        <item x="1"/>
        <item x="4"/>
        <item x="0"/>
        <item t="default"/>
      </items>
    </pivotField>
    <pivotField compact="0" outline="0" showAll="0">
      <items count="4">
        <item x="0"/>
        <item x="2"/>
        <item x="1"/>
        <item t="default"/>
      </items>
    </pivotField>
    <pivotField compact="0" outline="0" showAll="0"/>
    <pivotField dataField="1" compact="0"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6"/>
  </rowFields>
  <rowItems count="8">
    <i>
      <x/>
    </i>
    <i>
      <x v="1"/>
    </i>
    <i>
      <x v="2"/>
    </i>
    <i>
      <x v="3"/>
    </i>
    <i>
      <x v="4"/>
    </i>
    <i>
      <x v="5"/>
    </i>
    <i>
      <x v="6"/>
    </i>
    <i t="grand">
      <x/>
    </i>
  </rowItems>
  <colFields count="1">
    <field x="3"/>
  </colFields>
  <colItems count="3">
    <i>
      <x/>
    </i>
    <i>
      <x v="1"/>
    </i>
    <i t="grand">
      <x/>
    </i>
  </colItems>
  <dataFields count="1">
    <dataField name="Avg ER Wait " fld="13" subtotal="average" baseField="0" baseItem="0" numFmtId="1"/>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24E5A-45A5-4B58-A3F4-90DD52C54A47}" name="ptReadmit" cacheId="16"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S5:T11" firstHeaderRow="1" firstDataRow="1" firstDataCol="1"/>
  <pivotFields count="20">
    <pivotField compact="0" outline="0" showAll="0"/>
    <pivotField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items count="7">
        <item x="4"/>
        <item x="1"/>
        <item x="0"/>
        <item x="2"/>
        <item x="5"/>
        <item x="3"/>
        <item t="default"/>
      </items>
    </pivotField>
    <pivotField compact="0" outline="0" showAll="0"/>
    <pivotField compact="0" outline="0" showAll="0">
      <items count="3">
        <item x="0"/>
        <item x="1"/>
        <item t="default"/>
      </items>
    </pivotField>
    <pivotField axis="axisRow" compact="0" outline="0" showAll="0" defaultSubtotal="0">
      <items count="5">
        <item x="3"/>
        <item x="2"/>
        <item x="1"/>
        <item x="4"/>
        <item x="0"/>
      </items>
    </pivotField>
    <pivotField compact="0" outline="0" showAll="0">
      <items count="4">
        <item x="0"/>
        <item x="2"/>
        <item x="1"/>
        <item t="default"/>
      </items>
    </pivotField>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10"/>
  </rowFields>
  <rowItems count="6">
    <i>
      <x/>
    </i>
    <i>
      <x v="1"/>
    </i>
    <i>
      <x v="2"/>
    </i>
    <i>
      <x v="3"/>
    </i>
    <i>
      <x v="4"/>
    </i>
    <i t="grand">
      <x/>
    </i>
  </rowItems>
  <colItems count="1">
    <i/>
  </colItems>
  <dataFields count="1">
    <dataField name="Readmission " fld="19"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66341-A867-4760-B756-EAE2F37E828D}" name="ptMix" cacheId="16" applyNumberFormats="0" applyBorderFormats="0" applyFontFormats="0" applyPatternFormats="0" applyAlignmentFormats="0" applyWidthHeightFormats="1" dataCaption="Values" updatedVersion="8" minRefreshableVersion="3" rowGrandTotals="0" colGrandTotals="0" itemPrintTitles="1" createdVersion="5" indent="0" compact="0" compactData="0" multipleFieldFilters="0" chartFormat="1">
  <location ref="N5:Q9" firstHeaderRow="1" firstDataRow="2" firstDataCol="1"/>
  <pivotFields count="20">
    <pivotField compact="0" outline="0" showAll="0"/>
    <pivotField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items count="7">
        <item x="4"/>
        <item x="1"/>
        <item x="0"/>
        <item x="2"/>
        <item x="5"/>
        <item x="3"/>
        <item t="default"/>
      </items>
    </pivotField>
    <pivotField axis="axisCol" compact="0" outline="0" showAll="0" defaultSubtotal="0">
      <items count="3">
        <item x="2"/>
        <item x="0"/>
        <item x="1"/>
      </items>
    </pivotField>
    <pivotField compact="0" outline="0" showAll="0">
      <items count="3">
        <item x="0"/>
        <item x="1"/>
        <item t="default"/>
      </items>
    </pivotField>
    <pivotField compact="0" outline="0" showAll="0">
      <items count="6">
        <item x="3"/>
        <item x="2"/>
        <item x="1"/>
        <item x="4"/>
        <item x="0"/>
        <item t="default"/>
      </items>
    </pivotField>
    <pivotField axis="axisRow" compact="0" outline="0" showAll="0" defaultSubtotal="0">
      <items count="3">
        <item x="0"/>
        <item x="2"/>
        <item x="1"/>
      </items>
    </pivotField>
    <pivotField compact="0" outline="0" showAll="0"/>
    <pivotField compact="0" outline="0" showAll="0"/>
    <pivotField compact="0" numFmtId="166"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11"/>
  </rowFields>
  <rowItems count="3">
    <i>
      <x/>
    </i>
    <i>
      <x v="1"/>
    </i>
    <i>
      <x v="2"/>
    </i>
  </rowItems>
  <colFields count="1">
    <field x="8"/>
  </colFields>
  <colItems count="3">
    <i>
      <x/>
    </i>
    <i>
      <x v="1"/>
    </i>
    <i>
      <x v="2"/>
    </i>
  </colItems>
  <dataFields count="1">
    <dataField name="Admissions " fld="18" baseField="0" baseItem="0" numFmtId="3"/>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DAF123-67D5-4B7C-BE55-76E4B06819F1}" name="ptLOS" cacheId="16"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K5:L12" firstHeaderRow="1" firstDataRow="1" firstDataCol="1"/>
  <pivotFields count="20">
    <pivotField compact="0" outline="0" showAll="0"/>
    <pivotField compact="0" numFmtId="165" outline="0" showAll="0"/>
    <pivotField compact="0" numFmtId="165" outline="0" showAll="0"/>
    <pivotField compact="0" outline="0" showAll="0"/>
    <pivotField compact="0" outline="0" showAll="0"/>
    <pivotField compact="0" outline="0" showAll="0"/>
    <pivotField compact="0" outline="0" showAll="0"/>
    <pivotField axis="axisRow" compact="0" outline="0" showAll="0" sortType="descending" defaultSubtotal="0">
      <items count="6">
        <item x="4"/>
        <item x="1"/>
        <item x="0"/>
        <item x="2"/>
        <item x="5"/>
        <item x="3"/>
      </items>
      <autoSortScope>
        <pivotArea dataOnly="0" outline="0" fieldPosition="0">
          <references count="1">
            <reference field="4294967294" count="1" selected="0">
              <x v="0"/>
            </reference>
          </references>
        </pivotArea>
      </autoSortScope>
    </pivotField>
    <pivotField compact="0" outline="0" showAll="0"/>
    <pivotField compact="0" outline="0" showAll="0">
      <items count="3">
        <item x="0"/>
        <item x="1"/>
        <item t="default"/>
      </items>
    </pivotField>
    <pivotField compact="0" outline="0" showAll="0">
      <items count="6">
        <item x="3"/>
        <item x="2"/>
        <item x="1"/>
        <item x="4"/>
        <item x="0"/>
        <item t="default"/>
      </items>
    </pivotField>
    <pivotField compact="0" outline="0" showAll="0">
      <items count="4">
        <item x="0"/>
        <item x="2"/>
        <item x="1"/>
        <item t="default"/>
      </items>
    </pivotField>
    <pivotField dataField="1"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7"/>
  </rowFields>
  <rowItems count="7">
    <i>
      <x v="2"/>
    </i>
    <i>
      <x/>
    </i>
    <i>
      <x v="1"/>
    </i>
    <i>
      <x v="4"/>
    </i>
    <i>
      <x v="5"/>
    </i>
    <i>
      <x v="3"/>
    </i>
    <i t="grand">
      <x/>
    </i>
  </rowItems>
  <colItems count="1">
    <i/>
  </colItems>
  <dataFields count="1">
    <dataField name="Avg LOS " fld="12" subtotal="average"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D83011-A3BB-4099-A413-4EF7B6FB730E}" name="ptCombo" cacheId="16"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G5:I18" firstHeaderRow="0" firstDataRow="1" firstDataCol="1"/>
  <pivotFields count="20">
    <pivotField compact="0" outline="0" showAll="0"/>
    <pivotField compact="0" numFmtId="165" outline="0" showAll="0"/>
    <pivotField compact="0" numFmtId="165" outline="0" showAll="0"/>
    <pivotField compact="0" outline="0" showAll="0"/>
    <pivotField compact="0" outline="0" showAll="0"/>
    <pivotField axis="axisRow" compact="0" outline="0" showAll="0" defaultSubtotal="0">
      <items count="12">
        <item x="0"/>
        <item x="1"/>
        <item x="2"/>
        <item x="3"/>
        <item x="4"/>
        <item x="5"/>
        <item x="6"/>
        <item x="7"/>
        <item x="8"/>
        <item x="9"/>
        <item x="10"/>
        <item x="11"/>
      </items>
    </pivotField>
    <pivotField compact="0" outline="0" showAll="0"/>
    <pivotField compact="0" outline="0" showAll="0">
      <items count="7">
        <item x="4"/>
        <item x="1"/>
        <item x="0"/>
        <item x="2"/>
        <item x="5"/>
        <item x="3"/>
        <item t="default"/>
      </items>
    </pivotField>
    <pivotField compact="0" outline="0" showAll="0"/>
    <pivotField compact="0" outline="0" showAll="0">
      <items count="3">
        <item x="0"/>
        <item x="1"/>
        <item t="default"/>
      </items>
    </pivotField>
    <pivotField compact="0" outline="0" showAll="0">
      <items count="6">
        <item x="3"/>
        <item x="2"/>
        <item x="1"/>
        <item x="4"/>
        <item x="0"/>
        <item t="default"/>
      </items>
    </pivotField>
    <pivotField compact="0" outline="0" showAll="0">
      <items count="4">
        <item x="0"/>
        <item x="2"/>
        <item x="1"/>
        <item t="default"/>
      </items>
    </pivotField>
    <pivotField compact="0" outline="0" showAll="0"/>
    <pivotField dataField="1" compact="0" outline="0" showAll="0"/>
    <pivotField compact="0" numFmtId="166"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Admissions " fld="18" baseField="0" baseItem="0" numFmtId="3"/>
    <dataField name="Avg ER Wait " fld="13"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3B1D0F-CF1D-4A25-AFA3-16760FC28734}" name="ptKPI" cacheId="16" dataOnRows="1" applyNumberFormats="0" applyBorderFormats="0" applyFontFormats="0" applyPatternFormats="0" applyAlignmentFormats="0" applyWidthHeightFormats="1" dataCaption="Values" updatedVersion="8" minRefreshableVersion="3" itemPrintTitles="1" createdVersion="5" indent="0" compact="0" compactData="0" multipleFieldFilters="0">
  <location ref="B5:E11" firstHeaderRow="1" firstDataRow="2" firstDataCol="1"/>
  <pivotFields count="20">
    <pivotField compact="0" outline="0" showAll="0"/>
    <pivotField compact="0" numFmtId="165" outline="0" showAll="0"/>
    <pivotField compact="0" numFmtId="165" outline="0" showAll="0"/>
    <pivotField axis="axisCol" compact="0" outline="0" showAll="0" defaultSubtotal="0">
      <items count="2">
        <item x="0"/>
        <item x="1"/>
      </items>
    </pivotField>
    <pivotField compact="0" outline="0" showAll="0"/>
    <pivotField compact="0" outline="0" showAll="0"/>
    <pivotField compact="0" outline="0" showAll="0"/>
    <pivotField compact="0" outline="0" showAll="0">
      <items count="7">
        <item x="4"/>
        <item x="1"/>
        <item x="0"/>
        <item x="2"/>
        <item x="5"/>
        <item x="3"/>
        <item t="default"/>
      </items>
    </pivotField>
    <pivotField compact="0" outline="0" showAll="0"/>
    <pivotField compact="0" outline="0" showAll="0">
      <items count="3">
        <item x="0"/>
        <item x="1"/>
        <item t="default"/>
      </items>
    </pivotField>
    <pivotField compact="0" outline="0" showAll="0">
      <items count="6">
        <item x="3"/>
        <item x="2"/>
        <item x="1"/>
        <item x="4"/>
        <item x="0"/>
        <item t="default"/>
      </items>
    </pivotField>
    <pivotField compact="0" outline="0" showAll="0">
      <items count="4">
        <item x="0"/>
        <item x="2"/>
        <item x="1"/>
        <item t="default"/>
      </items>
    </pivotField>
    <pivotField dataField="1" compact="0" outline="0" showAll="0"/>
    <pivotField dataField="1" compact="0" outline="0" showAll="0"/>
    <pivotField compact="0" numFmtId="166" outline="0" showAll="0"/>
    <pivotField compact="0" outline="0" showAll="0"/>
    <pivotField dataField="1" compact="0" outline="0" showAll="0"/>
    <pivotField compact="0" outline="0" showAll="0"/>
    <pivotField dataField="1" compact="0" outline="0" showAll="0"/>
    <pivotField dataField="1" compact="0" outline="0" dragToRow="0" dragToCol="0" dragToPage="0" showAll="0" defaultSubtotal="0"/>
  </pivotFields>
  <rowFields count="1">
    <field x="-2"/>
  </rowFields>
  <rowItems count="5">
    <i>
      <x/>
    </i>
    <i i="1">
      <x v="1"/>
    </i>
    <i i="2">
      <x v="2"/>
    </i>
    <i i="3">
      <x v="3"/>
    </i>
    <i i="4">
      <x v="4"/>
    </i>
  </rowItems>
  <colFields count="1">
    <field x="3"/>
  </colFields>
  <colItems count="3">
    <i>
      <x/>
    </i>
    <i>
      <x v="1"/>
    </i>
    <i t="grand">
      <x/>
    </i>
  </colItems>
  <dataFields count="5">
    <dataField name="Admissions " fld="18" baseField="0" baseItem="0" numFmtId="3"/>
    <dataField name="Avg LOS " fld="12" subtotal="average" baseField="0" baseItem="0" numFmtId="2"/>
    <dataField name="Avg ER Wait " fld="13" subtotal="average" baseField="0" baseItem="0" numFmtId="167"/>
    <dataField name="Readmission " fld="19" baseField="0" baseItem="0" numFmtId="168"/>
    <dataField name="Satisfaction " fld="16" subtotal="average" baseField="0" baseItem="0" numFmtId="2"/>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A626454-CAC8-42B4-8DC8-D9C591986713}" sourceName="Department">
  <pivotTables>
    <pivotTable tabId="2" name="ptKPI"/>
    <pivotTable tabId="2" name="ptCombo"/>
    <pivotTable tabId="2" name="ptLOS"/>
    <pivotTable tabId="2" name="ptMix"/>
    <pivotTable tabId="2" name="ptReadmit"/>
    <pivotTable tabId="2" name="ptWait"/>
  </pivotTables>
  <data>
    <tabular pivotCacheId="1217947085">
      <items count="6">
        <i x="4" s="1"/>
        <i x="1" s="1"/>
        <i x="0"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7D5CC563-F66E-4F72-B726-196867FA9985}" sourceName="Insurance">
  <pivotTables>
    <pivotTable tabId="2" name="ptKPI"/>
    <pivotTable tabId="2" name="ptCombo"/>
    <pivotTable tabId="2" name="ptLOS"/>
    <pivotTable tabId="2" name="ptMix"/>
    <pivotTable tabId="2" name="ptReadmit"/>
    <pivotTable tabId="2" name="ptWait"/>
  </pivotTables>
  <data>
    <tabular pivotCacheId="12179470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3D9826DB-7735-4D29-A387-8837B17A5F2D}" sourceName="AgeGroup">
  <pivotTables>
    <pivotTable tabId="2" name="ptKPI"/>
    <pivotTable tabId="2" name="ptCombo"/>
    <pivotTable tabId="2" name="ptLOS"/>
    <pivotTable tabId="2" name="ptMix"/>
    <pivotTable tabId="2" name="ptReadmit"/>
    <pivotTable tabId="2" name="ptWait"/>
  </pivotTables>
  <data>
    <tabular pivotCacheId="1217947085">
      <items count="5">
        <i x="3" s="1"/>
        <i x="2"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5135C7-7530-4795-9FB4-739E0EACCC73}" sourceName="Gender">
  <pivotTables>
    <pivotTable tabId="2" name="ptKPI"/>
    <pivotTable tabId="2" name="ptCombo"/>
    <pivotTable tabId="2" name="ptLOS"/>
    <pivotTable tabId="2" name="ptMix"/>
    <pivotTable tabId="2" name="ptReadmit"/>
    <pivotTable tabId="2" name="ptWait"/>
  </pivotTables>
  <data>
    <tabular pivotCacheId="12179470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B7FA472-4D8A-4ADC-8320-7354EF066A60}" cache="Slicer_Department" caption="Department" rowHeight="215900"/>
  <slicer name="Insurance" xr10:uid="{BA2C25FB-558C-489F-8ADE-E2E982EDCD4E}" cache="Slicer_Insurance" caption="Insurance" rowHeight="215900"/>
  <slicer name="AgeGroup" xr10:uid="{5D451AD4-6577-488C-9A69-38406C99B9F8}" cache="Slicer_AgeGroup" caption="Age Group" rowHeight="215900"/>
  <slicer name="Gender" xr10:uid="{2C72F2CF-2425-452B-9391-5CBA65656BD8}" cache="Slicer_Gender" caption="Gender" rowHeight="2159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ta" displayName="tblData" ref="A1:S5601">
  <autoFilter ref="A1:S5601" xr:uid="{00000000-0009-0000-0100-000001000000}"/>
  <tableColumns count="19">
    <tableColumn id="1" xr3:uid="{00000000-0010-0000-0000-000001000000}" name="AdmissionID"/>
    <tableColumn id="2" xr3:uid="{00000000-0010-0000-0000-000002000000}" name="AdmissionDate"/>
    <tableColumn id="3" xr3:uid="{00000000-0010-0000-0000-000003000000}" name="DischargeDate"/>
    <tableColumn id="4" xr3:uid="{00000000-0010-0000-0000-000004000000}" name="Year"/>
    <tableColumn id="5" xr3:uid="{00000000-0010-0000-0000-000005000000}" name="Quarter"/>
    <tableColumn id="6" xr3:uid="{00000000-0010-0000-0000-000006000000}" name="Month"/>
    <tableColumn id="7" xr3:uid="{00000000-0010-0000-0000-000007000000}" name="ArrivalDay"/>
    <tableColumn id="8" xr3:uid="{00000000-0010-0000-0000-000008000000}" name="Department"/>
    <tableColumn id="9" xr3:uid="{00000000-0010-0000-0000-000009000000}" name="AdmissionType"/>
    <tableColumn id="10" xr3:uid="{00000000-0010-0000-0000-00000A000000}" name="Gender"/>
    <tableColumn id="11" xr3:uid="{00000000-0010-0000-0000-00000B000000}" name="AgeGroup"/>
    <tableColumn id="12" xr3:uid="{00000000-0010-0000-0000-00000C000000}" name="Insurance"/>
    <tableColumn id="13" xr3:uid="{00000000-0010-0000-0000-00000D000000}" name="LengthOfStay"/>
    <tableColumn id="14" xr3:uid="{00000000-0010-0000-0000-00000E000000}" name="ERWaitMinutes"/>
    <tableColumn id="15" xr3:uid="{00000000-0010-0000-0000-00000F000000}" name="TreatmentCost"/>
    <tableColumn id="16" xr3:uid="{00000000-0010-0000-0000-000010000000}" name="Readmitted30"/>
    <tableColumn id="17" xr3:uid="{00000000-0010-0000-0000-000011000000}" name="Satisfaction"/>
    <tableColumn id="18" xr3:uid="{00000000-0010-0000-0000-000012000000}" name="Outcome"/>
    <tableColumn id="19" xr3:uid="{00000000-0010-0000-0000-000013000000}" name="Admiss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83344"/>
      </a:dk2>
      <a:lt2>
        <a:srgbClr val="EEECE1"/>
      </a:lt2>
      <a:accent1>
        <a:srgbClr val="0D9488"/>
      </a:accent1>
      <a:accent2>
        <a:srgbClr val="F97316"/>
      </a:accent2>
      <a:accent3>
        <a:srgbClr val="3B82F6"/>
      </a:accent3>
      <a:accent4>
        <a:srgbClr val="E11D48"/>
      </a:accent4>
      <a:accent5>
        <a:srgbClr val="8B5CF6"/>
      </a:accent5>
      <a:accent6>
        <a:srgbClr val="64748B"/>
      </a:accent6>
      <a:hlink>
        <a:srgbClr val="0000FF"/>
      </a:hlink>
      <a:folHlink>
        <a:srgbClr val="800080"/>
      </a:folHlink>
    </a:clrScheme>
    <a:fontScheme name="Office">
      <a:majorFont>
        <a:latin typeface="Segoe U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Segoe U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83344"/>
    <pageSetUpPr fitToPage="1"/>
  </sheetPr>
  <dimension ref="A1:BP55"/>
  <sheetViews>
    <sheetView showGridLines="0" showRowColHeaders="0" tabSelected="1" zoomScale="90" zoomScaleNormal="90" workbookViewId="0"/>
  </sheetViews>
  <sheetFormatPr defaultRowHeight="12" x14ac:dyDescent="0.2"/>
  <cols>
    <col min="1" max="74" width="2.75" style="19" customWidth="1"/>
    <col min="75" max="16384" width="9" style="19"/>
  </cols>
  <sheetData>
    <row r="1" spans="1:68" ht="15" customHeight="1" x14ac:dyDescent="0.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row>
    <row r="2" spans="1:68" ht="26.1" customHeight="1" x14ac:dyDescent="0.6">
      <c r="A2" s="20"/>
      <c r="B2" s="21" t="s">
        <v>5665</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4" t="s">
        <v>5732</v>
      </c>
      <c r="BP2" s="20"/>
    </row>
    <row r="3" spans="1:68" ht="15" customHeight="1" x14ac:dyDescent="0.25">
      <c r="A3" s="20"/>
      <c r="B3" s="22" t="s">
        <v>5747</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5" t="s">
        <v>5748</v>
      </c>
      <c r="BP3" s="20"/>
    </row>
    <row r="4" spans="1:68" ht="5.0999999999999996" customHeight="1" x14ac:dyDescent="0.2">
      <c r="A4" s="20"/>
      <c r="B4" s="23"/>
      <c r="C4" s="23"/>
      <c r="D4" s="23"/>
      <c r="E4" s="23"/>
      <c r="F4" s="23"/>
      <c r="G4" s="23"/>
      <c r="H4" s="23"/>
      <c r="I4" s="23"/>
      <c r="J4" s="23"/>
      <c r="K4" s="23"/>
      <c r="L4" s="23"/>
      <c r="M4" s="23"/>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row>
    <row r="5" spans="1:68" ht="3" customHeight="1" x14ac:dyDescent="0.2">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row>
    <row r="6" spans="1:68" ht="15" customHeight="1"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row>
    <row r="7" spans="1:68" ht="15" customHeight="1" x14ac:dyDescent="0.25">
      <c r="A7" s="20"/>
      <c r="B7" s="37" t="s">
        <v>5750</v>
      </c>
      <c r="C7" s="38"/>
      <c r="D7" s="38"/>
      <c r="E7" s="38"/>
      <c r="F7" s="38"/>
      <c r="G7" s="38"/>
      <c r="H7" s="38"/>
      <c r="I7" s="38"/>
      <c r="J7" s="38"/>
      <c r="K7" s="20"/>
      <c r="L7" s="37" t="s">
        <v>5751</v>
      </c>
      <c r="M7" s="38"/>
      <c r="N7" s="38"/>
      <c r="O7" s="38"/>
      <c r="P7" s="38"/>
      <c r="Q7" s="38"/>
      <c r="R7" s="38"/>
      <c r="S7" s="38"/>
      <c r="T7" s="38"/>
      <c r="U7" s="20"/>
      <c r="V7" s="37" t="s">
        <v>5752</v>
      </c>
      <c r="W7" s="38"/>
      <c r="X7" s="38"/>
      <c r="Y7" s="38"/>
      <c r="Z7" s="38"/>
      <c r="AA7" s="38"/>
      <c r="AB7" s="38"/>
      <c r="AC7" s="38"/>
      <c r="AD7" s="38"/>
      <c r="AE7" s="20"/>
      <c r="AF7" s="37" t="s">
        <v>5753</v>
      </c>
      <c r="AG7" s="38"/>
      <c r="AH7" s="38"/>
      <c r="AI7" s="38"/>
      <c r="AJ7" s="38"/>
      <c r="AK7" s="38"/>
      <c r="AL7" s="38"/>
      <c r="AM7" s="38"/>
      <c r="AN7" s="38"/>
      <c r="AO7" s="20"/>
      <c r="AP7" s="37" t="s">
        <v>5754</v>
      </c>
      <c r="AQ7" s="38"/>
      <c r="AR7" s="38"/>
      <c r="AS7" s="38"/>
      <c r="AT7" s="38"/>
      <c r="AU7" s="38"/>
      <c r="AV7" s="38"/>
      <c r="AW7" s="38"/>
      <c r="AX7" s="38"/>
      <c r="AY7" s="20"/>
      <c r="AZ7" s="20"/>
      <c r="BA7" s="20"/>
      <c r="BB7" s="20"/>
      <c r="BC7" s="34" t="s">
        <v>5749</v>
      </c>
      <c r="BD7" s="28"/>
      <c r="BE7" s="28"/>
      <c r="BF7" s="28"/>
      <c r="BG7" s="28"/>
      <c r="BH7" s="28"/>
      <c r="BI7" s="28"/>
      <c r="BJ7" s="28"/>
      <c r="BK7" s="28"/>
      <c r="BL7" s="28"/>
      <c r="BM7" s="28"/>
      <c r="BN7" s="31"/>
      <c r="BO7" s="20"/>
      <c r="BP7" s="20"/>
    </row>
    <row r="8" spans="1:68" ht="15" customHeight="1" x14ac:dyDescent="0.2">
      <c r="A8" s="20"/>
      <c r="B8" s="35">
        <f>IFERROR(GETPIVOTDATA("Admissions ",Pivots!$B$5,"Year",2025),0)</f>
        <v>2872</v>
      </c>
      <c r="C8" s="35"/>
      <c r="D8" s="35"/>
      <c r="E8" s="35"/>
      <c r="F8" s="35"/>
      <c r="G8" s="35"/>
      <c r="H8" s="35"/>
      <c r="I8" s="35"/>
      <c r="J8" s="35"/>
      <c r="K8" s="20"/>
      <c r="L8" s="39">
        <f>IFERROR(GETPIVOTDATA("Avg LOS ",Pivots!$B$5,"Year",2025),0)</f>
        <v>4.5786908077994433</v>
      </c>
      <c r="M8" s="39"/>
      <c r="N8" s="39"/>
      <c r="O8" s="39"/>
      <c r="P8" s="39"/>
      <c r="Q8" s="39"/>
      <c r="R8" s="39"/>
      <c r="S8" s="39"/>
      <c r="T8" s="39"/>
      <c r="U8" s="20"/>
      <c r="V8" s="40">
        <f>IFERROR(GETPIVOTDATA("Avg ER Wait ",Pivots!$B$5,"Year",2025),0)</f>
        <v>56.477160493827164</v>
      </c>
      <c r="W8" s="40"/>
      <c r="X8" s="40"/>
      <c r="Y8" s="40"/>
      <c r="Z8" s="40"/>
      <c r="AA8" s="40"/>
      <c r="AB8" s="40"/>
      <c r="AC8" s="40"/>
      <c r="AD8" s="40"/>
      <c r="AE8" s="20"/>
      <c r="AF8" s="41">
        <f>IFERROR(GETPIVOTDATA("Readmission ",Pivots!$B$5,"Year",2025),0)</f>
        <v>0.1048050139275766</v>
      </c>
      <c r="AG8" s="41"/>
      <c r="AH8" s="41"/>
      <c r="AI8" s="41"/>
      <c r="AJ8" s="41"/>
      <c r="AK8" s="41"/>
      <c r="AL8" s="41"/>
      <c r="AM8" s="41"/>
      <c r="AN8" s="41"/>
      <c r="AO8" s="20"/>
      <c r="AP8" s="43">
        <f>IFERROR(GETPIVOTDATA("Satisfaction ",Pivots!$B$5,"Year",2025),0)</f>
        <v>4.1103760445682456</v>
      </c>
      <c r="AQ8" s="43"/>
      <c r="AR8" s="43"/>
      <c r="AS8" s="43"/>
      <c r="AT8" s="43"/>
      <c r="AU8" s="43"/>
      <c r="AV8" s="43"/>
      <c r="AW8" s="43"/>
      <c r="AX8" s="43"/>
      <c r="AY8" s="20"/>
      <c r="AZ8" s="20"/>
      <c r="BA8" s="20"/>
      <c r="BB8" s="20"/>
      <c r="BC8" s="27"/>
      <c r="BD8" s="26"/>
      <c r="BE8" s="26"/>
      <c r="BF8" s="26"/>
      <c r="BG8" s="26"/>
      <c r="BH8" s="26"/>
      <c r="BI8" s="26"/>
      <c r="BJ8" s="26"/>
      <c r="BK8" s="26"/>
      <c r="BL8" s="26"/>
      <c r="BM8" s="26"/>
      <c r="BN8" s="32"/>
      <c r="BO8" s="20"/>
      <c r="BP8" s="20"/>
    </row>
    <row r="9" spans="1:68" ht="15" customHeight="1" x14ac:dyDescent="0.2">
      <c r="A9" s="20"/>
      <c r="B9" s="35"/>
      <c r="C9" s="35"/>
      <c r="D9" s="35"/>
      <c r="E9" s="35"/>
      <c r="F9" s="35"/>
      <c r="G9" s="35"/>
      <c r="H9" s="35"/>
      <c r="I9" s="35"/>
      <c r="J9" s="35"/>
      <c r="K9" s="20"/>
      <c r="L9" s="39"/>
      <c r="M9" s="39"/>
      <c r="N9" s="39"/>
      <c r="O9" s="39"/>
      <c r="P9" s="39"/>
      <c r="Q9" s="39"/>
      <c r="R9" s="39"/>
      <c r="S9" s="39"/>
      <c r="T9" s="39"/>
      <c r="U9" s="20"/>
      <c r="V9" s="40"/>
      <c r="W9" s="40"/>
      <c r="X9" s="40"/>
      <c r="Y9" s="40"/>
      <c r="Z9" s="40"/>
      <c r="AA9" s="40"/>
      <c r="AB9" s="40"/>
      <c r="AC9" s="40"/>
      <c r="AD9" s="40"/>
      <c r="AE9" s="20"/>
      <c r="AF9" s="41"/>
      <c r="AG9" s="41"/>
      <c r="AH9" s="41"/>
      <c r="AI9" s="41"/>
      <c r="AJ9" s="41"/>
      <c r="AK9" s="41"/>
      <c r="AL9" s="41"/>
      <c r="AM9" s="41"/>
      <c r="AN9" s="41"/>
      <c r="AO9" s="20"/>
      <c r="AP9" s="43"/>
      <c r="AQ9" s="43"/>
      <c r="AR9" s="43"/>
      <c r="AS9" s="43"/>
      <c r="AT9" s="43"/>
      <c r="AU9" s="43"/>
      <c r="AV9" s="43"/>
      <c r="AW9" s="43"/>
      <c r="AX9" s="43"/>
      <c r="AY9" s="20"/>
      <c r="AZ9" s="20"/>
      <c r="BA9" s="20"/>
      <c r="BB9" s="20"/>
      <c r="BC9" s="27"/>
      <c r="BD9" s="26"/>
      <c r="BE9" s="26"/>
      <c r="BF9" s="26"/>
      <c r="BG9" s="26"/>
      <c r="BH9" s="26"/>
      <c r="BI9" s="26"/>
      <c r="BJ9" s="26"/>
      <c r="BK9" s="26"/>
      <c r="BL9" s="26"/>
      <c r="BM9" s="26"/>
      <c r="BN9" s="32"/>
      <c r="BO9" s="20"/>
      <c r="BP9" s="20"/>
    </row>
    <row r="10" spans="1:68" ht="15" customHeight="1" x14ac:dyDescent="0.2">
      <c r="A10" s="20"/>
      <c r="B10" s="35"/>
      <c r="C10" s="35"/>
      <c r="D10" s="35"/>
      <c r="E10" s="35"/>
      <c r="F10" s="35"/>
      <c r="G10" s="35"/>
      <c r="H10" s="35"/>
      <c r="I10" s="35"/>
      <c r="J10" s="35"/>
      <c r="K10" s="20"/>
      <c r="L10" s="39"/>
      <c r="M10" s="39"/>
      <c r="N10" s="39"/>
      <c r="O10" s="39"/>
      <c r="P10" s="39"/>
      <c r="Q10" s="39"/>
      <c r="R10" s="39"/>
      <c r="S10" s="39"/>
      <c r="T10" s="39"/>
      <c r="U10" s="20"/>
      <c r="V10" s="40"/>
      <c r="W10" s="40"/>
      <c r="X10" s="40"/>
      <c r="Y10" s="40"/>
      <c r="Z10" s="40"/>
      <c r="AA10" s="40"/>
      <c r="AB10" s="40"/>
      <c r="AC10" s="40"/>
      <c r="AD10" s="40"/>
      <c r="AE10" s="20"/>
      <c r="AF10" s="41"/>
      <c r="AG10" s="41"/>
      <c r="AH10" s="41"/>
      <c r="AI10" s="41"/>
      <c r="AJ10" s="41"/>
      <c r="AK10" s="41"/>
      <c r="AL10" s="41"/>
      <c r="AM10" s="41"/>
      <c r="AN10" s="41"/>
      <c r="AO10" s="20"/>
      <c r="AP10" s="43"/>
      <c r="AQ10" s="43"/>
      <c r="AR10" s="43"/>
      <c r="AS10" s="43"/>
      <c r="AT10" s="43"/>
      <c r="AU10" s="43"/>
      <c r="AV10" s="43"/>
      <c r="AW10" s="43"/>
      <c r="AX10" s="43"/>
      <c r="AY10" s="20"/>
      <c r="AZ10" s="20"/>
      <c r="BA10" s="20"/>
      <c r="BB10" s="20"/>
      <c r="BC10" s="27"/>
      <c r="BD10" s="26"/>
      <c r="BE10" s="26"/>
      <c r="BF10" s="26"/>
      <c r="BG10" s="26"/>
      <c r="BH10" s="26"/>
      <c r="BI10" s="26"/>
      <c r="BJ10" s="26"/>
      <c r="BK10" s="26"/>
      <c r="BL10" s="26"/>
      <c r="BM10" s="26"/>
      <c r="BN10" s="32"/>
      <c r="BO10" s="20"/>
      <c r="BP10" s="20"/>
    </row>
    <row r="11" spans="1:68" ht="15" customHeight="1" x14ac:dyDescent="0.2">
      <c r="A11" s="20"/>
      <c r="B11" s="36">
        <f>IFERROR(GETPIVOTDATA("Admissions ",Pivots!$B$5,"Year",2025)/GETPIVOTDATA("Admissions ",Pivots!$B$5,"Year",2024)-1,"")</f>
        <v>5.2785923753665642E-2</v>
      </c>
      <c r="C11" s="36"/>
      <c r="D11" s="36"/>
      <c r="E11" s="36"/>
      <c r="F11" s="36"/>
      <c r="G11" s="36"/>
      <c r="H11" s="36"/>
      <c r="I11" s="36"/>
      <c r="J11" s="36"/>
      <c r="K11" s="20"/>
      <c r="L11" s="36">
        <f>IFERROR(GETPIVOTDATA("Avg LOS ",Pivots!$B$5,"Year",2025)/GETPIVOTDATA("Avg LOS ",Pivots!$B$5,"Year",2024)-1,"")</f>
        <v>-3.6161037271155161E-3</v>
      </c>
      <c r="M11" s="36"/>
      <c r="N11" s="36"/>
      <c r="O11" s="36"/>
      <c r="P11" s="36"/>
      <c r="Q11" s="36"/>
      <c r="R11" s="36"/>
      <c r="S11" s="36"/>
      <c r="T11" s="36"/>
      <c r="U11" s="20"/>
      <c r="V11" s="36">
        <f>IFERROR(GETPIVOTDATA("Avg ER Wait ",Pivots!$B$5,"Year",2025)/GETPIVOTDATA("Avg ER Wait ",Pivots!$B$5,"Year",2024)-1,"")</f>
        <v>-0.11727912663690643</v>
      </c>
      <c r="W11" s="36"/>
      <c r="X11" s="36"/>
      <c r="Y11" s="36"/>
      <c r="Z11" s="36"/>
      <c r="AA11" s="36"/>
      <c r="AB11" s="36"/>
      <c r="AC11" s="36"/>
      <c r="AD11" s="36"/>
      <c r="AE11" s="20"/>
      <c r="AF11" s="42">
        <f>IFERROR((GETPIVOTDATA("Readmission ",Pivots!$B$5,"Year",2025)-GETPIVOTDATA("Readmission ",Pivots!$B$5,"Year",2024))*100,"")</f>
        <v>-0.73650740489629851</v>
      </c>
      <c r="AG11" s="42"/>
      <c r="AH11" s="42"/>
      <c r="AI11" s="42"/>
      <c r="AJ11" s="42"/>
      <c r="AK11" s="42"/>
      <c r="AL11" s="42"/>
      <c r="AM11" s="42"/>
      <c r="AN11" s="42"/>
      <c r="AO11" s="20"/>
      <c r="AP11" s="36">
        <f>IFERROR(GETPIVOTDATA("Satisfaction ",Pivots!$B$5,"Year",2025)/GETPIVOTDATA("Satisfaction ",Pivots!$B$5,"Year",2024)-1,"")</f>
        <v>5.4793624087314807E-3</v>
      </c>
      <c r="AQ11" s="36"/>
      <c r="AR11" s="36"/>
      <c r="AS11" s="36"/>
      <c r="AT11" s="36"/>
      <c r="AU11" s="36"/>
      <c r="AV11" s="36"/>
      <c r="AW11" s="36"/>
      <c r="AX11" s="36"/>
      <c r="AY11" s="20"/>
      <c r="AZ11" s="20"/>
      <c r="BA11" s="20"/>
      <c r="BB11" s="20"/>
      <c r="BC11" s="27"/>
      <c r="BD11" s="26"/>
      <c r="BE11" s="26"/>
      <c r="BF11" s="26"/>
      <c r="BG11" s="26"/>
      <c r="BH11" s="26"/>
      <c r="BI11" s="26"/>
      <c r="BJ11" s="26"/>
      <c r="BK11" s="26"/>
      <c r="BL11" s="26"/>
      <c r="BM11" s="26"/>
      <c r="BN11" s="32"/>
      <c r="BO11" s="20"/>
      <c r="BP11" s="20"/>
    </row>
    <row r="12" spans="1:68" ht="15" customHeight="1" x14ac:dyDescent="0.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7"/>
      <c r="BD12" s="26"/>
      <c r="BE12" s="26"/>
      <c r="BF12" s="26"/>
      <c r="BG12" s="26"/>
      <c r="BH12" s="26"/>
      <c r="BI12" s="26"/>
      <c r="BJ12" s="26"/>
      <c r="BK12" s="26"/>
      <c r="BL12" s="26"/>
      <c r="BM12" s="26"/>
      <c r="BN12" s="32"/>
      <c r="BO12" s="20"/>
      <c r="BP12" s="20"/>
    </row>
    <row r="13" spans="1:68" ht="15" customHeight="1" x14ac:dyDescent="0.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7"/>
      <c r="BD13" s="26"/>
      <c r="BE13" s="26"/>
      <c r="BF13" s="26"/>
      <c r="BG13" s="26"/>
      <c r="BH13" s="26"/>
      <c r="BI13" s="26"/>
      <c r="BJ13" s="26"/>
      <c r="BK13" s="26"/>
      <c r="BL13" s="26"/>
      <c r="BM13" s="26"/>
      <c r="BN13" s="32"/>
      <c r="BO13" s="20"/>
      <c r="BP13" s="20"/>
    </row>
    <row r="14" spans="1:68" ht="15" customHeight="1"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7"/>
      <c r="BD14" s="26"/>
      <c r="BE14" s="26"/>
      <c r="BF14" s="26"/>
      <c r="BG14" s="26"/>
      <c r="BH14" s="26"/>
      <c r="BI14" s="26"/>
      <c r="BJ14" s="26"/>
      <c r="BK14" s="26"/>
      <c r="BL14" s="26"/>
      <c r="BM14" s="26"/>
      <c r="BN14" s="32"/>
      <c r="BO14" s="20"/>
      <c r="BP14" s="20"/>
    </row>
    <row r="15" spans="1:68" ht="15" customHeight="1" x14ac:dyDescent="0.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7"/>
      <c r="BD15" s="26"/>
      <c r="BE15" s="26"/>
      <c r="BF15" s="26"/>
      <c r="BG15" s="26"/>
      <c r="BH15" s="26"/>
      <c r="BI15" s="26"/>
      <c r="BJ15" s="26"/>
      <c r="BK15" s="26"/>
      <c r="BL15" s="26"/>
      <c r="BM15" s="26"/>
      <c r="BN15" s="32"/>
      <c r="BO15" s="20"/>
      <c r="BP15" s="20"/>
    </row>
    <row r="16" spans="1:68" ht="15" customHeight="1" x14ac:dyDescent="0.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7"/>
      <c r="BD16" s="26"/>
      <c r="BE16" s="26"/>
      <c r="BF16" s="26"/>
      <c r="BG16" s="26"/>
      <c r="BH16" s="26"/>
      <c r="BI16" s="26"/>
      <c r="BJ16" s="26"/>
      <c r="BK16" s="26"/>
      <c r="BL16" s="26"/>
      <c r="BM16" s="26"/>
      <c r="BN16" s="32"/>
      <c r="BO16" s="20"/>
      <c r="BP16" s="20"/>
    </row>
    <row r="17" spans="1:68" ht="15" customHeight="1" x14ac:dyDescent="0.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7"/>
      <c r="BD17" s="26"/>
      <c r="BE17" s="26"/>
      <c r="BF17" s="26"/>
      <c r="BG17" s="26"/>
      <c r="BH17" s="26"/>
      <c r="BI17" s="26"/>
      <c r="BJ17" s="26"/>
      <c r="BK17" s="26"/>
      <c r="BL17" s="26"/>
      <c r="BM17" s="26"/>
      <c r="BN17" s="32"/>
      <c r="BO17" s="20"/>
      <c r="BP17" s="20"/>
    </row>
    <row r="18" spans="1:68" ht="15" customHeight="1" x14ac:dyDescent="0.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7"/>
      <c r="BD18" s="26"/>
      <c r="BE18" s="26"/>
      <c r="BF18" s="26"/>
      <c r="BG18" s="26"/>
      <c r="BH18" s="26"/>
      <c r="BI18" s="26"/>
      <c r="BJ18" s="26"/>
      <c r="BK18" s="26"/>
      <c r="BL18" s="26"/>
      <c r="BM18" s="26"/>
      <c r="BN18" s="32"/>
      <c r="BO18" s="20"/>
      <c r="BP18" s="20"/>
    </row>
    <row r="19" spans="1:68" ht="15" customHeight="1" x14ac:dyDescent="0.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7"/>
      <c r="BD19" s="26"/>
      <c r="BE19" s="26"/>
      <c r="BF19" s="26"/>
      <c r="BG19" s="26"/>
      <c r="BH19" s="26"/>
      <c r="BI19" s="26"/>
      <c r="BJ19" s="26"/>
      <c r="BK19" s="26"/>
      <c r="BL19" s="26"/>
      <c r="BM19" s="26"/>
      <c r="BN19" s="32"/>
      <c r="BO19" s="20"/>
      <c r="BP19" s="20"/>
    </row>
    <row r="20" spans="1:68" ht="15" customHeight="1" x14ac:dyDescent="0.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7"/>
      <c r="BD20" s="26"/>
      <c r="BE20" s="26"/>
      <c r="BF20" s="26"/>
      <c r="BG20" s="26"/>
      <c r="BH20" s="26"/>
      <c r="BI20" s="26"/>
      <c r="BJ20" s="26"/>
      <c r="BK20" s="26"/>
      <c r="BL20" s="26"/>
      <c r="BM20" s="26"/>
      <c r="BN20" s="32"/>
      <c r="BO20" s="20"/>
      <c r="BP20" s="20"/>
    </row>
    <row r="21" spans="1:68" ht="15" customHeight="1" x14ac:dyDescent="0.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7"/>
      <c r="BD21" s="26"/>
      <c r="BE21" s="26"/>
      <c r="BF21" s="26"/>
      <c r="BG21" s="26"/>
      <c r="BH21" s="26"/>
      <c r="BI21" s="26"/>
      <c r="BJ21" s="26"/>
      <c r="BK21" s="26"/>
      <c r="BL21" s="26"/>
      <c r="BM21" s="26"/>
      <c r="BN21" s="32"/>
      <c r="BO21" s="20"/>
      <c r="BP21" s="20"/>
    </row>
    <row r="22" spans="1:68" ht="15"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7"/>
      <c r="BD22" s="26"/>
      <c r="BE22" s="26"/>
      <c r="BF22" s="26"/>
      <c r="BG22" s="26"/>
      <c r="BH22" s="26"/>
      <c r="BI22" s="26"/>
      <c r="BJ22" s="26"/>
      <c r="BK22" s="26"/>
      <c r="BL22" s="26"/>
      <c r="BM22" s="26"/>
      <c r="BN22" s="32"/>
      <c r="BO22" s="20"/>
      <c r="BP22" s="20"/>
    </row>
    <row r="23" spans="1:68" ht="15" customHeight="1"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7"/>
      <c r="BD23" s="26"/>
      <c r="BE23" s="26"/>
      <c r="BF23" s="26"/>
      <c r="BG23" s="26"/>
      <c r="BH23" s="26"/>
      <c r="BI23" s="26"/>
      <c r="BJ23" s="26"/>
      <c r="BK23" s="26"/>
      <c r="BL23" s="26"/>
      <c r="BM23" s="26"/>
      <c r="BN23" s="32"/>
      <c r="BO23" s="20"/>
      <c r="BP23" s="20"/>
    </row>
    <row r="24" spans="1:68" ht="15" customHeight="1"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7"/>
      <c r="BD24" s="26"/>
      <c r="BE24" s="26"/>
      <c r="BF24" s="26"/>
      <c r="BG24" s="26"/>
      <c r="BH24" s="26"/>
      <c r="BI24" s="26"/>
      <c r="BJ24" s="26"/>
      <c r="BK24" s="26"/>
      <c r="BL24" s="26"/>
      <c r="BM24" s="26"/>
      <c r="BN24" s="32"/>
      <c r="BO24" s="20"/>
      <c r="BP24" s="20"/>
    </row>
    <row r="25" spans="1:68" ht="15" customHeight="1"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7"/>
      <c r="BD25" s="26"/>
      <c r="BE25" s="26"/>
      <c r="BF25" s="26"/>
      <c r="BG25" s="26"/>
      <c r="BH25" s="26"/>
      <c r="BI25" s="26"/>
      <c r="BJ25" s="26"/>
      <c r="BK25" s="26"/>
      <c r="BL25" s="26"/>
      <c r="BM25" s="26"/>
      <c r="BN25" s="32"/>
      <c r="BO25" s="20"/>
      <c r="BP25" s="20"/>
    </row>
    <row r="26" spans="1:68" ht="1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7"/>
      <c r="BD26" s="26"/>
      <c r="BE26" s="26"/>
      <c r="BF26" s="26"/>
      <c r="BG26" s="26"/>
      <c r="BH26" s="26"/>
      <c r="BI26" s="26"/>
      <c r="BJ26" s="26"/>
      <c r="BK26" s="26"/>
      <c r="BL26" s="26"/>
      <c r="BM26" s="26"/>
      <c r="BN26" s="32"/>
      <c r="BO26" s="20"/>
      <c r="BP26" s="20"/>
    </row>
    <row r="27" spans="1:68" ht="1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7"/>
      <c r="BD27" s="26"/>
      <c r="BE27" s="26"/>
      <c r="BF27" s="26"/>
      <c r="BG27" s="26"/>
      <c r="BH27" s="26"/>
      <c r="BI27" s="26"/>
      <c r="BJ27" s="26"/>
      <c r="BK27" s="26"/>
      <c r="BL27" s="26"/>
      <c r="BM27" s="26"/>
      <c r="BN27" s="32"/>
      <c r="BO27" s="20"/>
      <c r="BP27" s="20"/>
    </row>
    <row r="28" spans="1:68" ht="1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7"/>
      <c r="BD28" s="26"/>
      <c r="BE28" s="26"/>
      <c r="BF28" s="26"/>
      <c r="BG28" s="26"/>
      <c r="BH28" s="26"/>
      <c r="BI28" s="26"/>
      <c r="BJ28" s="26"/>
      <c r="BK28" s="26"/>
      <c r="BL28" s="26"/>
      <c r="BM28" s="26"/>
      <c r="BN28" s="32"/>
      <c r="BO28" s="20"/>
      <c r="BP28" s="20"/>
    </row>
    <row r="29" spans="1:68" ht="1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7"/>
      <c r="BD29" s="26"/>
      <c r="BE29" s="26"/>
      <c r="BF29" s="26"/>
      <c r="BG29" s="26"/>
      <c r="BH29" s="26"/>
      <c r="BI29" s="26"/>
      <c r="BJ29" s="26"/>
      <c r="BK29" s="26"/>
      <c r="BL29" s="26"/>
      <c r="BM29" s="26"/>
      <c r="BN29" s="32"/>
      <c r="BO29" s="20"/>
      <c r="BP29" s="20"/>
    </row>
    <row r="30" spans="1:68" ht="1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7"/>
      <c r="BD30" s="26"/>
      <c r="BE30" s="26"/>
      <c r="BF30" s="26"/>
      <c r="BG30" s="26"/>
      <c r="BH30" s="26"/>
      <c r="BI30" s="26"/>
      <c r="BJ30" s="26"/>
      <c r="BK30" s="26"/>
      <c r="BL30" s="26"/>
      <c r="BM30" s="26"/>
      <c r="BN30" s="32"/>
      <c r="BO30" s="20"/>
      <c r="BP30" s="20"/>
    </row>
    <row r="31" spans="1:68" ht="1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7"/>
      <c r="BD31" s="26"/>
      <c r="BE31" s="26"/>
      <c r="BF31" s="26"/>
      <c r="BG31" s="26"/>
      <c r="BH31" s="26"/>
      <c r="BI31" s="26"/>
      <c r="BJ31" s="26"/>
      <c r="BK31" s="26"/>
      <c r="BL31" s="26"/>
      <c r="BM31" s="26"/>
      <c r="BN31" s="32"/>
      <c r="BO31" s="20"/>
      <c r="BP31" s="20"/>
    </row>
    <row r="32" spans="1:68" ht="1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7"/>
      <c r="BD32" s="26"/>
      <c r="BE32" s="26"/>
      <c r="BF32" s="26"/>
      <c r="BG32" s="26"/>
      <c r="BH32" s="26"/>
      <c r="BI32" s="26"/>
      <c r="BJ32" s="26"/>
      <c r="BK32" s="26"/>
      <c r="BL32" s="26"/>
      <c r="BM32" s="26"/>
      <c r="BN32" s="32"/>
      <c r="BO32" s="20"/>
      <c r="BP32" s="20"/>
    </row>
    <row r="33" spans="1:68" ht="1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7"/>
      <c r="BD33" s="26"/>
      <c r="BE33" s="26"/>
      <c r="BF33" s="26"/>
      <c r="BG33" s="26"/>
      <c r="BH33" s="26"/>
      <c r="BI33" s="26"/>
      <c r="BJ33" s="26"/>
      <c r="BK33" s="26"/>
      <c r="BL33" s="26"/>
      <c r="BM33" s="26"/>
      <c r="BN33" s="32"/>
      <c r="BO33" s="20"/>
      <c r="BP33" s="20"/>
    </row>
    <row r="34" spans="1:68" ht="1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7"/>
      <c r="BD34" s="26"/>
      <c r="BE34" s="26"/>
      <c r="BF34" s="26"/>
      <c r="BG34" s="26"/>
      <c r="BH34" s="26"/>
      <c r="BI34" s="26"/>
      <c r="BJ34" s="26"/>
      <c r="BK34" s="26"/>
      <c r="BL34" s="26"/>
      <c r="BM34" s="26"/>
      <c r="BN34" s="32"/>
      <c r="BO34" s="20"/>
      <c r="BP34" s="20"/>
    </row>
    <row r="35" spans="1:68" ht="1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7"/>
      <c r="BD35" s="26"/>
      <c r="BE35" s="26"/>
      <c r="BF35" s="26"/>
      <c r="BG35" s="26"/>
      <c r="BH35" s="26"/>
      <c r="BI35" s="26"/>
      <c r="BJ35" s="26"/>
      <c r="BK35" s="26"/>
      <c r="BL35" s="26"/>
      <c r="BM35" s="26"/>
      <c r="BN35" s="32"/>
      <c r="BO35" s="20"/>
      <c r="BP35" s="20"/>
    </row>
    <row r="36" spans="1:68" ht="1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7"/>
      <c r="BD36" s="26"/>
      <c r="BE36" s="26"/>
      <c r="BF36" s="26"/>
      <c r="BG36" s="26"/>
      <c r="BH36" s="26"/>
      <c r="BI36" s="26"/>
      <c r="BJ36" s="26"/>
      <c r="BK36" s="26"/>
      <c r="BL36" s="26"/>
      <c r="BM36" s="26"/>
      <c r="BN36" s="32"/>
      <c r="BO36" s="20"/>
      <c r="BP36" s="20"/>
    </row>
    <row r="37" spans="1:68" ht="1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7"/>
      <c r="BD37" s="26"/>
      <c r="BE37" s="26"/>
      <c r="BF37" s="26"/>
      <c r="BG37" s="26"/>
      <c r="BH37" s="26"/>
      <c r="BI37" s="26"/>
      <c r="BJ37" s="26"/>
      <c r="BK37" s="26"/>
      <c r="BL37" s="26"/>
      <c r="BM37" s="26"/>
      <c r="BN37" s="32"/>
      <c r="BO37" s="20"/>
      <c r="BP37" s="20"/>
    </row>
    <row r="38" spans="1:68" ht="1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7"/>
      <c r="BD38" s="26"/>
      <c r="BE38" s="26"/>
      <c r="BF38" s="26"/>
      <c r="BG38" s="26"/>
      <c r="BH38" s="26"/>
      <c r="BI38" s="26"/>
      <c r="BJ38" s="26"/>
      <c r="BK38" s="26"/>
      <c r="BL38" s="26"/>
      <c r="BM38" s="26"/>
      <c r="BN38" s="32"/>
      <c r="BO38" s="20"/>
      <c r="BP38" s="20"/>
    </row>
    <row r="39" spans="1:68" ht="1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7"/>
      <c r="BD39" s="26"/>
      <c r="BE39" s="26"/>
      <c r="BF39" s="26"/>
      <c r="BG39" s="26"/>
      <c r="BH39" s="26"/>
      <c r="BI39" s="26"/>
      <c r="BJ39" s="26"/>
      <c r="BK39" s="26"/>
      <c r="BL39" s="26"/>
      <c r="BM39" s="26"/>
      <c r="BN39" s="32"/>
      <c r="BO39" s="20"/>
      <c r="BP39" s="20"/>
    </row>
    <row r="40" spans="1:68" ht="1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7"/>
      <c r="BD40" s="26"/>
      <c r="BE40" s="26"/>
      <c r="BF40" s="26"/>
      <c r="BG40" s="26"/>
      <c r="BH40" s="26"/>
      <c r="BI40" s="26"/>
      <c r="BJ40" s="26"/>
      <c r="BK40" s="26"/>
      <c r="BL40" s="26"/>
      <c r="BM40" s="26"/>
      <c r="BN40" s="32"/>
      <c r="BO40" s="20"/>
      <c r="BP40" s="20"/>
    </row>
    <row r="41" spans="1:68" ht="1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7"/>
      <c r="BD41" s="26"/>
      <c r="BE41" s="26"/>
      <c r="BF41" s="26"/>
      <c r="BG41" s="26"/>
      <c r="BH41" s="26"/>
      <c r="BI41" s="26"/>
      <c r="BJ41" s="26"/>
      <c r="BK41" s="26"/>
      <c r="BL41" s="26"/>
      <c r="BM41" s="26"/>
      <c r="BN41" s="32"/>
      <c r="BO41" s="20"/>
      <c r="BP41" s="20"/>
    </row>
    <row r="42" spans="1:68" ht="1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7"/>
      <c r="BD42" s="26"/>
      <c r="BE42" s="26"/>
      <c r="BF42" s="26"/>
      <c r="BG42" s="26"/>
      <c r="BH42" s="26"/>
      <c r="BI42" s="26"/>
      <c r="BJ42" s="26"/>
      <c r="BK42" s="26"/>
      <c r="BL42" s="26"/>
      <c r="BM42" s="26"/>
      <c r="BN42" s="32"/>
      <c r="BO42" s="20"/>
      <c r="BP42" s="20"/>
    </row>
    <row r="43" spans="1:68" ht="1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7"/>
      <c r="BD43" s="26"/>
      <c r="BE43" s="26"/>
      <c r="BF43" s="26"/>
      <c r="BG43" s="26"/>
      <c r="BH43" s="26"/>
      <c r="BI43" s="26"/>
      <c r="BJ43" s="26"/>
      <c r="BK43" s="26"/>
      <c r="BL43" s="26"/>
      <c r="BM43" s="26"/>
      <c r="BN43" s="32"/>
      <c r="BO43" s="20"/>
      <c r="BP43" s="20"/>
    </row>
    <row r="44" spans="1:68" ht="1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7"/>
      <c r="BD44" s="26"/>
      <c r="BE44" s="26"/>
      <c r="BF44" s="26"/>
      <c r="BG44" s="26"/>
      <c r="BH44" s="26"/>
      <c r="BI44" s="26"/>
      <c r="BJ44" s="26"/>
      <c r="BK44" s="26"/>
      <c r="BL44" s="26"/>
      <c r="BM44" s="26"/>
      <c r="BN44" s="32"/>
      <c r="BO44" s="20"/>
      <c r="BP44" s="20"/>
    </row>
    <row r="45" spans="1:68" ht="1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7"/>
      <c r="BD45" s="26"/>
      <c r="BE45" s="26"/>
      <c r="BF45" s="26"/>
      <c r="BG45" s="26"/>
      <c r="BH45" s="26"/>
      <c r="BI45" s="26"/>
      <c r="BJ45" s="26"/>
      <c r="BK45" s="26"/>
      <c r="BL45" s="26"/>
      <c r="BM45" s="26"/>
      <c r="BN45" s="32"/>
      <c r="BO45" s="20"/>
      <c r="BP45" s="20"/>
    </row>
    <row r="46" spans="1:68" ht="1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7"/>
      <c r="BD46" s="26"/>
      <c r="BE46" s="26"/>
      <c r="BF46" s="26"/>
      <c r="BG46" s="26"/>
      <c r="BH46" s="26"/>
      <c r="BI46" s="26"/>
      <c r="BJ46" s="26"/>
      <c r="BK46" s="26"/>
      <c r="BL46" s="26"/>
      <c r="BM46" s="26"/>
      <c r="BN46" s="32"/>
      <c r="BO46" s="20"/>
      <c r="BP46" s="20"/>
    </row>
    <row r="47" spans="1:68" ht="1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9"/>
      <c r="BD47" s="30"/>
      <c r="BE47" s="30"/>
      <c r="BF47" s="30"/>
      <c r="BG47" s="30"/>
      <c r="BH47" s="30"/>
      <c r="BI47" s="30"/>
      <c r="BJ47" s="30"/>
      <c r="BK47" s="30"/>
      <c r="BL47" s="30"/>
      <c r="BM47" s="30"/>
      <c r="BN47" s="33"/>
      <c r="BO47" s="20"/>
      <c r="BP47" s="20"/>
    </row>
    <row r="48" spans="1:68" ht="1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row>
    <row r="49" spans="1:68" ht="15" customHeight="1" x14ac:dyDescent="0.2">
      <c r="A49" s="20"/>
      <c r="B49" s="44" t="s">
        <v>5755</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row>
    <row r="50" spans="1:68" ht="15" customHeight="1" x14ac:dyDescent="0.2"/>
    <row r="51" spans="1:68" ht="15" customHeight="1" x14ac:dyDescent="0.2"/>
    <row r="52" spans="1:68" ht="15" customHeight="1" x14ac:dyDescent="0.2"/>
    <row r="53" spans="1:68" ht="15" customHeight="1" x14ac:dyDescent="0.2"/>
    <row r="54" spans="1:68" ht="15" customHeight="1" x14ac:dyDescent="0.2"/>
    <row r="55" spans="1:68" ht="15" customHeight="1" x14ac:dyDescent="0.2"/>
  </sheetData>
  <mergeCells count="10">
    <mergeCell ref="AF8:AN10"/>
    <mergeCell ref="AF11:AN11"/>
    <mergeCell ref="AP8:AX10"/>
    <mergeCell ref="AP11:AX11"/>
    <mergeCell ref="B8:J10"/>
    <mergeCell ref="B11:J11"/>
    <mergeCell ref="L8:T10"/>
    <mergeCell ref="L11:T11"/>
    <mergeCell ref="V8:AD10"/>
    <mergeCell ref="V11:AD11"/>
  </mergeCells>
  <pageMargins left="0.75" right="0.75" top="1" bottom="1" header="0.5" footer="0.5"/>
  <pageSetup scale="6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8C8D"/>
  </sheetPr>
  <dimension ref="B1:Y18"/>
  <sheetViews>
    <sheetView workbookViewId="0"/>
  </sheetViews>
  <sheetFormatPr defaultRowHeight="16.5" x14ac:dyDescent="0.3"/>
  <cols>
    <col min="1" max="1" width="9" style="18"/>
    <col min="2" max="2" width="98.125" style="18" bestFit="1" customWidth="1"/>
    <col min="3" max="4" width="5.75" style="18" bestFit="1" customWidth="1"/>
    <col min="5" max="5" width="10.625" style="18" bestFit="1" customWidth="1"/>
    <col min="6" max="6" width="9" style="18"/>
    <col min="7" max="7" width="39.25" style="18" bestFit="1" customWidth="1"/>
    <col min="8" max="8" width="10.75" style="18" bestFit="1" customWidth="1"/>
    <col min="9" max="9" width="11.625" style="18" bestFit="1" customWidth="1"/>
    <col min="10" max="10" width="9" style="18"/>
    <col min="11" max="11" width="35.25" style="18" bestFit="1" customWidth="1"/>
    <col min="12" max="12" width="8.375" style="18" bestFit="1" customWidth="1"/>
    <col min="13" max="13" width="9" style="18"/>
    <col min="14" max="14" width="30.625" style="18" bestFit="1" customWidth="1"/>
    <col min="15" max="15" width="13.625" style="18" bestFit="1" customWidth="1"/>
    <col min="16" max="16" width="10" style="18" bestFit="1" customWidth="1"/>
    <col min="17" max="17" width="7.5" style="18" bestFit="1" customWidth="1"/>
    <col min="18" max="18" width="9" style="18"/>
    <col min="19" max="19" width="28.75" style="18" bestFit="1" customWidth="1"/>
    <col min="20" max="20" width="11.875" style="18" bestFit="1" customWidth="1"/>
    <col min="21" max="21" width="9" style="18"/>
    <col min="22" max="22" width="36.375" style="18" bestFit="1" customWidth="1"/>
    <col min="23" max="23" width="6.5" style="18" bestFit="1" customWidth="1"/>
    <col min="24" max="24" width="4.875" style="18" bestFit="1" customWidth="1"/>
    <col min="25" max="25" width="10.625" style="18" bestFit="1" customWidth="1"/>
    <col min="26" max="16384" width="9" style="18"/>
  </cols>
  <sheetData>
    <row r="1" spans="2:25" ht="17.25" x14ac:dyDescent="0.3">
      <c r="B1" s="11" t="s">
        <v>5733</v>
      </c>
    </row>
    <row r="3" spans="2:25" x14ac:dyDescent="0.3">
      <c r="B3" s="12" t="s">
        <v>5734</v>
      </c>
      <c r="G3" s="12" t="s">
        <v>5742</v>
      </c>
      <c r="K3" s="12" t="s">
        <v>5743</v>
      </c>
      <c r="N3" s="12" t="s">
        <v>5744</v>
      </c>
      <c r="S3" s="12" t="s">
        <v>5745</v>
      </c>
      <c r="V3" s="12" t="s">
        <v>5746</v>
      </c>
    </row>
    <row r="5" spans="2:25" x14ac:dyDescent="0.3">
      <c r="B5"/>
      <c r="C5" s="13" t="s">
        <v>3</v>
      </c>
      <c r="D5"/>
      <c r="E5"/>
      <c r="G5" s="13" t="s">
        <v>5</v>
      </c>
      <c r="H5" t="s">
        <v>5736</v>
      </c>
      <c r="I5" t="s">
        <v>5739</v>
      </c>
      <c r="K5" s="13" t="s">
        <v>7</v>
      </c>
      <c r="L5" t="s">
        <v>5738</v>
      </c>
      <c r="N5" s="13" t="s">
        <v>5736</v>
      </c>
      <c r="O5" s="13" t="s">
        <v>8</v>
      </c>
      <c r="P5"/>
      <c r="Q5"/>
      <c r="S5" s="13" t="s">
        <v>10</v>
      </c>
      <c r="T5" t="s">
        <v>5740</v>
      </c>
      <c r="V5" s="13" t="s">
        <v>5739</v>
      </c>
      <c r="W5" s="13" t="s">
        <v>3</v>
      </c>
      <c r="X5"/>
      <c r="Y5"/>
    </row>
    <row r="6" spans="2:25" x14ac:dyDescent="0.3">
      <c r="B6" s="13" t="s">
        <v>5737</v>
      </c>
      <c r="C6">
        <v>2024</v>
      </c>
      <c r="D6">
        <v>2025</v>
      </c>
      <c r="E6" t="s">
        <v>5735</v>
      </c>
      <c r="G6" t="s">
        <v>21</v>
      </c>
      <c r="H6" s="14">
        <v>617</v>
      </c>
      <c r="I6" s="2">
        <v>71.095652173913038</v>
      </c>
      <c r="K6" t="s">
        <v>23</v>
      </c>
      <c r="L6" s="16">
        <v>6.38483547925608</v>
      </c>
      <c r="N6" s="13" t="s">
        <v>11</v>
      </c>
      <c r="O6" t="s">
        <v>40</v>
      </c>
      <c r="P6" t="s">
        <v>24</v>
      </c>
      <c r="Q6" t="s">
        <v>31</v>
      </c>
      <c r="S6" t="s">
        <v>41</v>
      </c>
      <c r="T6" s="17">
        <v>6.4804469273743018E-2</v>
      </c>
      <c r="V6" s="13" t="s">
        <v>6</v>
      </c>
      <c r="W6">
        <v>2024</v>
      </c>
      <c r="X6">
        <v>2025</v>
      </c>
      <c r="Y6" t="s">
        <v>5735</v>
      </c>
    </row>
    <row r="7" spans="2:25" x14ac:dyDescent="0.3">
      <c r="B7" t="s">
        <v>5736</v>
      </c>
      <c r="C7" s="14">
        <v>2728</v>
      </c>
      <c r="D7" s="14">
        <v>2872</v>
      </c>
      <c r="E7" s="14">
        <v>5600</v>
      </c>
      <c r="G7" t="s">
        <v>351</v>
      </c>
      <c r="H7" s="14">
        <v>517</v>
      </c>
      <c r="I7" s="2">
        <v>72.971246006389777</v>
      </c>
      <c r="K7" t="s">
        <v>50</v>
      </c>
      <c r="L7" s="16">
        <v>5.6285362853628538</v>
      </c>
      <c r="N7" t="s">
        <v>27</v>
      </c>
      <c r="O7" s="14">
        <v>869</v>
      </c>
      <c r="P7" s="14">
        <v>1280</v>
      </c>
      <c r="Q7" s="14">
        <v>184</v>
      </c>
      <c r="S7" t="s">
        <v>36</v>
      </c>
      <c r="T7" s="17">
        <v>8.6073500967117994E-2</v>
      </c>
      <c r="V7" t="s">
        <v>112</v>
      </c>
      <c r="W7" s="2">
        <v>57.015228426395936</v>
      </c>
      <c r="X7" s="2">
        <v>50.293838862559241</v>
      </c>
      <c r="Y7" s="2">
        <v>53.53921568627451</v>
      </c>
    </row>
    <row r="8" spans="2:25" x14ac:dyDescent="0.3">
      <c r="B8" t="s">
        <v>5738</v>
      </c>
      <c r="C8" s="15">
        <v>4.5953079178885634</v>
      </c>
      <c r="D8" s="15">
        <v>4.5786908077994433</v>
      </c>
      <c r="E8" s="15">
        <v>4.586785714285714</v>
      </c>
      <c r="G8" t="s">
        <v>605</v>
      </c>
      <c r="H8" s="14">
        <v>472</v>
      </c>
      <c r="I8" s="2">
        <v>52.888888888888886</v>
      </c>
      <c r="K8" t="s">
        <v>30</v>
      </c>
      <c r="L8" s="16">
        <v>4.4537815126050422</v>
      </c>
      <c r="N8" t="s">
        <v>44</v>
      </c>
      <c r="O8" s="14">
        <v>944</v>
      </c>
      <c r="P8" s="14">
        <v>1482</v>
      </c>
      <c r="Q8" s="14">
        <v>171</v>
      </c>
      <c r="S8" t="s">
        <v>32</v>
      </c>
      <c r="T8" s="17">
        <v>8.844621513944223E-2</v>
      </c>
      <c r="V8" t="s">
        <v>22</v>
      </c>
      <c r="W8" s="2">
        <v>59.987854251012145</v>
      </c>
      <c r="X8" s="2">
        <v>52.656652360515018</v>
      </c>
      <c r="Y8" s="2">
        <v>56.429166666666667</v>
      </c>
    </row>
    <row r="9" spans="2:25" x14ac:dyDescent="0.3">
      <c r="B9" t="s">
        <v>5739</v>
      </c>
      <c r="C9" s="16">
        <v>63.980769230769234</v>
      </c>
      <c r="D9" s="16">
        <v>56.477160493827164</v>
      </c>
      <c r="E9" s="16">
        <v>60.094629156010228</v>
      </c>
      <c r="G9" t="s">
        <v>837</v>
      </c>
      <c r="H9" s="14">
        <v>472</v>
      </c>
      <c r="I9" s="2">
        <v>54.167910447761194</v>
      </c>
      <c r="K9" t="s">
        <v>52</v>
      </c>
      <c r="L9" s="16">
        <v>4.0045317220543808</v>
      </c>
      <c r="N9" t="s">
        <v>37</v>
      </c>
      <c r="O9" s="14">
        <v>265</v>
      </c>
      <c r="P9" s="14">
        <v>366</v>
      </c>
      <c r="Q9" s="14">
        <v>39</v>
      </c>
      <c r="S9" t="s">
        <v>53</v>
      </c>
      <c r="T9" s="17">
        <v>0.11254612546125461</v>
      </c>
      <c r="V9" t="s">
        <v>56</v>
      </c>
      <c r="W9" s="2">
        <v>57.323809523809523</v>
      </c>
      <c r="X9" s="2">
        <v>53.039130434782606</v>
      </c>
      <c r="Y9" s="2">
        <v>55.084090909090911</v>
      </c>
    </row>
    <row r="10" spans="2:25" x14ac:dyDescent="0.3">
      <c r="B10" t="s">
        <v>5740</v>
      </c>
      <c r="C10" s="17">
        <v>0.11217008797653959</v>
      </c>
      <c r="D10" s="17">
        <v>0.1048050139275766</v>
      </c>
      <c r="E10" s="17">
        <v>0.10839285714285714</v>
      </c>
      <c r="G10" t="s">
        <v>1062</v>
      </c>
      <c r="H10" s="14">
        <v>397</v>
      </c>
      <c r="I10" s="2">
        <v>56.493562231759654</v>
      </c>
      <c r="K10" t="s">
        <v>39</v>
      </c>
      <c r="L10" s="16">
        <v>3.1262569832402236</v>
      </c>
      <c r="S10" t="s">
        <v>26</v>
      </c>
      <c r="T10" s="17">
        <v>0.17042042042042041</v>
      </c>
      <c r="V10" t="s">
        <v>70</v>
      </c>
      <c r="W10" s="2">
        <v>65.42978723404255</v>
      </c>
      <c r="X10" s="2">
        <v>55.844827586206897</v>
      </c>
      <c r="Y10" s="2">
        <v>60.668094218415419</v>
      </c>
    </row>
    <row r="11" spans="2:25" x14ac:dyDescent="0.3">
      <c r="B11" t="s">
        <v>5741</v>
      </c>
      <c r="C11" s="15">
        <v>4.0879765395894427</v>
      </c>
      <c r="D11" s="15">
        <v>4.1103760445682456</v>
      </c>
      <c r="E11" s="15">
        <v>4.0994642857142853</v>
      </c>
      <c r="G11" t="s">
        <v>1264</v>
      </c>
      <c r="H11" s="14">
        <v>368</v>
      </c>
      <c r="I11" s="2">
        <v>54.190954773869343</v>
      </c>
      <c r="K11" t="s">
        <v>35</v>
      </c>
      <c r="L11" s="16">
        <v>2.8352272727272729</v>
      </c>
      <c r="S11" t="s">
        <v>5735</v>
      </c>
      <c r="T11" s="17">
        <v>0.10839285714285714</v>
      </c>
      <c r="V11" t="s">
        <v>78</v>
      </c>
      <c r="W11" s="2">
        <v>60.965346534653463</v>
      </c>
      <c r="X11" s="2">
        <v>50.38095238095238</v>
      </c>
      <c r="Y11" s="2">
        <v>55.318706697459582</v>
      </c>
    </row>
    <row r="12" spans="2:25" x14ac:dyDescent="0.3">
      <c r="G12" t="s">
        <v>1446</v>
      </c>
      <c r="H12" s="14">
        <v>408</v>
      </c>
      <c r="I12" s="2">
        <v>49.528138528138527</v>
      </c>
      <c r="K12" t="s">
        <v>5735</v>
      </c>
      <c r="L12" s="16">
        <v>4.586785714285714</v>
      </c>
      <c r="V12" t="s">
        <v>83</v>
      </c>
      <c r="W12" s="2">
        <v>73.097046413502113</v>
      </c>
      <c r="X12" s="2">
        <v>67.316205533596843</v>
      </c>
      <c r="Y12" s="2">
        <v>70.112244897959187</v>
      </c>
    </row>
    <row r="13" spans="2:25" x14ac:dyDescent="0.3">
      <c r="G13" t="s">
        <v>1651</v>
      </c>
      <c r="H13" s="14">
        <v>378</v>
      </c>
      <c r="I13" s="2">
        <v>57.408653846153847</v>
      </c>
      <c r="V13" t="s">
        <v>102</v>
      </c>
      <c r="W13" s="2">
        <v>74.338888888888889</v>
      </c>
      <c r="X13" s="2">
        <v>64.295652173913041</v>
      </c>
      <c r="Y13" s="2">
        <v>68.704878048780486</v>
      </c>
    </row>
    <row r="14" spans="2:25" x14ac:dyDescent="0.3">
      <c r="G14" t="s">
        <v>1821</v>
      </c>
      <c r="H14" s="14">
        <v>408</v>
      </c>
      <c r="I14" s="2">
        <v>54.333333333333336</v>
      </c>
      <c r="V14" t="s">
        <v>5735</v>
      </c>
      <c r="W14" s="2">
        <v>63.980769230769234</v>
      </c>
      <c r="X14" s="2">
        <v>56.477160493827164</v>
      </c>
      <c r="Y14" s="2">
        <v>60.094629156010228</v>
      </c>
    </row>
    <row r="15" spans="2:25" x14ac:dyDescent="0.3">
      <c r="G15" t="s">
        <v>2027</v>
      </c>
      <c r="H15" s="14">
        <v>477</v>
      </c>
      <c r="I15" s="2">
        <v>56.367816091954026</v>
      </c>
    </row>
    <row r="16" spans="2:25" x14ac:dyDescent="0.3">
      <c r="G16" t="s">
        <v>2260</v>
      </c>
      <c r="H16" s="14">
        <v>485</v>
      </c>
      <c r="I16" s="2">
        <v>52.707692307692305</v>
      </c>
    </row>
    <row r="17" spans="7:9" x14ac:dyDescent="0.3">
      <c r="G17" t="s">
        <v>2496</v>
      </c>
      <c r="H17" s="14">
        <v>601</v>
      </c>
      <c r="I17" s="2">
        <v>73.791304347826085</v>
      </c>
    </row>
    <row r="18" spans="7:9" x14ac:dyDescent="0.3">
      <c r="G18" t="s">
        <v>5735</v>
      </c>
      <c r="H18" s="14">
        <v>5600</v>
      </c>
      <c r="I18" s="2">
        <v>60.094629156010228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D9488"/>
  </sheetPr>
  <dimension ref="A1:S5601"/>
  <sheetViews>
    <sheetView workbookViewId="0">
      <pane ySplit="1" topLeftCell="A2" activePane="bottomLeft" state="frozen"/>
      <selection pane="bottomLeft"/>
    </sheetView>
  </sheetViews>
  <sheetFormatPr defaultRowHeight="15" x14ac:dyDescent="0.3"/>
  <cols>
    <col min="1" max="1" width="13.875" customWidth="1"/>
    <col min="2" max="3" width="15.875" customWidth="1"/>
    <col min="4" max="4" width="8.875" customWidth="1"/>
    <col min="5" max="5" width="9.875" customWidth="1"/>
    <col min="6" max="6" width="8.875" customWidth="1"/>
    <col min="7" max="7" width="12.875" customWidth="1"/>
    <col min="8" max="8" width="25.875" customWidth="1"/>
    <col min="9" max="9" width="15.875" customWidth="1"/>
    <col min="10" max="10" width="8.875" customWidth="1"/>
    <col min="11" max="11" width="10.875" customWidth="1"/>
    <col min="12" max="12" width="12.875" customWidth="1"/>
    <col min="13" max="13" width="14.875" customWidth="1"/>
    <col min="14" max="15" width="15.875" customWidth="1"/>
    <col min="16" max="17" width="14.875" customWidth="1"/>
    <col min="18" max="18" width="11.875" customWidth="1"/>
    <col min="19" max="19" width="12.875" customWidth="1"/>
  </cols>
  <sheetData>
    <row r="1" spans="1:19"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6.5" x14ac:dyDescent="0.3">
      <c r="A2" t="s">
        <v>19</v>
      </c>
      <c r="B2" s="1">
        <v>45292</v>
      </c>
      <c r="C2" s="1">
        <v>45302</v>
      </c>
      <c r="D2">
        <v>2024</v>
      </c>
      <c r="E2" t="s">
        <v>20</v>
      </c>
      <c r="F2" t="s">
        <v>21</v>
      </c>
      <c r="G2" t="s">
        <v>22</v>
      </c>
      <c r="H2" t="s">
        <v>23</v>
      </c>
      <c r="I2" t="s">
        <v>24</v>
      </c>
      <c r="J2" t="s">
        <v>25</v>
      </c>
      <c r="K2" t="s">
        <v>26</v>
      </c>
      <c r="L2" t="s">
        <v>27</v>
      </c>
      <c r="M2">
        <v>10</v>
      </c>
      <c r="N2" s="2">
        <v>24</v>
      </c>
      <c r="O2" s="3">
        <v>6234</v>
      </c>
      <c r="P2">
        <v>0</v>
      </c>
      <c r="Q2">
        <v>4</v>
      </c>
      <c r="R2" t="s">
        <v>28</v>
      </c>
      <c r="S2">
        <v>1</v>
      </c>
    </row>
    <row r="3" spans="1:19" ht="16.5" x14ac:dyDescent="0.3">
      <c r="A3" t="s">
        <v>29</v>
      </c>
      <c r="B3" s="1">
        <v>45292</v>
      </c>
      <c r="C3" s="1">
        <v>45296</v>
      </c>
      <c r="D3">
        <v>2024</v>
      </c>
      <c r="E3" t="s">
        <v>20</v>
      </c>
      <c r="F3" t="s">
        <v>21</v>
      </c>
      <c r="G3" t="s">
        <v>22</v>
      </c>
      <c r="H3" t="s">
        <v>30</v>
      </c>
      <c r="I3" t="s">
        <v>31</v>
      </c>
      <c r="J3" t="s">
        <v>25</v>
      </c>
      <c r="K3" t="s">
        <v>32</v>
      </c>
      <c r="L3" t="s">
        <v>27</v>
      </c>
      <c r="M3">
        <v>4</v>
      </c>
      <c r="N3" s="2"/>
      <c r="O3" s="3">
        <v>4429</v>
      </c>
      <c r="P3">
        <v>1</v>
      </c>
      <c r="Q3">
        <v>5</v>
      </c>
      <c r="R3" t="s">
        <v>33</v>
      </c>
      <c r="S3">
        <v>1</v>
      </c>
    </row>
    <row r="4" spans="1:19" ht="16.5" x14ac:dyDescent="0.3">
      <c r="A4" t="s">
        <v>34</v>
      </c>
      <c r="B4" s="1">
        <v>45292</v>
      </c>
      <c r="C4" s="1">
        <v>45296</v>
      </c>
      <c r="D4">
        <v>2024</v>
      </c>
      <c r="E4" t="s">
        <v>20</v>
      </c>
      <c r="F4" t="s">
        <v>21</v>
      </c>
      <c r="G4" t="s">
        <v>22</v>
      </c>
      <c r="H4" t="s">
        <v>35</v>
      </c>
      <c r="I4" t="s">
        <v>24</v>
      </c>
      <c r="J4" t="s">
        <v>25</v>
      </c>
      <c r="K4" t="s">
        <v>36</v>
      </c>
      <c r="L4" t="s">
        <v>37</v>
      </c>
      <c r="M4">
        <v>4</v>
      </c>
      <c r="N4" s="2">
        <v>63</v>
      </c>
      <c r="O4" s="3">
        <v>3307</v>
      </c>
      <c r="P4">
        <v>0</v>
      </c>
      <c r="Q4">
        <v>4</v>
      </c>
      <c r="R4" t="s">
        <v>33</v>
      </c>
      <c r="S4">
        <v>1</v>
      </c>
    </row>
    <row r="5" spans="1:19" ht="16.5" x14ac:dyDescent="0.3">
      <c r="A5" t="s">
        <v>38</v>
      </c>
      <c r="B5" s="1">
        <v>45292</v>
      </c>
      <c r="C5" s="1">
        <v>45293</v>
      </c>
      <c r="D5">
        <v>2024</v>
      </c>
      <c r="E5" t="s">
        <v>20</v>
      </c>
      <c r="F5" t="s">
        <v>21</v>
      </c>
      <c r="G5" t="s">
        <v>22</v>
      </c>
      <c r="H5" t="s">
        <v>39</v>
      </c>
      <c r="I5" t="s">
        <v>40</v>
      </c>
      <c r="J5" t="s">
        <v>25</v>
      </c>
      <c r="K5" t="s">
        <v>41</v>
      </c>
      <c r="L5" t="s">
        <v>37</v>
      </c>
      <c r="M5">
        <v>1</v>
      </c>
      <c r="N5" s="2"/>
      <c r="O5" s="3">
        <v>1638</v>
      </c>
      <c r="P5">
        <v>0</v>
      </c>
      <c r="Q5">
        <v>5</v>
      </c>
      <c r="R5" t="s">
        <v>33</v>
      </c>
      <c r="S5">
        <v>1</v>
      </c>
    </row>
    <row r="6" spans="1:19" ht="16.5" x14ac:dyDescent="0.3">
      <c r="A6" t="s">
        <v>42</v>
      </c>
      <c r="B6" s="1">
        <v>45292</v>
      </c>
      <c r="C6" s="1">
        <v>45296</v>
      </c>
      <c r="D6">
        <v>2024</v>
      </c>
      <c r="E6" t="s">
        <v>20</v>
      </c>
      <c r="F6" t="s">
        <v>21</v>
      </c>
      <c r="G6" t="s">
        <v>22</v>
      </c>
      <c r="H6" t="s">
        <v>30</v>
      </c>
      <c r="I6" t="s">
        <v>40</v>
      </c>
      <c r="J6" t="s">
        <v>43</v>
      </c>
      <c r="K6" t="s">
        <v>36</v>
      </c>
      <c r="L6" t="s">
        <v>44</v>
      </c>
      <c r="M6">
        <v>4</v>
      </c>
      <c r="N6" s="2"/>
      <c r="O6" s="3">
        <v>4111</v>
      </c>
      <c r="P6">
        <v>0</v>
      </c>
      <c r="Q6">
        <v>4</v>
      </c>
      <c r="R6" t="s">
        <v>28</v>
      </c>
      <c r="S6">
        <v>1</v>
      </c>
    </row>
    <row r="7" spans="1:19" ht="16.5" x14ac:dyDescent="0.3">
      <c r="A7" t="s">
        <v>45</v>
      </c>
      <c r="B7" s="1">
        <v>45292</v>
      </c>
      <c r="C7" s="1">
        <v>45293</v>
      </c>
      <c r="D7">
        <v>2024</v>
      </c>
      <c r="E7" t="s">
        <v>20</v>
      </c>
      <c r="F7" t="s">
        <v>21</v>
      </c>
      <c r="G7" t="s">
        <v>22</v>
      </c>
      <c r="H7" t="s">
        <v>35</v>
      </c>
      <c r="I7" t="s">
        <v>24</v>
      </c>
      <c r="J7" t="s">
        <v>25</v>
      </c>
      <c r="K7" t="s">
        <v>36</v>
      </c>
      <c r="L7" t="s">
        <v>27</v>
      </c>
      <c r="M7">
        <v>1</v>
      </c>
      <c r="N7" s="2">
        <v>184</v>
      </c>
      <c r="O7" s="3">
        <v>1591</v>
      </c>
      <c r="P7">
        <v>0</v>
      </c>
      <c r="Q7">
        <v>3</v>
      </c>
      <c r="R7" t="s">
        <v>28</v>
      </c>
      <c r="S7">
        <v>1</v>
      </c>
    </row>
    <row r="8" spans="1:19" ht="16.5" x14ac:dyDescent="0.3">
      <c r="A8" t="s">
        <v>46</v>
      </c>
      <c r="B8" s="1">
        <v>45292</v>
      </c>
      <c r="C8" s="1">
        <v>45299</v>
      </c>
      <c r="D8">
        <v>2024</v>
      </c>
      <c r="E8" t="s">
        <v>20</v>
      </c>
      <c r="F8" t="s">
        <v>21</v>
      </c>
      <c r="G8" t="s">
        <v>22</v>
      </c>
      <c r="H8" t="s">
        <v>23</v>
      </c>
      <c r="I8" t="s">
        <v>24</v>
      </c>
      <c r="J8" t="s">
        <v>25</v>
      </c>
      <c r="K8" t="s">
        <v>26</v>
      </c>
      <c r="L8" t="s">
        <v>27</v>
      </c>
      <c r="M8">
        <v>7</v>
      </c>
      <c r="N8" s="2">
        <v>71</v>
      </c>
      <c r="O8" s="3">
        <v>6926</v>
      </c>
      <c r="P8">
        <v>0</v>
      </c>
      <c r="Q8">
        <v>5</v>
      </c>
      <c r="R8" t="s">
        <v>33</v>
      </c>
      <c r="S8">
        <v>1</v>
      </c>
    </row>
    <row r="9" spans="1:19" ht="16.5" x14ac:dyDescent="0.3">
      <c r="A9" t="s">
        <v>47</v>
      </c>
      <c r="B9" s="1">
        <v>45292</v>
      </c>
      <c r="C9" s="1">
        <v>45293</v>
      </c>
      <c r="D9">
        <v>2024</v>
      </c>
      <c r="E9" t="s">
        <v>20</v>
      </c>
      <c r="F9" t="s">
        <v>21</v>
      </c>
      <c r="G9" t="s">
        <v>22</v>
      </c>
      <c r="H9" t="s">
        <v>39</v>
      </c>
      <c r="I9" t="s">
        <v>24</v>
      </c>
      <c r="J9" t="s">
        <v>25</v>
      </c>
      <c r="K9" t="s">
        <v>41</v>
      </c>
      <c r="L9" t="s">
        <v>27</v>
      </c>
      <c r="M9">
        <v>1</v>
      </c>
      <c r="N9" s="2">
        <v>76</v>
      </c>
      <c r="O9" s="3">
        <v>1190</v>
      </c>
      <c r="P9">
        <v>0</v>
      </c>
      <c r="Q9">
        <v>4</v>
      </c>
      <c r="R9" t="s">
        <v>28</v>
      </c>
      <c r="S9">
        <v>1</v>
      </c>
    </row>
    <row r="10" spans="1:19" ht="16.5" x14ac:dyDescent="0.3">
      <c r="A10" t="s">
        <v>48</v>
      </c>
      <c r="B10" s="1">
        <v>45292</v>
      </c>
      <c r="C10" s="1">
        <v>45294</v>
      </c>
      <c r="D10">
        <v>2024</v>
      </c>
      <c r="E10" t="s">
        <v>20</v>
      </c>
      <c r="F10" t="s">
        <v>21</v>
      </c>
      <c r="G10" t="s">
        <v>22</v>
      </c>
      <c r="H10" t="s">
        <v>35</v>
      </c>
      <c r="I10" t="s">
        <v>24</v>
      </c>
      <c r="J10" t="s">
        <v>25</v>
      </c>
      <c r="K10" t="s">
        <v>32</v>
      </c>
      <c r="L10" t="s">
        <v>44</v>
      </c>
      <c r="M10">
        <v>2</v>
      </c>
      <c r="N10" s="2">
        <v>40</v>
      </c>
      <c r="O10" s="3">
        <v>2256</v>
      </c>
      <c r="P10">
        <v>0</v>
      </c>
      <c r="Q10">
        <v>4</v>
      </c>
      <c r="R10" t="s">
        <v>33</v>
      </c>
      <c r="S10">
        <v>1</v>
      </c>
    </row>
    <row r="11" spans="1:19" ht="16.5" x14ac:dyDescent="0.3">
      <c r="A11" t="s">
        <v>49</v>
      </c>
      <c r="B11" s="1">
        <v>45292</v>
      </c>
      <c r="C11" s="1">
        <v>45299</v>
      </c>
      <c r="D11">
        <v>2024</v>
      </c>
      <c r="E11" t="s">
        <v>20</v>
      </c>
      <c r="F11" t="s">
        <v>21</v>
      </c>
      <c r="G11" t="s">
        <v>22</v>
      </c>
      <c r="H11" t="s">
        <v>50</v>
      </c>
      <c r="I11" t="s">
        <v>24</v>
      </c>
      <c r="J11" t="s">
        <v>43</v>
      </c>
      <c r="K11" t="s">
        <v>36</v>
      </c>
      <c r="L11" t="s">
        <v>44</v>
      </c>
      <c r="M11">
        <v>7</v>
      </c>
      <c r="N11" s="2">
        <v>38</v>
      </c>
      <c r="O11" s="3">
        <v>5120</v>
      </c>
      <c r="P11">
        <v>0</v>
      </c>
      <c r="Q11">
        <v>4</v>
      </c>
      <c r="R11" t="s">
        <v>33</v>
      </c>
      <c r="S11">
        <v>1</v>
      </c>
    </row>
    <row r="12" spans="1:19" ht="16.5" x14ac:dyDescent="0.3">
      <c r="A12" t="s">
        <v>51</v>
      </c>
      <c r="B12" s="1">
        <v>45292</v>
      </c>
      <c r="C12" s="1">
        <v>45295</v>
      </c>
      <c r="D12">
        <v>2024</v>
      </c>
      <c r="E12" t="s">
        <v>20</v>
      </c>
      <c r="F12" t="s">
        <v>21</v>
      </c>
      <c r="G12" t="s">
        <v>22</v>
      </c>
      <c r="H12" t="s">
        <v>52</v>
      </c>
      <c r="I12" t="s">
        <v>24</v>
      </c>
      <c r="J12" t="s">
        <v>43</v>
      </c>
      <c r="K12" t="s">
        <v>53</v>
      </c>
      <c r="L12" t="s">
        <v>27</v>
      </c>
      <c r="M12">
        <v>3</v>
      </c>
      <c r="N12" s="2">
        <v>19</v>
      </c>
      <c r="O12" s="3">
        <v>4095</v>
      </c>
      <c r="P12">
        <v>0</v>
      </c>
      <c r="Q12">
        <v>5</v>
      </c>
      <c r="R12" t="s">
        <v>33</v>
      </c>
      <c r="S12">
        <v>1</v>
      </c>
    </row>
    <row r="13" spans="1:19" ht="16.5" x14ac:dyDescent="0.3">
      <c r="A13" t="s">
        <v>54</v>
      </c>
      <c r="B13" s="1">
        <v>45292</v>
      </c>
      <c r="C13" s="1">
        <v>45293</v>
      </c>
      <c r="D13">
        <v>2024</v>
      </c>
      <c r="E13" t="s">
        <v>20</v>
      </c>
      <c r="F13" t="s">
        <v>21</v>
      </c>
      <c r="G13" t="s">
        <v>22</v>
      </c>
      <c r="H13" t="s">
        <v>30</v>
      </c>
      <c r="I13" t="s">
        <v>40</v>
      </c>
      <c r="J13" t="s">
        <v>43</v>
      </c>
      <c r="K13" t="s">
        <v>26</v>
      </c>
      <c r="L13" t="s">
        <v>27</v>
      </c>
      <c r="M13">
        <v>1</v>
      </c>
      <c r="N13" s="2"/>
      <c r="O13" s="3">
        <v>1656</v>
      </c>
      <c r="P13">
        <v>0</v>
      </c>
      <c r="Q13">
        <v>4</v>
      </c>
      <c r="R13" t="s">
        <v>33</v>
      </c>
      <c r="S13">
        <v>1</v>
      </c>
    </row>
    <row r="14" spans="1:19" ht="16.5" x14ac:dyDescent="0.3">
      <c r="A14" t="s">
        <v>55</v>
      </c>
      <c r="B14" s="1">
        <v>45293</v>
      </c>
      <c r="C14" s="1">
        <v>45296</v>
      </c>
      <c r="D14">
        <v>2024</v>
      </c>
      <c r="E14" t="s">
        <v>20</v>
      </c>
      <c r="F14" t="s">
        <v>21</v>
      </c>
      <c r="G14" t="s">
        <v>56</v>
      </c>
      <c r="H14" t="s">
        <v>30</v>
      </c>
      <c r="I14" t="s">
        <v>40</v>
      </c>
      <c r="J14" t="s">
        <v>43</v>
      </c>
      <c r="K14" t="s">
        <v>32</v>
      </c>
      <c r="L14" t="s">
        <v>27</v>
      </c>
      <c r="M14">
        <v>3</v>
      </c>
      <c r="N14" s="2"/>
      <c r="O14" s="3">
        <v>3950</v>
      </c>
      <c r="P14">
        <v>0</v>
      </c>
      <c r="Q14">
        <v>4</v>
      </c>
      <c r="R14" t="s">
        <v>33</v>
      </c>
      <c r="S14">
        <v>1</v>
      </c>
    </row>
    <row r="15" spans="1:19" ht="16.5" x14ac:dyDescent="0.3">
      <c r="A15" t="s">
        <v>57</v>
      </c>
      <c r="B15" s="1">
        <v>45293</v>
      </c>
      <c r="C15" s="1">
        <v>45296</v>
      </c>
      <c r="D15">
        <v>2024</v>
      </c>
      <c r="E15" t="s">
        <v>20</v>
      </c>
      <c r="F15" t="s">
        <v>21</v>
      </c>
      <c r="G15" t="s">
        <v>56</v>
      </c>
      <c r="H15" t="s">
        <v>23</v>
      </c>
      <c r="I15" t="s">
        <v>40</v>
      </c>
      <c r="J15" t="s">
        <v>25</v>
      </c>
      <c r="K15" t="s">
        <v>53</v>
      </c>
      <c r="L15" t="s">
        <v>27</v>
      </c>
      <c r="M15">
        <v>3</v>
      </c>
      <c r="N15" s="2"/>
      <c r="O15" s="3">
        <v>3115</v>
      </c>
      <c r="P15">
        <v>0</v>
      </c>
      <c r="Q15">
        <v>5</v>
      </c>
      <c r="R15" t="s">
        <v>33</v>
      </c>
      <c r="S15">
        <v>1</v>
      </c>
    </row>
    <row r="16" spans="1:19" ht="16.5" x14ac:dyDescent="0.3">
      <c r="A16" t="s">
        <v>58</v>
      </c>
      <c r="B16" s="1">
        <v>45293</v>
      </c>
      <c r="C16" s="1">
        <v>45295</v>
      </c>
      <c r="D16">
        <v>2024</v>
      </c>
      <c r="E16" t="s">
        <v>20</v>
      </c>
      <c r="F16" t="s">
        <v>21</v>
      </c>
      <c r="G16" t="s">
        <v>56</v>
      </c>
      <c r="H16" t="s">
        <v>39</v>
      </c>
      <c r="I16" t="s">
        <v>40</v>
      </c>
      <c r="J16" t="s">
        <v>25</v>
      </c>
      <c r="K16" t="s">
        <v>41</v>
      </c>
      <c r="L16" t="s">
        <v>44</v>
      </c>
      <c r="M16">
        <v>2</v>
      </c>
      <c r="N16" s="2"/>
      <c r="O16" s="3">
        <v>2345</v>
      </c>
      <c r="P16">
        <v>0</v>
      </c>
      <c r="Q16">
        <v>4</v>
      </c>
      <c r="R16" t="s">
        <v>59</v>
      </c>
      <c r="S16">
        <v>1</v>
      </c>
    </row>
    <row r="17" spans="1:19" ht="16.5" x14ac:dyDescent="0.3">
      <c r="A17" t="s">
        <v>60</v>
      </c>
      <c r="B17" s="1">
        <v>45293</v>
      </c>
      <c r="C17" s="1">
        <v>45296</v>
      </c>
      <c r="D17">
        <v>2024</v>
      </c>
      <c r="E17" t="s">
        <v>20</v>
      </c>
      <c r="F17" t="s">
        <v>21</v>
      </c>
      <c r="G17" t="s">
        <v>56</v>
      </c>
      <c r="H17" t="s">
        <v>39</v>
      </c>
      <c r="I17" t="s">
        <v>24</v>
      </c>
      <c r="J17" t="s">
        <v>25</v>
      </c>
      <c r="K17" t="s">
        <v>41</v>
      </c>
      <c r="L17" t="s">
        <v>44</v>
      </c>
      <c r="M17">
        <v>3</v>
      </c>
      <c r="N17" s="2">
        <v>80</v>
      </c>
      <c r="O17" s="3">
        <v>2401</v>
      </c>
      <c r="P17">
        <v>0</v>
      </c>
      <c r="Q17">
        <v>4</v>
      </c>
      <c r="R17" t="s">
        <v>33</v>
      </c>
      <c r="S17">
        <v>1</v>
      </c>
    </row>
    <row r="18" spans="1:19" ht="16.5" x14ac:dyDescent="0.3">
      <c r="A18" t="s">
        <v>61</v>
      </c>
      <c r="B18" s="1">
        <v>45293</v>
      </c>
      <c r="C18" s="1">
        <v>45297</v>
      </c>
      <c r="D18">
        <v>2024</v>
      </c>
      <c r="E18" t="s">
        <v>20</v>
      </c>
      <c r="F18" t="s">
        <v>21</v>
      </c>
      <c r="G18" t="s">
        <v>56</v>
      </c>
      <c r="H18" t="s">
        <v>39</v>
      </c>
      <c r="I18" t="s">
        <v>40</v>
      </c>
      <c r="J18" t="s">
        <v>43</v>
      </c>
      <c r="K18" t="s">
        <v>41</v>
      </c>
      <c r="L18" t="s">
        <v>27</v>
      </c>
      <c r="M18">
        <v>4</v>
      </c>
      <c r="N18" s="2"/>
      <c r="O18" s="3">
        <v>3873</v>
      </c>
      <c r="P18">
        <v>0</v>
      </c>
      <c r="Q18">
        <v>3</v>
      </c>
      <c r="R18" t="s">
        <v>33</v>
      </c>
      <c r="S18">
        <v>1</v>
      </c>
    </row>
    <row r="19" spans="1:19" ht="16.5" x14ac:dyDescent="0.3">
      <c r="A19" t="s">
        <v>62</v>
      </c>
      <c r="B19" s="1">
        <v>45293</v>
      </c>
      <c r="C19" s="1">
        <v>45299</v>
      </c>
      <c r="D19">
        <v>2024</v>
      </c>
      <c r="E19" t="s">
        <v>20</v>
      </c>
      <c r="F19" t="s">
        <v>21</v>
      </c>
      <c r="G19" t="s">
        <v>56</v>
      </c>
      <c r="H19" t="s">
        <v>50</v>
      </c>
      <c r="I19" t="s">
        <v>24</v>
      </c>
      <c r="J19" t="s">
        <v>43</v>
      </c>
      <c r="K19" t="s">
        <v>32</v>
      </c>
      <c r="L19" t="s">
        <v>44</v>
      </c>
      <c r="M19">
        <v>6</v>
      </c>
      <c r="N19" s="2">
        <v>12</v>
      </c>
      <c r="O19" s="3">
        <v>6892</v>
      </c>
      <c r="P19">
        <v>0</v>
      </c>
      <c r="Q19">
        <v>4</v>
      </c>
      <c r="R19" t="s">
        <v>28</v>
      </c>
      <c r="S19">
        <v>1</v>
      </c>
    </row>
    <row r="20" spans="1:19" ht="16.5" x14ac:dyDescent="0.3">
      <c r="A20" t="s">
        <v>63</v>
      </c>
      <c r="B20" s="1">
        <v>45293</v>
      </c>
      <c r="C20" s="1">
        <v>45296</v>
      </c>
      <c r="D20">
        <v>2024</v>
      </c>
      <c r="E20" t="s">
        <v>20</v>
      </c>
      <c r="F20" t="s">
        <v>21</v>
      </c>
      <c r="G20" t="s">
        <v>56</v>
      </c>
      <c r="H20" t="s">
        <v>35</v>
      </c>
      <c r="I20" t="s">
        <v>24</v>
      </c>
      <c r="J20" t="s">
        <v>25</v>
      </c>
      <c r="K20" t="s">
        <v>36</v>
      </c>
      <c r="L20" t="s">
        <v>27</v>
      </c>
      <c r="M20">
        <v>3</v>
      </c>
      <c r="N20" s="2">
        <v>68</v>
      </c>
      <c r="O20" s="3">
        <v>3024</v>
      </c>
      <c r="P20">
        <v>0</v>
      </c>
      <c r="Q20">
        <v>4</v>
      </c>
      <c r="R20" t="s">
        <v>28</v>
      </c>
      <c r="S20">
        <v>1</v>
      </c>
    </row>
    <row r="21" spans="1:19" ht="16.5" x14ac:dyDescent="0.3">
      <c r="A21" t="s">
        <v>64</v>
      </c>
      <c r="B21" s="1">
        <v>45293</v>
      </c>
      <c r="C21" s="1">
        <v>45294</v>
      </c>
      <c r="D21">
        <v>2024</v>
      </c>
      <c r="E21" t="s">
        <v>20</v>
      </c>
      <c r="F21" t="s">
        <v>21</v>
      </c>
      <c r="G21" t="s">
        <v>56</v>
      </c>
      <c r="H21" t="s">
        <v>35</v>
      </c>
      <c r="I21" t="s">
        <v>24</v>
      </c>
      <c r="J21" t="s">
        <v>25</v>
      </c>
      <c r="K21" t="s">
        <v>36</v>
      </c>
      <c r="L21" t="s">
        <v>44</v>
      </c>
      <c r="M21">
        <v>1</v>
      </c>
      <c r="N21" s="2">
        <v>46</v>
      </c>
      <c r="O21" s="3">
        <v>1168</v>
      </c>
      <c r="P21">
        <v>0</v>
      </c>
      <c r="Q21">
        <v>5</v>
      </c>
      <c r="R21" t="s">
        <v>33</v>
      </c>
      <c r="S21">
        <v>1</v>
      </c>
    </row>
    <row r="22" spans="1:19" ht="16.5" x14ac:dyDescent="0.3">
      <c r="A22" t="s">
        <v>65</v>
      </c>
      <c r="B22" s="1">
        <v>45293</v>
      </c>
      <c r="C22" s="1">
        <v>45296</v>
      </c>
      <c r="D22">
        <v>2024</v>
      </c>
      <c r="E22" t="s">
        <v>20</v>
      </c>
      <c r="F22" t="s">
        <v>21</v>
      </c>
      <c r="G22" t="s">
        <v>56</v>
      </c>
      <c r="H22" t="s">
        <v>30</v>
      </c>
      <c r="I22" t="s">
        <v>40</v>
      </c>
      <c r="J22" t="s">
        <v>25</v>
      </c>
      <c r="K22" t="s">
        <v>32</v>
      </c>
      <c r="L22" t="s">
        <v>44</v>
      </c>
      <c r="M22">
        <v>3</v>
      </c>
      <c r="N22" s="2"/>
      <c r="O22" s="3">
        <v>3649</v>
      </c>
      <c r="P22">
        <v>0</v>
      </c>
      <c r="Q22">
        <v>5</v>
      </c>
      <c r="R22" t="s">
        <v>28</v>
      </c>
      <c r="S22">
        <v>1</v>
      </c>
    </row>
    <row r="23" spans="1:19" ht="16.5" x14ac:dyDescent="0.3">
      <c r="A23" t="s">
        <v>66</v>
      </c>
      <c r="B23" s="1">
        <v>45293</v>
      </c>
      <c r="C23" s="1">
        <v>45294</v>
      </c>
      <c r="D23">
        <v>2024</v>
      </c>
      <c r="E23" t="s">
        <v>20</v>
      </c>
      <c r="F23" t="s">
        <v>21</v>
      </c>
      <c r="G23" t="s">
        <v>56</v>
      </c>
      <c r="H23" t="s">
        <v>35</v>
      </c>
      <c r="I23" t="s">
        <v>40</v>
      </c>
      <c r="J23" t="s">
        <v>25</v>
      </c>
      <c r="K23" t="s">
        <v>32</v>
      </c>
      <c r="L23" t="s">
        <v>44</v>
      </c>
      <c r="M23">
        <v>1</v>
      </c>
      <c r="N23" s="2"/>
      <c r="O23" s="3">
        <v>1316</v>
      </c>
      <c r="P23">
        <v>1</v>
      </c>
      <c r="Q23">
        <v>4</v>
      </c>
      <c r="R23" t="s">
        <v>33</v>
      </c>
      <c r="S23">
        <v>1</v>
      </c>
    </row>
    <row r="24" spans="1:19" ht="16.5" x14ac:dyDescent="0.3">
      <c r="A24" t="s">
        <v>67</v>
      </c>
      <c r="B24" s="1">
        <v>45293</v>
      </c>
      <c r="C24" s="1">
        <v>45298</v>
      </c>
      <c r="D24">
        <v>2024</v>
      </c>
      <c r="E24" t="s">
        <v>20</v>
      </c>
      <c r="F24" t="s">
        <v>21</v>
      </c>
      <c r="G24" t="s">
        <v>56</v>
      </c>
      <c r="H24" t="s">
        <v>50</v>
      </c>
      <c r="I24" t="s">
        <v>24</v>
      </c>
      <c r="J24" t="s">
        <v>25</v>
      </c>
      <c r="K24" t="s">
        <v>32</v>
      </c>
      <c r="L24" t="s">
        <v>44</v>
      </c>
      <c r="M24">
        <v>5</v>
      </c>
      <c r="N24" s="2">
        <v>24</v>
      </c>
      <c r="O24" s="3">
        <v>4416</v>
      </c>
      <c r="P24">
        <v>1</v>
      </c>
      <c r="Q24">
        <v>4</v>
      </c>
      <c r="R24" t="s">
        <v>33</v>
      </c>
      <c r="S24">
        <v>1</v>
      </c>
    </row>
    <row r="25" spans="1:19" ht="16.5" x14ac:dyDescent="0.3">
      <c r="A25" t="s">
        <v>68</v>
      </c>
      <c r="B25" s="1">
        <v>45293</v>
      </c>
      <c r="C25" s="1">
        <v>45297</v>
      </c>
      <c r="D25">
        <v>2024</v>
      </c>
      <c r="E25" t="s">
        <v>20</v>
      </c>
      <c r="F25" t="s">
        <v>21</v>
      </c>
      <c r="G25" t="s">
        <v>56</v>
      </c>
      <c r="H25" t="s">
        <v>23</v>
      </c>
      <c r="I25" t="s">
        <v>24</v>
      </c>
      <c r="J25" t="s">
        <v>25</v>
      </c>
      <c r="K25" t="s">
        <v>32</v>
      </c>
      <c r="L25" t="s">
        <v>44</v>
      </c>
      <c r="M25">
        <v>4</v>
      </c>
      <c r="N25" s="2">
        <v>103</v>
      </c>
      <c r="O25" s="3">
        <v>1198</v>
      </c>
      <c r="P25">
        <v>0</v>
      </c>
      <c r="Q25">
        <v>3</v>
      </c>
      <c r="R25" t="s">
        <v>33</v>
      </c>
      <c r="S25">
        <v>1</v>
      </c>
    </row>
    <row r="26" spans="1:19" ht="16.5" x14ac:dyDescent="0.3">
      <c r="A26" t="s">
        <v>69</v>
      </c>
      <c r="B26" s="1">
        <v>45294</v>
      </c>
      <c r="C26" s="1">
        <v>45296</v>
      </c>
      <c r="D26">
        <v>2024</v>
      </c>
      <c r="E26" t="s">
        <v>20</v>
      </c>
      <c r="F26" t="s">
        <v>21</v>
      </c>
      <c r="G26" t="s">
        <v>70</v>
      </c>
      <c r="H26" t="s">
        <v>39</v>
      </c>
      <c r="I26" t="s">
        <v>31</v>
      </c>
      <c r="J26" t="s">
        <v>43</v>
      </c>
      <c r="K26" t="s">
        <v>41</v>
      </c>
      <c r="L26" t="s">
        <v>27</v>
      </c>
      <c r="M26">
        <v>2</v>
      </c>
      <c r="N26" s="2"/>
      <c r="O26" s="3">
        <v>2520</v>
      </c>
      <c r="P26">
        <v>0</v>
      </c>
      <c r="Q26">
        <v>5</v>
      </c>
      <c r="R26" t="s">
        <v>33</v>
      </c>
      <c r="S26">
        <v>1</v>
      </c>
    </row>
    <row r="27" spans="1:19" ht="16.5" x14ac:dyDescent="0.3">
      <c r="A27" t="s">
        <v>71</v>
      </c>
      <c r="B27" s="1">
        <v>45294</v>
      </c>
      <c r="C27" s="1">
        <v>45308</v>
      </c>
      <c r="D27">
        <v>2024</v>
      </c>
      <c r="E27" t="s">
        <v>20</v>
      </c>
      <c r="F27" t="s">
        <v>21</v>
      </c>
      <c r="G27" t="s">
        <v>70</v>
      </c>
      <c r="H27" t="s">
        <v>30</v>
      </c>
      <c r="I27" t="s">
        <v>24</v>
      </c>
      <c r="J27" t="s">
        <v>43</v>
      </c>
      <c r="K27" t="s">
        <v>53</v>
      </c>
      <c r="L27" t="s">
        <v>37</v>
      </c>
      <c r="M27">
        <v>14</v>
      </c>
      <c r="N27" s="2">
        <v>44</v>
      </c>
      <c r="O27" s="3">
        <v>14377</v>
      </c>
      <c r="P27">
        <v>0</v>
      </c>
      <c r="Q27">
        <v>4</v>
      </c>
      <c r="R27" t="s">
        <v>28</v>
      </c>
      <c r="S27">
        <v>1</v>
      </c>
    </row>
    <row r="28" spans="1:19" ht="16.5" x14ac:dyDescent="0.3">
      <c r="A28" t="s">
        <v>72</v>
      </c>
      <c r="B28" s="1">
        <v>45294</v>
      </c>
      <c r="C28" s="1">
        <v>45301</v>
      </c>
      <c r="D28">
        <v>2024</v>
      </c>
      <c r="E28" t="s">
        <v>20</v>
      </c>
      <c r="F28" t="s">
        <v>21</v>
      </c>
      <c r="G28" t="s">
        <v>70</v>
      </c>
      <c r="H28" t="s">
        <v>39</v>
      </c>
      <c r="I28" t="s">
        <v>24</v>
      </c>
      <c r="J28" t="s">
        <v>43</v>
      </c>
      <c r="K28" t="s">
        <v>41</v>
      </c>
      <c r="L28" t="s">
        <v>37</v>
      </c>
      <c r="M28">
        <v>7</v>
      </c>
      <c r="N28" s="2">
        <v>32</v>
      </c>
      <c r="O28" s="3">
        <v>5427</v>
      </c>
      <c r="P28">
        <v>0</v>
      </c>
      <c r="Q28">
        <v>5</v>
      </c>
      <c r="R28" t="s">
        <v>33</v>
      </c>
      <c r="S28">
        <v>1</v>
      </c>
    </row>
    <row r="29" spans="1:19" ht="16.5" x14ac:dyDescent="0.3">
      <c r="A29" t="s">
        <v>73</v>
      </c>
      <c r="B29" s="1">
        <v>45294</v>
      </c>
      <c r="C29" s="1">
        <v>45303</v>
      </c>
      <c r="D29">
        <v>2024</v>
      </c>
      <c r="E29" t="s">
        <v>20</v>
      </c>
      <c r="F29" t="s">
        <v>21</v>
      </c>
      <c r="G29" t="s">
        <v>70</v>
      </c>
      <c r="H29" t="s">
        <v>23</v>
      </c>
      <c r="I29" t="s">
        <v>24</v>
      </c>
      <c r="J29" t="s">
        <v>43</v>
      </c>
      <c r="K29" t="s">
        <v>26</v>
      </c>
      <c r="L29" t="s">
        <v>44</v>
      </c>
      <c r="M29">
        <v>9</v>
      </c>
      <c r="N29" s="2">
        <v>153</v>
      </c>
      <c r="O29" s="3">
        <v>7414</v>
      </c>
      <c r="P29">
        <v>0</v>
      </c>
      <c r="Q29">
        <v>3</v>
      </c>
      <c r="R29" t="s">
        <v>33</v>
      </c>
      <c r="S29">
        <v>1</v>
      </c>
    </row>
    <row r="30" spans="1:19" ht="16.5" x14ac:dyDescent="0.3">
      <c r="A30" t="s">
        <v>74</v>
      </c>
      <c r="B30" s="1">
        <v>45294</v>
      </c>
      <c r="C30" s="1">
        <v>45297</v>
      </c>
      <c r="D30">
        <v>2024</v>
      </c>
      <c r="E30" t="s">
        <v>20</v>
      </c>
      <c r="F30" t="s">
        <v>21</v>
      </c>
      <c r="G30" t="s">
        <v>70</v>
      </c>
      <c r="H30" t="s">
        <v>23</v>
      </c>
      <c r="I30" t="s">
        <v>24</v>
      </c>
      <c r="J30" t="s">
        <v>25</v>
      </c>
      <c r="K30" t="s">
        <v>32</v>
      </c>
      <c r="L30" t="s">
        <v>27</v>
      </c>
      <c r="M30">
        <v>3</v>
      </c>
      <c r="N30" s="2">
        <v>70</v>
      </c>
      <c r="O30" s="3">
        <v>3325</v>
      </c>
      <c r="P30">
        <v>0</v>
      </c>
      <c r="Q30">
        <v>4</v>
      </c>
      <c r="R30" t="s">
        <v>28</v>
      </c>
      <c r="S30">
        <v>1</v>
      </c>
    </row>
    <row r="31" spans="1:19" ht="16.5" x14ac:dyDescent="0.3">
      <c r="A31" t="s">
        <v>75</v>
      </c>
      <c r="B31" s="1">
        <v>45294</v>
      </c>
      <c r="C31" s="1">
        <v>45299</v>
      </c>
      <c r="D31">
        <v>2024</v>
      </c>
      <c r="E31" t="s">
        <v>20</v>
      </c>
      <c r="F31" t="s">
        <v>21</v>
      </c>
      <c r="G31" t="s">
        <v>70</v>
      </c>
      <c r="H31" t="s">
        <v>39</v>
      </c>
      <c r="I31" t="s">
        <v>40</v>
      </c>
      <c r="J31" t="s">
        <v>25</v>
      </c>
      <c r="K31" t="s">
        <v>41</v>
      </c>
      <c r="L31" t="s">
        <v>44</v>
      </c>
      <c r="M31">
        <v>5</v>
      </c>
      <c r="N31" s="2"/>
      <c r="O31" s="3">
        <v>3701</v>
      </c>
      <c r="P31">
        <v>0</v>
      </c>
      <c r="Q31">
        <v>5</v>
      </c>
      <c r="R31" t="s">
        <v>33</v>
      </c>
      <c r="S31">
        <v>1</v>
      </c>
    </row>
    <row r="32" spans="1:19" ht="16.5" x14ac:dyDescent="0.3">
      <c r="A32" t="s">
        <v>76</v>
      </c>
      <c r="B32" s="1">
        <v>45294</v>
      </c>
      <c r="C32" s="1">
        <v>45295</v>
      </c>
      <c r="D32">
        <v>2024</v>
      </c>
      <c r="E32" t="s">
        <v>20</v>
      </c>
      <c r="F32" t="s">
        <v>21</v>
      </c>
      <c r="G32" t="s">
        <v>70</v>
      </c>
      <c r="H32" t="s">
        <v>30</v>
      </c>
      <c r="I32" t="s">
        <v>40</v>
      </c>
      <c r="J32" t="s">
        <v>25</v>
      </c>
      <c r="K32" t="s">
        <v>32</v>
      </c>
      <c r="L32" t="s">
        <v>27</v>
      </c>
      <c r="M32">
        <v>1</v>
      </c>
      <c r="N32" s="2"/>
      <c r="O32" s="3">
        <v>1967</v>
      </c>
      <c r="P32">
        <v>1</v>
      </c>
      <c r="Q32">
        <v>3</v>
      </c>
      <c r="R32" t="s">
        <v>33</v>
      </c>
      <c r="S32">
        <v>1</v>
      </c>
    </row>
    <row r="33" spans="1:19" ht="16.5" x14ac:dyDescent="0.3">
      <c r="A33" t="s">
        <v>77</v>
      </c>
      <c r="B33" s="1">
        <v>45295</v>
      </c>
      <c r="C33" s="1">
        <v>45296</v>
      </c>
      <c r="D33">
        <v>2024</v>
      </c>
      <c r="E33" t="s">
        <v>20</v>
      </c>
      <c r="F33" t="s">
        <v>21</v>
      </c>
      <c r="G33" t="s">
        <v>78</v>
      </c>
      <c r="H33" t="s">
        <v>50</v>
      </c>
      <c r="I33" t="s">
        <v>24</v>
      </c>
      <c r="J33" t="s">
        <v>43</v>
      </c>
      <c r="K33" t="s">
        <v>32</v>
      </c>
      <c r="L33" t="s">
        <v>44</v>
      </c>
      <c r="M33">
        <v>1</v>
      </c>
      <c r="N33" s="2">
        <v>87</v>
      </c>
      <c r="O33" s="3">
        <v>2627</v>
      </c>
      <c r="P33">
        <v>0</v>
      </c>
      <c r="Q33">
        <v>4</v>
      </c>
      <c r="R33" t="s">
        <v>28</v>
      </c>
      <c r="S33">
        <v>1</v>
      </c>
    </row>
    <row r="34" spans="1:19" ht="16.5" x14ac:dyDescent="0.3">
      <c r="A34" t="s">
        <v>79</v>
      </c>
      <c r="B34" s="1">
        <v>45295</v>
      </c>
      <c r="C34" s="1">
        <v>45296</v>
      </c>
      <c r="D34">
        <v>2024</v>
      </c>
      <c r="E34" t="s">
        <v>20</v>
      </c>
      <c r="F34" t="s">
        <v>21</v>
      </c>
      <c r="G34" t="s">
        <v>78</v>
      </c>
      <c r="H34" t="s">
        <v>35</v>
      </c>
      <c r="I34" t="s">
        <v>40</v>
      </c>
      <c r="J34" t="s">
        <v>25</v>
      </c>
      <c r="K34" t="s">
        <v>32</v>
      </c>
      <c r="L34" t="s">
        <v>44</v>
      </c>
      <c r="M34">
        <v>1</v>
      </c>
      <c r="N34" s="2"/>
      <c r="O34" s="3">
        <v>1944</v>
      </c>
      <c r="P34">
        <v>0</v>
      </c>
      <c r="Q34">
        <v>4</v>
      </c>
      <c r="R34" t="s">
        <v>33</v>
      </c>
      <c r="S34">
        <v>1</v>
      </c>
    </row>
    <row r="35" spans="1:19" ht="16.5" x14ac:dyDescent="0.3">
      <c r="A35" t="s">
        <v>80</v>
      </c>
      <c r="B35" s="1">
        <v>45295</v>
      </c>
      <c r="C35" s="1">
        <v>45297</v>
      </c>
      <c r="D35">
        <v>2024</v>
      </c>
      <c r="E35" t="s">
        <v>20</v>
      </c>
      <c r="F35" t="s">
        <v>21</v>
      </c>
      <c r="G35" t="s">
        <v>78</v>
      </c>
      <c r="H35" t="s">
        <v>30</v>
      </c>
      <c r="I35" t="s">
        <v>40</v>
      </c>
      <c r="J35" t="s">
        <v>25</v>
      </c>
      <c r="K35" t="s">
        <v>36</v>
      </c>
      <c r="L35" t="s">
        <v>44</v>
      </c>
      <c r="M35">
        <v>2</v>
      </c>
      <c r="N35" s="2"/>
      <c r="O35" s="3">
        <v>3053</v>
      </c>
      <c r="P35">
        <v>0</v>
      </c>
      <c r="Q35">
        <v>5</v>
      </c>
      <c r="R35" t="s">
        <v>33</v>
      </c>
      <c r="S35">
        <v>1</v>
      </c>
    </row>
    <row r="36" spans="1:19" ht="16.5" x14ac:dyDescent="0.3">
      <c r="A36" t="s">
        <v>81</v>
      </c>
      <c r="B36" s="1">
        <v>45295</v>
      </c>
      <c r="C36" s="1">
        <v>45297</v>
      </c>
      <c r="D36">
        <v>2024</v>
      </c>
      <c r="E36" t="s">
        <v>20</v>
      </c>
      <c r="F36" t="s">
        <v>21</v>
      </c>
      <c r="G36" t="s">
        <v>78</v>
      </c>
      <c r="H36" t="s">
        <v>30</v>
      </c>
      <c r="I36" t="s">
        <v>40</v>
      </c>
      <c r="J36" t="s">
        <v>25</v>
      </c>
      <c r="K36" t="s">
        <v>53</v>
      </c>
      <c r="L36" t="s">
        <v>44</v>
      </c>
      <c r="M36">
        <v>2</v>
      </c>
      <c r="N36" s="2"/>
      <c r="O36" s="3">
        <v>2832</v>
      </c>
      <c r="P36">
        <v>0</v>
      </c>
      <c r="Q36">
        <v>3</v>
      </c>
      <c r="R36" t="s">
        <v>33</v>
      </c>
      <c r="S36">
        <v>1</v>
      </c>
    </row>
    <row r="37" spans="1:19" ht="16.5" x14ac:dyDescent="0.3">
      <c r="A37" t="s">
        <v>82</v>
      </c>
      <c r="B37" s="1">
        <v>45296</v>
      </c>
      <c r="C37" s="1">
        <v>45299</v>
      </c>
      <c r="D37">
        <v>2024</v>
      </c>
      <c r="E37" t="s">
        <v>20</v>
      </c>
      <c r="F37" t="s">
        <v>21</v>
      </c>
      <c r="G37" t="s">
        <v>83</v>
      </c>
      <c r="H37" t="s">
        <v>52</v>
      </c>
      <c r="I37" t="s">
        <v>40</v>
      </c>
      <c r="J37" t="s">
        <v>25</v>
      </c>
      <c r="K37" t="s">
        <v>32</v>
      </c>
      <c r="L37" t="s">
        <v>44</v>
      </c>
      <c r="M37">
        <v>3</v>
      </c>
      <c r="N37" s="2"/>
      <c r="O37" s="3">
        <v>2655</v>
      </c>
      <c r="P37">
        <v>0</v>
      </c>
      <c r="Q37">
        <v>4</v>
      </c>
      <c r="R37" t="s">
        <v>33</v>
      </c>
      <c r="S37">
        <v>1</v>
      </c>
    </row>
    <row r="38" spans="1:19" ht="16.5" x14ac:dyDescent="0.3">
      <c r="A38" t="s">
        <v>84</v>
      </c>
      <c r="B38" s="1">
        <v>45296</v>
      </c>
      <c r="C38" s="1">
        <v>45313</v>
      </c>
      <c r="D38">
        <v>2024</v>
      </c>
      <c r="E38" t="s">
        <v>20</v>
      </c>
      <c r="F38" t="s">
        <v>21</v>
      </c>
      <c r="G38" t="s">
        <v>83</v>
      </c>
      <c r="H38" t="s">
        <v>23</v>
      </c>
      <c r="I38" t="s">
        <v>24</v>
      </c>
      <c r="J38" t="s">
        <v>43</v>
      </c>
      <c r="K38" t="s">
        <v>32</v>
      </c>
      <c r="L38" t="s">
        <v>44</v>
      </c>
      <c r="M38">
        <v>17</v>
      </c>
      <c r="N38" s="2">
        <v>129</v>
      </c>
      <c r="O38" s="3">
        <v>10736</v>
      </c>
      <c r="P38">
        <v>0</v>
      </c>
      <c r="Q38">
        <v>3</v>
      </c>
      <c r="R38" t="s">
        <v>33</v>
      </c>
      <c r="S38">
        <v>1</v>
      </c>
    </row>
    <row r="39" spans="1:19" ht="16.5" x14ac:dyDescent="0.3">
      <c r="A39" t="s">
        <v>85</v>
      </c>
      <c r="B39" s="1">
        <v>45296</v>
      </c>
      <c r="C39" s="1">
        <v>45301</v>
      </c>
      <c r="D39">
        <v>2024</v>
      </c>
      <c r="E39" t="s">
        <v>20</v>
      </c>
      <c r="F39" t="s">
        <v>21</v>
      </c>
      <c r="G39" t="s">
        <v>83</v>
      </c>
      <c r="H39" t="s">
        <v>39</v>
      </c>
      <c r="I39" t="s">
        <v>40</v>
      </c>
      <c r="J39" t="s">
        <v>43</v>
      </c>
      <c r="K39" t="s">
        <v>41</v>
      </c>
      <c r="L39" t="s">
        <v>44</v>
      </c>
      <c r="M39">
        <v>5</v>
      </c>
      <c r="N39" s="2"/>
      <c r="O39" s="3">
        <v>2633</v>
      </c>
      <c r="P39">
        <v>0</v>
      </c>
      <c r="Q39">
        <v>3</v>
      </c>
      <c r="R39" t="s">
        <v>33</v>
      </c>
      <c r="S39">
        <v>1</v>
      </c>
    </row>
    <row r="40" spans="1:19" ht="16.5" x14ac:dyDescent="0.3">
      <c r="A40" t="s">
        <v>86</v>
      </c>
      <c r="B40" s="1">
        <v>45296</v>
      </c>
      <c r="C40" s="1">
        <v>45299</v>
      </c>
      <c r="D40">
        <v>2024</v>
      </c>
      <c r="E40" t="s">
        <v>20</v>
      </c>
      <c r="F40" t="s">
        <v>21</v>
      </c>
      <c r="G40" t="s">
        <v>83</v>
      </c>
      <c r="H40" t="s">
        <v>35</v>
      </c>
      <c r="I40" t="s">
        <v>24</v>
      </c>
      <c r="J40" t="s">
        <v>25</v>
      </c>
      <c r="K40" t="s">
        <v>36</v>
      </c>
      <c r="L40" t="s">
        <v>44</v>
      </c>
      <c r="M40">
        <v>3</v>
      </c>
      <c r="N40" s="2">
        <v>171</v>
      </c>
      <c r="O40" s="3">
        <v>2295</v>
      </c>
      <c r="P40">
        <v>0</v>
      </c>
      <c r="Q40">
        <v>3</v>
      </c>
      <c r="R40" t="s">
        <v>33</v>
      </c>
      <c r="S40">
        <v>1</v>
      </c>
    </row>
    <row r="41" spans="1:19" ht="16.5" x14ac:dyDescent="0.3">
      <c r="A41" t="s">
        <v>87</v>
      </c>
      <c r="B41" s="1">
        <v>45296</v>
      </c>
      <c r="C41" s="1">
        <v>45297</v>
      </c>
      <c r="D41">
        <v>2024</v>
      </c>
      <c r="E41" t="s">
        <v>20</v>
      </c>
      <c r="F41" t="s">
        <v>21</v>
      </c>
      <c r="G41" t="s">
        <v>83</v>
      </c>
      <c r="H41" t="s">
        <v>39</v>
      </c>
      <c r="I41" t="s">
        <v>40</v>
      </c>
      <c r="J41" t="s">
        <v>25</v>
      </c>
      <c r="K41" t="s">
        <v>41</v>
      </c>
      <c r="L41" t="s">
        <v>37</v>
      </c>
      <c r="M41">
        <v>1</v>
      </c>
      <c r="N41" s="2"/>
      <c r="O41" s="3">
        <v>1499</v>
      </c>
      <c r="P41">
        <v>0</v>
      </c>
      <c r="Q41">
        <v>5</v>
      </c>
      <c r="R41" t="s">
        <v>28</v>
      </c>
      <c r="S41">
        <v>1</v>
      </c>
    </row>
    <row r="42" spans="1:19" ht="16.5" x14ac:dyDescent="0.3">
      <c r="A42" t="s">
        <v>88</v>
      </c>
      <c r="B42" s="1">
        <v>45296</v>
      </c>
      <c r="C42" s="1">
        <v>45306</v>
      </c>
      <c r="D42">
        <v>2024</v>
      </c>
      <c r="E42" t="s">
        <v>20</v>
      </c>
      <c r="F42" t="s">
        <v>21</v>
      </c>
      <c r="G42" t="s">
        <v>83</v>
      </c>
      <c r="H42" t="s">
        <v>23</v>
      </c>
      <c r="I42" t="s">
        <v>24</v>
      </c>
      <c r="J42" t="s">
        <v>43</v>
      </c>
      <c r="K42" t="s">
        <v>36</v>
      </c>
      <c r="L42" t="s">
        <v>44</v>
      </c>
      <c r="M42">
        <v>10</v>
      </c>
      <c r="N42" s="2">
        <v>21</v>
      </c>
      <c r="O42" s="3">
        <v>10357</v>
      </c>
      <c r="P42">
        <v>0</v>
      </c>
      <c r="Q42">
        <v>3</v>
      </c>
      <c r="R42" t="s">
        <v>33</v>
      </c>
      <c r="S42">
        <v>1</v>
      </c>
    </row>
    <row r="43" spans="1:19" ht="16.5" x14ac:dyDescent="0.3">
      <c r="A43" t="s">
        <v>89</v>
      </c>
      <c r="B43" s="1">
        <v>45296</v>
      </c>
      <c r="C43" s="1">
        <v>45302</v>
      </c>
      <c r="D43">
        <v>2024</v>
      </c>
      <c r="E43" t="s">
        <v>20</v>
      </c>
      <c r="F43" t="s">
        <v>21</v>
      </c>
      <c r="G43" t="s">
        <v>83</v>
      </c>
      <c r="H43" t="s">
        <v>23</v>
      </c>
      <c r="I43" t="s">
        <v>24</v>
      </c>
      <c r="J43" t="s">
        <v>25</v>
      </c>
      <c r="K43" t="s">
        <v>32</v>
      </c>
      <c r="L43" t="s">
        <v>27</v>
      </c>
      <c r="M43">
        <v>6</v>
      </c>
      <c r="N43" s="2">
        <v>121</v>
      </c>
      <c r="O43" s="3">
        <v>4930</v>
      </c>
      <c r="P43">
        <v>0</v>
      </c>
      <c r="Q43">
        <v>3</v>
      </c>
      <c r="R43" t="s">
        <v>33</v>
      </c>
      <c r="S43">
        <v>1</v>
      </c>
    </row>
    <row r="44" spans="1:19" ht="16.5" x14ac:dyDescent="0.3">
      <c r="A44" t="s">
        <v>90</v>
      </c>
      <c r="B44" s="1">
        <v>45296</v>
      </c>
      <c r="C44" s="1">
        <v>45300</v>
      </c>
      <c r="D44">
        <v>2024</v>
      </c>
      <c r="E44" t="s">
        <v>20</v>
      </c>
      <c r="F44" t="s">
        <v>21</v>
      </c>
      <c r="G44" t="s">
        <v>83</v>
      </c>
      <c r="H44" t="s">
        <v>30</v>
      </c>
      <c r="I44" t="s">
        <v>40</v>
      </c>
      <c r="J44" t="s">
        <v>43</v>
      </c>
      <c r="K44" t="s">
        <v>53</v>
      </c>
      <c r="L44" t="s">
        <v>44</v>
      </c>
      <c r="M44">
        <v>4</v>
      </c>
      <c r="N44" s="2"/>
      <c r="O44" s="3">
        <v>4110</v>
      </c>
      <c r="P44">
        <v>0</v>
      </c>
      <c r="Q44">
        <v>4</v>
      </c>
      <c r="R44" t="s">
        <v>33</v>
      </c>
      <c r="S44">
        <v>1</v>
      </c>
    </row>
    <row r="45" spans="1:19" ht="16.5" x14ac:dyDescent="0.3">
      <c r="A45" t="s">
        <v>91</v>
      </c>
      <c r="B45" s="1">
        <v>45296</v>
      </c>
      <c r="C45" s="1">
        <v>45301</v>
      </c>
      <c r="D45">
        <v>2024</v>
      </c>
      <c r="E45" t="s">
        <v>20</v>
      </c>
      <c r="F45" t="s">
        <v>21</v>
      </c>
      <c r="G45" t="s">
        <v>83</v>
      </c>
      <c r="H45" t="s">
        <v>30</v>
      </c>
      <c r="I45" t="s">
        <v>24</v>
      </c>
      <c r="J45" t="s">
        <v>43</v>
      </c>
      <c r="K45" t="s">
        <v>26</v>
      </c>
      <c r="L45" t="s">
        <v>44</v>
      </c>
      <c r="M45">
        <v>5</v>
      </c>
      <c r="N45" s="2">
        <v>155</v>
      </c>
      <c r="O45" s="3">
        <v>5921</v>
      </c>
      <c r="P45">
        <v>0</v>
      </c>
      <c r="Q45">
        <v>3</v>
      </c>
      <c r="R45" t="s">
        <v>33</v>
      </c>
      <c r="S45">
        <v>1</v>
      </c>
    </row>
    <row r="46" spans="1:19" ht="16.5" x14ac:dyDescent="0.3">
      <c r="A46" t="s">
        <v>92</v>
      </c>
      <c r="B46" s="1">
        <v>45296</v>
      </c>
      <c r="C46" s="1">
        <v>45304</v>
      </c>
      <c r="D46">
        <v>2024</v>
      </c>
      <c r="E46" t="s">
        <v>20</v>
      </c>
      <c r="F46" t="s">
        <v>21</v>
      </c>
      <c r="G46" t="s">
        <v>83</v>
      </c>
      <c r="H46" t="s">
        <v>23</v>
      </c>
      <c r="I46" t="s">
        <v>40</v>
      </c>
      <c r="J46" t="s">
        <v>43</v>
      </c>
      <c r="K46" t="s">
        <v>26</v>
      </c>
      <c r="L46" t="s">
        <v>27</v>
      </c>
      <c r="M46">
        <v>8</v>
      </c>
      <c r="N46" s="2"/>
      <c r="O46" s="3">
        <v>3595</v>
      </c>
      <c r="P46">
        <v>0</v>
      </c>
      <c r="Q46">
        <v>4</v>
      </c>
      <c r="R46" t="s">
        <v>33</v>
      </c>
      <c r="S46">
        <v>1</v>
      </c>
    </row>
    <row r="47" spans="1:19" ht="16.5" x14ac:dyDescent="0.3">
      <c r="A47" t="s">
        <v>93</v>
      </c>
      <c r="B47" s="1">
        <v>45296</v>
      </c>
      <c r="C47" s="1">
        <v>45298</v>
      </c>
      <c r="D47">
        <v>2024</v>
      </c>
      <c r="E47" t="s">
        <v>20</v>
      </c>
      <c r="F47" t="s">
        <v>21</v>
      </c>
      <c r="G47" t="s">
        <v>83</v>
      </c>
      <c r="H47" t="s">
        <v>23</v>
      </c>
      <c r="I47" t="s">
        <v>40</v>
      </c>
      <c r="J47" t="s">
        <v>43</v>
      </c>
      <c r="K47" t="s">
        <v>26</v>
      </c>
      <c r="L47" t="s">
        <v>27</v>
      </c>
      <c r="M47">
        <v>2</v>
      </c>
      <c r="N47" s="2"/>
      <c r="O47" s="3">
        <v>2310</v>
      </c>
      <c r="P47">
        <v>0</v>
      </c>
      <c r="Q47">
        <v>4</v>
      </c>
      <c r="R47" t="s">
        <v>33</v>
      </c>
      <c r="S47">
        <v>1</v>
      </c>
    </row>
    <row r="48" spans="1:19" ht="16.5" x14ac:dyDescent="0.3">
      <c r="A48" t="s">
        <v>94</v>
      </c>
      <c r="B48" s="1">
        <v>45296</v>
      </c>
      <c r="C48" s="1">
        <v>45302</v>
      </c>
      <c r="D48">
        <v>2024</v>
      </c>
      <c r="E48" t="s">
        <v>20</v>
      </c>
      <c r="F48" t="s">
        <v>21</v>
      </c>
      <c r="G48" t="s">
        <v>83</v>
      </c>
      <c r="H48" t="s">
        <v>50</v>
      </c>
      <c r="I48" t="s">
        <v>31</v>
      </c>
      <c r="J48" t="s">
        <v>43</v>
      </c>
      <c r="K48" t="s">
        <v>26</v>
      </c>
      <c r="L48" t="s">
        <v>37</v>
      </c>
      <c r="M48">
        <v>6</v>
      </c>
      <c r="N48" s="2"/>
      <c r="O48" s="3">
        <v>9234</v>
      </c>
      <c r="P48">
        <v>1</v>
      </c>
      <c r="Q48">
        <v>4</v>
      </c>
      <c r="R48" t="s">
        <v>33</v>
      </c>
      <c r="S48">
        <v>1</v>
      </c>
    </row>
    <row r="49" spans="1:19" ht="16.5" x14ac:dyDescent="0.3">
      <c r="A49" t="s">
        <v>95</v>
      </c>
      <c r="B49" s="1">
        <v>45296</v>
      </c>
      <c r="C49" s="1">
        <v>45299</v>
      </c>
      <c r="D49">
        <v>2024</v>
      </c>
      <c r="E49" t="s">
        <v>20</v>
      </c>
      <c r="F49" t="s">
        <v>21</v>
      </c>
      <c r="G49" t="s">
        <v>83</v>
      </c>
      <c r="H49" t="s">
        <v>23</v>
      </c>
      <c r="I49" t="s">
        <v>40</v>
      </c>
      <c r="J49" t="s">
        <v>43</v>
      </c>
      <c r="K49" t="s">
        <v>36</v>
      </c>
      <c r="L49" t="s">
        <v>27</v>
      </c>
      <c r="M49">
        <v>3</v>
      </c>
      <c r="N49" s="2"/>
      <c r="O49" s="3">
        <v>2221</v>
      </c>
      <c r="P49">
        <v>1</v>
      </c>
      <c r="Q49">
        <v>3</v>
      </c>
      <c r="R49" t="s">
        <v>28</v>
      </c>
      <c r="S49">
        <v>1</v>
      </c>
    </row>
    <row r="50" spans="1:19" ht="16.5" x14ac:dyDescent="0.3">
      <c r="A50" t="s">
        <v>96</v>
      </c>
      <c r="B50" s="1">
        <v>45296</v>
      </c>
      <c r="C50" s="1">
        <v>45299</v>
      </c>
      <c r="D50">
        <v>2024</v>
      </c>
      <c r="E50" t="s">
        <v>20</v>
      </c>
      <c r="F50" t="s">
        <v>21</v>
      </c>
      <c r="G50" t="s">
        <v>83</v>
      </c>
      <c r="H50" t="s">
        <v>50</v>
      </c>
      <c r="I50" t="s">
        <v>24</v>
      </c>
      <c r="J50" t="s">
        <v>25</v>
      </c>
      <c r="K50" t="s">
        <v>26</v>
      </c>
      <c r="L50" t="s">
        <v>37</v>
      </c>
      <c r="M50">
        <v>3</v>
      </c>
      <c r="N50" s="2">
        <v>34</v>
      </c>
      <c r="O50" s="3">
        <v>2752</v>
      </c>
      <c r="P50">
        <v>0</v>
      </c>
      <c r="Q50">
        <v>4</v>
      </c>
      <c r="R50" t="s">
        <v>33</v>
      </c>
      <c r="S50">
        <v>1</v>
      </c>
    </row>
    <row r="51" spans="1:19" ht="16.5" x14ac:dyDescent="0.3">
      <c r="A51" t="s">
        <v>97</v>
      </c>
      <c r="B51" s="1">
        <v>45296</v>
      </c>
      <c r="C51" s="1">
        <v>45298</v>
      </c>
      <c r="D51">
        <v>2024</v>
      </c>
      <c r="E51" t="s">
        <v>20</v>
      </c>
      <c r="F51" t="s">
        <v>21</v>
      </c>
      <c r="G51" t="s">
        <v>83</v>
      </c>
      <c r="H51" t="s">
        <v>23</v>
      </c>
      <c r="I51" t="s">
        <v>31</v>
      </c>
      <c r="J51" t="s">
        <v>25</v>
      </c>
      <c r="K51" t="s">
        <v>36</v>
      </c>
      <c r="L51" t="s">
        <v>44</v>
      </c>
      <c r="M51">
        <v>2</v>
      </c>
      <c r="N51" s="2"/>
      <c r="O51" s="3">
        <v>2220</v>
      </c>
      <c r="P51">
        <v>0</v>
      </c>
      <c r="Q51">
        <v>4</v>
      </c>
      <c r="R51" t="s">
        <v>33</v>
      </c>
      <c r="S51">
        <v>1</v>
      </c>
    </row>
    <row r="52" spans="1:19" ht="16.5" x14ac:dyDescent="0.3">
      <c r="A52" t="s">
        <v>98</v>
      </c>
      <c r="B52" s="1">
        <v>45296</v>
      </c>
      <c r="C52" s="1">
        <v>45299</v>
      </c>
      <c r="D52">
        <v>2024</v>
      </c>
      <c r="E52" t="s">
        <v>20</v>
      </c>
      <c r="F52" t="s">
        <v>21</v>
      </c>
      <c r="G52" t="s">
        <v>83</v>
      </c>
      <c r="H52" t="s">
        <v>23</v>
      </c>
      <c r="I52" t="s">
        <v>24</v>
      </c>
      <c r="J52" t="s">
        <v>25</v>
      </c>
      <c r="K52" t="s">
        <v>32</v>
      </c>
      <c r="L52" t="s">
        <v>44</v>
      </c>
      <c r="M52">
        <v>3</v>
      </c>
      <c r="N52" s="2">
        <v>25</v>
      </c>
      <c r="O52" s="3">
        <v>2671</v>
      </c>
      <c r="P52">
        <v>1</v>
      </c>
      <c r="Q52">
        <v>3</v>
      </c>
      <c r="R52" t="s">
        <v>28</v>
      </c>
      <c r="S52">
        <v>1</v>
      </c>
    </row>
    <row r="53" spans="1:19" ht="16.5" x14ac:dyDescent="0.3">
      <c r="A53" t="s">
        <v>99</v>
      </c>
      <c r="B53" s="1">
        <v>45296</v>
      </c>
      <c r="C53" s="1">
        <v>45300</v>
      </c>
      <c r="D53">
        <v>2024</v>
      </c>
      <c r="E53" t="s">
        <v>20</v>
      </c>
      <c r="F53" t="s">
        <v>21</v>
      </c>
      <c r="G53" t="s">
        <v>83</v>
      </c>
      <c r="H53" t="s">
        <v>30</v>
      </c>
      <c r="I53" t="s">
        <v>40</v>
      </c>
      <c r="J53" t="s">
        <v>25</v>
      </c>
      <c r="K53" t="s">
        <v>36</v>
      </c>
      <c r="L53" t="s">
        <v>37</v>
      </c>
      <c r="M53">
        <v>4</v>
      </c>
      <c r="N53" s="2"/>
      <c r="O53" s="3">
        <v>5545</v>
      </c>
      <c r="P53">
        <v>1</v>
      </c>
      <c r="Q53">
        <v>4</v>
      </c>
      <c r="R53" t="s">
        <v>33</v>
      </c>
      <c r="S53">
        <v>1</v>
      </c>
    </row>
    <row r="54" spans="1:19" ht="16.5" x14ac:dyDescent="0.3">
      <c r="A54" t="s">
        <v>100</v>
      </c>
      <c r="B54" s="1">
        <v>45296</v>
      </c>
      <c r="C54" s="1">
        <v>45302</v>
      </c>
      <c r="D54">
        <v>2024</v>
      </c>
      <c r="E54" t="s">
        <v>20</v>
      </c>
      <c r="F54" t="s">
        <v>21</v>
      </c>
      <c r="G54" t="s">
        <v>83</v>
      </c>
      <c r="H54" t="s">
        <v>52</v>
      </c>
      <c r="I54" t="s">
        <v>40</v>
      </c>
      <c r="J54" t="s">
        <v>25</v>
      </c>
      <c r="K54" t="s">
        <v>32</v>
      </c>
      <c r="L54" t="s">
        <v>44</v>
      </c>
      <c r="M54">
        <v>6</v>
      </c>
      <c r="N54" s="2"/>
      <c r="O54" s="3">
        <v>6676</v>
      </c>
      <c r="P54">
        <v>0</v>
      </c>
      <c r="Q54">
        <v>5</v>
      </c>
      <c r="R54" t="s">
        <v>28</v>
      </c>
      <c r="S54">
        <v>1</v>
      </c>
    </row>
    <row r="55" spans="1:19" ht="16.5" x14ac:dyDescent="0.3">
      <c r="A55" t="s">
        <v>101</v>
      </c>
      <c r="B55" s="1">
        <v>45297</v>
      </c>
      <c r="C55" s="1">
        <v>45298</v>
      </c>
      <c r="D55">
        <v>2024</v>
      </c>
      <c r="E55" t="s">
        <v>20</v>
      </c>
      <c r="F55" t="s">
        <v>21</v>
      </c>
      <c r="G55" t="s">
        <v>102</v>
      </c>
      <c r="H55" t="s">
        <v>35</v>
      </c>
      <c r="I55" t="s">
        <v>40</v>
      </c>
      <c r="J55" t="s">
        <v>25</v>
      </c>
      <c r="K55" t="s">
        <v>36</v>
      </c>
      <c r="L55" t="s">
        <v>44</v>
      </c>
      <c r="M55">
        <v>1</v>
      </c>
      <c r="N55" s="2"/>
      <c r="O55" s="3">
        <v>1706</v>
      </c>
      <c r="P55">
        <v>0</v>
      </c>
      <c r="Q55">
        <v>4</v>
      </c>
      <c r="R55" t="s">
        <v>33</v>
      </c>
      <c r="S55">
        <v>1</v>
      </c>
    </row>
    <row r="56" spans="1:19" ht="16.5" x14ac:dyDescent="0.3">
      <c r="A56" t="s">
        <v>103</v>
      </c>
      <c r="B56" s="1">
        <v>45297</v>
      </c>
      <c r="C56" s="1">
        <v>45301</v>
      </c>
      <c r="D56">
        <v>2024</v>
      </c>
      <c r="E56" t="s">
        <v>20</v>
      </c>
      <c r="F56" t="s">
        <v>21</v>
      </c>
      <c r="G56" t="s">
        <v>102</v>
      </c>
      <c r="H56" t="s">
        <v>50</v>
      </c>
      <c r="I56" t="s">
        <v>24</v>
      </c>
      <c r="J56" t="s">
        <v>25</v>
      </c>
      <c r="K56" t="s">
        <v>53</v>
      </c>
      <c r="L56" t="s">
        <v>37</v>
      </c>
      <c r="M56">
        <v>4</v>
      </c>
      <c r="N56" s="2">
        <v>77</v>
      </c>
      <c r="O56" s="3">
        <v>5322</v>
      </c>
      <c r="P56">
        <v>0</v>
      </c>
      <c r="Q56">
        <v>4</v>
      </c>
      <c r="R56" t="s">
        <v>33</v>
      </c>
      <c r="S56">
        <v>1</v>
      </c>
    </row>
    <row r="57" spans="1:19" ht="16.5" x14ac:dyDescent="0.3">
      <c r="A57" t="s">
        <v>104</v>
      </c>
      <c r="B57" s="1">
        <v>45297</v>
      </c>
      <c r="C57" s="1">
        <v>45299</v>
      </c>
      <c r="D57">
        <v>2024</v>
      </c>
      <c r="E57" t="s">
        <v>20</v>
      </c>
      <c r="F57" t="s">
        <v>21</v>
      </c>
      <c r="G57" t="s">
        <v>102</v>
      </c>
      <c r="H57" t="s">
        <v>35</v>
      </c>
      <c r="I57" t="s">
        <v>24</v>
      </c>
      <c r="J57" t="s">
        <v>25</v>
      </c>
      <c r="K57" t="s">
        <v>32</v>
      </c>
      <c r="L57" t="s">
        <v>27</v>
      </c>
      <c r="M57">
        <v>2</v>
      </c>
      <c r="N57" s="2">
        <v>21</v>
      </c>
      <c r="O57" s="3">
        <v>2501</v>
      </c>
      <c r="P57">
        <v>0</v>
      </c>
      <c r="Q57">
        <v>5</v>
      </c>
      <c r="R57" t="s">
        <v>28</v>
      </c>
      <c r="S57">
        <v>1</v>
      </c>
    </row>
    <row r="58" spans="1:19" ht="16.5" x14ac:dyDescent="0.3">
      <c r="A58" t="s">
        <v>105</v>
      </c>
      <c r="B58" s="1">
        <v>45297</v>
      </c>
      <c r="C58" s="1">
        <v>45301</v>
      </c>
      <c r="D58">
        <v>2024</v>
      </c>
      <c r="E58" t="s">
        <v>20</v>
      </c>
      <c r="F58" t="s">
        <v>21</v>
      </c>
      <c r="G58" t="s">
        <v>102</v>
      </c>
      <c r="H58" t="s">
        <v>52</v>
      </c>
      <c r="I58" t="s">
        <v>40</v>
      </c>
      <c r="J58" t="s">
        <v>43</v>
      </c>
      <c r="K58" t="s">
        <v>32</v>
      </c>
      <c r="L58" t="s">
        <v>44</v>
      </c>
      <c r="M58">
        <v>4</v>
      </c>
      <c r="N58" s="2"/>
      <c r="O58" s="3">
        <v>4355</v>
      </c>
      <c r="P58">
        <v>0</v>
      </c>
      <c r="Q58">
        <v>4</v>
      </c>
      <c r="R58" t="s">
        <v>28</v>
      </c>
      <c r="S58">
        <v>1</v>
      </c>
    </row>
    <row r="59" spans="1:19" ht="16.5" x14ac:dyDescent="0.3">
      <c r="A59" t="s">
        <v>106</v>
      </c>
      <c r="B59" s="1">
        <v>45297</v>
      </c>
      <c r="C59" s="1">
        <v>45300</v>
      </c>
      <c r="D59">
        <v>2024</v>
      </c>
      <c r="E59" t="s">
        <v>20</v>
      </c>
      <c r="F59" t="s">
        <v>21</v>
      </c>
      <c r="G59" t="s">
        <v>102</v>
      </c>
      <c r="H59" t="s">
        <v>52</v>
      </c>
      <c r="I59" t="s">
        <v>40</v>
      </c>
      <c r="J59" t="s">
        <v>43</v>
      </c>
      <c r="K59" t="s">
        <v>26</v>
      </c>
      <c r="L59" t="s">
        <v>44</v>
      </c>
      <c r="M59">
        <v>3</v>
      </c>
      <c r="N59" s="2"/>
      <c r="O59" s="3">
        <v>3113</v>
      </c>
      <c r="P59">
        <v>0</v>
      </c>
      <c r="Q59">
        <v>5</v>
      </c>
      <c r="R59" t="s">
        <v>28</v>
      </c>
      <c r="S59">
        <v>1</v>
      </c>
    </row>
    <row r="60" spans="1:19" ht="16.5" x14ac:dyDescent="0.3">
      <c r="A60" t="s">
        <v>107</v>
      </c>
      <c r="B60" s="1">
        <v>45297</v>
      </c>
      <c r="C60" s="1">
        <v>45298</v>
      </c>
      <c r="D60">
        <v>2024</v>
      </c>
      <c r="E60" t="s">
        <v>20</v>
      </c>
      <c r="F60" t="s">
        <v>21</v>
      </c>
      <c r="G60" t="s">
        <v>102</v>
      </c>
      <c r="H60" t="s">
        <v>35</v>
      </c>
      <c r="I60" t="s">
        <v>24</v>
      </c>
      <c r="J60" t="s">
        <v>25</v>
      </c>
      <c r="K60" t="s">
        <v>36</v>
      </c>
      <c r="L60" t="s">
        <v>44</v>
      </c>
      <c r="M60">
        <v>1</v>
      </c>
      <c r="N60" s="2">
        <v>149</v>
      </c>
      <c r="O60" s="3">
        <v>1396</v>
      </c>
      <c r="P60">
        <v>0</v>
      </c>
      <c r="Q60">
        <v>3</v>
      </c>
      <c r="R60" t="s">
        <v>33</v>
      </c>
      <c r="S60">
        <v>1</v>
      </c>
    </row>
    <row r="61" spans="1:19" ht="16.5" x14ac:dyDescent="0.3">
      <c r="A61" t="s">
        <v>108</v>
      </c>
      <c r="B61" s="1">
        <v>45297</v>
      </c>
      <c r="C61" s="1">
        <v>45302</v>
      </c>
      <c r="D61">
        <v>2024</v>
      </c>
      <c r="E61" t="s">
        <v>20</v>
      </c>
      <c r="F61" t="s">
        <v>21</v>
      </c>
      <c r="G61" t="s">
        <v>102</v>
      </c>
      <c r="H61" t="s">
        <v>50</v>
      </c>
      <c r="I61" t="s">
        <v>24</v>
      </c>
      <c r="J61" t="s">
        <v>43</v>
      </c>
      <c r="K61" t="s">
        <v>53</v>
      </c>
      <c r="L61" t="s">
        <v>37</v>
      </c>
      <c r="M61">
        <v>5</v>
      </c>
      <c r="N61" s="2">
        <v>85</v>
      </c>
      <c r="O61" s="3">
        <v>5893</v>
      </c>
      <c r="P61">
        <v>1</v>
      </c>
      <c r="Q61">
        <v>4</v>
      </c>
      <c r="R61" t="s">
        <v>28</v>
      </c>
      <c r="S61">
        <v>1</v>
      </c>
    </row>
    <row r="62" spans="1:19" ht="16.5" x14ac:dyDescent="0.3">
      <c r="A62" t="s">
        <v>109</v>
      </c>
      <c r="B62" s="1">
        <v>45297</v>
      </c>
      <c r="C62" s="1">
        <v>45300</v>
      </c>
      <c r="D62">
        <v>2024</v>
      </c>
      <c r="E62" t="s">
        <v>20</v>
      </c>
      <c r="F62" t="s">
        <v>21</v>
      </c>
      <c r="G62" t="s">
        <v>102</v>
      </c>
      <c r="H62" t="s">
        <v>23</v>
      </c>
      <c r="I62" t="s">
        <v>31</v>
      </c>
      <c r="J62" t="s">
        <v>43</v>
      </c>
      <c r="K62" t="s">
        <v>53</v>
      </c>
      <c r="L62" t="s">
        <v>27</v>
      </c>
      <c r="M62">
        <v>3</v>
      </c>
      <c r="N62" s="2"/>
      <c r="O62" s="3">
        <v>2385</v>
      </c>
      <c r="P62">
        <v>0</v>
      </c>
      <c r="Q62">
        <v>4</v>
      </c>
      <c r="R62" t="s">
        <v>33</v>
      </c>
      <c r="S62">
        <v>1</v>
      </c>
    </row>
    <row r="63" spans="1:19" ht="16.5" x14ac:dyDescent="0.3">
      <c r="A63" t="s">
        <v>110</v>
      </c>
      <c r="B63" s="1">
        <v>45297</v>
      </c>
      <c r="C63" s="1">
        <v>45301</v>
      </c>
      <c r="D63">
        <v>2024</v>
      </c>
      <c r="E63" t="s">
        <v>20</v>
      </c>
      <c r="F63" t="s">
        <v>21</v>
      </c>
      <c r="G63" t="s">
        <v>102</v>
      </c>
      <c r="H63" t="s">
        <v>39</v>
      </c>
      <c r="I63" t="s">
        <v>24</v>
      </c>
      <c r="J63" t="s">
        <v>43</v>
      </c>
      <c r="K63" t="s">
        <v>41</v>
      </c>
      <c r="L63" t="s">
        <v>37</v>
      </c>
      <c r="M63">
        <v>4</v>
      </c>
      <c r="N63" s="2">
        <v>18</v>
      </c>
      <c r="O63" s="3">
        <v>2784</v>
      </c>
      <c r="P63">
        <v>0</v>
      </c>
      <c r="Q63">
        <v>5</v>
      </c>
      <c r="R63" t="s">
        <v>28</v>
      </c>
      <c r="S63">
        <v>1</v>
      </c>
    </row>
    <row r="64" spans="1:19" ht="16.5" x14ac:dyDescent="0.3">
      <c r="A64" t="s">
        <v>111</v>
      </c>
      <c r="B64" s="1">
        <v>45298</v>
      </c>
      <c r="C64" s="1">
        <v>45306</v>
      </c>
      <c r="D64">
        <v>2024</v>
      </c>
      <c r="E64" t="s">
        <v>20</v>
      </c>
      <c r="F64" t="s">
        <v>21</v>
      </c>
      <c r="G64" t="s">
        <v>112</v>
      </c>
      <c r="H64" t="s">
        <v>50</v>
      </c>
      <c r="I64" t="s">
        <v>24</v>
      </c>
      <c r="J64" t="s">
        <v>43</v>
      </c>
      <c r="K64" t="s">
        <v>36</v>
      </c>
      <c r="L64" t="s">
        <v>37</v>
      </c>
      <c r="M64">
        <v>8</v>
      </c>
      <c r="N64" s="2">
        <v>37</v>
      </c>
      <c r="O64" s="3">
        <v>12536</v>
      </c>
      <c r="P64">
        <v>0</v>
      </c>
      <c r="Q64">
        <v>4</v>
      </c>
      <c r="R64" t="s">
        <v>33</v>
      </c>
      <c r="S64">
        <v>1</v>
      </c>
    </row>
    <row r="65" spans="1:19" ht="16.5" x14ac:dyDescent="0.3">
      <c r="A65" t="s">
        <v>113</v>
      </c>
      <c r="B65" s="1">
        <v>45298</v>
      </c>
      <c r="C65" s="1">
        <v>45300</v>
      </c>
      <c r="D65">
        <v>2024</v>
      </c>
      <c r="E65" t="s">
        <v>20</v>
      </c>
      <c r="F65" t="s">
        <v>21</v>
      </c>
      <c r="G65" t="s">
        <v>112</v>
      </c>
      <c r="H65" t="s">
        <v>39</v>
      </c>
      <c r="I65" t="s">
        <v>24</v>
      </c>
      <c r="J65" t="s">
        <v>25</v>
      </c>
      <c r="K65" t="s">
        <v>41</v>
      </c>
      <c r="L65" t="s">
        <v>44</v>
      </c>
      <c r="M65">
        <v>2</v>
      </c>
      <c r="N65" s="2">
        <v>39</v>
      </c>
      <c r="O65" s="3">
        <v>2084</v>
      </c>
      <c r="P65">
        <v>0</v>
      </c>
      <c r="Q65">
        <v>5</v>
      </c>
      <c r="R65" t="s">
        <v>28</v>
      </c>
      <c r="S65">
        <v>1</v>
      </c>
    </row>
    <row r="66" spans="1:19" ht="16.5" x14ac:dyDescent="0.3">
      <c r="A66" t="s">
        <v>114</v>
      </c>
      <c r="B66" s="1">
        <v>45298</v>
      </c>
      <c r="C66" s="1">
        <v>45304</v>
      </c>
      <c r="D66">
        <v>2024</v>
      </c>
      <c r="E66" t="s">
        <v>20</v>
      </c>
      <c r="F66" t="s">
        <v>21</v>
      </c>
      <c r="G66" t="s">
        <v>112</v>
      </c>
      <c r="H66" t="s">
        <v>39</v>
      </c>
      <c r="I66" t="s">
        <v>24</v>
      </c>
      <c r="J66" t="s">
        <v>43</v>
      </c>
      <c r="K66" t="s">
        <v>41</v>
      </c>
      <c r="L66" t="s">
        <v>44</v>
      </c>
      <c r="M66">
        <v>6</v>
      </c>
      <c r="N66" s="2">
        <v>51</v>
      </c>
      <c r="O66" s="3">
        <v>4828</v>
      </c>
      <c r="P66">
        <v>0</v>
      </c>
      <c r="Q66">
        <v>5</v>
      </c>
      <c r="R66" t="s">
        <v>33</v>
      </c>
      <c r="S66">
        <v>1</v>
      </c>
    </row>
    <row r="67" spans="1:19" ht="16.5" x14ac:dyDescent="0.3">
      <c r="A67" t="s">
        <v>115</v>
      </c>
      <c r="B67" s="1">
        <v>45298</v>
      </c>
      <c r="C67" s="1">
        <v>45299</v>
      </c>
      <c r="D67">
        <v>2024</v>
      </c>
      <c r="E67" t="s">
        <v>20</v>
      </c>
      <c r="F67" t="s">
        <v>21</v>
      </c>
      <c r="G67" t="s">
        <v>112</v>
      </c>
      <c r="H67" t="s">
        <v>23</v>
      </c>
      <c r="I67" t="s">
        <v>31</v>
      </c>
      <c r="J67" t="s">
        <v>25</v>
      </c>
      <c r="K67" t="s">
        <v>26</v>
      </c>
      <c r="L67" t="s">
        <v>37</v>
      </c>
      <c r="M67">
        <v>1</v>
      </c>
      <c r="N67" s="2"/>
      <c r="O67" s="3">
        <v>1761</v>
      </c>
      <c r="P67">
        <v>1</v>
      </c>
      <c r="Q67">
        <v>4</v>
      </c>
      <c r="R67" t="s">
        <v>33</v>
      </c>
      <c r="S67">
        <v>1</v>
      </c>
    </row>
    <row r="68" spans="1:19" ht="16.5" x14ac:dyDescent="0.3">
      <c r="A68" t="s">
        <v>116</v>
      </c>
      <c r="B68" s="1">
        <v>45298</v>
      </c>
      <c r="C68" s="1">
        <v>45310</v>
      </c>
      <c r="D68">
        <v>2024</v>
      </c>
      <c r="E68" t="s">
        <v>20</v>
      </c>
      <c r="F68" t="s">
        <v>21</v>
      </c>
      <c r="G68" t="s">
        <v>112</v>
      </c>
      <c r="H68" t="s">
        <v>23</v>
      </c>
      <c r="I68" t="s">
        <v>24</v>
      </c>
      <c r="J68" t="s">
        <v>43</v>
      </c>
      <c r="K68" t="s">
        <v>53</v>
      </c>
      <c r="L68" t="s">
        <v>27</v>
      </c>
      <c r="M68">
        <v>12</v>
      </c>
      <c r="N68" s="2">
        <v>27</v>
      </c>
      <c r="O68" s="3">
        <v>6810</v>
      </c>
      <c r="P68">
        <v>0</v>
      </c>
      <c r="Q68">
        <v>3</v>
      </c>
      <c r="R68" t="s">
        <v>33</v>
      </c>
      <c r="S68">
        <v>1</v>
      </c>
    </row>
    <row r="69" spans="1:19" ht="16.5" x14ac:dyDescent="0.3">
      <c r="A69" t="s">
        <v>117</v>
      </c>
      <c r="B69" s="1">
        <v>45298</v>
      </c>
      <c r="C69" s="1">
        <v>45301</v>
      </c>
      <c r="D69">
        <v>2024</v>
      </c>
      <c r="E69" t="s">
        <v>20</v>
      </c>
      <c r="F69" t="s">
        <v>21</v>
      </c>
      <c r="G69" t="s">
        <v>112</v>
      </c>
      <c r="H69" t="s">
        <v>35</v>
      </c>
      <c r="I69" t="s">
        <v>40</v>
      </c>
      <c r="J69" t="s">
        <v>25</v>
      </c>
      <c r="K69" t="s">
        <v>36</v>
      </c>
      <c r="L69" t="s">
        <v>27</v>
      </c>
      <c r="M69">
        <v>3</v>
      </c>
      <c r="N69" s="2"/>
      <c r="O69" s="3">
        <v>3315</v>
      </c>
      <c r="P69">
        <v>0</v>
      </c>
      <c r="Q69">
        <v>5</v>
      </c>
      <c r="R69" t="s">
        <v>33</v>
      </c>
      <c r="S69">
        <v>1</v>
      </c>
    </row>
    <row r="70" spans="1:19" ht="16.5" x14ac:dyDescent="0.3">
      <c r="A70" t="s">
        <v>118</v>
      </c>
      <c r="B70" s="1">
        <v>45298</v>
      </c>
      <c r="C70" s="1">
        <v>45300</v>
      </c>
      <c r="D70">
        <v>2024</v>
      </c>
      <c r="E70" t="s">
        <v>20</v>
      </c>
      <c r="F70" t="s">
        <v>21</v>
      </c>
      <c r="G70" t="s">
        <v>112</v>
      </c>
      <c r="H70" t="s">
        <v>39</v>
      </c>
      <c r="I70" t="s">
        <v>24</v>
      </c>
      <c r="J70" t="s">
        <v>25</v>
      </c>
      <c r="K70" t="s">
        <v>41</v>
      </c>
      <c r="L70" t="s">
        <v>44</v>
      </c>
      <c r="M70">
        <v>2</v>
      </c>
      <c r="N70" s="2">
        <v>33</v>
      </c>
      <c r="O70" s="3">
        <v>1849</v>
      </c>
      <c r="P70">
        <v>0</v>
      </c>
      <c r="Q70">
        <v>4</v>
      </c>
      <c r="R70" t="s">
        <v>28</v>
      </c>
      <c r="S70">
        <v>1</v>
      </c>
    </row>
    <row r="71" spans="1:19" ht="16.5" x14ac:dyDescent="0.3">
      <c r="A71" t="s">
        <v>119</v>
      </c>
      <c r="B71" s="1">
        <v>45298</v>
      </c>
      <c r="C71" s="1">
        <v>45300</v>
      </c>
      <c r="D71">
        <v>2024</v>
      </c>
      <c r="E71" t="s">
        <v>20</v>
      </c>
      <c r="F71" t="s">
        <v>21</v>
      </c>
      <c r="G71" t="s">
        <v>112</v>
      </c>
      <c r="H71" t="s">
        <v>39</v>
      </c>
      <c r="I71" t="s">
        <v>24</v>
      </c>
      <c r="J71" t="s">
        <v>25</v>
      </c>
      <c r="K71" t="s">
        <v>41</v>
      </c>
      <c r="L71" t="s">
        <v>27</v>
      </c>
      <c r="M71">
        <v>2</v>
      </c>
      <c r="N71" s="2">
        <v>62</v>
      </c>
      <c r="O71" s="3">
        <v>2252</v>
      </c>
      <c r="P71">
        <v>0</v>
      </c>
      <c r="Q71">
        <v>4</v>
      </c>
      <c r="R71" t="s">
        <v>28</v>
      </c>
      <c r="S71">
        <v>1</v>
      </c>
    </row>
    <row r="72" spans="1:19" ht="16.5" x14ac:dyDescent="0.3">
      <c r="A72" t="s">
        <v>120</v>
      </c>
      <c r="B72" s="1">
        <v>45298</v>
      </c>
      <c r="C72" s="1">
        <v>45307</v>
      </c>
      <c r="D72">
        <v>2024</v>
      </c>
      <c r="E72" t="s">
        <v>20</v>
      </c>
      <c r="F72" t="s">
        <v>21</v>
      </c>
      <c r="G72" t="s">
        <v>112</v>
      </c>
      <c r="H72" t="s">
        <v>30</v>
      </c>
      <c r="I72" t="s">
        <v>40</v>
      </c>
      <c r="J72" t="s">
        <v>43</v>
      </c>
      <c r="K72" t="s">
        <v>53</v>
      </c>
      <c r="L72" t="s">
        <v>27</v>
      </c>
      <c r="M72">
        <v>9</v>
      </c>
      <c r="N72" s="2"/>
      <c r="O72" s="3">
        <v>10819</v>
      </c>
      <c r="P72">
        <v>0</v>
      </c>
      <c r="Q72">
        <v>4</v>
      </c>
      <c r="R72" t="s">
        <v>33</v>
      </c>
      <c r="S72">
        <v>1</v>
      </c>
    </row>
    <row r="73" spans="1:19" ht="16.5" x14ac:dyDescent="0.3">
      <c r="A73" t="s">
        <v>121</v>
      </c>
      <c r="B73" s="1">
        <v>45298</v>
      </c>
      <c r="C73" s="1">
        <v>45300</v>
      </c>
      <c r="D73">
        <v>2024</v>
      </c>
      <c r="E73" t="s">
        <v>20</v>
      </c>
      <c r="F73" t="s">
        <v>21</v>
      </c>
      <c r="G73" t="s">
        <v>112</v>
      </c>
      <c r="H73" t="s">
        <v>23</v>
      </c>
      <c r="I73" t="s">
        <v>24</v>
      </c>
      <c r="J73" t="s">
        <v>43</v>
      </c>
      <c r="K73" t="s">
        <v>53</v>
      </c>
      <c r="L73" t="s">
        <v>44</v>
      </c>
      <c r="M73">
        <v>2</v>
      </c>
      <c r="N73" s="2">
        <v>119</v>
      </c>
      <c r="O73" s="3">
        <v>1750</v>
      </c>
      <c r="P73">
        <v>1</v>
      </c>
      <c r="Q73">
        <v>3</v>
      </c>
      <c r="R73" t="s">
        <v>33</v>
      </c>
      <c r="S73">
        <v>1</v>
      </c>
    </row>
    <row r="74" spans="1:19" ht="16.5" x14ac:dyDescent="0.3">
      <c r="A74" t="s">
        <v>122</v>
      </c>
      <c r="B74" s="1">
        <v>45298</v>
      </c>
      <c r="C74" s="1">
        <v>45299</v>
      </c>
      <c r="D74">
        <v>2024</v>
      </c>
      <c r="E74" t="s">
        <v>20</v>
      </c>
      <c r="F74" t="s">
        <v>21</v>
      </c>
      <c r="G74" t="s">
        <v>112</v>
      </c>
      <c r="H74" t="s">
        <v>35</v>
      </c>
      <c r="I74" t="s">
        <v>24</v>
      </c>
      <c r="J74" t="s">
        <v>25</v>
      </c>
      <c r="K74" t="s">
        <v>36</v>
      </c>
      <c r="L74" t="s">
        <v>27</v>
      </c>
      <c r="M74">
        <v>1</v>
      </c>
      <c r="N74" s="2">
        <v>31</v>
      </c>
      <c r="O74" s="3">
        <v>1606</v>
      </c>
      <c r="P74">
        <v>0</v>
      </c>
      <c r="Q74">
        <v>3</v>
      </c>
      <c r="R74" t="s">
        <v>33</v>
      </c>
      <c r="S74">
        <v>1</v>
      </c>
    </row>
    <row r="75" spans="1:19" ht="16.5" x14ac:dyDescent="0.3">
      <c r="A75" t="s">
        <v>123</v>
      </c>
      <c r="B75" s="1">
        <v>45298</v>
      </c>
      <c r="C75" s="1">
        <v>45300</v>
      </c>
      <c r="D75">
        <v>2024</v>
      </c>
      <c r="E75" t="s">
        <v>20</v>
      </c>
      <c r="F75" t="s">
        <v>21</v>
      </c>
      <c r="G75" t="s">
        <v>112</v>
      </c>
      <c r="H75" t="s">
        <v>23</v>
      </c>
      <c r="I75" t="s">
        <v>40</v>
      </c>
      <c r="J75" t="s">
        <v>43</v>
      </c>
      <c r="K75" t="s">
        <v>32</v>
      </c>
      <c r="L75" t="s">
        <v>27</v>
      </c>
      <c r="M75">
        <v>2</v>
      </c>
      <c r="N75" s="2"/>
      <c r="O75" s="3">
        <v>1862</v>
      </c>
      <c r="P75">
        <v>0</v>
      </c>
      <c r="Q75">
        <v>4</v>
      </c>
      <c r="R75" t="s">
        <v>33</v>
      </c>
      <c r="S75">
        <v>1</v>
      </c>
    </row>
    <row r="76" spans="1:19" ht="16.5" x14ac:dyDescent="0.3">
      <c r="A76" t="s">
        <v>124</v>
      </c>
      <c r="B76" s="1">
        <v>45298</v>
      </c>
      <c r="C76" s="1">
        <v>45300</v>
      </c>
      <c r="D76">
        <v>2024</v>
      </c>
      <c r="E76" t="s">
        <v>20</v>
      </c>
      <c r="F76" t="s">
        <v>21</v>
      </c>
      <c r="G76" t="s">
        <v>112</v>
      </c>
      <c r="H76" t="s">
        <v>23</v>
      </c>
      <c r="I76" t="s">
        <v>24</v>
      </c>
      <c r="J76" t="s">
        <v>43</v>
      </c>
      <c r="K76" t="s">
        <v>53</v>
      </c>
      <c r="L76" t="s">
        <v>27</v>
      </c>
      <c r="M76">
        <v>2</v>
      </c>
      <c r="N76" s="2">
        <v>53</v>
      </c>
      <c r="O76" s="3">
        <v>2485</v>
      </c>
      <c r="P76">
        <v>0</v>
      </c>
      <c r="Q76">
        <v>5</v>
      </c>
      <c r="R76" t="s">
        <v>33</v>
      </c>
      <c r="S76">
        <v>1</v>
      </c>
    </row>
    <row r="77" spans="1:19" ht="16.5" x14ac:dyDescent="0.3">
      <c r="A77" t="s">
        <v>125</v>
      </c>
      <c r="B77" s="1">
        <v>45298</v>
      </c>
      <c r="C77" s="1">
        <v>45302</v>
      </c>
      <c r="D77">
        <v>2024</v>
      </c>
      <c r="E77" t="s">
        <v>20</v>
      </c>
      <c r="F77" t="s">
        <v>21</v>
      </c>
      <c r="G77" t="s">
        <v>112</v>
      </c>
      <c r="H77" t="s">
        <v>39</v>
      </c>
      <c r="I77" t="s">
        <v>24</v>
      </c>
      <c r="J77" t="s">
        <v>43</v>
      </c>
      <c r="K77" t="s">
        <v>41</v>
      </c>
      <c r="L77" t="s">
        <v>27</v>
      </c>
      <c r="M77">
        <v>4</v>
      </c>
      <c r="N77" s="2">
        <v>47</v>
      </c>
      <c r="O77" s="3">
        <v>3073</v>
      </c>
      <c r="P77">
        <v>0</v>
      </c>
      <c r="Q77">
        <v>4</v>
      </c>
      <c r="R77" t="s">
        <v>59</v>
      </c>
      <c r="S77">
        <v>1</v>
      </c>
    </row>
    <row r="78" spans="1:19" ht="16.5" x14ac:dyDescent="0.3">
      <c r="A78" t="s">
        <v>126</v>
      </c>
      <c r="B78" s="1">
        <v>45298</v>
      </c>
      <c r="C78" s="1">
        <v>45300</v>
      </c>
      <c r="D78">
        <v>2024</v>
      </c>
      <c r="E78" t="s">
        <v>20</v>
      </c>
      <c r="F78" t="s">
        <v>21</v>
      </c>
      <c r="G78" t="s">
        <v>112</v>
      </c>
      <c r="H78" t="s">
        <v>39</v>
      </c>
      <c r="I78" t="s">
        <v>24</v>
      </c>
      <c r="J78" t="s">
        <v>43</v>
      </c>
      <c r="K78" t="s">
        <v>41</v>
      </c>
      <c r="L78" t="s">
        <v>44</v>
      </c>
      <c r="M78">
        <v>2</v>
      </c>
      <c r="N78" s="2">
        <v>98</v>
      </c>
      <c r="O78" s="3">
        <v>2203</v>
      </c>
      <c r="P78">
        <v>0</v>
      </c>
      <c r="Q78">
        <v>4</v>
      </c>
      <c r="R78" t="s">
        <v>33</v>
      </c>
      <c r="S78">
        <v>1</v>
      </c>
    </row>
    <row r="79" spans="1:19" ht="16.5" x14ac:dyDescent="0.3">
      <c r="A79" t="s">
        <v>127</v>
      </c>
      <c r="B79" s="1">
        <v>45299</v>
      </c>
      <c r="C79" s="1">
        <v>45304</v>
      </c>
      <c r="D79">
        <v>2024</v>
      </c>
      <c r="E79" t="s">
        <v>20</v>
      </c>
      <c r="F79" t="s">
        <v>21</v>
      </c>
      <c r="G79" t="s">
        <v>22</v>
      </c>
      <c r="H79" t="s">
        <v>39</v>
      </c>
      <c r="I79" t="s">
        <v>24</v>
      </c>
      <c r="J79" t="s">
        <v>25</v>
      </c>
      <c r="K79" t="s">
        <v>41</v>
      </c>
      <c r="L79" t="s">
        <v>37</v>
      </c>
      <c r="M79">
        <v>5</v>
      </c>
      <c r="N79" s="2">
        <v>166</v>
      </c>
      <c r="O79" s="3">
        <v>3882</v>
      </c>
      <c r="P79">
        <v>0</v>
      </c>
      <c r="Q79">
        <v>2</v>
      </c>
      <c r="R79" t="s">
        <v>33</v>
      </c>
      <c r="S79">
        <v>1</v>
      </c>
    </row>
    <row r="80" spans="1:19" ht="16.5" x14ac:dyDescent="0.3">
      <c r="A80" t="s">
        <v>128</v>
      </c>
      <c r="B80" s="1">
        <v>45299</v>
      </c>
      <c r="C80" s="1">
        <v>45304</v>
      </c>
      <c r="D80">
        <v>2024</v>
      </c>
      <c r="E80" t="s">
        <v>20</v>
      </c>
      <c r="F80" t="s">
        <v>21</v>
      </c>
      <c r="G80" t="s">
        <v>22</v>
      </c>
      <c r="H80" t="s">
        <v>23</v>
      </c>
      <c r="I80" t="s">
        <v>24</v>
      </c>
      <c r="J80" t="s">
        <v>43</v>
      </c>
      <c r="K80" t="s">
        <v>26</v>
      </c>
      <c r="L80" t="s">
        <v>37</v>
      </c>
      <c r="M80">
        <v>5</v>
      </c>
      <c r="N80" s="2">
        <v>19</v>
      </c>
      <c r="O80" s="3">
        <v>3935</v>
      </c>
      <c r="P80">
        <v>1</v>
      </c>
      <c r="Q80">
        <v>4</v>
      </c>
      <c r="R80" t="s">
        <v>33</v>
      </c>
      <c r="S80">
        <v>1</v>
      </c>
    </row>
    <row r="81" spans="1:19" ht="16.5" x14ac:dyDescent="0.3">
      <c r="A81" t="s">
        <v>129</v>
      </c>
      <c r="B81" s="1">
        <v>45299</v>
      </c>
      <c r="C81" s="1">
        <v>45301</v>
      </c>
      <c r="D81">
        <v>2024</v>
      </c>
      <c r="E81" t="s">
        <v>20</v>
      </c>
      <c r="F81" t="s">
        <v>21</v>
      </c>
      <c r="G81" t="s">
        <v>22</v>
      </c>
      <c r="H81" t="s">
        <v>39</v>
      </c>
      <c r="I81" t="s">
        <v>24</v>
      </c>
      <c r="J81" t="s">
        <v>25</v>
      </c>
      <c r="K81" t="s">
        <v>41</v>
      </c>
      <c r="L81" t="s">
        <v>44</v>
      </c>
      <c r="M81">
        <v>2</v>
      </c>
      <c r="N81" s="2">
        <v>154</v>
      </c>
      <c r="O81" s="3">
        <v>2199</v>
      </c>
      <c r="P81">
        <v>0</v>
      </c>
      <c r="Q81">
        <v>3</v>
      </c>
      <c r="R81" t="s">
        <v>28</v>
      </c>
      <c r="S81">
        <v>1</v>
      </c>
    </row>
    <row r="82" spans="1:19" ht="16.5" x14ac:dyDescent="0.3">
      <c r="A82" t="s">
        <v>130</v>
      </c>
      <c r="B82" s="1">
        <v>45299</v>
      </c>
      <c r="C82" s="1">
        <v>45303</v>
      </c>
      <c r="D82">
        <v>2024</v>
      </c>
      <c r="E82" t="s">
        <v>20</v>
      </c>
      <c r="F82" t="s">
        <v>21</v>
      </c>
      <c r="G82" t="s">
        <v>22</v>
      </c>
      <c r="H82" t="s">
        <v>30</v>
      </c>
      <c r="I82" t="s">
        <v>40</v>
      </c>
      <c r="J82" t="s">
        <v>43</v>
      </c>
      <c r="K82" t="s">
        <v>36</v>
      </c>
      <c r="L82" t="s">
        <v>27</v>
      </c>
      <c r="M82">
        <v>4</v>
      </c>
      <c r="N82" s="2"/>
      <c r="O82" s="3">
        <v>4888</v>
      </c>
      <c r="P82">
        <v>0</v>
      </c>
      <c r="Q82">
        <v>5</v>
      </c>
      <c r="R82" t="s">
        <v>28</v>
      </c>
      <c r="S82">
        <v>1</v>
      </c>
    </row>
    <row r="83" spans="1:19" ht="16.5" x14ac:dyDescent="0.3">
      <c r="A83" t="s">
        <v>131</v>
      </c>
      <c r="B83" s="1">
        <v>45299</v>
      </c>
      <c r="C83" s="1">
        <v>45305</v>
      </c>
      <c r="D83">
        <v>2024</v>
      </c>
      <c r="E83" t="s">
        <v>20</v>
      </c>
      <c r="F83" t="s">
        <v>21</v>
      </c>
      <c r="G83" t="s">
        <v>22</v>
      </c>
      <c r="H83" t="s">
        <v>50</v>
      </c>
      <c r="I83" t="s">
        <v>24</v>
      </c>
      <c r="J83" t="s">
        <v>43</v>
      </c>
      <c r="K83" t="s">
        <v>32</v>
      </c>
      <c r="L83" t="s">
        <v>44</v>
      </c>
      <c r="M83">
        <v>6</v>
      </c>
      <c r="N83" s="2">
        <v>72</v>
      </c>
      <c r="O83" s="3">
        <v>5751</v>
      </c>
      <c r="P83">
        <v>0</v>
      </c>
      <c r="Q83">
        <v>5</v>
      </c>
      <c r="R83" t="s">
        <v>33</v>
      </c>
      <c r="S83">
        <v>1</v>
      </c>
    </row>
    <row r="84" spans="1:19" ht="16.5" x14ac:dyDescent="0.3">
      <c r="A84" t="s">
        <v>132</v>
      </c>
      <c r="B84" s="1">
        <v>45299</v>
      </c>
      <c r="C84" s="1">
        <v>45304</v>
      </c>
      <c r="D84">
        <v>2024</v>
      </c>
      <c r="E84" t="s">
        <v>20</v>
      </c>
      <c r="F84" t="s">
        <v>21</v>
      </c>
      <c r="G84" t="s">
        <v>22</v>
      </c>
      <c r="H84" t="s">
        <v>30</v>
      </c>
      <c r="I84" t="s">
        <v>24</v>
      </c>
      <c r="J84" t="s">
        <v>25</v>
      </c>
      <c r="K84" t="s">
        <v>53</v>
      </c>
      <c r="L84" t="s">
        <v>44</v>
      </c>
      <c r="M84">
        <v>5</v>
      </c>
      <c r="N84" s="2">
        <v>81</v>
      </c>
      <c r="O84" s="3">
        <v>5849</v>
      </c>
      <c r="P84">
        <v>0</v>
      </c>
      <c r="Q84">
        <v>4</v>
      </c>
      <c r="R84" t="s">
        <v>28</v>
      </c>
      <c r="S84">
        <v>1</v>
      </c>
    </row>
    <row r="85" spans="1:19" ht="16.5" x14ac:dyDescent="0.3">
      <c r="A85" t="s">
        <v>133</v>
      </c>
      <c r="B85" s="1">
        <v>45299</v>
      </c>
      <c r="C85" s="1">
        <v>45301</v>
      </c>
      <c r="D85">
        <v>2024</v>
      </c>
      <c r="E85" t="s">
        <v>20</v>
      </c>
      <c r="F85" t="s">
        <v>21</v>
      </c>
      <c r="G85" t="s">
        <v>22</v>
      </c>
      <c r="H85" t="s">
        <v>30</v>
      </c>
      <c r="I85" t="s">
        <v>24</v>
      </c>
      <c r="J85" t="s">
        <v>25</v>
      </c>
      <c r="K85" t="s">
        <v>53</v>
      </c>
      <c r="L85" t="s">
        <v>44</v>
      </c>
      <c r="M85">
        <v>2</v>
      </c>
      <c r="N85" s="2">
        <v>39</v>
      </c>
      <c r="O85" s="3">
        <v>2774</v>
      </c>
      <c r="P85">
        <v>0</v>
      </c>
      <c r="Q85">
        <v>4</v>
      </c>
      <c r="R85" t="s">
        <v>28</v>
      </c>
      <c r="S85">
        <v>1</v>
      </c>
    </row>
    <row r="86" spans="1:19" ht="16.5" x14ac:dyDescent="0.3">
      <c r="A86" t="s">
        <v>134</v>
      </c>
      <c r="B86" s="1">
        <v>45299</v>
      </c>
      <c r="C86" s="1">
        <v>45303</v>
      </c>
      <c r="D86">
        <v>2024</v>
      </c>
      <c r="E86" t="s">
        <v>20</v>
      </c>
      <c r="F86" t="s">
        <v>21</v>
      </c>
      <c r="G86" t="s">
        <v>22</v>
      </c>
      <c r="H86" t="s">
        <v>23</v>
      </c>
      <c r="I86" t="s">
        <v>24</v>
      </c>
      <c r="J86" t="s">
        <v>43</v>
      </c>
      <c r="K86" t="s">
        <v>53</v>
      </c>
      <c r="L86" t="s">
        <v>27</v>
      </c>
      <c r="M86">
        <v>4</v>
      </c>
      <c r="N86" s="2">
        <v>79</v>
      </c>
      <c r="O86" s="3">
        <v>3143</v>
      </c>
      <c r="P86">
        <v>0</v>
      </c>
      <c r="Q86">
        <v>5</v>
      </c>
      <c r="R86" t="s">
        <v>33</v>
      </c>
      <c r="S86">
        <v>1</v>
      </c>
    </row>
    <row r="87" spans="1:19" ht="16.5" x14ac:dyDescent="0.3">
      <c r="A87" t="s">
        <v>135</v>
      </c>
      <c r="B87" s="1">
        <v>45299</v>
      </c>
      <c r="C87" s="1">
        <v>45301</v>
      </c>
      <c r="D87">
        <v>2024</v>
      </c>
      <c r="E87" t="s">
        <v>20</v>
      </c>
      <c r="F87" t="s">
        <v>21</v>
      </c>
      <c r="G87" t="s">
        <v>22</v>
      </c>
      <c r="H87" t="s">
        <v>35</v>
      </c>
      <c r="I87" t="s">
        <v>24</v>
      </c>
      <c r="J87" t="s">
        <v>25</v>
      </c>
      <c r="K87" t="s">
        <v>36</v>
      </c>
      <c r="L87" t="s">
        <v>44</v>
      </c>
      <c r="M87">
        <v>2</v>
      </c>
      <c r="N87" s="2">
        <v>39</v>
      </c>
      <c r="O87" s="3">
        <v>2070</v>
      </c>
      <c r="P87">
        <v>0</v>
      </c>
      <c r="Q87">
        <v>5</v>
      </c>
      <c r="R87" t="s">
        <v>33</v>
      </c>
      <c r="S87">
        <v>1</v>
      </c>
    </row>
    <row r="88" spans="1:19" ht="16.5" x14ac:dyDescent="0.3">
      <c r="A88" t="s">
        <v>136</v>
      </c>
      <c r="B88" s="1">
        <v>45300</v>
      </c>
      <c r="C88" s="1">
        <v>45303</v>
      </c>
      <c r="D88">
        <v>2024</v>
      </c>
      <c r="E88" t="s">
        <v>20</v>
      </c>
      <c r="F88" t="s">
        <v>21</v>
      </c>
      <c r="G88" t="s">
        <v>56</v>
      </c>
      <c r="H88" t="s">
        <v>52</v>
      </c>
      <c r="I88" t="s">
        <v>31</v>
      </c>
      <c r="J88" t="s">
        <v>25</v>
      </c>
      <c r="K88" t="s">
        <v>53</v>
      </c>
      <c r="L88" t="s">
        <v>44</v>
      </c>
      <c r="M88">
        <v>3</v>
      </c>
      <c r="N88" s="2"/>
      <c r="O88" s="3">
        <v>3974</v>
      </c>
      <c r="P88">
        <v>0</v>
      </c>
      <c r="Q88">
        <v>3</v>
      </c>
      <c r="R88" t="s">
        <v>33</v>
      </c>
      <c r="S88">
        <v>1</v>
      </c>
    </row>
    <row r="89" spans="1:19" ht="16.5" x14ac:dyDescent="0.3">
      <c r="A89" t="s">
        <v>137</v>
      </c>
      <c r="B89" s="1">
        <v>45300</v>
      </c>
      <c r="C89" s="1">
        <v>45313</v>
      </c>
      <c r="D89">
        <v>2024</v>
      </c>
      <c r="E89" t="s">
        <v>20</v>
      </c>
      <c r="F89" t="s">
        <v>21</v>
      </c>
      <c r="G89" t="s">
        <v>56</v>
      </c>
      <c r="H89" t="s">
        <v>23</v>
      </c>
      <c r="I89" t="s">
        <v>24</v>
      </c>
      <c r="J89" t="s">
        <v>43</v>
      </c>
      <c r="K89" t="s">
        <v>53</v>
      </c>
      <c r="L89" t="s">
        <v>37</v>
      </c>
      <c r="M89">
        <v>13</v>
      </c>
      <c r="N89" s="2">
        <v>23</v>
      </c>
      <c r="O89" s="3">
        <v>9829</v>
      </c>
      <c r="P89">
        <v>0</v>
      </c>
      <c r="Q89">
        <v>5</v>
      </c>
      <c r="R89" t="s">
        <v>33</v>
      </c>
      <c r="S89">
        <v>1</v>
      </c>
    </row>
    <row r="90" spans="1:19" ht="16.5" x14ac:dyDescent="0.3">
      <c r="A90" t="s">
        <v>138</v>
      </c>
      <c r="B90" s="1">
        <v>45300</v>
      </c>
      <c r="C90" s="1">
        <v>45303</v>
      </c>
      <c r="D90">
        <v>2024</v>
      </c>
      <c r="E90" t="s">
        <v>20</v>
      </c>
      <c r="F90" t="s">
        <v>21</v>
      </c>
      <c r="G90" t="s">
        <v>56</v>
      </c>
      <c r="H90" t="s">
        <v>30</v>
      </c>
      <c r="I90" t="s">
        <v>40</v>
      </c>
      <c r="J90" t="s">
        <v>43</v>
      </c>
      <c r="K90" t="s">
        <v>36</v>
      </c>
      <c r="L90" t="s">
        <v>27</v>
      </c>
      <c r="M90">
        <v>3</v>
      </c>
      <c r="N90" s="2"/>
      <c r="O90" s="3">
        <v>3390</v>
      </c>
      <c r="P90">
        <v>0</v>
      </c>
      <c r="Q90">
        <v>4</v>
      </c>
      <c r="R90" t="s">
        <v>28</v>
      </c>
      <c r="S90">
        <v>1</v>
      </c>
    </row>
    <row r="91" spans="1:19" ht="16.5" x14ac:dyDescent="0.3">
      <c r="A91" t="s">
        <v>139</v>
      </c>
      <c r="B91" s="1">
        <v>45300</v>
      </c>
      <c r="C91" s="1">
        <v>45312</v>
      </c>
      <c r="D91">
        <v>2024</v>
      </c>
      <c r="E91" t="s">
        <v>20</v>
      </c>
      <c r="F91" t="s">
        <v>21</v>
      </c>
      <c r="G91" t="s">
        <v>56</v>
      </c>
      <c r="H91" t="s">
        <v>50</v>
      </c>
      <c r="I91" t="s">
        <v>24</v>
      </c>
      <c r="J91" t="s">
        <v>25</v>
      </c>
      <c r="K91" t="s">
        <v>53</v>
      </c>
      <c r="L91" t="s">
        <v>44</v>
      </c>
      <c r="M91">
        <v>12</v>
      </c>
      <c r="N91" s="2">
        <v>119</v>
      </c>
      <c r="O91" s="3">
        <v>14817</v>
      </c>
      <c r="P91">
        <v>0</v>
      </c>
      <c r="Q91">
        <v>2</v>
      </c>
      <c r="R91" t="s">
        <v>33</v>
      </c>
      <c r="S91">
        <v>1</v>
      </c>
    </row>
    <row r="92" spans="1:19" ht="16.5" x14ac:dyDescent="0.3">
      <c r="A92" t="s">
        <v>140</v>
      </c>
      <c r="B92" s="1">
        <v>45300</v>
      </c>
      <c r="C92" s="1">
        <v>45301</v>
      </c>
      <c r="D92">
        <v>2024</v>
      </c>
      <c r="E92" t="s">
        <v>20</v>
      </c>
      <c r="F92" t="s">
        <v>21</v>
      </c>
      <c r="G92" t="s">
        <v>56</v>
      </c>
      <c r="H92" t="s">
        <v>52</v>
      </c>
      <c r="I92" t="s">
        <v>40</v>
      </c>
      <c r="J92" t="s">
        <v>25</v>
      </c>
      <c r="K92" t="s">
        <v>36</v>
      </c>
      <c r="L92" t="s">
        <v>44</v>
      </c>
      <c r="M92">
        <v>1</v>
      </c>
      <c r="N92" s="2"/>
      <c r="O92" s="3">
        <v>2169</v>
      </c>
      <c r="P92">
        <v>0</v>
      </c>
      <c r="Q92">
        <v>4</v>
      </c>
      <c r="R92" t="s">
        <v>33</v>
      </c>
      <c r="S92">
        <v>1</v>
      </c>
    </row>
    <row r="93" spans="1:19" ht="16.5" x14ac:dyDescent="0.3">
      <c r="A93" t="s">
        <v>141</v>
      </c>
      <c r="B93" s="1">
        <v>45300</v>
      </c>
      <c r="C93" s="1">
        <v>45306</v>
      </c>
      <c r="D93">
        <v>2024</v>
      </c>
      <c r="E93" t="s">
        <v>20</v>
      </c>
      <c r="F93" t="s">
        <v>21</v>
      </c>
      <c r="G93" t="s">
        <v>56</v>
      </c>
      <c r="H93" t="s">
        <v>52</v>
      </c>
      <c r="I93" t="s">
        <v>40</v>
      </c>
      <c r="J93" t="s">
        <v>43</v>
      </c>
      <c r="K93" t="s">
        <v>32</v>
      </c>
      <c r="L93" t="s">
        <v>27</v>
      </c>
      <c r="M93">
        <v>6</v>
      </c>
      <c r="N93" s="2"/>
      <c r="O93" s="3">
        <v>9863</v>
      </c>
      <c r="P93">
        <v>0</v>
      </c>
      <c r="Q93">
        <v>4</v>
      </c>
      <c r="R93" t="s">
        <v>33</v>
      </c>
      <c r="S93">
        <v>1</v>
      </c>
    </row>
    <row r="94" spans="1:19" ht="16.5" x14ac:dyDescent="0.3">
      <c r="A94" t="s">
        <v>142</v>
      </c>
      <c r="B94" s="1">
        <v>45301</v>
      </c>
      <c r="C94" s="1">
        <v>45307</v>
      </c>
      <c r="D94">
        <v>2024</v>
      </c>
      <c r="E94" t="s">
        <v>20</v>
      </c>
      <c r="F94" t="s">
        <v>21</v>
      </c>
      <c r="G94" t="s">
        <v>70</v>
      </c>
      <c r="H94" t="s">
        <v>50</v>
      </c>
      <c r="I94" t="s">
        <v>24</v>
      </c>
      <c r="J94" t="s">
        <v>43</v>
      </c>
      <c r="K94" t="s">
        <v>26</v>
      </c>
      <c r="L94" t="s">
        <v>37</v>
      </c>
      <c r="M94">
        <v>6</v>
      </c>
      <c r="N94" s="2">
        <v>37</v>
      </c>
      <c r="O94" s="3">
        <v>9612</v>
      </c>
      <c r="P94">
        <v>1</v>
      </c>
      <c r="Q94">
        <v>3</v>
      </c>
      <c r="R94" t="s">
        <v>28</v>
      </c>
      <c r="S94">
        <v>1</v>
      </c>
    </row>
    <row r="95" spans="1:19" ht="16.5" x14ac:dyDescent="0.3">
      <c r="A95" t="s">
        <v>143</v>
      </c>
      <c r="B95" s="1">
        <v>45301</v>
      </c>
      <c r="C95" s="1">
        <v>45302</v>
      </c>
      <c r="D95">
        <v>2024</v>
      </c>
      <c r="E95" t="s">
        <v>20</v>
      </c>
      <c r="F95" t="s">
        <v>21</v>
      </c>
      <c r="G95" t="s">
        <v>70</v>
      </c>
      <c r="H95" t="s">
        <v>39</v>
      </c>
      <c r="I95" t="s">
        <v>24</v>
      </c>
      <c r="J95" t="s">
        <v>43</v>
      </c>
      <c r="K95" t="s">
        <v>41</v>
      </c>
      <c r="L95" t="s">
        <v>27</v>
      </c>
      <c r="M95">
        <v>1</v>
      </c>
      <c r="N95" s="2">
        <v>81</v>
      </c>
      <c r="O95" s="3">
        <v>948</v>
      </c>
      <c r="P95">
        <v>0</v>
      </c>
      <c r="Q95">
        <v>4</v>
      </c>
      <c r="R95" t="s">
        <v>33</v>
      </c>
      <c r="S95">
        <v>1</v>
      </c>
    </row>
    <row r="96" spans="1:19" ht="16.5" x14ac:dyDescent="0.3">
      <c r="A96" t="s">
        <v>144</v>
      </c>
      <c r="B96" s="1">
        <v>45301</v>
      </c>
      <c r="C96" s="1">
        <v>45321</v>
      </c>
      <c r="D96">
        <v>2024</v>
      </c>
      <c r="E96" t="s">
        <v>20</v>
      </c>
      <c r="F96" t="s">
        <v>21</v>
      </c>
      <c r="G96" t="s">
        <v>70</v>
      </c>
      <c r="H96" t="s">
        <v>23</v>
      </c>
      <c r="I96" t="s">
        <v>24</v>
      </c>
      <c r="J96" t="s">
        <v>43</v>
      </c>
      <c r="K96" t="s">
        <v>26</v>
      </c>
      <c r="L96" t="s">
        <v>27</v>
      </c>
      <c r="M96">
        <v>20</v>
      </c>
      <c r="N96" s="2">
        <v>67</v>
      </c>
      <c r="O96" s="3">
        <v>12491</v>
      </c>
      <c r="P96">
        <v>1</v>
      </c>
      <c r="Q96">
        <v>4</v>
      </c>
      <c r="R96" t="s">
        <v>28</v>
      </c>
      <c r="S96">
        <v>1</v>
      </c>
    </row>
    <row r="97" spans="1:19" ht="16.5" x14ac:dyDescent="0.3">
      <c r="A97" t="s">
        <v>145</v>
      </c>
      <c r="B97" s="1">
        <v>45301</v>
      </c>
      <c r="C97" s="1">
        <v>45305</v>
      </c>
      <c r="D97">
        <v>2024</v>
      </c>
      <c r="E97" t="s">
        <v>20</v>
      </c>
      <c r="F97" t="s">
        <v>21</v>
      </c>
      <c r="G97" t="s">
        <v>70</v>
      </c>
      <c r="H97" t="s">
        <v>35</v>
      </c>
      <c r="I97" t="s">
        <v>24</v>
      </c>
      <c r="J97" t="s">
        <v>25</v>
      </c>
      <c r="K97" t="s">
        <v>32</v>
      </c>
      <c r="L97" t="s">
        <v>44</v>
      </c>
      <c r="M97">
        <v>4</v>
      </c>
      <c r="N97" s="2">
        <v>56</v>
      </c>
      <c r="O97" s="3">
        <v>3980</v>
      </c>
      <c r="P97">
        <v>0</v>
      </c>
      <c r="Q97">
        <v>4</v>
      </c>
      <c r="R97" t="s">
        <v>28</v>
      </c>
      <c r="S97">
        <v>1</v>
      </c>
    </row>
    <row r="98" spans="1:19" ht="16.5" x14ac:dyDescent="0.3">
      <c r="A98" t="s">
        <v>146</v>
      </c>
      <c r="B98" s="1">
        <v>45301</v>
      </c>
      <c r="C98" s="1">
        <v>45308</v>
      </c>
      <c r="D98">
        <v>2024</v>
      </c>
      <c r="E98" t="s">
        <v>20</v>
      </c>
      <c r="F98" t="s">
        <v>21</v>
      </c>
      <c r="G98" t="s">
        <v>70</v>
      </c>
      <c r="H98" t="s">
        <v>23</v>
      </c>
      <c r="I98" t="s">
        <v>24</v>
      </c>
      <c r="J98" t="s">
        <v>43</v>
      </c>
      <c r="K98" t="s">
        <v>26</v>
      </c>
      <c r="L98" t="s">
        <v>27</v>
      </c>
      <c r="M98">
        <v>7</v>
      </c>
      <c r="N98" s="2">
        <v>26</v>
      </c>
      <c r="O98" s="3">
        <v>4203</v>
      </c>
      <c r="P98">
        <v>0</v>
      </c>
      <c r="Q98">
        <v>4</v>
      </c>
      <c r="R98" t="s">
        <v>59</v>
      </c>
      <c r="S98">
        <v>1</v>
      </c>
    </row>
    <row r="99" spans="1:19" ht="16.5" x14ac:dyDescent="0.3">
      <c r="A99" t="s">
        <v>147</v>
      </c>
      <c r="B99" s="1">
        <v>45301</v>
      </c>
      <c r="C99" s="1">
        <v>45307</v>
      </c>
      <c r="D99">
        <v>2024</v>
      </c>
      <c r="E99" t="s">
        <v>20</v>
      </c>
      <c r="F99" t="s">
        <v>21</v>
      </c>
      <c r="G99" t="s">
        <v>70</v>
      </c>
      <c r="H99" t="s">
        <v>35</v>
      </c>
      <c r="I99" t="s">
        <v>40</v>
      </c>
      <c r="J99" t="s">
        <v>25</v>
      </c>
      <c r="K99" t="s">
        <v>32</v>
      </c>
      <c r="L99" t="s">
        <v>37</v>
      </c>
      <c r="M99">
        <v>6</v>
      </c>
      <c r="N99" s="2"/>
      <c r="O99" s="3">
        <v>5022</v>
      </c>
      <c r="P99">
        <v>0</v>
      </c>
      <c r="Q99">
        <v>5</v>
      </c>
      <c r="R99" t="s">
        <v>33</v>
      </c>
      <c r="S99">
        <v>1</v>
      </c>
    </row>
    <row r="100" spans="1:19" ht="16.5" x14ac:dyDescent="0.3">
      <c r="A100" t="s">
        <v>148</v>
      </c>
      <c r="B100" s="1">
        <v>45301</v>
      </c>
      <c r="C100" s="1">
        <v>45305</v>
      </c>
      <c r="D100">
        <v>2024</v>
      </c>
      <c r="E100" t="s">
        <v>20</v>
      </c>
      <c r="F100" t="s">
        <v>21</v>
      </c>
      <c r="G100" t="s">
        <v>70</v>
      </c>
      <c r="H100" t="s">
        <v>23</v>
      </c>
      <c r="I100" t="s">
        <v>24</v>
      </c>
      <c r="J100" t="s">
        <v>43</v>
      </c>
      <c r="K100" t="s">
        <v>26</v>
      </c>
      <c r="L100" t="s">
        <v>44</v>
      </c>
      <c r="M100">
        <v>4</v>
      </c>
      <c r="N100" s="2">
        <v>78</v>
      </c>
      <c r="O100" s="3">
        <v>2748</v>
      </c>
      <c r="P100">
        <v>0</v>
      </c>
      <c r="Q100">
        <v>5</v>
      </c>
      <c r="R100" t="s">
        <v>59</v>
      </c>
      <c r="S100">
        <v>1</v>
      </c>
    </row>
    <row r="101" spans="1:19" ht="16.5" x14ac:dyDescent="0.3">
      <c r="A101" t="s">
        <v>149</v>
      </c>
      <c r="B101" s="1">
        <v>45301</v>
      </c>
      <c r="C101" s="1">
        <v>45303</v>
      </c>
      <c r="D101">
        <v>2024</v>
      </c>
      <c r="E101" t="s">
        <v>20</v>
      </c>
      <c r="F101" t="s">
        <v>21</v>
      </c>
      <c r="G101" t="s">
        <v>70</v>
      </c>
      <c r="H101" t="s">
        <v>35</v>
      </c>
      <c r="I101" t="s">
        <v>24</v>
      </c>
      <c r="J101" t="s">
        <v>25</v>
      </c>
      <c r="K101" t="s">
        <v>32</v>
      </c>
      <c r="L101" t="s">
        <v>27</v>
      </c>
      <c r="M101">
        <v>2</v>
      </c>
      <c r="N101" s="2">
        <v>106</v>
      </c>
      <c r="O101" s="3">
        <v>1756</v>
      </c>
      <c r="P101">
        <v>0</v>
      </c>
      <c r="Q101">
        <v>2</v>
      </c>
      <c r="R101" t="s">
        <v>33</v>
      </c>
      <c r="S101">
        <v>1</v>
      </c>
    </row>
    <row r="102" spans="1:19" ht="16.5" x14ac:dyDescent="0.3">
      <c r="A102" t="s">
        <v>150</v>
      </c>
      <c r="B102" s="1">
        <v>45301</v>
      </c>
      <c r="C102" s="1">
        <v>45306</v>
      </c>
      <c r="D102">
        <v>2024</v>
      </c>
      <c r="E102" t="s">
        <v>20</v>
      </c>
      <c r="F102" t="s">
        <v>21</v>
      </c>
      <c r="G102" t="s">
        <v>70</v>
      </c>
      <c r="H102" t="s">
        <v>50</v>
      </c>
      <c r="I102" t="s">
        <v>24</v>
      </c>
      <c r="J102" t="s">
        <v>43</v>
      </c>
      <c r="K102" t="s">
        <v>32</v>
      </c>
      <c r="L102" t="s">
        <v>44</v>
      </c>
      <c r="M102">
        <v>5</v>
      </c>
      <c r="N102" s="2">
        <v>89</v>
      </c>
      <c r="O102" s="3">
        <v>7967</v>
      </c>
      <c r="P102">
        <v>0</v>
      </c>
      <c r="Q102">
        <v>4</v>
      </c>
      <c r="R102" t="s">
        <v>33</v>
      </c>
      <c r="S102">
        <v>1</v>
      </c>
    </row>
    <row r="103" spans="1:19" ht="16.5" x14ac:dyDescent="0.3">
      <c r="A103" t="s">
        <v>151</v>
      </c>
      <c r="B103" s="1">
        <v>45301</v>
      </c>
      <c r="C103" s="1">
        <v>45304</v>
      </c>
      <c r="D103">
        <v>2024</v>
      </c>
      <c r="E103" t="s">
        <v>20</v>
      </c>
      <c r="F103" t="s">
        <v>21</v>
      </c>
      <c r="G103" t="s">
        <v>70</v>
      </c>
      <c r="H103" t="s">
        <v>52</v>
      </c>
      <c r="I103" t="s">
        <v>40</v>
      </c>
      <c r="J103" t="s">
        <v>25</v>
      </c>
      <c r="K103" t="s">
        <v>53</v>
      </c>
      <c r="L103" t="s">
        <v>44</v>
      </c>
      <c r="M103">
        <v>3</v>
      </c>
      <c r="N103" s="2"/>
      <c r="O103" s="3">
        <v>3187</v>
      </c>
      <c r="P103">
        <v>0</v>
      </c>
      <c r="Q103">
        <v>4</v>
      </c>
      <c r="R103" t="s">
        <v>33</v>
      </c>
      <c r="S103">
        <v>1</v>
      </c>
    </row>
    <row r="104" spans="1:19" ht="16.5" x14ac:dyDescent="0.3">
      <c r="A104" t="s">
        <v>152</v>
      </c>
      <c r="B104" s="1">
        <v>45302</v>
      </c>
      <c r="C104" s="1">
        <v>45304</v>
      </c>
      <c r="D104">
        <v>2024</v>
      </c>
      <c r="E104" t="s">
        <v>20</v>
      </c>
      <c r="F104" t="s">
        <v>21</v>
      </c>
      <c r="G104" t="s">
        <v>78</v>
      </c>
      <c r="H104" t="s">
        <v>39</v>
      </c>
      <c r="I104" t="s">
        <v>40</v>
      </c>
      <c r="J104" t="s">
        <v>25</v>
      </c>
      <c r="K104" t="s">
        <v>41</v>
      </c>
      <c r="L104" t="s">
        <v>37</v>
      </c>
      <c r="M104">
        <v>2</v>
      </c>
      <c r="N104" s="2"/>
      <c r="O104" s="3">
        <v>2918</v>
      </c>
      <c r="P104">
        <v>0</v>
      </c>
      <c r="Q104">
        <v>5</v>
      </c>
      <c r="R104" t="s">
        <v>33</v>
      </c>
      <c r="S104">
        <v>1</v>
      </c>
    </row>
    <row r="105" spans="1:19" ht="16.5" x14ac:dyDescent="0.3">
      <c r="A105" t="s">
        <v>153</v>
      </c>
      <c r="B105" s="1">
        <v>45302</v>
      </c>
      <c r="C105" s="1">
        <v>45309</v>
      </c>
      <c r="D105">
        <v>2024</v>
      </c>
      <c r="E105" t="s">
        <v>20</v>
      </c>
      <c r="F105" t="s">
        <v>21</v>
      </c>
      <c r="G105" t="s">
        <v>78</v>
      </c>
      <c r="H105" t="s">
        <v>30</v>
      </c>
      <c r="I105" t="s">
        <v>40</v>
      </c>
      <c r="J105" t="s">
        <v>25</v>
      </c>
      <c r="K105" t="s">
        <v>53</v>
      </c>
      <c r="L105" t="s">
        <v>44</v>
      </c>
      <c r="M105">
        <v>7</v>
      </c>
      <c r="N105" s="2"/>
      <c r="O105" s="3">
        <v>7054</v>
      </c>
      <c r="P105">
        <v>0</v>
      </c>
      <c r="Q105">
        <v>4</v>
      </c>
      <c r="R105" t="s">
        <v>28</v>
      </c>
      <c r="S105">
        <v>1</v>
      </c>
    </row>
    <row r="106" spans="1:19" ht="16.5" x14ac:dyDescent="0.3">
      <c r="A106" t="s">
        <v>154</v>
      </c>
      <c r="B106" s="1">
        <v>45302</v>
      </c>
      <c r="C106" s="1">
        <v>45303</v>
      </c>
      <c r="D106">
        <v>2024</v>
      </c>
      <c r="E106" t="s">
        <v>20</v>
      </c>
      <c r="F106" t="s">
        <v>21</v>
      </c>
      <c r="G106" t="s">
        <v>78</v>
      </c>
      <c r="H106" t="s">
        <v>23</v>
      </c>
      <c r="I106" t="s">
        <v>24</v>
      </c>
      <c r="J106" t="s">
        <v>43</v>
      </c>
      <c r="K106" t="s">
        <v>32</v>
      </c>
      <c r="L106" t="s">
        <v>44</v>
      </c>
      <c r="M106">
        <v>1</v>
      </c>
      <c r="N106" s="2">
        <v>152</v>
      </c>
      <c r="O106" s="3">
        <v>1480</v>
      </c>
      <c r="P106">
        <v>0</v>
      </c>
      <c r="Q106">
        <v>4</v>
      </c>
      <c r="R106" t="s">
        <v>33</v>
      </c>
      <c r="S106">
        <v>1</v>
      </c>
    </row>
    <row r="107" spans="1:19" ht="16.5" x14ac:dyDescent="0.3">
      <c r="A107" t="s">
        <v>155</v>
      </c>
      <c r="B107" s="1">
        <v>45302</v>
      </c>
      <c r="C107" s="1">
        <v>45309</v>
      </c>
      <c r="D107">
        <v>2024</v>
      </c>
      <c r="E107" t="s">
        <v>20</v>
      </c>
      <c r="F107" t="s">
        <v>21</v>
      </c>
      <c r="G107" t="s">
        <v>78</v>
      </c>
      <c r="H107" t="s">
        <v>30</v>
      </c>
      <c r="I107" t="s">
        <v>24</v>
      </c>
      <c r="J107" t="s">
        <v>43</v>
      </c>
      <c r="K107" t="s">
        <v>32</v>
      </c>
      <c r="L107" t="s">
        <v>44</v>
      </c>
      <c r="M107">
        <v>7</v>
      </c>
      <c r="N107" s="2">
        <v>36</v>
      </c>
      <c r="O107" s="3">
        <v>6194</v>
      </c>
      <c r="P107">
        <v>0</v>
      </c>
      <c r="Q107">
        <v>3</v>
      </c>
      <c r="R107" t="s">
        <v>28</v>
      </c>
      <c r="S107">
        <v>1</v>
      </c>
    </row>
    <row r="108" spans="1:19" ht="16.5" x14ac:dyDescent="0.3">
      <c r="A108" t="s">
        <v>156</v>
      </c>
      <c r="B108" s="1">
        <v>45302</v>
      </c>
      <c r="C108" s="1">
        <v>45305</v>
      </c>
      <c r="D108">
        <v>2024</v>
      </c>
      <c r="E108" t="s">
        <v>20</v>
      </c>
      <c r="F108" t="s">
        <v>21</v>
      </c>
      <c r="G108" t="s">
        <v>78</v>
      </c>
      <c r="H108" t="s">
        <v>39</v>
      </c>
      <c r="I108" t="s">
        <v>40</v>
      </c>
      <c r="J108" t="s">
        <v>25</v>
      </c>
      <c r="K108" t="s">
        <v>41</v>
      </c>
      <c r="L108" t="s">
        <v>44</v>
      </c>
      <c r="M108">
        <v>3</v>
      </c>
      <c r="N108" s="2"/>
      <c r="O108" s="3">
        <v>2909</v>
      </c>
      <c r="P108">
        <v>0</v>
      </c>
      <c r="Q108">
        <v>4</v>
      </c>
      <c r="R108" t="s">
        <v>33</v>
      </c>
      <c r="S108">
        <v>1</v>
      </c>
    </row>
    <row r="109" spans="1:19" ht="16.5" x14ac:dyDescent="0.3">
      <c r="A109" t="s">
        <v>157</v>
      </c>
      <c r="B109" s="1">
        <v>45302</v>
      </c>
      <c r="C109" s="1">
        <v>45312</v>
      </c>
      <c r="D109">
        <v>2024</v>
      </c>
      <c r="E109" t="s">
        <v>20</v>
      </c>
      <c r="F109" t="s">
        <v>21</v>
      </c>
      <c r="G109" t="s">
        <v>78</v>
      </c>
      <c r="H109" t="s">
        <v>50</v>
      </c>
      <c r="I109" t="s">
        <v>40</v>
      </c>
      <c r="J109" t="s">
        <v>43</v>
      </c>
      <c r="K109" t="s">
        <v>26</v>
      </c>
      <c r="L109" t="s">
        <v>27</v>
      </c>
      <c r="M109">
        <v>10</v>
      </c>
      <c r="N109" s="2"/>
      <c r="O109" s="3">
        <v>11993</v>
      </c>
      <c r="P109">
        <v>0</v>
      </c>
      <c r="Q109">
        <v>5</v>
      </c>
      <c r="R109" t="s">
        <v>33</v>
      </c>
      <c r="S109">
        <v>1</v>
      </c>
    </row>
    <row r="110" spans="1:19" ht="16.5" x14ac:dyDescent="0.3">
      <c r="A110" t="s">
        <v>158</v>
      </c>
      <c r="B110" s="1">
        <v>45302</v>
      </c>
      <c r="C110" s="1">
        <v>45305</v>
      </c>
      <c r="D110">
        <v>2024</v>
      </c>
      <c r="E110" t="s">
        <v>20</v>
      </c>
      <c r="F110" t="s">
        <v>21</v>
      </c>
      <c r="G110" t="s">
        <v>78</v>
      </c>
      <c r="H110" t="s">
        <v>23</v>
      </c>
      <c r="I110" t="s">
        <v>40</v>
      </c>
      <c r="J110" t="s">
        <v>25</v>
      </c>
      <c r="K110" t="s">
        <v>32</v>
      </c>
      <c r="L110" t="s">
        <v>44</v>
      </c>
      <c r="M110">
        <v>3</v>
      </c>
      <c r="N110" s="2"/>
      <c r="O110" s="3">
        <v>3260</v>
      </c>
      <c r="P110">
        <v>0</v>
      </c>
      <c r="Q110">
        <v>3</v>
      </c>
      <c r="R110" t="s">
        <v>33</v>
      </c>
      <c r="S110">
        <v>1</v>
      </c>
    </row>
    <row r="111" spans="1:19" ht="16.5" x14ac:dyDescent="0.3">
      <c r="A111" t="s">
        <v>159</v>
      </c>
      <c r="B111" s="1">
        <v>45302</v>
      </c>
      <c r="C111" s="1">
        <v>45306</v>
      </c>
      <c r="D111">
        <v>2024</v>
      </c>
      <c r="E111" t="s">
        <v>20</v>
      </c>
      <c r="F111" t="s">
        <v>21</v>
      </c>
      <c r="G111" t="s">
        <v>78</v>
      </c>
      <c r="H111" t="s">
        <v>39</v>
      </c>
      <c r="I111" t="s">
        <v>24</v>
      </c>
      <c r="J111" t="s">
        <v>43</v>
      </c>
      <c r="K111" t="s">
        <v>41</v>
      </c>
      <c r="L111" t="s">
        <v>27</v>
      </c>
      <c r="M111">
        <v>4</v>
      </c>
      <c r="N111" s="2">
        <v>19</v>
      </c>
      <c r="O111" s="3">
        <v>2322</v>
      </c>
      <c r="P111">
        <v>0</v>
      </c>
      <c r="Q111">
        <v>4</v>
      </c>
      <c r="R111" t="s">
        <v>28</v>
      </c>
      <c r="S111">
        <v>1</v>
      </c>
    </row>
    <row r="112" spans="1:19" ht="16.5" x14ac:dyDescent="0.3">
      <c r="A112" t="s">
        <v>160</v>
      </c>
      <c r="B112" s="1">
        <v>45303</v>
      </c>
      <c r="C112" s="1">
        <v>45307</v>
      </c>
      <c r="D112">
        <v>2024</v>
      </c>
      <c r="E112" t="s">
        <v>20</v>
      </c>
      <c r="F112" t="s">
        <v>21</v>
      </c>
      <c r="G112" t="s">
        <v>83</v>
      </c>
      <c r="H112" t="s">
        <v>50</v>
      </c>
      <c r="I112" t="s">
        <v>24</v>
      </c>
      <c r="J112" t="s">
        <v>25</v>
      </c>
      <c r="K112" t="s">
        <v>53</v>
      </c>
      <c r="L112" t="s">
        <v>27</v>
      </c>
      <c r="M112">
        <v>4</v>
      </c>
      <c r="N112" s="2">
        <v>102</v>
      </c>
      <c r="O112" s="3">
        <v>3730</v>
      </c>
      <c r="P112">
        <v>0</v>
      </c>
      <c r="Q112">
        <v>4</v>
      </c>
      <c r="R112" t="s">
        <v>59</v>
      </c>
      <c r="S112">
        <v>1</v>
      </c>
    </row>
    <row r="113" spans="1:19" ht="16.5" x14ac:dyDescent="0.3">
      <c r="A113" t="s">
        <v>161</v>
      </c>
      <c r="B113" s="1">
        <v>45303</v>
      </c>
      <c r="C113" s="1">
        <v>45305</v>
      </c>
      <c r="D113">
        <v>2024</v>
      </c>
      <c r="E113" t="s">
        <v>20</v>
      </c>
      <c r="F113" t="s">
        <v>21</v>
      </c>
      <c r="G113" t="s">
        <v>83</v>
      </c>
      <c r="H113" t="s">
        <v>50</v>
      </c>
      <c r="I113" t="s">
        <v>24</v>
      </c>
      <c r="J113" t="s">
        <v>43</v>
      </c>
      <c r="K113" t="s">
        <v>32</v>
      </c>
      <c r="L113" t="s">
        <v>44</v>
      </c>
      <c r="M113">
        <v>2</v>
      </c>
      <c r="N113" s="2">
        <v>46</v>
      </c>
      <c r="O113" s="3">
        <v>2438</v>
      </c>
      <c r="P113">
        <v>0</v>
      </c>
      <c r="Q113">
        <v>5</v>
      </c>
      <c r="R113" t="s">
        <v>33</v>
      </c>
      <c r="S113">
        <v>1</v>
      </c>
    </row>
    <row r="114" spans="1:19" ht="16.5" x14ac:dyDescent="0.3">
      <c r="A114" t="s">
        <v>162</v>
      </c>
      <c r="B114" s="1">
        <v>45303</v>
      </c>
      <c r="C114" s="1">
        <v>45305</v>
      </c>
      <c r="D114">
        <v>2024</v>
      </c>
      <c r="E114" t="s">
        <v>20</v>
      </c>
      <c r="F114" t="s">
        <v>21</v>
      </c>
      <c r="G114" t="s">
        <v>83</v>
      </c>
      <c r="H114" t="s">
        <v>23</v>
      </c>
      <c r="I114" t="s">
        <v>31</v>
      </c>
      <c r="J114" t="s">
        <v>43</v>
      </c>
      <c r="K114" t="s">
        <v>26</v>
      </c>
      <c r="L114" t="s">
        <v>44</v>
      </c>
      <c r="M114">
        <v>2</v>
      </c>
      <c r="N114" s="2"/>
      <c r="O114" s="3">
        <v>2500</v>
      </c>
      <c r="P114">
        <v>0</v>
      </c>
      <c r="Q114">
        <v>4</v>
      </c>
      <c r="R114" t="s">
        <v>33</v>
      </c>
      <c r="S114">
        <v>1</v>
      </c>
    </row>
    <row r="115" spans="1:19" ht="16.5" x14ac:dyDescent="0.3">
      <c r="A115" t="s">
        <v>163</v>
      </c>
      <c r="B115" s="1">
        <v>45303</v>
      </c>
      <c r="C115" s="1">
        <v>45308</v>
      </c>
      <c r="D115">
        <v>2024</v>
      </c>
      <c r="E115" t="s">
        <v>20</v>
      </c>
      <c r="F115" t="s">
        <v>21</v>
      </c>
      <c r="G115" t="s">
        <v>83</v>
      </c>
      <c r="H115" t="s">
        <v>52</v>
      </c>
      <c r="I115" t="s">
        <v>40</v>
      </c>
      <c r="J115" t="s">
        <v>43</v>
      </c>
      <c r="K115" t="s">
        <v>26</v>
      </c>
      <c r="L115" t="s">
        <v>27</v>
      </c>
      <c r="M115">
        <v>5</v>
      </c>
      <c r="N115" s="2"/>
      <c r="O115" s="3">
        <v>4514</v>
      </c>
      <c r="P115">
        <v>0</v>
      </c>
      <c r="Q115">
        <v>4</v>
      </c>
      <c r="R115" t="s">
        <v>33</v>
      </c>
      <c r="S115">
        <v>1</v>
      </c>
    </row>
    <row r="116" spans="1:19" ht="16.5" x14ac:dyDescent="0.3">
      <c r="A116" t="s">
        <v>164</v>
      </c>
      <c r="B116" s="1">
        <v>45303</v>
      </c>
      <c r="C116" s="1">
        <v>45305</v>
      </c>
      <c r="D116">
        <v>2024</v>
      </c>
      <c r="E116" t="s">
        <v>20</v>
      </c>
      <c r="F116" t="s">
        <v>21</v>
      </c>
      <c r="G116" t="s">
        <v>83</v>
      </c>
      <c r="H116" t="s">
        <v>50</v>
      </c>
      <c r="I116" t="s">
        <v>31</v>
      </c>
      <c r="J116" t="s">
        <v>25</v>
      </c>
      <c r="K116" t="s">
        <v>26</v>
      </c>
      <c r="L116" t="s">
        <v>37</v>
      </c>
      <c r="M116">
        <v>2</v>
      </c>
      <c r="N116" s="2"/>
      <c r="O116" s="3">
        <v>3787</v>
      </c>
      <c r="P116">
        <v>0</v>
      </c>
      <c r="Q116">
        <v>3</v>
      </c>
      <c r="R116" t="s">
        <v>165</v>
      </c>
      <c r="S116">
        <v>1</v>
      </c>
    </row>
    <row r="117" spans="1:19" ht="16.5" x14ac:dyDescent="0.3">
      <c r="A117" t="s">
        <v>166</v>
      </c>
      <c r="B117" s="1">
        <v>45303</v>
      </c>
      <c r="C117" s="1">
        <v>45306</v>
      </c>
      <c r="D117">
        <v>2024</v>
      </c>
      <c r="E117" t="s">
        <v>20</v>
      </c>
      <c r="F117" t="s">
        <v>21</v>
      </c>
      <c r="G117" t="s">
        <v>83</v>
      </c>
      <c r="H117" t="s">
        <v>50</v>
      </c>
      <c r="I117" t="s">
        <v>40</v>
      </c>
      <c r="J117" t="s">
        <v>25</v>
      </c>
      <c r="K117" t="s">
        <v>53</v>
      </c>
      <c r="L117" t="s">
        <v>37</v>
      </c>
      <c r="M117">
        <v>3</v>
      </c>
      <c r="N117" s="2"/>
      <c r="O117" s="3">
        <v>3837</v>
      </c>
      <c r="P117">
        <v>0</v>
      </c>
      <c r="Q117">
        <v>4</v>
      </c>
      <c r="R117" t="s">
        <v>28</v>
      </c>
      <c r="S117">
        <v>1</v>
      </c>
    </row>
    <row r="118" spans="1:19" ht="16.5" x14ac:dyDescent="0.3">
      <c r="A118" t="s">
        <v>167</v>
      </c>
      <c r="B118" s="1">
        <v>45303</v>
      </c>
      <c r="C118" s="1">
        <v>45304</v>
      </c>
      <c r="D118">
        <v>2024</v>
      </c>
      <c r="E118" t="s">
        <v>20</v>
      </c>
      <c r="F118" t="s">
        <v>21</v>
      </c>
      <c r="G118" t="s">
        <v>83</v>
      </c>
      <c r="H118" t="s">
        <v>30</v>
      </c>
      <c r="I118" t="s">
        <v>40</v>
      </c>
      <c r="J118" t="s">
        <v>25</v>
      </c>
      <c r="K118" t="s">
        <v>36</v>
      </c>
      <c r="L118" t="s">
        <v>27</v>
      </c>
      <c r="M118">
        <v>1</v>
      </c>
      <c r="N118" s="2"/>
      <c r="O118" s="3">
        <v>1613</v>
      </c>
      <c r="P118">
        <v>0</v>
      </c>
      <c r="Q118">
        <v>4</v>
      </c>
      <c r="R118" t="s">
        <v>33</v>
      </c>
      <c r="S118">
        <v>1</v>
      </c>
    </row>
    <row r="119" spans="1:19" ht="16.5" x14ac:dyDescent="0.3">
      <c r="A119" t="s">
        <v>168</v>
      </c>
      <c r="B119" s="1">
        <v>45303</v>
      </c>
      <c r="C119" s="1">
        <v>45313</v>
      </c>
      <c r="D119">
        <v>2024</v>
      </c>
      <c r="E119" t="s">
        <v>20</v>
      </c>
      <c r="F119" t="s">
        <v>21</v>
      </c>
      <c r="G119" t="s">
        <v>83</v>
      </c>
      <c r="H119" t="s">
        <v>23</v>
      </c>
      <c r="I119" t="s">
        <v>31</v>
      </c>
      <c r="J119" t="s">
        <v>25</v>
      </c>
      <c r="K119" t="s">
        <v>53</v>
      </c>
      <c r="L119" t="s">
        <v>44</v>
      </c>
      <c r="M119">
        <v>10</v>
      </c>
      <c r="N119" s="2"/>
      <c r="O119" s="3">
        <v>6828</v>
      </c>
      <c r="P119">
        <v>0</v>
      </c>
      <c r="Q119">
        <v>4</v>
      </c>
      <c r="R119" t="s">
        <v>28</v>
      </c>
      <c r="S119">
        <v>1</v>
      </c>
    </row>
    <row r="120" spans="1:19" ht="16.5" x14ac:dyDescent="0.3">
      <c r="A120" t="s">
        <v>169</v>
      </c>
      <c r="B120" s="1">
        <v>45303</v>
      </c>
      <c r="C120" s="1">
        <v>45304</v>
      </c>
      <c r="D120">
        <v>2024</v>
      </c>
      <c r="E120" t="s">
        <v>20</v>
      </c>
      <c r="F120" t="s">
        <v>21</v>
      </c>
      <c r="G120" t="s">
        <v>83</v>
      </c>
      <c r="H120" t="s">
        <v>30</v>
      </c>
      <c r="I120" t="s">
        <v>40</v>
      </c>
      <c r="J120" t="s">
        <v>43</v>
      </c>
      <c r="K120" t="s">
        <v>36</v>
      </c>
      <c r="L120" t="s">
        <v>27</v>
      </c>
      <c r="M120">
        <v>1</v>
      </c>
      <c r="N120" s="2"/>
      <c r="O120" s="3">
        <v>2306</v>
      </c>
      <c r="P120">
        <v>1</v>
      </c>
      <c r="Q120">
        <v>4</v>
      </c>
      <c r="R120" t="s">
        <v>28</v>
      </c>
      <c r="S120">
        <v>1</v>
      </c>
    </row>
    <row r="121" spans="1:19" ht="16.5" x14ac:dyDescent="0.3">
      <c r="A121" t="s">
        <v>170</v>
      </c>
      <c r="B121" s="1">
        <v>45303</v>
      </c>
      <c r="C121" s="1">
        <v>45309</v>
      </c>
      <c r="D121">
        <v>2024</v>
      </c>
      <c r="E121" t="s">
        <v>20</v>
      </c>
      <c r="F121" t="s">
        <v>21</v>
      </c>
      <c r="G121" t="s">
        <v>83</v>
      </c>
      <c r="H121" t="s">
        <v>50</v>
      </c>
      <c r="I121" t="s">
        <v>24</v>
      </c>
      <c r="J121" t="s">
        <v>43</v>
      </c>
      <c r="K121" t="s">
        <v>53</v>
      </c>
      <c r="L121" t="s">
        <v>27</v>
      </c>
      <c r="M121">
        <v>6</v>
      </c>
      <c r="N121" s="2">
        <v>107</v>
      </c>
      <c r="O121" s="3">
        <v>5800</v>
      </c>
      <c r="P121">
        <v>0</v>
      </c>
      <c r="Q121">
        <v>3</v>
      </c>
      <c r="R121" t="s">
        <v>33</v>
      </c>
      <c r="S121">
        <v>1</v>
      </c>
    </row>
    <row r="122" spans="1:19" ht="16.5" x14ac:dyDescent="0.3">
      <c r="A122" t="s">
        <v>171</v>
      </c>
      <c r="B122" s="1">
        <v>45304</v>
      </c>
      <c r="C122" s="1">
        <v>45305</v>
      </c>
      <c r="D122">
        <v>2024</v>
      </c>
      <c r="E122" t="s">
        <v>20</v>
      </c>
      <c r="F122" t="s">
        <v>21</v>
      </c>
      <c r="G122" t="s">
        <v>102</v>
      </c>
      <c r="H122" t="s">
        <v>39</v>
      </c>
      <c r="I122" t="s">
        <v>24</v>
      </c>
      <c r="J122" t="s">
        <v>43</v>
      </c>
      <c r="K122" t="s">
        <v>41</v>
      </c>
      <c r="L122" t="s">
        <v>27</v>
      </c>
      <c r="M122">
        <v>1</v>
      </c>
      <c r="N122" s="2">
        <v>123</v>
      </c>
      <c r="O122" s="3">
        <v>1332</v>
      </c>
      <c r="P122">
        <v>0</v>
      </c>
      <c r="Q122">
        <v>2</v>
      </c>
      <c r="R122" t="s">
        <v>165</v>
      </c>
      <c r="S122">
        <v>1</v>
      </c>
    </row>
    <row r="123" spans="1:19" ht="16.5" x14ac:dyDescent="0.3">
      <c r="A123" t="s">
        <v>172</v>
      </c>
      <c r="B123" s="1">
        <v>45304</v>
      </c>
      <c r="C123" s="1">
        <v>45310</v>
      </c>
      <c r="D123">
        <v>2024</v>
      </c>
      <c r="E123" t="s">
        <v>20</v>
      </c>
      <c r="F123" t="s">
        <v>21</v>
      </c>
      <c r="G123" t="s">
        <v>102</v>
      </c>
      <c r="H123" t="s">
        <v>30</v>
      </c>
      <c r="I123" t="s">
        <v>40</v>
      </c>
      <c r="J123" t="s">
        <v>25</v>
      </c>
      <c r="K123" t="s">
        <v>26</v>
      </c>
      <c r="L123" t="s">
        <v>27</v>
      </c>
      <c r="M123">
        <v>6</v>
      </c>
      <c r="N123" s="2"/>
      <c r="O123" s="3">
        <v>8106</v>
      </c>
      <c r="P123">
        <v>0</v>
      </c>
      <c r="Q123">
        <v>4</v>
      </c>
      <c r="R123" t="s">
        <v>33</v>
      </c>
      <c r="S123">
        <v>1</v>
      </c>
    </row>
    <row r="124" spans="1:19" ht="16.5" x14ac:dyDescent="0.3">
      <c r="A124" t="s">
        <v>173</v>
      </c>
      <c r="B124" s="1">
        <v>45304</v>
      </c>
      <c r="C124" s="1">
        <v>45309</v>
      </c>
      <c r="D124">
        <v>2024</v>
      </c>
      <c r="E124" t="s">
        <v>20</v>
      </c>
      <c r="F124" t="s">
        <v>21</v>
      </c>
      <c r="G124" t="s">
        <v>102</v>
      </c>
      <c r="H124" t="s">
        <v>23</v>
      </c>
      <c r="I124" t="s">
        <v>24</v>
      </c>
      <c r="J124" t="s">
        <v>43</v>
      </c>
      <c r="K124" t="s">
        <v>26</v>
      </c>
      <c r="L124" t="s">
        <v>27</v>
      </c>
      <c r="M124">
        <v>5</v>
      </c>
      <c r="N124" s="2">
        <v>18</v>
      </c>
      <c r="O124" s="3">
        <v>4357</v>
      </c>
      <c r="P124">
        <v>0</v>
      </c>
      <c r="Q124">
        <v>3</v>
      </c>
      <c r="R124" t="s">
        <v>59</v>
      </c>
      <c r="S124">
        <v>1</v>
      </c>
    </row>
    <row r="125" spans="1:19" ht="16.5" x14ac:dyDescent="0.3">
      <c r="A125" t="s">
        <v>174</v>
      </c>
      <c r="B125" s="1">
        <v>45304</v>
      </c>
      <c r="C125" s="1">
        <v>45310</v>
      </c>
      <c r="D125">
        <v>2024</v>
      </c>
      <c r="E125" t="s">
        <v>20</v>
      </c>
      <c r="F125" t="s">
        <v>21</v>
      </c>
      <c r="G125" t="s">
        <v>102</v>
      </c>
      <c r="H125" t="s">
        <v>23</v>
      </c>
      <c r="I125" t="s">
        <v>31</v>
      </c>
      <c r="J125" t="s">
        <v>25</v>
      </c>
      <c r="K125" t="s">
        <v>53</v>
      </c>
      <c r="L125" t="s">
        <v>37</v>
      </c>
      <c r="M125">
        <v>6</v>
      </c>
      <c r="N125" s="2"/>
      <c r="O125" s="3">
        <v>4619</v>
      </c>
      <c r="P125">
        <v>0</v>
      </c>
      <c r="Q125">
        <v>5</v>
      </c>
      <c r="R125" t="s">
        <v>33</v>
      </c>
      <c r="S125">
        <v>1</v>
      </c>
    </row>
    <row r="126" spans="1:19" ht="16.5" x14ac:dyDescent="0.3">
      <c r="A126" t="s">
        <v>175</v>
      </c>
      <c r="B126" s="1">
        <v>45304</v>
      </c>
      <c r="C126" s="1">
        <v>45306</v>
      </c>
      <c r="D126">
        <v>2024</v>
      </c>
      <c r="E126" t="s">
        <v>20</v>
      </c>
      <c r="F126" t="s">
        <v>21</v>
      </c>
      <c r="G126" t="s">
        <v>102</v>
      </c>
      <c r="H126" t="s">
        <v>39</v>
      </c>
      <c r="I126" t="s">
        <v>40</v>
      </c>
      <c r="J126" t="s">
        <v>43</v>
      </c>
      <c r="K126" t="s">
        <v>41</v>
      </c>
      <c r="L126" t="s">
        <v>27</v>
      </c>
      <c r="M126">
        <v>2</v>
      </c>
      <c r="N126" s="2"/>
      <c r="O126" s="3">
        <v>1749</v>
      </c>
      <c r="P126">
        <v>0</v>
      </c>
      <c r="Q126">
        <v>4</v>
      </c>
      <c r="R126" t="s">
        <v>33</v>
      </c>
      <c r="S126">
        <v>1</v>
      </c>
    </row>
    <row r="127" spans="1:19" ht="16.5" x14ac:dyDescent="0.3">
      <c r="A127" t="s">
        <v>176</v>
      </c>
      <c r="B127" s="1">
        <v>45304</v>
      </c>
      <c r="C127" s="1">
        <v>45306</v>
      </c>
      <c r="D127">
        <v>2024</v>
      </c>
      <c r="E127" t="s">
        <v>20</v>
      </c>
      <c r="F127" t="s">
        <v>21</v>
      </c>
      <c r="G127" t="s">
        <v>102</v>
      </c>
      <c r="H127" t="s">
        <v>35</v>
      </c>
      <c r="I127" t="s">
        <v>24</v>
      </c>
      <c r="J127" t="s">
        <v>25</v>
      </c>
      <c r="K127" t="s">
        <v>36</v>
      </c>
      <c r="L127" t="s">
        <v>27</v>
      </c>
      <c r="M127">
        <v>2</v>
      </c>
      <c r="N127" s="2">
        <v>93</v>
      </c>
      <c r="O127" s="3">
        <v>2564</v>
      </c>
      <c r="P127">
        <v>0</v>
      </c>
      <c r="Q127">
        <v>3</v>
      </c>
      <c r="R127" t="s">
        <v>28</v>
      </c>
      <c r="S127">
        <v>1</v>
      </c>
    </row>
    <row r="128" spans="1:19" ht="16.5" x14ac:dyDescent="0.3">
      <c r="A128" t="s">
        <v>177</v>
      </c>
      <c r="B128" s="1">
        <v>45304</v>
      </c>
      <c r="C128" s="1">
        <v>45306</v>
      </c>
      <c r="D128">
        <v>2024</v>
      </c>
      <c r="E128" t="s">
        <v>20</v>
      </c>
      <c r="F128" t="s">
        <v>21</v>
      </c>
      <c r="G128" t="s">
        <v>102</v>
      </c>
      <c r="H128" t="s">
        <v>52</v>
      </c>
      <c r="I128" t="s">
        <v>40</v>
      </c>
      <c r="J128" t="s">
        <v>43</v>
      </c>
      <c r="K128" t="s">
        <v>32</v>
      </c>
      <c r="L128" t="s">
        <v>44</v>
      </c>
      <c r="M128">
        <v>2</v>
      </c>
      <c r="N128" s="2"/>
      <c r="O128" s="3">
        <v>2426</v>
      </c>
      <c r="P128">
        <v>0</v>
      </c>
      <c r="Q128">
        <v>4</v>
      </c>
      <c r="R128" t="s">
        <v>33</v>
      </c>
      <c r="S128">
        <v>1</v>
      </c>
    </row>
    <row r="129" spans="1:19" ht="16.5" x14ac:dyDescent="0.3">
      <c r="A129" t="s">
        <v>178</v>
      </c>
      <c r="B129" s="1">
        <v>45305</v>
      </c>
      <c r="C129" s="1">
        <v>45311</v>
      </c>
      <c r="D129">
        <v>2024</v>
      </c>
      <c r="E129" t="s">
        <v>20</v>
      </c>
      <c r="F129" t="s">
        <v>21</v>
      </c>
      <c r="G129" t="s">
        <v>112</v>
      </c>
      <c r="H129" t="s">
        <v>50</v>
      </c>
      <c r="I129" t="s">
        <v>24</v>
      </c>
      <c r="J129" t="s">
        <v>43</v>
      </c>
      <c r="K129" t="s">
        <v>53</v>
      </c>
      <c r="L129" t="s">
        <v>44</v>
      </c>
      <c r="M129">
        <v>6</v>
      </c>
      <c r="N129" s="2">
        <v>60</v>
      </c>
      <c r="O129" s="3">
        <v>8539</v>
      </c>
      <c r="P129">
        <v>0</v>
      </c>
      <c r="Q129">
        <v>5</v>
      </c>
      <c r="R129" t="s">
        <v>33</v>
      </c>
      <c r="S129">
        <v>1</v>
      </c>
    </row>
    <row r="130" spans="1:19" ht="16.5" x14ac:dyDescent="0.3">
      <c r="A130" t="s">
        <v>179</v>
      </c>
      <c r="B130" s="1">
        <v>45305</v>
      </c>
      <c r="C130" s="1">
        <v>45308</v>
      </c>
      <c r="D130">
        <v>2024</v>
      </c>
      <c r="E130" t="s">
        <v>20</v>
      </c>
      <c r="F130" t="s">
        <v>21</v>
      </c>
      <c r="G130" t="s">
        <v>112</v>
      </c>
      <c r="H130" t="s">
        <v>35</v>
      </c>
      <c r="I130" t="s">
        <v>24</v>
      </c>
      <c r="J130" t="s">
        <v>25</v>
      </c>
      <c r="K130" t="s">
        <v>36</v>
      </c>
      <c r="L130" t="s">
        <v>27</v>
      </c>
      <c r="M130">
        <v>3</v>
      </c>
      <c r="N130" s="2">
        <v>59</v>
      </c>
      <c r="O130" s="3">
        <v>2624</v>
      </c>
      <c r="P130">
        <v>0</v>
      </c>
      <c r="Q130">
        <v>5</v>
      </c>
      <c r="R130" t="s">
        <v>28</v>
      </c>
      <c r="S130">
        <v>1</v>
      </c>
    </row>
    <row r="131" spans="1:19" ht="16.5" x14ac:dyDescent="0.3">
      <c r="A131" t="s">
        <v>180</v>
      </c>
      <c r="B131" s="1">
        <v>45305</v>
      </c>
      <c r="C131" s="1">
        <v>45314</v>
      </c>
      <c r="D131">
        <v>2024</v>
      </c>
      <c r="E131" t="s">
        <v>20</v>
      </c>
      <c r="F131" t="s">
        <v>21</v>
      </c>
      <c r="G131" t="s">
        <v>112</v>
      </c>
      <c r="H131" t="s">
        <v>30</v>
      </c>
      <c r="I131" t="s">
        <v>24</v>
      </c>
      <c r="J131" t="s">
        <v>25</v>
      </c>
      <c r="K131" t="s">
        <v>26</v>
      </c>
      <c r="L131" t="s">
        <v>44</v>
      </c>
      <c r="M131">
        <v>9</v>
      </c>
      <c r="N131" s="2">
        <v>70</v>
      </c>
      <c r="O131" s="3">
        <v>12179</v>
      </c>
      <c r="P131">
        <v>0</v>
      </c>
      <c r="Q131">
        <v>4</v>
      </c>
      <c r="R131" t="s">
        <v>33</v>
      </c>
      <c r="S131">
        <v>1</v>
      </c>
    </row>
    <row r="132" spans="1:19" ht="16.5" x14ac:dyDescent="0.3">
      <c r="A132" t="s">
        <v>181</v>
      </c>
      <c r="B132" s="1">
        <v>45305</v>
      </c>
      <c r="C132" s="1">
        <v>45306</v>
      </c>
      <c r="D132">
        <v>2024</v>
      </c>
      <c r="E132" t="s">
        <v>20</v>
      </c>
      <c r="F132" t="s">
        <v>21</v>
      </c>
      <c r="G132" t="s">
        <v>112</v>
      </c>
      <c r="H132" t="s">
        <v>52</v>
      </c>
      <c r="I132" t="s">
        <v>40</v>
      </c>
      <c r="J132" t="s">
        <v>25</v>
      </c>
      <c r="K132" t="s">
        <v>26</v>
      </c>
      <c r="L132" t="s">
        <v>27</v>
      </c>
      <c r="M132">
        <v>1</v>
      </c>
      <c r="N132" s="2"/>
      <c r="O132" s="3">
        <v>1756</v>
      </c>
      <c r="P132">
        <v>0</v>
      </c>
      <c r="Q132">
        <v>5</v>
      </c>
      <c r="R132" t="s">
        <v>28</v>
      </c>
      <c r="S132">
        <v>1</v>
      </c>
    </row>
    <row r="133" spans="1:19" ht="16.5" x14ac:dyDescent="0.3">
      <c r="A133" t="s">
        <v>182</v>
      </c>
      <c r="B133" s="1">
        <v>45305</v>
      </c>
      <c r="C133" s="1">
        <v>45313</v>
      </c>
      <c r="D133">
        <v>2024</v>
      </c>
      <c r="E133" t="s">
        <v>20</v>
      </c>
      <c r="F133" t="s">
        <v>21</v>
      </c>
      <c r="G133" t="s">
        <v>112</v>
      </c>
      <c r="H133" t="s">
        <v>50</v>
      </c>
      <c r="I133" t="s">
        <v>24</v>
      </c>
      <c r="J133" t="s">
        <v>25</v>
      </c>
      <c r="K133" t="s">
        <v>36</v>
      </c>
      <c r="L133" t="s">
        <v>44</v>
      </c>
      <c r="M133">
        <v>8</v>
      </c>
      <c r="N133" s="2">
        <v>78</v>
      </c>
      <c r="O133" s="3">
        <v>8968</v>
      </c>
      <c r="P133">
        <v>1</v>
      </c>
      <c r="Q133">
        <v>4</v>
      </c>
      <c r="R133" t="s">
        <v>33</v>
      </c>
      <c r="S133">
        <v>1</v>
      </c>
    </row>
    <row r="134" spans="1:19" ht="16.5" x14ac:dyDescent="0.3">
      <c r="A134" t="s">
        <v>183</v>
      </c>
      <c r="B134" s="1">
        <v>45305</v>
      </c>
      <c r="C134" s="1">
        <v>45308</v>
      </c>
      <c r="D134">
        <v>2024</v>
      </c>
      <c r="E134" t="s">
        <v>20</v>
      </c>
      <c r="F134" t="s">
        <v>21</v>
      </c>
      <c r="G134" t="s">
        <v>112</v>
      </c>
      <c r="H134" t="s">
        <v>30</v>
      </c>
      <c r="I134" t="s">
        <v>40</v>
      </c>
      <c r="J134" t="s">
        <v>25</v>
      </c>
      <c r="K134" t="s">
        <v>36</v>
      </c>
      <c r="L134" t="s">
        <v>37</v>
      </c>
      <c r="M134">
        <v>3</v>
      </c>
      <c r="N134" s="2"/>
      <c r="O134" s="3">
        <v>2737</v>
      </c>
      <c r="P134">
        <v>0</v>
      </c>
      <c r="Q134">
        <v>5</v>
      </c>
      <c r="R134" t="s">
        <v>59</v>
      </c>
      <c r="S134">
        <v>1</v>
      </c>
    </row>
    <row r="135" spans="1:19" ht="16.5" x14ac:dyDescent="0.3">
      <c r="A135" t="s">
        <v>184</v>
      </c>
      <c r="B135" s="1">
        <v>45305</v>
      </c>
      <c r="C135" s="1">
        <v>45313</v>
      </c>
      <c r="D135">
        <v>2024</v>
      </c>
      <c r="E135" t="s">
        <v>20</v>
      </c>
      <c r="F135" t="s">
        <v>21</v>
      </c>
      <c r="G135" t="s">
        <v>112</v>
      </c>
      <c r="H135" t="s">
        <v>50</v>
      </c>
      <c r="I135" t="s">
        <v>24</v>
      </c>
      <c r="J135" t="s">
        <v>25</v>
      </c>
      <c r="K135" t="s">
        <v>26</v>
      </c>
      <c r="L135" t="s">
        <v>27</v>
      </c>
      <c r="M135">
        <v>8</v>
      </c>
      <c r="N135" s="2">
        <v>20</v>
      </c>
      <c r="O135" s="3">
        <v>12923</v>
      </c>
      <c r="P135">
        <v>0</v>
      </c>
      <c r="Q135">
        <v>3</v>
      </c>
      <c r="R135" t="s">
        <v>33</v>
      </c>
      <c r="S135">
        <v>1</v>
      </c>
    </row>
    <row r="136" spans="1:19" ht="16.5" x14ac:dyDescent="0.3">
      <c r="A136" t="s">
        <v>185</v>
      </c>
      <c r="B136" s="1">
        <v>45305</v>
      </c>
      <c r="C136" s="1">
        <v>45308</v>
      </c>
      <c r="D136">
        <v>2024</v>
      </c>
      <c r="E136" t="s">
        <v>20</v>
      </c>
      <c r="F136" t="s">
        <v>21</v>
      </c>
      <c r="G136" t="s">
        <v>112</v>
      </c>
      <c r="H136" t="s">
        <v>52</v>
      </c>
      <c r="I136" t="s">
        <v>40</v>
      </c>
      <c r="J136" t="s">
        <v>25</v>
      </c>
      <c r="K136" t="s">
        <v>26</v>
      </c>
      <c r="L136" t="s">
        <v>27</v>
      </c>
      <c r="M136">
        <v>3</v>
      </c>
      <c r="N136" s="2"/>
      <c r="O136" s="3">
        <v>4399</v>
      </c>
      <c r="P136">
        <v>0</v>
      </c>
      <c r="Q136">
        <v>4</v>
      </c>
      <c r="R136" t="s">
        <v>28</v>
      </c>
      <c r="S136">
        <v>1</v>
      </c>
    </row>
    <row r="137" spans="1:19" ht="16.5" x14ac:dyDescent="0.3">
      <c r="A137" t="s">
        <v>186</v>
      </c>
      <c r="B137" s="1">
        <v>45306</v>
      </c>
      <c r="C137" s="1">
        <v>45310</v>
      </c>
      <c r="D137">
        <v>2024</v>
      </c>
      <c r="E137" t="s">
        <v>20</v>
      </c>
      <c r="F137" t="s">
        <v>21</v>
      </c>
      <c r="G137" t="s">
        <v>22</v>
      </c>
      <c r="H137" t="s">
        <v>52</v>
      </c>
      <c r="I137" t="s">
        <v>40</v>
      </c>
      <c r="J137" t="s">
        <v>43</v>
      </c>
      <c r="K137" t="s">
        <v>26</v>
      </c>
      <c r="L137" t="s">
        <v>27</v>
      </c>
      <c r="M137">
        <v>4</v>
      </c>
      <c r="N137" s="2"/>
      <c r="O137" s="3">
        <v>4043</v>
      </c>
      <c r="P137">
        <v>0</v>
      </c>
      <c r="Q137">
        <v>4</v>
      </c>
      <c r="R137" t="s">
        <v>33</v>
      </c>
      <c r="S137">
        <v>1</v>
      </c>
    </row>
    <row r="138" spans="1:19" ht="16.5" x14ac:dyDescent="0.3">
      <c r="A138" t="s">
        <v>187</v>
      </c>
      <c r="B138" s="1">
        <v>45306</v>
      </c>
      <c r="C138" s="1">
        <v>45312</v>
      </c>
      <c r="D138">
        <v>2024</v>
      </c>
      <c r="E138" t="s">
        <v>20</v>
      </c>
      <c r="F138" t="s">
        <v>21</v>
      </c>
      <c r="G138" t="s">
        <v>22</v>
      </c>
      <c r="H138" t="s">
        <v>30</v>
      </c>
      <c r="I138" t="s">
        <v>40</v>
      </c>
      <c r="J138" t="s">
        <v>43</v>
      </c>
      <c r="K138" t="s">
        <v>36</v>
      </c>
      <c r="L138" t="s">
        <v>27</v>
      </c>
      <c r="M138">
        <v>6</v>
      </c>
      <c r="N138" s="2"/>
      <c r="O138" s="3">
        <v>7433</v>
      </c>
      <c r="P138">
        <v>0</v>
      </c>
      <c r="Q138">
        <v>5</v>
      </c>
      <c r="R138" t="s">
        <v>33</v>
      </c>
      <c r="S138">
        <v>1</v>
      </c>
    </row>
    <row r="139" spans="1:19" ht="16.5" x14ac:dyDescent="0.3">
      <c r="A139" t="s">
        <v>188</v>
      </c>
      <c r="B139" s="1">
        <v>45306</v>
      </c>
      <c r="C139" s="1">
        <v>45314</v>
      </c>
      <c r="D139">
        <v>2024</v>
      </c>
      <c r="E139" t="s">
        <v>20</v>
      </c>
      <c r="F139" t="s">
        <v>21</v>
      </c>
      <c r="G139" t="s">
        <v>22</v>
      </c>
      <c r="H139" t="s">
        <v>52</v>
      </c>
      <c r="I139" t="s">
        <v>24</v>
      </c>
      <c r="J139" t="s">
        <v>25</v>
      </c>
      <c r="K139" t="s">
        <v>26</v>
      </c>
      <c r="L139" t="s">
        <v>44</v>
      </c>
      <c r="M139">
        <v>8</v>
      </c>
      <c r="N139" s="2">
        <v>55</v>
      </c>
      <c r="O139" s="3">
        <v>6446</v>
      </c>
      <c r="P139">
        <v>0</v>
      </c>
      <c r="Q139">
        <v>5</v>
      </c>
      <c r="R139" t="s">
        <v>33</v>
      </c>
      <c r="S139">
        <v>1</v>
      </c>
    </row>
    <row r="140" spans="1:19" ht="16.5" x14ac:dyDescent="0.3">
      <c r="A140" t="s">
        <v>189</v>
      </c>
      <c r="B140" s="1">
        <v>45306</v>
      </c>
      <c r="C140" s="1">
        <v>45315</v>
      </c>
      <c r="D140">
        <v>2024</v>
      </c>
      <c r="E140" t="s">
        <v>20</v>
      </c>
      <c r="F140" t="s">
        <v>21</v>
      </c>
      <c r="G140" t="s">
        <v>22</v>
      </c>
      <c r="H140" t="s">
        <v>23</v>
      </c>
      <c r="I140" t="s">
        <v>24</v>
      </c>
      <c r="J140" t="s">
        <v>25</v>
      </c>
      <c r="K140" t="s">
        <v>26</v>
      </c>
      <c r="L140" t="s">
        <v>44</v>
      </c>
      <c r="M140">
        <v>9</v>
      </c>
      <c r="N140" s="2">
        <v>164</v>
      </c>
      <c r="O140" s="3">
        <v>6801</v>
      </c>
      <c r="P140">
        <v>0</v>
      </c>
      <c r="Q140">
        <v>2</v>
      </c>
      <c r="R140" t="s">
        <v>28</v>
      </c>
      <c r="S140">
        <v>1</v>
      </c>
    </row>
    <row r="141" spans="1:19" ht="16.5" x14ac:dyDescent="0.3">
      <c r="A141" t="s">
        <v>190</v>
      </c>
      <c r="B141" s="1">
        <v>45306</v>
      </c>
      <c r="C141" s="1">
        <v>45318</v>
      </c>
      <c r="D141">
        <v>2024</v>
      </c>
      <c r="E141" t="s">
        <v>20</v>
      </c>
      <c r="F141" t="s">
        <v>21</v>
      </c>
      <c r="G141" t="s">
        <v>22</v>
      </c>
      <c r="H141" t="s">
        <v>50</v>
      </c>
      <c r="I141" t="s">
        <v>24</v>
      </c>
      <c r="J141" t="s">
        <v>25</v>
      </c>
      <c r="K141" t="s">
        <v>53</v>
      </c>
      <c r="L141" t="s">
        <v>27</v>
      </c>
      <c r="M141">
        <v>12</v>
      </c>
      <c r="N141" s="2">
        <v>64</v>
      </c>
      <c r="O141" s="3">
        <v>17272</v>
      </c>
      <c r="P141">
        <v>0</v>
      </c>
      <c r="Q141">
        <v>4</v>
      </c>
      <c r="R141" t="s">
        <v>33</v>
      </c>
      <c r="S141">
        <v>1</v>
      </c>
    </row>
    <row r="142" spans="1:19" ht="16.5" x14ac:dyDescent="0.3">
      <c r="A142" t="s">
        <v>191</v>
      </c>
      <c r="B142" s="1">
        <v>45306</v>
      </c>
      <c r="C142" s="1">
        <v>45311</v>
      </c>
      <c r="D142">
        <v>2024</v>
      </c>
      <c r="E142" t="s">
        <v>20</v>
      </c>
      <c r="F142" t="s">
        <v>21</v>
      </c>
      <c r="G142" t="s">
        <v>22</v>
      </c>
      <c r="H142" t="s">
        <v>23</v>
      </c>
      <c r="I142" t="s">
        <v>24</v>
      </c>
      <c r="J142" t="s">
        <v>43</v>
      </c>
      <c r="K142" t="s">
        <v>53</v>
      </c>
      <c r="L142" t="s">
        <v>37</v>
      </c>
      <c r="M142">
        <v>5</v>
      </c>
      <c r="N142" s="2">
        <v>94</v>
      </c>
      <c r="O142" s="3">
        <v>3829</v>
      </c>
      <c r="P142">
        <v>0</v>
      </c>
      <c r="Q142">
        <v>3</v>
      </c>
      <c r="R142" t="s">
        <v>28</v>
      </c>
      <c r="S142">
        <v>1</v>
      </c>
    </row>
    <row r="143" spans="1:19" ht="16.5" x14ac:dyDescent="0.3">
      <c r="A143" t="s">
        <v>192</v>
      </c>
      <c r="B143" s="1">
        <v>45306</v>
      </c>
      <c r="C143" s="1">
        <v>45307</v>
      </c>
      <c r="D143">
        <v>2024</v>
      </c>
      <c r="E143" t="s">
        <v>20</v>
      </c>
      <c r="F143" t="s">
        <v>21</v>
      </c>
      <c r="G143" t="s">
        <v>22</v>
      </c>
      <c r="H143" t="s">
        <v>23</v>
      </c>
      <c r="I143" t="s">
        <v>31</v>
      </c>
      <c r="J143" t="s">
        <v>43</v>
      </c>
      <c r="K143" t="s">
        <v>36</v>
      </c>
      <c r="L143" t="s">
        <v>27</v>
      </c>
      <c r="M143">
        <v>1</v>
      </c>
      <c r="N143" s="2"/>
      <c r="O143" s="3">
        <v>1229</v>
      </c>
      <c r="P143">
        <v>0</v>
      </c>
      <c r="Q143">
        <v>3</v>
      </c>
      <c r="R143" t="s">
        <v>28</v>
      </c>
      <c r="S143">
        <v>1</v>
      </c>
    </row>
    <row r="144" spans="1:19" ht="16.5" x14ac:dyDescent="0.3">
      <c r="A144" t="s">
        <v>193</v>
      </c>
      <c r="B144" s="1">
        <v>45306</v>
      </c>
      <c r="C144" s="1">
        <v>45309</v>
      </c>
      <c r="D144">
        <v>2024</v>
      </c>
      <c r="E144" t="s">
        <v>20</v>
      </c>
      <c r="F144" t="s">
        <v>21</v>
      </c>
      <c r="G144" t="s">
        <v>22</v>
      </c>
      <c r="H144" t="s">
        <v>52</v>
      </c>
      <c r="I144" t="s">
        <v>40</v>
      </c>
      <c r="J144" t="s">
        <v>25</v>
      </c>
      <c r="K144" t="s">
        <v>32</v>
      </c>
      <c r="L144" t="s">
        <v>44</v>
      </c>
      <c r="M144">
        <v>3</v>
      </c>
      <c r="N144" s="2"/>
      <c r="O144" s="3">
        <v>4157</v>
      </c>
      <c r="P144">
        <v>1</v>
      </c>
      <c r="Q144">
        <v>4</v>
      </c>
      <c r="R144" t="s">
        <v>33</v>
      </c>
      <c r="S144">
        <v>1</v>
      </c>
    </row>
    <row r="145" spans="1:19" ht="16.5" x14ac:dyDescent="0.3">
      <c r="A145" t="s">
        <v>194</v>
      </c>
      <c r="B145" s="1">
        <v>45306</v>
      </c>
      <c r="C145" s="1">
        <v>45307</v>
      </c>
      <c r="D145">
        <v>2024</v>
      </c>
      <c r="E145" t="s">
        <v>20</v>
      </c>
      <c r="F145" t="s">
        <v>21</v>
      </c>
      <c r="G145" t="s">
        <v>22</v>
      </c>
      <c r="H145" t="s">
        <v>52</v>
      </c>
      <c r="I145" t="s">
        <v>40</v>
      </c>
      <c r="J145" t="s">
        <v>25</v>
      </c>
      <c r="K145" t="s">
        <v>53</v>
      </c>
      <c r="L145" t="s">
        <v>27</v>
      </c>
      <c r="M145">
        <v>1</v>
      </c>
      <c r="N145" s="2"/>
      <c r="O145" s="3">
        <v>1754</v>
      </c>
      <c r="P145">
        <v>0</v>
      </c>
      <c r="Q145">
        <v>4</v>
      </c>
      <c r="R145" t="s">
        <v>165</v>
      </c>
      <c r="S145">
        <v>1</v>
      </c>
    </row>
    <row r="146" spans="1:19" ht="16.5" x14ac:dyDescent="0.3">
      <c r="A146" t="s">
        <v>195</v>
      </c>
      <c r="B146" s="1">
        <v>45306</v>
      </c>
      <c r="C146" s="1">
        <v>45310</v>
      </c>
      <c r="D146">
        <v>2024</v>
      </c>
      <c r="E146" t="s">
        <v>20</v>
      </c>
      <c r="F146" t="s">
        <v>21</v>
      </c>
      <c r="G146" t="s">
        <v>22</v>
      </c>
      <c r="H146" t="s">
        <v>39</v>
      </c>
      <c r="I146" t="s">
        <v>31</v>
      </c>
      <c r="J146" t="s">
        <v>25</v>
      </c>
      <c r="K146" t="s">
        <v>41</v>
      </c>
      <c r="L146" t="s">
        <v>27</v>
      </c>
      <c r="M146">
        <v>4</v>
      </c>
      <c r="N146" s="2"/>
      <c r="O146" s="3">
        <v>3609</v>
      </c>
      <c r="P146">
        <v>0</v>
      </c>
      <c r="Q146">
        <v>5</v>
      </c>
      <c r="R146" t="s">
        <v>33</v>
      </c>
      <c r="S146">
        <v>1</v>
      </c>
    </row>
    <row r="147" spans="1:19" ht="16.5" x14ac:dyDescent="0.3">
      <c r="A147" t="s">
        <v>196</v>
      </c>
      <c r="B147" s="1">
        <v>45306</v>
      </c>
      <c r="C147" s="1">
        <v>45311</v>
      </c>
      <c r="D147">
        <v>2024</v>
      </c>
      <c r="E147" t="s">
        <v>20</v>
      </c>
      <c r="F147" t="s">
        <v>21</v>
      </c>
      <c r="G147" t="s">
        <v>22</v>
      </c>
      <c r="H147" t="s">
        <v>52</v>
      </c>
      <c r="I147" t="s">
        <v>40</v>
      </c>
      <c r="J147" t="s">
        <v>25</v>
      </c>
      <c r="K147" t="s">
        <v>32</v>
      </c>
      <c r="L147" t="s">
        <v>44</v>
      </c>
      <c r="M147">
        <v>5</v>
      </c>
      <c r="N147" s="2"/>
      <c r="O147" s="3">
        <v>6108</v>
      </c>
      <c r="P147">
        <v>0</v>
      </c>
      <c r="Q147">
        <v>4</v>
      </c>
      <c r="R147" t="s">
        <v>28</v>
      </c>
      <c r="S147">
        <v>1</v>
      </c>
    </row>
    <row r="148" spans="1:19" ht="16.5" x14ac:dyDescent="0.3">
      <c r="A148" t="s">
        <v>197</v>
      </c>
      <c r="B148" s="1">
        <v>45306</v>
      </c>
      <c r="C148" s="1">
        <v>45310</v>
      </c>
      <c r="D148">
        <v>2024</v>
      </c>
      <c r="E148" t="s">
        <v>20</v>
      </c>
      <c r="F148" t="s">
        <v>21</v>
      </c>
      <c r="G148" t="s">
        <v>22</v>
      </c>
      <c r="H148" t="s">
        <v>35</v>
      </c>
      <c r="I148" t="s">
        <v>40</v>
      </c>
      <c r="J148" t="s">
        <v>25</v>
      </c>
      <c r="K148" t="s">
        <v>32</v>
      </c>
      <c r="L148" t="s">
        <v>27</v>
      </c>
      <c r="M148">
        <v>4</v>
      </c>
      <c r="N148" s="2"/>
      <c r="O148" s="3">
        <v>3859</v>
      </c>
      <c r="P148">
        <v>0</v>
      </c>
      <c r="Q148">
        <v>4</v>
      </c>
      <c r="R148" t="s">
        <v>28</v>
      </c>
      <c r="S148">
        <v>1</v>
      </c>
    </row>
    <row r="149" spans="1:19" ht="16.5" x14ac:dyDescent="0.3">
      <c r="A149" t="s">
        <v>198</v>
      </c>
      <c r="B149" s="1">
        <v>45306</v>
      </c>
      <c r="C149" s="1">
        <v>45308</v>
      </c>
      <c r="D149">
        <v>2024</v>
      </c>
      <c r="E149" t="s">
        <v>20</v>
      </c>
      <c r="F149" t="s">
        <v>21</v>
      </c>
      <c r="G149" t="s">
        <v>22</v>
      </c>
      <c r="H149" t="s">
        <v>52</v>
      </c>
      <c r="I149" t="s">
        <v>40</v>
      </c>
      <c r="J149" t="s">
        <v>43</v>
      </c>
      <c r="K149" t="s">
        <v>26</v>
      </c>
      <c r="L149" t="s">
        <v>44</v>
      </c>
      <c r="M149">
        <v>2</v>
      </c>
      <c r="N149" s="2"/>
      <c r="O149" s="3">
        <v>2958</v>
      </c>
      <c r="P149">
        <v>0</v>
      </c>
      <c r="Q149">
        <v>5</v>
      </c>
      <c r="R149" t="s">
        <v>28</v>
      </c>
      <c r="S149">
        <v>1</v>
      </c>
    </row>
    <row r="150" spans="1:19" ht="16.5" x14ac:dyDescent="0.3">
      <c r="A150" t="s">
        <v>199</v>
      </c>
      <c r="B150" s="1">
        <v>45306</v>
      </c>
      <c r="C150" s="1">
        <v>45309</v>
      </c>
      <c r="D150">
        <v>2024</v>
      </c>
      <c r="E150" t="s">
        <v>20</v>
      </c>
      <c r="F150" t="s">
        <v>21</v>
      </c>
      <c r="G150" t="s">
        <v>22</v>
      </c>
      <c r="H150" t="s">
        <v>30</v>
      </c>
      <c r="I150" t="s">
        <v>40</v>
      </c>
      <c r="J150" t="s">
        <v>25</v>
      </c>
      <c r="K150" t="s">
        <v>32</v>
      </c>
      <c r="L150" t="s">
        <v>27</v>
      </c>
      <c r="M150">
        <v>3</v>
      </c>
      <c r="N150" s="2"/>
      <c r="O150" s="3">
        <v>4401</v>
      </c>
      <c r="P150">
        <v>0</v>
      </c>
      <c r="Q150">
        <v>5</v>
      </c>
      <c r="R150" t="s">
        <v>59</v>
      </c>
      <c r="S150">
        <v>1</v>
      </c>
    </row>
    <row r="151" spans="1:19" ht="16.5" x14ac:dyDescent="0.3">
      <c r="A151" t="s">
        <v>200</v>
      </c>
      <c r="B151" s="1">
        <v>45306</v>
      </c>
      <c r="C151" s="1">
        <v>45307</v>
      </c>
      <c r="D151">
        <v>2024</v>
      </c>
      <c r="E151" t="s">
        <v>20</v>
      </c>
      <c r="F151" t="s">
        <v>21</v>
      </c>
      <c r="G151" t="s">
        <v>22</v>
      </c>
      <c r="H151" t="s">
        <v>52</v>
      </c>
      <c r="I151" t="s">
        <v>40</v>
      </c>
      <c r="J151" t="s">
        <v>43</v>
      </c>
      <c r="K151" t="s">
        <v>53</v>
      </c>
      <c r="L151" t="s">
        <v>44</v>
      </c>
      <c r="M151">
        <v>1</v>
      </c>
      <c r="N151" s="2"/>
      <c r="O151" s="3">
        <v>1624</v>
      </c>
      <c r="P151">
        <v>0</v>
      </c>
      <c r="Q151">
        <v>4</v>
      </c>
      <c r="R151" t="s">
        <v>165</v>
      </c>
      <c r="S151">
        <v>1</v>
      </c>
    </row>
    <row r="152" spans="1:19" ht="16.5" x14ac:dyDescent="0.3">
      <c r="A152" t="s">
        <v>201</v>
      </c>
      <c r="B152" s="1">
        <v>45306</v>
      </c>
      <c r="C152" s="1">
        <v>45308</v>
      </c>
      <c r="D152">
        <v>2024</v>
      </c>
      <c r="E152" t="s">
        <v>20</v>
      </c>
      <c r="F152" t="s">
        <v>21</v>
      </c>
      <c r="G152" t="s">
        <v>22</v>
      </c>
      <c r="H152" t="s">
        <v>35</v>
      </c>
      <c r="I152" t="s">
        <v>24</v>
      </c>
      <c r="J152" t="s">
        <v>25</v>
      </c>
      <c r="K152" t="s">
        <v>32</v>
      </c>
      <c r="L152" t="s">
        <v>44</v>
      </c>
      <c r="M152">
        <v>2</v>
      </c>
      <c r="N152" s="2">
        <v>78</v>
      </c>
      <c r="O152" s="3">
        <v>2218</v>
      </c>
      <c r="P152">
        <v>0</v>
      </c>
      <c r="Q152">
        <v>5</v>
      </c>
      <c r="R152" t="s">
        <v>33</v>
      </c>
      <c r="S152">
        <v>1</v>
      </c>
    </row>
    <row r="153" spans="1:19" ht="16.5" x14ac:dyDescent="0.3">
      <c r="A153" t="s">
        <v>202</v>
      </c>
      <c r="B153" s="1">
        <v>45307</v>
      </c>
      <c r="C153" s="1">
        <v>45316</v>
      </c>
      <c r="D153">
        <v>2024</v>
      </c>
      <c r="E153" t="s">
        <v>20</v>
      </c>
      <c r="F153" t="s">
        <v>21</v>
      </c>
      <c r="G153" t="s">
        <v>56</v>
      </c>
      <c r="H153" t="s">
        <v>50</v>
      </c>
      <c r="I153" t="s">
        <v>24</v>
      </c>
      <c r="J153" t="s">
        <v>25</v>
      </c>
      <c r="K153" t="s">
        <v>32</v>
      </c>
      <c r="L153" t="s">
        <v>44</v>
      </c>
      <c r="M153">
        <v>9</v>
      </c>
      <c r="N153" s="2">
        <v>113</v>
      </c>
      <c r="O153" s="3">
        <v>9184</v>
      </c>
      <c r="P153">
        <v>0</v>
      </c>
      <c r="Q153">
        <v>3</v>
      </c>
      <c r="R153" t="s">
        <v>33</v>
      </c>
      <c r="S153">
        <v>1</v>
      </c>
    </row>
    <row r="154" spans="1:19" ht="16.5" x14ac:dyDescent="0.3">
      <c r="A154" t="s">
        <v>203</v>
      </c>
      <c r="B154" s="1">
        <v>45307</v>
      </c>
      <c r="C154" s="1">
        <v>45309</v>
      </c>
      <c r="D154">
        <v>2024</v>
      </c>
      <c r="E154" t="s">
        <v>20</v>
      </c>
      <c r="F154" t="s">
        <v>21</v>
      </c>
      <c r="G154" t="s">
        <v>56</v>
      </c>
      <c r="H154" t="s">
        <v>50</v>
      </c>
      <c r="I154" t="s">
        <v>24</v>
      </c>
      <c r="J154" t="s">
        <v>25</v>
      </c>
      <c r="K154" t="s">
        <v>26</v>
      </c>
      <c r="L154" t="s">
        <v>27</v>
      </c>
      <c r="M154">
        <v>2</v>
      </c>
      <c r="N154" s="2">
        <v>20</v>
      </c>
      <c r="O154" s="3">
        <v>2869</v>
      </c>
      <c r="P154">
        <v>0</v>
      </c>
      <c r="Q154">
        <v>4</v>
      </c>
      <c r="R154" t="s">
        <v>28</v>
      </c>
      <c r="S154">
        <v>1</v>
      </c>
    </row>
    <row r="155" spans="1:19" ht="16.5" x14ac:dyDescent="0.3">
      <c r="A155" t="s">
        <v>204</v>
      </c>
      <c r="B155" s="1">
        <v>45307</v>
      </c>
      <c r="C155" s="1">
        <v>45314</v>
      </c>
      <c r="D155">
        <v>2024</v>
      </c>
      <c r="E155" t="s">
        <v>20</v>
      </c>
      <c r="F155" t="s">
        <v>21</v>
      </c>
      <c r="G155" t="s">
        <v>56</v>
      </c>
      <c r="H155" t="s">
        <v>50</v>
      </c>
      <c r="I155" t="s">
        <v>24</v>
      </c>
      <c r="J155" t="s">
        <v>43</v>
      </c>
      <c r="K155" t="s">
        <v>32</v>
      </c>
      <c r="L155" t="s">
        <v>37</v>
      </c>
      <c r="M155">
        <v>7</v>
      </c>
      <c r="N155" s="2">
        <v>29</v>
      </c>
      <c r="O155" s="3">
        <v>11838</v>
      </c>
      <c r="P155">
        <v>0</v>
      </c>
      <c r="Q155">
        <v>4</v>
      </c>
      <c r="R155" t="s">
        <v>33</v>
      </c>
      <c r="S155">
        <v>1</v>
      </c>
    </row>
    <row r="156" spans="1:19" ht="16.5" x14ac:dyDescent="0.3">
      <c r="A156" t="s">
        <v>205</v>
      </c>
      <c r="B156" s="1">
        <v>45307</v>
      </c>
      <c r="C156" s="1">
        <v>45310</v>
      </c>
      <c r="D156">
        <v>2024</v>
      </c>
      <c r="E156" t="s">
        <v>20</v>
      </c>
      <c r="F156" t="s">
        <v>21</v>
      </c>
      <c r="G156" t="s">
        <v>56</v>
      </c>
      <c r="H156" t="s">
        <v>23</v>
      </c>
      <c r="I156" t="s">
        <v>40</v>
      </c>
      <c r="J156" t="s">
        <v>25</v>
      </c>
      <c r="K156" t="s">
        <v>32</v>
      </c>
      <c r="L156" t="s">
        <v>27</v>
      </c>
      <c r="M156">
        <v>3</v>
      </c>
      <c r="N156" s="2"/>
      <c r="O156" s="3">
        <v>2475</v>
      </c>
      <c r="P156">
        <v>0</v>
      </c>
      <c r="Q156">
        <v>4</v>
      </c>
      <c r="R156" t="s">
        <v>33</v>
      </c>
      <c r="S156">
        <v>1</v>
      </c>
    </row>
    <row r="157" spans="1:19" ht="16.5" x14ac:dyDescent="0.3">
      <c r="A157" t="s">
        <v>206</v>
      </c>
      <c r="B157" s="1">
        <v>45307</v>
      </c>
      <c r="C157" s="1">
        <v>45316</v>
      </c>
      <c r="D157">
        <v>2024</v>
      </c>
      <c r="E157" t="s">
        <v>20</v>
      </c>
      <c r="F157" t="s">
        <v>21</v>
      </c>
      <c r="G157" t="s">
        <v>56</v>
      </c>
      <c r="H157" t="s">
        <v>23</v>
      </c>
      <c r="I157" t="s">
        <v>40</v>
      </c>
      <c r="J157" t="s">
        <v>43</v>
      </c>
      <c r="K157" t="s">
        <v>53</v>
      </c>
      <c r="L157" t="s">
        <v>44</v>
      </c>
      <c r="M157">
        <v>9</v>
      </c>
      <c r="N157" s="2"/>
      <c r="O157" s="3">
        <v>7439</v>
      </c>
      <c r="P157">
        <v>0</v>
      </c>
      <c r="Q157">
        <v>4</v>
      </c>
      <c r="R157" t="s">
        <v>33</v>
      </c>
      <c r="S157">
        <v>1</v>
      </c>
    </row>
    <row r="158" spans="1:19" ht="16.5" x14ac:dyDescent="0.3">
      <c r="A158" t="s">
        <v>207</v>
      </c>
      <c r="B158" s="1">
        <v>45307</v>
      </c>
      <c r="C158" s="1">
        <v>45308</v>
      </c>
      <c r="D158">
        <v>2024</v>
      </c>
      <c r="E158" t="s">
        <v>20</v>
      </c>
      <c r="F158" t="s">
        <v>21</v>
      </c>
      <c r="G158" t="s">
        <v>56</v>
      </c>
      <c r="H158" t="s">
        <v>35</v>
      </c>
      <c r="I158" t="s">
        <v>31</v>
      </c>
      <c r="J158" t="s">
        <v>25</v>
      </c>
      <c r="K158" t="s">
        <v>36</v>
      </c>
      <c r="L158" t="s">
        <v>27</v>
      </c>
      <c r="M158">
        <v>1</v>
      </c>
      <c r="N158" s="2"/>
      <c r="O158" s="3">
        <v>1539</v>
      </c>
      <c r="P158">
        <v>0</v>
      </c>
      <c r="Q158">
        <v>4</v>
      </c>
      <c r="R158" t="s">
        <v>33</v>
      </c>
      <c r="S158">
        <v>1</v>
      </c>
    </row>
    <row r="159" spans="1:19" ht="16.5" x14ac:dyDescent="0.3">
      <c r="A159" t="s">
        <v>208</v>
      </c>
      <c r="B159" s="1">
        <v>45307</v>
      </c>
      <c r="C159" s="1">
        <v>45308</v>
      </c>
      <c r="D159">
        <v>2024</v>
      </c>
      <c r="E159" t="s">
        <v>20</v>
      </c>
      <c r="F159" t="s">
        <v>21</v>
      </c>
      <c r="G159" t="s">
        <v>56</v>
      </c>
      <c r="H159" t="s">
        <v>50</v>
      </c>
      <c r="I159" t="s">
        <v>40</v>
      </c>
      <c r="J159" t="s">
        <v>43</v>
      </c>
      <c r="K159" t="s">
        <v>53</v>
      </c>
      <c r="L159" t="s">
        <v>44</v>
      </c>
      <c r="M159">
        <v>1</v>
      </c>
      <c r="N159" s="2"/>
      <c r="O159" s="3">
        <v>2253</v>
      </c>
      <c r="P159">
        <v>0</v>
      </c>
      <c r="Q159">
        <v>5</v>
      </c>
      <c r="R159" t="s">
        <v>59</v>
      </c>
      <c r="S159">
        <v>1</v>
      </c>
    </row>
    <row r="160" spans="1:19" ht="16.5" x14ac:dyDescent="0.3">
      <c r="A160" t="s">
        <v>209</v>
      </c>
      <c r="B160" s="1">
        <v>45307</v>
      </c>
      <c r="C160" s="1">
        <v>45320</v>
      </c>
      <c r="D160">
        <v>2024</v>
      </c>
      <c r="E160" t="s">
        <v>20</v>
      </c>
      <c r="F160" t="s">
        <v>21</v>
      </c>
      <c r="G160" t="s">
        <v>56</v>
      </c>
      <c r="H160" t="s">
        <v>52</v>
      </c>
      <c r="I160" t="s">
        <v>40</v>
      </c>
      <c r="J160" t="s">
        <v>43</v>
      </c>
      <c r="K160" t="s">
        <v>53</v>
      </c>
      <c r="L160" t="s">
        <v>44</v>
      </c>
      <c r="M160">
        <v>13</v>
      </c>
      <c r="N160" s="2"/>
      <c r="O160" s="3">
        <v>12664</v>
      </c>
      <c r="P160">
        <v>0</v>
      </c>
      <c r="Q160">
        <v>3</v>
      </c>
      <c r="R160" t="s">
        <v>33</v>
      </c>
      <c r="S160">
        <v>1</v>
      </c>
    </row>
    <row r="161" spans="1:19" ht="16.5" x14ac:dyDescent="0.3">
      <c r="A161" t="s">
        <v>210</v>
      </c>
      <c r="B161" s="1">
        <v>45308</v>
      </c>
      <c r="C161" s="1">
        <v>45309</v>
      </c>
      <c r="D161">
        <v>2024</v>
      </c>
      <c r="E161" t="s">
        <v>20</v>
      </c>
      <c r="F161" t="s">
        <v>21</v>
      </c>
      <c r="G161" t="s">
        <v>70</v>
      </c>
      <c r="H161" t="s">
        <v>35</v>
      </c>
      <c r="I161" t="s">
        <v>31</v>
      </c>
      <c r="J161" t="s">
        <v>25</v>
      </c>
      <c r="K161" t="s">
        <v>36</v>
      </c>
      <c r="L161" t="s">
        <v>27</v>
      </c>
      <c r="M161">
        <v>1</v>
      </c>
      <c r="N161" s="2"/>
      <c r="O161" s="3">
        <v>1431</v>
      </c>
      <c r="P161">
        <v>0</v>
      </c>
      <c r="Q161">
        <v>4</v>
      </c>
      <c r="R161" t="s">
        <v>33</v>
      </c>
      <c r="S161">
        <v>1</v>
      </c>
    </row>
    <row r="162" spans="1:19" ht="16.5" x14ac:dyDescent="0.3">
      <c r="A162" t="s">
        <v>211</v>
      </c>
      <c r="B162" s="1">
        <v>45308</v>
      </c>
      <c r="C162" s="1">
        <v>45309</v>
      </c>
      <c r="D162">
        <v>2024</v>
      </c>
      <c r="E162" t="s">
        <v>20</v>
      </c>
      <c r="F162" t="s">
        <v>21</v>
      </c>
      <c r="G162" t="s">
        <v>70</v>
      </c>
      <c r="H162" t="s">
        <v>39</v>
      </c>
      <c r="I162" t="s">
        <v>31</v>
      </c>
      <c r="J162" t="s">
        <v>25</v>
      </c>
      <c r="K162" t="s">
        <v>41</v>
      </c>
      <c r="L162" t="s">
        <v>27</v>
      </c>
      <c r="M162">
        <v>1</v>
      </c>
      <c r="N162" s="2"/>
      <c r="O162" s="3">
        <v>1660</v>
      </c>
      <c r="P162">
        <v>0</v>
      </c>
      <c r="Q162">
        <v>4</v>
      </c>
      <c r="R162" t="s">
        <v>28</v>
      </c>
      <c r="S162">
        <v>1</v>
      </c>
    </row>
    <row r="163" spans="1:19" ht="16.5" x14ac:dyDescent="0.3">
      <c r="A163" t="s">
        <v>212</v>
      </c>
      <c r="B163" s="1">
        <v>45308</v>
      </c>
      <c r="C163" s="1">
        <v>45311</v>
      </c>
      <c r="D163">
        <v>2024</v>
      </c>
      <c r="E163" t="s">
        <v>20</v>
      </c>
      <c r="F163" t="s">
        <v>21</v>
      </c>
      <c r="G163" t="s">
        <v>70</v>
      </c>
      <c r="H163" t="s">
        <v>23</v>
      </c>
      <c r="I163" t="s">
        <v>40</v>
      </c>
      <c r="J163" t="s">
        <v>43</v>
      </c>
      <c r="K163" t="s">
        <v>26</v>
      </c>
      <c r="L163" t="s">
        <v>27</v>
      </c>
      <c r="M163">
        <v>3</v>
      </c>
      <c r="N163" s="2"/>
      <c r="O163" s="3">
        <v>3695</v>
      </c>
      <c r="P163">
        <v>1</v>
      </c>
      <c r="Q163">
        <v>3</v>
      </c>
      <c r="R163" t="s">
        <v>28</v>
      </c>
      <c r="S163">
        <v>1</v>
      </c>
    </row>
    <row r="164" spans="1:19" ht="16.5" x14ac:dyDescent="0.3">
      <c r="A164" t="s">
        <v>213</v>
      </c>
      <c r="B164" s="1">
        <v>45308</v>
      </c>
      <c r="C164" s="1">
        <v>45311</v>
      </c>
      <c r="D164">
        <v>2024</v>
      </c>
      <c r="E164" t="s">
        <v>20</v>
      </c>
      <c r="F164" t="s">
        <v>21</v>
      </c>
      <c r="G164" t="s">
        <v>70</v>
      </c>
      <c r="H164" t="s">
        <v>39</v>
      </c>
      <c r="I164" t="s">
        <v>24</v>
      </c>
      <c r="J164" t="s">
        <v>43</v>
      </c>
      <c r="K164" t="s">
        <v>41</v>
      </c>
      <c r="L164" t="s">
        <v>37</v>
      </c>
      <c r="M164">
        <v>3</v>
      </c>
      <c r="N164" s="2">
        <v>32</v>
      </c>
      <c r="O164" s="3">
        <v>2033</v>
      </c>
      <c r="P164">
        <v>0</v>
      </c>
      <c r="Q164">
        <v>5</v>
      </c>
      <c r="R164" t="s">
        <v>33</v>
      </c>
      <c r="S164">
        <v>1</v>
      </c>
    </row>
    <row r="165" spans="1:19" ht="16.5" x14ac:dyDescent="0.3">
      <c r="A165" t="s">
        <v>214</v>
      </c>
      <c r="B165" s="1">
        <v>45308</v>
      </c>
      <c r="C165" s="1">
        <v>45316</v>
      </c>
      <c r="D165">
        <v>2024</v>
      </c>
      <c r="E165" t="s">
        <v>20</v>
      </c>
      <c r="F165" t="s">
        <v>21</v>
      </c>
      <c r="G165" t="s">
        <v>70</v>
      </c>
      <c r="H165" t="s">
        <v>23</v>
      </c>
      <c r="I165" t="s">
        <v>24</v>
      </c>
      <c r="J165" t="s">
        <v>43</v>
      </c>
      <c r="K165" t="s">
        <v>26</v>
      </c>
      <c r="L165" t="s">
        <v>37</v>
      </c>
      <c r="M165">
        <v>8</v>
      </c>
      <c r="N165" s="2">
        <v>50</v>
      </c>
      <c r="O165" s="3">
        <v>6262</v>
      </c>
      <c r="P165">
        <v>0</v>
      </c>
      <c r="Q165">
        <v>4</v>
      </c>
      <c r="R165" t="s">
        <v>165</v>
      </c>
      <c r="S165">
        <v>1</v>
      </c>
    </row>
    <row r="166" spans="1:19" ht="16.5" x14ac:dyDescent="0.3">
      <c r="A166" t="s">
        <v>215</v>
      </c>
      <c r="B166" s="1">
        <v>45308</v>
      </c>
      <c r="C166" s="1">
        <v>45309</v>
      </c>
      <c r="D166">
        <v>2024</v>
      </c>
      <c r="E166" t="s">
        <v>20</v>
      </c>
      <c r="F166" t="s">
        <v>21</v>
      </c>
      <c r="G166" t="s">
        <v>70</v>
      </c>
      <c r="H166" t="s">
        <v>50</v>
      </c>
      <c r="I166" t="s">
        <v>40</v>
      </c>
      <c r="J166" t="s">
        <v>25</v>
      </c>
      <c r="K166" t="s">
        <v>32</v>
      </c>
      <c r="L166" t="s">
        <v>37</v>
      </c>
      <c r="M166">
        <v>1</v>
      </c>
      <c r="N166" s="2"/>
      <c r="O166" s="3">
        <v>1506</v>
      </c>
      <c r="P166">
        <v>0</v>
      </c>
      <c r="Q166">
        <v>4</v>
      </c>
      <c r="R166" t="s">
        <v>33</v>
      </c>
      <c r="S166">
        <v>1</v>
      </c>
    </row>
    <row r="167" spans="1:19" ht="16.5" x14ac:dyDescent="0.3">
      <c r="A167" t="s">
        <v>216</v>
      </c>
      <c r="B167" s="1">
        <v>45308</v>
      </c>
      <c r="C167" s="1">
        <v>45311</v>
      </c>
      <c r="D167">
        <v>2024</v>
      </c>
      <c r="E167" t="s">
        <v>20</v>
      </c>
      <c r="F167" t="s">
        <v>21</v>
      </c>
      <c r="G167" t="s">
        <v>70</v>
      </c>
      <c r="H167" t="s">
        <v>30</v>
      </c>
      <c r="I167" t="s">
        <v>40</v>
      </c>
      <c r="J167" t="s">
        <v>43</v>
      </c>
      <c r="K167" t="s">
        <v>32</v>
      </c>
      <c r="L167" t="s">
        <v>37</v>
      </c>
      <c r="M167">
        <v>3</v>
      </c>
      <c r="N167" s="2"/>
      <c r="O167" s="3">
        <v>3199</v>
      </c>
      <c r="P167">
        <v>0</v>
      </c>
      <c r="Q167">
        <v>4</v>
      </c>
      <c r="R167" t="s">
        <v>28</v>
      </c>
      <c r="S167">
        <v>1</v>
      </c>
    </row>
    <row r="168" spans="1:19" ht="16.5" x14ac:dyDescent="0.3">
      <c r="A168" t="s">
        <v>217</v>
      </c>
      <c r="B168" s="1">
        <v>45308</v>
      </c>
      <c r="C168" s="1">
        <v>45309</v>
      </c>
      <c r="D168">
        <v>2024</v>
      </c>
      <c r="E168" t="s">
        <v>20</v>
      </c>
      <c r="F168" t="s">
        <v>21</v>
      </c>
      <c r="G168" t="s">
        <v>70</v>
      </c>
      <c r="H168" t="s">
        <v>39</v>
      </c>
      <c r="I168" t="s">
        <v>24</v>
      </c>
      <c r="J168" t="s">
        <v>25</v>
      </c>
      <c r="K168" t="s">
        <v>41</v>
      </c>
      <c r="L168" t="s">
        <v>44</v>
      </c>
      <c r="M168">
        <v>1</v>
      </c>
      <c r="N168" s="2">
        <v>73</v>
      </c>
      <c r="O168" s="3">
        <v>1539</v>
      </c>
      <c r="P168">
        <v>0</v>
      </c>
      <c r="Q168">
        <v>5</v>
      </c>
      <c r="R168" t="s">
        <v>33</v>
      </c>
      <c r="S168">
        <v>1</v>
      </c>
    </row>
    <row r="169" spans="1:19" ht="16.5" x14ac:dyDescent="0.3">
      <c r="A169" t="s">
        <v>218</v>
      </c>
      <c r="B169" s="1">
        <v>45308</v>
      </c>
      <c r="C169" s="1">
        <v>45309</v>
      </c>
      <c r="D169">
        <v>2024</v>
      </c>
      <c r="E169" t="s">
        <v>20</v>
      </c>
      <c r="F169" t="s">
        <v>21</v>
      </c>
      <c r="G169" t="s">
        <v>70</v>
      </c>
      <c r="H169" t="s">
        <v>39</v>
      </c>
      <c r="I169" t="s">
        <v>31</v>
      </c>
      <c r="J169" t="s">
        <v>43</v>
      </c>
      <c r="K169" t="s">
        <v>41</v>
      </c>
      <c r="L169" t="s">
        <v>44</v>
      </c>
      <c r="M169">
        <v>1</v>
      </c>
      <c r="N169" s="2"/>
      <c r="O169" s="3">
        <v>1741</v>
      </c>
      <c r="P169">
        <v>0</v>
      </c>
      <c r="Q169">
        <v>4</v>
      </c>
      <c r="R169" t="s">
        <v>33</v>
      </c>
      <c r="S169">
        <v>1</v>
      </c>
    </row>
    <row r="170" spans="1:19" ht="16.5" x14ac:dyDescent="0.3">
      <c r="A170" t="s">
        <v>219</v>
      </c>
      <c r="B170" s="1">
        <v>45308</v>
      </c>
      <c r="C170" s="1">
        <v>45313</v>
      </c>
      <c r="D170">
        <v>2024</v>
      </c>
      <c r="E170" t="s">
        <v>20</v>
      </c>
      <c r="F170" t="s">
        <v>21</v>
      </c>
      <c r="G170" t="s">
        <v>70</v>
      </c>
      <c r="H170" t="s">
        <v>39</v>
      </c>
      <c r="I170" t="s">
        <v>24</v>
      </c>
      <c r="J170" t="s">
        <v>25</v>
      </c>
      <c r="K170" t="s">
        <v>41</v>
      </c>
      <c r="L170" t="s">
        <v>44</v>
      </c>
      <c r="M170">
        <v>5</v>
      </c>
      <c r="N170" s="2">
        <v>69</v>
      </c>
      <c r="O170" s="3">
        <v>3249</v>
      </c>
      <c r="P170">
        <v>0</v>
      </c>
      <c r="Q170">
        <v>4</v>
      </c>
      <c r="R170" t="s">
        <v>33</v>
      </c>
      <c r="S170">
        <v>1</v>
      </c>
    </row>
    <row r="171" spans="1:19" ht="16.5" x14ac:dyDescent="0.3">
      <c r="A171" t="s">
        <v>220</v>
      </c>
      <c r="B171" s="1">
        <v>45308</v>
      </c>
      <c r="C171" s="1">
        <v>45313</v>
      </c>
      <c r="D171">
        <v>2024</v>
      </c>
      <c r="E171" t="s">
        <v>20</v>
      </c>
      <c r="F171" t="s">
        <v>21</v>
      </c>
      <c r="G171" t="s">
        <v>70</v>
      </c>
      <c r="H171" t="s">
        <v>30</v>
      </c>
      <c r="I171" t="s">
        <v>31</v>
      </c>
      <c r="J171" t="s">
        <v>25</v>
      </c>
      <c r="K171" t="s">
        <v>26</v>
      </c>
      <c r="L171" t="s">
        <v>44</v>
      </c>
      <c r="M171">
        <v>5</v>
      </c>
      <c r="N171" s="2"/>
      <c r="O171" s="3">
        <v>4278</v>
      </c>
      <c r="P171">
        <v>0</v>
      </c>
      <c r="Q171">
        <v>5</v>
      </c>
      <c r="R171" t="s">
        <v>33</v>
      </c>
      <c r="S171">
        <v>1</v>
      </c>
    </row>
    <row r="172" spans="1:19" ht="16.5" x14ac:dyDescent="0.3">
      <c r="A172" t="s">
        <v>221</v>
      </c>
      <c r="B172" s="1">
        <v>45308</v>
      </c>
      <c r="C172" s="1">
        <v>45309</v>
      </c>
      <c r="D172">
        <v>2024</v>
      </c>
      <c r="E172" t="s">
        <v>20</v>
      </c>
      <c r="F172" t="s">
        <v>21</v>
      </c>
      <c r="G172" t="s">
        <v>70</v>
      </c>
      <c r="H172" t="s">
        <v>39</v>
      </c>
      <c r="I172" t="s">
        <v>24</v>
      </c>
      <c r="J172" t="s">
        <v>43</v>
      </c>
      <c r="K172" t="s">
        <v>41</v>
      </c>
      <c r="L172" t="s">
        <v>44</v>
      </c>
      <c r="M172">
        <v>1</v>
      </c>
      <c r="N172" s="2">
        <v>86</v>
      </c>
      <c r="O172" s="3">
        <v>1224</v>
      </c>
      <c r="P172">
        <v>0</v>
      </c>
      <c r="Q172">
        <v>4</v>
      </c>
      <c r="R172" t="s">
        <v>28</v>
      </c>
      <c r="S172">
        <v>1</v>
      </c>
    </row>
    <row r="173" spans="1:19" ht="16.5" x14ac:dyDescent="0.3">
      <c r="A173" t="s">
        <v>222</v>
      </c>
      <c r="B173" s="1">
        <v>45309</v>
      </c>
      <c r="C173" s="1">
        <v>45318</v>
      </c>
      <c r="D173">
        <v>2024</v>
      </c>
      <c r="E173" t="s">
        <v>20</v>
      </c>
      <c r="F173" t="s">
        <v>21</v>
      </c>
      <c r="G173" t="s">
        <v>78</v>
      </c>
      <c r="H173" t="s">
        <v>30</v>
      </c>
      <c r="I173" t="s">
        <v>31</v>
      </c>
      <c r="J173" t="s">
        <v>43</v>
      </c>
      <c r="K173" t="s">
        <v>26</v>
      </c>
      <c r="L173" t="s">
        <v>27</v>
      </c>
      <c r="M173">
        <v>9</v>
      </c>
      <c r="N173" s="2"/>
      <c r="O173" s="3">
        <v>8042</v>
      </c>
      <c r="P173">
        <v>0</v>
      </c>
      <c r="Q173">
        <v>4</v>
      </c>
      <c r="R173" t="s">
        <v>33</v>
      </c>
      <c r="S173">
        <v>1</v>
      </c>
    </row>
    <row r="174" spans="1:19" ht="16.5" x14ac:dyDescent="0.3">
      <c r="A174" t="s">
        <v>223</v>
      </c>
      <c r="B174" s="1">
        <v>45309</v>
      </c>
      <c r="C174" s="1">
        <v>45316</v>
      </c>
      <c r="D174">
        <v>2024</v>
      </c>
      <c r="E174" t="s">
        <v>20</v>
      </c>
      <c r="F174" t="s">
        <v>21</v>
      </c>
      <c r="G174" t="s">
        <v>78</v>
      </c>
      <c r="H174" t="s">
        <v>23</v>
      </c>
      <c r="I174" t="s">
        <v>24</v>
      </c>
      <c r="J174" t="s">
        <v>43</v>
      </c>
      <c r="K174" t="s">
        <v>53</v>
      </c>
      <c r="L174" t="s">
        <v>44</v>
      </c>
      <c r="M174">
        <v>7</v>
      </c>
      <c r="N174" s="2">
        <v>35</v>
      </c>
      <c r="O174" s="3">
        <v>3471</v>
      </c>
      <c r="P174">
        <v>0</v>
      </c>
      <c r="Q174">
        <v>5</v>
      </c>
      <c r="R174" t="s">
        <v>33</v>
      </c>
      <c r="S174">
        <v>1</v>
      </c>
    </row>
    <row r="175" spans="1:19" ht="16.5" x14ac:dyDescent="0.3">
      <c r="A175" t="s">
        <v>224</v>
      </c>
      <c r="B175" s="1">
        <v>45309</v>
      </c>
      <c r="C175" s="1">
        <v>45313</v>
      </c>
      <c r="D175">
        <v>2024</v>
      </c>
      <c r="E175" t="s">
        <v>20</v>
      </c>
      <c r="F175" t="s">
        <v>21</v>
      </c>
      <c r="G175" t="s">
        <v>78</v>
      </c>
      <c r="H175" t="s">
        <v>30</v>
      </c>
      <c r="I175" t="s">
        <v>40</v>
      </c>
      <c r="J175" t="s">
        <v>25</v>
      </c>
      <c r="K175" t="s">
        <v>36</v>
      </c>
      <c r="L175" t="s">
        <v>27</v>
      </c>
      <c r="M175">
        <v>4</v>
      </c>
      <c r="N175" s="2"/>
      <c r="O175" s="3">
        <v>4878</v>
      </c>
      <c r="P175">
        <v>0</v>
      </c>
      <c r="Q175">
        <v>4</v>
      </c>
      <c r="R175" t="s">
        <v>33</v>
      </c>
      <c r="S175">
        <v>1</v>
      </c>
    </row>
    <row r="176" spans="1:19" ht="16.5" x14ac:dyDescent="0.3">
      <c r="A176" t="s">
        <v>225</v>
      </c>
      <c r="B176" s="1">
        <v>45309</v>
      </c>
      <c r="C176" s="1">
        <v>45314</v>
      </c>
      <c r="D176">
        <v>2024</v>
      </c>
      <c r="E176" t="s">
        <v>20</v>
      </c>
      <c r="F176" t="s">
        <v>21</v>
      </c>
      <c r="G176" t="s">
        <v>78</v>
      </c>
      <c r="H176" t="s">
        <v>23</v>
      </c>
      <c r="I176" t="s">
        <v>24</v>
      </c>
      <c r="J176" t="s">
        <v>43</v>
      </c>
      <c r="K176" t="s">
        <v>36</v>
      </c>
      <c r="L176" t="s">
        <v>44</v>
      </c>
      <c r="M176">
        <v>5</v>
      </c>
      <c r="N176" s="2">
        <v>25</v>
      </c>
      <c r="O176" s="3">
        <v>4314</v>
      </c>
      <c r="P176">
        <v>0</v>
      </c>
      <c r="Q176">
        <v>5</v>
      </c>
      <c r="R176" t="s">
        <v>28</v>
      </c>
      <c r="S176">
        <v>1</v>
      </c>
    </row>
    <row r="177" spans="1:19" ht="16.5" x14ac:dyDescent="0.3">
      <c r="A177" t="s">
        <v>226</v>
      </c>
      <c r="B177" s="1">
        <v>45309</v>
      </c>
      <c r="C177" s="1">
        <v>45310</v>
      </c>
      <c r="D177">
        <v>2024</v>
      </c>
      <c r="E177" t="s">
        <v>20</v>
      </c>
      <c r="F177" t="s">
        <v>21</v>
      </c>
      <c r="G177" t="s">
        <v>78</v>
      </c>
      <c r="H177" t="s">
        <v>50</v>
      </c>
      <c r="I177" t="s">
        <v>40</v>
      </c>
      <c r="J177" t="s">
        <v>25</v>
      </c>
      <c r="K177" t="s">
        <v>53</v>
      </c>
      <c r="L177" t="s">
        <v>27</v>
      </c>
      <c r="M177">
        <v>1</v>
      </c>
      <c r="N177" s="2"/>
      <c r="O177" s="3">
        <v>1505</v>
      </c>
      <c r="P177">
        <v>0</v>
      </c>
      <c r="Q177">
        <v>4</v>
      </c>
      <c r="R177" t="s">
        <v>33</v>
      </c>
      <c r="S177">
        <v>1</v>
      </c>
    </row>
    <row r="178" spans="1:19" ht="16.5" x14ac:dyDescent="0.3">
      <c r="A178" t="s">
        <v>227</v>
      </c>
      <c r="B178" s="1">
        <v>45309</v>
      </c>
      <c r="C178" s="1">
        <v>45316</v>
      </c>
      <c r="D178">
        <v>2024</v>
      </c>
      <c r="E178" t="s">
        <v>20</v>
      </c>
      <c r="F178" t="s">
        <v>21</v>
      </c>
      <c r="G178" t="s">
        <v>78</v>
      </c>
      <c r="H178" t="s">
        <v>23</v>
      </c>
      <c r="I178" t="s">
        <v>24</v>
      </c>
      <c r="J178" t="s">
        <v>43</v>
      </c>
      <c r="K178" t="s">
        <v>26</v>
      </c>
      <c r="L178" t="s">
        <v>44</v>
      </c>
      <c r="M178">
        <v>7</v>
      </c>
      <c r="N178" s="2">
        <v>108</v>
      </c>
      <c r="O178" s="3">
        <v>4885</v>
      </c>
      <c r="P178">
        <v>0</v>
      </c>
      <c r="Q178">
        <v>4</v>
      </c>
      <c r="R178" t="s">
        <v>33</v>
      </c>
      <c r="S178">
        <v>1</v>
      </c>
    </row>
    <row r="179" spans="1:19" ht="16.5" x14ac:dyDescent="0.3">
      <c r="A179" t="s">
        <v>228</v>
      </c>
      <c r="B179" s="1">
        <v>45309</v>
      </c>
      <c r="C179" s="1">
        <v>45311</v>
      </c>
      <c r="D179">
        <v>2024</v>
      </c>
      <c r="E179" t="s">
        <v>20</v>
      </c>
      <c r="F179" t="s">
        <v>21</v>
      </c>
      <c r="G179" t="s">
        <v>78</v>
      </c>
      <c r="H179" t="s">
        <v>39</v>
      </c>
      <c r="I179" t="s">
        <v>24</v>
      </c>
      <c r="J179" t="s">
        <v>25</v>
      </c>
      <c r="K179" t="s">
        <v>41</v>
      </c>
      <c r="L179" t="s">
        <v>27</v>
      </c>
      <c r="M179">
        <v>2</v>
      </c>
      <c r="N179" s="2">
        <v>43</v>
      </c>
      <c r="O179" s="3">
        <v>2325</v>
      </c>
      <c r="P179">
        <v>0</v>
      </c>
      <c r="Q179">
        <v>3</v>
      </c>
      <c r="R179" t="s">
        <v>28</v>
      </c>
      <c r="S179">
        <v>1</v>
      </c>
    </row>
    <row r="180" spans="1:19" ht="16.5" x14ac:dyDescent="0.3">
      <c r="A180" t="s">
        <v>229</v>
      </c>
      <c r="B180" s="1">
        <v>45309</v>
      </c>
      <c r="C180" s="1">
        <v>45313</v>
      </c>
      <c r="D180">
        <v>2024</v>
      </c>
      <c r="E180" t="s">
        <v>20</v>
      </c>
      <c r="F180" t="s">
        <v>21</v>
      </c>
      <c r="G180" t="s">
        <v>78</v>
      </c>
      <c r="H180" t="s">
        <v>39</v>
      </c>
      <c r="I180" t="s">
        <v>40</v>
      </c>
      <c r="J180" t="s">
        <v>25</v>
      </c>
      <c r="K180" t="s">
        <v>41</v>
      </c>
      <c r="L180" t="s">
        <v>37</v>
      </c>
      <c r="M180">
        <v>4</v>
      </c>
      <c r="N180" s="2"/>
      <c r="O180" s="3">
        <v>2770</v>
      </c>
      <c r="P180">
        <v>0</v>
      </c>
      <c r="Q180">
        <v>5</v>
      </c>
      <c r="R180" t="s">
        <v>33</v>
      </c>
      <c r="S180">
        <v>1</v>
      </c>
    </row>
    <row r="181" spans="1:19" ht="16.5" x14ac:dyDescent="0.3">
      <c r="A181" t="s">
        <v>230</v>
      </c>
      <c r="B181" s="1">
        <v>45309</v>
      </c>
      <c r="C181" s="1">
        <v>45314</v>
      </c>
      <c r="D181">
        <v>2024</v>
      </c>
      <c r="E181" t="s">
        <v>20</v>
      </c>
      <c r="F181" t="s">
        <v>21</v>
      </c>
      <c r="G181" t="s">
        <v>78</v>
      </c>
      <c r="H181" t="s">
        <v>23</v>
      </c>
      <c r="I181" t="s">
        <v>24</v>
      </c>
      <c r="J181" t="s">
        <v>43</v>
      </c>
      <c r="K181" t="s">
        <v>26</v>
      </c>
      <c r="L181" t="s">
        <v>27</v>
      </c>
      <c r="M181">
        <v>5</v>
      </c>
      <c r="N181" s="2">
        <v>49</v>
      </c>
      <c r="O181" s="3">
        <v>3386</v>
      </c>
      <c r="P181">
        <v>1</v>
      </c>
      <c r="Q181">
        <v>5</v>
      </c>
      <c r="R181" t="s">
        <v>33</v>
      </c>
      <c r="S181">
        <v>1</v>
      </c>
    </row>
    <row r="182" spans="1:19" ht="16.5" x14ac:dyDescent="0.3">
      <c r="A182" t="s">
        <v>231</v>
      </c>
      <c r="B182" s="1">
        <v>45309</v>
      </c>
      <c r="C182" s="1">
        <v>45311</v>
      </c>
      <c r="D182">
        <v>2024</v>
      </c>
      <c r="E182" t="s">
        <v>20</v>
      </c>
      <c r="F182" t="s">
        <v>21</v>
      </c>
      <c r="G182" t="s">
        <v>78</v>
      </c>
      <c r="H182" t="s">
        <v>30</v>
      </c>
      <c r="I182" t="s">
        <v>40</v>
      </c>
      <c r="J182" t="s">
        <v>25</v>
      </c>
      <c r="K182" t="s">
        <v>32</v>
      </c>
      <c r="L182" t="s">
        <v>44</v>
      </c>
      <c r="M182">
        <v>2</v>
      </c>
      <c r="N182" s="2"/>
      <c r="O182" s="3">
        <v>2899</v>
      </c>
      <c r="P182">
        <v>0</v>
      </c>
      <c r="Q182">
        <v>4</v>
      </c>
      <c r="R182" t="s">
        <v>33</v>
      </c>
      <c r="S182">
        <v>1</v>
      </c>
    </row>
    <row r="183" spans="1:19" ht="16.5" x14ac:dyDescent="0.3">
      <c r="A183" t="s">
        <v>232</v>
      </c>
      <c r="B183" s="1">
        <v>45309</v>
      </c>
      <c r="C183" s="1">
        <v>45311</v>
      </c>
      <c r="D183">
        <v>2024</v>
      </c>
      <c r="E183" t="s">
        <v>20</v>
      </c>
      <c r="F183" t="s">
        <v>21</v>
      </c>
      <c r="G183" t="s">
        <v>78</v>
      </c>
      <c r="H183" t="s">
        <v>39</v>
      </c>
      <c r="I183" t="s">
        <v>24</v>
      </c>
      <c r="J183" t="s">
        <v>43</v>
      </c>
      <c r="K183" t="s">
        <v>41</v>
      </c>
      <c r="L183" t="s">
        <v>37</v>
      </c>
      <c r="M183">
        <v>2</v>
      </c>
      <c r="N183" s="2">
        <v>77</v>
      </c>
      <c r="O183" s="3">
        <v>1833</v>
      </c>
      <c r="P183">
        <v>1</v>
      </c>
      <c r="Q183">
        <v>3</v>
      </c>
      <c r="R183" t="s">
        <v>28</v>
      </c>
      <c r="S183">
        <v>1</v>
      </c>
    </row>
    <row r="184" spans="1:19" ht="16.5" x14ac:dyDescent="0.3">
      <c r="A184" t="s">
        <v>233</v>
      </c>
      <c r="B184" s="1">
        <v>45309</v>
      </c>
      <c r="C184" s="1">
        <v>45313</v>
      </c>
      <c r="D184">
        <v>2024</v>
      </c>
      <c r="E184" t="s">
        <v>20</v>
      </c>
      <c r="F184" t="s">
        <v>21</v>
      </c>
      <c r="G184" t="s">
        <v>78</v>
      </c>
      <c r="H184" t="s">
        <v>52</v>
      </c>
      <c r="I184" t="s">
        <v>40</v>
      </c>
      <c r="J184" t="s">
        <v>25</v>
      </c>
      <c r="K184" t="s">
        <v>36</v>
      </c>
      <c r="L184" t="s">
        <v>27</v>
      </c>
      <c r="M184">
        <v>4</v>
      </c>
      <c r="N184" s="2"/>
      <c r="O184" s="3">
        <v>2892</v>
      </c>
      <c r="P184">
        <v>0</v>
      </c>
      <c r="Q184">
        <v>5</v>
      </c>
      <c r="R184" t="s">
        <v>33</v>
      </c>
      <c r="S184">
        <v>1</v>
      </c>
    </row>
    <row r="185" spans="1:19" ht="16.5" x14ac:dyDescent="0.3">
      <c r="A185" t="s">
        <v>234</v>
      </c>
      <c r="B185" s="1">
        <v>45309</v>
      </c>
      <c r="C185" s="1">
        <v>45314</v>
      </c>
      <c r="D185">
        <v>2024</v>
      </c>
      <c r="E185" t="s">
        <v>20</v>
      </c>
      <c r="F185" t="s">
        <v>21</v>
      </c>
      <c r="G185" t="s">
        <v>78</v>
      </c>
      <c r="H185" t="s">
        <v>39</v>
      </c>
      <c r="I185" t="s">
        <v>24</v>
      </c>
      <c r="J185" t="s">
        <v>25</v>
      </c>
      <c r="K185" t="s">
        <v>41</v>
      </c>
      <c r="L185" t="s">
        <v>37</v>
      </c>
      <c r="M185">
        <v>5</v>
      </c>
      <c r="N185" s="2">
        <v>231</v>
      </c>
      <c r="O185" s="3">
        <v>3756</v>
      </c>
      <c r="P185">
        <v>0</v>
      </c>
      <c r="Q185">
        <v>4</v>
      </c>
      <c r="R185" t="s">
        <v>33</v>
      </c>
      <c r="S185">
        <v>1</v>
      </c>
    </row>
    <row r="186" spans="1:19" ht="16.5" x14ac:dyDescent="0.3">
      <c r="A186" t="s">
        <v>235</v>
      </c>
      <c r="B186" s="1">
        <v>45309</v>
      </c>
      <c r="C186" s="1">
        <v>45312</v>
      </c>
      <c r="D186">
        <v>2024</v>
      </c>
      <c r="E186" t="s">
        <v>20</v>
      </c>
      <c r="F186" t="s">
        <v>21</v>
      </c>
      <c r="G186" t="s">
        <v>78</v>
      </c>
      <c r="H186" t="s">
        <v>23</v>
      </c>
      <c r="I186" t="s">
        <v>24</v>
      </c>
      <c r="J186" t="s">
        <v>43</v>
      </c>
      <c r="K186" t="s">
        <v>36</v>
      </c>
      <c r="L186" t="s">
        <v>27</v>
      </c>
      <c r="M186">
        <v>3</v>
      </c>
      <c r="N186" s="2">
        <v>77</v>
      </c>
      <c r="O186" s="3">
        <v>2379</v>
      </c>
      <c r="P186">
        <v>1</v>
      </c>
      <c r="Q186">
        <v>2</v>
      </c>
      <c r="R186" t="s">
        <v>28</v>
      </c>
      <c r="S186">
        <v>1</v>
      </c>
    </row>
    <row r="187" spans="1:19" ht="16.5" x14ac:dyDescent="0.3">
      <c r="A187" t="s">
        <v>236</v>
      </c>
      <c r="B187" s="1">
        <v>45310</v>
      </c>
      <c r="C187" s="1">
        <v>45328</v>
      </c>
      <c r="D187">
        <v>2024</v>
      </c>
      <c r="E187" t="s">
        <v>20</v>
      </c>
      <c r="F187" t="s">
        <v>21</v>
      </c>
      <c r="G187" t="s">
        <v>83</v>
      </c>
      <c r="H187" t="s">
        <v>23</v>
      </c>
      <c r="I187" t="s">
        <v>31</v>
      </c>
      <c r="J187" t="s">
        <v>43</v>
      </c>
      <c r="K187" t="s">
        <v>26</v>
      </c>
      <c r="L187" t="s">
        <v>44</v>
      </c>
      <c r="M187">
        <v>18</v>
      </c>
      <c r="N187" s="2"/>
      <c r="O187" s="3">
        <v>12762</v>
      </c>
      <c r="P187">
        <v>0</v>
      </c>
      <c r="Q187">
        <v>4</v>
      </c>
      <c r="R187" t="s">
        <v>28</v>
      </c>
      <c r="S187">
        <v>1</v>
      </c>
    </row>
    <row r="188" spans="1:19" ht="16.5" x14ac:dyDescent="0.3">
      <c r="A188" t="s">
        <v>237</v>
      </c>
      <c r="B188" s="1">
        <v>45310</v>
      </c>
      <c r="C188" s="1">
        <v>45325</v>
      </c>
      <c r="D188">
        <v>2024</v>
      </c>
      <c r="E188" t="s">
        <v>20</v>
      </c>
      <c r="F188" t="s">
        <v>21</v>
      </c>
      <c r="G188" t="s">
        <v>83</v>
      </c>
      <c r="H188" t="s">
        <v>23</v>
      </c>
      <c r="I188" t="s">
        <v>31</v>
      </c>
      <c r="J188" t="s">
        <v>25</v>
      </c>
      <c r="K188" t="s">
        <v>26</v>
      </c>
      <c r="L188" t="s">
        <v>37</v>
      </c>
      <c r="M188">
        <v>15</v>
      </c>
      <c r="N188" s="2"/>
      <c r="O188" s="3">
        <v>8330</v>
      </c>
      <c r="P188">
        <v>0</v>
      </c>
      <c r="Q188">
        <v>5</v>
      </c>
      <c r="R188" t="s">
        <v>28</v>
      </c>
      <c r="S188">
        <v>1</v>
      </c>
    </row>
    <row r="189" spans="1:19" ht="16.5" x14ac:dyDescent="0.3">
      <c r="A189" t="s">
        <v>238</v>
      </c>
      <c r="B189" s="1">
        <v>45310</v>
      </c>
      <c r="C189" s="1">
        <v>45312</v>
      </c>
      <c r="D189">
        <v>2024</v>
      </c>
      <c r="E189" t="s">
        <v>20</v>
      </c>
      <c r="F189" t="s">
        <v>21</v>
      </c>
      <c r="G189" t="s">
        <v>83</v>
      </c>
      <c r="H189" t="s">
        <v>23</v>
      </c>
      <c r="I189" t="s">
        <v>24</v>
      </c>
      <c r="J189" t="s">
        <v>25</v>
      </c>
      <c r="K189" t="s">
        <v>32</v>
      </c>
      <c r="L189" t="s">
        <v>37</v>
      </c>
      <c r="M189">
        <v>2</v>
      </c>
      <c r="N189" s="2">
        <v>166</v>
      </c>
      <c r="O189" s="3">
        <v>2561</v>
      </c>
      <c r="P189">
        <v>0</v>
      </c>
      <c r="Q189">
        <v>4</v>
      </c>
      <c r="R189" t="s">
        <v>33</v>
      </c>
      <c r="S189">
        <v>1</v>
      </c>
    </row>
    <row r="190" spans="1:19" ht="16.5" x14ac:dyDescent="0.3">
      <c r="A190" t="s">
        <v>239</v>
      </c>
      <c r="B190" s="1">
        <v>45310</v>
      </c>
      <c r="C190" s="1">
        <v>45313</v>
      </c>
      <c r="D190">
        <v>2024</v>
      </c>
      <c r="E190" t="s">
        <v>20</v>
      </c>
      <c r="F190" t="s">
        <v>21</v>
      </c>
      <c r="G190" t="s">
        <v>83</v>
      </c>
      <c r="H190" t="s">
        <v>30</v>
      </c>
      <c r="I190" t="s">
        <v>40</v>
      </c>
      <c r="J190" t="s">
        <v>25</v>
      </c>
      <c r="K190" t="s">
        <v>53</v>
      </c>
      <c r="L190" t="s">
        <v>27</v>
      </c>
      <c r="M190">
        <v>3</v>
      </c>
      <c r="N190" s="2"/>
      <c r="O190" s="3">
        <v>3323</v>
      </c>
      <c r="P190">
        <v>0</v>
      </c>
      <c r="Q190">
        <v>4</v>
      </c>
      <c r="R190" t="s">
        <v>33</v>
      </c>
      <c r="S190">
        <v>1</v>
      </c>
    </row>
    <row r="191" spans="1:19" ht="16.5" x14ac:dyDescent="0.3">
      <c r="A191" t="s">
        <v>240</v>
      </c>
      <c r="B191" s="1">
        <v>45310</v>
      </c>
      <c r="C191" s="1">
        <v>45316</v>
      </c>
      <c r="D191">
        <v>2024</v>
      </c>
      <c r="E191" t="s">
        <v>20</v>
      </c>
      <c r="F191" t="s">
        <v>21</v>
      </c>
      <c r="G191" t="s">
        <v>83</v>
      </c>
      <c r="H191" t="s">
        <v>23</v>
      </c>
      <c r="I191" t="s">
        <v>24</v>
      </c>
      <c r="J191" t="s">
        <v>25</v>
      </c>
      <c r="K191" t="s">
        <v>53</v>
      </c>
      <c r="L191" t="s">
        <v>44</v>
      </c>
      <c r="M191">
        <v>6</v>
      </c>
      <c r="N191" s="2">
        <v>159</v>
      </c>
      <c r="O191" s="3">
        <v>3267</v>
      </c>
      <c r="P191">
        <v>0</v>
      </c>
      <c r="Q191">
        <v>3</v>
      </c>
      <c r="R191" t="s">
        <v>33</v>
      </c>
      <c r="S191">
        <v>1</v>
      </c>
    </row>
    <row r="192" spans="1:19" ht="16.5" x14ac:dyDescent="0.3">
      <c r="A192" t="s">
        <v>241</v>
      </c>
      <c r="B192" s="1">
        <v>45310</v>
      </c>
      <c r="C192" s="1">
        <v>45313</v>
      </c>
      <c r="D192">
        <v>2024</v>
      </c>
      <c r="E192" t="s">
        <v>20</v>
      </c>
      <c r="F192" t="s">
        <v>21</v>
      </c>
      <c r="G192" t="s">
        <v>83</v>
      </c>
      <c r="H192" t="s">
        <v>23</v>
      </c>
      <c r="I192" t="s">
        <v>24</v>
      </c>
      <c r="J192" t="s">
        <v>25</v>
      </c>
      <c r="K192" t="s">
        <v>53</v>
      </c>
      <c r="L192" t="s">
        <v>27</v>
      </c>
      <c r="M192">
        <v>3</v>
      </c>
      <c r="N192" s="2">
        <v>144</v>
      </c>
      <c r="O192" s="3">
        <v>2875</v>
      </c>
      <c r="P192">
        <v>0</v>
      </c>
      <c r="Q192">
        <v>4</v>
      </c>
      <c r="R192" t="s">
        <v>28</v>
      </c>
      <c r="S192">
        <v>1</v>
      </c>
    </row>
    <row r="193" spans="1:19" ht="16.5" x14ac:dyDescent="0.3">
      <c r="A193" t="s">
        <v>242</v>
      </c>
      <c r="B193" s="1">
        <v>45310</v>
      </c>
      <c r="C193" s="1">
        <v>45311</v>
      </c>
      <c r="D193">
        <v>2024</v>
      </c>
      <c r="E193" t="s">
        <v>20</v>
      </c>
      <c r="F193" t="s">
        <v>21</v>
      </c>
      <c r="G193" t="s">
        <v>83</v>
      </c>
      <c r="H193" t="s">
        <v>35</v>
      </c>
      <c r="I193" t="s">
        <v>24</v>
      </c>
      <c r="J193" t="s">
        <v>25</v>
      </c>
      <c r="K193" t="s">
        <v>32</v>
      </c>
      <c r="L193" t="s">
        <v>27</v>
      </c>
      <c r="M193">
        <v>1</v>
      </c>
      <c r="N193" s="2">
        <v>66</v>
      </c>
      <c r="O193" s="3">
        <v>1405</v>
      </c>
      <c r="P193">
        <v>0</v>
      </c>
      <c r="Q193">
        <v>5</v>
      </c>
      <c r="R193" t="s">
        <v>33</v>
      </c>
      <c r="S193">
        <v>1</v>
      </c>
    </row>
    <row r="194" spans="1:19" ht="16.5" x14ac:dyDescent="0.3">
      <c r="A194" t="s">
        <v>243</v>
      </c>
      <c r="B194" s="1">
        <v>45310</v>
      </c>
      <c r="C194" s="1">
        <v>45315</v>
      </c>
      <c r="D194">
        <v>2024</v>
      </c>
      <c r="E194" t="s">
        <v>20</v>
      </c>
      <c r="F194" t="s">
        <v>21</v>
      </c>
      <c r="G194" t="s">
        <v>83</v>
      </c>
      <c r="H194" t="s">
        <v>35</v>
      </c>
      <c r="I194" t="s">
        <v>24</v>
      </c>
      <c r="J194" t="s">
        <v>25</v>
      </c>
      <c r="K194" t="s">
        <v>36</v>
      </c>
      <c r="L194" t="s">
        <v>44</v>
      </c>
      <c r="M194">
        <v>5</v>
      </c>
      <c r="N194" s="2">
        <v>56</v>
      </c>
      <c r="O194" s="3">
        <v>4254</v>
      </c>
      <c r="P194">
        <v>0</v>
      </c>
      <c r="Q194">
        <v>4</v>
      </c>
      <c r="R194" t="s">
        <v>33</v>
      </c>
      <c r="S194">
        <v>1</v>
      </c>
    </row>
    <row r="195" spans="1:19" ht="16.5" x14ac:dyDescent="0.3">
      <c r="A195" t="s">
        <v>244</v>
      </c>
      <c r="B195" s="1">
        <v>45310</v>
      </c>
      <c r="C195" s="1">
        <v>45311</v>
      </c>
      <c r="D195">
        <v>2024</v>
      </c>
      <c r="E195" t="s">
        <v>20</v>
      </c>
      <c r="F195" t="s">
        <v>21</v>
      </c>
      <c r="G195" t="s">
        <v>83</v>
      </c>
      <c r="H195" t="s">
        <v>23</v>
      </c>
      <c r="I195" t="s">
        <v>24</v>
      </c>
      <c r="J195" t="s">
        <v>25</v>
      </c>
      <c r="K195" t="s">
        <v>32</v>
      </c>
      <c r="L195" t="s">
        <v>44</v>
      </c>
      <c r="M195">
        <v>1</v>
      </c>
      <c r="N195" s="2">
        <v>151</v>
      </c>
      <c r="O195" s="3">
        <v>1496</v>
      </c>
      <c r="P195">
        <v>0</v>
      </c>
      <c r="Q195">
        <v>3</v>
      </c>
      <c r="R195" t="s">
        <v>33</v>
      </c>
      <c r="S195">
        <v>1</v>
      </c>
    </row>
    <row r="196" spans="1:19" ht="16.5" x14ac:dyDescent="0.3">
      <c r="A196" t="s">
        <v>245</v>
      </c>
      <c r="B196" s="1">
        <v>45310</v>
      </c>
      <c r="C196" s="1">
        <v>45314</v>
      </c>
      <c r="D196">
        <v>2024</v>
      </c>
      <c r="E196" t="s">
        <v>20</v>
      </c>
      <c r="F196" t="s">
        <v>21</v>
      </c>
      <c r="G196" t="s">
        <v>83</v>
      </c>
      <c r="H196" t="s">
        <v>35</v>
      </c>
      <c r="I196" t="s">
        <v>40</v>
      </c>
      <c r="J196" t="s">
        <v>25</v>
      </c>
      <c r="K196" t="s">
        <v>36</v>
      </c>
      <c r="L196" t="s">
        <v>44</v>
      </c>
      <c r="M196">
        <v>4</v>
      </c>
      <c r="N196" s="2"/>
      <c r="O196" s="3">
        <v>2392</v>
      </c>
      <c r="P196">
        <v>0</v>
      </c>
      <c r="Q196">
        <v>4</v>
      </c>
      <c r="R196" t="s">
        <v>33</v>
      </c>
      <c r="S196">
        <v>1</v>
      </c>
    </row>
    <row r="197" spans="1:19" ht="16.5" x14ac:dyDescent="0.3">
      <c r="A197" t="s">
        <v>246</v>
      </c>
      <c r="B197" s="1">
        <v>45310</v>
      </c>
      <c r="C197" s="1">
        <v>45323</v>
      </c>
      <c r="D197">
        <v>2024</v>
      </c>
      <c r="E197" t="s">
        <v>20</v>
      </c>
      <c r="F197" t="s">
        <v>21</v>
      </c>
      <c r="G197" t="s">
        <v>83</v>
      </c>
      <c r="H197" t="s">
        <v>23</v>
      </c>
      <c r="I197" t="s">
        <v>31</v>
      </c>
      <c r="J197" t="s">
        <v>25</v>
      </c>
      <c r="K197" t="s">
        <v>36</v>
      </c>
      <c r="L197" t="s">
        <v>44</v>
      </c>
      <c r="M197">
        <v>13</v>
      </c>
      <c r="N197" s="2"/>
      <c r="O197" s="3">
        <v>10114</v>
      </c>
      <c r="P197">
        <v>1</v>
      </c>
      <c r="Q197">
        <v>5</v>
      </c>
      <c r="R197" t="s">
        <v>28</v>
      </c>
      <c r="S197">
        <v>1</v>
      </c>
    </row>
    <row r="198" spans="1:19" ht="16.5" x14ac:dyDescent="0.3">
      <c r="A198" t="s">
        <v>247</v>
      </c>
      <c r="B198" s="1">
        <v>45311</v>
      </c>
      <c r="C198" s="1">
        <v>45316</v>
      </c>
      <c r="D198">
        <v>2024</v>
      </c>
      <c r="E198" t="s">
        <v>20</v>
      </c>
      <c r="F198" t="s">
        <v>21</v>
      </c>
      <c r="G198" t="s">
        <v>102</v>
      </c>
      <c r="H198" t="s">
        <v>50</v>
      </c>
      <c r="I198" t="s">
        <v>24</v>
      </c>
      <c r="J198" t="s">
        <v>43</v>
      </c>
      <c r="K198" t="s">
        <v>32</v>
      </c>
      <c r="L198" t="s">
        <v>44</v>
      </c>
      <c r="M198">
        <v>5</v>
      </c>
      <c r="N198" s="2">
        <v>187</v>
      </c>
      <c r="O198" s="3">
        <v>6904</v>
      </c>
      <c r="P198">
        <v>0</v>
      </c>
      <c r="Q198">
        <v>2</v>
      </c>
      <c r="R198" t="s">
        <v>33</v>
      </c>
      <c r="S198">
        <v>1</v>
      </c>
    </row>
    <row r="199" spans="1:19" ht="16.5" x14ac:dyDescent="0.3">
      <c r="A199" t="s">
        <v>248</v>
      </c>
      <c r="B199" s="1">
        <v>45311</v>
      </c>
      <c r="C199" s="1">
        <v>45319</v>
      </c>
      <c r="D199">
        <v>2024</v>
      </c>
      <c r="E199" t="s">
        <v>20</v>
      </c>
      <c r="F199" t="s">
        <v>21</v>
      </c>
      <c r="G199" t="s">
        <v>102</v>
      </c>
      <c r="H199" t="s">
        <v>50</v>
      </c>
      <c r="I199" t="s">
        <v>24</v>
      </c>
      <c r="J199" t="s">
        <v>43</v>
      </c>
      <c r="K199" t="s">
        <v>32</v>
      </c>
      <c r="L199" t="s">
        <v>44</v>
      </c>
      <c r="M199">
        <v>8</v>
      </c>
      <c r="N199" s="2">
        <v>79</v>
      </c>
      <c r="O199" s="3">
        <v>6213</v>
      </c>
      <c r="P199">
        <v>1</v>
      </c>
      <c r="Q199">
        <v>3</v>
      </c>
      <c r="R199" t="s">
        <v>33</v>
      </c>
      <c r="S199">
        <v>1</v>
      </c>
    </row>
    <row r="200" spans="1:19" ht="16.5" x14ac:dyDescent="0.3">
      <c r="A200" t="s">
        <v>249</v>
      </c>
      <c r="B200" s="1">
        <v>45311</v>
      </c>
      <c r="C200" s="1">
        <v>45315</v>
      </c>
      <c r="D200">
        <v>2024</v>
      </c>
      <c r="E200" t="s">
        <v>20</v>
      </c>
      <c r="F200" t="s">
        <v>21</v>
      </c>
      <c r="G200" t="s">
        <v>102</v>
      </c>
      <c r="H200" t="s">
        <v>30</v>
      </c>
      <c r="I200" t="s">
        <v>24</v>
      </c>
      <c r="J200" t="s">
        <v>25</v>
      </c>
      <c r="K200" t="s">
        <v>26</v>
      </c>
      <c r="L200" t="s">
        <v>27</v>
      </c>
      <c r="M200">
        <v>4</v>
      </c>
      <c r="N200" s="2">
        <v>28</v>
      </c>
      <c r="O200" s="3">
        <v>5260</v>
      </c>
      <c r="P200">
        <v>1</v>
      </c>
      <c r="Q200">
        <v>5</v>
      </c>
      <c r="R200" t="s">
        <v>33</v>
      </c>
      <c r="S200">
        <v>1</v>
      </c>
    </row>
    <row r="201" spans="1:19" ht="16.5" x14ac:dyDescent="0.3">
      <c r="A201" t="s">
        <v>250</v>
      </c>
      <c r="B201" s="1">
        <v>45311</v>
      </c>
      <c r="C201" s="1">
        <v>45316</v>
      </c>
      <c r="D201">
        <v>2024</v>
      </c>
      <c r="E201" t="s">
        <v>20</v>
      </c>
      <c r="F201" t="s">
        <v>21</v>
      </c>
      <c r="G201" t="s">
        <v>102</v>
      </c>
      <c r="H201" t="s">
        <v>52</v>
      </c>
      <c r="I201" t="s">
        <v>24</v>
      </c>
      <c r="J201" t="s">
        <v>25</v>
      </c>
      <c r="K201" t="s">
        <v>26</v>
      </c>
      <c r="L201" t="s">
        <v>27</v>
      </c>
      <c r="M201">
        <v>5</v>
      </c>
      <c r="N201" s="2">
        <v>15</v>
      </c>
      <c r="O201" s="3">
        <v>5388</v>
      </c>
      <c r="P201">
        <v>1</v>
      </c>
      <c r="Q201">
        <v>5</v>
      </c>
      <c r="R201" t="s">
        <v>28</v>
      </c>
      <c r="S201">
        <v>1</v>
      </c>
    </row>
    <row r="202" spans="1:19" ht="16.5" x14ac:dyDescent="0.3">
      <c r="A202" t="s">
        <v>251</v>
      </c>
      <c r="B202" s="1">
        <v>45311</v>
      </c>
      <c r="C202" s="1">
        <v>45314</v>
      </c>
      <c r="D202">
        <v>2024</v>
      </c>
      <c r="E202" t="s">
        <v>20</v>
      </c>
      <c r="F202" t="s">
        <v>21</v>
      </c>
      <c r="G202" t="s">
        <v>102</v>
      </c>
      <c r="H202" t="s">
        <v>23</v>
      </c>
      <c r="I202" t="s">
        <v>24</v>
      </c>
      <c r="J202" t="s">
        <v>25</v>
      </c>
      <c r="K202" t="s">
        <v>26</v>
      </c>
      <c r="L202" t="s">
        <v>44</v>
      </c>
      <c r="M202">
        <v>3</v>
      </c>
      <c r="N202" s="2">
        <v>71</v>
      </c>
      <c r="O202" s="3">
        <v>2183</v>
      </c>
      <c r="P202">
        <v>0</v>
      </c>
      <c r="Q202">
        <v>4</v>
      </c>
      <c r="R202" t="s">
        <v>33</v>
      </c>
      <c r="S202">
        <v>1</v>
      </c>
    </row>
    <row r="203" spans="1:19" ht="16.5" x14ac:dyDescent="0.3">
      <c r="A203" t="s">
        <v>252</v>
      </c>
      <c r="B203" s="1">
        <v>45311</v>
      </c>
      <c r="C203" s="1">
        <v>45314</v>
      </c>
      <c r="D203">
        <v>2024</v>
      </c>
      <c r="E203" t="s">
        <v>20</v>
      </c>
      <c r="F203" t="s">
        <v>21</v>
      </c>
      <c r="G203" t="s">
        <v>102</v>
      </c>
      <c r="H203" t="s">
        <v>30</v>
      </c>
      <c r="I203" t="s">
        <v>24</v>
      </c>
      <c r="J203" t="s">
        <v>25</v>
      </c>
      <c r="K203" t="s">
        <v>53</v>
      </c>
      <c r="L203" t="s">
        <v>44</v>
      </c>
      <c r="M203">
        <v>3</v>
      </c>
      <c r="N203" s="2">
        <v>111</v>
      </c>
      <c r="O203" s="3">
        <v>3770</v>
      </c>
      <c r="P203">
        <v>1</v>
      </c>
      <c r="Q203">
        <v>3</v>
      </c>
      <c r="R203" t="s">
        <v>33</v>
      </c>
      <c r="S203">
        <v>1</v>
      </c>
    </row>
    <row r="204" spans="1:19" ht="16.5" x14ac:dyDescent="0.3">
      <c r="A204" t="s">
        <v>253</v>
      </c>
      <c r="B204" s="1">
        <v>45311</v>
      </c>
      <c r="C204" s="1">
        <v>45312</v>
      </c>
      <c r="D204">
        <v>2024</v>
      </c>
      <c r="E204" t="s">
        <v>20</v>
      </c>
      <c r="F204" t="s">
        <v>21</v>
      </c>
      <c r="G204" t="s">
        <v>102</v>
      </c>
      <c r="H204" t="s">
        <v>35</v>
      </c>
      <c r="I204" t="s">
        <v>40</v>
      </c>
      <c r="J204" t="s">
        <v>25</v>
      </c>
      <c r="K204" t="s">
        <v>32</v>
      </c>
      <c r="L204" t="s">
        <v>27</v>
      </c>
      <c r="M204">
        <v>1</v>
      </c>
      <c r="N204" s="2"/>
      <c r="O204" s="3">
        <v>842</v>
      </c>
      <c r="P204">
        <v>0</v>
      </c>
      <c r="Q204">
        <v>3</v>
      </c>
      <c r="R204" t="s">
        <v>33</v>
      </c>
      <c r="S204">
        <v>1</v>
      </c>
    </row>
    <row r="205" spans="1:19" ht="16.5" x14ac:dyDescent="0.3">
      <c r="A205" t="s">
        <v>254</v>
      </c>
      <c r="B205" s="1">
        <v>45311</v>
      </c>
      <c r="C205" s="1">
        <v>45312</v>
      </c>
      <c r="D205">
        <v>2024</v>
      </c>
      <c r="E205" t="s">
        <v>20</v>
      </c>
      <c r="F205" t="s">
        <v>21</v>
      </c>
      <c r="G205" t="s">
        <v>102</v>
      </c>
      <c r="H205" t="s">
        <v>30</v>
      </c>
      <c r="I205" t="s">
        <v>40</v>
      </c>
      <c r="J205" t="s">
        <v>25</v>
      </c>
      <c r="K205" t="s">
        <v>32</v>
      </c>
      <c r="L205" t="s">
        <v>44</v>
      </c>
      <c r="M205">
        <v>1</v>
      </c>
      <c r="N205" s="2"/>
      <c r="O205" s="3">
        <v>1935</v>
      </c>
      <c r="P205">
        <v>0</v>
      </c>
      <c r="Q205">
        <v>4</v>
      </c>
      <c r="R205" t="s">
        <v>33</v>
      </c>
      <c r="S205">
        <v>1</v>
      </c>
    </row>
    <row r="206" spans="1:19" ht="16.5" x14ac:dyDescent="0.3">
      <c r="A206" t="s">
        <v>255</v>
      </c>
      <c r="B206" s="1">
        <v>45312</v>
      </c>
      <c r="C206" s="1">
        <v>45319</v>
      </c>
      <c r="D206">
        <v>2024</v>
      </c>
      <c r="E206" t="s">
        <v>20</v>
      </c>
      <c r="F206" t="s">
        <v>21</v>
      </c>
      <c r="G206" t="s">
        <v>112</v>
      </c>
      <c r="H206" t="s">
        <v>23</v>
      </c>
      <c r="I206" t="s">
        <v>40</v>
      </c>
      <c r="J206" t="s">
        <v>25</v>
      </c>
      <c r="K206" t="s">
        <v>53</v>
      </c>
      <c r="L206" t="s">
        <v>27</v>
      </c>
      <c r="M206">
        <v>7</v>
      </c>
      <c r="N206" s="2"/>
      <c r="O206" s="3">
        <v>5334</v>
      </c>
      <c r="P206">
        <v>0</v>
      </c>
      <c r="Q206">
        <v>4</v>
      </c>
      <c r="R206" t="s">
        <v>33</v>
      </c>
      <c r="S206">
        <v>1</v>
      </c>
    </row>
    <row r="207" spans="1:19" ht="16.5" x14ac:dyDescent="0.3">
      <c r="A207" t="s">
        <v>256</v>
      </c>
      <c r="B207" s="1">
        <v>45312</v>
      </c>
      <c r="C207" s="1">
        <v>45313</v>
      </c>
      <c r="D207">
        <v>2024</v>
      </c>
      <c r="E207" t="s">
        <v>20</v>
      </c>
      <c r="F207" t="s">
        <v>21</v>
      </c>
      <c r="G207" t="s">
        <v>112</v>
      </c>
      <c r="H207" t="s">
        <v>23</v>
      </c>
      <c r="I207" t="s">
        <v>40</v>
      </c>
      <c r="J207" t="s">
        <v>43</v>
      </c>
      <c r="K207" t="s">
        <v>32</v>
      </c>
      <c r="L207" t="s">
        <v>27</v>
      </c>
      <c r="M207">
        <v>1</v>
      </c>
      <c r="N207" s="2"/>
      <c r="O207" s="3">
        <v>818</v>
      </c>
      <c r="P207">
        <v>0</v>
      </c>
      <c r="Q207">
        <v>4</v>
      </c>
      <c r="R207" t="s">
        <v>28</v>
      </c>
      <c r="S207">
        <v>1</v>
      </c>
    </row>
    <row r="208" spans="1:19" ht="16.5" x14ac:dyDescent="0.3">
      <c r="A208" t="s">
        <v>257</v>
      </c>
      <c r="B208" s="1">
        <v>45312</v>
      </c>
      <c r="C208" s="1">
        <v>45314</v>
      </c>
      <c r="D208">
        <v>2024</v>
      </c>
      <c r="E208" t="s">
        <v>20</v>
      </c>
      <c r="F208" t="s">
        <v>21</v>
      </c>
      <c r="G208" t="s">
        <v>112</v>
      </c>
      <c r="H208" t="s">
        <v>23</v>
      </c>
      <c r="I208" t="s">
        <v>40</v>
      </c>
      <c r="J208" t="s">
        <v>43</v>
      </c>
      <c r="K208" t="s">
        <v>32</v>
      </c>
      <c r="L208" t="s">
        <v>27</v>
      </c>
      <c r="M208">
        <v>2</v>
      </c>
      <c r="N208" s="2"/>
      <c r="O208" s="3">
        <v>2378</v>
      </c>
      <c r="P208">
        <v>0</v>
      </c>
      <c r="Q208">
        <v>4</v>
      </c>
      <c r="R208" t="s">
        <v>33</v>
      </c>
      <c r="S208">
        <v>1</v>
      </c>
    </row>
    <row r="209" spans="1:19" ht="16.5" x14ac:dyDescent="0.3">
      <c r="A209" t="s">
        <v>258</v>
      </c>
      <c r="B209" s="1">
        <v>45312</v>
      </c>
      <c r="C209" s="1">
        <v>45313</v>
      </c>
      <c r="D209">
        <v>2024</v>
      </c>
      <c r="E209" t="s">
        <v>20</v>
      </c>
      <c r="F209" t="s">
        <v>21</v>
      </c>
      <c r="G209" t="s">
        <v>112</v>
      </c>
      <c r="H209" t="s">
        <v>50</v>
      </c>
      <c r="I209" t="s">
        <v>24</v>
      </c>
      <c r="J209" t="s">
        <v>25</v>
      </c>
      <c r="K209" t="s">
        <v>26</v>
      </c>
      <c r="L209" t="s">
        <v>27</v>
      </c>
      <c r="M209">
        <v>1</v>
      </c>
      <c r="N209" s="2">
        <v>66</v>
      </c>
      <c r="O209" s="3">
        <v>1432</v>
      </c>
      <c r="P209">
        <v>1</v>
      </c>
      <c r="Q209">
        <v>3</v>
      </c>
      <c r="R209" t="s">
        <v>28</v>
      </c>
      <c r="S209">
        <v>1</v>
      </c>
    </row>
    <row r="210" spans="1:19" ht="16.5" x14ac:dyDescent="0.3">
      <c r="A210" t="s">
        <v>259</v>
      </c>
      <c r="B210" s="1">
        <v>45312</v>
      </c>
      <c r="C210" s="1">
        <v>45316</v>
      </c>
      <c r="D210">
        <v>2024</v>
      </c>
      <c r="E210" t="s">
        <v>20</v>
      </c>
      <c r="F210" t="s">
        <v>21</v>
      </c>
      <c r="G210" t="s">
        <v>112</v>
      </c>
      <c r="H210" t="s">
        <v>30</v>
      </c>
      <c r="I210" t="s">
        <v>40</v>
      </c>
      <c r="J210" t="s">
        <v>25</v>
      </c>
      <c r="K210" t="s">
        <v>26</v>
      </c>
      <c r="L210" t="s">
        <v>44</v>
      </c>
      <c r="M210">
        <v>4</v>
      </c>
      <c r="N210" s="2"/>
      <c r="O210" s="3">
        <v>4028</v>
      </c>
      <c r="P210">
        <v>0</v>
      </c>
      <c r="Q210">
        <v>4</v>
      </c>
      <c r="R210" t="s">
        <v>33</v>
      </c>
      <c r="S210">
        <v>1</v>
      </c>
    </row>
    <row r="211" spans="1:19" ht="16.5" x14ac:dyDescent="0.3">
      <c r="A211" t="s">
        <v>260</v>
      </c>
      <c r="B211" s="1">
        <v>45312</v>
      </c>
      <c r="C211" s="1">
        <v>45313</v>
      </c>
      <c r="D211">
        <v>2024</v>
      </c>
      <c r="E211" t="s">
        <v>20</v>
      </c>
      <c r="F211" t="s">
        <v>21</v>
      </c>
      <c r="G211" t="s">
        <v>112</v>
      </c>
      <c r="H211" t="s">
        <v>35</v>
      </c>
      <c r="I211" t="s">
        <v>24</v>
      </c>
      <c r="J211" t="s">
        <v>25</v>
      </c>
      <c r="K211" t="s">
        <v>32</v>
      </c>
      <c r="L211" t="s">
        <v>44</v>
      </c>
      <c r="M211">
        <v>1</v>
      </c>
      <c r="N211" s="2">
        <v>147</v>
      </c>
      <c r="O211" s="3">
        <v>1678</v>
      </c>
      <c r="P211">
        <v>0</v>
      </c>
      <c r="Q211">
        <v>3</v>
      </c>
      <c r="R211" t="s">
        <v>33</v>
      </c>
      <c r="S211">
        <v>1</v>
      </c>
    </row>
    <row r="212" spans="1:19" ht="16.5" x14ac:dyDescent="0.3">
      <c r="A212" t="s">
        <v>261</v>
      </c>
      <c r="B212" s="1">
        <v>45312</v>
      </c>
      <c r="C212" s="1">
        <v>45318</v>
      </c>
      <c r="D212">
        <v>2024</v>
      </c>
      <c r="E212" t="s">
        <v>20</v>
      </c>
      <c r="F212" t="s">
        <v>21</v>
      </c>
      <c r="G212" t="s">
        <v>112</v>
      </c>
      <c r="H212" t="s">
        <v>39</v>
      </c>
      <c r="I212" t="s">
        <v>24</v>
      </c>
      <c r="J212" t="s">
        <v>25</v>
      </c>
      <c r="K212" t="s">
        <v>41</v>
      </c>
      <c r="L212" t="s">
        <v>27</v>
      </c>
      <c r="M212">
        <v>6</v>
      </c>
      <c r="N212" s="2">
        <v>121</v>
      </c>
      <c r="O212" s="3">
        <v>3242</v>
      </c>
      <c r="P212">
        <v>0</v>
      </c>
      <c r="Q212">
        <v>3</v>
      </c>
      <c r="R212" t="s">
        <v>33</v>
      </c>
      <c r="S212">
        <v>1</v>
      </c>
    </row>
    <row r="213" spans="1:19" ht="16.5" x14ac:dyDescent="0.3">
      <c r="A213" t="s">
        <v>262</v>
      </c>
      <c r="B213" s="1">
        <v>45312</v>
      </c>
      <c r="C213" s="1">
        <v>45320</v>
      </c>
      <c r="D213">
        <v>2024</v>
      </c>
      <c r="E213" t="s">
        <v>20</v>
      </c>
      <c r="F213" t="s">
        <v>21</v>
      </c>
      <c r="G213" t="s">
        <v>112</v>
      </c>
      <c r="H213" t="s">
        <v>39</v>
      </c>
      <c r="I213" t="s">
        <v>40</v>
      </c>
      <c r="J213" t="s">
        <v>43</v>
      </c>
      <c r="K213" t="s">
        <v>41</v>
      </c>
      <c r="L213" t="s">
        <v>27</v>
      </c>
      <c r="M213">
        <v>8</v>
      </c>
      <c r="N213" s="2"/>
      <c r="O213" s="3">
        <v>6216</v>
      </c>
      <c r="P213">
        <v>0</v>
      </c>
      <c r="Q213">
        <v>4</v>
      </c>
      <c r="R213" t="s">
        <v>28</v>
      </c>
      <c r="S213">
        <v>1</v>
      </c>
    </row>
    <row r="214" spans="1:19" ht="16.5" x14ac:dyDescent="0.3">
      <c r="A214" t="s">
        <v>263</v>
      </c>
      <c r="B214" s="1">
        <v>45313</v>
      </c>
      <c r="C214" s="1">
        <v>45315</v>
      </c>
      <c r="D214">
        <v>2024</v>
      </c>
      <c r="E214" t="s">
        <v>20</v>
      </c>
      <c r="F214" t="s">
        <v>21</v>
      </c>
      <c r="G214" t="s">
        <v>22</v>
      </c>
      <c r="H214" t="s">
        <v>23</v>
      </c>
      <c r="I214" t="s">
        <v>24</v>
      </c>
      <c r="J214" t="s">
        <v>43</v>
      </c>
      <c r="K214" t="s">
        <v>53</v>
      </c>
      <c r="L214" t="s">
        <v>37</v>
      </c>
      <c r="M214">
        <v>2</v>
      </c>
      <c r="N214" s="2">
        <v>124</v>
      </c>
      <c r="O214" s="3">
        <v>1576</v>
      </c>
      <c r="P214">
        <v>0</v>
      </c>
      <c r="Q214">
        <v>3</v>
      </c>
      <c r="R214" t="s">
        <v>28</v>
      </c>
      <c r="S214">
        <v>1</v>
      </c>
    </row>
    <row r="215" spans="1:19" ht="16.5" x14ac:dyDescent="0.3">
      <c r="A215" t="s">
        <v>264</v>
      </c>
      <c r="B215" s="1">
        <v>45313</v>
      </c>
      <c r="C215" s="1">
        <v>45316</v>
      </c>
      <c r="D215">
        <v>2024</v>
      </c>
      <c r="E215" t="s">
        <v>20</v>
      </c>
      <c r="F215" t="s">
        <v>21</v>
      </c>
      <c r="G215" t="s">
        <v>22</v>
      </c>
      <c r="H215" t="s">
        <v>50</v>
      </c>
      <c r="I215" t="s">
        <v>24</v>
      </c>
      <c r="J215" t="s">
        <v>25</v>
      </c>
      <c r="K215" t="s">
        <v>26</v>
      </c>
      <c r="L215" t="s">
        <v>27</v>
      </c>
      <c r="M215">
        <v>3</v>
      </c>
      <c r="N215" s="2">
        <v>97</v>
      </c>
      <c r="O215" s="3">
        <v>4888</v>
      </c>
      <c r="P215">
        <v>0</v>
      </c>
      <c r="Q215">
        <v>3</v>
      </c>
      <c r="R215" t="s">
        <v>33</v>
      </c>
      <c r="S215">
        <v>1</v>
      </c>
    </row>
    <row r="216" spans="1:19" ht="16.5" x14ac:dyDescent="0.3">
      <c r="A216" t="s">
        <v>265</v>
      </c>
      <c r="B216" s="1">
        <v>45313</v>
      </c>
      <c r="C216" s="1">
        <v>45314</v>
      </c>
      <c r="D216">
        <v>2024</v>
      </c>
      <c r="E216" t="s">
        <v>20</v>
      </c>
      <c r="F216" t="s">
        <v>21</v>
      </c>
      <c r="G216" t="s">
        <v>22</v>
      </c>
      <c r="H216" t="s">
        <v>35</v>
      </c>
      <c r="I216" t="s">
        <v>40</v>
      </c>
      <c r="J216" t="s">
        <v>25</v>
      </c>
      <c r="K216" t="s">
        <v>32</v>
      </c>
      <c r="L216" t="s">
        <v>44</v>
      </c>
      <c r="M216">
        <v>1</v>
      </c>
      <c r="N216" s="2"/>
      <c r="O216" s="3">
        <v>1570</v>
      </c>
      <c r="P216">
        <v>0</v>
      </c>
      <c r="Q216">
        <v>5</v>
      </c>
      <c r="R216" t="s">
        <v>33</v>
      </c>
      <c r="S216">
        <v>1</v>
      </c>
    </row>
    <row r="217" spans="1:19" ht="16.5" x14ac:dyDescent="0.3">
      <c r="A217" t="s">
        <v>266</v>
      </c>
      <c r="B217" s="1">
        <v>45313</v>
      </c>
      <c r="C217" s="1">
        <v>45315</v>
      </c>
      <c r="D217">
        <v>2024</v>
      </c>
      <c r="E217" t="s">
        <v>20</v>
      </c>
      <c r="F217" t="s">
        <v>21</v>
      </c>
      <c r="G217" t="s">
        <v>22</v>
      </c>
      <c r="H217" t="s">
        <v>39</v>
      </c>
      <c r="I217" t="s">
        <v>40</v>
      </c>
      <c r="J217" t="s">
        <v>43</v>
      </c>
      <c r="K217" t="s">
        <v>41</v>
      </c>
      <c r="L217" t="s">
        <v>44</v>
      </c>
      <c r="M217">
        <v>2</v>
      </c>
      <c r="N217" s="2"/>
      <c r="O217" s="3">
        <v>2213</v>
      </c>
      <c r="P217">
        <v>0</v>
      </c>
      <c r="Q217">
        <v>5</v>
      </c>
      <c r="R217" t="s">
        <v>28</v>
      </c>
      <c r="S217">
        <v>1</v>
      </c>
    </row>
    <row r="218" spans="1:19" ht="16.5" x14ac:dyDescent="0.3">
      <c r="A218" t="s">
        <v>267</v>
      </c>
      <c r="B218" s="1">
        <v>45313</v>
      </c>
      <c r="C218" s="1">
        <v>45317</v>
      </c>
      <c r="D218">
        <v>2024</v>
      </c>
      <c r="E218" t="s">
        <v>20</v>
      </c>
      <c r="F218" t="s">
        <v>21</v>
      </c>
      <c r="G218" t="s">
        <v>22</v>
      </c>
      <c r="H218" t="s">
        <v>39</v>
      </c>
      <c r="I218" t="s">
        <v>40</v>
      </c>
      <c r="J218" t="s">
        <v>25</v>
      </c>
      <c r="K218" t="s">
        <v>41</v>
      </c>
      <c r="L218" t="s">
        <v>44</v>
      </c>
      <c r="M218">
        <v>4</v>
      </c>
      <c r="N218" s="2"/>
      <c r="O218" s="3">
        <v>3428</v>
      </c>
      <c r="P218">
        <v>0</v>
      </c>
      <c r="Q218">
        <v>4</v>
      </c>
      <c r="R218" t="s">
        <v>28</v>
      </c>
      <c r="S218">
        <v>1</v>
      </c>
    </row>
    <row r="219" spans="1:19" ht="16.5" x14ac:dyDescent="0.3">
      <c r="A219" t="s">
        <v>268</v>
      </c>
      <c r="B219" s="1">
        <v>45313</v>
      </c>
      <c r="C219" s="1">
        <v>45323</v>
      </c>
      <c r="D219">
        <v>2024</v>
      </c>
      <c r="E219" t="s">
        <v>20</v>
      </c>
      <c r="F219" t="s">
        <v>21</v>
      </c>
      <c r="G219" t="s">
        <v>22</v>
      </c>
      <c r="H219" t="s">
        <v>23</v>
      </c>
      <c r="I219" t="s">
        <v>24</v>
      </c>
      <c r="J219" t="s">
        <v>43</v>
      </c>
      <c r="K219" t="s">
        <v>32</v>
      </c>
      <c r="L219" t="s">
        <v>27</v>
      </c>
      <c r="M219">
        <v>10</v>
      </c>
      <c r="N219" s="2">
        <v>99</v>
      </c>
      <c r="O219" s="3">
        <v>6509</v>
      </c>
      <c r="P219">
        <v>0</v>
      </c>
      <c r="Q219">
        <v>3</v>
      </c>
      <c r="R219" t="s">
        <v>28</v>
      </c>
      <c r="S219">
        <v>1</v>
      </c>
    </row>
    <row r="220" spans="1:19" ht="16.5" x14ac:dyDescent="0.3">
      <c r="A220" t="s">
        <v>269</v>
      </c>
      <c r="B220" s="1">
        <v>45313</v>
      </c>
      <c r="C220" s="1">
        <v>45316</v>
      </c>
      <c r="D220">
        <v>2024</v>
      </c>
      <c r="E220" t="s">
        <v>20</v>
      </c>
      <c r="F220" t="s">
        <v>21</v>
      </c>
      <c r="G220" t="s">
        <v>22</v>
      </c>
      <c r="H220" t="s">
        <v>52</v>
      </c>
      <c r="I220" t="s">
        <v>40</v>
      </c>
      <c r="J220" t="s">
        <v>43</v>
      </c>
      <c r="K220" t="s">
        <v>53</v>
      </c>
      <c r="L220" t="s">
        <v>27</v>
      </c>
      <c r="M220">
        <v>3</v>
      </c>
      <c r="N220" s="2"/>
      <c r="O220" s="3">
        <v>4118</v>
      </c>
      <c r="P220">
        <v>0</v>
      </c>
      <c r="Q220">
        <v>4</v>
      </c>
      <c r="R220" t="s">
        <v>28</v>
      </c>
      <c r="S220">
        <v>1</v>
      </c>
    </row>
    <row r="221" spans="1:19" ht="16.5" x14ac:dyDescent="0.3">
      <c r="A221" t="s">
        <v>270</v>
      </c>
      <c r="B221" s="1">
        <v>45313</v>
      </c>
      <c r="C221" s="1">
        <v>45320</v>
      </c>
      <c r="D221">
        <v>2024</v>
      </c>
      <c r="E221" t="s">
        <v>20</v>
      </c>
      <c r="F221" t="s">
        <v>21</v>
      </c>
      <c r="G221" t="s">
        <v>22</v>
      </c>
      <c r="H221" t="s">
        <v>30</v>
      </c>
      <c r="I221" t="s">
        <v>40</v>
      </c>
      <c r="J221" t="s">
        <v>25</v>
      </c>
      <c r="K221" t="s">
        <v>26</v>
      </c>
      <c r="L221" t="s">
        <v>37</v>
      </c>
      <c r="M221">
        <v>7</v>
      </c>
      <c r="N221" s="2"/>
      <c r="O221" s="3">
        <v>7243</v>
      </c>
      <c r="P221">
        <v>0</v>
      </c>
      <c r="Q221">
        <v>4</v>
      </c>
      <c r="R221" t="s">
        <v>33</v>
      </c>
      <c r="S221">
        <v>1</v>
      </c>
    </row>
    <row r="222" spans="1:19" ht="16.5" x14ac:dyDescent="0.3">
      <c r="A222" t="s">
        <v>271</v>
      </c>
      <c r="B222" s="1">
        <v>45313</v>
      </c>
      <c r="C222" s="1">
        <v>45319</v>
      </c>
      <c r="D222">
        <v>2024</v>
      </c>
      <c r="E222" t="s">
        <v>20</v>
      </c>
      <c r="F222" t="s">
        <v>21</v>
      </c>
      <c r="G222" t="s">
        <v>22</v>
      </c>
      <c r="H222" t="s">
        <v>52</v>
      </c>
      <c r="I222" t="s">
        <v>40</v>
      </c>
      <c r="J222" t="s">
        <v>25</v>
      </c>
      <c r="K222" t="s">
        <v>53</v>
      </c>
      <c r="L222" t="s">
        <v>44</v>
      </c>
      <c r="M222">
        <v>6</v>
      </c>
      <c r="N222" s="2"/>
      <c r="O222" s="3">
        <v>6496</v>
      </c>
      <c r="P222">
        <v>0</v>
      </c>
      <c r="Q222">
        <v>4</v>
      </c>
      <c r="R222" t="s">
        <v>33</v>
      </c>
      <c r="S222">
        <v>1</v>
      </c>
    </row>
    <row r="223" spans="1:19" ht="16.5" x14ac:dyDescent="0.3">
      <c r="A223" t="s">
        <v>272</v>
      </c>
      <c r="B223" s="1">
        <v>45314</v>
      </c>
      <c r="C223" s="1">
        <v>45317</v>
      </c>
      <c r="D223">
        <v>2024</v>
      </c>
      <c r="E223" t="s">
        <v>20</v>
      </c>
      <c r="F223" t="s">
        <v>21</v>
      </c>
      <c r="G223" t="s">
        <v>56</v>
      </c>
      <c r="H223" t="s">
        <v>39</v>
      </c>
      <c r="I223" t="s">
        <v>24</v>
      </c>
      <c r="J223" t="s">
        <v>43</v>
      </c>
      <c r="K223" t="s">
        <v>41</v>
      </c>
      <c r="L223" t="s">
        <v>27</v>
      </c>
      <c r="M223">
        <v>3</v>
      </c>
      <c r="N223" s="2">
        <v>102</v>
      </c>
      <c r="O223" s="3">
        <v>1837</v>
      </c>
      <c r="P223">
        <v>1</v>
      </c>
      <c r="Q223">
        <v>3</v>
      </c>
      <c r="R223" t="s">
        <v>33</v>
      </c>
      <c r="S223">
        <v>1</v>
      </c>
    </row>
    <row r="224" spans="1:19" ht="16.5" x14ac:dyDescent="0.3">
      <c r="A224" t="s">
        <v>273</v>
      </c>
      <c r="B224" s="1">
        <v>45314</v>
      </c>
      <c r="C224" s="1">
        <v>45317</v>
      </c>
      <c r="D224">
        <v>2024</v>
      </c>
      <c r="E224" t="s">
        <v>20</v>
      </c>
      <c r="F224" t="s">
        <v>21</v>
      </c>
      <c r="G224" t="s">
        <v>56</v>
      </c>
      <c r="H224" t="s">
        <v>50</v>
      </c>
      <c r="I224" t="s">
        <v>40</v>
      </c>
      <c r="J224" t="s">
        <v>43</v>
      </c>
      <c r="K224" t="s">
        <v>32</v>
      </c>
      <c r="L224" t="s">
        <v>44</v>
      </c>
      <c r="M224">
        <v>3</v>
      </c>
      <c r="N224" s="2"/>
      <c r="O224" s="3">
        <v>4278</v>
      </c>
      <c r="P224">
        <v>0</v>
      </c>
      <c r="Q224">
        <v>5</v>
      </c>
      <c r="R224" t="s">
        <v>33</v>
      </c>
      <c r="S224">
        <v>1</v>
      </c>
    </row>
    <row r="225" spans="1:19" ht="16.5" x14ac:dyDescent="0.3">
      <c r="A225" t="s">
        <v>274</v>
      </c>
      <c r="B225" s="1">
        <v>45314</v>
      </c>
      <c r="C225" s="1">
        <v>45317</v>
      </c>
      <c r="D225">
        <v>2024</v>
      </c>
      <c r="E225" t="s">
        <v>20</v>
      </c>
      <c r="F225" t="s">
        <v>21</v>
      </c>
      <c r="G225" t="s">
        <v>56</v>
      </c>
      <c r="H225" t="s">
        <v>30</v>
      </c>
      <c r="I225" t="s">
        <v>24</v>
      </c>
      <c r="J225" t="s">
        <v>43</v>
      </c>
      <c r="K225" t="s">
        <v>26</v>
      </c>
      <c r="L225" t="s">
        <v>27</v>
      </c>
      <c r="M225">
        <v>3</v>
      </c>
      <c r="N225" s="2">
        <v>80</v>
      </c>
      <c r="O225" s="3">
        <v>4511</v>
      </c>
      <c r="P225">
        <v>0</v>
      </c>
      <c r="Q225">
        <v>4</v>
      </c>
      <c r="R225" t="s">
        <v>33</v>
      </c>
      <c r="S225">
        <v>1</v>
      </c>
    </row>
    <row r="226" spans="1:19" ht="16.5" x14ac:dyDescent="0.3">
      <c r="A226" t="s">
        <v>275</v>
      </c>
      <c r="B226" s="1">
        <v>45314</v>
      </c>
      <c r="C226" s="1">
        <v>45318</v>
      </c>
      <c r="D226">
        <v>2024</v>
      </c>
      <c r="E226" t="s">
        <v>20</v>
      </c>
      <c r="F226" t="s">
        <v>21</v>
      </c>
      <c r="G226" t="s">
        <v>56</v>
      </c>
      <c r="H226" t="s">
        <v>35</v>
      </c>
      <c r="I226" t="s">
        <v>24</v>
      </c>
      <c r="J226" t="s">
        <v>25</v>
      </c>
      <c r="K226" t="s">
        <v>36</v>
      </c>
      <c r="L226" t="s">
        <v>44</v>
      </c>
      <c r="M226">
        <v>4</v>
      </c>
      <c r="N226" s="2">
        <v>98</v>
      </c>
      <c r="O226" s="3">
        <v>2604</v>
      </c>
      <c r="P226">
        <v>1</v>
      </c>
      <c r="Q226">
        <v>4</v>
      </c>
      <c r="R226" t="s">
        <v>33</v>
      </c>
      <c r="S226">
        <v>1</v>
      </c>
    </row>
    <row r="227" spans="1:19" ht="16.5" x14ac:dyDescent="0.3">
      <c r="A227" t="s">
        <v>276</v>
      </c>
      <c r="B227" s="1">
        <v>45314</v>
      </c>
      <c r="C227" s="1">
        <v>45316</v>
      </c>
      <c r="D227">
        <v>2024</v>
      </c>
      <c r="E227" t="s">
        <v>20</v>
      </c>
      <c r="F227" t="s">
        <v>21</v>
      </c>
      <c r="G227" t="s">
        <v>56</v>
      </c>
      <c r="H227" t="s">
        <v>35</v>
      </c>
      <c r="I227" t="s">
        <v>24</v>
      </c>
      <c r="J227" t="s">
        <v>25</v>
      </c>
      <c r="K227" t="s">
        <v>36</v>
      </c>
      <c r="L227" t="s">
        <v>27</v>
      </c>
      <c r="M227">
        <v>2</v>
      </c>
      <c r="N227" s="2">
        <v>41</v>
      </c>
      <c r="O227" s="3">
        <v>1895</v>
      </c>
      <c r="P227">
        <v>0</v>
      </c>
      <c r="Q227">
        <v>4</v>
      </c>
      <c r="R227" t="s">
        <v>33</v>
      </c>
      <c r="S227">
        <v>1</v>
      </c>
    </row>
    <row r="228" spans="1:19" ht="16.5" x14ac:dyDescent="0.3">
      <c r="A228" t="s">
        <v>277</v>
      </c>
      <c r="B228" s="1">
        <v>45314</v>
      </c>
      <c r="C228" s="1">
        <v>45316</v>
      </c>
      <c r="D228">
        <v>2024</v>
      </c>
      <c r="E228" t="s">
        <v>20</v>
      </c>
      <c r="F228" t="s">
        <v>21</v>
      </c>
      <c r="G228" t="s">
        <v>56</v>
      </c>
      <c r="H228" t="s">
        <v>35</v>
      </c>
      <c r="I228" t="s">
        <v>24</v>
      </c>
      <c r="J228" t="s">
        <v>25</v>
      </c>
      <c r="K228" t="s">
        <v>36</v>
      </c>
      <c r="L228" t="s">
        <v>44</v>
      </c>
      <c r="M228">
        <v>2</v>
      </c>
      <c r="N228" s="2">
        <v>108</v>
      </c>
      <c r="O228" s="3">
        <v>2007</v>
      </c>
      <c r="P228">
        <v>0</v>
      </c>
      <c r="Q228">
        <v>4</v>
      </c>
      <c r="R228" t="s">
        <v>33</v>
      </c>
      <c r="S228">
        <v>1</v>
      </c>
    </row>
    <row r="229" spans="1:19" ht="16.5" x14ac:dyDescent="0.3">
      <c r="A229" t="s">
        <v>278</v>
      </c>
      <c r="B229" s="1">
        <v>45314</v>
      </c>
      <c r="C229" s="1">
        <v>45334</v>
      </c>
      <c r="D229">
        <v>2024</v>
      </c>
      <c r="E229" t="s">
        <v>20</v>
      </c>
      <c r="F229" t="s">
        <v>21</v>
      </c>
      <c r="G229" t="s">
        <v>56</v>
      </c>
      <c r="H229" t="s">
        <v>23</v>
      </c>
      <c r="I229" t="s">
        <v>31</v>
      </c>
      <c r="J229" t="s">
        <v>25</v>
      </c>
      <c r="K229" t="s">
        <v>53</v>
      </c>
      <c r="L229" t="s">
        <v>27</v>
      </c>
      <c r="M229">
        <v>20</v>
      </c>
      <c r="N229" s="2"/>
      <c r="O229" s="3">
        <v>13127</v>
      </c>
      <c r="P229">
        <v>0</v>
      </c>
      <c r="Q229">
        <v>4</v>
      </c>
      <c r="R229" t="s">
        <v>28</v>
      </c>
      <c r="S229">
        <v>1</v>
      </c>
    </row>
    <row r="230" spans="1:19" ht="16.5" x14ac:dyDescent="0.3">
      <c r="A230" t="s">
        <v>279</v>
      </c>
      <c r="B230" s="1">
        <v>45315</v>
      </c>
      <c r="C230" s="1">
        <v>45321</v>
      </c>
      <c r="D230">
        <v>2024</v>
      </c>
      <c r="E230" t="s">
        <v>20</v>
      </c>
      <c r="F230" t="s">
        <v>21</v>
      </c>
      <c r="G230" t="s">
        <v>70</v>
      </c>
      <c r="H230" t="s">
        <v>23</v>
      </c>
      <c r="I230" t="s">
        <v>24</v>
      </c>
      <c r="J230" t="s">
        <v>25</v>
      </c>
      <c r="K230" t="s">
        <v>32</v>
      </c>
      <c r="L230" t="s">
        <v>44</v>
      </c>
      <c r="M230">
        <v>6</v>
      </c>
      <c r="N230" s="2">
        <v>54</v>
      </c>
      <c r="O230" s="3">
        <v>4084</v>
      </c>
      <c r="P230">
        <v>0</v>
      </c>
      <c r="Q230">
        <v>4</v>
      </c>
      <c r="R230" t="s">
        <v>28</v>
      </c>
      <c r="S230">
        <v>1</v>
      </c>
    </row>
    <row r="231" spans="1:19" ht="16.5" x14ac:dyDescent="0.3">
      <c r="A231" t="s">
        <v>280</v>
      </c>
      <c r="B231" s="1">
        <v>45315</v>
      </c>
      <c r="C231" s="1">
        <v>45317</v>
      </c>
      <c r="D231">
        <v>2024</v>
      </c>
      <c r="E231" t="s">
        <v>20</v>
      </c>
      <c r="F231" t="s">
        <v>21</v>
      </c>
      <c r="G231" t="s">
        <v>70</v>
      </c>
      <c r="H231" t="s">
        <v>35</v>
      </c>
      <c r="I231" t="s">
        <v>24</v>
      </c>
      <c r="J231" t="s">
        <v>25</v>
      </c>
      <c r="K231" t="s">
        <v>36</v>
      </c>
      <c r="L231" t="s">
        <v>44</v>
      </c>
      <c r="M231">
        <v>2</v>
      </c>
      <c r="N231" s="2">
        <v>120</v>
      </c>
      <c r="O231" s="3">
        <v>2356</v>
      </c>
      <c r="P231">
        <v>0</v>
      </c>
      <c r="Q231">
        <v>4</v>
      </c>
      <c r="R231" t="s">
        <v>28</v>
      </c>
      <c r="S231">
        <v>1</v>
      </c>
    </row>
    <row r="232" spans="1:19" ht="16.5" x14ac:dyDescent="0.3">
      <c r="A232" t="s">
        <v>281</v>
      </c>
      <c r="B232" s="1">
        <v>45315</v>
      </c>
      <c r="C232" s="1">
        <v>45328</v>
      </c>
      <c r="D232">
        <v>2024</v>
      </c>
      <c r="E232" t="s">
        <v>20</v>
      </c>
      <c r="F232" t="s">
        <v>21</v>
      </c>
      <c r="G232" t="s">
        <v>70</v>
      </c>
      <c r="H232" t="s">
        <v>50</v>
      </c>
      <c r="I232" t="s">
        <v>40</v>
      </c>
      <c r="J232" t="s">
        <v>25</v>
      </c>
      <c r="K232" t="s">
        <v>26</v>
      </c>
      <c r="L232" t="s">
        <v>27</v>
      </c>
      <c r="M232">
        <v>13</v>
      </c>
      <c r="N232" s="2"/>
      <c r="O232" s="3">
        <v>17315</v>
      </c>
      <c r="P232">
        <v>0</v>
      </c>
      <c r="Q232">
        <v>4</v>
      </c>
      <c r="R232" t="s">
        <v>33</v>
      </c>
      <c r="S232">
        <v>1</v>
      </c>
    </row>
    <row r="233" spans="1:19" ht="16.5" x14ac:dyDescent="0.3">
      <c r="A233" t="s">
        <v>282</v>
      </c>
      <c r="B233" s="1">
        <v>45315</v>
      </c>
      <c r="C233" s="1">
        <v>45317</v>
      </c>
      <c r="D233">
        <v>2024</v>
      </c>
      <c r="E233" t="s">
        <v>20</v>
      </c>
      <c r="F233" t="s">
        <v>21</v>
      </c>
      <c r="G233" t="s">
        <v>70</v>
      </c>
      <c r="H233" t="s">
        <v>39</v>
      </c>
      <c r="I233" t="s">
        <v>24</v>
      </c>
      <c r="J233" t="s">
        <v>43</v>
      </c>
      <c r="K233" t="s">
        <v>41</v>
      </c>
      <c r="L233" t="s">
        <v>27</v>
      </c>
      <c r="M233">
        <v>2</v>
      </c>
      <c r="N233" s="2">
        <v>38</v>
      </c>
      <c r="O233" s="3">
        <v>2239</v>
      </c>
      <c r="P233">
        <v>0</v>
      </c>
      <c r="Q233">
        <v>5</v>
      </c>
      <c r="R233" t="s">
        <v>33</v>
      </c>
      <c r="S233">
        <v>1</v>
      </c>
    </row>
    <row r="234" spans="1:19" ht="16.5" x14ac:dyDescent="0.3">
      <c r="A234" t="s">
        <v>283</v>
      </c>
      <c r="B234" s="1">
        <v>45315</v>
      </c>
      <c r="C234" s="1">
        <v>45316</v>
      </c>
      <c r="D234">
        <v>2024</v>
      </c>
      <c r="E234" t="s">
        <v>20</v>
      </c>
      <c r="F234" t="s">
        <v>21</v>
      </c>
      <c r="G234" t="s">
        <v>70</v>
      </c>
      <c r="H234" t="s">
        <v>39</v>
      </c>
      <c r="I234" t="s">
        <v>40</v>
      </c>
      <c r="J234" t="s">
        <v>25</v>
      </c>
      <c r="K234" t="s">
        <v>41</v>
      </c>
      <c r="L234" t="s">
        <v>37</v>
      </c>
      <c r="M234">
        <v>1</v>
      </c>
      <c r="N234" s="2"/>
      <c r="O234" s="3">
        <v>1506</v>
      </c>
      <c r="P234">
        <v>0</v>
      </c>
      <c r="Q234">
        <v>5</v>
      </c>
      <c r="R234" t="s">
        <v>33</v>
      </c>
      <c r="S234">
        <v>1</v>
      </c>
    </row>
    <row r="235" spans="1:19" ht="16.5" x14ac:dyDescent="0.3">
      <c r="A235" t="s">
        <v>284</v>
      </c>
      <c r="B235" s="1">
        <v>45315</v>
      </c>
      <c r="C235" s="1">
        <v>45316</v>
      </c>
      <c r="D235">
        <v>2024</v>
      </c>
      <c r="E235" t="s">
        <v>20</v>
      </c>
      <c r="F235" t="s">
        <v>21</v>
      </c>
      <c r="G235" t="s">
        <v>70</v>
      </c>
      <c r="H235" t="s">
        <v>35</v>
      </c>
      <c r="I235" t="s">
        <v>24</v>
      </c>
      <c r="J235" t="s">
        <v>25</v>
      </c>
      <c r="K235" t="s">
        <v>32</v>
      </c>
      <c r="L235" t="s">
        <v>27</v>
      </c>
      <c r="M235">
        <v>1</v>
      </c>
      <c r="N235" s="2">
        <v>44</v>
      </c>
      <c r="O235" s="3">
        <v>1598</v>
      </c>
      <c r="P235">
        <v>0</v>
      </c>
      <c r="Q235">
        <v>4</v>
      </c>
      <c r="R235" t="s">
        <v>33</v>
      </c>
      <c r="S235">
        <v>1</v>
      </c>
    </row>
    <row r="236" spans="1:19" ht="16.5" x14ac:dyDescent="0.3">
      <c r="A236" t="s">
        <v>285</v>
      </c>
      <c r="B236" s="1">
        <v>45315</v>
      </c>
      <c r="C236" s="1">
        <v>45319</v>
      </c>
      <c r="D236">
        <v>2024</v>
      </c>
      <c r="E236" t="s">
        <v>20</v>
      </c>
      <c r="F236" t="s">
        <v>21</v>
      </c>
      <c r="G236" t="s">
        <v>70</v>
      </c>
      <c r="H236" t="s">
        <v>39</v>
      </c>
      <c r="I236" t="s">
        <v>24</v>
      </c>
      <c r="J236" t="s">
        <v>43</v>
      </c>
      <c r="K236" t="s">
        <v>41</v>
      </c>
      <c r="L236" t="s">
        <v>44</v>
      </c>
      <c r="M236">
        <v>4</v>
      </c>
      <c r="N236" s="2">
        <v>90</v>
      </c>
      <c r="O236" s="3">
        <v>2410</v>
      </c>
      <c r="P236">
        <v>0</v>
      </c>
      <c r="Q236">
        <v>4</v>
      </c>
      <c r="R236" t="s">
        <v>33</v>
      </c>
      <c r="S236">
        <v>1</v>
      </c>
    </row>
    <row r="237" spans="1:19" ht="16.5" x14ac:dyDescent="0.3">
      <c r="A237" t="s">
        <v>286</v>
      </c>
      <c r="B237" s="1">
        <v>45315</v>
      </c>
      <c r="C237" s="1">
        <v>45318</v>
      </c>
      <c r="D237">
        <v>2024</v>
      </c>
      <c r="E237" t="s">
        <v>20</v>
      </c>
      <c r="F237" t="s">
        <v>21</v>
      </c>
      <c r="G237" t="s">
        <v>70</v>
      </c>
      <c r="H237" t="s">
        <v>39</v>
      </c>
      <c r="I237" t="s">
        <v>24</v>
      </c>
      <c r="J237" t="s">
        <v>25</v>
      </c>
      <c r="K237" t="s">
        <v>41</v>
      </c>
      <c r="L237" t="s">
        <v>27</v>
      </c>
      <c r="M237">
        <v>3</v>
      </c>
      <c r="N237" s="2">
        <v>25</v>
      </c>
      <c r="O237" s="3">
        <v>2527</v>
      </c>
      <c r="P237">
        <v>0</v>
      </c>
      <c r="Q237">
        <v>3</v>
      </c>
      <c r="R237" t="s">
        <v>33</v>
      </c>
      <c r="S237">
        <v>1</v>
      </c>
    </row>
    <row r="238" spans="1:19" ht="16.5" x14ac:dyDescent="0.3">
      <c r="A238" t="s">
        <v>287</v>
      </c>
      <c r="B238" s="1">
        <v>45315</v>
      </c>
      <c r="C238" s="1">
        <v>45318</v>
      </c>
      <c r="D238">
        <v>2024</v>
      </c>
      <c r="E238" t="s">
        <v>20</v>
      </c>
      <c r="F238" t="s">
        <v>21</v>
      </c>
      <c r="G238" t="s">
        <v>70</v>
      </c>
      <c r="H238" t="s">
        <v>23</v>
      </c>
      <c r="I238" t="s">
        <v>24</v>
      </c>
      <c r="J238" t="s">
        <v>43</v>
      </c>
      <c r="K238" t="s">
        <v>53</v>
      </c>
      <c r="L238" t="s">
        <v>27</v>
      </c>
      <c r="M238">
        <v>3</v>
      </c>
      <c r="N238" s="2">
        <v>61</v>
      </c>
      <c r="O238" s="3">
        <v>2508</v>
      </c>
      <c r="P238">
        <v>0</v>
      </c>
      <c r="Q238">
        <v>4</v>
      </c>
      <c r="R238" t="s">
        <v>33</v>
      </c>
      <c r="S238">
        <v>1</v>
      </c>
    </row>
    <row r="239" spans="1:19" ht="16.5" x14ac:dyDescent="0.3">
      <c r="A239" t="s">
        <v>288</v>
      </c>
      <c r="B239" s="1">
        <v>45316</v>
      </c>
      <c r="C239" s="1">
        <v>45317</v>
      </c>
      <c r="D239">
        <v>2024</v>
      </c>
      <c r="E239" t="s">
        <v>20</v>
      </c>
      <c r="F239" t="s">
        <v>21</v>
      </c>
      <c r="G239" t="s">
        <v>78</v>
      </c>
      <c r="H239" t="s">
        <v>39</v>
      </c>
      <c r="I239" t="s">
        <v>40</v>
      </c>
      <c r="J239" t="s">
        <v>43</v>
      </c>
      <c r="K239" t="s">
        <v>41</v>
      </c>
      <c r="L239" t="s">
        <v>44</v>
      </c>
      <c r="M239">
        <v>1</v>
      </c>
      <c r="N239" s="2"/>
      <c r="O239" s="3">
        <v>1003</v>
      </c>
      <c r="P239">
        <v>0</v>
      </c>
      <c r="Q239">
        <v>4</v>
      </c>
      <c r="R239" t="s">
        <v>59</v>
      </c>
      <c r="S239">
        <v>1</v>
      </c>
    </row>
    <row r="240" spans="1:19" ht="16.5" x14ac:dyDescent="0.3">
      <c r="A240" t="s">
        <v>289</v>
      </c>
      <c r="B240" s="1">
        <v>45316</v>
      </c>
      <c r="C240" s="1">
        <v>45318</v>
      </c>
      <c r="D240">
        <v>2024</v>
      </c>
      <c r="E240" t="s">
        <v>20</v>
      </c>
      <c r="F240" t="s">
        <v>21</v>
      </c>
      <c r="G240" t="s">
        <v>78</v>
      </c>
      <c r="H240" t="s">
        <v>30</v>
      </c>
      <c r="I240" t="s">
        <v>24</v>
      </c>
      <c r="J240" t="s">
        <v>43</v>
      </c>
      <c r="K240" t="s">
        <v>53</v>
      </c>
      <c r="L240" t="s">
        <v>44</v>
      </c>
      <c r="M240">
        <v>2</v>
      </c>
      <c r="N240" s="2">
        <v>80</v>
      </c>
      <c r="O240" s="3">
        <v>2920</v>
      </c>
      <c r="P240">
        <v>0</v>
      </c>
      <c r="Q240">
        <v>5</v>
      </c>
      <c r="R240" t="s">
        <v>33</v>
      </c>
      <c r="S240">
        <v>1</v>
      </c>
    </row>
    <row r="241" spans="1:19" ht="16.5" x14ac:dyDescent="0.3">
      <c r="A241" t="s">
        <v>290</v>
      </c>
      <c r="B241" s="1">
        <v>45316</v>
      </c>
      <c r="C241" s="1">
        <v>45321</v>
      </c>
      <c r="D241">
        <v>2024</v>
      </c>
      <c r="E241" t="s">
        <v>20</v>
      </c>
      <c r="F241" t="s">
        <v>21</v>
      </c>
      <c r="G241" t="s">
        <v>78</v>
      </c>
      <c r="H241" t="s">
        <v>30</v>
      </c>
      <c r="I241" t="s">
        <v>40</v>
      </c>
      <c r="J241" t="s">
        <v>25</v>
      </c>
      <c r="K241" t="s">
        <v>36</v>
      </c>
      <c r="L241" t="s">
        <v>44</v>
      </c>
      <c r="M241">
        <v>5</v>
      </c>
      <c r="N241" s="2"/>
      <c r="O241" s="3">
        <v>6915</v>
      </c>
      <c r="P241">
        <v>1</v>
      </c>
      <c r="Q241">
        <v>4</v>
      </c>
      <c r="R241" t="s">
        <v>33</v>
      </c>
      <c r="S241">
        <v>1</v>
      </c>
    </row>
    <row r="242" spans="1:19" ht="16.5" x14ac:dyDescent="0.3">
      <c r="A242" t="s">
        <v>291</v>
      </c>
      <c r="B242" s="1">
        <v>45316</v>
      </c>
      <c r="C242" s="1">
        <v>45317</v>
      </c>
      <c r="D242">
        <v>2024</v>
      </c>
      <c r="E242" t="s">
        <v>20</v>
      </c>
      <c r="F242" t="s">
        <v>21</v>
      </c>
      <c r="G242" t="s">
        <v>78</v>
      </c>
      <c r="H242" t="s">
        <v>39</v>
      </c>
      <c r="I242" t="s">
        <v>31</v>
      </c>
      <c r="J242" t="s">
        <v>43</v>
      </c>
      <c r="K242" t="s">
        <v>41</v>
      </c>
      <c r="L242" t="s">
        <v>27</v>
      </c>
      <c r="M242">
        <v>1</v>
      </c>
      <c r="N242" s="2"/>
      <c r="O242" s="3">
        <v>1443</v>
      </c>
      <c r="P242">
        <v>0</v>
      </c>
      <c r="Q242">
        <v>4</v>
      </c>
      <c r="R242" t="s">
        <v>33</v>
      </c>
      <c r="S242">
        <v>1</v>
      </c>
    </row>
    <row r="243" spans="1:19" ht="16.5" x14ac:dyDescent="0.3">
      <c r="A243" t="s">
        <v>292</v>
      </c>
      <c r="B243" s="1">
        <v>45316</v>
      </c>
      <c r="C243" s="1">
        <v>45320</v>
      </c>
      <c r="D243">
        <v>2024</v>
      </c>
      <c r="E243" t="s">
        <v>20</v>
      </c>
      <c r="F243" t="s">
        <v>21</v>
      </c>
      <c r="G243" t="s">
        <v>78</v>
      </c>
      <c r="H243" t="s">
        <v>35</v>
      </c>
      <c r="I243" t="s">
        <v>24</v>
      </c>
      <c r="J243" t="s">
        <v>25</v>
      </c>
      <c r="K243" t="s">
        <v>36</v>
      </c>
      <c r="L243" t="s">
        <v>44</v>
      </c>
      <c r="M243">
        <v>4</v>
      </c>
      <c r="N243" s="2">
        <v>90</v>
      </c>
      <c r="O243" s="3">
        <v>2390</v>
      </c>
      <c r="P243">
        <v>0</v>
      </c>
      <c r="Q243">
        <v>4</v>
      </c>
      <c r="R243" t="s">
        <v>33</v>
      </c>
      <c r="S243">
        <v>1</v>
      </c>
    </row>
    <row r="244" spans="1:19" ht="16.5" x14ac:dyDescent="0.3">
      <c r="A244" t="s">
        <v>293</v>
      </c>
      <c r="B244" s="1">
        <v>45316</v>
      </c>
      <c r="C244" s="1">
        <v>45325</v>
      </c>
      <c r="D244">
        <v>2024</v>
      </c>
      <c r="E244" t="s">
        <v>20</v>
      </c>
      <c r="F244" t="s">
        <v>21</v>
      </c>
      <c r="G244" t="s">
        <v>78</v>
      </c>
      <c r="H244" t="s">
        <v>30</v>
      </c>
      <c r="I244" t="s">
        <v>40</v>
      </c>
      <c r="J244" t="s">
        <v>25</v>
      </c>
      <c r="K244" t="s">
        <v>36</v>
      </c>
      <c r="L244" t="s">
        <v>37</v>
      </c>
      <c r="M244">
        <v>9</v>
      </c>
      <c r="N244" s="2"/>
      <c r="O244" s="3">
        <v>8683</v>
      </c>
      <c r="P244">
        <v>0</v>
      </c>
      <c r="Q244">
        <v>4</v>
      </c>
      <c r="R244" t="s">
        <v>33</v>
      </c>
      <c r="S244">
        <v>1</v>
      </c>
    </row>
    <row r="245" spans="1:19" ht="16.5" x14ac:dyDescent="0.3">
      <c r="A245" t="s">
        <v>294</v>
      </c>
      <c r="B245" s="1">
        <v>45316</v>
      </c>
      <c r="C245" s="1">
        <v>45322</v>
      </c>
      <c r="D245">
        <v>2024</v>
      </c>
      <c r="E245" t="s">
        <v>20</v>
      </c>
      <c r="F245" t="s">
        <v>21</v>
      </c>
      <c r="G245" t="s">
        <v>78</v>
      </c>
      <c r="H245" t="s">
        <v>50</v>
      </c>
      <c r="I245" t="s">
        <v>31</v>
      </c>
      <c r="J245" t="s">
        <v>25</v>
      </c>
      <c r="K245" t="s">
        <v>26</v>
      </c>
      <c r="L245" t="s">
        <v>27</v>
      </c>
      <c r="M245">
        <v>6</v>
      </c>
      <c r="N245" s="2"/>
      <c r="O245" s="3">
        <v>7648</v>
      </c>
      <c r="P245">
        <v>0</v>
      </c>
      <c r="Q245">
        <v>5</v>
      </c>
      <c r="R245" t="s">
        <v>28</v>
      </c>
      <c r="S245">
        <v>1</v>
      </c>
    </row>
    <row r="246" spans="1:19" ht="16.5" x14ac:dyDescent="0.3">
      <c r="A246" t="s">
        <v>295</v>
      </c>
      <c r="B246" s="1">
        <v>45316</v>
      </c>
      <c r="C246" s="1">
        <v>45318</v>
      </c>
      <c r="D246">
        <v>2024</v>
      </c>
      <c r="E246" t="s">
        <v>20</v>
      </c>
      <c r="F246" t="s">
        <v>21</v>
      </c>
      <c r="G246" t="s">
        <v>78</v>
      </c>
      <c r="H246" t="s">
        <v>39</v>
      </c>
      <c r="I246" t="s">
        <v>24</v>
      </c>
      <c r="J246" t="s">
        <v>25</v>
      </c>
      <c r="K246" t="s">
        <v>41</v>
      </c>
      <c r="L246" t="s">
        <v>44</v>
      </c>
      <c r="M246">
        <v>2</v>
      </c>
      <c r="N246" s="2">
        <v>78</v>
      </c>
      <c r="O246" s="3">
        <v>1479</v>
      </c>
      <c r="P246">
        <v>0</v>
      </c>
      <c r="Q246">
        <v>4</v>
      </c>
      <c r="R246" t="s">
        <v>33</v>
      </c>
      <c r="S246">
        <v>1</v>
      </c>
    </row>
    <row r="247" spans="1:19" ht="16.5" x14ac:dyDescent="0.3">
      <c r="A247" t="s">
        <v>296</v>
      </c>
      <c r="B247" s="1">
        <v>45316</v>
      </c>
      <c r="C247" s="1">
        <v>45328</v>
      </c>
      <c r="D247">
        <v>2024</v>
      </c>
      <c r="E247" t="s">
        <v>20</v>
      </c>
      <c r="F247" t="s">
        <v>21</v>
      </c>
      <c r="G247" t="s">
        <v>78</v>
      </c>
      <c r="H247" t="s">
        <v>23</v>
      </c>
      <c r="I247" t="s">
        <v>24</v>
      </c>
      <c r="J247" t="s">
        <v>43</v>
      </c>
      <c r="K247" t="s">
        <v>26</v>
      </c>
      <c r="L247" t="s">
        <v>27</v>
      </c>
      <c r="M247">
        <v>12</v>
      </c>
      <c r="N247" s="2">
        <v>60</v>
      </c>
      <c r="O247" s="3">
        <v>10716</v>
      </c>
      <c r="P247">
        <v>0</v>
      </c>
      <c r="Q247">
        <v>5</v>
      </c>
      <c r="R247" t="s">
        <v>33</v>
      </c>
      <c r="S247">
        <v>1</v>
      </c>
    </row>
    <row r="248" spans="1:19" ht="16.5" x14ac:dyDescent="0.3">
      <c r="A248" t="s">
        <v>297</v>
      </c>
      <c r="B248" s="1">
        <v>45316</v>
      </c>
      <c r="C248" s="1">
        <v>45318</v>
      </c>
      <c r="D248">
        <v>2024</v>
      </c>
      <c r="E248" t="s">
        <v>20</v>
      </c>
      <c r="F248" t="s">
        <v>21</v>
      </c>
      <c r="G248" t="s">
        <v>78</v>
      </c>
      <c r="H248" t="s">
        <v>35</v>
      </c>
      <c r="I248" t="s">
        <v>24</v>
      </c>
      <c r="J248" t="s">
        <v>25</v>
      </c>
      <c r="K248" t="s">
        <v>36</v>
      </c>
      <c r="L248" t="s">
        <v>27</v>
      </c>
      <c r="M248">
        <v>2</v>
      </c>
      <c r="N248" s="2">
        <v>51</v>
      </c>
      <c r="O248" s="3">
        <v>1865</v>
      </c>
      <c r="P248">
        <v>0</v>
      </c>
      <c r="Q248">
        <v>4</v>
      </c>
      <c r="R248" t="s">
        <v>28</v>
      </c>
      <c r="S248">
        <v>1</v>
      </c>
    </row>
    <row r="249" spans="1:19" ht="16.5" x14ac:dyDescent="0.3">
      <c r="A249" t="s">
        <v>298</v>
      </c>
      <c r="B249" s="1">
        <v>45316</v>
      </c>
      <c r="C249" s="1">
        <v>45317</v>
      </c>
      <c r="D249">
        <v>2024</v>
      </c>
      <c r="E249" t="s">
        <v>20</v>
      </c>
      <c r="F249" t="s">
        <v>21</v>
      </c>
      <c r="G249" t="s">
        <v>78</v>
      </c>
      <c r="H249" t="s">
        <v>50</v>
      </c>
      <c r="I249" t="s">
        <v>24</v>
      </c>
      <c r="J249" t="s">
        <v>43</v>
      </c>
      <c r="K249" t="s">
        <v>53</v>
      </c>
      <c r="L249" t="s">
        <v>27</v>
      </c>
      <c r="M249">
        <v>1</v>
      </c>
      <c r="N249" s="2">
        <v>17</v>
      </c>
      <c r="O249" s="3">
        <v>2114</v>
      </c>
      <c r="P249">
        <v>0</v>
      </c>
      <c r="Q249">
        <v>3</v>
      </c>
      <c r="R249" t="s">
        <v>59</v>
      </c>
      <c r="S249">
        <v>1</v>
      </c>
    </row>
    <row r="250" spans="1:19" ht="16.5" x14ac:dyDescent="0.3">
      <c r="A250" t="s">
        <v>299</v>
      </c>
      <c r="B250" s="1">
        <v>45316</v>
      </c>
      <c r="C250" s="1">
        <v>45318</v>
      </c>
      <c r="D250">
        <v>2024</v>
      </c>
      <c r="E250" t="s">
        <v>20</v>
      </c>
      <c r="F250" t="s">
        <v>21</v>
      </c>
      <c r="G250" t="s">
        <v>78</v>
      </c>
      <c r="H250" t="s">
        <v>23</v>
      </c>
      <c r="I250" t="s">
        <v>31</v>
      </c>
      <c r="J250" t="s">
        <v>43</v>
      </c>
      <c r="K250" t="s">
        <v>53</v>
      </c>
      <c r="L250" t="s">
        <v>44</v>
      </c>
      <c r="M250">
        <v>2</v>
      </c>
      <c r="N250" s="2"/>
      <c r="O250" s="3">
        <v>1714</v>
      </c>
      <c r="P250">
        <v>0</v>
      </c>
      <c r="Q250">
        <v>5</v>
      </c>
      <c r="R250" t="s">
        <v>33</v>
      </c>
      <c r="S250">
        <v>1</v>
      </c>
    </row>
    <row r="251" spans="1:19" ht="16.5" x14ac:dyDescent="0.3">
      <c r="A251" t="s">
        <v>300</v>
      </c>
      <c r="B251" s="1">
        <v>45316</v>
      </c>
      <c r="C251" s="1">
        <v>45320</v>
      </c>
      <c r="D251">
        <v>2024</v>
      </c>
      <c r="E251" t="s">
        <v>20</v>
      </c>
      <c r="F251" t="s">
        <v>21</v>
      </c>
      <c r="G251" t="s">
        <v>78</v>
      </c>
      <c r="H251" t="s">
        <v>39</v>
      </c>
      <c r="I251" t="s">
        <v>24</v>
      </c>
      <c r="J251" t="s">
        <v>25</v>
      </c>
      <c r="K251" t="s">
        <v>41</v>
      </c>
      <c r="L251" t="s">
        <v>27</v>
      </c>
      <c r="M251">
        <v>4</v>
      </c>
      <c r="N251" s="2">
        <v>68</v>
      </c>
      <c r="O251" s="3">
        <v>3313</v>
      </c>
      <c r="P251">
        <v>0</v>
      </c>
      <c r="Q251">
        <v>5</v>
      </c>
      <c r="R251" t="s">
        <v>33</v>
      </c>
      <c r="S251">
        <v>1</v>
      </c>
    </row>
    <row r="252" spans="1:19" ht="16.5" x14ac:dyDescent="0.3">
      <c r="A252" t="s">
        <v>301</v>
      </c>
      <c r="B252" s="1">
        <v>45316</v>
      </c>
      <c r="C252" s="1">
        <v>45319</v>
      </c>
      <c r="D252">
        <v>2024</v>
      </c>
      <c r="E252" t="s">
        <v>20</v>
      </c>
      <c r="F252" t="s">
        <v>21</v>
      </c>
      <c r="G252" t="s">
        <v>78</v>
      </c>
      <c r="H252" t="s">
        <v>39</v>
      </c>
      <c r="I252" t="s">
        <v>24</v>
      </c>
      <c r="J252" t="s">
        <v>25</v>
      </c>
      <c r="K252" t="s">
        <v>41</v>
      </c>
      <c r="L252" t="s">
        <v>44</v>
      </c>
      <c r="M252">
        <v>3</v>
      </c>
      <c r="N252" s="2">
        <v>75</v>
      </c>
      <c r="O252" s="3">
        <v>2711</v>
      </c>
      <c r="P252">
        <v>0</v>
      </c>
      <c r="Q252">
        <v>4</v>
      </c>
      <c r="R252" t="s">
        <v>33</v>
      </c>
      <c r="S252">
        <v>1</v>
      </c>
    </row>
    <row r="253" spans="1:19" ht="16.5" x14ac:dyDescent="0.3">
      <c r="A253" t="s">
        <v>302</v>
      </c>
      <c r="B253" s="1">
        <v>45316</v>
      </c>
      <c r="C253" s="1">
        <v>45322</v>
      </c>
      <c r="D253">
        <v>2024</v>
      </c>
      <c r="E253" t="s">
        <v>20</v>
      </c>
      <c r="F253" t="s">
        <v>21</v>
      </c>
      <c r="G253" t="s">
        <v>78</v>
      </c>
      <c r="H253" t="s">
        <v>23</v>
      </c>
      <c r="I253" t="s">
        <v>24</v>
      </c>
      <c r="J253" t="s">
        <v>43</v>
      </c>
      <c r="K253" t="s">
        <v>26</v>
      </c>
      <c r="L253" t="s">
        <v>44</v>
      </c>
      <c r="M253">
        <v>6</v>
      </c>
      <c r="N253" s="2">
        <v>109</v>
      </c>
      <c r="O253" s="3">
        <v>5618</v>
      </c>
      <c r="P253">
        <v>0</v>
      </c>
      <c r="Q253">
        <v>4</v>
      </c>
      <c r="R253" t="s">
        <v>33</v>
      </c>
      <c r="S253">
        <v>1</v>
      </c>
    </row>
    <row r="254" spans="1:19" ht="16.5" x14ac:dyDescent="0.3">
      <c r="A254" t="s">
        <v>303</v>
      </c>
      <c r="B254" s="1">
        <v>45317</v>
      </c>
      <c r="C254" s="1">
        <v>45322</v>
      </c>
      <c r="D254">
        <v>2024</v>
      </c>
      <c r="E254" t="s">
        <v>20</v>
      </c>
      <c r="F254" t="s">
        <v>21</v>
      </c>
      <c r="G254" t="s">
        <v>83</v>
      </c>
      <c r="H254" t="s">
        <v>52</v>
      </c>
      <c r="I254" t="s">
        <v>40</v>
      </c>
      <c r="J254" t="s">
        <v>25</v>
      </c>
      <c r="K254" t="s">
        <v>26</v>
      </c>
      <c r="L254" t="s">
        <v>27</v>
      </c>
      <c r="M254">
        <v>5</v>
      </c>
      <c r="N254" s="2"/>
      <c r="O254" s="3">
        <v>4311</v>
      </c>
      <c r="P254">
        <v>0</v>
      </c>
      <c r="Q254">
        <v>4</v>
      </c>
      <c r="R254" t="s">
        <v>28</v>
      </c>
      <c r="S254">
        <v>1</v>
      </c>
    </row>
    <row r="255" spans="1:19" ht="16.5" x14ac:dyDescent="0.3">
      <c r="A255" t="s">
        <v>304</v>
      </c>
      <c r="B255" s="1">
        <v>45317</v>
      </c>
      <c r="C255" s="1">
        <v>45323</v>
      </c>
      <c r="D255">
        <v>2024</v>
      </c>
      <c r="E255" t="s">
        <v>20</v>
      </c>
      <c r="F255" t="s">
        <v>21</v>
      </c>
      <c r="G255" t="s">
        <v>83</v>
      </c>
      <c r="H255" t="s">
        <v>52</v>
      </c>
      <c r="I255" t="s">
        <v>40</v>
      </c>
      <c r="J255" t="s">
        <v>25</v>
      </c>
      <c r="K255" t="s">
        <v>26</v>
      </c>
      <c r="L255" t="s">
        <v>44</v>
      </c>
      <c r="M255">
        <v>6</v>
      </c>
      <c r="N255" s="2"/>
      <c r="O255" s="3">
        <v>6214</v>
      </c>
      <c r="P255">
        <v>0</v>
      </c>
      <c r="Q255">
        <v>5</v>
      </c>
      <c r="R255" t="s">
        <v>28</v>
      </c>
      <c r="S255">
        <v>1</v>
      </c>
    </row>
    <row r="256" spans="1:19" ht="16.5" x14ac:dyDescent="0.3">
      <c r="A256" t="s">
        <v>305</v>
      </c>
      <c r="B256" s="1">
        <v>45317</v>
      </c>
      <c r="C256" s="1">
        <v>45327</v>
      </c>
      <c r="D256">
        <v>2024</v>
      </c>
      <c r="E256" t="s">
        <v>20</v>
      </c>
      <c r="F256" t="s">
        <v>21</v>
      </c>
      <c r="G256" t="s">
        <v>83</v>
      </c>
      <c r="H256" t="s">
        <v>23</v>
      </c>
      <c r="I256" t="s">
        <v>40</v>
      </c>
      <c r="J256" t="s">
        <v>43</v>
      </c>
      <c r="K256" t="s">
        <v>53</v>
      </c>
      <c r="L256" t="s">
        <v>44</v>
      </c>
      <c r="M256">
        <v>10</v>
      </c>
      <c r="N256" s="2"/>
      <c r="O256" s="3">
        <v>6056</v>
      </c>
      <c r="P256">
        <v>0</v>
      </c>
      <c r="Q256">
        <v>4</v>
      </c>
      <c r="R256" t="s">
        <v>59</v>
      </c>
      <c r="S256">
        <v>1</v>
      </c>
    </row>
    <row r="257" spans="1:19" ht="16.5" x14ac:dyDescent="0.3">
      <c r="A257" t="s">
        <v>306</v>
      </c>
      <c r="B257" s="1">
        <v>45317</v>
      </c>
      <c r="C257" s="1">
        <v>45321</v>
      </c>
      <c r="D257">
        <v>2024</v>
      </c>
      <c r="E257" t="s">
        <v>20</v>
      </c>
      <c r="F257" t="s">
        <v>21</v>
      </c>
      <c r="G257" t="s">
        <v>83</v>
      </c>
      <c r="H257" t="s">
        <v>52</v>
      </c>
      <c r="I257" t="s">
        <v>40</v>
      </c>
      <c r="J257" t="s">
        <v>25</v>
      </c>
      <c r="K257" t="s">
        <v>53</v>
      </c>
      <c r="L257" t="s">
        <v>27</v>
      </c>
      <c r="M257">
        <v>4</v>
      </c>
      <c r="N257" s="2"/>
      <c r="O257" s="3">
        <v>4582</v>
      </c>
      <c r="P257">
        <v>0</v>
      </c>
      <c r="Q257">
        <v>5</v>
      </c>
      <c r="R257" t="s">
        <v>33</v>
      </c>
      <c r="S257">
        <v>1</v>
      </c>
    </row>
    <row r="258" spans="1:19" ht="16.5" x14ac:dyDescent="0.3">
      <c r="A258" t="s">
        <v>307</v>
      </c>
      <c r="B258" s="1">
        <v>45317</v>
      </c>
      <c r="C258" s="1">
        <v>45324</v>
      </c>
      <c r="D258">
        <v>2024</v>
      </c>
      <c r="E258" t="s">
        <v>20</v>
      </c>
      <c r="F258" t="s">
        <v>21</v>
      </c>
      <c r="G258" t="s">
        <v>83</v>
      </c>
      <c r="H258" t="s">
        <v>52</v>
      </c>
      <c r="I258" t="s">
        <v>31</v>
      </c>
      <c r="J258" t="s">
        <v>25</v>
      </c>
      <c r="K258" t="s">
        <v>53</v>
      </c>
      <c r="L258" t="s">
        <v>44</v>
      </c>
      <c r="M258">
        <v>7</v>
      </c>
      <c r="N258" s="2"/>
      <c r="O258" s="3">
        <v>7418</v>
      </c>
      <c r="P258">
        <v>0</v>
      </c>
      <c r="Q258">
        <v>3</v>
      </c>
      <c r="R258" t="s">
        <v>28</v>
      </c>
      <c r="S258">
        <v>1</v>
      </c>
    </row>
    <row r="259" spans="1:19" ht="16.5" x14ac:dyDescent="0.3">
      <c r="A259" t="s">
        <v>308</v>
      </c>
      <c r="B259" s="1">
        <v>45317</v>
      </c>
      <c r="C259" s="1">
        <v>45320</v>
      </c>
      <c r="D259">
        <v>2024</v>
      </c>
      <c r="E259" t="s">
        <v>20</v>
      </c>
      <c r="F259" t="s">
        <v>21</v>
      </c>
      <c r="G259" t="s">
        <v>83</v>
      </c>
      <c r="H259" t="s">
        <v>39</v>
      </c>
      <c r="I259" t="s">
        <v>24</v>
      </c>
      <c r="J259" t="s">
        <v>25</v>
      </c>
      <c r="K259" t="s">
        <v>41</v>
      </c>
      <c r="L259" t="s">
        <v>44</v>
      </c>
      <c r="M259">
        <v>3</v>
      </c>
      <c r="N259" s="2">
        <v>74</v>
      </c>
      <c r="O259" s="3">
        <v>2020</v>
      </c>
      <c r="P259">
        <v>0</v>
      </c>
      <c r="Q259">
        <v>4</v>
      </c>
      <c r="R259" t="s">
        <v>28</v>
      </c>
      <c r="S259">
        <v>1</v>
      </c>
    </row>
    <row r="260" spans="1:19" ht="16.5" x14ac:dyDescent="0.3">
      <c r="A260" t="s">
        <v>309</v>
      </c>
      <c r="B260" s="1">
        <v>45318</v>
      </c>
      <c r="C260" s="1">
        <v>45319</v>
      </c>
      <c r="D260">
        <v>2024</v>
      </c>
      <c r="E260" t="s">
        <v>20</v>
      </c>
      <c r="F260" t="s">
        <v>21</v>
      </c>
      <c r="G260" t="s">
        <v>102</v>
      </c>
      <c r="H260" t="s">
        <v>50</v>
      </c>
      <c r="I260" t="s">
        <v>24</v>
      </c>
      <c r="J260" t="s">
        <v>43</v>
      </c>
      <c r="K260" t="s">
        <v>32</v>
      </c>
      <c r="L260" t="s">
        <v>44</v>
      </c>
      <c r="M260">
        <v>1</v>
      </c>
      <c r="N260" s="2">
        <v>121</v>
      </c>
      <c r="O260" s="3">
        <v>2272</v>
      </c>
      <c r="P260">
        <v>0</v>
      </c>
      <c r="Q260">
        <v>4</v>
      </c>
      <c r="R260" t="s">
        <v>33</v>
      </c>
      <c r="S260">
        <v>1</v>
      </c>
    </row>
    <row r="261" spans="1:19" ht="16.5" x14ac:dyDescent="0.3">
      <c r="A261" t="s">
        <v>310</v>
      </c>
      <c r="B261" s="1">
        <v>45318</v>
      </c>
      <c r="C261" s="1">
        <v>45327</v>
      </c>
      <c r="D261">
        <v>2024</v>
      </c>
      <c r="E261" t="s">
        <v>20</v>
      </c>
      <c r="F261" t="s">
        <v>21</v>
      </c>
      <c r="G261" t="s">
        <v>102</v>
      </c>
      <c r="H261" t="s">
        <v>35</v>
      </c>
      <c r="I261" t="s">
        <v>24</v>
      </c>
      <c r="J261" t="s">
        <v>25</v>
      </c>
      <c r="K261" t="s">
        <v>36</v>
      </c>
      <c r="L261" t="s">
        <v>37</v>
      </c>
      <c r="M261">
        <v>9</v>
      </c>
      <c r="N261" s="2">
        <v>124</v>
      </c>
      <c r="O261" s="3">
        <v>6292</v>
      </c>
      <c r="P261">
        <v>0</v>
      </c>
      <c r="Q261">
        <v>5</v>
      </c>
      <c r="R261" t="s">
        <v>33</v>
      </c>
      <c r="S261">
        <v>1</v>
      </c>
    </row>
    <row r="262" spans="1:19" ht="16.5" x14ac:dyDescent="0.3">
      <c r="A262" t="s">
        <v>311</v>
      </c>
      <c r="B262" s="1">
        <v>45318</v>
      </c>
      <c r="C262" s="1">
        <v>45322</v>
      </c>
      <c r="D262">
        <v>2024</v>
      </c>
      <c r="E262" t="s">
        <v>20</v>
      </c>
      <c r="F262" t="s">
        <v>21</v>
      </c>
      <c r="G262" t="s">
        <v>102</v>
      </c>
      <c r="H262" t="s">
        <v>35</v>
      </c>
      <c r="I262" t="s">
        <v>24</v>
      </c>
      <c r="J262" t="s">
        <v>25</v>
      </c>
      <c r="K262" t="s">
        <v>32</v>
      </c>
      <c r="L262" t="s">
        <v>44</v>
      </c>
      <c r="M262">
        <v>4</v>
      </c>
      <c r="N262" s="2">
        <v>103</v>
      </c>
      <c r="O262" s="3">
        <v>2888</v>
      </c>
      <c r="P262">
        <v>0</v>
      </c>
      <c r="Q262">
        <v>4</v>
      </c>
      <c r="R262" t="s">
        <v>33</v>
      </c>
      <c r="S262">
        <v>1</v>
      </c>
    </row>
    <row r="263" spans="1:19" ht="16.5" x14ac:dyDescent="0.3">
      <c r="A263" t="s">
        <v>312</v>
      </c>
      <c r="B263" s="1">
        <v>45318</v>
      </c>
      <c r="C263" s="1">
        <v>45325</v>
      </c>
      <c r="D263">
        <v>2024</v>
      </c>
      <c r="E263" t="s">
        <v>20</v>
      </c>
      <c r="F263" t="s">
        <v>21</v>
      </c>
      <c r="G263" t="s">
        <v>102</v>
      </c>
      <c r="H263" t="s">
        <v>35</v>
      </c>
      <c r="I263" t="s">
        <v>24</v>
      </c>
      <c r="J263" t="s">
        <v>25</v>
      </c>
      <c r="K263" t="s">
        <v>32</v>
      </c>
      <c r="L263" t="s">
        <v>44</v>
      </c>
      <c r="M263">
        <v>7</v>
      </c>
      <c r="N263" s="2">
        <v>56</v>
      </c>
      <c r="O263" s="3">
        <v>3888</v>
      </c>
      <c r="P263">
        <v>0</v>
      </c>
      <c r="Q263">
        <v>5</v>
      </c>
      <c r="R263" t="s">
        <v>33</v>
      </c>
      <c r="S263">
        <v>1</v>
      </c>
    </row>
    <row r="264" spans="1:19" ht="16.5" x14ac:dyDescent="0.3">
      <c r="A264" t="s">
        <v>313</v>
      </c>
      <c r="B264" s="1">
        <v>45318</v>
      </c>
      <c r="C264" s="1">
        <v>45320</v>
      </c>
      <c r="D264">
        <v>2024</v>
      </c>
      <c r="E264" t="s">
        <v>20</v>
      </c>
      <c r="F264" t="s">
        <v>21</v>
      </c>
      <c r="G264" t="s">
        <v>102</v>
      </c>
      <c r="H264" t="s">
        <v>39</v>
      </c>
      <c r="I264" t="s">
        <v>24</v>
      </c>
      <c r="J264" t="s">
        <v>43</v>
      </c>
      <c r="K264" t="s">
        <v>41</v>
      </c>
      <c r="L264" t="s">
        <v>44</v>
      </c>
      <c r="M264">
        <v>2</v>
      </c>
      <c r="N264" s="2">
        <v>28</v>
      </c>
      <c r="O264" s="3">
        <v>2161</v>
      </c>
      <c r="P264">
        <v>0</v>
      </c>
      <c r="Q264">
        <v>3</v>
      </c>
      <c r="R264" t="s">
        <v>33</v>
      </c>
      <c r="S264">
        <v>1</v>
      </c>
    </row>
    <row r="265" spans="1:19" ht="16.5" x14ac:dyDescent="0.3">
      <c r="A265" t="s">
        <v>314</v>
      </c>
      <c r="B265" s="1">
        <v>45318</v>
      </c>
      <c r="C265" s="1">
        <v>45325</v>
      </c>
      <c r="D265">
        <v>2024</v>
      </c>
      <c r="E265" t="s">
        <v>20</v>
      </c>
      <c r="F265" t="s">
        <v>21</v>
      </c>
      <c r="G265" t="s">
        <v>102</v>
      </c>
      <c r="H265" t="s">
        <v>50</v>
      </c>
      <c r="I265" t="s">
        <v>24</v>
      </c>
      <c r="J265" t="s">
        <v>25</v>
      </c>
      <c r="K265" t="s">
        <v>53</v>
      </c>
      <c r="L265" t="s">
        <v>27</v>
      </c>
      <c r="M265">
        <v>7</v>
      </c>
      <c r="N265" s="2">
        <v>172</v>
      </c>
      <c r="O265" s="3">
        <v>9514</v>
      </c>
      <c r="P265">
        <v>0</v>
      </c>
      <c r="Q265">
        <v>4</v>
      </c>
      <c r="R265" t="s">
        <v>33</v>
      </c>
      <c r="S265">
        <v>1</v>
      </c>
    </row>
    <row r="266" spans="1:19" ht="16.5" x14ac:dyDescent="0.3">
      <c r="A266" t="s">
        <v>315</v>
      </c>
      <c r="B266" s="1">
        <v>45318</v>
      </c>
      <c r="C266" s="1">
        <v>45325</v>
      </c>
      <c r="D266">
        <v>2024</v>
      </c>
      <c r="E266" t="s">
        <v>20</v>
      </c>
      <c r="F266" t="s">
        <v>21</v>
      </c>
      <c r="G266" t="s">
        <v>102</v>
      </c>
      <c r="H266" t="s">
        <v>52</v>
      </c>
      <c r="I266" t="s">
        <v>40</v>
      </c>
      <c r="J266" t="s">
        <v>25</v>
      </c>
      <c r="K266" t="s">
        <v>36</v>
      </c>
      <c r="L266" t="s">
        <v>27</v>
      </c>
      <c r="M266">
        <v>7</v>
      </c>
      <c r="N266" s="2"/>
      <c r="O266" s="3">
        <v>9411</v>
      </c>
      <c r="P266">
        <v>0</v>
      </c>
      <c r="Q266">
        <v>4</v>
      </c>
      <c r="R266" t="s">
        <v>33</v>
      </c>
      <c r="S266">
        <v>1</v>
      </c>
    </row>
    <row r="267" spans="1:19" ht="16.5" x14ac:dyDescent="0.3">
      <c r="A267" t="s">
        <v>316</v>
      </c>
      <c r="B267" s="1">
        <v>45318</v>
      </c>
      <c r="C267" s="1">
        <v>45319</v>
      </c>
      <c r="D267">
        <v>2024</v>
      </c>
      <c r="E267" t="s">
        <v>20</v>
      </c>
      <c r="F267" t="s">
        <v>21</v>
      </c>
      <c r="G267" t="s">
        <v>102</v>
      </c>
      <c r="H267" t="s">
        <v>30</v>
      </c>
      <c r="I267" t="s">
        <v>40</v>
      </c>
      <c r="J267" t="s">
        <v>43</v>
      </c>
      <c r="K267" t="s">
        <v>53</v>
      </c>
      <c r="L267" t="s">
        <v>44</v>
      </c>
      <c r="M267">
        <v>1</v>
      </c>
      <c r="N267" s="2"/>
      <c r="O267" s="3">
        <v>2008</v>
      </c>
      <c r="P267">
        <v>0</v>
      </c>
      <c r="Q267">
        <v>5</v>
      </c>
      <c r="R267" t="s">
        <v>33</v>
      </c>
      <c r="S267">
        <v>1</v>
      </c>
    </row>
    <row r="268" spans="1:19" ht="16.5" x14ac:dyDescent="0.3">
      <c r="A268" t="s">
        <v>317</v>
      </c>
      <c r="B268" s="1">
        <v>45319</v>
      </c>
      <c r="C268" s="1">
        <v>45324</v>
      </c>
      <c r="D268">
        <v>2024</v>
      </c>
      <c r="E268" t="s">
        <v>20</v>
      </c>
      <c r="F268" t="s">
        <v>21</v>
      </c>
      <c r="G268" t="s">
        <v>112</v>
      </c>
      <c r="H268" t="s">
        <v>23</v>
      </c>
      <c r="I268" t="s">
        <v>24</v>
      </c>
      <c r="J268" t="s">
        <v>25</v>
      </c>
      <c r="K268" t="s">
        <v>53</v>
      </c>
      <c r="L268" t="s">
        <v>27</v>
      </c>
      <c r="M268">
        <v>5</v>
      </c>
      <c r="N268" s="2">
        <v>80</v>
      </c>
      <c r="O268" s="3">
        <v>3883</v>
      </c>
      <c r="P268">
        <v>0</v>
      </c>
      <c r="Q268">
        <v>5</v>
      </c>
      <c r="R268" t="s">
        <v>33</v>
      </c>
      <c r="S268">
        <v>1</v>
      </c>
    </row>
    <row r="269" spans="1:19" ht="16.5" x14ac:dyDescent="0.3">
      <c r="A269" t="s">
        <v>318</v>
      </c>
      <c r="B269" s="1">
        <v>45319</v>
      </c>
      <c r="C269" s="1">
        <v>45338</v>
      </c>
      <c r="D269">
        <v>2024</v>
      </c>
      <c r="E269" t="s">
        <v>20</v>
      </c>
      <c r="F269" t="s">
        <v>21</v>
      </c>
      <c r="G269" t="s">
        <v>112</v>
      </c>
      <c r="H269" t="s">
        <v>23</v>
      </c>
      <c r="I269" t="s">
        <v>24</v>
      </c>
      <c r="J269" t="s">
        <v>25</v>
      </c>
      <c r="K269" t="s">
        <v>26</v>
      </c>
      <c r="L269" t="s">
        <v>44</v>
      </c>
      <c r="M269">
        <v>19</v>
      </c>
      <c r="N269" s="2">
        <v>39</v>
      </c>
      <c r="O269" s="3">
        <v>10553</v>
      </c>
      <c r="P269">
        <v>0</v>
      </c>
      <c r="Q269">
        <v>4</v>
      </c>
      <c r="R269" t="s">
        <v>28</v>
      </c>
      <c r="S269">
        <v>1</v>
      </c>
    </row>
    <row r="270" spans="1:19" ht="16.5" x14ac:dyDescent="0.3">
      <c r="A270" t="s">
        <v>319</v>
      </c>
      <c r="B270" s="1">
        <v>45319</v>
      </c>
      <c r="C270" s="1">
        <v>45322</v>
      </c>
      <c r="D270">
        <v>2024</v>
      </c>
      <c r="E270" t="s">
        <v>20</v>
      </c>
      <c r="F270" t="s">
        <v>21</v>
      </c>
      <c r="G270" t="s">
        <v>112</v>
      </c>
      <c r="H270" t="s">
        <v>35</v>
      </c>
      <c r="I270" t="s">
        <v>24</v>
      </c>
      <c r="J270" t="s">
        <v>25</v>
      </c>
      <c r="K270" t="s">
        <v>32</v>
      </c>
      <c r="L270" t="s">
        <v>27</v>
      </c>
      <c r="M270">
        <v>3</v>
      </c>
      <c r="N270" s="2">
        <v>30</v>
      </c>
      <c r="O270" s="3">
        <v>2837</v>
      </c>
      <c r="P270">
        <v>0</v>
      </c>
      <c r="Q270">
        <v>3</v>
      </c>
      <c r="R270" t="s">
        <v>28</v>
      </c>
      <c r="S270">
        <v>1</v>
      </c>
    </row>
    <row r="271" spans="1:19" ht="16.5" x14ac:dyDescent="0.3">
      <c r="A271" t="s">
        <v>320</v>
      </c>
      <c r="B271" s="1">
        <v>45319</v>
      </c>
      <c r="C271" s="1">
        <v>45320</v>
      </c>
      <c r="D271">
        <v>2024</v>
      </c>
      <c r="E271" t="s">
        <v>20</v>
      </c>
      <c r="F271" t="s">
        <v>21</v>
      </c>
      <c r="G271" t="s">
        <v>112</v>
      </c>
      <c r="H271" t="s">
        <v>35</v>
      </c>
      <c r="I271" t="s">
        <v>40</v>
      </c>
      <c r="J271" t="s">
        <v>25</v>
      </c>
      <c r="K271" t="s">
        <v>36</v>
      </c>
      <c r="L271" t="s">
        <v>44</v>
      </c>
      <c r="M271">
        <v>1</v>
      </c>
      <c r="N271" s="2"/>
      <c r="O271" s="3">
        <v>905</v>
      </c>
      <c r="P271">
        <v>0</v>
      </c>
      <c r="Q271">
        <v>4</v>
      </c>
      <c r="R271" t="s">
        <v>33</v>
      </c>
      <c r="S271">
        <v>1</v>
      </c>
    </row>
    <row r="272" spans="1:19" ht="16.5" x14ac:dyDescent="0.3">
      <c r="A272" t="s">
        <v>321</v>
      </c>
      <c r="B272" s="1">
        <v>45319</v>
      </c>
      <c r="C272" s="1">
        <v>45328</v>
      </c>
      <c r="D272">
        <v>2024</v>
      </c>
      <c r="E272" t="s">
        <v>20</v>
      </c>
      <c r="F272" t="s">
        <v>21</v>
      </c>
      <c r="G272" t="s">
        <v>112</v>
      </c>
      <c r="H272" t="s">
        <v>50</v>
      </c>
      <c r="I272" t="s">
        <v>24</v>
      </c>
      <c r="J272" t="s">
        <v>25</v>
      </c>
      <c r="K272" t="s">
        <v>26</v>
      </c>
      <c r="L272" t="s">
        <v>37</v>
      </c>
      <c r="M272">
        <v>9</v>
      </c>
      <c r="N272" s="2">
        <v>26</v>
      </c>
      <c r="O272" s="3">
        <v>12437</v>
      </c>
      <c r="P272">
        <v>0</v>
      </c>
      <c r="Q272">
        <v>4</v>
      </c>
      <c r="R272" t="s">
        <v>33</v>
      </c>
      <c r="S272">
        <v>1</v>
      </c>
    </row>
    <row r="273" spans="1:19" ht="16.5" x14ac:dyDescent="0.3">
      <c r="A273" t="s">
        <v>322</v>
      </c>
      <c r="B273" s="1">
        <v>45319</v>
      </c>
      <c r="C273" s="1">
        <v>45328</v>
      </c>
      <c r="D273">
        <v>2024</v>
      </c>
      <c r="E273" t="s">
        <v>20</v>
      </c>
      <c r="F273" t="s">
        <v>21</v>
      </c>
      <c r="G273" t="s">
        <v>112</v>
      </c>
      <c r="H273" t="s">
        <v>23</v>
      </c>
      <c r="I273" t="s">
        <v>24</v>
      </c>
      <c r="J273" t="s">
        <v>25</v>
      </c>
      <c r="K273" t="s">
        <v>26</v>
      </c>
      <c r="L273" t="s">
        <v>27</v>
      </c>
      <c r="M273">
        <v>9</v>
      </c>
      <c r="N273" s="2">
        <v>72</v>
      </c>
      <c r="O273" s="3">
        <v>6287</v>
      </c>
      <c r="P273">
        <v>1</v>
      </c>
      <c r="Q273">
        <v>2</v>
      </c>
      <c r="R273" t="s">
        <v>33</v>
      </c>
      <c r="S273">
        <v>1</v>
      </c>
    </row>
    <row r="274" spans="1:19" ht="16.5" x14ac:dyDescent="0.3">
      <c r="A274" t="s">
        <v>323</v>
      </c>
      <c r="B274" s="1">
        <v>45320</v>
      </c>
      <c r="C274" s="1">
        <v>45323</v>
      </c>
      <c r="D274">
        <v>2024</v>
      </c>
      <c r="E274" t="s">
        <v>20</v>
      </c>
      <c r="F274" t="s">
        <v>21</v>
      </c>
      <c r="G274" t="s">
        <v>22</v>
      </c>
      <c r="H274" t="s">
        <v>23</v>
      </c>
      <c r="I274" t="s">
        <v>24</v>
      </c>
      <c r="J274" t="s">
        <v>43</v>
      </c>
      <c r="K274" t="s">
        <v>32</v>
      </c>
      <c r="L274" t="s">
        <v>27</v>
      </c>
      <c r="M274">
        <v>3</v>
      </c>
      <c r="N274" s="2">
        <v>55</v>
      </c>
      <c r="O274" s="3">
        <v>3196</v>
      </c>
      <c r="P274">
        <v>0</v>
      </c>
      <c r="Q274">
        <v>4</v>
      </c>
      <c r="R274" t="s">
        <v>33</v>
      </c>
      <c r="S274">
        <v>1</v>
      </c>
    </row>
    <row r="275" spans="1:19" ht="16.5" x14ac:dyDescent="0.3">
      <c r="A275" t="s">
        <v>324</v>
      </c>
      <c r="B275" s="1">
        <v>45320</v>
      </c>
      <c r="C275" s="1">
        <v>45328</v>
      </c>
      <c r="D275">
        <v>2024</v>
      </c>
      <c r="E275" t="s">
        <v>20</v>
      </c>
      <c r="F275" t="s">
        <v>21</v>
      </c>
      <c r="G275" t="s">
        <v>22</v>
      </c>
      <c r="H275" t="s">
        <v>23</v>
      </c>
      <c r="I275" t="s">
        <v>24</v>
      </c>
      <c r="J275" t="s">
        <v>43</v>
      </c>
      <c r="K275" t="s">
        <v>26</v>
      </c>
      <c r="L275" t="s">
        <v>27</v>
      </c>
      <c r="M275">
        <v>8</v>
      </c>
      <c r="N275" s="2">
        <v>53</v>
      </c>
      <c r="O275" s="3">
        <v>5665</v>
      </c>
      <c r="P275">
        <v>0</v>
      </c>
      <c r="Q275">
        <v>4</v>
      </c>
      <c r="R275" t="s">
        <v>33</v>
      </c>
      <c r="S275">
        <v>1</v>
      </c>
    </row>
    <row r="276" spans="1:19" ht="16.5" x14ac:dyDescent="0.3">
      <c r="A276" t="s">
        <v>325</v>
      </c>
      <c r="B276" s="1">
        <v>45320</v>
      </c>
      <c r="C276" s="1">
        <v>45324</v>
      </c>
      <c r="D276">
        <v>2024</v>
      </c>
      <c r="E276" t="s">
        <v>20</v>
      </c>
      <c r="F276" t="s">
        <v>21</v>
      </c>
      <c r="G276" t="s">
        <v>22</v>
      </c>
      <c r="H276" t="s">
        <v>50</v>
      </c>
      <c r="I276" t="s">
        <v>31</v>
      </c>
      <c r="J276" t="s">
        <v>43</v>
      </c>
      <c r="K276" t="s">
        <v>36</v>
      </c>
      <c r="L276" t="s">
        <v>27</v>
      </c>
      <c r="M276">
        <v>4</v>
      </c>
      <c r="N276" s="2"/>
      <c r="O276" s="3">
        <v>4688</v>
      </c>
      <c r="P276">
        <v>0</v>
      </c>
      <c r="Q276">
        <v>5</v>
      </c>
      <c r="R276" t="s">
        <v>28</v>
      </c>
      <c r="S276">
        <v>1</v>
      </c>
    </row>
    <row r="277" spans="1:19" ht="16.5" x14ac:dyDescent="0.3">
      <c r="A277" t="s">
        <v>326</v>
      </c>
      <c r="B277" s="1">
        <v>45320</v>
      </c>
      <c r="C277" s="1">
        <v>45324</v>
      </c>
      <c r="D277">
        <v>2024</v>
      </c>
      <c r="E277" t="s">
        <v>20</v>
      </c>
      <c r="F277" t="s">
        <v>21</v>
      </c>
      <c r="G277" t="s">
        <v>22</v>
      </c>
      <c r="H277" t="s">
        <v>52</v>
      </c>
      <c r="I277" t="s">
        <v>40</v>
      </c>
      <c r="J277" t="s">
        <v>25</v>
      </c>
      <c r="K277" t="s">
        <v>26</v>
      </c>
      <c r="L277" t="s">
        <v>27</v>
      </c>
      <c r="M277">
        <v>4</v>
      </c>
      <c r="N277" s="2"/>
      <c r="O277" s="3">
        <v>5387</v>
      </c>
      <c r="P277">
        <v>0</v>
      </c>
      <c r="Q277">
        <v>5</v>
      </c>
      <c r="R277" t="s">
        <v>28</v>
      </c>
      <c r="S277">
        <v>1</v>
      </c>
    </row>
    <row r="278" spans="1:19" ht="16.5" x14ac:dyDescent="0.3">
      <c r="A278" t="s">
        <v>327</v>
      </c>
      <c r="B278" s="1">
        <v>45320</v>
      </c>
      <c r="C278" s="1">
        <v>45330</v>
      </c>
      <c r="D278">
        <v>2024</v>
      </c>
      <c r="E278" t="s">
        <v>20</v>
      </c>
      <c r="F278" t="s">
        <v>21</v>
      </c>
      <c r="G278" t="s">
        <v>22</v>
      </c>
      <c r="H278" t="s">
        <v>50</v>
      </c>
      <c r="I278" t="s">
        <v>24</v>
      </c>
      <c r="J278" t="s">
        <v>25</v>
      </c>
      <c r="K278" t="s">
        <v>32</v>
      </c>
      <c r="L278" t="s">
        <v>44</v>
      </c>
      <c r="M278">
        <v>10</v>
      </c>
      <c r="N278" s="2">
        <v>35</v>
      </c>
      <c r="O278" s="3">
        <v>14496</v>
      </c>
      <c r="P278">
        <v>0</v>
      </c>
      <c r="Q278">
        <v>4</v>
      </c>
      <c r="R278" t="s">
        <v>33</v>
      </c>
      <c r="S278">
        <v>1</v>
      </c>
    </row>
    <row r="279" spans="1:19" ht="16.5" x14ac:dyDescent="0.3">
      <c r="A279" t="s">
        <v>328</v>
      </c>
      <c r="B279" s="1">
        <v>45320</v>
      </c>
      <c r="C279" s="1">
        <v>45327</v>
      </c>
      <c r="D279">
        <v>2024</v>
      </c>
      <c r="E279" t="s">
        <v>20</v>
      </c>
      <c r="F279" t="s">
        <v>21</v>
      </c>
      <c r="G279" t="s">
        <v>22</v>
      </c>
      <c r="H279" t="s">
        <v>50</v>
      </c>
      <c r="I279" t="s">
        <v>40</v>
      </c>
      <c r="J279" t="s">
        <v>43</v>
      </c>
      <c r="K279" t="s">
        <v>32</v>
      </c>
      <c r="L279" t="s">
        <v>44</v>
      </c>
      <c r="M279">
        <v>7</v>
      </c>
      <c r="N279" s="2"/>
      <c r="O279" s="3">
        <v>7664</v>
      </c>
      <c r="P279">
        <v>0</v>
      </c>
      <c r="Q279">
        <v>3</v>
      </c>
      <c r="R279" t="s">
        <v>33</v>
      </c>
      <c r="S279">
        <v>1</v>
      </c>
    </row>
    <row r="280" spans="1:19" ht="16.5" x14ac:dyDescent="0.3">
      <c r="A280" t="s">
        <v>329</v>
      </c>
      <c r="B280" s="1">
        <v>45320</v>
      </c>
      <c r="C280" s="1">
        <v>45335</v>
      </c>
      <c r="D280">
        <v>2024</v>
      </c>
      <c r="E280" t="s">
        <v>20</v>
      </c>
      <c r="F280" t="s">
        <v>21</v>
      </c>
      <c r="G280" t="s">
        <v>22</v>
      </c>
      <c r="H280" t="s">
        <v>50</v>
      </c>
      <c r="I280" t="s">
        <v>24</v>
      </c>
      <c r="J280" t="s">
        <v>43</v>
      </c>
      <c r="K280" t="s">
        <v>32</v>
      </c>
      <c r="L280" t="s">
        <v>37</v>
      </c>
      <c r="M280">
        <v>15</v>
      </c>
      <c r="N280" s="2">
        <v>26</v>
      </c>
      <c r="O280" s="3">
        <v>20032</v>
      </c>
      <c r="P280">
        <v>0</v>
      </c>
      <c r="Q280">
        <v>5</v>
      </c>
      <c r="R280" t="s">
        <v>59</v>
      </c>
      <c r="S280">
        <v>1</v>
      </c>
    </row>
    <row r="281" spans="1:19" ht="16.5" x14ac:dyDescent="0.3">
      <c r="A281" t="s">
        <v>330</v>
      </c>
      <c r="B281" s="1">
        <v>45320</v>
      </c>
      <c r="C281" s="1">
        <v>45323</v>
      </c>
      <c r="D281">
        <v>2024</v>
      </c>
      <c r="E281" t="s">
        <v>20</v>
      </c>
      <c r="F281" t="s">
        <v>21</v>
      </c>
      <c r="G281" t="s">
        <v>22</v>
      </c>
      <c r="H281" t="s">
        <v>23</v>
      </c>
      <c r="I281" t="s">
        <v>24</v>
      </c>
      <c r="J281" t="s">
        <v>25</v>
      </c>
      <c r="K281" t="s">
        <v>32</v>
      </c>
      <c r="L281" t="s">
        <v>27</v>
      </c>
      <c r="M281">
        <v>3</v>
      </c>
      <c r="N281" s="2">
        <v>113</v>
      </c>
      <c r="O281" s="3">
        <v>2836</v>
      </c>
      <c r="P281">
        <v>0</v>
      </c>
      <c r="Q281">
        <v>3</v>
      </c>
      <c r="R281" t="s">
        <v>165</v>
      </c>
      <c r="S281">
        <v>1</v>
      </c>
    </row>
    <row r="282" spans="1:19" ht="16.5" x14ac:dyDescent="0.3">
      <c r="A282" t="s">
        <v>331</v>
      </c>
      <c r="B282" s="1">
        <v>45320</v>
      </c>
      <c r="C282" s="1">
        <v>45321</v>
      </c>
      <c r="D282">
        <v>2024</v>
      </c>
      <c r="E282" t="s">
        <v>20</v>
      </c>
      <c r="F282" t="s">
        <v>21</v>
      </c>
      <c r="G282" t="s">
        <v>22</v>
      </c>
      <c r="H282" t="s">
        <v>39</v>
      </c>
      <c r="I282" t="s">
        <v>40</v>
      </c>
      <c r="J282" t="s">
        <v>25</v>
      </c>
      <c r="K282" t="s">
        <v>41</v>
      </c>
      <c r="L282" t="s">
        <v>44</v>
      </c>
      <c r="M282">
        <v>1</v>
      </c>
      <c r="N282" s="2"/>
      <c r="O282" s="3">
        <v>1530</v>
      </c>
      <c r="P282">
        <v>0</v>
      </c>
      <c r="Q282">
        <v>3</v>
      </c>
      <c r="R282" t="s">
        <v>33</v>
      </c>
      <c r="S282">
        <v>1</v>
      </c>
    </row>
    <row r="283" spans="1:19" ht="16.5" x14ac:dyDescent="0.3">
      <c r="A283" t="s">
        <v>332</v>
      </c>
      <c r="B283" s="1">
        <v>45320</v>
      </c>
      <c r="C283" s="1">
        <v>45335</v>
      </c>
      <c r="D283">
        <v>2024</v>
      </c>
      <c r="E283" t="s">
        <v>20</v>
      </c>
      <c r="F283" t="s">
        <v>21</v>
      </c>
      <c r="G283" t="s">
        <v>22</v>
      </c>
      <c r="H283" t="s">
        <v>23</v>
      </c>
      <c r="I283" t="s">
        <v>24</v>
      </c>
      <c r="J283" t="s">
        <v>25</v>
      </c>
      <c r="K283" t="s">
        <v>53</v>
      </c>
      <c r="L283" t="s">
        <v>44</v>
      </c>
      <c r="M283">
        <v>15</v>
      </c>
      <c r="N283" s="2">
        <v>43</v>
      </c>
      <c r="O283" s="3">
        <v>10006</v>
      </c>
      <c r="P283">
        <v>0</v>
      </c>
      <c r="Q283">
        <v>5</v>
      </c>
      <c r="R283" t="s">
        <v>33</v>
      </c>
      <c r="S283">
        <v>1</v>
      </c>
    </row>
    <row r="284" spans="1:19" ht="16.5" x14ac:dyDescent="0.3">
      <c r="A284" t="s">
        <v>333</v>
      </c>
      <c r="B284" s="1">
        <v>45320</v>
      </c>
      <c r="C284" s="1">
        <v>45322</v>
      </c>
      <c r="D284">
        <v>2024</v>
      </c>
      <c r="E284" t="s">
        <v>20</v>
      </c>
      <c r="F284" t="s">
        <v>21</v>
      </c>
      <c r="G284" t="s">
        <v>22</v>
      </c>
      <c r="H284" t="s">
        <v>23</v>
      </c>
      <c r="I284" t="s">
        <v>31</v>
      </c>
      <c r="J284" t="s">
        <v>25</v>
      </c>
      <c r="K284" t="s">
        <v>32</v>
      </c>
      <c r="L284" t="s">
        <v>27</v>
      </c>
      <c r="M284">
        <v>2</v>
      </c>
      <c r="N284" s="2"/>
      <c r="O284" s="3">
        <v>2604</v>
      </c>
      <c r="P284">
        <v>0</v>
      </c>
      <c r="Q284">
        <v>5</v>
      </c>
      <c r="R284" t="s">
        <v>28</v>
      </c>
      <c r="S284">
        <v>1</v>
      </c>
    </row>
    <row r="285" spans="1:19" ht="16.5" x14ac:dyDescent="0.3">
      <c r="A285" t="s">
        <v>334</v>
      </c>
      <c r="B285" s="1">
        <v>45320</v>
      </c>
      <c r="C285" s="1">
        <v>45322</v>
      </c>
      <c r="D285">
        <v>2024</v>
      </c>
      <c r="E285" t="s">
        <v>20</v>
      </c>
      <c r="F285" t="s">
        <v>21</v>
      </c>
      <c r="G285" t="s">
        <v>22</v>
      </c>
      <c r="H285" t="s">
        <v>50</v>
      </c>
      <c r="I285" t="s">
        <v>24</v>
      </c>
      <c r="J285" t="s">
        <v>25</v>
      </c>
      <c r="K285" t="s">
        <v>32</v>
      </c>
      <c r="L285" t="s">
        <v>27</v>
      </c>
      <c r="M285">
        <v>2</v>
      </c>
      <c r="N285" s="2">
        <v>90</v>
      </c>
      <c r="O285" s="3">
        <v>2719</v>
      </c>
      <c r="P285">
        <v>0</v>
      </c>
      <c r="Q285">
        <v>5</v>
      </c>
      <c r="R285" t="s">
        <v>59</v>
      </c>
      <c r="S285">
        <v>1</v>
      </c>
    </row>
    <row r="286" spans="1:19" ht="16.5" x14ac:dyDescent="0.3">
      <c r="A286" t="s">
        <v>335</v>
      </c>
      <c r="B286" s="1">
        <v>45320</v>
      </c>
      <c r="C286" s="1">
        <v>45325</v>
      </c>
      <c r="D286">
        <v>2024</v>
      </c>
      <c r="E286" t="s">
        <v>20</v>
      </c>
      <c r="F286" t="s">
        <v>21</v>
      </c>
      <c r="G286" t="s">
        <v>22</v>
      </c>
      <c r="H286" t="s">
        <v>30</v>
      </c>
      <c r="I286" t="s">
        <v>40</v>
      </c>
      <c r="J286" t="s">
        <v>25</v>
      </c>
      <c r="K286" t="s">
        <v>32</v>
      </c>
      <c r="L286" t="s">
        <v>27</v>
      </c>
      <c r="M286">
        <v>5</v>
      </c>
      <c r="N286" s="2"/>
      <c r="O286" s="3">
        <v>5633</v>
      </c>
      <c r="P286">
        <v>1</v>
      </c>
      <c r="Q286">
        <v>5</v>
      </c>
      <c r="R286" t="s">
        <v>33</v>
      </c>
      <c r="S286">
        <v>1</v>
      </c>
    </row>
    <row r="287" spans="1:19" ht="16.5" x14ac:dyDescent="0.3">
      <c r="A287" t="s">
        <v>336</v>
      </c>
      <c r="B287" s="1">
        <v>45320</v>
      </c>
      <c r="C287" s="1">
        <v>45325</v>
      </c>
      <c r="D287">
        <v>2024</v>
      </c>
      <c r="E287" t="s">
        <v>20</v>
      </c>
      <c r="F287" t="s">
        <v>21</v>
      </c>
      <c r="G287" t="s">
        <v>22</v>
      </c>
      <c r="H287" t="s">
        <v>35</v>
      </c>
      <c r="I287" t="s">
        <v>40</v>
      </c>
      <c r="J287" t="s">
        <v>25</v>
      </c>
      <c r="K287" t="s">
        <v>32</v>
      </c>
      <c r="L287" t="s">
        <v>44</v>
      </c>
      <c r="M287">
        <v>5</v>
      </c>
      <c r="N287" s="2"/>
      <c r="O287" s="3">
        <v>3893</v>
      </c>
      <c r="P287">
        <v>0</v>
      </c>
      <c r="Q287">
        <v>4</v>
      </c>
      <c r="R287" t="s">
        <v>33</v>
      </c>
      <c r="S287">
        <v>1</v>
      </c>
    </row>
    <row r="288" spans="1:19" ht="16.5" x14ac:dyDescent="0.3">
      <c r="A288" t="s">
        <v>337</v>
      </c>
      <c r="B288" s="1">
        <v>45320</v>
      </c>
      <c r="C288" s="1">
        <v>45321</v>
      </c>
      <c r="D288">
        <v>2024</v>
      </c>
      <c r="E288" t="s">
        <v>20</v>
      </c>
      <c r="F288" t="s">
        <v>21</v>
      </c>
      <c r="G288" t="s">
        <v>22</v>
      </c>
      <c r="H288" t="s">
        <v>39</v>
      </c>
      <c r="I288" t="s">
        <v>31</v>
      </c>
      <c r="J288" t="s">
        <v>25</v>
      </c>
      <c r="K288" t="s">
        <v>41</v>
      </c>
      <c r="L288" t="s">
        <v>44</v>
      </c>
      <c r="M288">
        <v>1</v>
      </c>
      <c r="N288" s="2"/>
      <c r="O288" s="3">
        <v>1818</v>
      </c>
      <c r="P288">
        <v>0</v>
      </c>
      <c r="Q288">
        <v>5</v>
      </c>
      <c r="R288" t="s">
        <v>28</v>
      </c>
      <c r="S288">
        <v>1</v>
      </c>
    </row>
    <row r="289" spans="1:19" ht="16.5" x14ac:dyDescent="0.3">
      <c r="A289" t="s">
        <v>338</v>
      </c>
      <c r="B289" s="1">
        <v>45321</v>
      </c>
      <c r="C289" s="1">
        <v>45325</v>
      </c>
      <c r="D289">
        <v>2024</v>
      </c>
      <c r="E289" t="s">
        <v>20</v>
      </c>
      <c r="F289" t="s">
        <v>21</v>
      </c>
      <c r="G289" t="s">
        <v>56</v>
      </c>
      <c r="H289" t="s">
        <v>30</v>
      </c>
      <c r="I289" t="s">
        <v>40</v>
      </c>
      <c r="J289" t="s">
        <v>43</v>
      </c>
      <c r="K289" t="s">
        <v>36</v>
      </c>
      <c r="L289" t="s">
        <v>27</v>
      </c>
      <c r="M289">
        <v>4</v>
      </c>
      <c r="N289" s="2"/>
      <c r="O289" s="3">
        <v>5081</v>
      </c>
      <c r="P289">
        <v>0</v>
      </c>
      <c r="Q289">
        <v>3</v>
      </c>
      <c r="R289" t="s">
        <v>28</v>
      </c>
      <c r="S289">
        <v>1</v>
      </c>
    </row>
    <row r="290" spans="1:19" ht="16.5" x14ac:dyDescent="0.3">
      <c r="A290" t="s">
        <v>339</v>
      </c>
      <c r="B290" s="1">
        <v>45321</v>
      </c>
      <c r="C290" s="1">
        <v>45324</v>
      </c>
      <c r="D290">
        <v>2024</v>
      </c>
      <c r="E290" t="s">
        <v>20</v>
      </c>
      <c r="F290" t="s">
        <v>21</v>
      </c>
      <c r="G290" t="s">
        <v>56</v>
      </c>
      <c r="H290" t="s">
        <v>39</v>
      </c>
      <c r="I290" t="s">
        <v>31</v>
      </c>
      <c r="J290" t="s">
        <v>43</v>
      </c>
      <c r="K290" t="s">
        <v>41</v>
      </c>
      <c r="L290" t="s">
        <v>44</v>
      </c>
      <c r="M290">
        <v>3</v>
      </c>
      <c r="N290" s="2"/>
      <c r="O290" s="3">
        <v>1711</v>
      </c>
      <c r="P290">
        <v>0</v>
      </c>
      <c r="Q290">
        <v>4</v>
      </c>
      <c r="R290" t="s">
        <v>33</v>
      </c>
      <c r="S290">
        <v>1</v>
      </c>
    </row>
    <row r="291" spans="1:19" ht="16.5" x14ac:dyDescent="0.3">
      <c r="A291" t="s">
        <v>340</v>
      </c>
      <c r="B291" s="1">
        <v>45321</v>
      </c>
      <c r="C291" s="1">
        <v>45328</v>
      </c>
      <c r="D291">
        <v>2024</v>
      </c>
      <c r="E291" t="s">
        <v>20</v>
      </c>
      <c r="F291" t="s">
        <v>21</v>
      </c>
      <c r="G291" t="s">
        <v>56</v>
      </c>
      <c r="H291" t="s">
        <v>23</v>
      </c>
      <c r="I291" t="s">
        <v>24</v>
      </c>
      <c r="J291" t="s">
        <v>25</v>
      </c>
      <c r="K291" t="s">
        <v>53</v>
      </c>
      <c r="L291" t="s">
        <v>44</v>
      </c>
      <c r="M291">
        <v>7</v>
      </c>
      <c r="N291" s="2">
        <v>88</v>
      </c>
      <c r="O291" s="3">
        <v>5249</v>
      </c>
      <c r="P291">
        <v>0</v>
      </c>
      <c r="Q291">
        <v>5</v>
      </c>
      <c r="R291" t="s">
        <v>33</v>
      </c>
      <c r="S291">
        <v>1</v>
      </c>
    </row>
    <row r="292" spans="1:19" ht="16.5" x14ac:dyDescent="0.3">
      <c r="A292" t="s">
        <v>341</v>
      </c>
      <c r="B292" s="1">
        <v>45321</v>
      </c>
      <c r="C292" s="1">
        <v>45325</v>
      </c>
      <c r="D292">
        <v>2024</v>
      </c>
      <c r="E292" t="s">
        <v>20</v>
      </c>
      <c r="F292" t="s">
        <v>21</v>
      </c>
      <c r="G292" t="s">
        <v>56</v>
      </c>
      <c r="H292" t="s">
        <v>50</v>
      </c>
      <c r="I292" t="s">
        <v>24</v>
      </c>
      <c r="J292" t="s">
        <v>43</v>
      </c>
      <c r="K292" t="s">
        <v>36</v>
      </c>
      <c r="L292" t="s">
        <v>37</v>
      </c>
      <c r="M292">
        <v>4</v>
      </c>
      <c r="N292" s="2">
        <v>33</v>
      </c>
      <c r="O292" s="3">
        <v>6078</v>
      </c>
      <c r="P292">
        <v>0</v>
      </c>
      <c r="Q292">
        <v>3</v>
      </c>
      <c r="R292" t="s">
        <v>28</v>
      </c>
      <c r="S292">
        <v>1</v>
      </c>
    </row>
    <row r="293" spans="1:19" ht="16.5" x14ac:dyDescent="0.3">
      <c r="A293" t="s">
        <v>342</v>
      </c>
      <c r="B293" s="1">
        <v>45321</v>
      </c>
      <c r="C293" s="1">
        <v>45322</v>
      </c>
      <c r="D293">
        <v>2024</v>
      </c>
      <c r="E293" t="s">
        <v>20</v>
      </c>
      <c r="F293" t="s">
        <v>21</v>
      </c>
      <c r="G293" t="s">
        <v>56</v>
      </c>
      <c r="H293" t="s">
        <v>52</v>
      </c>
      <c r="I293" t="s">
        <v>24</v>
      </c>
      <c r="J293" t="s">
        <v>43</v>
      </c>
      <c r="K293" t="s">
        <v>32</v>
      </c>
      <c r="L293" t="s">
        <v>27</v>
      </c>
      <c r="M293">
        <v>1</v>
      </c>
      <c r="N293" s="2">
        <v>119</v>
      </c>
      <c r="O293" s="3">
        <v>2072</v>
      </c>
      <c r="P293">
        <v>0</v>
      </c>
      <c r="Q293">
        <v>1</v>
      </c>
      <c r="R293" t="s">
        <v>33</v>
      </c>
      <c r="S293">
        <v>1</v>
      </c>
    </row>
    <row r="294" spans="1:19" ht="16.5" x14ac:dyDescent="0.3">
      <c r="A294" t="s">
        <v>343</v>
      </c>
      <c r="B294" s="1">
        <v>45321</v>
      </c>
      <c r="C294" s="1">
        <v>45322</v>
      </c>
      <c r="D294">
        <v>2024</v>
      </c>
      <c r="E294" t="s">
        <v>20</v>
      </c>
      <c r="F294" t="s">
        <v>21</v>
      </c>
      <c r="G294" t="s">
        <v>56</v>
      </c>
      <c r="H294" t="s">
        <v>30</v>
      </c>
      <c r="I294" t="s">
        <v>40</v>
      </c>
      <c r="J294" t="s">
        <v>25</v>
      </c>
      <c r="K294" t="s">
        <v>36</v>
      </c>
      <c r="L294" t="s">
        <v>37</v>
      </c>
      <c r="M294">
        <v>1</v>
      </c>
      <c r="N294" s="2"/>
      <c r="O294" s="3">
        <v>2171</v>
      </c>
      <c r="P294">
        <v>0</v>
      </c>
      <c r="Q294">
        <v>5</v>
      </c>
      <c r="R294" t="s">
        <v>59</v>
      </c>
      <c r="S294">
        <v>1</v>
      </c>
    </row>
    <row r="295" spans="1:19" ht="16.5" x14ac:dyDescent="0.3">
      <c r="A295" t="s">
        <v>344</v>
      </c>
      <c r="B295" s="1">
        <v>45321</v>
      </c>
      <c r="C295" s="1">
        <v>45333</v>
      </c>
      <c r="D295">
        <v>2024</v>
      </c>
      <c r="E295" t="s">
        <v>20</v>
      </c>
      <c r="F295" t="s">
        <v>21</v>
      </c>
      <c r="G295" t="s">
        <v>56</v>
      </c>
      <c r="H295" t="s">
        <v>30</v>
      </c>
      <c r="I295" t="s">
        <v>24</v>
      </c>
      <c r="J295" t="s">
        <v>43</v>
      </c>
      <c r="K295" t="s">
        <v>32</v>
      </c>
      <c r="L295" t="s">
        <v>44</v>
      </c>
      <c r="M295">
        <v>12</v>
      </c>
      <c r="N295" s="2">
        <v>69</v>
      </c>
      <c r="O295" s="3">
        <v>13853</v>
      </c>
      <c r="P295">
        <v>0</v>
      </c>
      <c r="Q295">
        <v>5</v>
      </c>
      <c r="R295" t="s">
        <v>33</v>
      </c>
      <c r="S295">
        <v>1</v>
      </c>
    </row>
    <row r="296" spans="1:19" ht="16.5" x14ac:dyDescent="0.3">
      <c r="A296" t="s">
        <v>345</v>
      </c>
      <c r="B296" s="1">
        <v>45321</v>
      </c>
      <c r="C296" s="1">
        <v>45325</v>
      </c>
      <c r="D296">
        <v>2024</v>
      </c>
      <c r="E296" t="s">
        <v>20</v>
      </c>
      <c r="F296" t="s">
        <v>21</v>
      </c>
      <c r="G296" t="s">
        <v>56</v>
      </c>
      <c r="H296" t="s">
        <v>30</v>
      </c>
      <c r="I296" t="s">
        <v>40</v>
      </c>
      <c r="J296" t="s">
        <v>25</v>
      </c>
      <c r="K296" t="s">
        <v>53</v>
      </c>
      <c r="L296" t="s">
        <v>27</v>
      </c>
      <c r="M296">
        <v>4</v>
      </c>
      <c r="N296" s="2"/>
      <c r="O296" s="3">
        <v>6253</v>
      </c>
      <c r="P296">
        <v>0</v>
      </c>
      <c r="Q296">
        <v>5</v>
      </c>
      <c r="R296" t="s">
        <v>33</v>
      </c>
      <c r="S296">
        <v>1</v>
      </c>
    </row>
    <row r="297" spans="1:19" ht="16.5" x14ac:dyDescent="0.3">
      <c r="A297" t="s">
        <v>346</v>
      </c>
      <c r="B297" s="1">
        <v>45322</v>
      </c>
      <c r="C297" s="1">
        <v>45323</v>
      </c>
      <c r="D297">
        <v>2024</v>
      </c>
      <c r="E297" t="s">
        <v>20</v>
      </c>
      <c r="F297" t="s">
        <v>21</v>
      </c>
      <c r="G297" t="s">
        <v>70</v>
      </c>
      <c r="H297" t="s">
        <v>35</v>
      </c>
      <c r="I297" t="s">
        <v>40</v>
      </c>
      <c r="J297" t="s">
        <v>25</v>
      </c>
      <c r="K297" t="s">
        <v>36</v>
      </c>
      <c r="L297" t="s">
        <v>44</v>
      </c>
      <c r="M297">
        <v>1</v>
      </c>
      <c r="N297" s="2"/>
      <c r="O297" s="3">
        <v>1423</v>
      </c>
      <c r="P297">
        <v>0</v>
      </c>
      <c r="Q297">
        <v>4</v>
      </c>
      <c r="R297" t="s">
        <v>33</v>
      </c>
      <c r="S297">
        <v>1</v>
      </c>
    </row>
    <row r="298" spans="1:19" ht="16.5" x14ac:dyDescent="0.3">
      <c r="A298" t="s">
        <v>347</v>
      </c>
      <c r="B298" s="1">
        <v>45322</v>
      </c>
      <c r="C298" s="1">
        <v>45327</v>
      </c>
      <c r="D298">
        <v>2024</v>
      </c>
      <c r="E298" t="s">
        <v>20</v>
      </c>
      <c r="F298" t="s">
        <v>21</v>
      </c>
      <c r="G298" t="s">
        <v>70</v>
      </c>
      <c r="H298" t="s">
        <v>39</v>
      </c>
      <c r="I298" t="s">
        <v>24</v>
      </c>
      <c r="J298" t="s">
        <v>25</v>
      </c>
      <c r="K298" t="s">
        <v>41</v>
      </c>
      <c r="L298" t="s">
        <v>44</v>
      </c>
      <c r="M298">
        <v>5</v>
      </c>
      <c r="N298" s="2">
        <v>64</v>
      </c>
      <c r="O298" s="3">
        <v>4626</v>
      </c>
      <c r="P298">
        <v>0</v>
      </c>
      <c r="Q298">
        <v>4</v>
      </c>
      <c r="R298" t="s">
        <v>28</v>
      </c>
      <c r="S298">
        <v>1</v>
      </c>
    </row>
    <row r="299" spans="1:19" ht="16.5" x14ac:dyDescent="0.3">
      <c r="A299" t="s">
        <v>348</v>
      </c>
      <c r="B299" s="1">
        <v>45322</v>
      </c>
      <c r="C299" s="1">
        <v>45340</v>
      </c>
      <c r="D299">
        <v>2024</v>
      </c>
      <c r="E299" t="s">
        <v>20</v>
      </c>
      <c r="F299" t="s">
        <v>21</v>
      </c>
      <c r="G299" t="s">
        <v>70</v>
      </c>
      <c r="H299" t="s">
        <v>23</v>
      </c>
      <c r="I299" t="s">
        <v>24</v>
      </c>
      <c r="J299" t="s">
        <v>25</v>
      </c>
      <c r="K299" t="s">
        <v>36</v>
      </c>
      <c r="L299" t="s">
        <v>44</v>
      </c>
      <c r="M299">
        <v>18</v>
      </c>
      <c r="N299" s="2">
        <v>35</v>
      </c>
      <c r="O299" s="3">
        <v>11900</v>
      </c>
      <c r="P299">
        <v>0</v>
      </c>
      <c r="Q299">
        <v>4</v>
      </c>
      <c r="R299" t="s">
        <v>33</v>
      </c>
      <c r="S299">
        <v>1</v>
      </c>
    </row>
    <row r="300" spans="1:19" ht="16.5" x14ac:dyDescent="0.3">
      <c r="A300" t="s">
        <v>349</v>
      </c>
      <c r="B300" s="1">
        <v>45322</v>
      </c>
      <c r="C300" s="1">
        <v>45335</v>
      </c>
      <c r="D300">
        <v>2024</v>
      </c>
      <c r="E300" t="s">
        <v>20</v>
      </c>
      <c r="F300" t="s">
        <v>21</v>
      </c>
      <c r="G300" t="s">
        <v>70</v>
      </c>
      <c r="H300" t="s">
        <v>23</v>
      </c>
      <c r="I300" t="s">
        <v>24</v>
      </c>
      <c r="J300" t="s">
        <v>43</v>
      </c>
      <c r="K300" t="s">
        <v>53</v>
      </c>
      <c r="L300" t="s">
        <v>44</v>
      </c>
      <c r="M300">
        <v>13</v>
      </c>
      <c r="N300" s="2">
        <v>115</v>
      </c>
      <c r="O300" s="3">
        <v>8578</v>
      </c>
      <c r="P300">
        <v>0</v>
      </c>
      <c r="Q300">
        <v>3</v>
      </c>
      <c r="R300" t="s">
        <v>33</v>
      </c>
      <c r="S300">
        <v>1</v>
      </c>
    </row>
    <row r="301" spans="1:19" ht="16.5" x14ac:dyDescent="0.3">
      <c r="A301" t="s">
        <v>350</v>
      </c>
      <c r="B301" s="1">
        <v>45323</v>
      </c>
      <c r="C301" s="1">
        <v>45327</v>
      </c>
      <c r="D301">
        <v>2024</v>
      </c>
      <c r="E301" t="s">
        <v>20</v>
      </c>
      <c r="F301" t="s">
        <v>351</v>
      </c>
      <c r="G301" t="s">
        <v>78</v>
      </c>
      <c r="H301" t="s">
        <v>30</v>
      </c>
      <c r="I301" t="s">
        <v>40</v>
      </c>
      <c r="J301" t="s">
        <v>25</v>
      </c>
      <c r="K301" t="s">
        <v>32</v>
      </c>
      <c r="L301" t="s">
        <v>44</v>
      </c>
      <c r="M301">
        <v>4</v>
      </c>
      <c r="N301" s="2"/>
      <c r="O301" s="3">
        <v>4558</v>
      </c>
      <c r="P301">
        <v>0</v>
      </c>
      <c r="Q301">
        <v>5</v>
      </c>
      <c r="R301" t="s">
        <v>33</v>
      </c>
      <c r="S301">
        <v>1</v>
      </c>
    </row>
    <row r="302" spans="1:19" ht="16.5" x14ac:dyDescent="0.3">
      <c r="A302" t="s">
        <v>352</v>
      </c>
      <c r="B302" s="1">
        <v>45323</v>
      </c>
      <c r="C302" s="1">
        <v>45332</v>
      </c>
      <c r="D302">
        <v>2024</v>
      </c>
      <c r="E302" t="s">
        <v>20</v>
      </c>
      <c r="F302" t="s">
        <v>351</v>
      </c>
      <c r="G302" t="s">
        <v>78</v>
      </c>
      <c r="H302" t="s">
        <v>35</v>
      </c>
      <c r="I302" t="s">
        <v>24</v>
      </c>
      <c r="J302" t="s">
        <v>25</v>
      </c>
      <c r="K302" t="s">
        <v>32</v>
      </c>
      <c r="L302" t="s">
        <v>44</v>
      </c>
      <c r="M302">
        <v>9</v>
      </c>
      <c r="N302" s="2">
        <v>102</v>
      </c>
      <c r="O302" s="3">
        <v>6094</v>
      </c>
      <c r="P302">
        <v>0</v>
      </c>
      <c r="Q302">
        <v>3</v>
      </c>
      <c r="R302" t="s">
        <v>28</v>
      </c>
      <c r="S302">
        <v>1</v>
      </c>
    </row>
    <row r="303" spans="1:19" ht="16.5" x14ac:dyDescent="0.3">
      <c r="A303" t="s">
        <v>353</v>
      </c>
      <c r="B303" s="1">
        <v>45323</v>
      </c>
      <c r="C303" s="1">
        <v>45325</v>
      </c>
      <c r="D303">
        <v>2024</v>
      </c>
      <c r="E303" t="s">
        <v>20</v>
      </c>
      <c r="F303" t="s">
        <v>351</v>
      </c>
      <c r="G303" t="s">
        <v>78</v>
      </c>
      <c r="H303" t="s">
        <v>52</v>
      </c>
      <c r="I303" t="s">
        <v>40</v>
      </c>
      <c r="J303" t="s">
        <v>25</v>
      </c>
      <c r="K303" t="s">
        <v>32</v>
      </c>
      <c r="L303" t="s">
        <v>37</v>
      </c>
      <c r="M303">
        <v>2</v>
      </c>
      <c r="N303" s="2"/>
      <c r="O303" s="3">
        <v>3306</v>
      </c>
      <c r="P303">
        <v>0</v>
      </c>
      <c r="Q303">
        <v>4</v>
      </c>
      <c r="R303" t="s">
        <v>33</v>
      </c>
      <c r="S303">
        <v>1</v>
      </c>
    </row>
    <row r="304" spans="1:19" ht="16.5" x14ac:dyDescent="0.3">
      <c r="A304" t="s">
        <v>354</v>
      </c>
      <c r="B304" s="1">
        <v>45323</v>
      </c>
      <c r="C304" s="1">
        <v>45326</v>
      </c>
      <c r="D304">
        <v>2024</v>
      </c>
      <c r="E304" t="s">
        <v>20</v>
      </c>
      <c r="F304" t="s">
        <v>351</v>
      </c>
      <c r="G304" t="s">
        <v>78</v>
      </c>
      <c r="H304" t="s">
        <v>35</v>
      </c>
      <c r="I304" t="s">
        <v>40</v>
      </c>
      <c r="J304" t="s">
        <v>25</v>
      </c>
      <c r="K304" t="s">
        <v>36</v>
      </c>
      <c r="L304" t="s">
        <v>44</v>
      </c>
      <c r="M304">
        <v>3</v>
      </c>
      <c r="N304" s="2"/>
      <c r="O304" s="3">
        <v>2713</v>
      </c>
      <c r="P304">
        <v>0</v>
      </c>
      <c r="Q304">
        <v>5</v>
      </c>
      <c r="R304" t="s">
        <v>33</v>
      </c>
      <c r="S304">
        <v>1</v>
      </c>
    </row>
    <row r="305" spans="1:19" ht="16.5" x14ac:dyDescent="0.3">
      <c r="A305" t="s">
        <v>355</v>
      </c>
      <c r="B305" s="1">
        <v>45323</v>
      </c>
      <c r="C305" s="1">
        <v>45333</v>
      </c>
      <c r="D305">
        <v>2024</v>
      </c>
      <c r="E305" t="s">
        <v>20</v>
      </c>
      <c r="F305" t="s">
        <v>351</v>
      </c>
      <c r="G305" t="s">
        <v>78</v>
      </c>
      <c r="H305" t="s">
        <v>35</v>
      </c>
      <c r="I305" t="s">
        <v>24</v>
      </c>
      <c r="J305" t="s">
        <v>25</v>
      </c>
      <c r="K305" t="s">
        <v>32</v>
      </c>
      <c r="L305" t="s">
        <v>44</v>
      </c>
      <c r="M305">
        <v>10</v>
      </c>
      <c r="N305" s="2">
        <v>62</v>
      </c>
      <c r="O305" s="3">
        <v>4987</v>
      </c>
      <c r="P305">
        <v>0</v>
      </c>
      <c r="Q305">
        <v>5</v>
      </c>
      <c r="R305" t="s">
        <v>28</v>
      </c>
      <c r="S305">
        <v>1</v>
      </c>
    </row>
    <row r="306" spans="1:19" ht="16.5" x14ac:dyDescent="0.3">
      <c r="A306" t="s">
        <v>356</v>
      </c>
      <c r="B306" s="1">
        <v>45323</v>
      </c>
      <c r="C306" s="1">
        <v>45329</v>
      </c>
      <c r="D306">
        <v>2024</v>
      </c>
      <c r="E306" t="s">
        <v>20</v>
      </c>
      <c r="F306" t="s">
        <v>351</v>
      </c>
      <c r="G306" t="s">
        <v>78</v>
      </c>
      <c r="H306" t="s">
        <v>23</v>
      </c>
      <c r="I306" t="s">
        <v>24</v>
      </c>
      <c r="J306" t="s">
        <v>25</v>
      </c>
      <c r="K306" t="s">
        <v>26</v>
      </c>
      <c r="L306" t="s">
        <v>44</v>
      </c>
      <c r="M306">
        <v>6</v>
      </c>
      <c r="N306" s="2">
        <v>37</v>
      </c>
      <c r="O306" s="3">
        <v>4403</v>
      </c>
      <c r="P306">
        <v>0</v>
      </c>
      <c r="Q306">
        <v>3</v>
      </c>
      <c r="R306" t="s">
        <v>59</v>
      </c>
      <c r="S306">
        <v>1</v>
      </c>
    </row>
    <row r="307" spans="1:19" ht="16.5" x14ac:dyDescent="0.3">
      <c r="A307" t="s">
        <v>357</v>
      </c>
      <c r="B307" s="1">
        <v>45324</v>
      </c>
      <c r="C307" s="1">
        <v>45327</v>
      </c>
      <c r="D307">
        <v>2024</v>
      </c>
      <c r="E307" t="s">
        <v>20</v>
      </c>
      <c r="F307" t="s">
        <v>351</v>
      </c>
      <c r="G307" t="s">
        <v>83</v>
      </c>
      <c r="H307" t="s">
        <v>23</v>
      </c>
      <c r="I307" t="s">
        <v>24</v>
      </c>
      <c r="J307" t="s">
        <v>43</v>
      </c>
      <c r="K307" t="s">
        <v>36</v>
      </c>
      <c r="L307" t="s">
        <v>44</v>
      </c>
      <c r="M307">
        <v>3</v>
      </c>
      <c r="N307" s="2">
        <v>28</v>
      </c>
      <c r="O307" s="3">
        <v>2983</v>
      </c>
      <c r="P307">
        <v>0</v>
      </c>
      <c r="Q307">
        <v>5</v>
      </c>
      <c r="R307" t="s">
        <v>28</v>
      </c>
      <c r="S307">
        <v>1</v>
      </c>
    </row>
    <row r="308" spans="1:19" ht="16.5" x14ac:dyDescent="0.3">
      <c r="A308" t="s">
        <v>358</v>
      </c>
      <c r="B308" s="1">
        <v>45324</v>
      </c>
      <c r="C308" s="1">
        <v>45347</v>
      </c>
      <c r="D308">
        <v>2024</v>
      </c>
      <c r="E308" t="s">
        <v>20</v>
      </c>
      <c r="F308" t="s">
        <v>351</v>
      </c>
      <c r="G308" t="s">
        <v>83</v>
      </c>
      <c r="H308" t="s">
        <v>23</v>
      </c>
      <c r="I308" t="s">
        <v>24</v>
      </c>
      <c r="J308" t="s">
        <v>43</v>
      </c>
      <c r="K308" t="s">
        <v>26</v>
      </c>
      <c r="L308" t="s">
        <v>44</v>
      </c>
      <c r="M308">
        <v>23</v>
      </c>
      <c r="N308" s="2">
        <v>22</v>
      </c>
      <c r="O308" s="3">
        <v>13845</v>
      </c>
      <c r="P308">
        <v>0</v>
      </c>
      <c r="Q308">
        <v>5</v>
      </c>
      <c r="R308" t="s">
        <v>33</v>
      </c>
      <c r="S308">
        <v>1</v>
      </c>
    </row>
    <row r="309" spans="1:19" ht="16.5" x14ac:dyDescent="0.3">
      <c r="A309" t="s">
        <v>359</v>
      </c>
      <c r="B309" s="1">
        <v>45324</v>
      </c>
      <c r="C309" s="1">
        <v>45327</v>
      </c>
      <c r="D309">
        <v>2024</v>
      </c>
      <c r="E309" t="s">
        <v>20</v>
      </c>
      <c r="F309" t="s">
        <v>351</v>
      </c>
      <c r="G309" t="s">
        <v>83</v>
      </c>
      <c r="H309" t="s">
        <v>35</v>
      </c>
      <c r="I309" t="s">
        <v>31</v>
      </c>
      <c r="J309" t="s">
        <v>25</v>
      </c>
      <c r="K309" t="s">
        <v>36</v>
      </c>
      <c r="L309" t="s">
        <v>27</v>
      </c>
      <c r="M309">
        <v>3</v>
      </c>
      <c r="N309" s="2"/>
      <c r="O309" s="3">
        <v>1712</v>
      </c>
      <c r="P309">
        <v>0</v>
      </c>
      <c r="Q309">
        <v>5</v>
      </c>
      <c r="R309" t="s">
        <v>28</v>
      </c>
      <c r="S309">
        <v>1</v>
      </c>
    </row>
    <row r="310" spans="1:19" ht="16.5" x14ac:dyDescent="0.3">
      <c r="A310" t="s">
        <v>360</v>
      </c>
      <c r="B310" s="1">
        <v>45324</v>
      </c>
      <c r="C310" s="1">
        <v>45327</v>
      </c>
      <c r="D310">
        <v>2024</v>
      </c>
      <c r="E310" t="s">
        <v>20</v>
      </c>
      <c r="F310" t="s">
        <v>351</v>
      </c>
      <c r="G310" t="s">
        <v>83</v>
      </c>
      <c r="H310" t="s">
        <v>23</v>
      </c>
      <c r="I310" t="s">
        <v>24</v>
      </c>
      <c r="J310" t="s">
        <v>25</v>
      </c>
      <c r="K310" t="s">
        <v>32</v>
      </c>
      <c r="L310" t="s">
        <v>44</v>
      </c>
      <c r="M310">
        <v>3</v>
      </c>
      <c r="N310" s="2">
        <v>96</v>
      </c>
      <c r="O310" s="3">
        <v>2931</v>
      </c>
      <c r="P310">
        <v>0</v>
      </c>
      <c r="Q310">
        <v>4</v>
      </c>
      <c r="R310" t="s">
        <v>28</v>
      </c>
      <c r="S310">
        <v>1</v>
      </c>
    </row>
    <row r="311" spans="1:19" ht="16.5" x14ac:dyDescent="0.3">
      <c r="A311" t="s">
        <v>361</v>
      </c>
      <c r="B311" s="1">
        <v>45324</v>
      </c>
      <c r="C311" s="1">
        <v>45326</v>
      </c>
      <c r="D311">
        <v>2024</v>
      </c>
      <c r="E311" t="s">
        <v>20</v>
      </c>
      <c r="F311" t="s">
        <v>351</v>
      </c>
      <c r="G311" t="s">
        <v>83</v>
      </c>
      <c r="H311" t="s">
        <v>50</v>
      </c>
      <c r="I311" t="s">
        <v>24</v>
      </c>
      <c r="J311" t="s">
        <v>43</v>
      </c>
      <c r="K311" t="s">
        <v>53</v>
      </c>
      <c r="L311" t="s">
        <v>27</v>
      </c>
      <c r="M311">
        <v>2</v>
      </c>
      <c r="N311" s="2">
        <v>48</v>
      </c>
      <c r="O311" s="3">
        <v>3143</v>
      </c>
      <c r="P311">
        <v>0</v>
      </c>
      <c r="Q311">
        <v>5</v>
      </c>
      <c r="R311" t="s">
        <v>28</v>
      </c>
      <c r="S311">
        <v>1</v>
      </c>
    </row>
    <row r="312" spans="1:19" ht="16.5" x14ac:dyDescent="0.3">
      <c r="A312" t="s">
        <v>362</v>
      </c>
      <c r="B312" s="1">
        <v>45324</v>
      </c>
      <c r="C312" s="1">
        <v>45340</v>
      </c>
      <c r="D312">
        <v>2024</v>
      </c>
      <c r="E312" t="s">
        <v>20</v>
      </c>
      <c r="F312" t="s">
        <v>351</v>
      </c>
      <c r="G312" t="s">
        <v>83</v>
      </c>
      <c r="H312" t="s">
        <v>23</v>
      </c>
      <c r="I312" t="s">
        <v>24</v>
      </c>
      <c r="J312" t="s">
        <v>43</v>
      </c>
      <c r="K312" t="s">
        <v>26</v>
      </c>
      <c r="L312" t="s">
        <v>44</v>
      </c>
      <c r="M312">
        <v>16</v>
      </c>
      <c r="N312" s="2">
        <v>112</v>
      </c>
      <c r="O312" s="3">
        <v>11703</v>
      </c>
      <c r="P312">
        <v>0</v>
      </c>
      <c r="Q312">
        <v>3</v>
      </c>
      <c r="R312" t="s">
        <v>33</v>
      </c>
      <c r="S312">
        <v>1</v>
      </c>
    </row>
    <row r="313" spans="1:19" ht="16.5" x14ac:dyDescent="0.3">
      <c r="A313" t="s">
        <v>363</v>
      </c>
      <c r="B313" s="1">
        <v>45325</v>
      </c>
      <c r="C313" s="1">
        <v>45340</v>
      </c>
      <c r="D313">
        <v>2024</v>
      </c>
      <c r="E313" t="s">
        <v>20</v>
      </c>
      <c r="F313" t="s">
        <v>351</v>
      </c>
      <c r="G313" t="s">
        <v>102</v>
      </c>
      <c r="H313" t="s">
        <v>50</v>
      </c>
      <c r="I313" t="s">
        <v>31</v>
      </c>
      <c r="J313" t="s">
        <v>43</v>
      </c>
      <c r="K313" t="s">
        <v>26</v>
      </c>
      <c r="L313" t="s">
        <v>44</v>
      </c>
      <c r="M313">
        <v>15</v>
      </c>
      <c r="N313" s="2"/>
      <c r="O313" s="3">
        <v>21226</v>
      </c>
      <c r="P313">
        <v>0</v>
      </c>
      <c r="Q313">
        <v>5</v>
      </c>
      <c r="R313" t="s">
        <v>33</v>
      </c>
      <c r="S313">
        <v>1</v>
      </c>
    </row>
    <row r="314" spans="1:19" ht="16.5" x14ac:dyDescent="0.3">
      <c r="A314" t="s">
        <v>364</v>
      </c>
      <c r="B314" s="1">
        <v>45325</v>
      </c>
      <c r="C314" s="1">
        <v>45327</v>
      </c>
      <c r="D314">
        <v>2024</v>
      </c>
      <c r="E314" t="s">
        <v>20</v>
      </c>
      <c r="F314" t="s">
        <v>351</v>
      </c>
      <c r="G314" t="s">
        <v>102</v>
      </c>
      <c r="H314" t="s">
        <v>35</v>
      </c>
      <c r="I314" t="s">
        <v>24</v>
      </c>
      <c r="J314" t="s">
        <v>25</v>
      </c>
      <c r="K314" t="s">
        <v>32</v>
      </c>
      <c r="L314" t="s">
        <v>27</v>
      </c>
      <c r="M314">
        <v>2</v>
      </c>
      <c r="N314" s="2">
        <v>167</v>
      </c>
      <c r="O314" s="3">
        <v>2383</v>
      </c>
      <c r="P314">
        <v>1</v>
      </c>
      <c r="Q314">
        <v>3</v>
      </c>
      <c r="R314" t="s">
        <v>59</v>
      </c>
      <c r="S314">
        <v>1</v>
      </c>
    </row>
    <row r="315" spans="1:19" ht="16.5" x14ac:dyDescent="0.3">
      <c r="A315" t="s">
        <v>365</v>
      </c>
      <c r="B315" s="1">
        <v>45325</v>
      </c>
      <c r="C315" s="1">
        <v>45329</v>
      </c>
      <c r="D315">
        <v>2024</v>
      </c>
      <c r="E315" t="s">
        <v>20</v>
      </c>
      <c r="F315" t="s">
        <v>351</v>
      </c>
      <c r="G315" t="s">
        <v>102</v>
      </c>
      <c r="H315" t="s">
        <v>30</v>
      </c>
      <c r="I315" t="s">
        <v>24</v>
      </c>
      <c r="J315" t="s">
        <v>43</v>
      </c>
      <c r="K315" t="s">
        <v>53</v>
      </c>
      <c r="L315" t="s">
        <v>27</v>
      </c>
      <c r="M315">
        <v>4</v>
      </c>
      <c r="N315" s="2">
        <v>85</v>
      </c>
      <c r="O315" s="3">
        <v>5674</v>
      </c>
      <c r="P315">
        <v>0</v>
      </c>
      <c r="Q315">
        <v>4</v>
      </c>
      <c r="R315" t="s">
        <v>33</v>
      </c>
      <c r="S315">
        <v>1</v>
      </c>
    </row>
    <row r="316" spans="1:19" ht="16.5" x14ac:dyDescent="0.3">
      <c r="A316" t="s">
        <v>366</v>
      </c>
      <c r="B316" s="1">
        <v>45325</v>
      </c>
      <c r="C316" s="1">
        <v>45327</v>
      </c>
      <c r="D316">
        <v>2024</v>
      </c>
      <c r="E316" t="s">
        <v>20</v>
      </c>
      <c r="F316" t="s">
        <v>351</v>
      </c>
      <c r="G316" t="s">
        <v>102</v>
      </c>
      <c r="H316" t="s">
        <v>52</v>
      </c>
      <c r="I316" t="s">
        <v>40</v>
      </c>
      <c r="J316" t="s">
        <v>43</v>
      </c>
      <c r="K316" t="s">
        <v>32</v>
      </c>
      <c r="L316" t="s">
        <v>44</v>
      </c>
      <c r="M316">
        <v>2</v>
      </c>
      <c r="N316" s="2"/>
      <c r="O316" s="3">
        <v>2764</v>
      </c>
      <c r="P316">
        <v>0</v>
      </c>
      <c r="Q316">
        <v>3</v>
      </c>
      <c r="R316" t="s">
        <v>28</v>
      </c>
      <c r="S316">
        <v>1</v>
      </c>
    </row>
    <row r="317" spans="1:19" ht="16.5" x14ac:dyDescent="0.3">
      <c r="A317" t="s">
        <v>367</v>
      </c>
      <c r="B317" s="1">
        <v>45325</v>
      </c>
      <c r="C317" s="1">
        <v>45335</v>
      </c>
      <c r="D317">
        <v>2024</v>
      </c>
      <c r="E317" t="s">
        <v>20</v>
      </c>
      <c r="F317" t="s">
        <v>351</v>
      </c>
      <c r="G317" t="s">
        <v>102</v>
      </c>
      <c r="H317" t="s">
        <v>23</v>
      </c>
      <c r="I317" t="s">
        <v>24</v>
      </c>
      <c r="J317" t="s">
        <v>43</v>
      </c>
      <c r="K317" t="s">
        <v>26</v>
      </c>
      <c r="L317" t="s">
        <v>27</v>
      </c>
      <c r="M317">
        <v>10</v>
      </c>
      <c r="N317" s="2">
        <v>110</v>
      </c>
      <c r="O317" s="3">
        <v>6848</v>
      </c>
      <c r="P317">
        <v>0</v>
      </c>
      <c r="Q317">
        <v>5</v>
      </c>
      <c r="R317" t="s">
        <v>33</v>
      </c>
      <c r="S317">
        <v>1</v>
      </c>
    </row>
    <row r="318" spans="1:19" ht="16.5" x14ac:dyDescent="0.3">
      <c r="A318" t="s">
        <v>368</v>
      </c>
      <c r="B318" s="1">
        <v>45325</v>
      </c>
      <c r="C318" s="1">
        <v>45326</v>
      </c>
      <c r="D318">
        <v>2024</v>
      </c>
      <c r="E318" t="s">
        <v>20</v>
      </c>
      <c r="F318" t="s">
        <v>351</v>
      </c>
      <c r="G318" t="s">
        <v>102</v>
      </c>
      <c r="H318" t="s">
        <v>35</v>
      </c>
      <c r="I318" t="s">
        <v>31</v>
      </c>
      <c r="J318" t="s">
        <v>25</v>
      </c>
      <c r="K318" t="s">
        <v>36</v>
      </c>
      <c r="L318" t="s">
        <v>44</v>
      </c>
      <c r="M318">
        <v>1</v>
      </c>
      <c r="N318" s="2"/>
      <c r="O318" s="3">
        <v>1684</v>
      </c>
      <c r="P318">
        <v>0</v>
      </c>
      <c r="Q318">
        <v>5</v>
      </c>
      <c r="R318" t="s">
        <v>28</v>
      </c>
      <c r="S318">
        <v>1</v>
      </c>
    </row>
    <row r="319" spans="1:19" ht="16.5" x14ac:dyDescent="0.3">
      <c r="A319" t="s">
        <v>369</v>
      </c>
      <c r="B319" s="1">
        <v>45325</v>
      </c>
      <c r="C319" s="1">
        <v>45326</v>
      </c>
      <c r="D319">
        <v>2024</v>
      </c>
      <c r="E319" t="s">
        <v>20</v>
      </c>
      <c r="F319" t="s">
        <v>351</v>
      </c>
      <c r="G319" t="s">
        <v>102</v>
      </c>
      <c r="H319" t="s">
        <v>39</v>
      </c>
      <c r="I319" t="s">
        <v>24</v>
      </c>
      <c r="J319" t="s">
        <v>43</v>
      </c>
      <c r="K319" t="s">
        <v>41</v>
      </c>
      <c r="L319" t="s">
        <v>44</v>
      </c>
      <c r="M319">
        <v>1</v>
      </c>
      <c r="N319" s="2">
        <v>30</v>
      </c>
      <c r="O319" s="3">
        <v>1296</v>
      </c>
      <c r="P319">
        <v>0</v>
      </c>
      <c r="Q319">
        <v>5</v>
      </c>
      <c r="R319" t="s">
        <v>33</v>
      </c>
      <c r="S319">
        <v>1</v>
      </c>
    </row>
    <row r="320" spans="1:19" ht="16.5" x14ac:dyDescent="0.3">
      <c r="A320" t="s">
        <v>370</v>
      </c>
      <c r="B320" s="1">
        <v>45325</v>
      </c>
      <c r="C320" s="1">
        <v>45329</v>
      </c>
      <c r="D320">
        <v>2024</v>
      </c>
      <c r="E320" t="s">
        <v>20</v>
      </c>
      <c r="F320" t="s">
        <v>351</v>
      </c>
      <c r="G320" t="s">
        <v>102</v>
      </c>
      <c r="H320" t="s">
        <v>23</v>
      </c>
      <c r="I320" t="s">
        <v>40</v>
      </c>
      <c r="J320" t="s">
        <v>25</v>
      </c>
      <c r="K320" t="s">
        <v>26</v>
      </c>
      <c r="L320" t="s">
        <v>44</v>
      </c>
      <c r="M320">
        <v>4</v>
      </c>
      <c r="N320" s="2"/>
      <c r="O320" s="3">
        <v>3252</v>
      </c>
      <c r="P320">
        <v>0</v>
      </c>
      <c r="Q320">
        <v>5</v>
      </c>
      <c r="R320" t="s">
        <v>59</v>
      </c>
      <c r="S320">
        <v>1</v>
      </c>
    </row>
    <row r="321" spans="1:19" ht="16.5" x14ac:dyDescent="0.3">
      <c r="A321" t="s">
        <v>371</v>
      </c>
      <c r="B321" s="1">
        <v>45325</v>
      </c>
      <c r="C321" s="1">
        <v>45332</v>
      </c>
      <c r="D321">
        <v>2024</v>
      </c>
      <c r="E321" t="s">
        <v>20</v>
      </c>
      <c r="F321" t="s">
        <v>351</v>
      </c>
      <c r="G321" t="s">
        <v>102</v>
      </c>
      <c r="H321" t="s">
        <v>23</v>
      </c>
      <c r="I321" t="s">
        <v>24</v>
      </c>
      <c r="J321" t="s">
        <v>43</v>
      </c>
      <c r="K321" t="s">
        <v>53</v>
      </c>
      <c r="L321" t="s">
        <v>44</v>
      </c>
      <c r="M321">
        <v>7</v>
      </c>
      <c r="N321" s="2">
        <v>79</v>
      </c>
      <c r="O321" s="3">
        <v>6312</v>
      </c>
      <c r="P321">
        <v>0</v>
      </c>
      <c r="Q321">
        <v>4</v>
      </c>
      <c r="R321" t="s">
        <v>28</v>
      </c>
      <c r="S321">
        <v>1</v>
      </c>
    </row>
    <row r="322" spans="1:19" ht="16.5" x14ac:dyDescent="0.3">
      <c r="A322" t="s">
        <v>372</v>
      </c>
      <c r="B322" s="1">
        <v>45325</v>
      </c>
      <c r="C322" s="1">
        <v>45326</v>
      </c>
      <c r="D322">
        <v>2024</v>
      </c>
      <c r="E322" t="s">
        <v>20</v>
      </c>
      <c r="F322" t="s">
        <v>351</v>
      </c>
      <c r="G322" t="s">
        <v>102</v>
      </c>
      <c r="H322" t="s">
        <v>35</v>
      </c>
      <c r="I322" t="s">
        <v>40</v>
      </c>
      <c r="J322" t="s">
        <v>25</v>
      </c>
      <c r="K322" t="s">
        <v>32</v>
      </c>
      <c r="L322" t="s">
        <v>44</v>
      </c>
      <c r="M322">
        <v>1</v>
      </c>
      <c r="N322" s="2"/>
      <c r="O322" s="3">
        <v>841</v>
      </c>
      <c r="P322">
        <v>0</v>
      </c>
      <c r="Q322">
        <v>4</v>
      </c>
      <c r="R322" t="s">
        <v>33</v>
      </c>
      <c r="S322">
        <v>1</v>
      </c>
    </row>
    <row r="323" spans="1:19" ht="16.5" x14ac:dyDescent="0.3">
      <c r="A323" t="s">
        <v>373</v>
      </c>
      <c r="B323" s="1">
        <v>45326</v>
      </c>
      <c r="C323" s="1">
        <v>45333</v>
      </c>
      <c r="D323">
        <v>2024</v>
      </c>
      <c r="E323" t="s">
        <v>20</v>
      </c>
      <c r="F323" t="s">
        <v>351</v>
      </c>
      <c r="G323" t="s">
        <v>112</v>
      </c>
      <c r="H323" t="s">
        <v>23</v>
      </c>
      <c r="I323" t="s">
        <v>24</v>
      </c>
      <c r="J323" t="s">
        <v>43</v>
      </c>
      <c r="K323" t="s">
        <v>26</v>
      </c>
      <c r="L323" t="s">
        <v>44</v>
      </c>
      <c r="M323">
        <v>7</v>
      </c>
      <c r="N323" s="2">
        <v>46</v>
      </c>
      <c r="O323" s="3">
        <v>4125</v>
      </c>
      <c r="P323">
        <v>0</v>
      </c>
      <c r="Q323">
        <v>4</v>
      </c>
      <c r="R323" t="s">
        <v>33</v>
      </c>
      <c r="S323">
        <v>1</v>
      </c>
    </row>
    <row r="324" spans="1:19" ht="16.5" x14ac:dyDescent="0.3">
      <c r="A324" t="s">
        <v>374</v>
      </c>
      <c r="B324" s="1">
        <v>45326</v>
      </c>
      <c r="C324" s="1">
        <v>45336</v>
      </c>
      <c r="D324">
        <v>2024</v>
      </c>
      <c r="E324" t="s">
        <v>20</v>
      </c>
      <c r="F324" t="s">
        <v>351</v>
      </c>
      <c r="G324" t="s">
        <v>112</v>
      </c>
      <c r="H324" t="s">
        <v>50</v>
      </c>
      <c r="I324" t="s">
        <v>24</v>
      </c>
      <c r="J324" t="s">
        <v>43</v>
      </c>
      <c r="K324" t="s">
        <v>26</v>
      </c>
      <c r="L324" t="s">
        <v>44</v>
      </c>
      <c r="M324">
        <v>10</v>
      </c>
      <c r="N324" s="2">
        <v>37</v>
      </c>
      <c r="O324" s="3">
        <v>12260</v>
      </c>
      <c r="P324">
        <v>0</v>
      </c>
      <c r="Q324">
        <v>5</v>
      </c>
      <c r="R324" t="s">
        <v>33</v>
      </c>
      <c r="S324">
        <v>1</v>
      </c>
    </row>
    <row r="325" spans="1:19" ht="16.5" x14ac:dyDescent="0.3">
      <c r="A325" t="s">
        <v>375</v>
      </c>
      <c r="B325" s="1">
        <v>45326</v>
      </c>
      <c r="C325" s="1">
        <v>45339</v>
      </c>
      <c r="D325">
        <v>2024</v>
      </c>
      <c r="E325" t="s">
        <v>20</v>
      </c>
      <c r="F325" t="s">
        <v>351</v>
      </c>
      <c r="G325" t="s">
        <v>112</v>
      </c>
      <c r="H325" t="s">
        <v>23</v>
      </c>
      <c r="I325" t="s">
        <v>24</v>
      </c>
      <c r="J325" t="s">
        <v>43</v>
      </c>
      <c r="K325" t="s">
        <v>26</v>
      </c>
      <c r="L325" t="s">
        <v>37</v>
      </c>
      <c r="M325">
        <v>13</v>
      </c>
      <c r="N325" s="2">
        <v>60</v>
      </c>
      <c r="O325" s="3">
        <v>8030</v>
      </c>
      <c r="P325">
        <v>0</v>
      </c>
      <c r="Q325">
        <v>5</v>
      </c>
      <c r="R325" t="s">
        <v>33</v>
      </c>
      <c r="S325">
        <v>1</v>
      </c>
    </row>
    <row r="326" spans="1:19" ht="16.5" x14ac:dyDescent="0.3">
      <c r="A326" t="s">
        <v>376</v>
      </c>
      <c r="B326" s="1">
        <v>45326</v>
      </c>
      <c r="C326" s="1">
        <v>45337</v>
      </c>
      <c r="D326">
        <v>2024</v>
      </c>
      <c r="E326" t="s">
        <v>20</v>
      </c>
      <c r="F326" t="s">
        <v>351</v>
      </c>
      <c r="G326" t="s">
        <v>112</v>
      </c>
      <c r="H326" t="s">
        <v>50</v>
      </c>
      <c r="I326" t="s">
        <v>24</v>
      </c>
      <c r="J326" t="s">
        <v>25</v>
      </c>
      <c r="K326" t="s">
        <v>26</v>
      </c>
      <c r="L326" t="s">
        <v>44</v>
      </c>
      <c r="M326">
        <v>11</v>
      </c>
      <c r="N326" s="2">
        <v>134</v>
      </c>
      <c r="O326" s="3">
        <v>13140</v>
      </c>
      <c r="P326">
        <v>0</v>
      </c>
      <c r="Q326">
        <v>4</v>
      </c>
      <c r="R326" t="s">
        <v>33</v>
      </c>
      <c r="S326">
        <v>1</v>
      </c>
    </row>
    <row r="327" spans="1:19" ht="16.5" x14ac:dyDescent="0.3">
      <c r="A327" t="s">
        <v>377</v>
      </c>
      <c r="B327" s="1">
        <v>45326</v>
      </c>
      <c r="C327" s="1">
        <v>45332</v>
      </c>
      <c r="D327">
        <v>2024</v>
      </c>
      <c r="E327" t="s">
        <v>20</v>
      </c>
      <c r="F327" t="s">
        <v>351</v>
      </c>
      <c r="G327" t="s">
        <v>112</v>
      </c>
      <c r="H327" t="s">
        <v>30</v>
      </c>
      <c r="I327" t="s">
        <v>40</v>
      </c>
      <c r="J327" t="s">
        <v>25</v>
      </c>
      <c r="K327" t="s">
        <v>32</v>
      </c>
      <c r="L327" t="s">
        <v>37</v>
      </c>
      <c r="M327">
        <v>6</v>
      </c>
      <c r="N327" s="2"/>
      <c r="O327" s="3">
        <v>5290</v>
      </c>
      <c r="P327">
        <v>0</v>
      </c>
      <c r="Q327">
        <v>4</v>
      </c>
      <c r="R327" t="s">
        <v>59</v>
      </c>
      <c r="S327">
        <v>1</v>
      </c>
    </row>
    <row r="328" spans="1:19" ht="16.5" x14ac:dyDescent="0.3">
      <c r="A328" t="s">
        <v>378</v>
      </c>
      <c r="B328" s="1">
        <v>45327</v>
      </c>
      <c r="C328" s="1">
        <v>45328</v>
      </c>
      <c r="D328">
        <v>2024</v>
      </c>
      <c r="E328" t="s">
        <v>20</v>
      </c>
      <c r="F328" t="s">
        <v>351</v>
      </c>
      <c r="G328" t="s">
        <v>22</v>
      </c>
      <c r="H328" t="s">
        <v>39</v>
      </c>
      <c r="I328" t="s">
        <v>40</v>
      </c>
      <c r="J328" t="s">
        <v>43</v>
      </c>
      <c r="K328" t="s">
        <v>41</v>
      </c>
      <c r="L328" t="s">
        <v>44</v>
      </c>
      <c r="M328">
        <v>1</v>
      </c>
      <c r="N328" s="2"/>
      <c r="O328" s="3">
        <v>1492</v>
      </c>
      <c r="P328">
        <v>1</v>
      </c>
      <c r="Q328">
        <v>4</v>
      </c>
      <c r="R328" t="s">
        <v>28</v>
      </c>
      <c r="S328">
        <v>1</v>
      </c>
    </row>
    <row r="329" spans="1:19" ht="16.5" x14ac:dyDescent="0.3">
      <c r="A329" t="s">
        <v>379</v>
      </c>
      <c r="B329" s="1">
        <v>45327</v>
      </c>
      <c r="C329" s="1">
        <v>45328</v>
      </c>
      <c r="D329">
        <v>2024</v>
      </c>
      <c r="E329" t="s">
        <v>20</v>
      </c>
      <c r="F329" t="s">
        <v>351</v>
      </c>
      <c r="G329" t="s">
        <v>22</v>
      </c>
      <c r="H329" t="s">
        <v>39</v>
      </c>
      <c r="I329" t="s">
        <v>24</v>
      </c>
      <c r="J329" t="s">
        <v>25</v>
      </c>
      <c r="K329" t="s">
        <v>41</v>
      </c>
      <c r="L329" t="s">
        <v>27</v>
      </c>
      <c r="M329">
        <v>1</v>
      </c>
      <c r="N329" s="2">
        <v>40</v>
      </c>
      <c r="O329" s="3">
        <v>1799</v>
      </c>
      <c r="P329">
        <v>0</v>
      </c>
      <c r="Q329">
        <v>3</v>
      </c>
      <c r="R329" t="s">
        <v>33</v>
      </c>
      <c r="S329">
        <v>1</v>
      </c>
    </row>
    <row r="330" spans="1:19" ht="16.5" x14ac:dyDescent="0.3">
      <c r="A330" t="s">
        <v>380</v>
      </c>
      <c r="B330" s="1">
        <v>45327</v>
      </c>
      <c r="C330" s="1">
        <v>45330</v>
      </c>
      <c r="D330">
        <v>2024</v>
      </c>
      <c r="E330" t="s">
        <v>20</v>
      </c>
      <c r="F330" t="s">
        <v>351</v>
      </c>
      <c r="G330" t="s">
        <v>22</v>
      </c>
      <c r="H330" t="s">
        <v>35</v>
      </c>
      <c r="I330" t="s">
        <v>31</v>
      </c>
      <c r="J330" t="s">
        <v>25</v>
      </c>
      <c r="K330" t="s">
        <v>36</v>
      </c>
      <c r="L330" t="s">
        <v>44</v>
      </c>
      <c r="M330">
        <v>3</v>
      </c>
      <c r="N330" s="2"/>
      <c r="O330" s="3">
        <v>3181</v>
      </c>
      <c r="P330">
        <v>0</v>
      </c>
      <c r="Q330">
        <v>4</v>
      </c>
      <c r="R330" t="s">
        <v>33</v>
      </c>
      <c r="S330">
        <v>1</v>
      </c>
    </row>
    <row r="331" spans="1:19" ht="16.5" x14ac:dyDescent="0.3">
      <c r="A331" t="s">
        <v>381</v>
      </c>
      <c r="B331" s="1">
        <v>45327</v>
      </c>
      <c r="C331" s="1">
        <v>45329</v>
      </c>
      <c r="D331">
        <v>2024</v>
      </c>
      <c r="E331" t="s">
        <v>20</v>
      </c>
      <c r="F331" t="s">
        <v>351</v>
      </c>
      <c r="G331" t="s">
        <v>22</v>
      </c>
      <c r="H331" t="s">
        <v>52</v>
      </c>
      <c r="I331" t="s">
        <v>24</v>
      </c>
      <c r="J331" t="s">
        <v>25</v>
      </c>
      <c r="K331" t="s">
        <v>32</v>
      </c>
      <c r="L331" t="s">
        <v>44</v>
      </c>
      <c r="M331">
        <v>2</v>
      </c>
      <c r="N331" s="2">
        <v>33</v>
      </c>
      <c r="O331" s="3">
        <v>2507</v>
      </c>
      <c r="P331">
        <v>0</v>
      </c>
      <c r="Q331">
        <v>5</v>
      </c>
      <c r="R331" t="s">
        <v>33</v>
      </c>
      <c r="S331">
        <v>1</v>
      </c>
    </row>
    <row r="332" spans="1:19" ht="16.5" x14ac:dyDescent="0.3">
      <c r="A332" t="s">
        <v>382</v>
      </c>
      <c r="B332" s="1">
        <v>45327</v>
      </c>
      <c r="C332" s="1">
        <v>45338</v>
      </c>
      <c r="D332">
        <v>2024</v>
      </c>
      <c r="E332" t="s">
        <v>20</v>
      </c>
      <c r="F332" t="s">
        <v>351</v>
      </c>
      <c r="G332" t="s">
        <v>22</v>
      </c>
      <c r="H332" t="s">
        <v>50</v>
      </c>
      <c r="I332" t="s">
        <v>24</v>
      </c>
      <c r="J332" t="s">
        <v>25</v>
      </c>
      <c r="K332" t="s">
        <v>36</v>
      </c>
      <c r="L332" t="s">
        <v>44</v>
      </c>
      <c r="M332">
        <v>11</v>
      </c>
      <c r="N332" s="2">
        <v>43</v>
      </c>
      <c r="O332" s="3">
        <v>12432</v>
      </c>
      <c r="P332">
        <v>0</v>
      </c>
      <c r="Q332">
        <v>4</v>
      </c>
      <c r="R332" t="s">
        <v>33</v>
      </c>
      <c r="S332">
        <v>1</v>
      </c>
    </row>
    <row r="333" spans="1:19" ht="16.5" x14ac:dyDescent="0.3">
      <c r="A333" t="s">
        <v>383</v>
      </c>
      <c r="B333" s="1">
        <v>45327</v>
      </c>
      <c r="C333" s="1">
        <v>45328</v>
      </c>
      <c r="D333">
        <v>2024</v>
      </c>
      <c r="E333" t="s">
        <v>20</v>
      </c>
      <c r="F333" t="s">
        <v>351</v>
      </c>
      <c r="G333" t="s">
        <v>22</v>
      </c>
      <c r="H333" t="s">
        <v>50</v>
      </c>
      <c r="I333" t="s">
        <v>31</v>
      </c>
      <c r="J333" t="s">
        <v>43</v>
      </c>
      <c r="K333" t="s">
        <v>26</v>
      </c>
      <c r="L333" t="s">
        <v>37</v>
      </c>
      <c r="M333">
        <v>1</v>
      </c>
      <c r="N333" s="2"/>
      <c r="O333" s="3">
        <v>2181</v>
      </c>
      <c r="P333">
        <v>0</v>
      </c>
      <c r="Q333">
        <v>5</v>
      </c>
      <c r="R333" t="s">
        <v>33</v>
      </c>
      <c r="S333">
        <v>1</v>
      </c>
    </row>
    <row r="334" spans="1:19" ht="16.5" x14ac:dyDescent="0.3">
      <c r="A334" t="s">
        <v>384</v>
      </c>
      <c r="B334" s="1">
        <v>45327</v>
      </c>
      <c r="C334" s="1">
        <v>45328</v>
      </c>
      <c r="D334">
        <v>2024</v>
      </c>
      <c r="E334" t="s">
        <v>20</v>
      </c>
      <c r="F334" t="s">
        <v>351</v>
      </c>
      <c r="G334" t="s">
        <v>22</v>
      </c>
      <c r="H334" t="s">
        <v>39</v>
      </c>
      <c r="I334" t="s">
        <v>24</v>
      </c>
      <c r="J334" t="s">
        <v>43</v>
      </c>
      <c r="K334" t="s">
        <v>41</v>
      </c>
      <c r="L334" t="s">
        <v>44</v>
      </c>
      <c r="M334">
        <v>1</v>
      </c>
      <c r="N334" s="2">
        <v>89</v>
      </c>
      <c r="O334" s="3">
        <v>1465</v>
      </c>
      <c r="P334">
        <v>0</v>
      </c>
      <c r="Q334">
        <v>2</v>
      </c>
      <c r="R334" t="s">
        <v>59</v>
      </c>
      <c r="S334">
        <v>1</v>
      </c>
    </row>
    <row r="335" spans="1:19" ht="16.5" x14ac:dyDescent="0.3">
      <c r="A335" t="s">
        <v>385</v>
      </c>
      <c r="B335" s="1">
        <v>45327</v>
      </c>
      <c r="C335" s="1">
        <v>45328</v>
      </c>
      <c r="D335">
        <v>2024</v>
      </c>
      <c r="E335" t="s">
        <v>20</v>
      </c>
      <c r="F335" t="s">
        <v>351</v>
      </c>
      <c r="G335" t="s">
        <v>22</v>
      </c>
      <c r="H335" t="s">
        <v>50</v>
      </c>
      <c r="I335" t="s">
        <v>40</v>
      </c>
      <c r="J335" t="s">
        <v>25</v>
      </c>
      <c r="K335" t="s">
        <v>26</v>
      </c>
      <c r="L335" t="s">
        <v>44</v>
      </c>
      <c r="M335">
        <v>1</v>
      </c>
      <c r="N335" s="2"/>
      <c r="O335" s="3">
        <v>2006</v>
      </c>
      <c r="P335">
        <v>0</v>
      </c>
      <c r="Q335">
        <v>5</v>
      </c>
      <c r="R335" t="s">
        <v>165</v>
      </c>
      <c r="S335">
        <v>1</v>
      </c>
    </row>
    <row r="336" spans="1:19" ht="16.5" x14ac:dyDescent="0.3">
      <c r="A336" t="s">
        <v>386</v>
      </c>
      <c r="B336" s="1">
        <v>45327</v>
      </c>
      <c r="C336" s="1">
        <v>45329</v>
      </c>
      <c r="D336">
        <v>2024</v>
      </c>
      <c r="E336" t="s">
        <v>20</v>
      </c>
      <c r="F336" t="s">
        <v>351</v>
      </c>
      <c r="G336" t="s">
        <v>22</v>
      </c>
      <c r="H336" t="s">
        <v>50</v>
      </c>
      <c r="I336" t="s">
        <v>31</v>
      </c>
      <c r="J336" t="s">
        <v>25</v>
      </c>
      <c r="K336" t="s">
        <v>53</v>
      </c>
      <c r="L336" t="s">
        <v>27</v>
      </c>
      <c r="M336">
        <v>2</v>
      </c>
      <c r="N336" s="2"/>
      <c r="O336" s="3">
        <v>3265</v>
      </c>
      <c r="P336">
        <v>0</v>
      </c>
      <c r="Q336">
        <v>3</v>
      </c>
      <c r="R336" t="s">
        <v>33</v>
      </c>
      <c r="S336">
        <v>1</v>
      </c>
    </row>
    <row r="337" spans="1:19" ht="16.5" x14ac:dyDescent="0.3">
      <c r="A337" t="s">
        <v>387</v>
      </c>
      <c r="B337" s="1">
        <v>45327</v>
      </c>
      <c r="C337" s="1">
        <v>45329</v>
      </c>
      <c r="D337">
        <v>2024</v>
      </c>
      <c r="E337" t="s">
        <v>20</v>
      </c>
      <c r="F337" t="s">
        <v>351</v>
      </c>
      <c r="G337" t="s">
        <v>22</v>
      </c>
      <c r="H337" t="s">
        <v>23</v>
      </c>
      <c r="I337" t="s">
        <v>40</v>
      </c>
      <c r="J337" t="s">
        <v>43</v>
      </c>
      <c r="K337" t="s">
        <v>26</v>
      </c>
      <c r="L337" t="s">
        <v>44</v>
      </c>
      <c r="M337">
        <v>2</v>
      </c>
      <c r="N337" s="2"/>
      <c r="O337" s="3">
        <v>2133</v>
      </c>
      <c r="P337">
        <v>0</v>
      </c>
      <c r="Q337">
        <v>4</v>
      </c>
      <c r="R337" t="s">
        <v>33</v>
      </c>
      <c r="S337">
        <v>1</v>
      </c>
    </row>
    <row r="338" spans="1:19" ht="16.5" x14ac:dyDescent="0.3">
      <c r="A338" t="s">
        <v>388</v>
      </c>
      <c r="B338" s="1">
        <v>45327</v>
      </c>
      <c r="C338" s="1">
        <v>45331</v>
      </c>
      <c r="D338">
        <v>2024</v>
      </c>
      <c r="E338" t="s">
        <v>20</v>
      </c>
      <c r="F338" t="s">
        <v>351</v>
      </c>
      <c r="G338" t="s">
        <v>22</v>
      </c>
      <c r="H338" t="s">
        <v>35</v>
      </c>
      <c r="I338" t="s">
        <v>24</v>
      </c>
      <c r="J338" t="s">
        <v>25</v>
      </c>
      <c r="K338" t="s">
        <v>32</v>
      </c>
      <c r="L338" t="s">
        <v>27</v>
      </c>
      <c r="M338">
        <v>4</v>
      </c>
      <c r="N338" s="2">
        <v>66</v>
      </c>
      <c r="O338" s="3">
        <v>2815</v>
      </c>
      <c r="P338">
        <v>0</v>
      </c>
      <c r="Q338">
        <v>4</v>
      </c>
      <c r="R338" t="s">
        <v>33</v>
      </c>
      <c r="S338">
        <v>1</v>
      </c>
    </row>
    <row r="339" spans="1:19" ht="16.5" x14ac:dyDescent="0.3">
      <c r="A339" t="s">
        <v>389</v>
      </c>
      <c r="B339" s="1">
        <v>45327</v>
      </c>
      <c r="C339" s="1">
        <v>45328</v>
      </c>
      <c r="D339">
        <v>2024</v>
      </c>
      <c r="E339" t="s">
        <v>20</v>
      </c>
      <c r="F339" t="s">
        <v>351</v>
      </c>
      <c r="G339" t="s">
        <v>22</v>
      </c>
      <c r="H339" t="s">
        <v>39</v>
      </c>
      <c r="I339" t="s">
        <v>40</v>
      </c>
      <c r="J339" t="s">
        <v>25</v>
      </c>
      <c r="K339" t="s">
        <v>41</v>
      </c>
      <c r="L339" t="s">
        <v>44</v>
      </c>
      <c r="M339">
        <v>1</v>
      </c>
      <c r="N339" s="2"/>
      <c r="O339" s="3">
        <v>1457</v>
      </c>
      <c r="P339">
        <v>0</v>
      </c>
      <c r="Q339">
        <v>5</v>
      </c>
      <c r="R339" t="s">
        <v>33</v>
      </c>
      <c r="S339">
        <v>1</v>
      </c>
    </row>
    <row r="340" spans="1:19" ht="16.5" x14ac:dyDescent="0.3">
      <c r="A340" t="s">
        <v>390</v>
      </c>
      <c r="B340" s="1">
        <v>45328</v>
      </c>
      <c r="C340" s="1">
        <v>45329</v>
      </c>
      <c r="D340">
        <v>2024</v>
      </c>
      <c r="E340" t="s">
        <v>20</v>
      </c>
      <c r="F340" t="s">
        <v>351</v>
      </c>
      <c r="G340" t="s">
        <v>56</v>
      </c>
      <c r="H340" t="s">
        <v>39</v>
      </c>
      <c r="I340" t="s">
        <v>31</v>
      </c>
      <c r="J340" t="s">
        <v>43</v>
      </c>
      <c r="K340" t="s">
        <v>41</v>
      </c>
      <c r="L340" t="s">
        <v>27</v>
      </c>
      <c r="M340">
        <v>1</v>
      </c>
      <c r="N340" s="2"/>
      <c r="O340" s="3">
        <v>1392</v>
      </c>
      <c r="P340">
        <v>0</v>
      </c>
      <c r="Q340">
        <v>3</v>
      </c>
      <c r="R340" t="s">
        <v>33</v>
      </c>
      <c r="S340">
        <v>1</v>
      </c>
    </row>
    <row r="341" spans="1:19" ht="16.5" x14ac:dyDescent="0.3">
      <c r="A341" t="s">
        <v>391</v>
      </c>
      <c r="B341" s="1">
        <v>45328</v>
      </c>
      <c r="C341" s="1">
        <v>45330</v>
      </c>
      <c r="D341">
        <v>2024</v>
      </c>
      <c r="E341" t="s">
        <v>20</v>
      </c>
      <c r="F341" t="s">
        <v>351</v>
      </c>
      <c r="G341" t="s">
        <v>56</v>
      </c>
      <c r="H341" t="s">
        <v>39</v>
      </c>
      <c r="I341" t="s">
        <v>40</v>
      </c>
      <c r="J341" t="s">
        <v>43</v>
      </c>
      <c r="K341" t="s">
        <v>41</v>
      </c>
      <c r="L341" t="s">
        <v>27</v>
      </c>
      <c r="M341">
        <v>2</v>
      </c>
      <c r="N341" s="2"/>
      <c r="O341" s="3">
        <v>2100</v>
      </c>
      <c r="P341">
        <v>1</v>
      </c>
      <c r="Q341">
        <v>4</v>
      </c>
      <c r="R341" t="s">
        <v>33</v>
      </c>
      <c r="S341">
        <v>1</v>
      </c>
    </row>
    <row r="342" spans="1:19" ht="16.5" x14ac:dyDescent="0.3">
      <c r="A342" t="s">
        <v>392</v>
      </c>
      <c r="B342" s="1">
        <v>45328</v>
      </c>
      <c r="C342" s="1">
        <v>45331</v>
      </c>
      <c r="D342">
        <v>2024</v>
      </c>
      <c r="E342" t="s">
        <v>20</v>
      </c>
      <c r="F342" t="s">
        <v>351</v>
      </c>
      <c r="G342" t="s">
        <v>56</v>
      </c>
      <c r="H342" t="s">
        <v>39</v>
      </c>
      <c r="I342" t="s">
        <v>24</v>
      </c>
      <c r="J342" t="s">
        <v>25</v>
      </c>
      <c r="K342" t="s">
        <v>41</v>
      </c>
      <c r="L342" t="s">
        <v>27</v>
      </c>
      <c r="M342">
        <v>3</v>
      </c>
      <c r="N342" s="2">
        <v>51</v>
      </c>
      <c r="O342" s="3">
        <v>3122</v>
      </c>
      <c r="P342">
        <v>0</v>
      </c>
      <c r="Q342">
        <v>4</v>
      </c>
      <c r="R342" t="s">
        <v>28</v>
      </c>
      <c r="S342">
        <v>1</v>
      </c>
    </row>
    <row r="343" spans="1:19" ht="16.5" x14ac:dyDescent="0.3">
      <c r="A343" t="s">
        <v>393</v>
      </c>
      <c r="B343" s="1">
        <v>45328</v>
      </c>
      <c r="C343" s="1">
        <v>45338</v>
      </c>
      <c r="D343">
        <v>2024</v>
      </c>
      <c r="E343" t="s">
        <v>20</v>
      </c>
      <c r="F343" t="s">
        <v>351</v>
      </c>
      <c r="G343" t="s">
        <v>56</v>
      </c>
      <c r="H343" t="s">
        <v>23</v>
      </c>
      <c r="I343" t="s">
        <v>24</v>
      </c>
      <c r="J343" t="s">
        <v>43</v>
      </c>
      <c r="K343" t="s">
        <v>26</v>
      </c>
      <c r="L343" t="s">
        <v>44</v>
      </c>
      <c r="M343">
        <v>10</v>
      </c>
      <c r="N343" s="2">
        <v>156</v>
      </c>
      <c r="O343" s="3">
        <v>7328</v>
      </c>
      <c r="P343">
        <v>0</v>
      </c>
      <c r="Q343">
        <v>4</v>
      </c>
      <c r="R343" t="s">
        <v>28</v>
      </c>
      <c r="S343">
        <v>1</v>
      </c>
    </row>
    <row r="344" spans="1:19" ht="16.5" x14ac:dyDescent="0.3">
      <c r="A344" t="s">
        <v>394</v>
      </c>
      <c r="B344" s="1">
        <v>45328</v>
      </c>
      <c r="C344" s="1">
        <v>45330</v>
      </c>
      <c r="D344">
        <v>2024</v>
      </c>
      <c r="E344" t="s">
        <v>20</v>
      </c>
      <c r="F344" t="s">
        <v>351</v>
      </c>
      <c r="G344" t="s">
        <v>56</v>
      </c>
      <c r="H344" t="s">
        <v>23</v>
      </c>
      <c r="I344" t="s">
        <v>24</v>
      </c>
      <c r="J344" t="s">
        <v>43</v>
      </c>
      <c r="K344" t="s">
        <v>36</v>
      </c>
      <c r="L344" t="s">
        <v>44</v>
      </c>
      <c r="M344">
        <v>2</v>
      </c>
      <c r="N344" s="2">
        <v>14</v>
      </c>
      <c r="O344" s="3">
        <v>2522</v>
      </c>
      <c r="P344">
        <v>1</v>
      </c>
      <c r="Q344">
        <v>3</v>
      </c>
      <c r="R344" t="s">
        <v>28</v>
      </c>
      <c r="S344">
        <v>1</v>
      </c>
    </row>
    <row r="345" spans="1:19" ht="16.5" x14ac:dyDescent="0.3">
      <c r="A345" t="s">
        <v>395</v>
      </c>
      <c r="B345" s="1">
        <v>45328</v>
      </c>
      <c r="C345" s="1">
        <v>45335</v>
      </c>
      <c r="D345">
        <v>2024</v>
      </c>
      <c r="E345" t="s">
        <v>20</v>
      </c>
      <c r="F345" t="s">
        <v>351</v>
      </c>
      <c r="G345" t="s">
        <v>56</v>
      </c>
      <c r="H345" t="s">
        <v>50</v>
      </c>
      <c r="I345" t="s">
        <v>24</v>
      </c>
      <c r="J345" t="s">
        <v>43</v>
      </c>
      <c r="K345" t="s">
        <v>32</v>
      </c>
      <c r="L345" t="s">
        <v>44</v>
      </c>
      <c r="M345">
        <v>7</v>
      </c>
      <c r="N345" s="2">
        <v>10</v>
      </c>
      <c r="O345" s="3">
        <v>11148</v>
      </c>
      <c r="P345">
        <v>0</v>
      </c>
      <c r="Q345">
        <v>5</v>
      </c>
      <c r="R345" t="s">
        <v>33</v>
      </c>
      <c r="S345">
        <v>1</v>
      </c>
    </row>
    <row r="346" spans="1:19" ht="16.5" x14ac:dyDescent="0.3">
      <c r="A346" t="s">
        <v>396</v>
      </c>
      <c r="B346" s="1">
        <v>45328</v>
      </c>
      <c r="C346" s="1">
        <v>45330</v>
      </c>
      <c r="D346">
        <v>2024</v>
      </c>
      <c r="E346" t="s">
        <v>20</v>
      </c>
      <c r="F346" t="s">
        <v>351</v>
      </c>
      <c r="G346" t="s">
        <v>56</v>
      </c>
      <c r="H346" t="s">
        <v>39</v>
      </c>
      <c r="I346" t="s">
        <v>40</v>
      </c>
      <c r="J346" t="s">
        <v>25</v>
      </c>
      <c r="K346" t="s">
        <v>41</v>
      </c>
      <c r="L346" t="s">
        <v>27</v>
      </c>
      <c r="M346">
        <v>2</v>
      </c>
      <c r="N346" s="2"/>
      <c r="O346" s="3">
        <v>1521</v>
      </c>
      <c r="P346">
        <v>0</v>
      </c>
      <c r="Q346">
        <v>5</v>
      </c>
      <c r="R346" t="s">
        <v>28</v>
      </c>
      <c r="S346">
        <v>1</v>
      </c>
    </row>
    <row r="347" spans="1:19" ht="16.5" x14ac:dyDescent="0.3">
      <c r="A347" t="s">
        <v>397</v>
      </c>
      <c r="B347" s="1">
        <v>45328</v>
      </c>
      <c r="C347" s="1">
        <v>45336</v>
      </c>
      <c r="D347">
        <v>2024</v>
      </c>
      <c r="E347" t="s">
        <v>20</v>
      </c>
      <c r="F347" t="s">
        <v>351</v>
      </c>
      <c r="G347" t="s">
        <v>56</v>
      </c>
      <c r="H347" t="s">
        <v>52</v>
      </c>
      <c r="I347" t="s">
        <v>24</v>
      </c>
      <c r="J347" t="s">
        <v>43</v>
      </c>
      <c r="K347" t="s">
        <v>36</v>
      </c>
      <c r="L347" t="s">
        <v>37</v>
      </c>
      <c r="M347">
        <v>8</v>
      </c>
      <c r="N347" s="2">
        <v>68</v>
      </c>
      <c r="O347" s="3">
        <v>7359</v>
      </c>
      <c r="P347">
        <v>0</v>
      </c>
      <c r="Q347">
        <v>5</v>
      </c>
      <c r="R347" t="s">
        <v>33</v>
      </c>
      <c r="S347">
        <v>1</v>
      </c>
    </row>
    <row r="348" spans="1:19" ht="16.5" x14ac:dyDescent="0.3">
      <c r="A348" t="s">
        <v>398</v>
      </c>
      <c r="B348" s="1">
        <v>45328</v>
      </c>
      <c r="C348" s="1">
        <v>45330</v>
      </c>
      <c r="D348">
        <v>2024</v>
      </c>
      <c r="E348" t="s">
        <v>20</v>
      </c>
      <c r="F348" t="s">
        <v>351</v>
      </c>
      <c r="G348" t="s">
        <v>56</v>
      </c>
      <c r="H348" t="s">
        <v>52</v>
      </c>
      <c r="I348" t="s">
        <v>24</v>
      </c>
      <c r="J348" t="s">
        <v>25</v>
      </c>
      <c r="K348" t="s">
        <v>26</v>
      </c>
      <c r="L348" t="s">
        <v>27</v>
      </c>
      <c r="M348">
        <v>2</v>
      </c>
      <c r="N348" s="2">
        <v>70</v>
      </c>
      <c r="O348" s="3">
        <v>2274</v>
      </c>
      <c r="P348">
        <v>0</v>
      </c>
      <c r="Q348">
        <v>5</v>
      </c>
      <c r="R348" t="s">
        <v>33</v>
      </c>
      <c r="S348">
        <v>1</v>
      </c>
    </row>
    <row r="349" spans="1:19" ht="16.5" x14ac:dyDescent="0.3">
      <c r="A349" t="s">
        <v>399</v>
      </c>
      <c r="B349" s="1">
        <v>45328</v>
      </c>
      <c r="C349" s="1">
        <v>45329</v>
      </c>
      <c r="D349">
        <v>2024</v>
      </c>
      <c r="E349" t="s">
        <v>20</v>
      </c>
      <c r="F349" t="s">
        <v>351</v>
      </c>
      <c r="G349" t="s">
        <v>56</v>
      </c>
      <c r="H349" t="s">
        <v>50</v>
      </c>
      <c r="I349" t="s">
        <v>40</v>
      </c>
      <c r="J349" t="s">
        <v>43</v>
      </c>
      <c r="K349" t="s">
        <v>53</v>
      </c>
      <c r="L349" t="s">
        <v>27</v>
      </c>
      <c r="M349">
        <v>1</v>
      </c>
      <c r="N349" s="2"/>
      <c r="O349" s="3">
        <v>1807</v>
      </c>
      <c r="P349">
        <v>0</v>
      </c>
      <c r="Q349">
        <v>4</v>
      </c>
      <c r="R349" t="s">
        <v>33</v>
      </c>
      <c r="S349">
        <v>1</v>
      </c>
    </row>
    <row r="350" spans="1:19" ht="16.5" x14ac:dyDescent="0.3">
      <c r="A350" t="s">
        <v>400</v>
      </c>
      <c r="B350" s="1">
        <v>45328</v>
      </c>
      <c r="C350" s="1">
        <v>45335</v>
      </c>
      <c r="D350">
        <v>2024</v>
      </c>
      <c r="E350" t="s">
        <v>20</v>
      </c>
      <c r="F350" t="s">
        <v>351</v>
      </c>
      <c r="G350" t="s">
        <v>56</v>
      </c>
      <c r="H350" t="s">
        <v>30</v>
      </c>
      <c r="I350" t="s">
        <v>24</v>
      </c>
      <c r="J350" t="s">
        <v>43</v>
      </c>
      <c r="K350" t="s">
        <v>36</v>
      </c>
      <c r="L350" t="s">
        <v>27</v>
      </c>
      <c r="M350">
        <v>7</v>
      </c>
      <c r="N350" s="2">
        <v>82</v>
      </c>
      <c r="O350" s="3">
        <v>8423</v>
      </c>
      <c r="P350">
        <v>0</v>
      </c>
      <c r="Q350">
        <v>3</v>
      </c>
      <c r="R350" t="s">
        <v>33</v>
      </c>
      <c r="S350">
        <v>1</v>
      </c>
    </row>
    <row r="351" spans="1:19" ht="16.5" x14ac:dyDescent="0.3">
      <c r="A351" t="s">
        <v>401</v>
      </c>
      <c r="B351" s="1">
        <v>45328</v>
      </c>
      <c r="C351" s="1">
        <v>45333</v>
      </c>
      <c r="D351">
        <v>2024</v>
      </c>
      <c r="E351" t="s">
        <v>20</v>
      </c>
      <c r="F351" t="s">
        <v>351</v>
      </c>
      <c r="G351" t="s">
        <v>56</v>
      </c>
      <c r="H351" t="s">
        <v>30</v>
      </c>
      <c r="I351" t="s">
        <v>40</v>
      </c>
      <c r="J351" t="s">
        <v>25</v>
      </c>
      <c r="K351" t="s">
        <v>26</v>
      </c>
      <c r="L351" t="s">
        <v>27</v>
      </c>
      <c r="M351">
        <v>5</v>
      </c>
      <c r="N351" s="2"/>
      <c r="O351" s="3">
        <v>5285</v>
      </c>
      <c r="P351">
        <v>0</v>
      </c>
      <c r="Q351">
        <v>4</v>
      </c>
      <c r="R351" t="s">
        <v>28</v>
      </c>
      <c r="S351">
        <v>1</v>
      </c>
    </row>
    <row r="352" spans="1:19" ht="16.5" x14ac:dyDescent="0.3">
      <c r="A352" t="s">
        <v>402</v>
      </c>
      <c r="B352" s="1">
        <v>45329</v>
      </c>
      <c r="C352" s="1">
        <v>45335</v>
      </c>
      <c r="D352">
        <v>2024</v>
      </c>
      <c r="E352" t="s">
        <v>20</v>
      </c>
      <c r="F352" t="s">
        <v>351</v>
      </c>
      <c r="G352" t="s">
        <v>70</v>
      </c>
      <c r="H352" t="s">
        <v>23</v>
      </c>
      <c r="I352" t="s">
        <v>24</v>
      </c>
      <c r="J352" t="s">
        <v>43</v>
      </c>
      <c r="K352" t="s">
        <v>26</v>
      </c>
      <c r="L352" t="s">
        <v>44</v>
      </c>
      <c r="M352">
        <v>6</v>
      </c>
      <c r="N352" s="2">
        <v>167</v>
      </c>
      <c r="O352" s="3">
        <v>5344</v>
      </c>
      <c r="P352">
        <v>1</v>
      </c>
      <c r="Q352">
        <v>3</v>
      </c>
      <c r="R352" t="s">
        <v>33</v>
      </c>
      <c r="S352">
        <v>1</v>
      </c>
    </row>
    <row r="353" spans="1:19" ht="16.5" x14ac:dyDescent="0.3">
      <c r="A353" t="s">
        <v>403</v>
      </c>
      <c r="B353" s="1">
        <v>45329</v>
      </c>
      <c r="C353" s="1">
        <v>45336</v>
      </c>
      <c r="D353">
        <v>2024</v>
      </c>
      <c r="E353" t="s">
        <v>20</v>
      </c>
      <c r="F353" t="s">
        <v>351</v>
      </c>
      <c r="G353" t="s">
        <v>70</v>
      </c>
      <c r="H353" t="s">
        <v>23</v>
      </c>
      <c r="I353" t="s">
        <v>24</v>
      </c>
      <c r="J353" t="s">
        <v>25</v>
      </c>
      <c r="K353" t="s">
        <v>32</v>
      </c>
      <c r="L353" t="s">
        <v>44</v>
      </c>
      <c r="M353">
        <v>7</v>
      </c>
      <c r="N353" s="2">
        <v>85</v>
      </c>
      <c r="O353" s="3">
        <v>5692</v>
      </c>
      <c r="P353">
        <v>0</v>
      </c>
      <c r="Q353">
        <v>5</v>
      </c>
      <c r="R353" t="s">
        <v>33</v>
      </c>
      <c r="S353">
        <v>1</v>
      </c>
    </row>
    <row r="354" spans="1:19" ht="16.5" x14ac:dyDescent="0.3">
      <c r="A354" t="s">
        <v>404</v>
      </c>
      <c r="B354" s="1">
        <v>45329</v>
      </c>
      <c r="C354" s="1">
        <v>45330</v>
      </c>
      <c r="D354">
        <v>2024</v>
      </c>
      <c r="E354" t="s">
        <v>20</v>
      </c>
      <c r="F354" t="s">
        <v>351</v>
      </c>
      <c r="G354" t="s">
        <v>70</v>
      </c>
      <c r="H354" t="s">
        <v>39</v>
      </c>
      <c r="I354" t="s">
        <v>40</v>
      </c>
      <c r="J354" t="s">
        <v>43</v>
      </c>
      <c r="K354" t="s">
        <v>41</v>
      </c>
      <c r="L354" t="s">
        <v>27</v>
      </c>
      <c r="M354">
        <v>1</v>
      </c>
      <c r="N354" s="2"/>
      <c r="O354" s="3">
        <v>1397</v>
      </c>
      <c r="P354">
        <v>0</v>
      </c>
      <c r="Q354">
        <v>4</v>
      </c>
      <c r="R354" t="s">
        <v>28</v>
      </c>
      <c r="S354">
        <v>1</v>
      </c>
    </row>
    <row r="355" spans="1:19" ht="16.5" x14ac:dyDescent="0.3">
      <c r="A355" t="s">
        <v>405</v>
      </c>
      <c r="B355" s="1">
        <v>45329</v>
      </c>
      <c r="C355" s="1">
        <v>45343</v>
      </c>
      <c r="D355">
        <v>2024</v>
      </c>
      <c r="E355" t="s">
        <v>20</v>
      </c>
      <c r="F355" t="s">
        <v>351</v>
      </c>
      <c r="G355" t="s">
        <v>70</v>
      </c>
      <c r="H355" t="s">
        <v>50</v>
      </c>
      <c r="I355" t="s">
        <v>24</v>
      </c>
      <c r="J355" t="s">
        <v>25</v>
      </c>
      <c r="K355" t="s">
        <v>26</v>
      </c>
      <c r="L355" t="s">
        <v>44</v>
      </c>
      <c r="M355">
        <v>14</v>
      </c>
      <c r="N355" s="2">
        <v>40</v>
      </c>
      <c r="O355" s="3">
        <v>20913</v>
      </c>
      <c r="P355">
        <v>0</v>
      </c>
      <c r="Q355">
        <v>5</v>
      </c>
      <c r="R355" t="s">
        <v>33</v>
      </c>
      <c r="S355">
        <v>1</v>
      </c>
    </row>
    <row r="356" spans="1:19" ht="16.5" x14ac:dyDescent="0.3">
      <c r="A356" t="s">
        <v>406</v>
      </c>
      <c r="B356" s="1">
        <v>45329</v>
      </c>
      <c r="C356" s="1">
        <v>45335</v>
      </c>
      <c r="D356">
        <v>2024</v>
      </c>
      <c r="E356" t="s">
        <v>20</v>
      </c>
      <c r="F356" t="s">
        <v>351</v>
      </c>
      <c r="G356" t="s">
        <v>70</v>
      </c>
      <c r="H356" t="s">
        <v>35</v>
      </c>
      <c r="I356" t="s">
        <v>24</v>
      </c>
      <c r="J356" t="s">
        <v>25</v>
      </c>
      <c r="K356" t="s">
        <v>32</v>
      </c>
      <c r="L356" t="s">
        <v>27</v>
      </c>
      <c r="M356">
        <v>6</v>
      </c>
      <c r="N356" s="2">
        <v>115</v>
      </c>
      <c r="O356" s="3">
        <v>3342</v>
      </c>
      <c r="P356">
        <v>0</v>
      </c>
      <c r="Q356">
        <v>4</v>
      </c>
      <c r="R356" t="s">
        <v>28</v>
      </c>
      <c r="S356">
        <v>1</v>
      </c>
    </row>
    <row r="357" spans="1:19" ht="16.5" x14ac:dyDescent="0.3">
      <c r="A357" t="s">
        <v>407</v>
      </c>
      <c r="B357" s="1">
        <v>45329</v>
      </c>
      <c r="C357" s="1">
        <v>45334</v>
      </c>
      <c r="D357">
        <v>2024</v>
      </c>
      <c r="E357" t="s">
        <v>20</v>
      </c>
      <c r="F357" t="s">
        <v>351</v>
      </c>
      <c r="G357" t="s">
        <v>70</v>
      </c>
      <c r="H357" t="s">
        <v>50</v>
      </c>
      <c r="I357" t="s">
        <v>24</v>
      </c>
      <c r="J357" t="s">
        <v>43</v>
      </c>
      <c r="K357" t="s">
        <v>53</v>
      </c>
      <c r="L357" t="s">
        <v>44</v>
      </c>
      <c r="M357">
        <v>5</v>
      </c>
      <c r="N357" s="2">
        <v>71</v>
      </c>
      <c r="O357" s="3">
        <v>7152</v>
      </c>
      <c r="P357">
        <v>0</v>
      </c>
      <c r="Q357">
        <v>4</v>
      </c>
      <c r="R357" t="s">
        <v>28</v>
      </c>
      <c r="S357">
        <v>1</v>
      </c>
    </row>
    <row r="358" spans="1:19" ht="16.5" x14ac:dyDescent="0.3">
      <c r="A358" t="s">
        <v>408</v>
      </c>
      <c r="B358" s="1">
        <v>45329</v>
      </c>
      <c r="C358" s="1">
        <v>45330</v>
      </c>
      <c r="D358">
        <v>2024</v>
      </c>
      <c r="E358" t="s">
        <v>20</v>
      </c>
      <c r="F358" t="s">
        <v>351</v>
      </c>
      <c r="G358" t="s">
        <v>70</v>
      </c>
      <c r="H358" t="s">
        <v>35</v>
      </c>
      <c r="I358" t="s">
        <v>24</v>
      </c>
      <c r="J358" t="s">
        <v>25</v>
      </c>
      <c r="K358" t="s">
        <v>36</v>
      </c>
      <c r="L358" t="s">
        <v>44</v>
      </c>
      <c r="M358">
        <v>1</v>
      </c>
      <c r="N358" s="2">
        <v>45</v>
      </c>
      <c r="O358" s="3">
        <v>1551</v>
      </c>
      <c r="P358">
        <v>0</v>
      </c>
      <c r="Q358">
        <v>5</v>
      </c>
      <c r="R358" t="s">
        <v>33</v>
      </c>
      <c r="S358">
        <v>1</v>
      </c>
    </row>
    <row r="359" spans="1:19" ht="16.5" x14ac:dyDescent="0.3">
      <c r="A359" t="s">
        <v>409</v>
      </c>
      <c r="B359" s="1">
        <v>45329</v>
      </c>
      <c r="C359" s="1">
        <v>45332</v>
      </c>
      <c r="D359">
        <v>2024</v>
      </c>
      <c r="E359" t="s">
        <v>20</v>
      </c>
      <c r="F359" t="s">
        <v>351</v>
      </c>
      <c r="G359" t="s">
        <v>70</v>
      </c>
      <c r="H359" t="s">
        <v>50</v>
      </c>
      <c r="I359" t="s">
        <v>40</v>
      </c>
      <c r="J359" t="s">
        <v>43</v>
      </c>
      <c r="K359" t="s">
        <v>53</v>
      </c>
      <c r="L359" t="s">
        <v>27</v>
      </c>
      <c r="M359">
        <v>3</v>
      </c>
      <c r="N359" s="2"/>
      <c r="O359" s="3">
        <v>4650</v>
      </c>
      <c r="P359">
        <v>0</v>
      </c>
      <c r="Q359">
        <v>4</v>
      </c>
      <c r="R359" t="s">
        <v>28</v>
      </c>
      <c r="S359">
        <v>1</v>
      </c>
    </row>
    <row r="360" spans="1:19" ht="16.5" x14ac:dyDescent="0.3">
      <c r="A360" t="s">
        <v>410</v>
      </c>
      <c r="B360" s="1">
        <v>45329</v>
      </c>
      <c r="C360" s="1">
        <v>45334</v>
      </c>
      <c r="D360">
        <v>2024</v>
      </c>
      <c r="E360" t="s">
        <v>20</v>
      </c>
      <c r="F360" t="s">
        <v>351</v>
      </c>
      <c r="G360" t="s">
        <v>70</v>
      </c>
      <c r="H360" t="s">
        <v>23</v>
      </c>
      <c r="I360" t="s">
        <v>24</v>
      </c>
      <c r="J360" t="s">
        <v>25</v>
      </c>
      <c r="K360" t="s">
        <v>26</v>
      </c>
      <c r="L360" t="s">
        <v>44</v>
      </c>
      <c r="M360">
        <v>5</v>
      </c>
      <c r="N360" s="2">
        <v>93</v>
      </c>
      <c r="O360" s="3">
        <v>4682</v>
      </c>
      <c r="P360">
        <v>1</v>
      </c>
      <c r="Q360">
        <v>3</v>
      </c>
      <c r="R360" t="s">
        <v>33</v>
      </c>
      <c r="S360">
        <v>1</v>
      </c>
    </row>
    <row r="361" spans="1:19" ht="16.5" x14ac:dyDescent="0.3">
      <c r="A361" t="s">
        <v>411</v>
      </c>
      <c r="B361" s="1">
        <v>45329</v>
      </c>
      <c r="C361" s="1">
        <v>45331</v>
      </c>
      <c r="D361">
        <v>2024</v>
      </c>
      <c r="E361" t="s">
        <v>20</v>
      </c>
      <c r="F361" t="s">
        <v>351</v>
      </c>
      <c r="G361" t="s">
        <v>70</v>
      </c>
      <c r="H361" t="s">
        <v>52</v>
      </c>
      <c r="I361" t="s">
        <v>24</v>
      </c>
      <c r="J361" t="s">
        <v>43</v>
      </c>
      <c r="K361" t="s">
        <v>53</v>
      </c>
      <c r="L361" t="s">
        <v>44</v>
      </c>
      <c r="M361">
        <v>2</v>
      </c>
      <c r="N361" s="2">
        <v>51</v>
      </c>
      <c r="O361" s="3">
        <v>3042</v>
      </c>
      <c r="P361">
        <v>0</v>
      </c>
      <c r="Q361">
        <v>4</v>
      </c>
      <c r="R361" t="s">
        <v>33</v>
      </c>
      <c r="S361">
        <v>1</v>
      </c>
    </row>
    <row r="362" spans="1:19" ht="16.5" x14ac:dyDescent="0.3">
      <c r="A362" t="s">
        <v>412</v>
      </c>
      <c r="B362" s="1">
        <v>45329</v>
      </c>
      <c r="C362" s="1">
        <v>45336</v>
      </c>
      <c r="D362">
        <v>2024</v>
      </c>
      <c r="E362" t="s">
        <v>20</v>
      </c>
      <c r="F362" t="s">
        <v>351</v>
      </c>
      <c r="G362" t="s">
        <v>70</v>
      </c>
      <c r="H362" t="s">
        <v>23</v>
      </c>
      <c r="I362" t="s">
        <v>24</v>
      </c>
      <c r="J362" t="s">
        <v>43</v>
      </c>
      <c r="K362" t="s">
        <v>36</v>
      </c>
      <c r="L362" t="s">
        <v>27</v>
      </c>
      <c r="M362">
        <v>7</v>
      </c>
      <c r="N362" s="2">
        <v>57</v>
      </c>
      <c r="O362" s="3">
        <v>4873</v>
      </c>
      <c r="P362">
        <v>0</v>
      </c>
      <c r="Q362">
        <v>4</v>
      </c>
      <c r="R362" t="s">
        <v>33</v>
      </c>
      <c r="S362">
        <v>1</v>
      </c>
    </row>
    <row r="363" spans="1:19" ht="16.5" x14ac:dyDescent="0.3">
      <c r="A363" t="s">
        <v>413</v>
      </c>
      <c r="B363" s="1">
        <v>45330</v>
      </c>
      <c r="C363" s="1">
        <v>45332</v>
      </c>
      <c r="D363">
        <v>2024</v>
      </c>
      <c r="E363" t="s">
        <v>20</v>
      </c>
      <c r="F363" t="s">
        <v>351</v>
      </c>
      <c r="G363" t="s">
        <v>78</v>
      </c>
      <c r="H363" t="s">
        <v>23</v>
      </c>
      <c r="I363" t="s">
        <v>31</v>
      </c>
      <c r="J363" t="s">
        <v>43</v>
      </c>
      <c r="K363" t="s">
        <v>53</v>
      </c>
      <c r="L363" t="s">
        <v>37</v>
      </c>
      <c r="M363">
        <v>2</v>
      </c>
      <c r="N363" s="2"/>
      <c r="O363" s="3">
        <v>1912</v>
      </c>
      <c r="P363">
        <v>0</v>
      </c>
      <c r="Q363">
        <v>5</v>
      </c>
      <c r="R363" t="s">
        <v>28</v>
      </c>
      <c r="S363">
        <v>1</v>
      </c>
    </row>
    <row r="364" spans="1:19" ht="16.5" x14ac:dyDescent="0.3">
      <c r="A364" t="s">
        <v>414</v>
      </c>
      <c r="B364" s="1">
        <v>45330</v>
      </c>
      <c r="C364" s="1">
        <v>45331</v>
      </c>
      <c r="D364">
        <v>2024</v>
      </c>
      <c r="E364" t="s">
        <v>20</v>
      </c>
      <c r="F364" t="s">
        <v>351</v>
      </c>
      <c r="G364" t="s">
        <v>78</v>
      </c>
      <c r="H364" t="s">
        <v>30</v>
      </c>
      <c r="I364" t="s">
        <v>24</v>
      </c>
      <c r="J364" t="s">
        <v>25</v>
      </c>
      <c r="K364" t="s">
        <v>32</v>
      </c>
      <c r="L364" t="s">
        <v>44</v>
      </c>
      <c r="M364">
        <v>1</v>
      </c>
      <c r="N364" s="2">
        <v>31</v>
      </c>
      <c r="O364" s="3">
        <v>2184</v>
      </c>
      <c r="P364">
        <v>0</v>
      </c>
      <c r="Q364">
        <v>4</v>
      </c>
      <c r="R364" t="s">
        <v>28</v>
      </c>
      <c r="S364">
        <v>1</v>
      </c>
    </row>
    <row r="365" spans="1:19" ht="16.5" x14ac:dyDescent="0.3">
      <c r="A365" t="s">
        <v>415</v>
      </c>
      <c r="B365" s="1">
        <v>45330</v>
      </c>
      <c r="C365" s="1">
        <v>45332</v>
      </c>
      <c r="D365">
        <v>2024</v>
      </c>
      <c r="E365" t="s">
        <v>20</v>
      </c>
      <c r="F365" t="s">
        <v>351</v>
      </c>
      <c r="G365" t="s">
        <v>78</v>
      </c>
      <c r="H365" t="s">
        <v>30</v>
      </c>
      <c r="I365" t="s">
        <v>40</v>
      </c>
      <c r="J365" t="s">
        <v>43</v>
      </c>
      <c r="K365" t="s">
        <v>36</v>
      </c>
      <c r="L365" t="s">
        <v>44</v>
      </c>
      <c r="M365">
        <v>2</v>
      </c>
      <c r="N365" s="2"/>
      <c r="O365" s="3">
        <v>3217</v>
      </c>
      <c r="P365">
        <v>0</v>
      </c>
      <c r="Q365">
        <v>4</v>
      </c>
      <c r="R365" t="s">
        <v>33</v>
      </c>
      <c r="S365">
        <v>1</v>
      </c>
    </row>
    <row r="366" spans="1:19" ht="16.5" x14ac:dyDescent="0.3">
      <c r="A366" t="s">
        <v>416</v>
      </c>
      <c r="B366" s="1">
        <v>45330</v>
      </c>
      <c r="C366" s="1">
        <v>45332</v>
      </c>
      <c r="D366">
        <v>2024</v>
      </c>
      <c r="E366" t="s">
        <v>20</v>
      </c>
      <c r="F366" t="s">
        <v>351</v>
      </c>
      <c r="G366" t="s">
        <v>78</v>
      </c>
      <c r="H366" t="s">
        <v>23</v>
      </c>
      <c r="I366" t="s">
        <v>40</v>
      </c>
      <c r="J366" t="s">
        <v>43</v>
      </c>
      <c r="K366" t="s">
        <v>26</v>
      </c>
      <c r="L366" t="s">
        <v>37</v>
      </c>
      <c r="M366">
        <v>2</v>
      </c>
      <c r="N366" s="2"/>
      <c r="O366" s="3">
        <v>1946</v>
      </c>
      <c r="P366">
        <v>0</v>
      </c>
      <c r="Q366">
        <v>5</v>
      </c>
      <c r="R366" t="s">
        <v>28</v>
      </c>
      <c r="S366">
        <v>1</v>
      </c>
    </row>
    <row r="367" spans="1:19" ht="16.5" x14ac:dyDescent="0.3">
      <c r="A367" t="s">
        <v>417</v>
      </c>
      <c r="B367" s="1">
        <v>45330</v>
      </c>
      <c r="C367" s="1">
        <v>45335</v>
      </c>
      <c r="D367">
        <v>2024</v>
      </c>
      <c r="E367" t="s">
        <v>20</v>
      </c>
      <c r="F367" t="s">
        <v>351</v>
      </c>
      <c r="G367" t="s">
        <v>78</v>
      </c>
      <c r="H367" t="s">
        <v>23</v>
      </c>
      <c r="I367" t="s">
        <v>24</v>
      </c>
      <c r="J367" t="s">
        <v>25</v>
      </c>
      <c r="K367" t="s">
        <v>53</v>
      </c>
      <c r="L367" t="s">
        <v>44</v>
      </c>
      <c r="M367">
        <v>5</v>
      </c>
      <c r="N367" s="2">
        <v>86</v>
      </c>
      <c r="O367" s="3">
        <v>3764</v>
      </c>
      <c r="P367">
        <v>1</v>
      </c>
      <c r="Q367">
        <v>4</v>
      </c>
      <c r="R367" t="s">
        <v>33</v>
      </c>
      <c r="S367">
        <v>1</v>
      </c>
    </row>
    <row r="368" spans="1:19" ht="16.5" x14ac:dyDescent="0.3">
      <c r="A368" t="s">
        <v>418</v>
      </c>
      <c r="B368" s="1">
        <v>45330</v>
      </c>
      <c r="C368" s="1">
        <v>45339</v>
      </c>
      <c r="D368">
        <v>2024</v>
      </c>
      <c r="E368" t="s">
        <v>20</v>
      </c>
      <c r="F368" t="s">
        <v>351</v>
      </c>
      <c r="G368" t="s">
        <v>78</v>
      </c>
      <c r="H368" t="s">
        <v>23</v>
      </c>
      <c r="I368" t="s">
        <v>31</v>
      </c>
      <c r="J368" t="s">
        <v>43</v>
      </c>
      <c r="K368" t="s">
        <v>32</v>
      </c>
      <c r="L368" t="s">
        <v>44</v>
      </c>
      <c r="M368">
        <v>9</v>
      </c>
      <c r="N368" s="2"/>
      <c r="O368" s="3">
        <v>6345</v>
      </c>
      <c r="P368">
        <v>0</v>
      </c>
      <c r="Q368">
        <v>5</v>
      </c>
      <c r="R368" t="s">
        <v>33</v>
      </c>
      <c r="S368">
        <v>1</v>
      </c>
    </row>
    <row r="369" spans="1:19" ht="16.5" x14ac:dyDescent="0.3">
      <c r="A369" t="s">
        <v>419</v>
      </c>
      <c r="B369" s="1">
        <v>45330</v>
      </c>
      <c r="C369" s="1">
        <v>45333</v>
      </c>
      <c r="D369">
        <v>2024</v>
      </c>
      <c r="E369" t="s">
        <v>20</v>
      </c>
      <c r="F369" t="s">
        <v>351</v>
      </c>
      <c r="G369" t="s">
        <v>78</v>
      </c>
      <c r="H369" t="s">
        <v>39</v>
      </c>
      <c r="I369" t="s">
        <v>40</v>
      </c>
      <c r="J369" t="s">
        <v>43</v>
      </c>
      <c r="K369" t="s">
        <v>41</v>
      </c>
      <c r="L369" t="s">
        <v>44</v>
      </c>
      <c r="M369">
        <v>3</v>
      </c>
      <c r="N369" s="2"/>
      <c r="O369" s="3">
        <v>2508</v>
      </c>
      <c r="P369">
        <v>0</v>
      </c>
      <c r="Q369">
        <v>4</v>
      </c>
      <c r="R369" t="s">
        <v>33</v>
      </c>
      <c r="S369">
        <v>1</v>
      </c>
    </row>
    <row r="370" spans="1:19" ht="16.5" x14ac:dyDescent="0.3">
      <c r="A370" t="s">
        <v>420</v>
      </c>
      <c r="B370" s="1">
        <v>45330</v>
      </c>
      <c r="C370" s="1">
        <v>45334</v>
      </c>
      <c r="D370">
        <v>2024</v>
      </c>
      <c r="E370" t="s">
        <v>20</v>
      </c>
      <c r="F370" t="s">
        <v>351</v>
      </c>
      <c r="G370" t="s">
        <v>78</v>
      </c>
      <c r="H370" t="s">
        <v>30</v>
      </c>
      <c r="I370" t="s">
        <v>40</v>
      </c>
      <c r="J370" t="s">
        <v>43</v>
      </c>
      <c r="K370" t="s">
        <v>26</v>
      </c>
      <c r="L370" t="s">
        <v>27</v>
      </c>
      <c r="M370">
        <v>4</v>
      </c>
      <c r="N370" s="2"/>
      <c r="O370" s="3">
        <v>5058</v>
      </c>
      <c r="P370">
        <v>0</v>
      </c>
      <c r="Q370">
        <v>5</v>
      </c>
      <c r="R370" t="s">
        <v>33</v>
      </c>
      <c r="S370">
        <v>1</v>
      </c>
    </row>
    <row r="371" spans="1:19" ht="16.5" x14ac:dyDescent="0.3">
      <c r="A371" t="s">
        <v>421</v>
      </c>
      <c r="B371" s="1">
        <v>45330</v>
      </c>
      <c r="C371" s="1">
        <v>45337</v>
      </c>
      <c r="D371">
        <v>2024</v>
      </c>
      <c r="E371" t="s">
        <v>20</v>
      </c>
      <c r="F371" t="s">
        <v>351</v>
      </c>
      <c r="G371" t="s">
        <v>78</v>
      </c>
      <c r="H371" t="s">
        <v>39</v>
      </c>
      <c r="I371" t="s">
        <v>24</v>
      </c>
      <c r="J371" t="s">
        <v>43</v>
      </c>
      <c r="K371" t="s">
        <v>41</v>
      </c>
      <c r="L371" t="s">
        <v>44</v>
      </c>
      <c r="M371">
        <v>7</v>
      </c>
      <c r="N371" s="2">
        <v>44</v>
      </c>
      <c r="O371" s="3">
        <v>4456</v>
      </c>
      <c r="P371">
        <v>0</v>
      </c>
      <c r="Q371">
        <v>4</v>
      </c>
      <c r="R371" t="s">
        <v>28</v>
      </c>
      <c r="S371">
        <v>1</v>
      </c>
    </row>
    <row r="372" spans="1:19" ht="16.5" x14ac:dyDescent="0.3">
      <c r="A372" t="s">
        <v>422</v>
      </c>
      <c r="B372" s="1">
        <v>45330</v>
      </c>
      <c r="C372" s="1">
        <v>45332</v>
      </c>
      <c r="D372">
        <v>2024</v>
      </c>
      <c r="E372" t="s">
        <v>20</v>
      </c>
      <c r="F372" t="s">
        <v>351</v>
      </c>
      <c r="G372" t="s">
        <v>78</v>
      </c>
      <c r="H372" t="s">
        <v>30</v>
      </c>
      <c r="I372" t="s">
        <v>40</v>
      </c>
      <c r="J372" t="s">
        <v>43</v>
      </c>
      <c r="K372" t="s">
        <v>53</v>
      </c>
      <c r="L372" t="s">
        <v>27</v>
      </c>
      <c r="M372">
        <v>2</v>
      </c>
      <c r="N372" s="2"/>
      <c r="O372" s="3">
        <v>1676</v>
      </c>
      <c r="P372">
        <v>0</v>
      </c>
      <c r="Q372">
        <v>3</v>
      </c>
      <c r="R372" t="s">
        <v>33</v>
      </c>
      <c r="S372">
        <v>1</v>
      </c>
    </row>
    <row r="373" spans="1:19" ht="16.5" x14ac:dyDescent="0.3">
      <c r="A373" t="s">
        <v>423</v>
      </c>
      <c r="B373" s="1">
        <v>45330</v>
      </c>
      <c r="C373" s="1">
        <v>45332</v>
      </c>
      <c r="D373">
        <v>2024</v>
      </c>
      <c r="E373" t="s">
        <v>20</v>
      </c>
      <c r="F373" t="s">
        <v>351</v>
      </c>
      <c r="G373" t="s">
        <v>78</v>
      </c>
      <c r="H373" t="s">
        <v>39</v>
      </c>
      <c r="I373" t="s">
        <v>24</v>
      </c>
      <c r="J373" t="s">
        <v>43</v>
      </c>
      <c r="K373" t="s">
        <v>41</v>
      </c>
      <c r="L373" t="s">
        <v>44</v>
      </c>
      <c r="M373">
        <v>2</v>
      </c>
      <c r="N373" s="2">
        <v>110</v>
      </c>
      <c r="O373" s="3">
        <v>2169</v>
      </c>
      <c r="P373">
        <v>0</v>
      </c>
      <c r="Q373">
        <v>5</v>
      </c>
      <c r="R373" t="s">
        <v>28</v>
      </c>
      <c r="S373">
        <v>1</v>
      </c>
    </row>
    <row r="374" spans="1:19" ht="16.5" x14ac:dyDescent="0.3">
      <c r="A374" t="s">
        <v>424</v>
      </c>
      <c r="B374" s="1">
        <v>45330</v>
      </c>
      <c r="C374" s="1">
        <v>45336</v>
      </c>
      <c r="D374">
        <v>2024</v>
      </c>
      <c r="E374" t="s">
        <v>20</v>
      </c>
      <c r="F374" t="s">
        <v>351</v>
      </c>
      <c r="G374" t="s">
        <v>78</v>
      </c>
      <c r="H374" t="s">
        <v>39</v>
      </c>
      <c r="I374" t="s">
        <v>31</v>
      </c>
      <c r="J374" t="s">
        <v>43</v>
      </c>
      <c r="K374" t="s">
        <v>41</v>
      </c>
      <c r="L374" t="s">
        <v>27</v>
      </c>
      <c r="M374">
        <v>6</v>
      </c>
      <c r="N374" s="2"/>
      <c r="O374" s="3">
        <v>3509</v>
      </c>
      <c r="P374">
        <v>0</v>
      </c>
      <c r="Q374">
        <v>4</v>
      </c>
      <c r="R374" t="s">
        <v>33</v>
      </c>
      <c r="S374">
        <v>1</v>
      </c>
    </row>
    <row r="375" spans="1:19" ht="16.5" x14ac:dyDescent="0.3">
      <c r="A375" t="s">
        <v>425</v>
      </c>
      <c r="B375" s="1">
        <v>45330</v>
      </c>
      <c r="C375" s="1">
        <v>45333</v>
      </c>
      <c r="D375">
        <v>2024</v>
      </c>
      <c r="E375" t="s">
        <v>20</v>
      </c>
      <c r="F375" t="s">
        <v>351</v>
      </c>
      <c r="G375" t="s">
        <v>78</v>
      </c>
      <c r="H375" t="s">
        <v>52</v>
      </c>
      <c r="I375" t="s">
        <v>40</v>
      </c>
      <c r="J375" t="s">
        <v>43</v>
      </c>
      <c r="K375" t="s">
        <v>53</v>
      </c>
      <c r="L375" t="s">
        <v>44</v>
      </c>
      <c r="M375">
        <v>3</v>
      </c>
      <c r="N375" s="2"/>
      <c r="O375" s="3">
        <v>3715</v>
      </c>
      <c r="P375">
        <v>1</v>
      </c>
      <c r="Q375">
        <v>4</v>
      </c>
      <c r="R375" t="s">
        <v>33</v>
      </c>
      <c r="S375">
        <v>1</v>
      </c>
    </row>
    <row r="376" spans="1:19" ht="16.5" x14ac:dyDescent="0.3">
      <c r="A376" t="s">
        <v>426</v>
      </c>
      <c r="B376" s="1">
        <v>45331</v>
      </c>
      <c r="C376" s="1">
        <v>45332</v>
      </c>
      <c r="D376">
        <v>2024</v>
      </c>
      <c r="E376" t="s">
        <v>20</v>
      </c>
      <c r="F376" t="s">
        <v>351</v>
      </c>
      <c r="G376" t="s">
        <v>83</v>
      </c>
      <c r="H376" t="s">
        <v>39</v>
      </c>
      <c r="I376" t="s">
        <v>24</v>
      </c>
      <c r="J376" t="s">
        <v>25</v>
      </c>
      <c r="K376" t="s">
        <v>41</v>
      </c>
      <c r="L376" t="s">
        <v>27</v>
      </c>
      <c r="M376">
        <v>1</v>
      </c>
      <c r="N376" s="2">
        <v>15</v>
      </c>
      <c r="O376" s="3">
        <v>1448</v>
      </c>
      <c r="P376">
        <v>0</v>
      </c>
      <c r="Q376">
        <v>5</v>
      </c>
      <c r="R376" t="s">
        <v>28</v>
      </c>
      <c r="S376">
        <v>1</v>
      </c>
    </row>
    <row r="377" spans="1:19" ht="16.5" x14ac:dyDescent="0.3">
      <c r="A377" t="s">
        <v>427</v>
      </c>
      <c r="B377" s="1">
        <v>45331</v>
      </c>
      <c r="C377" s="1">
        <v>45333</v>
      </c>
      <c r="D377">
        <v>2024</v>
      </c>
      <c r="E377" t="s">
        <v>20</v>
      </c>
      <c r="F377" t="s">
        <v>351</v>
      </c>
      <c r="G377" t="s">
        <v>83</v>
      </c>
      <c r="H377" t="s">
        <v>35</v>
      </c>
      <c r="I377" t="s">
        <v>24</v>
      </c>
      <c r="J377" t="s">
        <v>25</v>
      </c>
      <c r="K377" t="s">
        <v>36</v>
      </c>
      <c r="L377" t="s">
        <v>37</v>
      </c>
      <c r="M377">
        <v>2</v>
      </c>
      <c r="N377" s="2">
        <v>93</v>
      </c>
      <c r="O377" s="3">
        <v>2472</v>
      </c>
      <c r="P377">
        <v>0</v>
      </c>
      <c r="Q377">
        <v>3</v>
      </c>
      <c r="R377" t="s">
        <v>33</v>
      </c>
      <c r="S377">
        <v>1</v>
      </c>
    </row>
    <row r="378" spans="1:19" ht="16.5" x14ac:dyDescent="0.3">
      <c r="A378" t="s">
        <v>428</v>
      </c>
      <c r="B378" s="1">
        <v>45331</v>
      </c>
      <c r="C378" s="1">
        <v>45337</v>
      </c>
      <c r="D378">
        <v>2024</v>
      </c>
      <c r="E378" t="s">
        <v>20</v>
      </c>
      <c r="F378" t="s">
        <v>351</v>
      </c>
      <c r="G378" t="s">
        <v>83</v>
      </c>
      <c r="H378" t="s">
        <v>23</v>
      </c>
      <c r="I378" t="s">
        <v>24</v>
      </c>
      <c r="J378" t="s">
        <v>43</v>
      </c>
      <c r="K378" t="s">
        <v>32</v>
      </c>
      <c r="L378" t="s">
        <v>27</v>
      </c>
      <c r="M378">
        <v>6</v>
      </c>
      <c r="N378" s="2">
        <v>24</v>
      </c>
      <c r="O378" s="3">
        <v>5155</v>
      </c>
      <c r="P378">
        <v>0</v>
      </c>
      <c r="Q378">
        <v>4</v>
      </c>
      <c r="R378" t="s">
        <v>33</v>
      </c>
      <c r="S378">
        <v>1</v>
      </c>
    </row>
    <row r="379" spans="1:19" ht="16.5" x14ac:dyDescent="0.3">
      <c r="A379" t="s">
        <v>429</v>
      </c>
      <c r="B379" s="1">
        <v>45331</v>
      </c>
      <c r="C379" s="1">
        <v>45336</v>
      </c>
      <c r="D379">
        <v>2024</v>
      </c>
      <c r="E379" t="s">
        <v>20</v>
      </c>
      <c r="F379" t="s">
        <v>351</v>
      </c>
      <c r="G379" t="s">
        <v>83</v>
      </c>
      <c r="H379" t="s">
        <v>39</v>
      </c>
      <c r="I379" t="s">
        <v>24</v>
      </c>
      <c r="J379" t="s">
        <v>25</v>
      </c>
      <c r="K379" t="s">
        <v>41</v>
      </c>
      <c r="L379" t="s">
        <v>44</v>
      </c>
      <c r="M379">
        <v>5</v>
      </c>
      <c r="N379" s="2">
        <v>72</v>
      </c>
      <c r="O379" s="3">
        <v>3362</v>
      </c>
      <c r="P379">
        <v>0</v>
      </c>
      <c r="Q379">
        <v>5</v>
      </c>
      <c r="R379" t="s">
        <v>33</v>
      </c>
      <c r="S379">
        <v>1</v>
      </c>
    </row>
    <row r="380" spans="1:19" ht="16.5" x14ac:dyDescent="0.3">
      <c r="A380" t="s">
        <v>430</v>
      </c>
      <c r="B380" s="1">
        <v>45331</v>
      </c>
      <c r="C380" s="1">
        <v>45335</v>
      </c>
      <c r="D380">
        <v>2024</v>
      </c>
      <c r="E380" t="s">
        <v>20</v>
      </c>
      <c r="F380" t="s">
        <v>351</v>
      </c>
      <c r="G380" t="s">
        <v>83</v>
      </c>
      <c r="H380" t="s">
        <v>50</v>
      </c>
      <c r="I380" t="s">
        <v>24</v>
      </c>
      <c r="J380" t="s">
        <v>43</v>
      </c>
      <c r="K380" t="s">
        <v>53</v>
      </c>
      <c r="L380" t="s">
        <v>27</v>
      </c>
      <c r="M380">
        <v>4</v>
      </c>
      <c r="N380" s="2">
        <v>166</v>
      </c>
      <c r="O380" s="3">
        <v>6230</v>
      </c>
      <c r="P380">
        <v>0</v>
      </c>
      <c r="Q380">
        <v>3</v>
      </c>
      <c r="R380" t="s">
        <v>33</v>
      </c>
      <c r="S380">
        <v>1</v>
      </c>
    </row>
    <row r="381" spans="1:19" ht="16.5" x14ac:dyDescent="0.3">
      <c r="A381" t="s">
        <v>431</v>
      </c>
      <c r="B381" s="1">
        <v>45331</v>
      </c>
      <c r="C381" s="1">
        <v>45336</v>
      </c>
      <c r="D381">
        <v>2024</v>
      </c>
      <c r="E381" t="s">
        <v>20</v>
      </c>
      <c r="F381" t="s">
        <v>351</v>
      </c>
      <c r="G381" t="s">
        <v>83</v>
      </c>
      <c r="H381" t="s">
        <v>23</v>
      </c>
      <c r="I381" t="s">
        <v>40</v>
      </c>
      <c r="J381" t="s">
        <v>25</v>
      </c>
      <c r="K381" t="s">
        <v>32</v>
      </c>
      <c r="L381" t="s">
        <v>27</v>
      </c>
      <c r="M381">
        <v>5</v>
      </c>
      <c r="N381" s="2"/>
      <c r="O381" s="3">
        <v>3317</v>
      </c>
      <c r="P381">
        <v>0</v>
      </c>
      <c r="Q381">
        <v>5</v>
      </c>
      <c r="R381" t="s">
        <v>28</v>
      </c>
      <c r="S381">
        <v>1</v>
      </c>
    </row>
    <row r="382" spans="1:19" ht="16.5" x14ac:dyDescent="0.3">
      <c r="A382" t="s">
        <v>432</v>
      </c>
      <c r="B382" s="1">
        <v>45331</v>
      </c>
      <c r="C382" s="1">
        <v>45336</v>
      </c>
      <c r="D382">
        <v>2024</v>
      </c>
      <c r="E382" t="s">
        <v>20</v>
      </c>
      <c r="F382" t="s">
        <v>351</v>
      </c>
      <c r="G382" t="s">
        <v>83</v>
      </c>
      <c r="H382" t="s">
        <v>35</v>
      </c>
      <c r="I382" t="s">
        <v>24</v>
      </c>
      <c r="J382" t="s">
        <v>25</v>
      </c>
      <c r="K382" t="s">
        <v>36</v>
      </c>
      <c r="L382" t="s">
        <v>27</v>
      </c>
      <c r="M382">
        <v>5</v>
      </c>
      <c r="N382" s="2">
        <v>83</v>
      </c>
      <c r="O382" s="3">
        <v>3695</v>
      </c>
      <c r="P382">
        <v>0</v>
      </c>
      <c r="Q382">
        <v>5</v>
      </c>
      <c r="R382" t="s">
        <v>33</v>
      </c>
      <c r="S382">
        <v>1</v>
      </c>
    </row>
    <row r="383" spans="1:19" ht="16.5" x14ac:dyDescent="0.3">
      <c r="A383" t="s">
        <v>433</v>
      </c>
      <c r="B383" s="1">
        <v>45331</v>
      </c>
      <c r="C383" s="1">
        <v>45332</v>
      </c>
      <c r="D383">
        <v>2024</v>
      </c>
      <c r="E383" t="s">
        <v>20</v>
      </c>
      <c r="F383" t="s">
        <v>351</v>
      </c>
      <c r="G383" t="s">
        <v>83</v>
      </c>
      <c r="H383" t="s">
        <v>39</v>
      </c>
      <c r="I383" t="s">
        <v>40</v>
      </c>
      <c r="J383" t="s">
        <v>43</v>
      </c>
      <c r="K383" t="s">
        <v>41</v>
      </c>
      <c r="L383" t="s">
        <v>37</v>
      </c>
      <c r="M383">
        <v>1</v>
      </c>
      <c r="N383" s="2"/>
      <c r="O383" s="3">
        <v>1403</v>
      </c>
      <c r="P383">
        <v>0</v>
      </c>
      <c r="Q383">
        <v>4</v>
      </c>
      <c r="R383" t="s">
        <v>33</v>
      </c>
      <c r="S383">
        <v>1</v>
      </c>
    </row>
    <row r="384" spans="1:19" ht="16.5" x14ac:dyDescent="0.3">
      <c r="A384" t="s">
        <v>434</v>
      </c>
      <c r="B384" s="1">
        <v>45331</v>
      </c>
      <c r="C384" s="1">
        <v>45335</v>
      </c>
      <c r="D384">
        <v>2024</v>
      </c>
      <c r="E384" t="s">
        <v>20</v>
      </c>
      <c r="F384" t="s">
        <v>351</v>
      </c>
      <c r="G384" t="s">
        <v>83</v>
      </c>
      <c r="H384" t="s">
        <v>35</v>
      </c>
      <c r="I384" t="s">
        <v>24</v>
      </c>
      <c r="J384" t="s">
        <v>25</v>
      </c>
      <c r="K384" t="s">
        <v>32</v>
      </c>
      <c r="L384" t="s">
        <v>27</v>
      </c>
      <c r="M384">
        <v>4</v>
      </c>
      <c r="N384" s="2">
        <v>45</v>
      </c>
      <c r="O384" s="3">
        <v>3855</v>
      </c>
      <c r="P384">
        <v>0</v>
      </c>
      <c r="Q384">
        <v>5</v>
      </c>
      <c r="R384" t="s">
        <v>33</v>
      </c>
      <c r="S384">
        <v>1</v>
      </c>
    </row>
    <row r="385" spans="1:19" ht="16.5" x14ac:dyDescent="0.3">
      <c r="A385" t="s">
        <v>435</v>
      </c>
      <c r="B385" s="1">
        <v>45331</v>
      </c>
      <c r="C385" s="1">
        <v>45334</v>
      </c>
      <c r="D385">
        <v>2024</v>
      </c>
      <c r="E385" t="s">
        <v>20</v>
      </c>
      <c r="F385" t="s">
        <v>351</v>
      </c>
      <c r="G385" t="s">
        <v>83</v>
      </c>
      <c r="H385" t="s">
        <v>39</v>
      </c>
      <c r="I385" t="s">
        <v>24</v>
      </c>
      <c r="J385" t="s">
        <v>25</v>
      </c>
      <c r="K385" t="s">
        <v>41</v>
      </c>
      <c r="L385" t="s">
        <v>44</v>
      </c>
      <c r="M385">
        <v>3</v>
      </c>
      <c r="N385" s="2">
        <v>107</v>
      </c>
      <c r="O385" s="3">
        <v>3026</v>
      </c>
      <c r="P385">
        <v>0</v>
      </c>
      <c r="Q385">
        <v>3</v>
      </c>
      <c r="R385" t="s">
        <v>28</v>
      </c>
      <c r="S385">
        <v>1</v>
      </c>
    </row>
    <row r="386" spans="1:19" ht="16.5" x14ac:dyDescent="0.3">
      <c r="A386" t="s">
        <v>436</v>
      </c>
      <c r="B386" s="1">
        <v>45332</v>
      </c>
      <c r="C386" s="1">
        <v>45338</v>
      </c>
      <c r="D386">
        <v>2024</v>
      </c>
      <c r="E386" t="s">
        <v>20</v>
      </c>
      <c r="F386" t="s">
        <v>351</v>
      </c>
      <c r="G386" t="s">
        <v>102</v>
      </c>
      <c r="H386" t="s">
        <v>50</v>
      </c>
      <c r="I386" t="s">
        <v>24</v>
      </c>
      <c r="J386" t="s">
        <v>43</v>
      </c>
      <c r="K386" t="s">
        <v>26</v>
      </c>
      <c r="L386" t="s">
        <v>44</v>
      </c>
      <c r="M386">
        <v>6</v>
      </c>
      <c r="N386" s="2">
        <v>93</v>
      </c>
      <c r="O386" s="3">
        <v>8051</v>
      </c>
      <c r="P386">
        <v>0</v>
      </c>
      <c r="Q386">
        <v>3</v>
      </c>
      <c r="R386" t="s">
        <v>59</v>
      </c>
      <c r="S386">
        <v>1</v>
      </c>
    </row>
    <row r="387" spans="1:19" ht="16.5" x14ac:dyDescent="0.3">
      <c r="A387" t="s">
        <v>437</v>
      </c>
      <c r="B387" s="1">
        <v>45332</v>
      </c>
      <c r="C387" s="1">
        <v>45333</v>
      </c>
      <c r="D387">
        <v>2024</v>
      </c>
      <c r="E387" t="s">
        <v>20</v>
      </c>
      <c r="F387" t="s">
        <v>351</v>
      </c>
      <c r="G387" t="s">
        <v>102</v>
      </c>
      <c r="H387" t="s">
        <v>39</v>
      </c>
      <c r="I387" t="s">
        <v>24</v>
      </c>
      <c r="J387" t="s">
        <v>43</v>
      </c>
      <c r="K387" t="s">
        <v>41</v>
      </c>
      <c r="L387" t="s">
        <v>27</v>
      </c>
      <c r="M387">
        <v>1</v>
      </c>
      <c r="N387" s="2">
        <v>45</v>
      </c>
      <c r="O387" s="3">
        <v>1172</v>
      </c>
      <c r="P387">
        <v>0</v>
      </c>
      <c r="Q387">
        <v>5</v>
      </c>
      <c r="R387" t="s">
        <v>33</v>
      </c>
      <c r="S387">
        <v>1</v>
      </c>
    </row>
    <row r="388" spans="1:19" ht="16.5" x14ac:dyDescent="0.3">
      <c r="A388" t="s">
        <v>438</v>
      </c>
      <c r="B388" s="1">
        <v>45332</v>
      </c>
      <c r="C388" s="1">
        <v>45337</v>
      </c>
      <c r="D388">
        <v>2024</v>
      </c>
      <c r="E388" t="s">
        <v>20</v>
      </c>
      <c r="F388" t="s">
        <v>351</v>
      </c>
      <c r="G388" t="s">
        <v>102</v>
      </c>
      <c r="H388" t="s">
        <v>30</v>
      </c>
      <c r="I388" t="s">
        <v>40</v>
      </c>
      <c r="J388" t="s">
        <v>43</v>
      </c>
      <c r="K388" t="s">
        <v>26</v>
      </c>
      <c r="L388" t="s">
        <v>44</v>
      </c>
      <c r="M388">
        <v>5</v>
      </c>
      <c r="N388" s="2"/>
      <c r="O388" s="3">
        <v>5643</v>
      </c>
      <c r="P388">
        <v>0</v>
      </c>
      <c r="Q388">
        <v>4</v>
      </c>
      <c r="R388" t="s">
        <v>33</v>
      </c>
      <c r="S388">
        <v>1</v>
      </c>
    </row>
    <row r="389" spans="1:19" ht="16.5" x14ac:dyDescent="0.3">
      <c r="A389" t="s">
        <v>439</v>
      </c>
      <c r="B389" s="1">
        <v>45332</v>
      </c>
      <c r="C389" s="1">
        <v>45341</v>
      </c>
      <c r="D389">
        <v>2024</v>
      </c>
      <c r="E389" t="s">
        <v>20</v>
      </c>
      <c r="F389" t="s">
        <v>351</v>
      </c>
      <c r="G389" t="s">
        <v>102</v>
      </c>
      <c r="H389" t="s">
        <v>39</v>
      </c>
      <c r="I389" t="s">
        <v>24</v>
      </c>
      <c r="J389" t="s">
        <v>25</v>
      </c>
      <c r="K389" t="s">
        <v>41</v>
      </c>
      <c r="L389" t="s">
        <v>27</v>
      </c>
      <c r="M389">
        <v>9</v>
      </c>
      <c r="N389" s="2">
        <v>128</v>
      </c>
      <c r="O389" s="3">
        <v>4918</v>
      </c>
      <c r="P389">
        <v>0</v>
      </c>
      <c r="Q389">
        <v>3</v>
      </c>
      <c r="R389" t="s">
        <v>59</v>
      </c>
      <c r="S389">
        <v>1</v>
      </c>
    </row>
    <row r="390" spans="1:19" ht="16.5" x14ac:dyDescent="0.3">
      <c r="A390" t="s">
        <v>440</v>
      </c>
      <c r="B390" s="1">
        <v>45332</v>
      </c>
      <c r="C390" s="1">
        <v>45339</v>
      </c>
      <c r="D390">
        <v>2024</v>
      </c>
      <c r="E390" t="s">
        <v>20</v>
      </c>
      <c r="F390" t="s">
        <v>351</v>
      </c>
      <c r="G390" t="s">
        <v>102</v>
      </c>
      <c r="H390" t="s">
        <v>23</v>
      </c>
      <c r="I390" t="s">
        <v>24</v>
      </c>
      <c r="J390" t="s">
        <v>43</v>
      </c>
      <c r="K390" t="s">
        <v>26</v>
      </c>
      <c r="L390" t="s">
        <v>27</v>
      </c>
      <c r="M390">
        <v>7</v>
      </c>
      <c r="N390" s="2">
        <v>43</v>
      </c>
      <c r="O390" s="3">
        <v>4468</v>
      </c>
      <c r="P390">
        <v>0</v>
      </c>
      <c r="Q390">
        <v>4</v>
      </c>
      <c r="R390" t="s">
        <v>33</v>
      </c>
      <c r="S390">
        <v>1</v>
      </c>
    </row>
    <row r="391" spans="1:19" ht="16.5" x14ac:dyDescent="0.3">
      <c r="A391" t="s">
        <v>441</v>
      </c>
      <c r="B391" s="1">
        <v>45333</v>
      </c>
      <c r="C391" s="1">
        <v>45340</v>
      </c>
      <c r="D391">
        <v>2024</v>
      </c>
      <c r="E391" t="s">
        <v>20</v>
      </c>
      <c r="F391" t="s">
        <v>351</v>
      </c>
      <c r="G391" t="s">
        <v>112</v>
      </c>
      <c r="H391" t="s">
        <v>30</v>
      </c>
      <c r="I391" t="s">
        <v>24</v>
      </c>
      <c r="J391" t="s">
        <v>43</v>
      </c>
      <c r="K391" t="s">
        <v>26</v>
      </c>
      <c r="L391" t="s">
        <v>27</v>
      </c>
      <c r="M391">
        <v>7</v>
      </c>
      <c r="N391" s="2">
        <v>66</v>
      </c>
      <c r="O391" s="3">
        <v>8113</v>
      </c>
      <c r="P391">
        <v>0</v>
      </c>
      <c r="Q391">
        <v>5</v>
      </c>
      <c r="R391" t="s">
        <v>33</v>
      </c>
      <c r="S391">
        <v>1</v>
      </c>
    </row>
    <row r="392" spans="1:19" ht="16.5" x14ac:dyDescent="0.3">
      <c r="A392" t="s">
        <v>442</v>
      </c>
      <c r="B392" s="1">
        <v>45333</v>
      </c>
      <c r="C392" s="1">
        <v>45334</v>
      </c>
      <c r="D392">
        <v>2024</v>
      </c>
      <c r="E392" t="s">
        <v>20</v>
      </c>
      <c r="F392" t="s">
        <v>351</v>
      </c>
      <c r="G392" t="s">
        <v>112</v>
      </c>
      <c r="H392" t="s">
        <v>23</v>
      </c>
      <c r="I392" t="s">
        <v>24</v>
      </c>
      <c r="J392" t="s">
        <v>25</v>
      </c>
      <c r="K392" t="s">
        <v>26</v>
      </c>
      <c r="L392" t="s">
        <v>44</v>
      </c>
      <c r="M392">
        <v>1</v>
      </c>
      <c r="N392" s="2">
        <v>97</v>
      </c>
      <c r="O392" s="3">
        <v>1519</v>
      </c>
      <c r="P392">
        <v>1</v>
      </c>
      <c r="Q392">
        <v>3</v>
      </c>
      <c r="R392" t="s">
        <v>33</v>
      </c>
      <c r="S392">
        <v>1</v>
      </c>
    </row>
    <row r="393" spans="1:19" ht="16.5" x14ac:dyDescent="0.3">
      <c r="A393" t="s">
        <v>443</v>
      </c>
      <c r="B393" s="1">
        <v>45333</v>
      </c>
      <c r="C393" s="1">
        <v>45340</v>
      </c>
      <c r="D393">
        <v>2024</v>
      </c>
      <c r="E393" t="s">
        <v>20</v>
      </c>
      <c r="F393" t="s">
        <v>351</v>
      </c>
      <c r="G393" t="s">
        <v>112</v>
      </c>
      <c r="H393" t="s">
        <v>50</v>
      </c>
      <c r="I393" t="s">
        <v>24</v>
      </c>
      <c r="J393" t="s">
        <v>43</v>
      </c>
      <c r="K393" t="s">
        <v>53</v>
      </c>
      <c r="L393" t="s">
        <v>44</v>
      </c>
      <c r="M393">
        <v>7</v>
      </c>
      <c r="N393" s="2">
        <v>100</v>
      </c>
      <c r="O393" s="3">
        <v>7535</v>
      </c>
      <c r="P393">
        <v>1</v>
      </c>
      <c r="Q393">
        <v>2</v>
      </c>
      <c r="R393" t="s">
        <v>165</v>
      </c>
      <c r="S393">
        <v>1</v>
      </c>
    </row>
    <row r="394" spans="1:19" ht="16.5" x14ac:dyDescent="0.3">
      <c r="A394" t="s">
        <v>444</v>
      </c>
      <c r="B394" s="1">
        <v>45333</v>
      </c>
      <c r="C394" s="1">
        <v>45335</v>
      </c>
      <c r="D394">
        <v>2024</v>
      </c>
      <c r="E394" t="s">
        <v>20</v>
      </c>
      <c r="F394" t="s">
        <v>351</v>
      </c>
      <c r="G394" t="s">
        <v>112</v>
      </c>
      <c r="H394" t="s">
        <v>50</v>
      </c>
      <c r="I394" t="s">
        <v>24</v>
      </c>
      <c r="J394" t="s">
        <v>43</v>
      </c>
      <c r="K394" t="s">
        <v>53</v>
      </c>
      <c r="L394" t="s">
        <v>44</v>
      </c>
      <c r="M394">
        <v>2</v>
      </c>
      <c r="N394" s="2">
        <v>159</v>
      </c>
      <c r="O394" s="3">
        <v>3474</v>
      </c>
      <c r="P394">
        <v>1</v>
      </c>
      <c r="Q394">
        <v>3</v>
      </c>
      <c r="R394" t="s">
        <v>28</v>
      </c>
      <c r="S394">
        <v>1</v>
      </c>
    </row>
    <row r="395" spans="1:19" ht="16.5" x14ac:dyDescent="0.3">
      <c r="A395" t="s">
        <v>445</v>
      </c>
      <c r="B395" s="1">
        <v>45333</v>
      </c>
      <c r="C395" s="1">
        <v>45337</v>
      </c>
      <c r="D395">
        <v>2024</v>
      </c>
      <c r="E395" t="s">
        <v>20</v>
      </c>
      <c r="F395" t="s">
        <v>351</v>
      </c>
      <c r="G395" t="s">
        <v>112</v>
      </c>
      <c r="H395" t="s">
        <v>23</v>
      </c>
      <c r="I395" t="s">
        <v>24</v>
      </c>
      <c r="J395" t="s">
        <v>43</v>
      </c>
      <c r="K395" t="s">
        <v>26</v>
      </c>
      <c r="L395" t="s">
        <v>37</v>
      </c>
      <c r="M395">
        <v>4</v>
      </c>
      <c r="N395" s="2">
        <v>72</v>
      </c>
      <c r="O395" s="3">
        <v>3528</v>
      </c>
      <c r="P395">
        <v>0</v>
      </c>
      <c r="Q395">
        <v>4</v>
      </c>
      <c r="R395" t="s">
        <v>33</v>
      </c>
      <c r="S395">
        <v>1</v>
      </c>
    </row>
    <row r="396" spans="1:19" ht="16.5" x14ac:dyDescent="0.3">
      <c r="A396" t="s">
        <v>446</v>
      </c>
      <c r="B396" s="1">
        <v>45333</v>
      </c>
      <c r="C396" s="1">
        <v>45338</v>
      </c>
      <c r="D396">
        <v>2024</v>
      </c>
      <c r="E396" t="s">
        <v>20</v>
      </c>
      <c r="F396" t="s">
        <v>351</v>
      </c>
      <c r="G396" t="s">
        <v>112</v>
      </c>
      <c r="H396" t="s">
        <v>50</v>
      </c>
      <c r="I396" t="s">
        <v>24</v>
      </c>
      <c r="J396" t="s">
        <v>25</v>
      </c>
      <c r="K396" t="s">
        <v>36</v>
      </c>
      <c r="L396" t="s">
        <v>44</v>
      </c>
      <c r="M396">
        <v>5</v>
      </c>
      <c r="N396" s="2">
        <v>46</v>
      </c>
      <c r="O396" s="3">
        <v>4921</v>
      </c>
      <c r="P396">
        <v>0</v>
      </c>
      <c r="Q396">
        <v>4</v>
      </c>
      <c r="R396" t="s">
        <v>33</v>
      </c>
      <c r="S396">
        <v>1</v>
      </c>
    </row>
    <row r="397" spans="1:19" ht="16.5" x14ac:dyDescent="0.3">
      <c r="A397" t="s">
        <v>447</v>
      </c>
      <c r="B397" s="1">
        <v>45333</v>
      </c>
      <c r="C397" s="1">
        <v>45345</v>
      </c>
      <c r="D397">
        <v>2024</v>
      </c>
      <c r="E397" t="s">
        <v>20</v>
      </c>
      <c r="F397" t="s">
        <v>351</v>
      </c>
      <c r="G397" t="s">
        <v>112</v>
      </c>
      <c r="H397" t="s">
        <v>23</v>
      </c>
      <c r="I397" t="s">
        <v>24</v>
      </c>
      <c r="J397" t="s">
        <v>43</v>
      </c>
      <c r="K397" t="s">
        <v>26</v>
      </c>
      <c r="L397" t="s">
        <v>44</v>
      </c>
      <c r="M397">
        <v>12</v>
      </c>
      <c r="N397" s="2">
        <v>111</v>
      </c>
      <c r="O397" s="3">
        <v>5786</v>
      </c>
      <c r="P397">
        <v>0</v>
      </c>
      <c r="Q397">
        <v>4</v>
      </c>
      <c r="R397" t="s">
        <v>28</v>
      </c>
      <c r="S397">
        <v>1</v>
      </c>
    </row>
    <row r="398" spans="1:19" ht="16.5" x14ac:dyDescent="0.3">
      <c r="A398" t="s">
        <v>448</v>
      </c>
      <c r="B398" s="1">
        <v>45333</v>
      </c>
      <c r="C398" s="1">
        <v>45337</v>
      </c>
      <c r="D398">
        <v>2024</v>
      </c>
      <c r="E398" t="s">
        <v>20</v>
      </c>
      <c r="F398" t="s">
        <v>351</v>
      </c>
      <c r="G398" t="s">
        <v>112</v>
      </c>
      <c r="H398" t="s">
        <v>23</v>
      </c>
      <c r="I398" t="s">
        <v>31</v>
      </c>
      <c r="J398" t="s">
        <v>43</v>
      </c>
      <c r="K398" t="s">
        <v>53</v>
      </c>
      <c r="L398" t="s">
        <v>44</v>
      </c>
      <c r="M398">
        <v>4</v>
      </c>
      <c r="N398" s="2"/>
      <c r="O398" s="3">
        <v>3693</v>
      </c>
      <c r="P398">
        <v>0</v>
      </c>
      <c r="Q398">
        <v>5</v>
      </c>
      <c r="R398" t="s">
        <v>28</v>
      </c>
      <c r="S398">
        <v>1</v>
      </c>
    </row>
    <row r="399" spans="1:19" ht="16.5" x14ac:dyDescent="0.3">
      <c r="A399" t="s">
        <v>449</v>
      </c>
      <c r="B399" s="1">
        <v>45333</v>
      </c>
      <c r="C399" s="1">
        <v>45335</v>
      </c>
      <c r="D399">
        <v>2024</v>
      </c>
      <c r="E399" t="s">
        <v>20</v>
      </c>
      <c r="F399" t="s">
        <v>351</v>
      </c>
      <c r="G399" t="s">
        <v>112</v>
      </c>
      <c r="H399" t="s">
        <v>35</v>
      </c>
      <c r="I399" t="s">
        <v>24</v>
      </c>
      <c r="J399" t="s">
        <v>25</v>
      </c>
      <c r="K399" t="s">
        <v>32</v>
      </c>
      <c r="L399" t="s">
        <v>44</v>
      </c>
      <c r="M399">
        <v>2</v>
      </c>
      <c r="N399" s="2">
        <v>145</v>
      </c>
      <c r="O399" s="3">
        <v>1876</v>
      </c>
      <c r="P399">
        <v>1</v>
      </c>
      <c r="Q399">
        <v>4</v>
      </c>
      <c r="R399" t="s">
        <v>33</v>
      </c>
      <c r="S399">
        <v>1</v>
      </c>
    </row>
    <row r="400" spans="1:19" ht="16.5" x14ac:dyDescent="0.3">
      <c r="A400" t="s">
        <v>450</v>
      </c>
      <c r="B400" s="1">
        <v>45334</v>
      </c>
      <c r="C400" s="1">
        <v>45343</v>
      </c>
      <c r="D400">
        <v>2024</v>
      </c>
      <c r="E400" t="s">
        <v>20</v>
      </c>
      <c r="F400" t="s">
        <v>351</v>
      </c>
      <c r="G400" t="s">
        <v>22</v>
      </c>
      <c r="H400" t="s">
        <v>23</v>
      </c>
      <c r="I400" t="s">
        <v>24</v>
      </c>
      <c r="J400" t="s">
        <v>43</v>
      </c>
      <c r="K400" t="s">
        <v>36</v>
      </c>
      <c r="L400" t="s">
        <v>44</v>
      </c>
      <c r="M400">
        <v>9</v>
      </c>
      <c r="N400" s="2">
        <v>93</v>
      </c>
      <c r="O400" s="3">
        <v>8889</v>
      </c>
      <c r="P400">
        <v>0</v>
      </c>
      <c r="Q400">
        <v>2</v>
      </c>
      <c r="R400" t="s">
        <v>33</v>
      </c>
      <c r="S400">
        <v>1</v>
      </c>
    </row>
    <row r="401" spans="1:19" ht="16.5" x14ac:dyDescent="0.3">
      <c r="A401" t="s">
        <v>451</v>
      </c>
      <c r="B401" s="1">
        <v>45334</v>
      </c>
      <c r="C401" s="1">
        <v>45335</v>
      </c>
      <c r="D401">
        <v>2024</v>
      </c>
      <c r="E401" t="s">
        <v>20</v>
      </c>
      <c r="F401" t="s">
        <v>351</v>
      </c>
      <c r="G401" t="s">
        <v>22</v>
      </c>
      <c r="H401" t="s">
        <v>30</v>
      </c>
      <c r="I401" t="s">
        <v>40</v>
      </c>
      <c r="J401" t="s">
        <v>43</v>
      </c>
      <c r="K401" t="s">
        <v>26</v>
      </c>
      <c r="L401" t="s">
        <v>37</v>
      </c>
      <c r="M401">
        <v>1</v>
      </c>
      <c r="N401" s="2"/>
      <c r="O401" s="3">
        <v>1157</v>
      </c>
      <c r="P401">
        <v>0</v>
      </c>
      <c r="Q401">
        <v>5</v>
      </c>
      <c r="R401" t="s">
        <v>33</v>
      </c>
      <c r="S401">
        <v>1</v>
      </c>
    </row>
    <row r="402" spans="1:19" ht="16.5" x14ac:dyDescent="0.3">
      <c r="A402" t="s">
        <v>452</v>
      </c>
      <c r="B402" s="1">
        <v>45334</v>
      </c>
      <c r="C402" s="1">
        <v>45342</v>
      </c>
      <c r="D402">
        <v>2024</v>
      </c>
      <c r="E402" t="s">
        <v>20</v>
      </c>
      <c r="F402" t="s">
        <v>351</v>
      </c>
      <c r="G402" t="s">
        <v>22</v>
      </c>
      <c r="H402" t="s">
        <v>23</v>
      </c>
      <c r="I402" t="s">
        <v>24</v>
      </c>
      <c r="J402" t="s">
        <v>43</v>
      </c>
      <c r="K402" t="s">
        <v>26</v>
      </c>
      <c r="L402" t="s">
        <v>37</v>
      </c>
      <c r="M402">
        <v>8</v>
      </c>
      <c r="N402" s="2">
        <v>72</v>
      </c>
      <c r="O402" s="3">
        <v>6106</v>
      </c>
      <c r="P402">
        <v>1</v>
      </c>
      <c r="Q402">
        <v>3</v>
      </c>
      <c r="R402" t="s">
        <v>33</v>
      </c>
      <c r="S402">
        <v>1</v>
      </c>
    </row>
    <row r="403" spans="1:19" ht="16.5" x14ac:dyDescent="0.3">
      <c r="A403" t="s">
        <v>453</v>
      </c>
      <c r="B403" s="1">
        <v>45334</v>
      </c>
      <c r="C403" s="1">
        <v>45340</v>
      </c>
      <c r="D403">
        <v>2024</v>
      </c>
      <c r="E403" t="s">
        <v>20</v>
      </c>
      <c r="F403" t="s">
        <v>351</v>
      </c>
      <c r="G403" t="s">
        <v>22</v>
      </c>
      <c r="H403" t="s">
        <v>52</v>
      </c>
      <c r="I403" t="s">
        <v>40</v>
      </c>
      <c r="J403" t="s">
        <v>43</v>
      </c>
      <c r="K403" t="s">
        <v>32</v>
      </c>
      <c r="L403" t="s">
        <v>27</v>
      </c>
      <c r="M403">
        <v>6</v>
      </c>
      <c r="N403" s="2"/>
      <c r="O403" s="3">
        <v>5752</v>
      </c>
      <c r="P403">
        <v>0</v>
      </c>
      <c r="Q403">
        <v>5</v>
      </c>
      <c r="R403" t="s">
        <v>33</v>
      </c>
      <c r="S403">
        <v>1</v>
      </c>
    </row>
    <row r="404" spans="1:19" ht="16.5" x14ac:dyDescent="0.3">
      <c r="A404" t="s">
        <v>454</v>
      </c>
      <c r="B404" s="1">
        <v>45334</v>
      </c>
      <c r="C404" s="1">
        <v>45336</v>
      </c>
      <c r="D404">
        <v>2024</v>
      </c>
      <c r="E404" t="s">
        <v>20</v>
      </c>
      <c r="F404" t="s">
        <v>351</v>
      </c>
      <c r="G404" t="s">
        <v>22</v>
      </c>
      <c r="H404" t="s">
        <v>23</v>
      </c>
      <c r="I404" t="s">
        <v>24</v>
      </c>
      <c r="J404" t="s">
        <v>25</v>
      </c>
      <c r="K404" t="s">
        <v>53</v>
      </c>
      <c r="L404" t="s">
        <v>44</v>
      </c>
      <c r="M404">
        <v>2</v>
      </c>
      <c r="N404" s="2">
        <v>48</v>
      </c>
      <c r="O404" s="3">
        <v>2024</v>
      </c>
      <c r="P404">
        <v>0</v>
      </c>
      <c r="Q404">
        <v>5</v>
      </c>
      <c r="R404" t="s">
        <v>28</v>
      </c>
      <c r="S404">
        <v>1</v>
      </c>
    </row>
    <row r="405" spans="1:19" ht="16.5" x14ac:dyDescent="0.3">
      <c r="A405" t="s">
        <v>455</v>
      </c>
      <c r="B405" s="1">
        <v>45334</v>
      </c>
      <c r="C405" s="1">
        <v>45338</v>
      </c>
      <c r="D405">
        <v>2024</v>
      </c>
      <c r="E405" t="s">
        <v>20</v>
      </c>
      <c r="F405" t="s">
        <v>351</v>
      </c>
      <c r="G405" t="s">
        <v>22</v>
      </c>
      <c r="H405" t="s">
        <v>39</v>
      </c>
      <c r="I405" t="s">
        <v>24</v>
      </c>
      <c r="J405" t="s">
        <v>43</v>
      </c>
      <c r="K405" t="s">
        <v>41</v>
      </c>
      <c r="L405" t="s">
        <v>44</v>
      </c>
      <c r="M405">
        <v>4</v>
      </c>
      <c r="N405" s="2">
        <v>69</v>
      </c>
      <c r="O405" s="3">
        <v>2636</v>
      </c>
      <c r="P405">
        <v>0</v>
      </c>
      <c r="Q405">
        <v>5</v>
      </c>
      <c r="R405" t="s">
        <v>28</v>
      </c>
      <c r="S405">
        <v>1</v>
      </c>
    </row>
    <row r="406" spans="1:19" ht="16.5" x14ac:dyDescent="0.3">
      <c r="A406" t="s">
        <v>456</v>
      </c>
      <c r="B406" s="1">
        <v>45334</v>
      </c>
      <c r="C406" s="1">
        <v>45336</v>
      </c>
      <c r="D406">
        <v>2024</v>
      </c>
      <c r="E406" t="s">
        <v>20</v>
      </c>
      <c r="F406" t="s">
        <v>351</v>
      </c>
      <c r="G406" t="s">
        <v>22</v>
      </c>
      <c r="H406" t="s">
        <v>50</v>
      </c>
      <c r="I406" t="s">
        <v>24</v>
      </c>
      <c r="J406" t="s">
        <v>43</v>
      </c>
      <c r="K406" t="s">
        <v>26</v>
      </c>
      <c r="L406" t="s">
        <v>27</v>
      </c>
      <c r="M406">
        <v>2</v>
      </c>
      <c r="N406" s="2">
        <v>25</v>
      </c>
      <c r="O406" s="3">
        <v>3352</v>
      </c>
      <c r="P406">
        <v>1</v>
      </c>
      <c r="Q406">
        <v>3</v>
      </c>
      <c r="R406" t="s">
        <v>33</v>
      </c>
      <c r="S406">
        <v>1</v>
      </c>
    </row>
    <row r="407" spans="1:19" ht="16.5" x14ac:dyDescent="0.3">
      <c r="A407" t="s">
        <v>457</v>
      </c>
      <c r="B407" s="1">
        <v>45334</v>
      </c>
      <c r="C407" s="1">
        <v>45337</v>
      </c>
      <c r="D407">
        <v>2024</v>
      </c>
      <c r="E407" t="s">
        <v>20</v>
      </c>
      <c r="F407" t="s">
        <v>351</v>
      </c>
      <c r="G407" t="s">
        <v>22</v>
      </c>
      <c r="H407" t="s">
        <v>39</v>
      </c>
      <c r="I407" t="s">
        <v>24</v>
      </c>
      <c r="J407" t="s">
        <v>43</v>
      </c>
      <c r="K407" t="s">
        <v>41</v>
      </c>
      <c r="L407" t="s">
        <v>27</v>
      </c>
      <c r="M407">
        <v>3</v>
      </c>
      <c r="N407" s="2">
        <v>28</v>
      </c>
      <c r="O407" s="3">
        <v>2060</v>
      </c>
      <c r="P407">
        <v>0</v>
      </c>
      <c r="Q407">
        <v>3</v>
      </c>
      <c r="R407" t="s">
        <v>28</v>
      </c>
      <c r="S407">
        <v>1</v>
      </c>
    </row>
    <row r="408" spans="1:19" ht="16.5" x14ac:dyDescent="0.3">
      <c r="A408" t="s">
        <v>458</v>
      </c>
      <c r="B408" s="1">
        <v>45334</v>
      </c>
      <c r="C408" s="1">
        <v>45347</v>
      </c>
      <c r="D408">
        <v>2024</v>
      </c>
      <c r="E408" t="s">
        <v>20</v>
      </c>
      <c r="F408" t="s">
        <v>351</v>
      </c>
      <c r="G408" t="s">
        <v>22</v>
      </c>
      <c r="H408" t="s">
        <v>23</v>
      </c>
      <c r="I408" t="s">
        <v>24</v>
      </c>
      <c r="J408" t="s">
        <v>43</v>
      </c>
      <c r="K408" t="s">
        <v>26</v>
      </c>
      <c r="L408" t="s">
        <v>27</v>
      </c>
      <c r="M408">
        <v>13</v>
      </c>
      <c r="N408" s="2">
        <v>71</v>
      </c>
      <c r="O408" s="3">
        <v>9493</v>
      </c>
      <c r="P408">
        <v>0</v>
      </c>
      <c r="Q408">
        <v>3</v>
      </c>
      <c r="R408" t="s">
        <v>33</v>
      </c>
      <c r="S408">
        <v>1</v>
      </c>
    </row>
    <row r="409" spans="1:19" ht="16.5" x14ac:dyDescent="0.3">
      <c r="A409" t="s">
        <v>459</v>
      </c>
      <c r="B409" s="1">
        <v>45334</v>
      </c>
      <c r="C409" s="1">
        <v>45336</v>
      </c>
      <c r="D409">
        <v>2024</v>
      </c>
      <c r="E409" t="s">
        <v>20</v>
      </c>
      <c r="F409" t="s">
        <v>351</v>
      </c>
      <c r="G409" t="s">
        <v>22</v>
      </c>
      <c r="H409" t="s">
        <v>35</v>
      </c>
      <c r="I409" t="s">
        <v>24</v>
      </c>
      <c r="J409" t="s">
        <v>25</v>
      </c>
      <c r="K409" t="s">
        <v>36</v>
      </c>
      <c r="L409" t="s">
        <v>27</v>
      </c>
      <c r="M409">
        <v>2</v>
      </c>
      <c r="N409" s="2">
        <v>49</v>
      </c>
      <c r="O409" s="3">
        <v>1878</v>
      </c>
      <c r="P409">
        <v>0</v>
      </c>
      <c r="Q409">
        <v>5</v>
      </c>
      <c r="R409" t="s">
        <v>33</v>
      </c>
      <c r="S409">
        <v>1</v>
      </c>
    </row>
    <row r="410" spans="1:19" ht="16.5" x14ac:dyDescent="0.3">
      <c r="A410" t="s">
        <v>460</v>
      </c>
      <c r="B410" s="1">
        <v>45335</v>
      </c>
      <c r="C410" s="1">
        <v>45338</v>
      </c>
      <c r="D410">
        <v>2024</v>
      </c>
      <c r="E410" t="s">
        <v>20</v>
      </c>
      <c r="F410" t="s">
        <v>351</v>
      </c>
      <c r="G410" t="s">
        <v>56</v>
      </c>
      <c r="H410" t="s">
        <v>39</v>
      </c>
      <c r="I410" t="s">
        <v>24</v>
      </c>
      <c r="J410" t="s">
        <v>43</v>
      </c>
      <c r="K410" t="s">
        <v>41</v>
      </c>
      <c r="L410" t="s">
        <v>27</v>
      </c>
      <c r="M410">
        <v>3</v>
      </c>
      <c r="N410" s="2">
        <v>98</v>
      </c>
      <c r="O410" s="3">
        <v>2500</v>
      </c>
      <c r="P410">
        <v>0</v>
      </c>
      <c r="Q410">
        <v>2</v>
      </c>
      <c r="R410" t="s">
        <v>33</v>
      </c>
      <c r="S410">
        <v>1</v>
      </c>
    </row>
    <row r="411" spans="1:19" ht="16.5" x14ac:dyDescent="0.3">
      <c r="A411" t="s">
        <v>461</v>
      </c>
      <c r="B411" s="1">
        <v>45335</v>
      </c>
      <c r="C411" s="1">
        <v>45340</v>
      </c>
      <c r="D411">
        <v>2024</v>
      </c>
      <c r="E411" t="s">
        <v>20</v>
      </c>
      <c r="F411" t="s">
        <v>351</v>
      </c>
      <c r="G411" t="s">
        <v>56</v>
      </c>
      <c r="H411" t="s">
        <v>39</v>
      </c>
      <c r="I411" t="s">
        <v>24</v>
      </c>
      <c r="J411" t="s">
        <v>43</v>
      </c>
      <c r="K411" t="s">
        <v>41</v>
      </c>
      <c r="L411" t="s">
        <v>27</v>
      </c>
      <c r="M411">
        <v>5</v>
      </c>
      <c r="N411" s="2">
        <v>20</v>
      </c>
      <c r="O411" s="3">
        <v>3313</v>
      </c>
      <c r="P411">
        <v>0</v>
      </c>
      <c r="Q411">
        <v>4</v>
      </c>
      <c r="R411" t="s">
        <v>33</v>
      </c>
      <c r="S411">
        <v>1</v>
      </c>
    </row>
    <row r="412" spans="1:19" ht="16.5" x14ac:dyDescent="0.3">
      <c r="A412" t="s">
        <v>462</v>
      </c>
      <c r="B412" s="1">
        <v>45335</v>
      </c>
      <c r="C412" s="1">
        <v>45336</v>
      </c>
      <c r="D412">
        <v>2024</v>
      </c>
      <c r="E412" t="s">
        <v>20</v>
      </c>
      <c r="F412" t="s">
        <v>351</v>
      </c>
      <c r="G412" t="s">
        <v>56</v>
      </c>
      <c r="H412" t="s">
        <v>23</v>
      </c>
      <c r="I412" t="s">
        <v>24</v>
      </c>
      <c r="J412" t="s">
        <v>25</v>
      </c>
      <c r="K412" t="s">
        <v>26</v>
      </c>
      <c r="L412" t="s">
        <v>37</v>
      </c>
      <c r="M412">
        <v>1</v>
      </c>
      <c r="N412" s="2">
        <v>144</v>
      </c>
      <c r="O412" s="3">
        <v>1123</v>
      </c>
      <c r="P412">
        <v>0</v>
      </c>
      <c r="Q412">
        <v>3</v>
      </c>
      <c r="R412" t="s">
        <v>28</v>
      </c>
      <c r="S412">
        <v>1</v>
      </c>
    </row>
    <row r="413" spans="1:19" ht="16.5" x14ac:dyDescent="0.3">
      <c r="A413" t="s">
        <v>463</v>
      </c>
      <c r="B413" s="1">
        <v>45335</v>
      </c>
      <c r="C413" s="1">
        <v>45337</v>
      </c>
      <c r="D413">
        <v>2024</v>
      </c>
      <c r="E413" t="s">
        <v>20</v>
      </c>
      <c r="F413" t="s">
        <v>351</v>
      </c>
      <c r="G413" t="s">
        <v>56</v>
      </c>
      <c r="H413" t="s">
        <v>39</v>
      </c>
      <c r="I413" t="s">
        <v>31</v>
      </c>
      <c r="J413" t="s">
        <v>25</v>
      </c>
      <c r="K413" t="s">
        <v>41</v>
      </c>
      <c r="L413" t="s">
        <v>27</v>
      </c>
      <c r="M413">
        <v>2</v>
      </c>
      <c r="N413" s="2"/>
      <c r="O413" s="3">
        <v>1484</v>
      </c>
      <c r="P413">
        <v>0</v>
      </c>
      <c r="Q413">
        <v>5</v>
      </c>
      <c r="R413" t="s">
        <v>33</v>
      </c>
      <c r="S413">
        <v>1</v>
      </c>
    </row>
    <row r="414" spans="1:19" ht="16.5" x14ac:dyDescent="0.3">
      <c r="A414" t="s">
        <v>464</v>
      </c>
      <c r="B414" s="1">
        <v>45335</v>
      </c>
      <c r="C414" s="1">
        <v>45339</v>
      </c>
      <c r="D414">
        <v>2024</v>
      </c>
      <c r="E414" t="s">
        <v>20</v>
      </c>
      <c r="F414" t="s">
        <v>351</v>
      </c>
      <c r="G414" t="s">
        <v>56</v>
      </c>
      <c r="H414" t="s">
        <v>23</v>
      </c>
      <c r="I414" t="s">
        <v>24</v>
      </c>
      <c r="J414" t="s">
        <v>43</v>
      </c>
      <c r="K414" t="s">
        <v>53</v>
      </c>
      <c r="L414" t="s">
        <v>44</v>
      </c>
      <c r="M414">
        <v>4</v>
      </c>
      <c r="N414" s="2">
        <v>73</v>
      </c>
      <c r="O414" s="3">
        <v>2666</v>
      </c>
      <c r="P414">
        <v>0</v>
      </c>
      <c r="Q414">
        <v>4</v>
      </c>
      <c r="R414" t="s">
        <v>28</v>
      </c>
      <c r="S414">
        <v>1</v>
      </c>
    </row>
    <row r="415" spans="1:19" ht="16.5" x14ac:dyDescent="0.3">
      <c r="A415" t="s">
        <v>465</v>
      </c>
      <c r="B415" s="1">
        <v>45335</v>
      </c>
      <c r="C415" s="1">
        <v>45336</v>
      </c>
      <c r="D415">
        <v>2024</v>
      </c>
      <c r="E415" t="s">
        <v>20</v>
      </c>
      <c r="F415" t="s">
        <v>351</v>
      </c>
      <c r="G415" t="s">
        <v>56</v>
      </c>
      <c r="H415" t="s">
        <v>39</v>
      </c>
      <c r="I415" t="s">
        <v>24</v>
      </c>
      <c r="J415" t="s">
        <v>25</v>
      </c>
      <c r="K415" t="s">
        <v>41</v>
      </c>
      <c r="L415" t="s">
        <v>44</v>
      </c>
      <c r="M415">
        <v>1</v>
      </c>
      <c r="N415" s="2">
        <v>63</v>
      </c>
      <c r="O415" s="3">
        <v>1571</v>
      </c>
      <c r="P415">
        <v>0</v>
      </c>
      <c r="Q415">
        <v>5</v>
      </c>
      <c r="R415" t="s">
        <v>28</v>
      </c>
      <c r="S415">
        <v>1</v>
      </c>
    </row>
    <row r="416" spans="1:19" ht="16.5" x14ac:dyDescent="0.3">
      <c r="A416" t="s">
        <v>466</v>
      </c>
      <c r="B416" s="1">
        <v>45335</v>
      </c>
      <c r="C416" s="1">
        <v>45338</v>
      </c>
      <c r="D416">
        <v>2024</v>
      </c>
      <c r="E416" t="s">
        <v>20</v>
      </c>
      <c r="F416" t="s">
        <v>351</v>
      </c>
      <c r="G416" t="s">
        <v>56</v>
      </c>
      <c r="H416" t="s">
        <v>35</v>
      </c>
      <c r="I416" t="s">
        <v>24</v>
      </c>
      <c r="J416" t="s">
        <v>25</v>
      </c>
      <c r="K416" t="s">
        <v>36</v>
      </c>
      <c r="L416" t="s">
        <v>37</v>
      </c>
      <c r="M416">
        <v>3</v>
      </c>
      <c r="N416" s="2">
        <v>283</v>
      </c>
      <c r="O416" s="3">
        <v>2970</v>
      </c>
      <c r="P416">
        <v>0</v>
      </c>
      <c r="Q416">
        <v>4</v>
      </c>
      <c r="R416" t="s">
        <v>33</v>
      </c>
      <c r="S416">
        <v>1</v>
      </c>
    </row>
    <row r="417" spans="1:19" ht="16.5" x14ac:dyDescent="0.3">
      <c r="A417" t="s">
        <v>467</v>
      </c>
      <c r="B417" s="1">
        <v>45335</v>
      </c>
      <c r="C417" s="1">
        <v>45339</v>
      </c>
      <c r="D417">
        <v>2024</v>
      </c>
      <c r="E417" t="s">
        <v>20</v>
      </c>
      <c r="F417" t="s">
        <v>351</v>
      </c>
      <c r="G417" t="s">
        <v>56</v>
      </c>
      <c r="H417" t="s">
        <v>35</v>
      </c>
      <c r="I417" t="s">
        <v>40</v>
      </c>
      <c r="J417" t="s">
        <v>25</v>
      </c>
      <c r="K417" t="s">
        <v>36</v>
      </c>
      <c r="L417" t="s">
        <v>27</v>
      </c>
      <c r="M417">
        <v>4</v>
      </c>
      <c r="N417" s="2"/>
      <c r="O417" s="3">
        <v>3769</v>
      </c>
      <c r="P417">
        <v>0</v>
      </c>
      <c r="Q417">
        <v>4</v>
      </c>
      <c r="R417" t="s">
        <v>28</v>
      </c>
      <c r="S417">
        <v>1</v>
      </c>
    </row>
    <row r="418" spans="1:19" ht="16.5" x14ac:dyDescent="0.3">
      <c r="A418" t="s">
        <v>468</v>
      </c>
      <c r="B418" s="1">
        <v>45335</v>
      </c>
      <c r="C418" s="1">
        <v>45338</v>
      </c>
      <c r="D418">
        <v>2024</v>
      </c>
      <c r="E418" t="s">
        <v>20</v>
      </c>
      <c r="F418" t="s">
        <v>351</v>
      </c>
      <c r="G418" t="s">
        <v>56</v>
      </c>
      <c r="H418" t="s">
        <v>30</v>
      </c>
      <c r="I418" t="s">
        <v>40</v>
      </c>
      <c r="J418" t="s">
        <v>43</v>
      </c>
      <c r="K418" t="s">
        <v>53</v>
      </c>
      <c r="L418" t="s">
        <v>27</v>
      </c>
      <c r="M418">
        <v>3</v>
      </c>
      <c r="N418" s="2"/>
      <c r="O418" s="3">
        <v>2800</v>
      </c>
      <c r="P418">
        <v>1</v>
      </c>
      <c r="Q418">
        <v>3</v>
      </c>
      <c r="R418" t="s">
        <v>33</v>
      </c>
      <c r="S418">
        <v>1</v>
      </c>
    </row>
    <row r="419" spans="1:19" ht="16.5" x14ac:dyDescent="0.3">
      <c r="A419" t="s">
        <v>469</v>
      </c>
      <c r="B419" s="1">
        <v>45335</v>
      </c>
      <c r="C419" s="1">
        <v>45336</v>
      </c>
      <c r="D419">
        <v>2024</v>
      </c>
      <c r="E419" t="s">
        <v>20</v>
      </c>
      <c r="F419" t="s">
        <v>351</v>
      </c>
      <c r="G419" t="s">
        <v>56</v>
      </c>
      <c r="H419" t="s">
        <v>39</v>
      </c>
      <c r="I419" t="s">
        <v>24</v>
      </c>
      <c r="J419" t="s">
        <v>25</v>
      </c>
      <c r="K419" t="s">
        <v>41</v>
      </c>
      <c r="L419" t="s">
        <v>37</v>
      </c>
      <c r="M419">
        <v>1</v>
      </c>
      <c r="N419" s="2">
        <v>79</v>
      </c>
      <c r="O419" s="3">
        <v>1463</v>
      </c>
      <c r="P419">
        <v>0</v>
      </c>
      <c r="Q419">
        <v>4</v>
      </c>
      <c r="R419" t="s">
        <v>28</v>
      </c>
      <c r="S419">
        <v>1</v>
      </c>
    </row>
    <row r="420" spans="1:19" ht="16.5" x14ac:dyDescent="0.3">
      <c r="A420" t="s">
        <v>470</v>
      </c>
      <c r="B420" s="1">
        <v>45335</v>
      </c>
      <c r="C420" s="1">
        <v>45339</v>
      </c>
      <c r="D420">
        <v>2024</v>
      </c>
      <c r="E420" t="s">
        <v>20</v>
      </c>
      <c r="F420" t="s">
        <v>351</v>
      </c>
      <c r="G420" t="s">
        <v>56</v>
      </c>
      <c r="H420" t="s">
        <v>35</v>
      </c>
      <c r="I420" t="s">
        <v>24</v>
      </c>
      <c r="J420" t="s">
        <v>25</v>
      </c>
      <c r="K420" t="s">
        <v>36</v>
      </c>
      <c r="L420" t="s">
        <v>44</v>
      </c>
      <c r="M420">
        <v>4</v>
      </c>
      <c r="N420" s="2">
        <v>27</v>
      </c>
      <c r="O420" s="3">
        <v>3505</v>
      </c>
      <c r="P420">
        <v>0</v>
      </c>
      <c r="Q420">
        <v>4</v>
      </c>
      <c r="R420" t="s">
        <v>33</v>
      </c>
      <c r="S420">
        <v>1</v>
      </c>
    </row>
    <row r="421" spans="1:19" ht="16.5" x14ac:dyDescent="0.3">
      <c r="A421" t="s">
        <v>471</v>
      </c>
      <c r="B421" s="1">
        <v>45335</v>
      </c>
      <c r="C421" s="1">
        <v>45336</v>
      </c>
      <c r="D421">
        <v>2024</v>
      </c>
      <c r="E421" t="s">
        <v>20</v>
      </c>
      <c r="F421" t="s">
        <v>351</v>
      </c>
      <c r="G421" t="s">
        <v>56</v>
      </c>
      <c r="H421" t="s">
        <v>30</v>
      </c>
      <c r="I421" t="s">
        <v>24</v>
      </c>
      <c r="J421" t="s">
        <v>25</v>
      </c>
      <c r="K421" t="s">
        <v>36</v>
      </c>
      <c r="L421" t="s">
        <v>27</v>
      </c>
      <c r="M421">
        <v>1</v>
      </c>
      <c r="N421" s="2">
        <v>71</v>
      </c>
      <c r="O421" s="3">
        <v>1210</v>
      </c>
      <c r="P421">
        <v>0</v>
      </c>
      <c r="Q421">
        <v>4</v>
      </c>
      <c r="R421" t="s">
        <v>165</v>
      </c>
      <c r="S421">
        <v>1</v>
      </c>
    </row>
    <row r="422" spans="1:19" ht="16.5" x14ac:dyDescent="0.3">
      <c r="A422" t="s">
        <v>472</v>
      </c>
      <c r="B422" s="1">
        <v>45335</v>
      </c>
      <c r="C422" s="1">
        <v>45337</v>
      </c>
      <c r="D422">
        <v>2024</v>
      </c>
      <c r="E422" t="s">
        <v>20</v>
      </c>
      <c r="F422" t="s">
        <v>351</v>
      </c>
      <c r="G422" t="s">
        <v>56</v>
      </c>
      <c r="H422" t="s">
        <v>39</v>
      </c>
      <c r="I422" t="s">
        <v>40</v>
      </c>
      <c r="J422" t="s">
        <v>43</v>
      </c>
      <c r="K422" t="s">
        <v>41</v>
      </c>
      <c r="L422" t="s">
        <v>27</v>
      </c>
      <c r="M422">
        <v>2</v>
      </c>
      <c r="N422" s="2"/>
      <c r="O422" s="3">
        <v>1687</v>
      </c>
      <c r="P422">
        <v>0</v>
      </c>
      <c r="Q422">
        <v>4</v>
      </c>
      <c r="R422" t="s">
        <v>33</v>
      </c>
      <c r="S422">
        <v>1</v>
      </c>
    </row>
    <row r="423" spans="1:19" ht="16.5" x14ac:dyDescent="0.3">
      <c r="A423" t="s">
        <v>473</v>
      </c>
      <c r="B423" s="1">
        <v>45335</v>
      </c>
      <c r="C423" s="1">
        <v>45336</v>
      </c>
      <c r="D423">
        <v>2024</v>
      </c>
      <c r="E423" t="s">
        <v>20</v>
      </c>
      <c r="F423" t="s">
        <v>351</v>
      </c>
      <c r="G423" t="s">
        <v>56</v>
      </c>
      <c r="H423" t="s">
        <v>52</v>
      </c>
      <c r="I423" t="s">
        <v>40</v>
      </c>
      <c r="J423" t="s">
        <v>43</v>
      </c>
      <c r="K423" t="s">
        <v>53</v>
      </c>
      <c r="L423" t="s">
        <v>44</v>
      </c>
      <c r="M423">
        <v>1</v>
      </c>
      <c r="N423" s="2"/>
      <c r="O423" s="3">
        <v>2055</v>
      </c>
      <c r="P423">
        <v>0</v>
      </c>
      <c r="Q423">
        <v>5</v>
      </c>
      <c r="R423" t="s">
        <v>28</v>
      </c>
      <c r="S423">
        <v>1</v>
      </c>
    </row>
    <row r="424" spans="1:19" ht="16.5" x14ac:dyDescent="0.3">
      <c r="A424" t="s">
        <v>474</v>
      </c>
      <c r="B424" s="1">
        <v>45336</v>
      </c>
      <c r="C424" s="1">
        <v>45337</v>
      </c>
      <c r="D424">
        <v>2024</v>
      </c>
      <c r="E424" t="s">
        <v>20</v>
      </c>
      <c r="F424" t="s">
        <v>351</v>
      </c>
      <c r="G424" t="s">
        <v>70</v>
      </c>
      <c r="H424" t="s">
        <v>39</v>
      </c>
      <c r="I424" t="s">
        <v>24</v>
      </c>
      <c r="J424" t="s">
        <v>25</v>
      </c>
      <c r="K424" t="s">
        <v>41</v>
      </c>
      <c r="L424" t="s">
        <v>27</v>
      </c>
      <c r="M424">
        <v>1</v>
      </c>
      <c r="N424" s="2">
        <v>149</v>
      </c>
      <c r="O424" s="3">
        <v>1621</v>
      </c>
      <c r="P424">
        <v>1</v>
      </c>
      <c r="Q424">
        <v>2</v>
      </c>
      <c r="R424" t="s">
        <v>33</v>
      </c>
      <c r="S424">
        <v>1</v>
      </c>
    </row>
    <row r="425" spans="1:19" ht="16.5" x14ac:dyDescent="0.3">
      <c r="A425" t="s">
        <v>475</v>
      </c>
      <c r="B425" s="1">
        <v>45336</v>
      </c>
      <c r="C425" s="1">
        <v>45338</v>
      </c>
      <c r="D425">
        <v>2024</v>
      </c>
      <c r="E425" t="s">
        <v>20</v>
      </c>
      <c r="F425" t="s">
        <v>351</v>
      </c>
      <c r="G425" t="s">
        <v>70</v>
      </c>
      <c r="H425" t="s">
        <v>39</v>
      </c>
      <c r="I425" t="s">
        <v>24</v>
      </c>
      <c r="J425" t="s">
        <v>43</v>
      </c>
      <c r="K425" t="s">
        <v>41</v>
      </c>
      <c r="L425" t="s">
        <v>27</v>
      </c>
      <c r="M425">
        <v>2</v>
      </c>
      <c r="N425" s="2">
        <v>74</v>
      </c>
      <c r="O425" s="3">
        <v>1563</v>
      </c>
      <c r="P425">
        <v>0</v>
      </c>
      <c r="Q425">
        <v>5</v>
      </c>
      <c r="R425" t="s">
        <v>28</v>
      </c>
      <c r="S425">
        <v>1</v>
      </c>
    </row>
    <row r="426" spans="1:19" ht="16.5" x14ac:dyDescent="0.3">
      <c r="A426" t="s">
        <v>476</v>
      </c>
      <c r="B426" s="1">
        <v>45336</v>
      </c>
      <c r="C426" s="1">
        <v>45338</v>
      </c>
      <c r="D426">
        <v>2024</v>
      </c>
      <c r="E426" t="s">
        <v>20</v>
      </c>
      <c r="F426" t="s">
        <v>351</v>
      </c>
      <c r="G426" t="s">
        <v>70</v>
      </c>
      <c r="H426" t="s">
        <v>23</v>
      </c>
      <c r="I426" t="s">
        <v>24</v>
      </c>
      <c r="J426" t="s">
        <v>43</v>
      </c>
      <c r="K426" t="s">
        <v>36</v>
      </c>
      <c r="L426" t="s">
        <v>44</v>
      </c>
      <c r="M426">
        <v>2</v>
      </c>
      <c r="N426" s="2">
        <v>123</v>
      </c>
      <c r="O426" s="3">
        <v>2501</v>
      </c>
      <c r="P426">
        <v>0</v>
      </c>
      <c r="Q426">
        <v>2</v>
      </c>
      <c r="R426" t="s">
        <v>33</v>
      </c>
      <c r="S426">
        <v>1</v>
      </c>
    </row>
    <row r="427" spans="1:19" ht="16.5" x14ac:dyDescent="0.3">
      <c r="A427" t="s">
        <v>477</v>
      </c>
      <c r="B427" s="1">
        <v>45336</v>
      </c>
      <c r="C427" s="1">
        <v>45339</v>
      </c>
      <c r="D427">
        <v>2024</v>
      </c>
      <c r="E427" t="s">
        <v>20</v>
      </c>
      <c r="F427" t="s">
        <v>351</v>
      </c>
      <c r="G427" t="s">
        <v>70</v>
      </c>
      <c r="H427" t="s">
        <v>23</v>
      </c>
      <c r="I427" t="s">
        <v>40</v>
      </c>
      <c r="J427" t="s">
        <v>43</v>
      </c>
      <c r="K427" t="s">
        <v>36</v>
      </c>
      <c r="L427" t="s">
        <v>44</v>
      </c>
      <c r="M427">
        <v>3</v>
      </c>
      <c r="N427" s="2"/>
      <c r="O427" s="3">
        <v>2930</v>
      </c>
      <c r="P427">
        <v>0</v>
      </c>
      <c r="Q427">
        <v>5</v>
      </c>
      <c r="R427" t="s">
        <v>28</v>
      </c>
      <c r="S427">
        <v>1</v>
      </c>
    </row>
    <row r="428" spans="1:19" ht="16.5" x14ac:dyDescent="0.3">
      <c r="A428" t="s">
        <v>478</v>
      </c>
      <c r="B428" s="1">
        <v>45336</v>
      </c>
      <c r="C428" s="1">
        <v>45338</v>
      </c>
      <c r="D428">
        <v>2024</v>
      </c>
      <c r="E428" t="s">
        <v>20</v>
      </c>
      <c r="F428" t="s">
        <v>351</v>
      </c>
      <c r="G428" t="s">
        <v>70</v>
      </c>
      <c r="H428" t="s">
        <v>23</v>
      </c>
      <c r="I428" t="s">
        <v>24</v>
      </c>
      <c r="J428" t="s">
        <v>43</v>
      </c>
      <c r="K428" t="s">
        <v>53</v>
      </c>
      <c r="L428" t="s">
        <v>44</v>
      </c>
      <c r="M428">
        <v>2</v>
      </c>
      <c r="N428" s="2">
        <v>67</v>
      </c>
      <c r="O428" s="3">
        <v>2390</v>
      </c>
      <c r="P428">
        <v>0</v>
      </c>
      <c r="Q428">
        <v>5</v>
      </c>
      <c r="R428" t="s">
        <v>33</v>
      </c>
      <c r="S428">
        <v>1</v>
      </c>
    </row>
    <row r="429" spans="1:19" ht="16.5" x14ac:dyDescent="0.3">
      <c r="A429" t="s">
        <v>479</v>
      </c>
      <c r="B429" s="1">
        <v>45336</v>
      </c>
      <c r="C429" s="1">
        <v>45337</v>
      </c>
      <c r="D429">
        <v>2024</v>
      </c>
      <c r="E429" t="s">
        <v>20</v>
      </c>
      <c r="F429" t="s">
        <v>351</v>
      </c>
      <c r="G429" t="s">
        <v>70</v>
      </c>
      <c r="H429" t="s">
        <v>30</v>
      </c>
      <c r="I429" t="s">
        <v>40</v>
      </c>
      <c r="J429" t="s">
        <v>25</v>
      </c>
      <c r="K429" t="s">
        <v>53</v>
      </c>
      <c r="L429" t="s">
        <v>44</v>
      </c>
      <c r="M429">
        <v>1</v>
      </c>
      <c r="N429" s="2"/>
      <c r="O429" s="3">
        <v>1984</v>
      </c>
      <c r="P429">
        <v>0</v>
      </c>
      <c r="Q429">
        <v>5</v>
      </c>
      <c r="R429" t="s">
        <v>33</v>
      </c>
      <c r="S429">
        <v>1</v>
      </c>
    </row>
    <row r="430" spans="1:19" ht="16.5" x14ac:dyDescent="0.3">
      <c r="A430" t="s">
        <v>480</v>
      </c>
      <c r="B430" s="1">
        <v>45336</v>
      </c>
      <c r="C430" s="1">
        <v>45340</v>
      </c>
      <c r="D430">
        <v>2024</v>
      </c>
      <c r="E430" t="s">
        <v>20</v>
      </c>
      <c r="F430" t="s">
        <v>351</v>
      </c>
      <c r="G430" t="s">
        <v>70</v>
      </c>
      <c r="H430" t="s">
        <v>30</v>
      </c>
      <c r="I430" t="s">
        <v>40</v>
      </c>
      <c r="J430" t="s">
        <v>25</v>
      </c>
      <c r="K430" t="s">
        <v>36</v>
      </c>
      <c r="L430" t="s">
        <v>44</v>
      </c>
      <c r="M430">
        <v>4</v>
      </c>
      <c r="N430" s="2"/>
      <c r="O430" s="3">
        <v>5608</v>
      </c>
      <c r="P430">
        <v>0</v>
      </c>
      <c r="Q430">
        <v>4</v>
      </c>
      <c r="R430" t="s">
        <v>59</v>
      </c>
      <c r="S430">
        <v>1</v>
      </c>
    </row>
    <row r="431" spans="1:19" ht="16.5" x14ac:dyDescent="0.3">
      <c r="A431" t="s">
        <v>481</v>
      </c>
      <c r="B431" s="1">
        <v>45337</v>
      </c>
      <c r="C431" s="1">
        <v>45338</v>
      </c>
      <c r="D431">
        <v>2024</v>
      </c>
      <c r="E431" t="s">
        <v>20</v>
      </c>
      <c r="F431" t="s">
        <v>351</v>
      </c>
      <c r="G431" t="s">
        <v>78</v>
      </c>
      <c r="H431" t="s">
        <v>50</v>
      </c>
      <c r="I431" t="s">
        <v>31</v>
      </c>
      <c r="J431" t="s">
        <v>43</v>
      </c>
      <c r="K431" t="s">
        <v>53</v>
      </c>
      <c r="L431" t="s">
        <v>44</v>
      </c>
      <c r="M431">
        <v>1</v>
      </c>
      <c r="N431" s="2"/>
      <c r="O431" s="3">
        <v>1973</v>
      </c>
      <c r="P431">
        <v>0</v>
      </c>
      <c r="Q431">
        <v>5</v>
      </c>
      <c r="R431" t="s">
        <v>33</v>
      </c>
      <c r="S431">
        <v>1</v>
      </c>
    </row>
    <row r="432" spans="1:19" ht="16.5" x14ac:dyDescent="0.3">
      <c r="A432" t="s">
        <v>482</v>
      </c>
      <c r="B432" s="1">
        <v>45337</v>
      </c>
      <c r="C432" s="1">
        <v>45338</v>
      </c>
      <c r="D432">
        <v>2024</v>
      </c>
      <c r="E432" t="s">
        <v>20</v>
      </c>
      <c r="F432" t="s">
        <v>351</v>
      </c>
      <c r="G432" t="s">
        <v>78</v>
      </c>
      <c r="H432" t="s">
        <v>23</v>
      </c>
      <c r="I432" t="s">
        <v>40</v>
      </c>
      <c r="J432" t="s">
        <v>43</v>
      </c>
      <c r="K432" t="s">
        <v>26</v>
      </c>
      <c r="L432" t="s">
        <v>27</v>
      </c>
      <c r="M432">
        <v>1</v>
      </c>
      <c r="N432" s="2"/>
      <c r="O432" s="3">
        <v>1356</v>
      </c>
      <c r="P432">
        <v>0</v>
      </c>
      <c r="Q432">
        <v>3</v>
      </c>
      <c r="R432" t="s">
        <v>28</v>
      </c>
      <c r="S432">
        <v>1</v>
      </c>
    </row>
    <row r="433" spans="1:19" ht="16.5" x14ac:dyDescent="0.3">
      <c r="A433" t="s">
        <v>483</v>
      </c>
      <c r="B433" s="1">
        <v>45337</v>
      </c>
      <c r="C433" s="1">
        <v>45345</v>
      </c>
      <c r="D433">
        <v>2024</v>
      </c>
      <c r="E433" t="s">
        <v>20</v>
      </c>
      <c r="F433" t="s">
        <v>351</v>
      </c>
      <c r="G433" t="s">
        <v>78</v>
      </c>
      <c r="H433" t="s">
        <v>50</v>
      </c>
      <c r="I433" t="s">
        <v>24</v>
      </c>
      <c r="J433" t="s">
        <v>43</v>
      </c>
      <c r="K433" t="s">
        <v>53</v>
      </c>
      <c r="L433" t="s">
        <v>27</v>
      </c>
      <c r="M433">
        <v>8</v>
      </c>
      <c r="N433" s="2">
        <v>49</v>
      </c>
      <c r="O433" s="3">
        <v>10929</v>
      </c>
      <c r="P433">
        <v>1</v>
      </c>
      <c r="Q433">
        <v>3</v>
      </c>
      <c r="R433" t="s">
        <v>33</v>
      </c>
      <c r="S433">
        <v>1</v>
      </c>
    </row>
    <row r="434" spans="1:19" ht="16.5" x14ac:dyDescent="0.3">
      <c r="A434" t="s">
        <v>484</v>
      </c>
      <c r="B434" s="1">
        <v>45337</v>
      </c>
      <c r="C434" s="1">
        <v>45341</v>
      </c>
      <c r="D434">
        <v>2024</v>
      </c>
      <c r="E434" t="s">
        <v>20</v>
      </c>
      <c r="F434" t="s">
        <v>351</v>
      </c>
      <c r="G434" t="s">
        <v>78</v>
      </c>
      <c r="H434" t="s">
        <v>35</v>
      </c>
      <c r="I434" t="s">
        <v>24</v>
      </c>
      <c r="J434" t="s">
        <v>25</v>
      </c>
      <c r="K434" t="s">
        <v>32</v>
      </c>
      <c r="L434" t="s">
        <v>44</v>
      </c>
      <c r="M434">
        <v>4</v>
      </c>
      <c r="N434" s="2">
        <v>32</v>
      </c>
      <c r="O434" s="3">
        <v>3984</v>
      </c>
      <c r="P434">
        <v>0</v>
      </c>
      <c r="Q434">
        <v>4</v>
      </c>
      <c r="R434" t="s">
        <v>33</v>
      </c>
      <c r="S434">
        <v>1</v>
      </c>
    </row>
    <row r="435" spans="1:19" ht="16.5" x14ac:dyDescent="0.3">
      <c r="A435" t="s">
        <v>485</v>
      </c>
      <c r="B435" s="1">
        <v>45337</v>
      </c>
      <c r="C435" s="1">
        <v>45342</v>
      </c>
      <c r="D435">
        <v>2024</v>
      </c>
      <c r="E435" t="s">
        <v>20</v>
      </c>
      <c r="F435" t="s">
        <v>351</v>
      </c>
      <c r="G435" t="s">
        <v>78</v>
      </c>
      <c r="H435" t="s">
        <v>30</v>
      </c>
      <c r="I435" t="s">
        <v>40</v>
      </c>
      <c r="J435" t="s">
        <v>25</v>
      </c>
      <c r="K435" t="s">
        <v>53</v>
      </c>
      <c r="L435" t="s">
        <v>37</v>
      </c>
      <c r="M435">
        <v>5</v>
      </c>
      <c r="N435" s="2"/>
      <c r="O435" s="3">
        <v>5386</v>
      </c>
      <c r="P435">
        <v>0</v>
      </c>
      <c r="Q435">
        <v>4</v>
      </c>
      <c r="R435" t="s">
        <v>28</v>
      </c>
      <c r="S435">
        <v>1</v>
      </c>
    </row>
    <row r="436" spans="1:19" ht="16.5" x14ac:dyDescent="0.3">
      <c r="A436" t="s">
        <v>486</v>
      </c>
      <c r="B436" s="1">
        <v>45337</v>
      </c>
      <c r="C436" s="1">
        <v>45340</v>
      </c>
      <c r="D436">
        <v>2024</v>
      </c>
      <c r="E436" t="s">
        <v>20</v>
      </c>
      <c r="F436" t="s">
        <v>351</v>
      </c>
      <c r="G436" t="s">
        <v>78</v>
      </c>
      <c r="H436" t="s">
        <v>39</v>
      </c>
      <c r="I436" t="s">
        <v>24</v>
      </c>
      <c r="J436" t="s">
        <v>43</v>
      </c>
      <c r="K436" t="s">
        <v>41</v>
      </c>
      <c r="L436" t="s">
        <v>44</v>
      </c>
      <c r="M436">
        <v>3</v>
      </c>
      <c r="N436" s="2">
        <v>43</v>
      </c>
      <c r="O436" s="3">
        <v>2730</v>
      </c>
      <c r="P436">
        <v>0</v>
      </c>
      <c r="Q436">
        <v>5</v>
      </c>
      <c r="R436" t="s">
        <v>28</v>
      </c>
      <c r="S436">
        <v>1</v>
      </c>
    </row>
    <row r="437" spans="1:19" ht="16.5" x14ac:dyDescent="0.3">
      <c r="A437" t="s">
        <v>487</v>
      </c>
      <c r="B437" s="1">
        <v>45337</v>
      </c>
      <c r="C437" s="1">
        <v>45349</v>
      </c>
      <c r="D437">
        <v>2024</v>
      </c>
      <c r="E437" t="s">
        <v>20</v>
      </c>
      <c r="F437" t="s">
        <v>351</v>
      </c>
      <c r="G437" t="s">
        <v>78</v>
      </c>
      <c r="H437" t="s">
        <v>23</v>
      </c>
      <c r="I437" t="s">
        <v>40</v>
      </c>
      <c r="J437" t="s">
        <v>25</v>
      </c>
      <c r="K437" t="s">
        <v>32</v>
      </c>
      <c r="L437" t="s">
        <v>27</v>
      </c>
      <c r="M437">
        <v>12</v>
      </c>
      <c r="N437" s="2"/>
      <c r="O437" s="3">
        <v>8753</v>
      </c>
      <c r="P437">
        <v>0</v>
      </c>
      <c r="Q437">
        <v>4</v>
      </c>
      <c r="R437" t="s">
        <v>28</v>
      </c>
      <c r="S437">
        <v>1</v>
      </c>
    </row>
    <row r="438" spans="1:19" ht="16.5" x14ac:dyDescent="0.3">
      <c r="A438" t="s">
        <v>488</v>
      </c>
      <c r="B438" s="1">
        <v>45337</v>
      </c>
      <c r="C438" s="1">
        <v>45339</v>
      </c>
      <c r="D438">
        <v>2024</v>
      </c>
      <c r="E438" t="s">
        <v>20</v>
      </c>
      <c r="F438" t="s">
        <v>351</v>
      </c>
      <c r="G438" t="s">
        <v>78</v>
      </c>
      <c r="H438" t="s">
        <v>23</v>
      </c>
      <c r="I438" t="s">
        <v>24</v>
      </c>
      <c r="J438" t="s">
        <v>43</v>
      </c>
      <c r="K438" t="s">
        <v>53</v>
      </c>
      <c r="L438" t="s">
        <v>44</v>
      </c>
      <c r="M438">
        <v>2</v>
      </c>
      <c r="N438" s="2">
        <v>146</v>
      </c>
      <c r="O438" s="3">
        <v>1579</v>
      </c>
      <c r="P438">
        <v>0</v>
      </c>
      <c r="Q438">
        <v>3</v>
      </c>
      <c r="R438" t="s">
        <v>33</v>
      </c>
      <c r="S438">
        <v>1</v>
      </c>
    </row>
    <row r="439" spans="1:19" ht="16.5" x14ac:dyDescent="0.3">
      <c r="A439" t="s">
        <v>489</v>
      </c>
      <c r="B439" s="1">
        <v>45337</v>
      </c>
      <c r="C439" s="1">
        <v>45349</v>
      </c>
      <c r="D439">
        <v>2024</v>
      </c>
      <c r="E439" t="s">
        <v>20</v>
      </c>
      <c r="F439" t="s">
        <v>351</v>
      </c>
      <c r="G439" t="s">
        <v>78</v>
      </c>
      <c r="H439" t="s">
        <v>52</v>
      </c>
      <c r="I439" t="s">
        <v>24</v>
      </c>
      <c r="J439" t="s">
        <v>25</v>
      </c>
      <c r="K439" t="s">
        <v>53</v>
      </c>
      <c r="L439" t="s">
        <v>44</v>
      </c>
      <c r="M439">
        <v>12</v>
      </c>
      <c r="N439" s="2">
        <v>22</v>
      </c>
      <c r="O439" s="3">
        <v>10400</v>
      </c>
      <c r="P439">
        <v>0</v>
      </c>
      <c r="Q439">
        <v>4</v>
      </c>
      <c r="R439" t="s">
        <v>33</v>
      </c>
      <c r="S439">
        <v>1</v>
      </c>
    </row>
    <row r="440" spans="1:19" ht="16.5" x14ac:dyDescent="0.3">
      <c r="A440" t="s">
        <v>490</v>
      </c>
      <c r="B440" s="1">
        <v>45337</v>
      </c>
      <c r="C440" s="1">
        <v>45341</v>
      </c>
      <c r="D440">
        <v>2024</v>
      </c>
      <c r="E440" t="s">
        <v>20</v>
      </c>
      <c r="F440" t="s">
        <v>351</v>
      </c>
      <c r="G440" t="s">
        <v>78</v>
      </c>
      <c r="H440" t="s">
        <v>39</v>
      </c>
      <c r="I440" t="s">
        <v>40</v>
      </c>
      <c r="J440" t="s">
        <v>25</v>
      </c>
      <c r="K440" t="s">
        <v>41</v>
      </c>
      <c r="L440" t="s">
        <v>27</v>
      </c>
      <c r="M440">
        <v>4</v>
      </c>
      <c r="N440" s="2"/>
      <c r="O440" s="3">
        <v>2192</v>
      </c>
      <c r="P440">
        <v>0</v>
      </c>
      <c r="Q440">
        <v>3</v>
      </c>
      <c r="R440" t="s">
        <v>59</v>
      </c>
      <c r="S440">
        <v>1</v>
      </c>
    </row>
    <row r="441" spans="1:19" ht="16.5" x14ac:dyDescent="0.3">
      <c r="A441" t="s">
        <v>491</v>
      </c>
      <c r="B441" s="1">
        <v>45337</v>
      </c>
      <c r="C441" s="1">
        <v>45342</v>
      </c>
      <c r="D441">
        <v>2024</v>
      </c>
      <c r="E441" t="s">
        <v>20</v>
      </c>
      <c r="F441" t="s">
        <v>351</v>
      </c>
      <c r="G441" t="s">
        <v>78</v>
      </c>
      <c r="H441" t="s">
        <v>30</v>
      </c>
      <c r="I441" t="s">
        <v>40</v>
      </c>
      <c r="J441" t="s">
        <v>43</v>
      </c>
      <c r="K441" t="s">
        <v>26</v>
      </c>
      <c r="L441" t="s">
        <v>44</v>
      </c>
      <c r="M441">
        <v>5</v>
      </c>
      <c r="N441" s="2"/>
      <c r="O441" s="3">
        <v>5559</v>
      </c>
      <c r="P441">
        <v>0</v>
      </c>
      <c r="Q441">
        <v>5</v>
      </c>
      <c r="R441" t="s">
        <v>33</v>
      </c>
      <c r="S441">
        <v>1</v>
      </c>
    </row>
    <row r="442" spans="1:19" ht="16.5" x14ac:dyDescent="0.3">
      <c r="A442" t="s">
        <v>492</v>
      </c>
      <c r="B442" s="1">
        <v>45337</v>
      </c>
      <c r="C442" s="1">
        <v>45340</v>
      </c>
      <c r="D442">
        <v>2024</v>
      </c>
      <c r="E442" t="s">
        <v>20</v>
      </c>
      <c r="F442" t="s">
        <v>351</v>
      </c>
      <c r="G442" t="s">
        <v>78</v>
      </c>
      <c r="H442" t="s">
        <v>35</v>
      </c>
      <c r="I442" t="s">
        <v>24</v>
      </c>
      <c r="J442" t="s">
        <v>25</v>
      </c>
      <c r="K442" t="s">
        <v>32</v>
      </c>
      <c r="L442" t="s">
        <v>27</v>
      </c>
      <c r="M442">
        <v>3</v>
      </c>
      <c r="N442" s="2">
        <v>91</v>
      </c>
      <c r="O442" s="3">
        <v>2274</v>
      </c>
      <c r="P442">
        <v>0</v>
      </c>
      <c r="Q442">
        <v>4</v>
      </c>
      <c r="R442" t="s">
        <v>28</v>
      </c>
      <c r="S442">
        <v>1</v>
      </c>
    </row>
    <row r="443" spans="1:19" ht="16.5" x14ac:dyDescent="0.3">
      <c r="A443" t="s">
        <v>493</v>
      </c>
      <c r="B443" s="1">
        <v>45338</v>
      </c>
      <c r="C443" s="1">
        <v>45348</v>
      </c>
      <c r="D443">
        <v>2024</v>
      </c>
      <c r="E443" t="s">
        <v>20</v>
      </c>
      <c r="F443" t="s">
        <v>351</v>
      </c>
      <c r="G443" t="s">
        <v>83</v>
      </c>
      <c r="H443" t="s">
        <v>23</v>
      </c>
      <c r="I443" t="s">
        <v>24</v>
      </c>
      <c r="J443" t="s">
        <v>43</v>
      </c>
      <c r="K443" t="s">
        <v>36</v>
      </c>
      <c r="L443" t="s">
        <v>44</v>
      </c>
      <c r="M443">
        <v>10</v>
      </c>
      <c r="N443" s="2">
        <v>180</v>
      </c>
      <c r="O443" s="3">
        <v>7769</v>
      </c>
      <c r="P443">
        <v>0</v>
      </c>
      <c r="Q443">
        <v>3</v>
      </c>
      <c r="R443" t="s">
        <v>28</v>
      </c>
      <c r="S443">
        <v>1</v>
      </c>
    </row>
    <row r="444" spans="1:19" ht="16.5" x14ac:dyDescent="0.3">
      <c r="A444" t="s">
        <v>494</v>
      </c>
      <c r="B444" s="1">
        <v>45338</v>
      </c>
      <c r="C444" s="1">
        <v>45341</v>
      </c>
      <c r="D444">
        <v>2024</v>
      </c>
      <c r="E444" t="s">
        <v>20</v>
      </c>
      <c r="F444" t="s">
        <v>351</v>
      </c>
      <c r="G444" t="s">
        <v>83</v>
      </c>
      <c r="H444" t="s">
        <v>39</v>
      </c>
      <c r="I444" t="s">
        <v>24</v>
      </c>
      <c r="J444" t="s">
        <v>43</v>
      </c>
      <c r="K444" t="s">
        <v>41</v>
      </c>
      <c r="L444" t="s">
        <v>44</v>
      </c>
      <c r="M444">
        <v>3</v>
      </c>
      <c r="N444" s="2">
        <v>85</v>
      </c>
      <c r="O444" s="3">
        <v>3052</v>
      </c>
      <c r="P444">
        <v>0</v>
      </c>
      <c r="Q444">
        <v>5</v>
      </c>
      <c r="R444" t="s">
        <v>28</v>
      </c>
      <c r="S444">
        <v>1</v>
      </c>
    </row>
    <row r="445" spans="1:19" ht="16.5" x14ac:dyDescent="0.3">
      <c r="A445" t="s">
        <v>495</v>
      </c>
      <c r="B445" s="1">
        <v>45338</v>
      </c>
      <c r="C445" s="1">
        <v>45340</v>
      </c>
      <c r="D445">
        <v>2024</v>
      </c>
      <c r="E445" t="s">
        <v>20</v>
      </c>
      <c r="F445" t="s">
        <v>351</v>
      </c>
      <c r="G445" t="s">
        <v>83</v>
      </c>
      <c r="H445" t="s">
        <v>35</v>
      </c>
      <c r="I445" t="s">
        <v>40</v>
      </c>
      <c r="J445" t="s">
        <v>25</v>
      </c>
      <c r="K445" t="s">
        <v>32</v>
      </c>
      <c r="L445" t="s">
        <v>44</v>
      </c>
      <c r="M445">
        <v>2</v>
      </c>
      <c r="N445" s="2"/>
      <c r="O445" s="3">
        <v>1902</v>
      </c>
      <c r="P445">
        <v>0</v>
      </c>
      <c r="Q445">
        <v>5</v>
      </c>
      <c r="R445" t="s">
        <v>33</v>
      </c>
      <c r="S445">
        <v>1</v>
      </c>
    </row>
    <row r="446" spans="1:19" ht="16.5" x14ac:dyDescent="0.3">
      <c r="A446" t="s">
        <v>496</v>
      </c>
      <c r="B446" s="1">
        <v>45338</v>
      </c>
      <c r="C446" s="1">
        <v>45340</v>
      </c>
      <c r="D446">
        <v>2024</v>
      </c>
      <c r="E446" t="s">
        <v>20</v>
      </c>
      <c r="F446" t="s">
        <v>351</v>
      </c>
      <c r="G446" t="s">
        <v>83</v>
      </c>
      <c r="H446" t="s">
        <v>50</v>
      </c>
      <c r="I446" t="s">
        <v>24</v>
      </c>
      <c r="J446" t="s">
        <v>43</v>
      </c>
      <c r="K446" t="s">
        <v>32</v>
      </c>
      <c r="L446" t="s">
        <v>27</v>
      </c>
      <c r="M446">
        <v>2</v>
      </c>
      <c r="N446" s="2">
        <v>55</v>
      </c>
      <c r="O446" s="3">
        <v>3564</v>
      </c>
      <c r="P446">
        <v>0</v>
      </c>
      <c r="Q446">
        <v>5</v>
      </c>
      <c r="R446" t="s">
        <v>28</v>
      </c>
      <c r="S446">
        <v>1</v>
      </c>
    </row>
    <row r="447" spans="1:19" ht="16.5" x14ac:dyDescent="0.3">
      <c r="A447" t="s">
        <v>497</v>
      </c>
      <c r="B447" s="1">
        <v>45338</v>
      </c>
      <c r="C447" s="1">
        <v>45343</v>
      </c>
      <c r="D447">
        <v>2024</v>
      </c>
      <c r="E447" t="s">
        <v>20</v>
      </c>
      <c r="F447" t="s">
        <v>351</v>
      </c>
      <c r="G447" t="s">
        <v>83</v>
      </c>
      <c r="H447" t="s">
        <v>52</v>
      </c>
      <c r="I447" t="s">
        <v>40</v>
      </c>
      <c r="J447" t="s">
        <v>43</v>
      </c>
      <c r="K447" t="s">
        <v>26</v>
      </c>
      <c r="L447" t="s">
        <v>44</v>
      </c>
      <c r="M447">
        <v>5</v>
      </c>
      <c r="N447" s="2"/>
      <c r="O447" s="3">
        <v>4397</v>
      </c>
      <c r="P447">
        <v>0</v>
      </c>
      <c r="Q447">
        <v>5</v>
      </c>
      <c r="R447" t="s">
        <v>33</v>
      </c>
      <c r="S447">
        <v>1</v>
      </c>
    </row>
    <row r="448" spans="1:19" ht="16.5" x14ac:dyDescent="0.3">
      <c r="A448" t="s">
        <v>498</v>
      </c>
      <c r="B448" s="1">
        <v>45338</v>
      </c>
      <c r="C448" s="1">
        <v>45345</v>
      </c>
      <c r="D448">
        <v>2024</v>
      </c>
      <c r="E448" t="s">
        <v>20</v>
      </c>
      <c r="F448" t="s">
        <v>351</v>
      </c>
      <c r="G448" t="s">
        <v>83</v>
      </c>
      <c r="H448" t="s">
        <v>52</v>
      </c>
      <c r="I448" t="s">
        <v>24</v>
      </c>
      <c r="J448" t="s">
        <v>25</v>
      </c>
      <c r="K448" t="s">
        <v>53</v>
      </c>
      <c r="L448" t="s">
        <v>37</v>
      </c>
      <c r="M448">
        <v>7</v>
      </c>
      <c r="N448" s="2">
        <v>116</v>
      </c>
      <c r="O448" s="3">
        <v>4889</v>
      </c>
      <c r="P448">
        <v>0</v>
      </c>
      <c r="Q448">
        <v>3</v>
      </c>
      <c r="R448" t="s">
        <v>28</v>
      </c>
      <c r="S448">
        <v>1</v>
      </c>
    </row>
    <row r="449" spans="1:19" ht="16.5" x14ac:dyDescent="0.3">
      <c r="A449" t="s">
        <v>499</v>
      </c>
      <c r="B449" s="1">
        <v>45338</v>
      </c>
      <c r="C449" s="1">
        <v>45347</v>
      </c>
      <c r="D449">
        <v>2024</v>
      </c>
      <c r="E449" t="s">
        <v>20</v>
      </c>
      <c r="F449" t="s">
        <v>351</v>
      </c>
      <c r="G449" t="s">
        <v>83</v>
      </c>
      <c r="H449" t="s">
        <v>30</v>
      </c>
      <c r="I449" t="s">
        <v>40</v>
      </c>
      <c r="J449" t="s">
        <v>43</v>
      </c>
      <c r="K449" t="s">
        <v>26</v>
      </c>
      <c r="L449" t="s">
        <v>27</v>
      </c>
      <c r="M449">
        <v>9</v>
      </c>
      <c r="N449" s="2"/>
      <c r="O449" s="3">
        <v>8603</v>
      </c>
      <c r="P449">
        <v>0</v>
      </c>
      <c r="Q449">
        <v>5</v>
      </c>
      <c r="R449" t="s">
        <v>33</v>
      </c>
      <c r="S449">
        <v>1</v>
      </c>
    </row>
    <row r="450" spans="1:19" ht="16.5" x14ac:dyDescent="0.3">
      <c r="A450" t="s">
        <v>500</v>
      </c>
      <c r="B450" s="1">
        <v>45338</v>
      </c>
      <c r="C450" s="1">
        <v>45341</v>
      </c>
      <c r="D450">
        <v>2024</v>
      </c>
      <c r="E450" t="s">
        <v>20</v>
      </c>
      <c r="F450" t="s">
        <v>351</v>
      </c>
      <c r="G450" t="s">
        <v>83</v>
      </c>
      <c r="H450" t="s">
        <v>39</v>
      </c>
      <c r="I450" t="s">
        <v>24</v>
      </c>
      <c r="J450" t="s">
        <v>43</v>
      </c>
      <c r="K450" t="s">
        <v>41</v>
      </c>
      <c r="L450" t="s">
        <v>27</v>
      </c>
      <c r="M450">
        <v>3</v>
      </c>
      <c r="N450" s="2">
        <v>187</v>
      </c>
      <c r="O450" s="3">
        <v>2355</v>
      </c>
      <c r="P450">
        <v>0</v>
      </c>
      <c r="Q450">
        <v>3</v>
      </c>
      <c r="R450" t="s">
        <v>33</v>
      </c>
      <c r="S450">
        <v>1</v>
      </c>
    </row>
    <row r="451" spans="1:19" ht="16.5" x14ac:dyDescent="0.3">
      <c r="A451" t="s">
        <v>501</v>
      </c>
      <c r="B451" s="1">
        <v>45338</v>
      </c>
      <c r="C451" s="1">
        <v>45340</v>
      </c>
      <c r="D451">
        <v>2024</v>
      </c>
      <c r="E451" t="s">
        <v>20</v>
      </c>
      <c r="F451" t="s">
        <v>351</v>
      </c>
      <c r="G451" t="s">
        <v>83</v>
      </c>
      <c r="H451" t="s">
        <v>52</v>
      </c>
      <c r="I451" t="s">
        <v>40</v>
      </c>
      <c r="J451" t="s">
        <v>25</v>
      </c>
      <c r="K451" t="s">
        <v>36</v>
      </c>
      <c r="L451" t="s">
        <v>44</v>
      </c>
      <c r="M451">
        <v>2</v>
      </c>
      <c r="N451" s="2"/>
      <c r="O451" s="3">
        <v>2260</v>
      </c>
      <c r="P451">
        <v>0</v>
      </c>
      <c r="Q451">
        <v>4</v>
      </c>
      <c r="R451" t="s">
        <v>28</v>
      </c>
      <c r="S451">
        <v>1</v>
      </c>
    </row>
    <row r="452" spans="1:19" ht="16.5" x14ac:dyDescent="0.3">
      <c r="A452" t="s">
        <v>502</v>
      </c>
      <c r="B452" s="1">
        <v>45339</v>
      </c>
      <c r="C452" s="1">
        <v>45342</v>
      </c>
      <c r="D452">
        <v>2024</v>
      </c>
      <c r="E452" t="s">
        <v>20</v>
      </c>
      <c r="F452" t="s">
        <v>351</v>
      </c>
      <c r="G452" t="s">
        <v>102</v>
      </c>
      <c r="H452" t="s">
        <v>39</v>
      </c>
      <c r="I452" t="s">
        <v>40</v>
      </c>
      <c r="J452" t="s">
        <v>43</v>
      </c>
      <c r="K452" t="s">
        <v>41</v>
      </c>
      <c r="L452" t="s">
        <v>44</v>
      </c>
      <c r="M452">
        <v>3</v>
      </c>
      <c r="N452" s="2"/>
      <c r="O452" s="3">
        <v>2323</v>
      </c>
      <c r="P452">
        <v>0</v>
      </c>
      <c r="Q452">
        <v>4</v>
      </c>
      <c r="R452" t="s">
        <v>33</v>
      </c>
      <c r="S452">
        <v>1</v>
      </c>
    </row>
    <row r="453" spans="1:19" ht="16.5" x14ac:dyDescent="0.3">
      <c r="A453" t="s">
        <v>503</v>
      </c>
      <c r="B453" s="1">
        <v>45339</v>
      </c>
      <c r="C453" s="1">
        <v>45340</v>
      </c>
      <c r="D453">
        <v>2024</v>
      </c>
      <c r="E453" t="s">
        <v>20</v>
      </c>
      <c r="F453" t="s">
        <v>351</v>
      </c>
      <c r="G453" t="s">
        <v>102</v>
      </c>
      <c r="H453" t="s">
        <v>50</v>
      </c>
      <c r="I453" t="s">
        <v>24</v>
      </c>
      <c r="J453" t="s">
        <v>43</v>
      </c>
      <c r="K453" t="s">
        <v>53</v>
      </c>
      <c r="L453" t="s">
        <v>44</v>
      </c>
      <c r="M453">
        <v>1</v>
      </c>
      <c r="N453" s="2">
        <v>44</v>
      </c>
      <c r="O453" s="3">
        <v>2307</v>
      </c>
      <c r="P453">
        <v>0</v>
      </c>
      <c r="Q453">
        <v>4</v>
      </c>
      <c r="R453" t="s">
        <v>28</v>
      </c>
      <c r="S453">
        <v>1</v>
      </c>
    </row>
    <row r="454" spans="1:19" ht="16.5" x14ac:dyDescent="0.3">
      <c r="A454" t="s">
        <v>504</v>
      </c>
      <c r="B454" s="1">
        <v>45339</v>
      </c>
      <c r="C454" s="1">
        <v>45343</v>
      </c>
      <c r="D454">
        <v>2024</v>
      </c>
      <c r="E454" t="s">
        <v>20</v>
      </c>
      <c r="F454" t="s">
        <v>351</v>
      </c>
      <c r="G454" t="s">
        <v>102</v>
      </c>
      <c r="H454" t="s">
        <v>23</v>
      </c>
      <c r="I454" t="s">
        <v>24</v>
      </c>
      <c r="J454" t="s">
        <v>25</v>
      </c>
      <c r="K454" t="s">
        <v>32</v>
      </c>
      <c r="L454" t="s">
        <v>27</v>
      </c>
      <c r="M454">
        <v>4</v>
      </c>
      <c r="N454" s="2">
        <v>121</v>
      </c>
      <c r="O454" s="3">
        <v>3364</v>
      </c>
      <c r="P454">
        <v>1</v>
      </c>
      <c r="Q454">
        <v>2</v>
      </c>
      <c r="R454" t="s">
        <v>33</v>
      </c>
      <c r="S454">
        <v>1</v>
      </c>
    </row>
    <row r="455" spans="1:19" ht="16.5" x14ac:dyDescent="0.3">
      <c r="A455" t="s">
        <v>505</v>
      </c>
      <c r="B455" s="1">
        <v>45339</v>
      </c>
      <c r="C455" s="1">
        <v>45342</v>
      </c>
      <c r="D455">
        <v>2024</v>
      </c>
      <c r="E455" t="s">
        <v>20</v>
      </c>
      <c r="F455" t="s">
        <v>351</v>
      </c>
      <c r="G455" t="s">
        <v>102</v>
      </c>
      <c r="H455" t="s">
        <v>52</v>
      </c>
      <c r="I455" t="s">
        <v>40</v>
      </c>
      <c r="J455" t="s">
        <v>25</v>
      </c>
      <c r="K455" t="s">
        <v>53</v>
      </c>
      <c r="L455" t="s">
        <v>44</v>
      </c>
      <c r="M455">
        <v>3</v>
      </c>
      <c r="N455" s="2"/>
      <c r="O455" s="3">
        <v>3604</v>
      </c>
      <c r="P455">
        <v>0</v>
      </c>
      <c r="Q455">
        <v>3</v>
      </c>
      <c r="R455" t="s">
        <v>33</v>
      </c>
      <c r="S455">
        <v>1</v>
      </c>
    </row>
    <row r="456" spans="1:19" ht="16.5" x14ac:dyDescent="0.3">
      <c r="A456" t="s">
        <v>506</v>
      </c>
      <c r="B456" s="1">
        <v>45339</v>
      </c>
      <c r="C456" s="1">
        <v>45344</v>
      </c>
      <c r="D456">
        <v>2024</v>
      </c>
      <c r="E456" t="s">
        <v>20</v>
      </c>
      <c r="F456" t="s">
        <v>351</v>
      </c>
      <c r="G456" t="s">
        <v>102</v>
      </c>
      <c r="H456" t="s">
        <v>30</v>
      </c>
      <c r="I456" t="s">
        <v>40</v>
      </c>
      <c r="J456" t="s">
        <v>43</v>
      </c>
      <c r="K456" t="s">
        <v>26</v>
      </c>
      <c r="L456" t="s">
        <v>27</v>
      </c>
      <c r="M456">
        <v>5</v>
      </c>
      <c r="N456" s="2"/>
      <c r="O456" s="3">
        <v>4444</v>
      </c>
      <c r="P456">
        <v>1</v>
      </c>
      <c r="Q456">
        <v>5</v>
      </c>
      <c r="R456" t="s">
        <v>33</v>
      </c>
      <c r="S456">
        <v>1</v>
      </c>
    </row>
    <row r="457" spans="1:19" ht="16.5" x14ac:dyDescent="0.3">
      <c r="A457" t="s">
        <v>507</v>
      </c>
      <c r="B457" s="1">
        <v>45339</v>
      </c>
      <c r="C457" s="1">
        <v>45345</v>
      </c>
      <c r="D457">
        <v>2024</v>
      </c>
      <c r="E457" t="s">
        <v>20</v>
      </c>
      <c r="F457" t="s">
        <v>351</v>
      </c>
      <c r="G457" t="s">
        <v>102</v>
      </c>
      <c r="H457" t="s">
        <v>50</v>
      </c>
      <c r="I457" t="s">
        <v>24</v>
      </c>
      <c r="J457" t="s">
        <v>43</v>
      </c>
      <c r="K457" t="s">
        <v>36</v>
      </c>
      <c r="L457" t="s">
        <v>37</v>
      </c>
      <c r="M457">
        <v>6</v>
      </c>
      <c r="N457" s="2">
        <v>123</v>
      </c>
      <c r="O457" s="3">
        <v>8389</v>
      </c>
      <c r="P457">
        <v>0</v>
      </c>
      <c r="Q457">
        <v>3</v>
      </c>
      <c r="R457" t="s">
        <v>33</v>
      </c>
      <c r="S457">
        <v>1</v>
      </c>
    </row>
    <row r="458" spans="1:19" ht="16.5" x14ac:dyDescent="0.3">
      <c r="A458" t="s">
        <v>508</v>
      </c>
      <c r="B458" s="1">
        <v>45339</v>
      </c>
      <c r="C458" s="1">
        <v>45341</v>
      </c>
      <c r="D458">
        <v>2024</v>
      </c>
      <c r="E458" t="s">
        <v>20</v>
      </c>
      <c r="F458" t="s">
        <v>351</v>
      </c>
      <c r="G458" t="s">
        <v>102</v>
      </c>
      <c r="H458" t="s">
        <v>23</v>
      </c>
      <c r="I458" t="s">
        <v>24</v>
      </c>
      <c r="J458" t="s">
        <v>25</v>
      </c>
      <c r="K458" t="s">
        <v>32</v>
      </c>
      <c r="L458" t="s">
        <v>27</v>
      </c>
      <c r="M458">
        <v>2</v>
      </c>
      <c r="N458" s="2">
        <v>30</v>
      </c>
      <c r="O458" s="3">
        <v>1933</v>
      </c>
      <c r="P458">
        <v>0</v>
      </c>
      <c r="Q458">
        <v>5</v>
      </c>
      <c r="R458" t="s">
        <v>28</v>
      </c>
      <c r="S458">
        <v>1</v>
      </c>
    </row>
    <row r="459" spans="1:19" ht="16.5" x14ac:dyDescent="0.3">
      <c r="A459" t="s">
        <v>509</v>
      </c>
      <c r="B459" s="1">
        <v>45339</v>
      </c>
      <c r="C459" s="1">
        <v>45341</v>
      </c>
      <c r="D459">
        <v>2024</v>
      </c>
      <c r="E459" t="s">
        <v>20</v>
      </c>
      <c r="F459" t="s">
        <v>351</v>
      </c>
      <c r="G459" t="s">
        <v>102</v>
      </c>
      <c r="H459" t="s">
        <v>39</v>
      </c>
      <c r="I459" t="s">
        <v>40</v>
      </c>
      <c r="J459" t="s">
        <v>43</v>
      </c>
      <c r="K459" t="s">
        <v>41</v>
      </c>
      <c r="L459" t="s">
        <v>44</v>
      </c>
      <c r="M459">
        <v>2</v>
      </c>
      <c r="N459" s="2"/>
      <c r="O459" s="3">
        <v>2043</v>
      </c>
      <c r="P459">
        <v>0</v>
      </c>
      <c r="Q459">
        <v>4</v>
      </c>
      <c r="R459" t="s">
        <v>28</v>
      </c>
      <c r="S459">
        <v>1</v>
      </c>
    </row>
    <row r="460" spans="1:19" ht="16.5" x14ac:dyDescent="0.3">
      <c r="A460" t="s">
        <v>510</v>
      </c>
      <c r="B460" s="1">
        <v>45339</v>
      </c>
      <c r="C460" s="1">
        <v>45340</v>
      </c>
      <c r="D460">
        <v>2024</v>
      </c>
      <c r="E460" t="s">
        <v>20</v>
      </c>
      <c r="F460" t="s">
        <v>351</v>
      </c>
      <c r="G460" t="s">
        <v>102</v>
      </c>
      <c r="H460" t="s">
        <v>23</v>
      </c>
      <c r="I460" t="s">
        <v>24</v>
      </c>
      <c r="J460" t="s">
        <v>25</v>
      </c>
      <c r="K460" t="s">
        <v>53</v>
      </c>
      <c r="L460" t="s">
        <v>44</v>
      </c>
      <c r="M460">
        <v>1</v>
      </c>
      <c r="N460" s="2">
        <v>137</v>
      </c>
      <c r="O460" s="3">
        <v>1278</v>
      </c>
      <c r="P460">
        <v>1</v>
      </c>
      <c r="Q460">
        <v>3</v>
      </c>
      <c r="R460" t="s">
        <v>33</v>
      </c>
      <c r="S460">
        <v>1</v>
      </c>
    </row>
    <row r="461" spans="1:19" ht="16.5" x14ac:dyDescent="0.3">
      <c r="A461" t="s">
        <v>511</v>
      </c>
      <c r="B461" s="1">
        <v>45339</v>
      </c>
      <c r="C461" s="1">
        <v>45341</v>
      </c>
      <c r="D461">
        <v>2024</v>
      </c>
      <c r="E461" t="s">
        <v>20</v>
      </c>
      <c r="F461" t="s">
        <v>351</v>
      </c>
      <c r="G461" t="s">
        <v>102</v>
      </c>
      <c r="H461" t="s">
        <v>23</v>
      </c>
      <c r="I461" t="s">
        <v>40</v>
      </c>
      <c r="J461" t="s">
        <v>25</v>
      </c>
      <c r="K461" t="s">
        <v>53</v>
      </c>
      <c r="L461" t="s">
        <v>44</v>
      </c>
      <c r="M461">
        <v>2</v>
      </c>
      <c r="N461" s="2"/>
      <c r="O461" s="3">
        <v>2095</v>
      </c>
      <c r="P461">
        <v>0</v>
      </c>
      <c r="Q461">
        <v>4</v>
      </c>
      <c r="R461" t="s">
        <v>33</v>
      </c>
      <c r="S461">
        <v>1</v>
      </c>
    </row>
    <row r="462" spans="1:19" ht="16.5" x14ac:dyDescent="0.3">
      <c r="A462" t="s">
        <v>512</v>
      </c>
      <c r="B462" s="1">
        <v>45339</v>
      </c>
      <c r="C462" s="1">
        <v>45350</v>
      </c>
      <c r="D462">
        <v>2024</v>
      </c>
      <c r="E462" t="s">
        <v>20</v>
      </c>
      <c r="F462" t="s">
        <v>351</v>
      </c>
      <c r="G462" t="s">
        <v>102</v>
      </c>
      <c r="H462" t="s">
        <v>23</v>
      </c>
      <c r="I462" t="s">
        <v>24</v>
      </c>
      <c r="J462" t="s">
        <v>25</v>
      </c>
      <c r="K462" t="s">
        <v>26</v>
      </c>
      <c r="L462" t="s">
        <v>44</v>
      </c>
      <c r="M462">
        <v>11</v>
      </c>
      <c r="N462" s="2">
        <v>123</v>
      </c>
      <c r="O462" s="3">
        <v>6696</v>
      </c>
      <c r="P462">
        <v>0</v>
      </c>
      <c r="Q462">
        <v>3</v>
      </c>
      <c r="R462" t="s">
        <v>33</v>
      </c>
      <c r="S462">
        <v>1</v>
      </c>
    </row>
    <row r="463" spans="1:19" ht="16.5" x14ac:dyDescent="0.3">
      <c r="A463" t="s">
        <v>513</v>
      </c>
      <c r="B463" s="1">
        <v>45340</v>
      </c>
      <c r="C463" s="1">
        <v>45342</v>
      </c>
      <c r="D463">
        <v>2024</v>
      </c>
      <c r="E463" t="s">
        <v>20</v>
      </c>
      <c r="F463" t="s">
        <v>351</v>
      </c>
      <c r="G463" t="s">
        <v>112</v>
      </c>
      <c r="H463" t="s">
        <v>23</v>
      </c>
      <c r="I463" t="s">
        <v>24</v>
      </c>
      <c r="J463" t="s">
        <v>43</v>
      </c>
      <c r="K463" t="s">
        <v>53</v>
      </c>
      <c r="L463" t="s">
        <v>27</v>
      </c>
      <c r="M463">
        <v>2</v>
      </c>
      <c r="N463" s="2">
        <v>61</v>
      </c>
      <c r="O463" s="3">
        <v>2214</v>
      </c>
      <c r="P463">
        <v>0</v>
      </c>
      <c r="Q463">
        <v>4</v>
      </c>
      <c r="R463" t="s">
        <v>165</v>
      </c>
      <c r="S463">
        <v>1</v>
      </c>
    </row>
    <row r="464" spans="1:19" ht="16.5" x14ac:dyDescent="0.3">
      <c r="A464" t="s">
        <v>514</v>
      </c>
      <c r="B464" s="1">
        <v>45340</v>
      </c>
      <c r="C464" s="1">
        <v>45346</v>
      </c>
      <c r="D464">
        <v>2024</v>
      </c>
      <c r="E464" t="s">
        <v>20</v>
      </c>
      <c r="F464" t="s">
        <v>351</v>
      </c>
      <c r="G464" t="s">
        <v>112</v>
      </c>
      <c r="H464" t="s">
        <v>39</v>
      </c>
      <c r="I464" t="s">
        <v>24</v>
      </c>
      <c r="J464" t="s">
        <v>43</v>
      </c>
      <c r="K464" t="s">
        <v>41</v>
      </c>
      <c r="L464" t="s">
        <v>44</v>
      </c>
      <c r="M464">
        <v>6</v>
      </c>
      <c r="N464" s="2">
        <v>64</v>
      </c>
      <c r="O464" s="3">
        <v>4073</v>
      </c>
      <c r="P464">
        <v>0</v>
      </c>
      <c r="Q464">
        <v>4</v>
      </c>
      <c r="R464" t="s">
        <v>33</v>
      </c>
      <c r="S464">
        <v>1</v>
      </c>
    </row>
    <row r="465" spans="1:19" ht="16.5" x14ac:dyDescent="0.3">
      <c r="A465" t="s">
        <v>515</v>
      </c>
      <c r="B465" s="1">
        <v>45340</v>
      </c>
      <c r="C465" s="1">
        <v>45342</v>
      </c>
      <c r="D465">
        <v>2024</v>
      </c>
      <c r="E465" t="s">
        <v>20</v>
      </c>
      <c r="F465" t="s">
        <v>351</v>
      </c>
      <c r="G465" t="s">
        <v>112</v>
      </c>
      <c r="H465" t="s">
        <v>35</v>
      </c>
      <c r="I465" t="s">
        <v>24</v>
      </c>
      <c r="J465" t="s">
        <v>25</v>
      </c>
      <c r="K465" t="s">
        <v>32</v>
      </c>
      <c r="L465" t="s">
        <v>44</v>
      </c>
      <c r="M465">
        <v>2</v>
      </c>
      <c r="N465" s="2">
        <v>56</v>
      </c>
      <c r="O465" s="3">
        <v>2104</v>
      </c>
      <c r="P465">
        <v>0</v>
      </c>
      <c r="Q465">
        <v>4</v>
      </c>
      <c r="R465" t="s">
        <v>33</v>
      </c>
      <c r="S465">
        <v>1</v>
      </c>
    </row>
    <row r="466" spans="1:19" ht="16.5" x14ac:dyDescent="0.3">
      <c r="A466" t="s">
        <v>516</v>
      </c>
      <c r="B466" s="1">
        <v>45340</v>
      </c>
      <c r="C466" s="1">
        <v>45342</v>
      </c>
      <c r="D466">
        <v>2024</v>
      </c>
      <c r="E466" t="s">
        <v>20</v>
      </c>
      <c r="F466" t="s">
        <v>351</v>
      </c>
      <c r="G466" t="s">
        <v>112</v>
      </c>
      <c r="H466" t="s">
        <v>52</v>
      </c>
      <c r="I466" t="s">
        <v>40</v>
      </c>
      <c r="J466" t="s">
        <v>25</v>
      </c>
      <c r="K466" t="s">
        <v>26</v>
      </c>
      <c r="L466" t="s">
        <v>44</v>
      </c>
      <c r="M466">
        <v>2</v>
      </c>
      <c r="N466" s="2"/>
      <c r="O466" s="3">
        <v>2929</v>
      </c>
      <c r="P466">
        <v>0</v>
      </c>
      <c r="Q466">
        <v>4</v>
      </c>
      <c r="R466" t="s">
        <v>33</v>
      </c>
      <c r="S466">
        <v>1</v>
      </c>
    </row>
    <row r="467" spans="1:19" ht="16.5" x14ac:dyDescent="0.3">
      <c r="A467" t="s">
        <v>517</v>
      </c>
      <c r="B467" s="1">
        <v>45340</v>
      </c>
      <c r="C467" s="1">
        <v>45355</v>
      </c>
      <c r="D467">
        <v>2024</v>
      </c>
      <c r="E467" t="s">
        <v>20</v>
      </c>
      <c r="F467" t="s">
        <v>351</v>
      </c>
      <c r="G467" t="s">
        <v>112</v>
      </c>
      <c r="H467" t="s">
        <v>23</v>
      </c>
      <c r="I467" t="s">
        <v>24</v>
      </c>
      <c r="J467" t="s">
        <v>43</v>
      </c>
      <c r="K467" t="s">
        <v>26</v>
      </c>
      <c r="L467" t="s">
        <v>44</v>
      </c>
      <c r="M467">
        <v>15</v>
      </c>
      <c r="N467" s="2">
        <v>86</v>
      </c>
      <c r="O467" s="3">
        <v>11578</v>
      </c>
      <c r="P467">
        <v>0</v>
      </c>
      <c r="Q467">
        <v>4</v>
      </c>
      <c r="R467" t="s">
        <v>33</v>
      </c>
      <c r="S467">
        <v>1</v>
      </c>
    </row>
    <row r="468" spans="1:19" ht="16.5" x14ac:dyDescent="0.3">
      <c r="A468" t="s">
        <v>518</v>
      </c>
      <c r="B468" s="1">
        <v>45341</v>
      </c>
      <c r="C468" s="1">
        <v>45344</v>
      </c>
      <c r="D468">
        <v>2024</v>
      </c>
      <c r="E468" t="s">
        <v>20</v>
      </c>
      <c r="F468" t="s">
        <v>351</v>
      </c>
      <c r="G468" t="s">
        <v>22</v>
      </c>
      <c r="H468" t="s">
        <v>23</v>
      </c>
      <c r="I468" t="s">
        <v>24</v>
      </c>
      <c r="J468" t="s">
        <v>43</v>
      </c>
      <c r="K468" t="s">
        <v>26</v>
      </c>
      <c r="L468" t="s">
        <v>44</v>
      </c>
      <c r="M468">
        <v>3</v>
      </c>
      <c r="N468" s="2">
        <v>45</v>
      </c>
      <c r="O468" s="3">
        <v>3594</v>
      </c>
      <c r="P468">
        <v>1</v>
      </c>
      <c r="Q468">
        <v>4</v>
      </c>
      <c r="R468" t="s">
        <v>59</v>
      </c>
      <c r="S468">
        <v>1</v>
      </c>
    </row>
    <row r="469" spans="1:19" ht="16.5" x14ac:dyDescent="0.3">
      <c r="A469" t="s">
        <v>519</v>
      </c>
      <c r="B469" s="1">
        <v>45341</v>
      </c>
      <c r="C469" s="1">
        <v>45346</v>
      </c>
      <c r="D469">
        <v>2024</v>
      </c>
      <c r="E469" t="s">
        <v>20</v>
      </c>
      <c r="F469" t="s">
        <v>351</v>
      </c>
      <c r="G469" t="s">
        <v>22</v>
      </c>
      <c r="H469" t="s">
        <v>50</v>
      </c>
      <c r="I469" t="s">
        <v>40</v>
      </c>
      <c r="J469" t="s">
        <v>43</v>
      </c>
      <c r="K469" t="s">
        <v>26</v>
      </c>
      <c r="L469" t="s">
        <v>44</v>
      </c>
      <c r="M469">
        <v>5</v>
      </c>
      <c r="N469" s="2"/>
      <c r="O469" s="3">
        <v>5272</v>
      </c>
      <c r="P469">
        <v>0</v>
      </c>
      <c r="Q469">
        <v>4</v>
      </c>
      <c r="R469" t="s">
        <v>28</v>
      </c>
      <c r="S469">
        <v>1</v>
      </c>
    </row>
    <row r="470" spans="1:19" ht="16.5" x14ac:dyDescent="0.3">
      <c r="A470" t="s">
        <v>520</v>
      </c>
      <c r="B470" s="1">
        <v>45341</v>
      </c>
      <c r="C470" s="1">
        <v>45344</v>
      </c>
      <c r="D470">
        <v>2024</v>
      </c>
      <c r="E470" t="s">
        <v>20</v>
      </c>
      <c r="F470" t="s">
        <v>351</v>
      </c>
      <c r="G470" t="s">
        <v>22</v>
      </c>
      <c r="H470" t="s">
        <v>39</v>
      </c>
      <c r="I470" t="s">
        <v>24</v>
      </c>
      <c r="J470" t="s">
        <v>43</v>
      </c>
      <c r="K470" t="s">
        <v>41</v>
      </c>
      <c r="L470" t="s">
        <v>44</v>
      </c>
      <c r="M470">
        <v>3</v>
      </c>
      <c r="N470" s="2">
        <v>75</v>
      </c>
      <c r="O470" s="3">
        <v>2334</v>
      </c>
      <c r="P470">
        <v>0</v>
      </c>
      <c r="Q470">
        <v>4</v>
      </c>
      <c r="R470" t="s">
        <v>33</v>
      </c>
      <c r="S470">
        <v>1</v>
      </c>
    </row>
    <row r="471" spans="1:19" ht="16.5" x14ac:dyDescent="0.3">
      <c r="A471" t="s">
        <v>521</v>
      </c>
      <c r="B471" s="1">
        <v>45341</v>
      </c>
      <c r="C471" s="1">
        <v>45344</v>
      </c>
      <c r="D471">
        <v>2024</v>
      </c>
      <c r="E471" t="s">
        <v>20</v>
      </c>
      <c r="F471" t="s">
        <v>351</v>
      </c>
      <c r="G471" t="s">
        <v>22</v>
      </c>
      <c r="H471" t="s">
        <v>39</v>
      </c>
      <c r="I471" t="s">
        <v>24</v>
      </c>
      <c r="J471" t="s">
        <v>43</v>
      </c>
      <c r="K471" t="s">
        <v>41</v>
      </c>
      <c r="L471" t="s">
        <v>44</v>
      </c>
      <c r="M471">
        <v>3</v>
      </c>
      <c r="N471" s="2">
        <v>132</v>
      </c>
      <c r="O471" s="3">
        <v>2820</v>
      </c>
      <c r="P471">
        <v>1</v>
      </c>
      <c r="Q471">
        <v>2</v>
      </c>
      <c r="R471" t="s">
        <v>33</v>
      </c>
      <c r="S471">
        <v>1</v>
      </c>
    </row>
    <row r="472" spans="1:19" ht="16.5" x14ac:dyDescent="0.3">
      <c r="A472" t="s">
        <v>522</v>
      </c>
      <c r="B472" s="1">
        <v>45341</v>
      </c>
      <c r="C472" s="1">
        <v>45347</v>
      </c>
      <c r="D472">
        <v>2024</v>
      </c>
      <c r="E472" t="s">
        <v>20</v>
      </c>
      <c r="F472" t="s">
        <v>351</v>
      </c>
      <c r="G472" t="s">
        <v>22</v>
      </c>
      <c r="H472" t="s">
        <v>30</v>
      </c>
      <c r="I472" t="s">
        <v>24</v>
      </c>
      <c r="J472" t="s">
        <v>43</v>
      </c>
      <c r="K472" t="s">
        <v>26</v>
      </c>
      <c r="L472" t="s">
        <v>27</v>
      </c>
      <c r="M472">
        <v>6</v>
      </c>
      <c r="N472" s="2">
        <v>70</v>
      </c>
      <c r="O472" s="3">
        <v>7215</v>
      </c>
      <c r="P472">
        <v>1</v>
      </c>
      <c r="Q472">
        <v>4</v>
      </c>
      <c r="R472" t="s">
        <v>33</v>
      </c>
      <c r="S472">
        <v>1</v>
      </c>
    </row>
    <row r="473" spans="1:19" ht="16.5" x14ac:dyDescent="0.3">
      <c r="A473" t="s">
        <v>523</v>
      </c>
      <c r="B473" s="1">
        <v>45341</v>
      </c>
      <c r="C473" s="1">
        <v>45344</v>
      </c>
      <c r="D473">
        <v>2024</v>
      </c>
      <c r="E473" t="s">
        <v>20</v>
      </c>
      <c r="F473" t="s">
        <v>351</v>
      </c>
      <c r="G473" t="s">
        <v>22</v>
      </c>
      <c r="H473" t="s">
        <v>35</v>
      </c>
      <c r="I473" t="s">
        <v>24</v>
      </c>
      <c r="J473" t="s">
        <v>25</v>
      </c>
      <c r="K473" t="s">
        <v>36</v>
      </c>
      <c r="L473" t="s">
        <v>44</v>
      </c>
      <c r="M473">
        <v>3</v>
      </c>
      <c r="N473" s="2">
        <v>49</v>
      </c>
      <c r="O473" s="3">
        <v>2252</v>
      </c>
      <c r="P473">
        <v>0</v>
      </c>
      <c r="Q473">
        <v>5</v>
      </c>
      <c r="R473" t="s">
        <v>33</v>
      </c>
      <c r="S473">
        <v>1</v>
      </c>
    </row>
    <row r="474" spans="1:19" ht="16.5" x14ac:dyDescent="0.3">
      <c r="A474" t="s">
        <v>524</v>
      </c>
      <c r="B474" s="1">
        <v>45341</v>
      </c>
      <c r="C474" s="1">
        <v>45348</v>
      </c>
      <c r="D474">
        <v>2024</v>
      </c>
      <c r="E474" t="s">
        <v>20</v>
      </c>
      <c r="F474" t="s">
        <v>351</v>
      </c>
      <c r="G474" t="s">
        <v>22</v>
      </c>
      <c r="H474" t="s">
        <v>50</v>
      </c>
      <c r="I474" t="s">
        <v>24</v>
      </c>
      <c r="J474" t="s">
        <v>43</v>
      </c>
      <c r="K474" t="s">
        <v>53</v>
      </c>
      <c r="L474" t="s">
        <v>37</v>
      </c>
      <c r="M474">
        <v>7</v>
      </c>
      <c r="N474" s="2">
        <v>108</v>
      </c>
      <c r="O474" s="3">
        <v>10201</v>
      </c>
      <c r="P474">
        <v>0</v>
      </c>
      <c r="Q474">
        <v>3</v>
      </c>
      <c r="R474" t="s">
        <v>33</v>
      </c>
      <c r="S474">
        <v>1</v>
      </c>
    </row>
    <row r="475" spans="1:19" ht="16.5" x14ac:dyDescent="0.3">
      <c r="A475" t="s">
        <v>525</v>
      </c>
      <c r="B475" s="1">
        <v>45341</v>
      </c>
      <c r="C475" s="1">
        <v>45342</v>
      </c>
      <c r="D475">
        <v>2024</v>
      </c>
      <c r="E475" t="s">
        <v>20</v>
      </c>
      <c r="F475" t="s">
        <v>351</v>
      </c>
      <c r="G475" t="s">
        <v>22</v>
      </c>
      <c r="H475" t="s">
        <v>30</v>
      </c>
      <c r="I475" t="s">
        <v>40</v>
      </c>
      <c r="J475" t="s">
        <v>43</v>
      </c>
      <c r="K475" t="s">
        <v>53</v>
      </c>
      <c r="L475" t="s">
        <v>44</v>
      </c>
      <c r="M475">
        <v>1</v>
      </c>
      <c r="N475" s="2"/>
      <c r="O475" s="3">
        <v>1646</v>
      </c>
      <c r="P475">
        <v>0</v>
      </c>
      <c r="Q475">
        <v>4</v>
      </c>
      <c r="R475" t="s">
        <v>33</v>
      </c>
      <c r="S475">
        <v>1</v>
      </c>
    </row>
    <row r="476" spans="1:19" ht="16.5" x14ac:dyDescent="0.3">
      <c r="A476" t="s">
        <v>526</v>
      </c>
      <c r="B476" s="1">
        <v>45341</v>
      </c>
      <c r="C476" s="1">
        <v>45348</v>
      </c>
      <c r="D476">
        <v>2024</v>
      </c>
      <c r="E476" t="s">
        <v>20</v>
      </c>
      <c r="F476" t="s">
        <v>351</v>
      </c>
      <c r="G476" t="s">
        <v>22</v>
      </c>
      <c r="H476" t="s">
        <v>52</v>
      </c>
      <c r="I476" t="s">
        <v>24</v>
      </c>
      <c r="J476" t="s">
        <v>25</v>
      </c>
      <c r="K476" t="s">
        <v>26</v>
      </c>
      <c r="L476" t="s">
        <v>44</v>
      </c>
      <c r="M476">
        <v>7</v>
      </c>
      <c r="N476" s="2">
        <v>35</v>
      </c>
      <c r="O476" s="3">
        <v>7064</v>
      </c>
      <c r="P476">
        <v>1</v>
      </c>
      <c r="Q476">
        <v>3</v>
      </c>
      <c r="R476" t="s">
        <v>33</v>
      </c>
      <c r="S476">
        <v>1</v>
      </c>
    </row>
    <row r="477" spans="1:19" ht="16.5" x14ac:dyDescent="0.3">
      <c r="A477" t="s">
        <v>527</v>
      </c>
      <c r="B477" s="1">
        <v>45342</v>
      </c>
      <c r="C477" s="1">
        <v>45347</v>
      </c>
      <c r="D477">
        <v>2024</v>
      </c>
      <c r="E477" t="s">
        <v>20</v>
      </c>
      <c r="F477" t="s">
        <v>351</v>
      </c>
      <c r="G477" t="s">
        <v>56</v>
      </c>
      <c r="H477" t="s">
        <v>50</v>
      </c>
      <c r="I477" t="s">
        <v>24</v>
      </c>
      <c r="J477" t="s">
        <v>43</v>
      </c>
      <c r="K477" t="s">
        <v>53</v>
      </c>
      <c r="L477" t="s">
        <v>44</v>
      </c>
      <c r="M477">
        <v>5</v>
      </c>
      <c r="N477" s="2">
        <v>43</v>
      </c>
      <c r="O477" s="3">
        <v>6553</v>
      </c>
      <c r="P477">
        <v>0</v>
      </c>
      <c r="Q477">
        <v>4</v>
      </c>
      <c r="R477" t="s">
        <v>33</v>
      </c>
      <c r="S477">
        <v>1</v>
      </c>
    </row>
    <row r="478" spans="1:19" ht="16.5" x14ac:dyDescent="0.3">
      <c r="A478" t="s">
        <v>528</v>
      </c>
      <c r="B478" s="1">
        <v>45342</v>
      </c>
      <c r="C478" s="1">
        <v>45351</v>
      </c>
      <c r="D478">
        <v>2024</v>
      </c>
      <c r="E478" t="s">
        <v>20</v>
      </c>
      <c r="F478" t="s">
        <v>351</v>
      </c>
      <c r="G478" t="s">
        <v>56</v>
      </c>
      <c r="H478" t="s">
        <v>23</v>
      </c>
      <c r="I478" t="s">
        <v>40</v>
      </c>
      <c r="J478" t="s">
        <v>43</v>
      </c>
      <c r="K478" t="s">
        <v>53</v>
      </c>
      <c r="L478" t="s">
        <v>27</v>
      </c>
      <c r="M478">
        <v>9</v>
      </c>
      <c r="N478" s="2"/>
      <c r="O478" s="3">
        <v>5544</v>
      </c>
      <c r="P478">
        <v>0</v>
      </c>
      <c r="Q478">
        <v>5</v>
      </c>
      <c r="R478" t="s">
        <v>33</v>
      </c>
      <c r="S478">
        <v>1</v>
      </c>
    </row>
    <row r="479" spans="1:19" ht="16.5" x14ac:dyDescent="0.3">
      <c r="A479" t="s">
        <v>529</v>
      </c>
      <c r="B479" s="1">
        <v>45342</v>
      </c>
      <c r="C479" s="1">
        <v>45349</v>
      </c>
      <c r="D479">
        <v>2024</v>
      </c>
      <c r="E479" t="s">
        <v>20</v>
      </c>
      <c r="F479" t="s">
        <v>351</v>
      </c>
      <c r="G479" t="s">
        <v>56</v>
      </c>
      <c r="H479" t="s">
        <v>23</v>
      </c>
      <c r="I479" t="s">
        <v>24</v>
      </c>
      <c r="J479" t="s">
        <v>25</v>
      </c>
      <c r="K479" t="s">
        <v>32</v>
      </c>
      <c r="L479" t="s">
        <v>44</v>
      </c>
      <c r="M479">
        <v>7</v>
      </c>
      <c r="N479" s="2">
        <v>246</v>
      </c>
      <c r="O479" s="3">
        <v>4078</v>
      </c>
      <c r="P479">
        <v>0</v>
      </c>
      <c r="Q479">
        <v>4</v>
      </c>
      <c r="R479" t="s">
        <v>33</v>
      </c>
      <c r="S479">
        <v>1</v>
      </c>
    </row>
    <row r="480" spans="1:19" ht="16.5" x14ac:dyDescent="0.3">
      <c r="A480" t="s">
        <v>530</v>
      </c>
      <c r="B480" s="1">
        <v>45342</v>
      </c>
      <c r="C480" s="1">
        <v>45366</v>
      </c>
      <c r="D480">
        <v>2024</v>
      </c>
      <c r="E480" t="s">
        <v>20</v>
      </c>
      <c r="F480" t="s">
        <v>351</v>
      </c>
      <c r="G480" t="s">
        <v>56</v>
      </c>
      <c r="H480" t="s">
        <v>30</v>
      </c>
      <c r="I480" t="s">
        <v>24</v>
      </c>
      <c r="J480" t="s">
        <v>43</v>
      </c>
      <c r="K480" t="s">
        <v>36</v>
      </c>
      <c r="L480" t="s">
        <v>27</v>
      </c>
      <c r="M480">
        <v>24</v>
      </c>
      <c r="N480" s="2">
        <v>71</v>
      </c>
      <c r="O480" s="3">
        <v>27682</v>
      </c>
      <c r="P480">
        <v>0</v>
      </c>
      <c r="Q480">
        <v>4</v>
      </c>
      <c r="R480" t="s">
        <v>33</v>
      </c>
      <c r="S480">
        <v>1</v>
      </c>
    </row>
    <row r="481" spans="1:19" ht="16.5" x14ac:dyDescent="0.3">
      <c r="A481" t="s">
        <v>531</v>
      </c>
      <c r="B481" s="1">
        <v>45342</v>
      </c>
      <c r="C481" s="1">
        <v>45343</v>
      </c>
      <c r="D481">
        <v>2024</v>
      </c>
      <c r="E481" t="s">
        <v>20</v>
      </c>
      <c r="F481" t="s">
        <v>351</v>
      </c>
      <c r="G481" t="s">
        <v>56</v>
      </c>
      <c r="H481" t="s">
        <v>52</v>
      </c>
      <c r="I481" t="s">
        <v>40</v>
      </c>
      <c r="J481" t="s">
        <v>43</v>
      </c>
      <c r="K481" t="s">
        <v>26</v>
      </c>
      <c r="L481" t="s">
        <v>27</v>
      </c>
      <c r="M481">
        <v>1</v>
      </c>
      <c r="N481" s="2"/>
      <c r="O481" s="3">
        <v>1680</v>
      </c>
      <c r="P481">
        <v>1</v>
      </c>
      <c r="Q481">
        <v>3</v>
      </c>
      <c r="R481" t="s">
        <v>28</v>
      </c>
      <c r="S481">
        <v>1</v>
      </c>
    </row>
    <row r="482" spans="1:19" ht="16.5" x14ac:dyDescent="0.3">
      <c r="A482" t="s">
        <v>532</v>
      </c>
      <c r="B482" s="1">
        <v>45343</v>
      </c>
      <c r="C482" s="1">
        <v>45345</v>
      </c>
      <c r="D482">
        <v>2024</v>
      </c>
      <c r="E482" t="s">
        <v>20</v>
      </c>
      <c r="F482" t="s">
        <v>351</v>
      </c>
      <c r="G482" t="s">
        <v>70</v>
      </c>
      <c r="H482" t="s">
        <v>35</v>
      </c>
      <c r="I482" t="s">
        <v>24</v>
      </c>
      <c r="J482" t="s">
        <v>25</v>
      </c>
      <c r="K482" t="s">
        <v>36</v>
      </c>
      <c r="L482" t="s">
        <v>27</v>
      </c>
      <c r="M482">
        <v>2</v>
      </c>
      <c r="N482" s="2">
        <v>133</v>
      </c>
      <c r="O482" s="3">
        <v>2537</v>
      </c>
      <c r="P482">
        <v>0</v>
      </c>
      <c r="Q482">
        <v>4</v>
      </c>
      <c r="R482" t="s">
        <v>33</v>
      </c>
      <c r="S482">
        <v>1</v>
      </c>
    </row>
    <row r="483" spans="1:19" ht="16.5" x14ac:dyDescent="0.3">
      <c r="A483" t="s">
        <v>533</v>
      </c>
      <c r="B483" s="1">
        <v>45343</v>
      </c>
      <c r="C483" s="1">
        <v>45345</v>
      </c>
      <c r="D483">
        <v>2024</v>
      </c>
      <c r="E483" t="s">
        <v>20</v>
      </c>
      <c r="F483" t="s">
        <v>351</v>
      </c>
      <c r="G483" t="s">
        <v>70</v>
      </c>
      <c r="H483" t="s">
        <v>35</v>
      </c>
      <c r="I483" t="s">
        <v>31</v>
      </c>
      <c r="J483" t="s">
        <v>25</v>
      </c>
      <c r="K483" t="s">
        <v>36</v>
      </c>
      <c r="L483" t="s">
        <v>27</v>
      </c>
      <c r="M483">
        <v>2</v>
      </c>
      <c r="N483" s="2"/>
      <c r="O483" s="3">
        <v>1846</v>
      </c>
      <c r="P483">
        <v>0</v>
      </c>
      <c r="Q483">
        <v>5</v>
      </c>
      <c r="R483" t="s">
        <v>28</v>
      </c>
      <c r="S483">
        <v>1</v>
      </c>
    </row>
    <row r="484" spans="1:19" ht="16.5" x14ac:dyDescent="0.3">
      <c r="A484" t="s">
        <v>534</v>
      </c>
      <c r="B484" s="1">
        <v>45343</v>
      </c>
      <c r="C484" s="1">
        <v>45348</v>
      </c>
      <c r="D484">
        <v>2024</v>
      </c>
      <c r="E484" t="s">
        <v>20</v>
      </c>
      <c r="F484" t="s">
        <v>351</v>
      </c>
      <c r="G484" t="s">
        <v>70</v>
      </c>
      <c r="H484" t="s">
        <v>39</v>
      </c>
      <c r="I484" t="s">
        <v>24</v>
      </c>
      <c r="J484" t="s">
        <v>25</v>
      </c>
      <c r="K484" t="s">
        <v>41</v>
      </c>
      <c r="L484" t="s">
        <v>44</v>
      </c>
      <c r="M484">
        <v>5</v>
      </c>
      <c r="N484" s="2">
        <v>106</v>
      </c>
      <c r="O484" s="3">
        <v>4082</v>
      </c>
      <c r="P484">
        <v>0</v>
      </c>
      <c r="Q484">
        <v>3</v>
      </c>
      <c r="R484" t="s">
        <v>33</v>
      </c>
      <c r="S484">
        <v>1</v>
      </c>
    </row>
    <row r="485" spans="1:19" ht="16.5" x14ac:dyDescent="0.3">
      <c r="A485" t="s">
        <v>535</v>
      </c>
      <c r="B485" s="1">
        <v>45343</v>
      </c>
      <c r="C485" s="1">
        <v>45347</v>
      </c>
      <c r="D485">
        <v>2024</v>
      </c>
      <c r="E485" t="s">
        <v>20</v>
      </c>
      <c r="F485" t="s">
        <v>351</v>
      </c>
      <c r="G485" t="s">
        <v>70</v>
      </c>
      <c r="H485" t="s">
        <v>23</v>
      </c>
      <c r="I485" t="s">
        <v>40</v>
      </c>
      <c r="J485" t="s">
        <v>25</v>
      </c>
      <c r="K485" t="s">
        <v>26</v>
      </c>
      <c r="L485" t="s">
        <v>27</v>
      </c>
      <c r="M485">
        <v>4</v>
      </c>
      <c r="N485" s="2"/>
      <c r="O485" s="3">
        <v>3019</v>
      </c>
      <c r="P485">
        <v>0</v>
      </c>
      <c r="Q485">
        <v>4</v>
      </c>
      <c r="R485" t="s">
        <v>59</v>
      </c>
      <c r="S485">
        <v>1</v>
      </c>
    </row>
    <row r="486" spans="1:19" ht="16.5" x14ac:dyDescent="0.3">
      <c r="A486" t="s">
        <v>536</v>
      </c>
      <c r="B486" s="1">
        <v>45343</v>
      </c>
      <c r="C486" s="1">
        <v>45347</v>
      </c>
      <c r="D486">
        <v>2024</v>
      </c>
      <c r="E486" t="s">
        <v>20</v>
      </c>
      <c r="F486" t="s">
        <v>351</v>
      </c>
      <c r="G486" t="s">
        <v>70</v>
      </c>
      <c r="H486" t="s">
        <v>23</v>
      </c>
      <c r="I486" t="s">
        <v>40</v>
      </c>
      <c r="J486" t="s">
        <v>25</v>
      </c>
      <c r="K486" t="s">
        <v>26</v>
      </c>
      <c r="L486" t="s">
        <v>27</v>
      </c>
      <c r="M486">
        <v>4</v>
      </c>
      <c r="N486" s="2"/>
      <c r="O486" s="3">
        <v>3850</v>
      </c>
      <c r="P486">
        <v>1</v>
      </c>
      <c r="Q486">
        <v>4</v>
      </c>
      <c r="R486" t="s">
        <v>33</v>
      </c>
      <c r="S486">
        <v>1</v>
      </c>
    </row>
    <row r="487" spans="1:19" ht="16.5" x14ac:dyDescent="0.3">
      <c r="A487" t="s">
        <v>537</v>
      </c>
      <c r="B487" s="1">
        <v>45343</v>
      </c>
      <c r="C487" s="1">
        <v>45345</v>
      </c>
      <c r="D487">
        <v>2024</v>
      </c>
      <c r="E487" t="s">
        <v>20</v>
      </c>
      <c r="F487" t="s">
        <v>351</v>
      </c>
      <c r="G487" t="s">
        <v>70</v>
      </c>
      <c r="H487" t="s">
        <v>35</v>
      </c>
      <c r="I487" t="s">
        <v>24</v>
      </c>
      <c r="J487" t="s">
        <v>25</v>
      </c>
      <c r="K487" t="s">
        <v>36</v>
      </c>
      <c r="L487" t="s">
        <v>44</v>
      </c>
      <c r="M487">
        <v>2</v>
      </c>
      <c r="N487" s="2">
        <v>62</v>
      </c>
      <c r="O487" s="3">
        <v>2276</v>
      </c>
      <c r="P487">
        <v>0</v>
      </c>
      <c r="Q487">
        <v>4</v>
      </c>
      <c r="R487" t="s">
        <v>33</v>
      </c>
      <c r="S487">
        <v>1</v>
      </c>
    </row>
    <row r="488" spans="1:19" ht="16.5" x14ac:dyDescent="0.3">
      <c r="A488" t="s">
        <v>538</v>
      </c>
      <c r="B488" s="1">
        <v>45343</v>
      </c>
      <c r="C488" s="1">
        <v>45350</v>
      </c>
      <c r="D488">
        <v>2024</v>
      </c>
      <c r="E488" t="s">
        <v>20</v>
      </c>
      <c r="F488" t="s">
        <v>351</v>
      </c>
      <c r="G488" t="s">
        <v>70</v>
      </c>
      <c r="H488" t="s">
        <v>23</v>
      </c>
      <c r="I488" t="s">
        <v>40</v>
      </c>
      <c r="J488" t="s">
        <v>43</v>
      </c>
      <c r="K488" t="s">
        <v>53</v>
      </c>
      <c r="L488" t="s">
        <v>27</v>
      </c>
      <c r="M488">
        <v>7</v>
      </c>
      <c r="N488" s="2"/>
      <c r="O488" s="3">
        <v>4373</v>
      </c>
      <c r="P488">
        <v>0</v>
      </c>
      <c r="Q488">
        <v>3</v>
      </c>
      <c r="R488" t="s">
        <v>33</v>
      </c>
      <c r="S488">
        <v>1</v>
      </c>
    </row>
    <row r="489" spans="1:19" ht="16.5" x14ac:dyDescent="0.3">
      <c r="A489" t="s">
        <v>539</v>
      </c>
      <c r="B489" s="1">
        <v>45343</v>
      </c>
      <c r="C489" s="1">
        <v>45345</v>
      </c>
      <c r="D489">
        <v>2024</v>
      </c>
      <c r="E489" t="s">
        <v>20</v>
      </c>
      <c r="F489" t="s">
        <v>351</v>
      </c>
      <c r="G489" t="s">
        <v>70</v>
      </c>
      <c r="H489" t="s">
        <v>35</v>
      </c>
      <c r="I489" t="s">
        <v>24</v>
      </c>
      <c r="J489" t="s">
        <v>25</v>
      </c>
      <c r="K489" t="s">
        <v>32</v>
      </c>
      <c r="L489" t="s">
        <v>44</v>
      </c>
      <c r="M489">
        <v>2</v>
      </c>
      <c r="N489" s="2">
        <v>72</v>
      </c>
      <c r="O489" s="3">
        <v>2045</v>
      </c>
      <c r="P489">
        <v>0</v>
      </c>
      <c r="Q489">
        <v>5</v>
      </c>
      <c r="R489" t="s">
        <v>28</v>
      </c>
      <c r="S489">
        <v>1</v>
      </c>
    </row>
    <row r="490" spans="1:19" ht="16.5" x14ac:dyDescent="0.3">
      <c r="A490" t="s">
        <v>540</v>
      </c>
      <c r="B490" s="1">
        <v>45344</v>
      </c>
      <c r="C490" s="1">
        <v>45346</v>
      </c>
      <c r="D490">
        <v>2024</v>
      </c>
      <c r="E490" t="s">
        <v>20</v>
      </c>
      <c r="F490" t="s">
        <v>351</v>
      </c>
      <c r="G490" t="s">
        <v>78</v>
      </c>
      <c r="H490" t="s">
        <v>30</v>
      </c>
      <c r="I490" t="s">
        <v>40</v>
      </c>
      <c r="J490" t="s">
        <v>25</v>
      </c>
      <c r="K490" t="s">
        <v>26</v>
      </c>
      <c r="L490" t="s">
        <v>27</v>
      </c>
      <c r="M490">
        <v>2</v>
      </c>
      <c r="N490" s="2"/>
      <c r="O490" s="3">
        <v>2690</v>
      </c>
      <c r="P490">
        <v>0</v>
      </c>
      <c r="Q490">
        <v>5</v>
      </c>
      <c r="R490" t="s">
        <v>28</v>
      </c>
      <c r="S490">
        <v>1</v>
      </c>
    </row>
    <row r="491" spans="1:19" ht="16.5" x14ac:dyDescent="0.3">
      <c r="A491" t="s">
        <v>541</v>
      </c>
      <c r="B491" s="1">
        <v>45344</v>
      </c>
      <c r="C491" s="1">
        <v>45346</v>
      </c>
      <c r="D491">
        <v>2024</v>
      </c>
      <c r="E491" t="s">
        <v>20</v>
      </c>
      <c r="F491" t="s">
        <v>351</v>
      </c>
      <c r="G491" t="s">
        <v>78</v>
      </c>
      <c r="H491" t="s">
        <v>52</v>
      </c>
      <c r="I491" t="s">
        <v>40</v>
      </c>
      <c r="J491" t="s">
        <v>25</v>
      </c>
      <c r="K491" t="s">
        <v>36</v>
      </c>
      <c r="L491" t="s">
        <v>37</v>
      </c>
      <c r="M491">
        <v>2</v>
      </c>
      <c r="N491" s="2"/>
      <c r="O491" s="3">
        <v>3159</v>
      </c>
      <c r="P491">
        <v>0</v>
      </c>
      <c r="Q491">
        <v>4</v>
      </c>
      <c r="R491" t="s">
        <v>33</v>
      </c>
      <c r="S491">
        <v>1</v>
      </c>
    </row>
    <row r="492" spans="1:19" ht="16.5" x14ac:dyDescent="0.3">
      <c r="A492" t="s">
        <v>542</v>
      </c>
      <c r="B492" s="1">
        <v>45344</v>
      </c>
      <c r="C492" s="1">
        <v>45348</v>
      </c>
      <c r="D492">
        <v>2024</v>
      </c>
      <c r="E492" t="s">
        <v>20</v>
      </c>
      <c r="F492" t="s">
        <v>351</v>
      </c>
      <c r="G492" t="s">
        <v>78</v>
      </c>
      <c r="H492" t="s">
        <v>52</v>
      </c>
      <c r="I492" t="s">
        <v>40</v>
      </c>
      <c r="J492" t="s">
        <v>43</v>
      </c>
      <c r="K492" t="s">
        <v>36</v>
      </c>
      <c r="L492" t="s">
        <v>37</v>
      </c>
      <c r="M492">
        <v>4</v>
      </c>
      <c r="N492" s="2"/>
      <c r="O492" s="3">
        <v>5612</v>
      </c>
      <c r="P492">
        <v>0</v>
      </c>
      <c r="Q492">
        <v>5</v>
      </c>
      <c r="R492" t="s">
        <v>33</v>
      </c>
      <c r="S492">
        <v>1</v>
      </c>
    </row>
    <row r="493" spans="1:19" ht="16.5" x14ac:dyDescent="0.3">
      <c r="A493" t="s">
        <v>543</v>
      </c>
      <c r="B493" s="1">
        <v>45344</v>
      </c>
      <c r="C493" s="1">
        <v>45346</v>
      </c>
      <c r="D493">
        <v>2024</v>
      </c>
      <c r="E493" t="s">
        <v>20</v>
      </c>
      <c r="F493" t="s">
        <v>351</v>
      </c>
      <c r="G493" t="s">
        <v>78</v>
      </c>
      <c r="H493" t="s">
        <v>35</v>
      </c>
      <c r="I493" t="s">
        <v>24</v>
      </c>
      <c r="J493" t="s">
        <v>25</v>
      </c>
      <c r="K493" t="s">
        <v>36</v>
      </c>
      <c r="L493" t="s">
        <v>27</v>
      </c>
      <c r="M493">
        <v>2</v>
      </c>
      <c r="N493" s="2">
        <v>113</v>
      </c>
      <c r="O493" s="3">
        <v>1793</v>
      </c>
      <c r="P493">
        <v>0</v>
      </c>
      <c r="Q493">
        <v>4</v>
      </c>
      <c r="R493" t="s">
        <v>33</v>
      </c>
      <c r="S493">
        <v>1</v>
      </c>
    </row>
    <row r="494" spans="1:19" ht="16.5" x14ac:dyDescent="0.3">
      <c r="A494" t="s">
        <v>544</v>
      </c>
      <c r="B494" s="1">
        <v>45344</v>
      </c>
      <c r="C494" s="1">
        <v>45348</v>
      </c>
      <c r="D494">
        <v>2024</v>
      </c>
      <c r="E494" t="s">
        <v>20</v>
      </c>
      <c r="F494" t="s">
        <v>351</v>
      </c>
      <c r="G494" t="s">
        <v>78</v>
      </c>
      <c r="H494" t="s">
        <v>30</v>
      </c>
      <c r="I494" t="s">
        <v>40</v>
      </c>
      <c r="J494" t="s">
        <v>43</v>
      </c>
      <c r="K494" t="s">
        <v>53</v>
      </c>
      <c r="L494" t="s">
        <v>37</v>
      </c>
      <c r="M494">
        <v>4</v>
      </c>
      <c r="N494" s="2"/>
      <c r="O494" s="3">
        <v>3710</v>
      </c>
      <c r="P494">
        <v>0</v>
      </c>
      <c r="Q494">
        <v>5</v>
      </c>
      <c r="R494" t="s">
        <v>33</v>
      </c>
      <c r="S494">
        <v>1</v>
      </c>
    </row>
    <row r="495" spans="1:19" ht="16.5" x14ac:dyDescent="0.3">
      <c r="A495" t="s">
        <v>545</v>
      </c>
      <c r="B495" s="1">
        <v>45344</v>
      </c>
      <c r="C495" s="1">
        <v>45345</v>
      </c>
      <c r="D495">
        <v>2024</v>
      </c>
      <c r="E495" t="s">
        <v>20</v>
      </c>
      <c r="F495" t="s">
        <v>351</v>
      </c>
      <c r="G495" t="s">
        <v>78</v>
      </c>
      <c r="H495" t="s">
        <v>35</v>
      </c>
      <c r="I495" t="s">
        <v>24</v>
      </c>
      <c r="J495" t="s">
        <v>25</v>
      </c>
      <c r="K495" t="s">
        <v>36</v>
      </c>
      <c r="L495" t="s">
        <v>44</v>
      </c>
      <c r="M495">
        <v>1</v>
      </c>
      <c r="N495" s="2">
        <v>26</v>
      </c>
      <c r="O495" s="3">
        <v>1346</v>
      </c>
      <c r="P495">
        <v>0</v>
      </c>
      <c r="Q495">
        <v>5</v>
      </c>
      <c r="R495" t="s">
        <v>33</v>
      </c>
      <c r="S495">
        <v>1</v>
      </c>
    </row>
    <row r="496" spans="1:19" ht="16.5" x14ac:dyDescent="0.3">
      <c r="A496" t="s">
        <v>546</v>
      </c>
      <c r="B496" s="1">
        <v>45344</v>
      </c>
      <c r="C496" s="1">
        <v>45345</v>
      </c>
      <c r="D496">
        <v>2024</v>
      </c>
      <c r="E496" t="s">
        <v>20</v>
      </c>
      <c r="F496" t="s">
        <v>351</v>
      </c>
      <c r="G496" t="s">
        <v>78</v>
      </c>
      <c r="H496" t="s">
        <v>23</v>
      </c>
      <c r="I496" t="s">
        <v>24</v>
      </c>
      <c r="J496" t="s">
        <v>43</v>
      </c>
      <c r="K496" t="s">
        <v>26</v>
      </c>
      <c r="L496" t="s">
        <v>44</v>
      </c>
      <c r="M496">
        <v>1</v>
      </c>
      <c r="N496" s="2">
        <v>24</v>
      </c>
      <c r="O496" s="3">
        <v>1464</v>
      </c>
      <c r="P496">
        <v>1</v>
      </c>
      <c r="Q496">
        <v>4</v>
      </c>
      <c r="R496" t="s">
        <v>33</v>
      </c>
      <c r="S496">
        <v>1</v>
      </c>
    </row>
    <row r="497" spans="1:19" ht="16.5" x14ac:dyDescent="0.3">
      <c r="A497" t="s">
        <v>547</v>
      </c>
      <c r="B497" s="1">
        <v>45344</v>
      </c>
      <c r="C497" s="1">
        <v>45346</v>
      </c>
      <c r="D497">
        <v>2024</v>
      </c>
      <c r="E497" t="s">
        <v>20</v>
      </c>
      <c r="F497" t="s">
        <v>351</v>
      </c>
      <c r="G497" t="s">
        <v>78</v>
      </c>
      <c r="H497" t="s">
        <v>35</v>
      </c>
      <c r="I497" t="s">
        <v>24</v>
      </c>
      <c r="J497" t="s">
        <v>25</v>
      </c>
      <c r="K497" t="s">
        <v>32</v>
      </c>
      <c r="L497" t="s">
        <v>27</v>
      </c>
      <c r="M497">
        <v>2</v>
      </c>
      <c r="N497" s="2">
        <v>141</v>
      </c>
      <c r="O497" s="3">
        <v>2097</v>
      </c>
      <c r="P497">
        <v>0</v>
      </c>
      <c r="Q497">
        <v>2</v>
      </c>
      <c r="R497" t="s">
        <v>33</v>
      </c>
      <c r="S497">
        <v>1</v>
      </c>
    </row>
    <row r="498" spans="1:19" ht="16.5" x14ac:dyDescent="0.3">
      <c r="A498" t="s">
        <v>548</v>
      </c>
      <c r="B498" s="1">
        <v>45344</v>
      </c>
      <c r="C498" s="1">
        <v>45353</v>
      </c>
      <c r="D498">
        <v>2024</v>
      </c>
      <c r="E498" t="s">
        <v>20</v>
      </c>
      <c r="F498" t="s">
        <v>351</v>
      </c>
      <c r="G498" t="s">
        <v>78</v>
      </c>
      <c r="H498" t="s">
        <v>30</v>
      </c>
      <c r="I498" t="s">
        <v>24</v>
      </c>
      <c r="J498" t="s">
        <v>43</v>
      </c>
      <c r="K498" t="s">
        <v>26</v>
      </c>
      <c r="L498" t="s">
        <v>27</v>
      </c>
      <c r="M498">
        <v>9</v>
      </c>
      <c r="N498" s="2">
        <v>30</v>
      </c>
      <c r="O498" s="3">
        <v>12603</v>
      </c>
      <c r="P498">
        <v>0</v>
      </c>
      <c r="Q498">
        <v>4</v>
      </c>
      <c r="R498" t="s">
        <v>28</v>
      </c>
      <c r="S498">
        <v>1</v>
      </c>
    </row>
    <row r="499" spans="1:19" ht="16.5" x14ac:dyDescent="0.3">
      <c r="A499" t="s">
        <v>549</v>
      </c>
      <c r="B499" s="1">
        <v>45344</v>
      </c>
      <c r="C499" s="1">
        <v>45351</v>
      </c>
      <c r="D499">
        <v>2024</v>
      </c>
      <c r="E499" t="s">
        <v>20</v>
      </c>
      <c r="F499" t="s">
        <v>351</v>
      </c>
      <c r="G499" t="s">
        <v>78</v>
      </c>
      <c r="H499" t="s">
        <v>50</v>
      </c>
      <c r="I499" t="s">
        <v>24</v>
      </c>
      <c r="J499" t="s">
        <v>25</v>
      </c>
      <c r="K499" t="s">
        <v>32</v>
      </c>
      <c r="L499" t="s">
        <v>44</v>
      </c>
      <c r="M499">
        <v>7</v>
      </c>
      <c r="N499" s="2">
        <v>58</v>
      </c>
      <c r="O499" s="3">
        <v>9449</v>
      </c>
      <c r="P499">
        <v>0</v>
      </c>
      <c r="Q499">
        <v>3</v>
      </c>
      <c r="R499" t="s">
        <v>33</v>
      </c>
      <c r="S499">
        <v>1</v>
      </c>
    </row>
    <row r="500" spans="1:19" ht="16.5" x14ac:dyDescent="0.3">
      <c r="A500" t="s">
        <v>550</v>
      </c>
      <c r="B500" s="1">
        <v>45345</v>
      </c>
      <c r="C500" s="1">
        <v>45352</v>
      </c>
      <c r="D500">
        <v>2024</v>
      </c>
      <c r="E500" t="s">
        <v>20</v>
      </c>
      <c r="F500" t="s">
        <v>351</v>
      </c>
      <c r="G500" t="s">
        <v>83</v>
      </c>
      <c r="H500" t="s">
        <v>23</v>
      </c>
      <c r="I500" t="s">
        <v>24</v>
      </c>
      <c r="J500" t="s">
        <v>43</v>
      </c>
      <c r="K500" t="s">
        <v>32</v>
      </c>
      <c r="L500" t="s">
        <v>37</v>
      </c>
      <c r="M500">
        <v>7</v>
      </c>
      <c r="N500" s="2">
        <v>92</v>
      </c>
      <c r="O500" s="3">
        <v>6303</v>
      </c>
      <c r="P500">
        <v>0</v>
      </c>
      <c r="Q500">
        <v>4</v>
      </c>
      <c r="R500" t="s">
        <v>33</v>
      </c>
      <c r="S500">
        <v>1</v>
      </c>
    </row>
    <row r="501" spans="1:19" ht="16.5" x14ac:dyDescent="0.3">
      <c r="A501" t="s">
        <v>551</v>
      </c>
      <c r="B501" s="1">
        <v>45345</v>
      </c>
      <c r="C501" s="1">
        <v>45348</v>
      </c>
      <c r="D501">
        <v>2024</v>
      </c>
      <c r="E501" t="s">
        <v>20</v>
      </c>
      <c r="F501" t="s">
        <v>351</v>
      </c>
      <c r="G501" t="s">
        <v>83</v>
      </c>
      <c r="H501" t="s">
        <v>35</v>
      </c>
      <c r="I501" t="s">
        <v>24</v>
      </c>
      <c r="J501" t="s">
        <v>25</v>
      </c>
      <c r="K501" t="s">
        <v>36</v>
      </c>
      <c r="L501" t="s">
        <v>27</v>
      </c>
      <c r="M501">
        <v>3</v>
      </c>
      <c r="N501" s="2">
        <v>55</v>
      </c>
      <c r="O501" s="3">
        <v>2567</v>
      </c>
      <c r="P501">
        <v>0</v>
      </c>
      <c r="Q501">
        <v>5</v>
      </c>
      <c r="R501" t="s">
        <v>28</v>
      </c>
      <c r="S501">
        <v>1</v>
      </c>
    </row>
    <row r="502" spans="1:19" ht="16.5" x14ac:dyDescent="0.3">
      <c r="A502" t="s">
        <v>552</v>
      </c>
      <c r="B502" s="1">
        <v>45345</v>
      </c>
      <c r="C502" s="1">
        <v>45350</v>
      </c>
      <c r="D502">
        <v>2024</v>
      </c>
      <c r="E502" t="s">
        <v>20</v>
      </c>
      <c r="F502" t="s">
        <v>351</v>
      </c>
      <c r="G502" t="s">
        <v>83</v>
      </c>
      <c r="H502" t="s">
        <v>52</v>
      </c>
      <c r="I502" t="s">
        <v>40</v>
      </c>
      <c r="J502" t="s">
        <v>25</v>
      </c>
      <c r="K502" t="s">
        <v>26</v>
      </c>
      <c r="L502" t="s">
        <v>27</v>
      </c>
      <c r="M502">
        <v>5</v>
      </c>
      <c r="N502" s="2"/>
      <c r="O502" s="3">
        <v>5112</v>
      </c>
      <c r="P502">
        <v>0</v>
      </c>
      <c r="Q502">
        <v>4</v>
      </c>
      <c r="R502" t="s">
        <v>33</v>
      </c>
      <c r="S502">
        <v>1</v>
      </c>
    </row>
    <row r="503" spans="1:19" ht="16.5" x14ac:dyDescent="0.3">
      <c r="A503" t="s">
        <v>553</v>
      </c>
      <c r="B503" s="1">
        <v>45345</v>
      </c>
      <c r="C503" s="1">
        <v>45349</v>
      </c>
      <c r="D503">
        <v>2024</v>
      </c>
      <c r="E503" t="s">
        <v>20</v>
      </c>
      <c r="F503" t="s">
        <v>351</v>
      </c>
      <c r="G503" t="s">
        <v>83</v>
      </c>
      <c r="H503" t="s">
        <v>23</v>
      </c>
      <c r="I503" t="s">
        <v>31</v>
      </c>
      <c r="J503" t="s">
        <v>25</v>
      </c>
      <c r="K503" t="s">
        <v>36</v>
      </c>
      <c r="L503" t="s">
        <v>37</v>
      </c>
      <c r="M503">
        <v>4</v>
      </c>
      <c r="N503" s="2"/>
      <c r="O503" s="3">
        <v>3588</v>
      </c>
      <c r="P503">
        <v>0</v>
      </c>
      <c r="Q503">
        <v>4</v>
      </c>
      <c r="R503" t="s">
        <v>28</v>
      </c>
      <c r="S503">
        <v>1</v>
      </c>
    </row>
    <row r="504" spans="1:19" ht="16.5" x14ac:dyDescent="0.3">
      <c r="A504" t="s">
        <v>554</v>
      </c>
      <c r="B504" s="1">
        <v>45345</v>
      </c>
      <c r="C504" s="1">
        <v>45350</v>
      </c>
      <c r="D504">
        <v>2024</v>
      </c>
      <c r="E504" t="s">
        <v>20</v>
      </c>
      <c r="F504" t="s">
        <v>351</v>
      </c>
      <c r="G504" t="s">
        <v>83</v>
      </c>
      <c r="H504" t="s">
        <v>23</v>
      </c>
      <c r="I504" t="s">
        <v>40</v>
      </c>
      <c r="J504" t="s">
        <v>25</v>
      </c>
      <c r="K504" t="s">
        <v>32</v>
      </c>
      <c r="L504" t="s">
        <v>44</v>
      </c>
      <c r="M504">
        <v>5</v>
      </c>
      <c r="N504" s="2"/>
      <c r="O504" s="3">
        <v>4354</v>
      </c>
      <c r="P504">
        <v>0</v>
      </c>
      <c r="Q504">
        <v>5</v>
      </c>
      <c r="R504" t="s">
        <v>33</v>
      </c>
      <c r="S504">
        <v>1</v>
      </c>
    </row>
    <row r="505" spans="1:19" ht="16.5" x14ac:dyDescent="0.3">
      <c r="A505" t="s">
        <v>555</v>
      </c>
      <c r="B505" s="1">
        <v>45345</v>
      </c>
      <c r="C505" s="1">
        <v>45351</v>
      </c>
      <c r="D505">
        <v>2024</v>
      </c>
      <c r="E505" t="s">
        <v>20</v>
      </c>
      <c r="F505" t="s">
        <v>351</v>
      </c>
      <c r="G505" t="s">
        <v>83</v>
      </c>
      <c r="H505" t="s">
        <v>30</v>
      </c>
      <c r="I505" t="s">
        <v>40</v>
      </c>
      <c r="J505" t="s">
        <v>43</v>
      </c>
      <c r="K505" t="s">
        <v>26</v>
      </c>
      <c r="L505" t="s">
        <v>44</v>
      </c>
      <c r="M505">
        <v>6</v>
      </c>
      <c r="N505" s="2"/>
      <c r="O505" s="3">
        <v>3357</v>
      </c>
      <c r="P505">
        <v>1</v>
      </c>
      <c r="Q505">
        <v>3</v>
      </c>
      <c r="R505" t="s">
        <v>33</v>
      </c>
      <c r="S505">
        <v>1</v>
      </c>
    </row>
    <row r="506" spans="1:19" ht="16.5" x14ac:dyDescent="0.3">
      <c r="A506" t="s">
        <v>556</v>
      </c>
      <c r="B506" s="1">
        <v>45345</v>
      </c>
      <c r="C506" s="1">
        <v>45350</v>
      </c>
      <c r="D506">
        <v>2024</v>
      </c>
      <c r="E506" t="s">
        <v>20</v>
      </c>
      <c r="F506" t="s">
        <v>351</v>
      </c>
      <c r="G506" t="s">
        <v>83</v>
      </c>
      <c r="H506" t="s">
        <v>23</v>
      </c>
      <c r="I506" t="s">
        <v>24</v>
      </c>
      <c r="J506" t="s">
        <v>25</v>
      </c>
      <c r="K506" t="s">
        <v>36</v>
      </c>
      <c r="L506" t="s">
        <v>27</v>
      </c>
      <c r="M506">
        <v>5</v>
      </c>
      <c r="N506" s="2">
        <v>39</v>
      </c>
      <c r="O506" s="3">
        <v>3878</v>
      </c>
      <c r="P506">
        <v>0</v>
      </c>
      <c r="Q506">
        <v>3</v>
      </c>
      <c r="R506" t="s">
        <v>33</v>
      </c>
      <c r="S506">
        <v>1</v>
      </c>
    </row>
    <row r="507" spans="1:19" ht="16.5" x14ac:dyDescent="0.3">
      <c r="A507" t="s">
        <v>557</v>
      </c>
      <c r="B507" s="1">
        <v>45345</v>
      </c>
      <c r="C507" s="1">
        <v>45351</v>
      </c>
      <c r="D507">
        <v>2024</v>
      </c>
      <c r="E507" t="s">
        <v>20</v>
      </c>
      <c r="F507" t="s">
        <v>351</v>
      </c>
      <c r="G507" t="s">
        <v>83</v>
      </c>
      <c r="H507" t="s">
        <v>23</v>
      </c>
      <c r="I507" t="s">
        <v>40</v>
      </c>
      <c r="J507" t="s">
        <v>43</v>
      </c>
      <c r="K507" t="s">
        <v>36</v>
      </c>
      <c r="L507" t="s">
        <v>44</v>
      </c>
      <c r="M507">
        <v>6</v>
      </c>
      <c r="N507" s="2"/>
      <c r="O507" s="3">
        <v>3434</v>
      </c>
      <c r="P507">
        <v>0</v>
      </c>
      <c r="Q507">
        <v>4</v>
      </c>
      <c r="R507" t="s">
        <v>33</v>
      </c>
      <c r="S507">
        <v>1</v>
      </c>
    </row>
    <row r="508" spans="1:19" ht="16.5" x14ac:dyDescent="0.3">
      <c r="A508" t="s">
        <v>558</v>
      </c>
      <c r="B508" s="1">
        <v>45345</v>
      </c>
      <c r="C508" s="1">
        <v>45347</v>
      </c>
      <c r="D508">
        <v>2024</v>
      </c>
      <c r="E508" t="s">
        <v>20</v>
      </c>
      <c r="F508" t="s">
        <v>351</v>
      </c>
      <c r="G508" t="s">
        <v>83</v>
      </c>
      <c r="H508" t="s">
        <v>35</v>
      </c>
      <c r="I508" t="s">
        <v>24</v>
      </c>
      <c r="J508" t="s">
        <v>25</v>
      </c>
      <c r="K508" t="s">
        <v>36</v>
      </c>
      <c r="L508" t="s">
        <v>27</v>
      </c>
      <c r="M508">
        <v>2</v>
      </c>
      <c r="N508" s="2">
        <v>257</v>
      </c>
      <c r="O508" s="3">
        <v>1727</v>
      </c>
      <c r="P508">
        <v>0</v>
      </c>
      <c r="Q508">
        <v>4</v>
      </c>
      <c r="R508" t="s">
        <v>28</v>
      </c>
      <c r="S508">
        <v>1</v>
      </c>
    </row>
    <row r="509" spans="1:19" ht="16.5" x14ac:dyDescent="0.3">
      <c r="A509" t="s">
        <v>559</v>
      </c>
      <c r="B509" s="1">
        <v>45346</v>
      </c>
      <c r="C509" s="1">
        <v>45349</v>
      </c>
      <c r="D509">
        <v>2024</v>
      </c>
      <c r="E509" t="s">
        <v>20</v>
      </c>
      <c r="F509" t="s">
        <v>351</v>
      </c>
      <c r="G509" t="s">
        <v>102</v>
      </c>
      <c r="H509" t="s">
        <v>30</v>
      </c>
      <c r="I509" t="s">
        <v>24</v>
      </c>
      <c r="J509" t="s">
        <v>25</v>
      </c>
      <c r="K509" t="s">
        <v>26</v>
      </c>
      <c r="L509" t="s">
        <v>27</v>
      </c>
      <c r="M509">
        <v>3</v>
      </c>
      <c r="N509" s="2">
        <v>65</v>
      </c>
      <c r="O509" s="3">
        <v>4324</v>
      </c>
      <c r="P509">
        <v>0</v>
      </c>
      <c r="Q509">
        <v>4</v>
      </c>
      <c r="R509" t="s">
        <v>33</v>
      </c>
      <c r="S509">
        <v>1</v>
      </c>
    </row>
    <row r="510" spans="1:19" ht="16.5" x14ac:dyDescent="0.3">
      <c r="A510" t="s">
        <v>560</v>
      </c>
      <c r="B510" s="1">
        <v>45346</v>
      </c>
      <c r="C510" s="1">
        <v>45353</v>
      </c>
      <c r="D510">
        <v>2024</v>
      </c>
      <c r="E510" t="s">
        <v>20</v>
      </c>
      <c r="F510" t="s">
        <v>351</v>
      </c>
      <c r="G510" t="s">
        <v>102</v>
      </c>
      <c r="H510" t="s">
        <v>52</v>
      </c>
      <c r="I510" t="s">
        <v>24</v>
      </c>
      <c r="J510" t="s">
        <v>43</v>
      </c>
      <c r="K510" t="s">
        <v>32</v>
      </c>
      <c r="L510" t="s">
        <v>27</v>
      </c>
      <c r="M510">
        <v>7</v>
      </c>
      <c r="N510" s="2">
        <v>94</v>
      </c>
      <c r="O510" s="3">
        <v>7587</v>
      </c>
      <c r="P510">
        <v>0</v>
      </c>
      <c r="Q510">
        <v>2</v>
      </c>
      <c r="R510" t="s">
        <v>33</v>
      </c>
      <c r="S510">
        <v>1</v>
      </c>
    </row>
    <row r="511" spans="1:19" ht="16.5" x14ac:dyDescent="0.3">
      <c r="A511" t="s">
        <v>561</v>
      </c>
      <c r="B511" s="1">
        <v>45346</v>
      </c>
      <c r="C511" s="1">
        <v>45350</v>
      </c>
      <c r="D511">
        <v>2024</v>
      </c>
      <c r="E511" t="s">
        <v>20</v>
      </c>
      <c r="F511" t="s">
        <v>351</v>
      </c>
      <c r="G511" t="s">
        <v>102</v>
      </c>
      <c r="H511" t="s">
        <v>23</v>
      </c>
      <c r="I511" t="s">
        <v>24</v>
      </c>
      <c r="J511" t="s">
        <v>43</v>
      </c>
      <c r="K511" t="s">
        <v>53</v>
      </c>
      <c r="L511" t="s">
        <v>44</v>
      </c>
      <c r="M511">
        <v>4</v>
      </c>
      <c r="N511" s="2">
        <v>54</v>
      </c>
      <c r="O511" s="3">
        <v>3050</v>
      </c>
      <c r="P511">
        <v>1</v>
      </c>
      <c r="Q511">
        <v>3</v>
      </c>
      <c r="R511" t="s">
        <v>33</v>
      </c>
      <c r="S511">
        <v>1</v>
      </c>
    </row>
    <row r="512" spans="1:19" ht="16.5" x14ac:dyDescent="0.3">
      <c r="A512" t="s">
        <v>562</v>
      </c>
      <c r="B512" s="1">
        <v>45346</v>
      </c>
      <c r="C512" s="1">
        <v>45348</v>
      </c>
      <c r="D512">
        <v>2024</v>
      </c>
      <c r="E512" t="s">
        <v>20</v>
      </c>
      <c r="F512" t="s">
        <v>351</v>
      </c>
      <c r="G512" t="s">
        <v>102</v>
      </c>
      <c r="H512" t="s">
        <v>30</v>
      </c>
      <c r="I512" t="s">
        <v>40</v>
      </c>
      <c r="J512" t="s">
        <v>43</v>
      </c>
      <c r="K512" t="s">
        <v>53</v>
      </c>
      <c r="L512" t="s">
        <v>37</v>
      </c>
      <c r="M512">
        <v>2</v>
      </c>
      <c r="N512" s="2"/>
      <c r="O512" s="3">
        <v>2818</v>
      </c>
      <c r="P512">
        <v>0</v>
      </c>
      <c r="Q512">
        <v>4</v>
      </c>
      <c r="R512" t="s">
        <v>33</v>
      </c>
      <c r="S512">
        <v>1</v>
      </c>
    </row>
    <row r="513" spans="1:19" ht="16.5" x14ac:dyDescent="0.3">
      <c r="A513" t="s">
        <v>563</v>
      </c>
      <c r="B513" s="1">
        <v>45346</v>
      </c>
      <c r="C513" s="1">
        <v>45349</v>
      </c>
      <c r="D513">
        <v>2024</v>
      </c>
      <c r="E513" t="s">
        <v>20</v>
      </c>
      <c r="F513" t="s">
        <v>351</v>
      </c>
      <c r="G513" t="s">
        <v>102</v>
      </c>
      <c r="H513" t="s">
        <v>39</v>
      </c>
      <c r="I513" t="s">
        <v>31</v>
      </c>
      <c r="J513" t="s">
        <v>43</v>
      </c>
      <c r="K513" t="s">
        <v>41</v>
      </c>
      <c r="L513" t="s">
        <v>27</v>
      </c>
      <c r="M513">
        <v>3</v>
      </c>
      <c r="N513" s="2"/>
      <c r="O513" s="3">
        <v>2003</v>
      </c>
      <c r="P513">
        <v>0</v>
      </c>
      <c r="Q513">
        <v>4</v>
      </c>
      <c r="R513" t="s">
        <v>33</v>
      </c>
      <c r="S513">
        <v>1</v>
      </c>
    </row>
    <row r="514" spans="1:19" ht="16.5" x14ac:dyDescent="0.3">
      <c r="A514" t="s">
        <v>564</v>
      </c>
      <c r="B514" s="1">
        <v>45346</v>
      </c>
      <c r="C514" s="1">
        <v>45351</v>
      </c>
      <c r="D514">
        <v>2024</v>
      </c>
      <c r="E514" t="s">
        <v>20</v>
      </c>
      <c r="F514" t="s">
        <v>351</v>
      </c>
      <c r="G514" t="s">
        <v>102</v>
      </c>
      <c r="H514" t="s">
        <v>30</v>
      </c>
      <c r="I514" t="s">
        <v>40</v>
      </c>
      <c r="J514" t="s">
        <v>25</v>
      </c>
      <c r="K514" t="s">
        <v>26</v>
      </c>
      <c r="L514" t="s">
        <v>44</v>
      </c>
      <c r="M514">
        <v>5</v>
      </c>
      <c r="N514" s="2"/>
      <c r="O514" s="3">
        <v>5965</v>
      </c>
      <c r="P514">
        <v>0</v>
      </c>
      <c r="Q514">
        <v>3</v>
      </c>
      <c r="R514" t="s">
        <v>165</v>
      </c>
      <c r="S514">
        <v>1</v>
      </c>
    </row>
    <row r="515" spans="1:19" ht="16.5" x14ac:dyDescent="0.3">
      <c r="A515" t="s">
        <v>565</v>
      </c>
      <c r="B515" s="1">
        <v>45346</v>
      </c>
      <c r="C515" s="1">
        <v>45354</v>
      </c>
      <c r="D515">
        <v>2024</v>
      </c>
      <c r="E515" t="s">
        <v>20</v>
      </c>
      <c r="F515" t="s">
        <v>351</v>
      </c>
      <c r="G515" t="s">
        <v>102</v>
      </c>
      <c r="H515" t="s">
        <v>23</v>
      </c>
      <c r="I515" t="s">
        <v>24</v>
      </c>
      <c r="J515" t="s">
        <v>25</v>
      </c>
      <c r="K515" t="s">
        <v>53</v>
      </c>
      <c r="L515" t="s">
        <v>37</v>
      </c>
      <c r="M515">
        <v>8</v>
      </c>
      <c r="N515" s="2">
        <v>155</v>
      </c>
      <c r="O515" s="3">
        <v>6906</v>
      </c>
      <c r="P515">
        <v>0</v>
      </c>
      <c r="Q515">
        <v>3</v>
      </c>
      <c r="R515" t="s">
        <v>33</v>
      </c>
      <c r="S515">
        <v>1</v>
      </c>
    </row>
    <row r="516" spans="1:19" ht="16.5" x14ac:dyDescent="0.3">
      <c r="A516" t="s">
        <v>566</v>
      </c>
      <c r="B516" s="1">
        <v>45346</v>
      </c>
      <c r="C516" s="1">
        <v>45352</v>
      </c>
      <c r="D516">
        <v>2024</v>
      </c>
      <c r="E516" t="s">
        <v>20</v>
      </c>
      <c r="F516" t="s">
        <v>351</v>
      </c>
      <c r="G516" t="s">
        <v>102</v>
      </c>
      <c r="H516" t="s">
        <v>50</v>
      </c>
      <c r="I516" t="s">
        <v>40</v>
      </c>
      <c r="J516" t="s">
        <v>25</v>
      </c>
      <c r="K516" t="s">
        <v>26</v>
      </c>
      <c r="L516" t="s">
        <v>27</v>
      </c>
      <c r="M516">
        <v>6</v>
      </c>
      <c r="N516" s="2"/>
      <c r="O516" s="3">
        <v>9639</v>
      </c>
      <c r="P516">
        <v>0</v>
      </c>
      <c r="Q516">
        <v>4</v>
      </c>
      <c r="R516" t="s">
        <v>33</v>
      </c>
      <c r="S516">
        <v>1</v>
      </c>
    </row>
    <row r="517" spans="1:19" ht="16.5" x14ac:dyDescent="0.3">
      <c r="A517" t="s">
        <v>567</v>
      </c>
      <c r="B517" s="1">
        <v>45346</v>
      </c>
      <c r="C517" s="1">
        <v>45355</v>
      </c>
      <c r="D517">
        <v>2024</v>
      </c>
      <c r="E517" t="s">
        <v>20</v>
      </c>
      <c r="F517" t="s">
        <v>351</v>
      </c>
      <c r="G517" t="s">
        <v>102</v>
      </c>
      <c r="H517" t="s">
        <v>23</v>
      </c>
      <c r="I517" t="s">
        <v>24</v>
      </c>
      <c r="J517" t="s">
        <v>43</v>
      </c>
      <c r="K517" t="s">
        <v>32</v>
      </c>
      <c r="L517" t="s">
        <v>27</v>
      </c>
      <c r="M517">
        <v>9</v>
      </c>
      <c r="N517" s="2">
        <v>58</v>
      </c>
      <c r="O517" s="3">
        <v>5847</v>
      </c>
      <c r="P517">
        <v>0</v>
      </c>
      <c r="Q517">
        <v>4</v>
      </c>
      <c r="R517" t="s">
        <v>28</v>
      </c>
      <c r="S517">
        <v>1</v>
      </c>
    </row>
    <row r="518" spans="1:19" ht="16.5" x14ac:dyDescent="0.3">
      <c r="A518" t="s">
        <v>568</v>
      </c>
      <c r="B518" s="1">
        <v>45347</v>
      </c>
      <c r="C518" s="1">
        <v>45349</v>
      </c>
      <c r="D518">
        <v>2024</v>
      </c>
      <c r="E518" t="s">
        <v>20</v>
      </c>
      <c r="F518" t="s">
        <v>351</v>
      </c>
      <c r="G518" t="s">
        <v>112</v>
      </c>
      <c r="H518" t="s">
        <v>30</v>
      </c>
      <c r="I518" t="s">
        <v>40</v>
      </c>
      <c r="J518" t="s">
        <v>43</v>
      </c>
      <c r="K518" t="s">
        <v>53</v>
      </c>
      <c r="L518" t="s">
        <v>44</v>
      </c>
      <c r="M518">
        <v>2</v>
      </c>
      <c r="N518" s="2"/>
      <c r="O518" s="3">
        <v>2199</v>
      </c>
      <c r="P518">
        <v>0</v>
      </c>
      <c r="Q518">
        <v>4</v>
      </c>
      <c r="R518" t="s">
        <v>28</v>
      </c>
      <c r="S518">
        <v>1</v>
      </c>
    </row>
    <row r="519" spans="1:19" ht="16.5" x14ac:dyDescent="0.3">
      <c r="A519" t="s">
        <v>569</v>
      </c>
      <c r="B519" s="1">
        <v>45347</v>
      </c>
      <c r="C519" s="1">
        <v>45351</v>
      </c>
      <c r="D519">
        <v>2024</v>
      </c>
      <c r="E519" t="s">
        <v>20</v>
      </c>
      <c r="F519" t="s">
        <v>351</v>
      </c>
      <c r="G519" t="s">
        <v>112</v>
      </c>
      <c r="H519" t="s">
        <v>52</v>
      </c>
      <c r="I519" t="s">
        <v>24</v>
      </c>
      <c r="J519" t="s">
        <v>43</v>
      </c>
      <c r="K519" t="s">
        <v>32</v>
      </c>
      <c r="L519" t="s">
        <v>27</v>
      </c>
      <c r="M519">
        <v>4</v>
      </c>
      <c r="N519" s="2">
        <v>21</v>
      </c>
      <c r="O519" s="3">
        <v>5249</v>
      </c>
      <c r="P519">
        <v>0</v>
      </c>
      <c r="Q519">
        <v>5</v>
      </c>
      <c r="R519" t="s">
        <v>33</v>
      </c>
      <c r="S519">
        <v>1</v>
      </c>
    </row>
    <row r="520" spans="1:19" ht="16.5" x14ac:dyDescent="0.3">
      <c r="A520" t="s">
        <v>570</v>
      </c>
      <c r="B520" s="1">
        <v>45347</v>
      </c>
      <c r="C520" s="1">
        <v>45350</v>
      </c>
      <c r="D520">
        <v>2024</v>
      </c>
      <c r="E520" t="s">
        <v>20</v>
      </c>
      <c r="F520" t="s">
        <v>351</v>
      </c>
      <c r="G520" t="s">
        <v>112</v>
      </c>
      <c r="H520" t="s">
        <v>30</v>
      </c>
      <c r="I520" t="s">
        <v>24</v>
      </c>
      <c r="J520" t="s">
        <v>43</v>
      </c>
      <c r="K520" t="s">
        <v>53</v>
      </c>
      <c r="L520" t="s">
        <v>44</v>
      </c>
      <c r="M520">
        <v>3</v>
      </c>
      <c r="N520" s="2">
        <v>95</v>
      </c>
      <c r="O520" s="3">
        <v>3512</v>
      </c>
      <c r="P520">
        <v>0</v>
      </c>
      <c r="Q520">
        <v>4</v>
      </c>
      <c r="R520" t="s">
        <v>33</v>
      </c>
      <c r="S520">
        <v>1</v>
      </c>
    </row>
    <row r="521" spans="1:19" ht="16.5" x14ac:dyDescent="0.3">
      <c r="A521" t="s">
        <v>571</v>
      </c>
      <c r="B521" s="1">
        <v>45347</v>
      </c>
      <c r="C521" s="1">
        <v>45350</v>
      </c>
      <c r="D521">
        <v>2024</v>
      </c>
      <c r="E521" t="s">
        <v>20</v>
      </c>
      <c r="F521" t="s">
        <v>351</v>
      </c>
      <c r="G521" t="s">
        <v>112</v>
      </c>
      <c r="H521" t="s">
        <v>35</v>
      </c>
      <c r="I521" t="s">
        <v>31</v>
      </c>
      <c r="J521" t="s">
        <v>25</v>
      </c>
      <c r="K521" t="s">
        <v>36</v>
      </c>
      <c r="L521" t="s">
        <v>27</v>
      </c>
      <c r="M521">
        <v>3</v>
      </c>
      <c r="N521" s="2"/>
      <c r="O521" s="3">
        <v>2691</v>
      </c>
      <c r="P521">
        <v>0</v>
      </c>
      <c r="Q521">
        <v>5</v>
      </c>
      <c r="R521" t="s">
        <v>33</v>
      </c>
      <c r="S521">
        <v>1</v>
      </c>
    </row>
    <row r="522" spans="1:19" ht="16.5" x14ac:dyDescent="0.3">
      <c r="A522" t="s">
        <v>572</v>
      </c>
      <c r="B522" s="1">
        <v>45347</v>
      </c>
      <c r="C522" s="1">
        <v>45350</v>
      </c>
      <c r="D522">
        <v>2024</v>
      </c>
      <c r="E522" t="s">
        <v>20</v>
      </c>
      <c r="F522" t="s">
        <v>351</v>
      </c>
      <c r="G522" t="s">
        <v>112</v>
      </c>
      <c r="H522" t="s">
        <v>39</v>
      </c>
      <c r="I522" t="s">
        <v>24</v>
      </c>
      <c r="J522" t="s">
        <v>25</v>
      </c>
      <c r="K522" t="s">
        <v>41</v>
      </c>
      <c r="L522" t="s">
        <v>27</v>
      </c>
      <c r="M522">
        <v>3</v>
      </c>
      <c r="N522" s="2">
        <v>57</v>
      </c>
      <c r="O522" s="3">
        <v>2942</v>
      </c>
      <c r="P522">
        <v>0</v>
      </c>
      <c r="Q522">
        <v>3</v>
      </c>
      <c r="R522" t="s">
        <v>59</v>
      </c>
      <c r="S522">
        <v>1</v>
      </c>
    </row>
    <row r="523" spans="1:19" ht="16.5" x14ac:dyDescent="0.3">
      <c r="A523" t="s">
        <v>573</v>
      </c>
      <c r="B523" s="1">
        <v>45347</v>
      </c>
      <c r="C523" s="1">
        <v>45349</v>
      </c>
      <c r="D523">
        <v>2024</v>
      </c>
      <c r="E523" t="s">
        <v>20</v>
      </c>
      <c r="F523" t="s">
        <v>351</v>
      </c>
      <c r="G523" t="s">
        <v>112</v>
      </c>
      <c r="H523" t="s">
        <v>35</v>
      </c>
      <c r="I523" t="s">
        <v>24</v>
      </c>
      <c r="J523" t="s">
        <v>25</v>
      </c>
      <c r="K523" t="s">
        <v>36</v>
      </c>
      <c r="L523" t="s">
        <v>44</v>
      </c>
      <c r="M523">
        <v>2</v>
      </c>
      <c r="N523" s="2">
        <v>24</v>
      </c>
      <c r="O523" s="3">
        <v>2543</v>
      </c>
      <c r="P523">
        <v>0</v>
      </c>
      <c r="Q523">
        <v>4</v>
      </c>
      <c r="R523" t="s">
        <v>33</v>
      </c>
      <c r="S523">
        <v>1</v>
      </c>
    </row>
    <row r="524" spans="1:19" ht="16.5" x14ac:dyDescent="0.3">
      <c r="A524" t="s">
        <v>574</v>
      </c>
      <c r="B524" s="1">
        <v>45347</v>
      </c>
      <c r="C524" s="1">
        <v>45358</v>
      </c>
      <c r="D524">
        <v>2024</v>
      </c>
      <c r="E524" t="s">
        <v>20</v>
      </c>
      <c r="F524" t="s">
        <v>351</v>
      </c>
      <c r="G524" t="s">
        <v>112</v>
      </c>
      <c r="H524" t="s">
        <v>23</v>
      </c>
      <c r="I524" t="s">
        <v>24</v>
      </c>
      <c r="J524" t="s">
        <v>43</v>
      </c>
      <c r="K524" t="s">
        <v>26</v>
      </c>
      <c r="L524" t="s">
        <v>44</v>
      </c>
      <c r="M524">
        <v>11</v>
      </c>
      <c r="N524" s="2">
        <v>66</v>
      </c>
      <c r="O524" s="3">
        <v>8736</v>
      </c>
      <c r="P524">
        <v>1</v>
      </c>
      <c r="Q524">
        <v>4</v>
      </c>
      <c r="R524" t="s">
        <v>28</v>
      </c>
      <c r="S524">
        <v>1</v>
      </c>
    </row>
    <row r="525" spans="1:19" ht="16.5" x14ac:dyDescent="0.3">
      <c r="A525" t="s">
        <v>575</v>
      </c>
      <c r="B525" s="1">
        <v>45347</v>
      </c>
      <c r="C525" s="1">
        <v>45351</v>
      </c>
      <c r="D525">
        <v>2024</v>
      </c>
      <c r="E525" t="s">
        <v>20</v>
      </c>
      <c r="F525" t="s">
        <v>351</v>
      </c>
      <c r="G525" t="s">
        <v>112</v>
      </c>
      <c r="H525" t="s">
        <v>30</v>
      </c>
      <c r="I525" t="s">
        <v>40</v>
      </c>
      <c r="J525" t="s">
        <v>25</v>
      </c>
      <c r="K525" t="s">
        <v>26</v>
      </c>
      <c r="L525" t="s">
        <v>27</v>
      </c>
      <c r="M525">
        <v>4</v>
      </c>
      <c r="N525" s="2"/>
      <c r="O525" s="3">
        <v>4409</v>
      </c>
      <c r="P525">
        <v>0</v>
      </c>
      <c r="Q525">
        <v>3</v>
      </c>
      <c r="R525" t="s">
        <v>165</v>
      </c>
      <c r="S525">
        <v>1</v>
      </c>
    </row>
    <row r="526" spans="1:19" ht="16.5" x14ac:dyDescent="0.3">
      <c r="A526" t="s">
        <v>576</v>
      </c>
      <c r="B526" s="1">
        <v>45347</v>
      </c>
      <c r="C526" s="1">
        <v>45349</v>
      </c>
      <c r="D526">
        <v>2024</v>
      </c>
      <c r="E526" t="s">
        <v>20</v>
      </c>
      <c r="F526" t="s">
        <v>351</v>
      </c>
      <c r="G526" t="s">
        <v>112</v>
      </c>
      <c r="H526" t="s">
        <v>52</v>
      </c>
      <c r="I526" t="s">
        <v>40</v>
      </c>
      <c r="J526" t="s">
        <v>43</v>
      </c>
      <c r="K526" t="s">
        <v>26</v>
      </c>
      <c r="L526" t="s">
        <v>44</v>
      </c>
      <c r="M526">
        <v>2</v>
      </c>
      <c r="N526" s="2"/>
      <c r="O526" s="3">
        <v>2128</v>
      </c>
      <c r="P526">
        <v>0</v>
      </c>
      <c r="Q526">
        <v>4</v>
      </c>
      <c r="R526" t="s">
        <v>33</v>
      </c>
      <c r="S526">
        <v>1</v>
      </c>
    </row>
    <row r="527" spans="1:19" ht="16.5" x14ac:dyDescent="0.3">
      <c r="A527" t="s">
        <v>577</v>
      </c>
      <c r="B527" s="1">
        <v>45347</v>
      </c>
      <c r="C527" s="1">
        <v>45349</v>
      </c>
      <c r="D527">
        <v>2024</v>
      </c>
      <c r="E527" t="s">
        <v>20</v>
      </c>
      <c r="F527" t="s">
        <v>351</v>
      </c>
      <c r="G527" t="s">
        <v>112</v>
      </c>
      <c r="H527" t="s">
        <v>39</v>
      </c>
      <c r="I527" t="s">
        <v>24</v>
      </c>
      <c r="J527" t="s">
        <v>43</v>
      </c>
      <c r="K527" t="s">
        <v>41</v>
      </c>
      <c r="L527" t="s">
        <v>44</v>
      </c>
      <c r="M527">
        <v>2</v>
      </c>
      <c r="N527" s="2">
        <v>135</v>
      </c>
      <c r="O527" s="3">
        <v>1590</v>
      </c>
      <c r="P527">
        <v>0</v>
      </c>
      <c r="Q527">
        <v>3</v>
      </c>
      <c r="R527" t="s">
        <v>33</v>
      </c>
      <c r="S527">
        <v>1</v>
      </c>
    </row>
    <row r="528" spans="1:19" ht="16.5" x14ac:dyDescent="0.3">
      <c r="A528" t="s">
        <v>578</v>
      </c>
      <c r="B528" s="1">
        <v>45348</v>
      </c>
      <c r="C528" s="1">
        <v>45352</v>
      </c>
      <c r="D528">
        <v>2024</v>
      </c>
      <c r="E528" t="s">
        <v>20</v>
      </c>
      <c r="F528" t="s">
        <v>351</v>
      </c>
      <c r="G528" t="s">
        <v>22</v>
      </c>
      <c r="H528" t="s">
        <v>23</v>
      </c>
      <c r="I528" t="s">
        <v>24</v>
      </c>
      <c r="J528" t="s">
        <v>43</v>
      </c>
      <c r="K528" t="s">
        <v>36</v>
      </c>
      <c r="L528" t="s">
        <v>27</v>
      </c>
      <c r="M528">
        <v>4</v>
      </c>
      <c r="N528" s="2">
        <v>67</v>
      </c>
      <c r="O528" s="3">
        <v>3408</v>
      </c>
      <c r="P528">
        <v>0</v>
      </c>
      <c r="Q528">
        <v>5</v>
      </c>
      <c r="R528" t="s">
        <v>33</v>
      </c>
      <c r="S528">
        <v>1</v>
      </c>
    </row>
    <row r="529" spans="1:19" ht="16.5" x14ac:dyDescent="0.3">
      <c r="A529" t="s">
        <v>579</v>
      </c>
      <c r="B529" s="1">
        <v>45348</v>
      </c>
      <c r="C529" s="1">
        <v>45350</v>
      </c>
      <c r="D529">
        <v>2024</v>
      </c>
      <c r="E529" t="s">
        <v>20</v>
      </c>
      <c r="F529" t="s">
        <v>351</v>
      </c>
      <c r="G529" t="s">
        <v>22</v>
      </c>
      <c r="H529" t="s">
        <v>52</v>
      </c>
      <c r="I529" t="s">
        <v>24</v>
      </c>
      <c r="J529" t="s">
        <v>43</v>
      </c>
      <c r="K529" t="s">
        <v>53</v>
      </c>
      <c r="L529" t="s">
        <v>44</v>
      </c>
      <c r="M529">
        <v>2</v>
      </c>
      <c r="N529" s="2">
        <v>51</v>
      </c>
      <c r="O529" s="3">
        <v>2460</v>
      </c>
      <c r="P529">
        <v>1</v>
      </c>
      <c r="Q529">
        <v>5</v>
      </c>
      <c r="R529" t="s">
        <v>33</v>
      </c>
      <c r="S529">
        <v>1</v>
      </c>
    </row>
    <row r="530" spans="1:19" ht="16.5" x14ac:dyDescent="0.3">
      <c r="A530" t="s">
        <v>580</v>
      </c>
      <c r="B530" s="1">
        <v>45348</v>
      </c>
      <c r="C530" s="1">
        <v>45351</v>
      </c>
      <c r="D530">
        <v>2024</v>
      </c>
      <c r="E530" t="s">
        <v>20</v>
      </c>
      <c r="F530" t="s">
        <v>351</v>
      </c>
      <c r="G530" t="s">
        <v>22</v>
      </c>
      <c r="H530" t="s">
        <v>50</v>
      </c>
      <c r="I530" t="s">
        <v>40</v>
      </c>
      <c r="J530" t="s">
        <v>25</v>
      </c>
      <c r="K530" t="s">
        <v>36</v>
      </c>
      <c r="L530" t="s">
        <v>44</v>
      </c>
      <c r="M530">
        <v>3</v>
      </c>
      <c r="N530" s="2"/>
      <c r="O530" s="3">
        <v>3635</v>
      </c>
      <c r="P530">
        <v>1</v>
      </c>
      <c r="Q530">
        <v>3</v>
      </c>
      <c r="R530" t="s">
        <v>33</v>
      </c>
      <c r="S530">
        <v>1</v>
      </c>
    </row>
    <row r="531" spans="1:19" ht="16.5" x14ac:dyDescent="0.3">
      <c r="A531" t="s">
        <v>581</v>
      </c>
      <c r="B531" s="1">
        <v>45348</v>
      </c>
      <c r="C531" s="1">
        <v>45350</v>
      </c>
      <c r="D531">
        <v>2024</v>
      </c>
      <c r="E531" t="s">
        <v>20</v>
      </c>
      <c r="F531" t="s">
        <v>351</v>
      </c>
      <c r="G531" t="s">
        <v>22</v>
      </c>
      <c r="H531" t="s">
        <v>30</v>
      </c>
      <c r="I531" t="s">
        <v>40</v>
      </c>
      <c r="J531" t="s">
        <v>25</v>
      </c>
      <c r="K531" t="s">
        <v>53</v>
      </c>
      <c r="L531" t="s">
        <v>27</v>
      </c>
      <c r="M531">
        <v>2</v>
      </c>
      <c r="N531" s="2"/>
      <c r="O531" s="3">
        <v>2936</v>
      </c>
      <c r="P531">
        <v>1</v>
      </c>
      <c r="Q531">
        <v>4</v>
      </c>
      <c r="R531" t="s">
        <v>33</v>
      </c>
      <c r="S531">
        <v>1</v>
      </c>
    </row>
    <row r="532" spans="1:19" ht="16.5" x14ac:dyDescent="0.3">
      <c r="A532" t="s">
        <v>582</v>
      </c>
      <c r="B532" s="1">
        <v>45348</v>
      </c>
      <c r="C532" s="1">
        <v>45351</v>
      </c>
      <c r="D532">
        <v>2024</v>
      </c>
      <c r="E532" t="s">
        <v>20</v>
      </c>
      <c r="F532" t="s">
        <v>351</v>
      </c>
      <c r="G532" t="s">
        <v>22</v>
      </c>
      <c r="H532" t="s">
        <v>39</v>
      </c>
      <c r="I532" t="s">
        <v>24</v>
      </c>
      <c r="J532" t="s">
        <v>25</v>
      </c>
      <c r="K532" t="s">
        <v>41</v>
      </c>
      <c r="L532" t="s">
        <v>44</v>
      </c>
      <c r="M532">
        <v>3</v>
      </c>
      <c r="N532" s="2">
        <v>85</v>
      </c>
      <c r="O532" s="3">
        <v>2554</v>
      </c>
      <c r="P532">
        <v>0</v>
      </c>
      <c r="Q532">
        <v>5</v>
      </c>
      <c r="R532" t="s">
        <v>33</v>
      </c>
      <c r="S532">
        <v>1</v>
      </c>
    </row>
    <row r="533" spans="1:19" ht="16.5" x14ac:dyDescent="0.3">
      <c r="A533" t="s">
        <v>583</v>
      </c>
      <c r="B533" s="1">
        <v>45348</v>
      </c>
      <c r="C533" s="1">
        <v>45372</v>
      </c>
      <c r="D533">
        <v>2024</v>
      </c>
      <c r="E533" t="s">
        <v>20</v>
      </c>
      <c r="F533" t="s">
        <v>351</v>
      </c>
      <c r="G533" t="s">
        <v>22</v>
      </c>
      <c r="H533" t="s">
        <v>50</v>
      </c>
      <c r="I533" t="s">
        <v>24</v>
      </c>
      <c r="J533" t="s">
        <v>25</v>
      </c>
      <c r="K533" t="s">
        <v>26</v>
      </c>
      <c r="L533" t="s">
        <v>27</v>
      </c>
      <c r="M533">
        <v>24</v>
      </c>
      <c r="N533" s="2">
        <v>148</v>
      </c>
      <c r="O533" s="3">
        <v>24925</v>
      </c>
      <c r="P533">
        <v>0</v>
      </c>
      <c r="Q533">
        <v>4</v>
      </c>
      <c r="R533" t="s">
        <v>33</v>
      </c>
      <c r="S533">
        <v>1</v>
      </c>
    </row>
    <row r="534" spans="1:19" ht="16.5" x14ac:dyDescent="0.3">
      <c r="A534" t="s">
        <v>584</v>
      </c>
      <c r="B534" s="1">
        <v>45349</v>
      </c>
      <c r="C534" s="1">
        <v>45355</v>
      </c>
      <c r="D534">
        <v>2024</v>
      </c>
      <c r="E534" t="s">
        <v>20</v>
      </c>
      <c r="F534" t="s">
        <v>351</v>
      </c>
      <c r="G534" t="s">
        <v>56</v>
      </c>
      <c r="H534" t="s">
        <v>30</v>
      </c>
      <c r="I534" t="s">
        <v>40</v>
      </c>
      <c r="J534" t="s">
        <v>25</v>
      </c>
      <c r="K534" t="s">
        <v>26</v>
      </c>
      <c r="L534" t="s">
        <v>44</v>
      </c>
      <c r="M534">
        <v>6</v>
      </c>
      <c r="N534" s="2"/>
      <c r="O534" s="3">
        <v>6326</v>
      </c>
      <c r="P534">
        <v>0</v>
      </c>
      <c r="Q534">
        <v>4</v>
      </c>
      <c r="R534" t="s">
        <v>28</v>
      </c>
      <c r="S534">
        <v>1</v>
      </c>
    </row>
    <row r="535" spans="1:19" ht="16.5" x14ac:dyDescent="0.3">
      <c r="A535" t="s">
        <v>585</v>
      </c>
      <c r="B535" s="1">
        <v>45349</v>
      </c>
      <c r="C535" s="1">
        <v>45351</v>
      </c>
      <c r="D535">
        <v>2024</v>
      </c>
      <c r="E535" t="s">
        <v>20</v>
      </c>
      <c r="F535" t="s">
        <v>351</v>
      </c>
      <c r="G535" t="s">
        <v>56</v>
      </c>
      <c r="H535" t="s">
        <v>23</v>
      </c>
      <c r="I535" t="s">
        <v>40</v>
      </c>
      <c r="J535" t="s">
        <v>43</v>
      </c>
      <c r="K535" t="s">
        <v>26</v>
      </c>
      <c r="L535" t="s">
        <v>27</v>
      </c>
      <c r="M535">
        <v>2</v>
      </c>
      <c r="N535" s="2"/>
      <c r="O535" s="3">
        <v>1429</v>
      </c>
      <c r="P535">
        <v>1</v>
      </c>
      <c r="Q535">
        <v>3</v>
      </c>
      <c r="R535" t="s">
        <v>33</v>
      </c>
      <c r="S535">
        <v>1</v>
      </c>
    </row>
    <row r="536" spans="1:19" ht="16.5" x14ac:dyDescent="0.3">
      <c r="A536" t="s">
        <v>586</v>
      </c>
      <c r="B536" s="1">
        <v>45349</v>
      </c>
      <c r="C536" s="1">
        <v>45351</v>
      </c>
      <c r="D536">
        <v>2024</v>
      </c>
      <c r="E536" t="s">
        <v>20</v>
      </c>
      <c r="F536" t="s">
        <v>351</v>
      </c>
      <c r="G536" t="s">
        <v>56</v>
      </c>
      <c r="H536" t="s">
        <v>35</v>
      </c>
      <c r="I536" t="s">
        <v>31</v>
      </c>
      <c r="J536" t="s">
        <v>25</v>
      </c>
      <c r="K536" t="s">
        <v>32</v>
      </c>
      <c r="L536" t="s">
        <v>44</v>
      </c>
      <c r="M536">
        <v>2</v>
      </c>
      <c r="N536" s="2"/>
      <c r="O536" s="3">
        <v>2058</v>
      </c>
      <c r="P536">
        <v>0</v>
      </c>
      <c r="Q536">
        <v>4</v>
      </c>
      <c r="R536" t="s">
        <v>28</v>
      </c>
      <c r="S536">
        <v>1</v>
      </c>
    </row>
    <row r="537" spans="1:19" ht="16.5" x14ac:dyDescent="0.3">
      <c r="A537" t="s">
        <v>587</v>
      </c>
      <c r="B537" s="1">
        <v>45349</v>
      </c>
      <c r="C537" s="1">
        <v>45351</v>
      </c>
      <c r="D537">
        <v>2024</v>
      </c>
      <c r="E537" t="s">
        <v>20</v>
      </c>
      <c r="F537" t="s">
        <v>351</v>
      </c>
      <c r="G537" t="s">
        <v>56</v>
      </c>
      <c r="H537" t="s">
        <v>39</v>
      </c>
      <c r="I537" t="s">
        <v>24</v>
      </c>
      <c r="J537" t="s">
        <v>43</v>
      </c>
      <c r="K537" t="s">
        <v>41</v>
      </c>
      <c r="L537" t="s">
        <v>27</v>
      </c>
      <c r="M537">
        <v>2</v>
      </c>
      <c r="N537" s="2">
        <v>115</v>
      </c>
      <c r="O537" s="3">
        <v>1763</v>
      </c>
      <c r="P537">
        <v>0</v>
      </c>
      <c r="Q537">
        <v>4</v>
      </c>
      <c r="R537" t="s">
        <v>28</v>
      </c>
      <c r="S537">
        <v>1</v>
      </c>
    </row>
    <row r="538" spans="1:19" ht="16.5" x14ac:dyDescent="0.3">
      <c r="A538" t="s">
        <v>588</v>
      </c>
      <c r="B538" s="1">
        <v>45349</v>
      </c>
      <c r="C538" s="1">
        <v>45360</v>
      </c>
      <c r="D538">
        <v>2024</v>
      </c>
      <c r="E538" t="s">
        <v>20</v>
      </c>
      <c r="F538" t="s">
        <v>351</v>
      </c>
      <c r="G538" t="s">
        <v>56</v>
      </c>
      <c r="H538" t="s">
        <v>52</v>
      </c>
      <c r="I538" t="s">
        <v>40</v>
      </c>
      <c r="J538" t="s">
        <v>25</v>
      </c>
      <c r="K538" t="s">
        <v>26</v>
      </c>
      <c r="L538" t="s">
        <v>27</v>
      </c>
      <c r="M538">
        <v>11</v>
      </c>
      <c r="N538" s="2"/>
      <c r="O538" s="3">
        <v>10621</v>
      </c>
      <c r="P538">
        <v>0</v>
      </c>
      <c r="Q538">
        <v>4</v>
      </c>
      <c r="R538" t="s">
        <v>28</v>
      </c>
      <c r="S538">
        <v>1</v>
      </c>
    </row>
    <row r="539" spans="1:19" ht="16.5" x14ac:dyDescent="0.3">
      <c r="A539" t="s">
        <v>589</v>
      </c>
      <c r="B539" s="1">
        <v>45349</v>
      </c>
      <c r="C539" s="1">
        <v>45351</v>
      </c>
      <c r="D539">
        <v>2024</v>
      </c>
      <c r="E539" t="s">
        <v>20</v>
      </c>
      <c r="F539" t="s">
        <v>351</v>
      </c>
      <c r="G539" t="s">
        <v>56</v>
      </c>
      <c r="H539" t="s">
        <v>23</v>
      </c>
      <c r="I539" t="s">
        <v>40</v>
      </c>
      <c r="J539" t="s">
        <v>25</v>
      </c>
      <c r="K539" t="s">
        <v>53</v>
      </c>
      <c r="L539" t="s">
        <v>44</v>
      </c>
      <c r="M539">
        <v>2</v>
      </c>
      <c r="N539" s="2"/>
      <c r="O539" s="3">
        <v>1787</v>
      </c>
      <c r="P539">
        <v>0</v>
      </c>
      <c r="Q539">
        <v>4</v>
      </c>
      <c r="R539" t="s">
        <v>28</v>
      </c>
      <c r="S539">
        <v>1</v>
      </c>
    </row>
    <row r="540" spans="1:19" ht="16.5" x14ac:dyDescent="0.3">
      <c r="A540" t="s">
        <v>590</v>
      </c>
      <c r="B540" s="1">
        <v>45350</v>
      </c>
      <c r="C540" s="1">
        <v>45358</v>
      </c>
      <c r="D540">
        <v>2024</v>
      </c>
      <c r="E540" t="s">
        <v>20</v>
      </c>
      <c r="F540" t="s">
        <v>351</v>
      </c>
      <c r="G540" t="s">
        <v>70</v>
      </c>
      <c r="H540" t="s">
        <v>23</v>
      </c>
      <c r="I540" t="s">
        <v>24</v>
      </c>
      <c r="J540" t="s">
        <v>43</v>
      </c>
      <c r="K540" t="s">
        <v>26</v>
      </c>
      <c r="L540" t="s">
        <v>27</v>
      </c>
      <c r="M540">
        <v>8</v>
      </c>
      <c r="N540" s="2">
        <v>164</v>
      </c>
      <c r="O540" s="3">
        <v>7191</v>
      </c>
      <c r="P540">
        <v>1</v>
      </c>
      <c r="Q540">
        <v>1</v>
      </c>
      <c r="R540" t="s">
        <v>28</v>
      </c>
      <c r="S540">
        <v>1</v>
      </c>
    </row>
    <row r="541" spans="1:19" ht="16.5" x14ac:dyDescent="0.3">
      <c r="A541" t="s">
        <v>591</v>
      </c>
      <c r="B541" s="1">
        <v>45350</v>
      </c>
      <c r="C541" s="1">
        <v>45353</v>
      </c>
      <c r="D541">
        <v>2024</v>
      </c>
      <c r="E541" t="s">
        <v>20</v>
      </c>
      <c r="F541" t="s">
        <v>351</v>
      </c>
      <c r="G541" t="s">
        <v>70</v>
      </c>
      <c r="H541" t="s">
        <v>39</v>
      </c>
      <c r="I541" t="s">
        <v>24</v>
      </c>
      <c r="J541" t="s">
        <v>25</v>
      </c>
      <c r="K541" t="s">
        <v>41</v>
      </c>
      <c r="L541" t="s">
        <v>27</v>
      </c>
      <c r="M541">
        <v>3</v>
      </c>
      <c r="N541" s="2">
        <v>55</v>
      </c>
      <c r="O541" s="3">
        <v>2462</v>
      </c>
      <c r="P541">
        <v>0</v>
      </c>
      <c r="Q541">
        <v>5</v>
      </c>
      <c r="R541" t="s">
        <v>28</v>
      </c>
      <c r="S541">
        <v>1</v>
      </c>
    </row>
    <row r="542" spans="1:19" ht="16.5" x14ac:dyDescent="0.3">
      <c r="A542" t="s">
        <v>592</v>
      </c>
      <c r="B542" s="1">
        <v>45350</v>
      </c>
      <c r="C542" s="1">
        <v>45354</v>
      </c>
      <c r="D542">
        <v>2024</v>
      </c>
      <c r="E542" t="s">
        <v>20</v>
      </c>
      <c r="F542" t="s">
        <v>351</v>
      </c>
      <c r="G542" t="s">
        <v>70</v>
      </c>
      <c r="H542" t="s">
        <v>50</v>
      </c>
      <c r="I542" t="s">
        <v>24</v>
      </c>
      <c r="J542" t="s">
        <v>25</v>
      </c>
      <c r="K542" t="s">
        <v>36</v>
      </c>
      <c r="L542" t="s">
        <v>44</v>
      </c>
      <c r="M542">
        <v>4</v>
      </c>
      <c r="N542" s="2">
        <v>103</v>
      </c>
      <c r="O542" s="3">
        <v>6062</v>
      </c>
      <c r="P542">
        <v>0</v>
      </c>
      <c r="Q542">
        <v>3</v>
      </c>
      <c r="R542" t="s">
        <v>33</v>
      </c>
      <c r="S542">
        <v>1</v>
      </c>
    </row>
    <row r="543" spans="1:19" ht="16.5" x14ac:dyDescent="0.3">
      <c r="A543" t="s">
        <v>593</v>
      </c>
      <c r="B543" s="1">
        <v>45350</v>
      </c>
      <c r="C543" s="1">
        <v>45354</v>
      </c>
      <c r="D543">
        <v>2024</v>
      </c>
      <c r="E543" t="s">
        <v>20</v>
      </c>
      <c r="F543" t="s">
        <v>351</v>
      </c>
      <c r="G543" t="s">
        <v>70</v>
      </c>
      <c r="H543" t="s">
        <v>30</v>
      </c>
      <c r="I543" t="s">
        <v>31</v>
      </c>
      <c r="J543" t="s">
        <v>43</v>
      </c>
      <c r="K543" t="s">
        <v>32</v>
      </c>
      <c r="L543" t="s">
        <v>44</v>
      </c>
      <c r="M543">
        <v>4</v>
      </c>
      <c r="N543" s="2"/>
      <c r="O543" s="3">
        <v>4529</v>
      </c>
      <c r="P543">
        <v>0</v>
      </c>
      <c r="Q543">
        <v>4</v>
      </c>
      <c r="R543" t="s">
        <v>33</v>
      </c>
      <c r="S543">
        <v>1</v>
      </c>
    </row>
    <row r="544" spans="1:19" ht="16.5" x14ac:dyDescent="0.3">
      <c r="A544" t="s">
        <v>594</v>
      </c>
      <c r="B544" s="1">
        <v>45350</v>
      </c>
      <c r="C544" s="1">
        <v>45353</v>
      </c>
      <c r="D544">
        <v>2024</v>
      </c>
      <c r="E544" t="s">
        <v>20</v>
      </c>
      <c r="F544" t="s">
        <v>351</v>
      </c>
      <c r="G544" t="s">
        <v>70</v>
      </c>
      <c r="H544" t="s">
        <v>35</v>
      </c>
      <c r="I544" t="s">
        <v>24</v>
      </c>
      <c r="J544" t="s">
        <v>25</v>
      </c>
      <c r="K544" t="s">
        <v>36</v>
      </c>
      <c r="L544" t="s">
        <v>27</v>
      </c>
      <c r="M544">
        <v>3</v>
      </c>
      <c r="N544" s="2">
        <v>92</v>
      </c>
      <c r="O544" s="3">
        <v>2526</v>
      </c>
      <c r="P544">
        <v>1</v>
      </c>
      <c r="Q544">
        <v>4</v>
      </c>
      <c r="R544" t="s">
        <v>28</v>
      </c>
      <c r="S544">
        <v>1</v>
      </c>
    </row>
    <row r="545" spans="1:19" ht="16.5" x14ac:dyDescent="0.3">
      <c r="A545" t="s">
        <v>595</v>
      </c>
      <c r="B545" s="1">
        <v>45350</v>
      </c>
      <c r="C545" s="1">
        <v>45354</v>
      </c>
      <c r="D545">
        <v>2024</v>
      </c>
      <c r="E545" t="s">
        <v>20</v>
      </c>
      <c r="F545" t="s">
        <v>351</v>
      </c>
      <c r="G545" t="s">
        <v>70</v>
      </c>
      <c r="H545" t="s">
        <v>39</v>
      </c>
      <c r="I545" t="s">
        <v>24</v>
      </c>
      <c r="J545" t="s">
        <v>25</v>
      </c>
      <c r="K545" t="s">
        <v>41</v>
      </c>
      <c r="L545" t="s">
        <v>37</v>
      </c>
      <c r="M545">
        <v>4</v>
      </c>
      <c r="N545" s="2">
        <v>84</v>
      </c>
      <c r="O545" s="3">
        <v>3284</v>
      </c>
      <c r="P545">
        <v>0</v>
      </c>
      <c r="Q545">
        <v>4</v>
      </c>
      <c r="R545" t="s">
        <v>33</v>
      </c>
      <c r="S545">
        <v>1</v>
      </c>
    </row>
    <row r="546" spans="1:19" ht="16.5" x14ac:dyDescent="0.3">
      <c r="A546" t="s">
        <v>596</v>
      </c>
      <c r="B546" s="1">
        <v>45350</v>
      </c>
      <c r="C546" s="1">
        <v>45351</v>
      </c>
      <c r="D546">
        <v>2024</v>
      </c>
      <c r="E546" t="s">
        <v>20</v>
      </c>
      <c r="F546" t="s">
        <v>351</v>
      </c>
      <c r="G546" t="s">
        <v>70</v>
      </c>
      <c r="H546" t="s">
        <v>39</v>
      </c>
      <c r="I546" t="s">
        <v>40</v>
      </c>
      <c r="J546" t="s">
        <v>43</v>
      </c>
      <c r="K546" t="s">
        <v>41</v>
      </c>
      <c r="L546" t="s">
        <v>44</v>
      </c>
      <c r="M546">
        <v>1</v>
      </c>
      <c r="N546" s="2"/>
      <c r="O546" s="3">
        <v>1195</v>
      </c>
      <c r="P546">
        <v>0</v>
      </c>
      <c r="Q546">
        <v>4</v>
      </c>
      <c r="R546" t="s">
        <v>28</v>
      </c>
      <c r="S546">
        <v>1</v>
      </c>
    </row>
    <row r="547" spans="1:19" ht="16.5" x14ac:dyDescent="0.3">
      <c r="A547" t="s">
        <v>597</v>
      </c>
      <c r="B547" s="1">
        <v>45350</v>
      </c>
      <c r="C547" s="1">
        <v>45353</v>
      </c>
      <c r="D547">
        <v>2024</v>
      </c>
      <c r="E547" t="s">
        <v>20</v>
      </c>
      <c r="F547" t="s">
        <v>351</v>
      </c>
      <c r="G547" t="s">
        <v>70</v>
      </c>
      <c r="H547" t="s">
        <v>23</v>
      </c>
      <c r="I547" t="s">
        <v>24</v>
      </c>
      <c r="J547" t="s">
        <v>43</v>
      </c>
      <c r="K547" t="s">
        <v>36</v>
      </c>
      <c r="L547" t="s">
        <v>27</v>
      </c>
      <c r="M547">
        <v>3</v>
      </c>
      <c r="N547" s="2">
        <v>63</v>
      </c>
      <c r="O547" s="3">
        <v>2009</v>
      </c>
      <c r="P547">
        <v>0</v>
      </c>
      <c r="Q547">
        <v>5</v>
      </c>
      <c r="R547" t="s">
        <v>28</v>
      </c>
      <c r="S547">
        <v>1</v>
      </c>
    </row>
    <row r="548" spans="1:19" ht="16.5" x14ac:dyDescent="0.3">
      <c r="A548" t="s">
        <v>598</v>
      </c>
      <c r="B548" s="1">
        <v>45350</v>
      </c>
      <c r="C548" s="1">
        <v>45354</v>
      </c>
      <c r="D548">
        <v>2024</v>
      </c>
      <c r="E548" t="s">
        <v>20</v>
      </c>
      <c r="F548" t="s">
        <v>351</v>
      </c>
      <c r="G548" t="s">
        <v>70</v>
      </c>
      <c r="H548" t="s">
        <v>35</v>
      </c>
      <c r="I548" t="s">
        <v>40</v>
      </c>
      <c r="J548" t="s">
        <v>25</v>
      </c>
      <c r="K548" t="s">
        <v>32</v>
      </c>
      <c r="L548" t="s">
        <v>44</v>
      </c>
      <c r="M548">
        <v>4</v>
      </c>
      <c r="N548" s="2"/>
      <c r="O548" s="3">
        <v>2762</v>
      </c>
      <c r="P548">
        <v>0</v>
      </c>
      <c r="Q548">
        <v>5</v>
      </c>
      <c r="R548" t="s">
        <v>33</v>
      </c>
      <c r="S548">
        <v>1</v>
      </c>
    </row>
    <row r="549" spans="1:19" ht="16.5" x14ac:dyDescent="0.3">
      <c r="A549" t="s">
        <v>599</v>
      </c>
      <c r="B549" s="1">
        <v>45351</v>
      </c>
      <c r="C549" s="1">
        <v>45353</v>
      </c>
      <c r="D549">
        <v>2024</v>
      </c>
      <c r="E549" t="s">
        <v>20</v>
      </c>
      <c r="F549" t="s">
        <v>351</v>
      </c>
      <c r="G549" t="s">
        <v>78</v>
      </c>
      <c r="H549" t="s">
        <v>52</v>
      </c>
      <c r="I549" t="s">
        <v>40</v>
      </c>
      <c r="J549" t="s">
        <v>43</v>
      </c>
      <c r="K549" t="s">
        <v>53</v>
      </c>
      <c r="L549" t="s">
        <v>44</v>
      </c>
      <c r="M549">
        <v>2</v>
      </c>
      <c r="N549" s="2"/>
      <c r="O549" s="3">
        <v>3049</v>
      </c>
      <c r="P549">
        <v>0</v>
      </c>
      <c r="Q549">
        <v>5</v>
      </c>
      <c r="R549" t="s">
        <v>28</v>
      </c>
      <c r="S549">
        <v>1</v>
      </c>
    </row>
    <row r="550" spans="1:19" ht="16.5" x14ac:dyDescent="0.3">
      <c r="A550" t="s">
        <v>600</v>
      </c>
      <c r="B550" s="1">
        <v>45351</v>
      </c>
      <c r="C550" s="1">
        <v>45354</v>
      </c>
      <c r="D550">
        <v>2024</v>
      </c>
      <c r="E550" t="s">
        <v>20</v>
      </c>
      <c r="F550" t="s">
        <v>351</v>
      </c>
      <c r="G550" t="s">
        <v>78</v>
      </c>
      <c r="H550" t="s">
        <v>23</v>
      </c>
      <c r="I550" t="s">
        <v>24</v>
      </c>
      <c r="J550" t="s">
        <v>43</v>
      </c>
      <c r="K550" t="s">
        <v>32</v>
      </c>
      <c r="L550" t="s">
        <v>37</v>
      </c>
      <c r="M550">
        <v>3</v>
      </c>
      <c r="N550" s="2">
        <v>117</v>
      </c>
      <c r="O550" s="3">
        <v>3174</v>
      </c>
      <c r="P550">
        <v>0</v>
      </c>
      <c r="Q550">
        <v>5</v>
      </c>
      <c r="R550" t="s">
        <v>33</v>
      </c>
      <c r="S550">
        <v>1</v>
      </c>
    </row>
    <row r="551" spans="1:19" ht="16.5" x14ac:dyDescent="0.3">
      <c r="A551" t="s">
        <v>601</v>
      </c>
      <c r="B551" s="1">
        <v>45351</v>
      </c>
      <c r="C551" s="1">
        <v>45355</v>
      </c>
      <c r="D551">
        <v>2024</v>
      </c>
      <c r="E551" t="s">
        <v>20</v>
      </c>
      <c r="F551" t="s">
        <v>351</v>
      </c>
      <c r="G551" t="s">
        <v>78</v>
      </c>
      <c r="H551" t="s">
        <v>50</v>
      </c>
      <c r="I551" t="s">
        <v>40</v>
      </c>
      <c r="J551" t="s">
        <v>25</v>
      </c>
      <c r="K551" t="s">
        <v>36</v>
      </c>
      <c r="L551" t="s">
        <v>27</v>
      </c>
      <c r="M551">
        <v>4</v>
      </c>
      <c r="N551" s="2"/>
      <c r="O551" s="3">
        <v>6188</v>
      </c>
      <c r="P551">
        <v>0</v>
      </c>
      <c r="Q551">
        <v>4</v>
      </c>
      <c r="R551" t="s">
        <v>28</v>
      </c>
      <c r="S551">
        <v>1</v>
      </c>
    </row>
    <row r="552" spans="1:19" ht="16.5" x14ac:dyDescent="0.3">
      <c r="A552" t="s">
        <v>602</v>
      </c>
      <c r="B552" s="1">
        <v>45351</v>
      </c>
      <c r="C552" s="1">
        <v>45353</v>
      </c>
      <c r="D552">
        <v>2024</v>
      </c>
      <c r="E552" t="s">
        <v>20</v>
      </c>
      <c r="F552" t="s">
        <v>351</v>
      </c>
      <c r="G552" t="s">
        <v>78</v>
      </c>
      <c r="H552" t="s">
        <v>52</v>
      </c>
      <c r="I552" t="s">
        <v>24</v>
      </c>
      <c r="J552" t="s">
        <v>43</v>
      </c>
      <c r="K552" t="s">
        <v>53</v>
      </c>
      <c r="L552" t="s">
        <v>44</v>
      </c>
      <c r="M552">
        <v>2</v>
      </c>
      <c r="N552" s="2">
        <v>23</v>
      </c>
      <c r="O552" s="3">
        <v>2995</v>
      </c>
      <c r="P552">
        <v>0</v>
      </c>
      <c r="Q552">
        <v>5</v>
      </c>
      <c r="R552" t="s">
        <v>33</v>
      </c>
      <c r="S552">
        <v>1</v>
      </c>
    </row>
    <row r="553" spans="1:19" ht="16.5" x14ac:dyDescent="0.3">
      <c r="A553" t="s">
        <v>603</v>
      </c>
      <c r="B553" s="1">
        <v>45351</v>
      </c>
      <c r="C553" s="1">
        <v>45352</v>
      </c>
      <c r="D553">
        <v>2024</v>
      </c>
      <c r="E553" t="s">
        <v>20</v>
      </c>
      <c r="F553" t="s">
        <v>351</v>
      </c>
      <c r="G553" t="s">
        <v>78</v>
      </c>
      <c r="H553" t="s">
        <v>30</v>
      </c>
      <c r="I553" t="s">
        <v>24</v>
      </c>
      <c r="J553" t="s">
        <v>43</v>
      </c>
      <c r="K553" t="s">
        <v>32</v>
      </c>
      <c r="L553" t="s">
        <v>27</v>
      </c>
      <c r="M553">
        <v>1</v>
      </c>
      <c r="N553" s="2">
        <v>97</v>
      </c>
      <c r="O553" s="3">
        <v>1329</v>
      </c>
      <c r="P553">
        <v>0</v>
      </c>
      <c r="Q553">
        <v>4</v>
      </c>
      <c r="R553" t="s">
        <v>33</v>
      </c>
      <c r="S553">
        <v>1</v>
      </c>
    </row>
    <row r="554" spans="1:19" ht="16.5" x14ac:dyDescent="0.3">
      <c r="A554" t="s">
        <v>604</v>
      </c>
      <c r="B554" s="1">
        <v>45352</v>
      </c>
      <c r="C554" s="1">
        <v>45354</v>
      </c>
      <c r="D554">
        <v>2024</v>
      </c>
      <c r="E554" t="s">
        <v>20</v>
      </c>
      <c r="F554" t="s">
        <v>605</v>
      </c>
      <c r="G554" t="s">
        <v>83</v>
      </c>
      <c r="H554" t="s">
        <v>23</v>
      </c>
      <c r="I554" t="s">
        <v>40</v>
      </c>
      <c r="J554" t="s">
        <v>43</v>
      </c>
      <c r="K554" t="s">
        <v>26</v>
      </c>
      <c r="L554" t="s">
        <v>27</v>
      </c>
      <c r="M554">
        <v>2</v>
      </c>
      <c r="N554" s="2"/>
      <c r="O554" s="3">
        <v>2328</v>
      </c>
      <c r="P554">
        <v>0</v>
      </c>
      <c r="Q554">
        <v>5</v>
      </c>
      <c r="R554" t="s">
        <v>28</v>
      </c>
      <c r="S554">
        <v>1</v>
      </c>
    </row>
    <row r="555" spans="1:19" ht="16.5" x14ac:dyDescent="0.3">
      <c r="A555" t="s">
        <v>606</v>
      </c>
      <c r="B555" s="1">
        <v>45352</v>
      </c>
      <c r="C555" s="1">
        <v>45360</v>
      </c>
      <c r="D555">
        <v>2024</v>
      </c>
      <c r="E555" t="s">
        <v>20</v>
      </c>
      <c r="F555" t="s">
        <v>605</v>
      </c>
      <c r="G555" t="s">
        <v>83</v>
      </c>
      <c r="H555" t="s">
        <v>23</v>
      </c>
      <c r="I555" t="s">
        <v>31</v>
      </c>
      <c r="J555" t="s">
        <v>25</v>
      </c>
      <c r="K555" t="s">
        <v>32</v>
      </c>
      <c r="L555" t="s">
        <v>44</v>
      </c>
      <c r="M555">
        <v>8</v>
      </c>
      <c r="N555" s="2"/>
      <c r="O555" s="3">
        <v>5269</v>
      </c>
      <c r="P555">
        <v>1</v>
      </c>
      <c r="Q555">
        <v>4</v>
      </c>
      <c r="R555" t="s">
        <v>28</v>
      </c>
      <c r="S555">
        <v>1</v>
      </c>
    </row>
    <row r="556" spans="1:19" ht="16.5" x14ac:dyDescent="0.3">
      <c r="A556" t="s">
        <v>607</v>
      </c>
      <c r="B556" s="1">
        <v>45352</v>
      </c>
      <c r="C556" s="1">
        <v>45354</v>
      </c>
      <c r="D556">
        <v>2024</v>
      </c>
      <c r="E556" t="s">
        <v>20</v>
      </c>
      <c r="F556" t="s">
        <v>605</v>
      </c>
      <c r="G556" t="s">
        <v>83</v>
      </c>
      <c r="H556" t="s">
        <v>39</v>
      </c>
      <c r="I556" t="s">
        <v>40</v>
      </c>
      <c r="J556" t="s">
        <v>43</v>
      </c>
      <c r="K556" t="s">
        <v>41</v>
      </c>
      <c r="L556" t="s">
        <v>27</v>
      </c>
      <c r="M556">
        <v>2</v>
      </c>
      <c r="N556" s="2"/>
      <c r="O556" s="3">
        <v>1896</v>
      </c>
      <c r="P556">
        <v>0</v>
      </c>
      <c r="Q556">
        <v>3</v>
      </c>
      <c r="R556" t="s">
        <v>28</v>
      </c>
      <c r="S556">
        <v>1</v>
      </c>
    </row>
    <row r="557" spans="1:19" ht="16.5" x14ac:dyDescent="0.3">
      <c r="A557" t="s">
        <v>608</v>
      </c>
      <c r="B557" s="1">
        <v>45352</v>
      </c>
      <c r="C557" s="1">
        <v>45356</v>
      </c>
      <c r="D557">
        <v>2024</v>
      </c>
      <c r="E557" t="s">
        <v>20</v>
      </c>
      <c r="F557" t="s">
        <v>605</v>
      </c>
      <c r="G557" t="s">
        <v>83</v>
      </c>
      <c r="H557" t="s">
        <v>50</v>
      </c>
      <c r="I557" t="s">
        <v>24</v>
      </c>
      <c r="J557" t="s">
        <v>43</v>
      </c>
      <c r="K557" t="s">
        <v>32</v>
      </c>
      <c r="L557" t="s">
        <v>37</v>
      </c>
      <c r="M557">
        <v>4</v>
      </c>
      <c r="N557" s="2">
        <v>123</v>
      </c>
      <c r="O557" s="3">
        <v>4497</v>
      </c>
      <c r="P557">
        <v>1</v>
      </c>
      <c r="Q557">
        <v>2</v>
      </c>
      <c r="R557" t="s">
        <v>33</v>
      </c>
      <c r="S557">
        <v>1</v>
      </c>
    </row>
    <row r="558" spans="1:19" ht="16.5" x14ac:dyDescent="0.3">
      <c r="A558" t="s">
        <v>609</v>
      </c>
      <c r="B558" s="1">
        <v>45352</v>
      </c>
      <c r="C558" s="1">
        <v>45364</v>
      </c>
      <c r="D558">
        <v>2024</v>
      </c>
      <c r="E558" t="s">
        <v>20</v>
      </c>
      <c r="F558" t="s">
        <v>605</v>
      </c>
      <c r="G558" t="s">
        <v>83</v>
      </c>
      <c r="H558" t="s">
        <v>50</v>
      </c>
      <c r="I558" t="s">
        <v>24</v>
      </c>
      <c r="J558" t="s">
        <v>43</v>
      </c>
      <c r="K558" t="s">
        <v>26</v>
      </c>
      <c r="L558" t="s">
        <v>44</v>
      </c>
      <c r="M558">
        <v>12</v>
      </c>
      <c r="N558" s="2">
        <v>103</v>
      </c>
      <c r="O558" s="3">
        <v>13079</v>
      </c>
      <c r="P558">
        <v>0</v>
      </c>
      <c r="Q558">
        <v>3</v>
      </c>
      <c r="R558" t="s">
        <v>33</v>
      </c>
      <c r="S558">
        <v>1</v>
      </c>
    </row>
    <row r="559" spans="1:19" ht="16.5" x14ac:dyDescent="0.3">
      <c r="A559" t="s">
        <v>610</v>
      </c>
      <c r="B559" s="1">
        <v>45352</v>
      </c>
      <c r="C559" s="1">
        <v>45360</v>
      </c>
      <c r="D559">
        <v>2024</v>
      </c>
      <c r="E559" t="s">
        <v>20</v>
      </c>
      <c r="F559" t="s">
        <v>605</v>
      </c>
      <c r="G559" t="s">
        <v>83</v>
      </c>
      <c r="H559" t="s">
        <v>52</v>
      </c>
      <c r="I559" t="s">
        <v>40</v>
      </c>
      <c r="J559" t="s">
        <v>25</v>
      </c>
      <c r="K559" t="s">
        <v>26</v>
      </c>
      <c r="L559" t="s">
        <v>44</v>
      </c>
      <c r="M559">
        <v>8</v>
      </c>
      <c r="N559" s="2"/>
      <c r="O559" s="3">
        <v>8464</v>
      </c>
      <c r="P559">
        <v>0</v>
      </c>
      <c r="Q559">
        <v>4</v>
      </c>
      <c r="R559" t="s">
        <v>33</v>
      </c>
      <c r="S559">
        <v>1</v>
      </c>
    </row>
    <row r="560" spans="1:19" ht="16.5" x14ac:dyDescent="0.3">
      <c r="A560" t="s">
        <v>611</v>
      </c>
      <c r="B560" s="1">
        <v>45352</v>
      </c>
      <c r="C560" s="1">
        <v>45361</v>
      </c>
      <c r="D560">
        <v>2024</v>
      </c>
      <c r="E560" t="s">
        <v>20</v>
      </c>
      <c r="F560" t="s">
        <v>605</v>
      </c>
      <c r="G560" t="s">
        <v>83</v>
      </c>
      <c r="H560" t="s">
        <v>52</v>
      </c>
      <c r="I560" t="s">
        <v>40</v>
      </c>
      <c r="J560" t="s">
        <v>25</v>
      </c>
      <c r="K560" t="s">
        <v>26</v>
      </c>
      <c r="L560" t="s">
        <v>27</v>
      </c>
      <c r="M560">
        <v>9</v>
      </c>
      <c r="N560" s="2"/>
      <c r="O560" s="3">
        <v>8910</v>
      </c>
      <c r="P560">
        <v>1</v>
      </c>
      <c r="Q560">
        <v>3</v>
      </c>
      <c r="R560" t="s">
        <v>28</v>
      </c>
      <c r="S560">
        <v>1</v>
      </c>
    </row>
    <row r="561" spans="1:19" ht="16.5" x14ac:dyDescent="0.3">
      <c r="A561" t="s">
        <v>612</v>
      </c>
      <c r="B561" s="1">
        <v>45352</v>
      </c>
      <c r="C561" s="1">
        <v>45353</v>
      </c>
      <c r="D561">
        <v>2024</v>
      </c>
      <c r="E561" t="s">
        <v>20</v>
      </c>
      <c r="F561" t="s">
        <v>605</v>
      </c>
      <c r="G561" t="s">
        <v>83</v>
      </c>
      <c r="H561" t="s">
        <v>35</v>
      </c>
      <c r="I561" t="s">
        <v>24</v>
      </c>
      <c r="J561" t="s">
        <v>25</v>
      </c>
      <c r="K561" t="s">
        <v>32</v>
      </c>
      <c r="L561" t="s">
        <v>44</v>
      </c>
      <c r="M561">
        <v>1</v>
      </c>
      <c r="N561" s="2">
        <v>62</v>
      </c>
      <c r="O561" s="3">
        <v>1604</v>
      </c>
      <c r="P561">
        <v>0</v>
      </c>
      <c r="Q561">
        <v>3</v>
      </c>
      <c r="R561" t="s">
        <v>33</v>
      </c>
      <c r="S561">
        <v>1</v>
      </c>
    </row>
    <row r="562" spans="1:19" ht="16.5" x14ac:dyDescent="0.3">
      <c r="A562" t="s">
        <v>613</v>
      </c>
      <c r="B562" s="1">
        <v>45352</v>
      </c>
      <c r="C562" s="1">
        <v>45371</v>
      </c>
      <c r="D562">
        <v>2024</v>
      </c>
      <c r="E562" t="s">
        <v>20</v>
      </c>
      <c r="F562" t="s">
        <v>605</v>
      </c>
      <c r="G562" t="s">
        <v>83</v>
      </c>
      <c r="H562" t="s">
        <v>39</v>
      </c>
      <c r="I562" t="s">
        <v>24</v>
      </c>
      <c r="J562" t="s">
        <v>43</v>
      </c>
      <c r="K562" t="s">
        <v>41</v>
      </c>
      <c r="L562" t="s">
        <v>44</v>
      </c>
      <c r="M562">
        <v>19</v>
      </c>
      <c r="N562" s="2">
        <v>44</v>
      </c>
      <c r="O562" s="3">
        <v>10268</v>
      </c>
      <c r="P562">
        <v>0</v>
      </c>
      <c r="Q562">
        <v>4</v>
      </c>
      <c r="R562" t="s">
        <v>33</v>
      </c>
      <c r="S562">
        <v>1</v>
      </c>
    </row>
    <row r="563" spans="1:19" ht="16.5" x14ac:dyDescent="0.3">
      <c r="A563" t="s">
        <v>614</v>
      </c>
      <c r="B563" s="1">
        <v>45352</v>
      </c>
      <c r="C563" s="1">
        <v>45359</v>
      </c>
      <c r="D563">
        <v>2024</v>
      </c>
      <c r="E563" t="s">
        <v>20</v>
      </c>
      <c r="F563" t="s">
        <v>605</v>
      </c>
      <c r="G563" t="s">
        <v>83</v>
      </c>
      <c r="H563" t="s">
        <v>50</v>
      </c>
      <c r="I563" t="s">
        <v>24</v>
      </c>
      <c r="J563" t="s">
        <v>25</v>
      </c>
      <c r="K563" t="s">
        <v>26</v>
      </c>
      <c r="L563" t="s">
        <v>27</v>
      </c>
      <c r="M563">
        <v>7</v>
      </c>
      <c r="N563" s="2">
        <v>24</v>
      </c>
      <c r="O563" s="3">
        <v>5437</v>
      </c>
      <c r="P563">
        <v>0</v>
      </c>
      <c r="Q563">
        <v>4</v>
      </c>
      <c r="R563" t="s">
        <v>33</v>
      </c>
      <c r="S563">
        <v>1</v>
      </c>
    </row>
    <row r="564" spans="1:19" ht="16.5" x14ac:dyDescent="0.3">
      <c r="A564" t="s">
        <v>615</v>
      </c>
      <c r="B564" s="1">
        <v>45352</v>
      </c>
      <c r="C564" s="1">
        <v>45361</v>
      </c>
      <c r="D564">
        <v>2024</v>
      </c>
      <c r="E564" t="s">
        <v>20</v>
      </c>
      <c r="F564" t="s">
        <v>605</v>
      </c>
      <c r="G564" t="s">
        <v>83</v>
      </c>
      <c r="H564" t="s">
        <v>23</v>
      </c>
      <c r="I564" t="s">
        <v>24</v>
      </c>
      <c r="J564" t="s">
        <v>25</v>
      </c>
      <c r="K564" t="s">
        <v>26</v>
      </c>
      <c r="L564" t="s">
        <v>27</v>
      </c>
      <c r="M564">
        <v>9</v>
      </c>
      <c r="N564" s="2">
        <v>57</v>
      </c>
      <c r="O564" s="3">
        <v>7900</v>
      </c>
      <c r="P564">
        <v>1</v>
      </c>
      <c r="Q564">
        <v>3</v>
      </c>
      <c r="R564" t="s">
        <v>33</v>
      </c>
      <c r="S564">
        <v>1</v>
      </c>
    </row>
    <row r="565" spans="1:19" ht="16.5" x14ac:dyDescent="0.3">
      <c r="A565" t="s">
        <v>616</v>
      </c>
      <c r="B565" s="1">
        <v>45353</v>
      </c>
      <c r="C565" s="1">
        <v>45354</v>
      </c>
      <c r="D565">
        <v>2024</v>
      </c>
      <c r="E565" t="s">
        <v>20</v>
      </c>
      <c r="F565" t="s">
        <v>605</v>
      </c>
      <c r="G565" t="s">
        <v>102</v>
      </c>
      <c r="H565" t="s">
        <v>30</v>
      </c>
      <c r="I565" t="s">
        <v>40</v>
      </c>
      <c r="J565" t="s">
        <v>43</v>
      </c>
      <c r="K565" t="s">
        <v>32</v>
      </c>
      <c r="L565" t="s">
        <v>27</v>
      </c>
      <c r="M565">
        <v>1</v>
      </c>
      <c r="N565" s="2"/>
      <c r="O565" s="3">
        <v>2456</v>
      </c>
      <c r="P565">
        <v>0</v>
      </c>
      <c r="Q565">
        <v>5</v>
      </c>
      <c r="R565" t="s">
        <v>28</v>
      </c>
      <c r="S565">
        <v>1</v>
      </c>
    </row>
    <row r="566" spans="1:19" ht="16.5" x14ac:dyDescent="0.3">
      <c r="A566" t="s">
        <v>617</v>
      </c>
      <c r="B566" s="1">
        <v>45353</v>
      </c>
      <c r="C566" s="1">
        <v>45357</v>
      </c>
      <c r="D566">
        <v>2024</v>
      </c>
      <c r="E566" t="s">
        <v>20</v>
      </c>
      <c r="F566" t="s">
        <v>605</v>
      </c>
      <c r="G566" t="s">
        <v>102</v>
      </c>
      <c r="H566" t="s">
        <v>52</v>
      </c>
      <c r="I566" t="s">
        <v>40</v>
      </c>
      <c r="J566" t="s">
        <v>25</v>
      </c>
      <c r="K566" t="s">
        <v>32</v>
      </c>
      <c r="L566" t="s">
        <v>44</v>
      </c>
      <c r="M566">
        <v>4</v>
      </c>
      <c r="N566" s="2"/>
      <c r="O566" s="3">
        <v>3805</v>
      </c>
      <c r="P566">
        <v>0</v>
      </c>
      <c r="Q566">
        <v>4</v>
      </c>
      <c r="R566" t="s">
        <v>33</v>
      </c>
      <c r="S566">
        <v>1</v>
      </c>
    </row>
    <row r="567" spans="1:19" ht="16.5" x14ac:dyDescent="0.3">
      <c r="A567" t="s">
        <v>618</v>
      </c>
      <c r="B567" s="1">
        <v>45353</v>
      </c>
      <c r="C567" s="1">
        <v>45355</v>
      </c>
      <c r="D567">
        <v>2024</v>
      </c>
      <c r="E567" t="s">
        <v>20</v>
      </c>
      <c r="F567" t="s">
        <v>605</v>
      </c>
      <c r="G567" t="s">
        <v>102</v>
      </c>
      <c r="H567" t="s">
        <v>52</v>
      </c>
      <c r="I567" t="s">
        <v>40</v>
      </c>
      <c r="J567" t="s">
        <v>25</v>
      </c>
      <c r="K567" t="s">
        <v>36</v>
      </c>
      <c r="L567" t="s">
        <v>27</v>
      </c>
      <c r="M567">
        <v>2</v>
      </c>
      <c r="N567" s="2"/>
      <c r="O567" s="3">
        <v>2576</v>
      </c>
      <c r="P567">
        <v>0</v>
      </c>
      <c r="Q567">
        <v>5</v>
      </c>
      <c r="R567" t="s">
        <v>28</v>
      </c>
      <c r="S567">
        <v>1</v>
      </c>
    </row>
    <row r="568" spans="1:19" ht="16.5" x14ac:dyDescent="0.3">
      <c r="A568" t="s">
        <v>619</v>
      </c>
      <c r="B568" s="1">
        <v>45353</v>
      </c>
      <c r="C568" s="1">
        <v>45358</v>
      </c>
      <c r="D568">
        <v>2024</v>
      </c>
      <c r="E568" t="s">
        <v>20</v>
      </c>
      <c r="F568" t="s">
        <v>605</v>
      </c>
      <c r="G568" t="s">
        <v>102</v>
      </c>
      <c r="H568" t="s">
        <v>52</v>
      </c>
      <c r="I568" t="s">
        <v>40</v>
      </c>
      <c r="J568" t="s">
        <v>43</v>
      </c>
      <c r="K568" t="s">
        <v>53</v>
      </c>
      <c r="L568" t="s">
        <v>44</v>
      </c>
      <c r="M568">
        <v>5</v>
      </c>
      <c r="N568" s="2"/>
      <c r="O568" s="3">
        <v>5545</v>
      </c>
      <c r="P568">
        <v>0</v>
      </c>
      <c r="Q568">
        <v>5</v>
      </c>
      <c r="R568" t="s">
        <v>33</v>
      </c>
      <c r="S568">
        <v>1</v>
      </c>
    </row>
    <row r="569" spans="1:19" ht="16.5" x14ac:dyDescent="0.3">
      <c r="A569" t="s">
        <v>620</v>
      </c>
      <c r="B569" s="1">
        <v>45353</v>
      </c>
      <c r="C569" s="1">
        <v>45354</v>
      </c>
      <c r="D569">
        <v>2024</v>
      </c>
      <c r="E569" t="s">
        <v>20</v>
      </c>
      <c r="F569" t="s">
        <v>605</v>
      </c>
      <c r="G569" t="s">
        <v>102</v>
      </c>
      <c r="H569" t="s">
        <v>52</v>
      </c>
      <c r="I569" t="s">
        <v>40</v>
      </c>
      <c r="J569" t="s">
        <v>25</v>
      </c>
      <c r="K569" t="s">
        <v>36</v>
      </c>
      <c r="L569" t="s">
        <v>27</v>
      </c>
      <c r="M569">
        <v>1</v>
      </c>
      <c r="N569" s="2"/>
      <c r="O569" s="3">
        <v>1419</v>
      </c>
      <c r="P569">
        <v>0</v>
      </c>
      <c r="Q569">
        <v>5</v>
      </c>
      <c r="R569" t="s">
        <v>28</v>
      </c>
      <c r="S569">
        <v>1</v>
      </c>
    </row>
    <row r="570" spans="1:19" ht="16.5" x14ac:dyDescent="0.3">
      <c r="A570" t="s">
        <v>621</v>
      </c>
      <c r="B570" s="1">
        <v>45354</v>
      </c>
      <c r="C570" s="1">
        <v>45355</v>
      </c>
      <c r="D570">
        <v>2024</v>
      </c>
      <c r="E570" t="s">
        <v>20</v>
      </c>
      <c r="F570" t="s">
        <v>605</v>
      </c>
      <c r="G570" t="s">
        <v>112</v>
      </c>
      <c r="H570" t="s">
        <v>52</v>
      </c>
      <c r="I570" t="s">
        <v>40</v>
      </c>
      <c r="J570" t="s">
        <v>43</v>
      </c>
      <c r="K570" t="s">
        <v>26</v>
      </c>
      <c r="L570" t="s">
        <v>27</v>
      </c>
      <c r="M570">
        <v>1</v>
      </c>
      <c r="N570" s="2"/>
      <c r="O570" s="3">
        <v>1797</v>
      </c>
      <c r="P570">
        <v>0</v>
      </c>
      <c r="Q570">
        <v>5</v>
      </c>
      <c r="R570" t="s">
        <v>33</v>
      </c>
      <c r="S570">
        <v>1</v>
      </c>
    </row>
    <row r="571" spans="1:19" ht="16.5" x14ac:dyDescent="0.3">
      <c r="A571" t="s">
        <v>622</v>
      </c>
      <c r="B571" s="1">
        <v>45354</v>
      </c>
      <c r="C571" s="1">
        <v>45357</v>
      </c>
      <c r="D571">
        <v>2024</v>
      </c>
      <c r="E571" t="s">
        <v>20</v>
      </c>
      <c r="F571" t="s">
        <v>605</v>
      </c>
      <c r="G571" t="s">
        <v>112</v>
      </c>
      <c r="H571" t="s">
        <v>23</v>
      </c>
      <c r="I571" t="s">
        <v>40</v>
      </c>
      <c r="J571" t="s">
        <v>25</v>
      </c>
      <c r="K571" t="s">
        <v>32</v>
      </c>
      <c r="L571" t="s">
        <v>27</v>
      </c>
      <c r="M571">
        <v>3</v>
      </c>
      <c r="N571" s="2"/>
      <c r="O571" s="3">
        <v>2937</v>
      </c>
      <c r="P571">
        <v>0</v>
      </c>
      <c r="Q571">
        <v>5</v>
      </c>
      <c r="R571" t="s">
        <v>33</v>
      </c>
      <c r="S571">
        <v>1</v>
      </c>
    </row>
    <row r="572" spans="1:19" ht="16.5" x14ac:dyDescent="0.3">
      <c r="A572" t="s">
        <v>623</v>
      </c>
      <c r="B572" s="1">
        <v>45355</v>
      </c>
      <c r="C572" s="1">
        <v>45356</v>
      </c>
      <c r="D572">
        <v>2024</v>
      </c>
      <c r="E572" t="s">
        <v>20</v>
      </c>
      <c r="F572" t="s">
        <v>605</v>
      </c>
      <c r="G572" t="s">
        <v>22</v>
      </c>
      <c r="H572" t="s">
        <v>35</v>
      </c>
      <c r="I572" t="s">
        <v>24</v>
      </c>
      <c r="J572" t="s">
        <v>25</v>
      </c>
      <c r="K572" t="s">
        <v>32</v>
      </c>
      <c r="L572" t="s">
        <v>27</v>
      </c>
      <c r="M572">
        <v>1</v>
      </c>
      <c r="N572" s="2">
        <v>24</v>
      </c>
      <c r="O572" s="3">
        <v>721</v>
      </c>
      <c r="P572">
        <v>0</v>
      </c>
      <c r="Q572">
        <v>5</v>
      </c>
      <c r="R572" t="s">
        <v>33</v>
      </c>
      <c r="S572">
        <v>1</v>
      </c>
    </row>
    <row r="573" spans="1:19" ht="16.5" x14ac:dyDescent="0.3">
      <c r="A573" t="s">
        <v>624</v>
      </c>
      <c r="B573" s="1">
        <v>45355</v>
      </c>
      <c r="C573" s="1">
        <v>45359</v>
      </c>
      <c r="D573">
        <v>2024</v>
      </c>
      <c r="E573" t="s">
        <v>20</v>
      </c>
      <c r="F573" t="s">
        <v>605</v>
      </c>
      <c r="G573" t="s">
        <v>22</v>
      </c>
      <c r="H573" t="s">
        <v>39</v>
      </c>
      <c r="I573" t="s">
        <v>31</v>
      </c>
      <c r="J573" t="s">
        <v>25</v>
      </c>
      <c r="K573" t="s">
        <v>41</v>
      </c>
      <c r="L573" t="s">
        <v>37</v>
      </c>
      <c r="M573">
        <v>4</v>
      </c>
      <c r="N573" s="2"/>
      <c r="O573" s="3">
        <v>2254</v>
      </c>
      <c r="P573">
        <v>0</v>
      </c>
      <c r="Q573">
        <v>5</v>
      </c>
      <c r="R573" t="s">
        <v>33</v>
      </c>
      <c r="S573">
        <v>1</v>
      </c>
    </row>
    <row r="574" spans="1:19" ht="16.5" x14ac:dyDescent="0.3">
      <c r="A574" t="s">
        <v>625</v>
      </c>
      <c r="B574" s="1">
        <v>45355</v>
      </c>
      <c r="C574" s="1">
        <v>45362</v>
      </c>
      <c r="D574">
        <v>2024</v>
      </c>
      <c r="E574" t="s">
        <v>20</v>
      </c>
      <c r="F574" t="s">
        <v>605</v>
      </c>
      <c r="G574" t="s">
        <v>22</v>
      </c>
      <c r="H574" t="s">
        <v>23</v>
      </c>
      <c r="I574" t="s">
        <v>24</v>
      </c>
      <c r="J574" t="s">
        <v>43</v>
      </c>
      <c r="K574" t="s">
        <v>53</v>
      </c>
      <c r="L574" t="s">
        <v>27</v>
      </c>
      <c r="M574">
        <v>7</v>
      </c>
      <c r="N574" s="2">
        <v>42</v>
      </c>
      <c r="O574" s="3">
        <v>5149</v>
      </c>
      <c r="P574">
        <v>0</v>
      </c>
      <c r="Q574">
        <v>3</v>
      </c>
      <c r="R574" t="s">
        <v>33</v>
      </c>
      <c r="S574">
        <v>1</v>
      </c>
    </row>
    <row r="575" spans="1:19" ht="16.5" x14ac:dyDescent="0.3">
      <c r="A575" t="s">
        <v>626</v>
      </c>
      <c r="B575" s="1">
        <v>45355</v>
      </c>
      <c r="C575" s="1">
        <v>45358</v>
      </c>
      <c r="D575">
        <v>2024</v>
      </c>
      <c r="E575" t="s">
        <v>20</v>
      </c>
      <c r="F575" t="s">
        <v>605</v>
      </c>
      <c r="G575" t="s">
        <v>22</v>
      </c>
      <c r="H575" t="s">
        <v>39</v>
      </c>
      <c r="I575" t="s">
        <v>24</v>
      </c>
      <c r="J575" t="s">
        <v>25</v>
      </c>
      <c r="K575" t="s">
        <v>41</v>
      </c>
      <c r="L575" t="s">
        <v>27</v>
      </c>
      <c r="M575">
        <v>3</v>
      </c>
      <c r="N575" s="2">
        <v>46</v>
      </c>
      <c r="O575" s="3">
        <v>2127</v>
      </c>
      <c r="P575">
        <v>0</v>
      </c>
      <c r="Q575">
        <v>5</v>
      </c>
      <c r="R575" t="s">
        <v>33</v>
      </c>
      <c r="S575">
        <v>1</v>
      </c>
    </row>
    <row r="576" spans="1:19" ht="16.5" x14ac:dyDescent="0.3">
      <c r="A576" t="s">
        <v>627</v>
      </c>
      <c r="B576" s="1">
        <v>45355</v>
      </c>
      <c r="C576" s="1">
        <v>45357</v>
      </c>
      <c r="D576">
        <v>2024</v>
      </c>
      <c r="E576" t="s">
        <v>20</v>
      </c>
      <c r="F576" t="s">
        <v>605</v>
      </c>
      <c r="G576" t="s">
        <v>22</v>
      </c>
      <c r="H576" t="s">
        <v>50</v>
      </c>
      <c r="I576" t="s">
        <v>24</v>
      </c>
      <c r="J576" t="s">
        <v>43</v>
      </c>
      <c r="K576" t="s">
        <v>32</v>
      </c>
      <c r="L576" t="s">
        <v>44</v>
      </c>
      <c r="M576">
        <v>2</v>
      </c>
      <c r="N576" s="2">
        <v>12</v>
      </c>
      <c r="O576" s="3">
        <v>3472</v>
      </c>
      <c r="P576">
        <v>0</v>
      </c>
      <c r="Q576">
        <v>5</v>
      </c>
      <c r="R576" t="s">
        <v>28</v>
      </c>
      <c r="S576">
        <v>1</v>
      </c>
    </row>
    <row r="577" spans="1:19" ht="16.5" x14ac:dyDescent="0.3">
      <c r="A577" t="s">
        <v>628</v>
      </c>
      <c r="B577" s="1">
        <v>45355</v>
      </c>
      <c r="C577" s="1">
        <v>45359</v>
      </c>
      <c r="D577">
        <v>2024</v>
      </c>
      <c r="E577" t="s">
        <v>20</v>
      </c>
      <c r="F577" t="s">
        <v>605</v>
      </c>
      <c r="G577" t="s">
        <v>22</v>
      </c>
      <c r="H577" t="s">
        <v>50</v>
      </c>
      <c r="I577" t="s">
        <v>24</v>
      </c>
      <c r="J577" t="s">
        <v>25</v>
      </c>
      <c r="K577" t="s">
        <v>32</v>
      </c>
      <c r="L577" t="s">
        <v>44</v>
      </c>
      <c r="M577">
        <v>4</v>
      </c>
      <c r="N577" s="2">
        <v>50</v>
      </c>
      <c r="O577" s="3">
        <v>5176</v>
      </c>
      <c r="P577">
        <v>1</v>
      </c>
      <c r="Q577">
        <v>4</v>
      </c>
      <c r="R577" t="s">
        <v>28</v>
      </c>
      <c r="S577">
        <v>1</v>
      </c>
    </row>
    <row r="578" spans="1:19" ht="16.5" x14ac:dyDescent="0.3">
      <c r="A578" t="s">
        <v>629</v>
      </c>
      <c r="B578" s="1">
        <v>45355</v>
      </c>
      <c r="C578" s="1">
        <v>45369</v>
      </c>
      <c r="D578">
        <v>2024</v>
      </c>
      <c r="E578" t="s">
        <v>20</v>
      </c>
      <c r="F578" t="s">
        <v>605</v>
      </c>
      <c r="G578" t="s">
        <v>22</v>
      </c>
      <c r="H578" t="s">
        <v>23</v>
      </c>
      <c r="I578" t="s">
        <v>24</v>
      </c>
      <c r="J578" t="s">
        <v>25</v>
      </c>
      <c r="K578" t="s">
        <v>26</v>
      </c>
      <c r="L578" t="s">
        <v>44</v>
      </c>
      <c r="M578">
        <v>14</v>
      </c>
      <c r="N578" s="2">
        <v>72</v>
      </c>
      <c r="O578" s="3">
        <v>9322</v>
      </c>
      <c r="P578">
        <v>1</v>
      </c>
      <c r="Q578">
        <v>3</v>
      </c>
      <c r="R578" t="s">
        <v>33</v>
      </c>
      <c r="S578">
        <v>1</v>
      </c>
    </row>
    <row r="579" spans="1:19" ht="16.5" x14ac:dyDescent="0.3">
      <c r="A579" t="s">
        <v>630</v>
      </c>
      <c r="B579" s="1">
        <v>45355</v>
      </c>
      <c r="C579" s="1">
        <v>45362</v>
      </c>
      <c r="D579">
        <v>2024</v>
      </c>
      <c r="E579" t="s">
        <v>20</v>
      </c>
      <c r="F579" t="s">
        <v>605</v>
      </c>
      <c r="G579" t="s">
        <v>22</v>
      </c>
      <c r="H579" t="s">
        <v>23</v>
      </c>
      <c r="I579" t="s">
        <v>24</v>
      </c>
      <c r="J579" t="s">
        <v>43</v>
      </c>
      <c r="K579" t="s">
        <v>32</v>
      </c>
      <c r="L579" t="s">
        <v>27</v>
      </c>
      <c r="M579">
        <v>7</v>
      </c>
      <c r="N579" s="2">
        <v>66</v>
      </c>
      <c r="O579" s="3">
        <v>5061</v>
      </c>
      <c r="P579">
        <v>0</v>
      </c>
      <c r="Q579">
        <v>3</v>
      </c>
      <c r="R579" t="s">
        <v>33</v>
      </c>
      <c r="S579">
        <v>1</v>
      </c>
    </row>
    <row r="580" spans="1:19" ht="16.5" x14ac:dyDescent="0.3">
      <c r="A580" t="s">
        <v>631</v>
      </c>
      <c r="B580" s="1">
        <v>45355</v>
      </c>
      <c r="C580" s="1">
        <v>45358</v>
      </c>
      <c r="D580">
        <v>2024</v>
      </c>
      <c r="E580" t="s">
        <v>20</v>
      </c>
      <c r="F580" t="s">
        <v>605</v>
      </c>
      <c r="G580" t="s">
        <v>22</v>
      </c>
      <c r="H580" t="s">
        <v>30</v>
      </c>
      <c r="I580" t="s">
        <v>40</v>
      </c>
      <c r="J580" t="s">
        <v>25</v>
      </c>
      <c r="K580" t="s">
        <v>32</v>
      </c>
      <c r="L580" t="s">
        <v>37</v>
      </c>
      <c r="M580">
        <v>3</v>
      </c>
      <c r="N580" s="2"/>
      <c r="O580" s="3">
        <v>4014</v>
      </c>
      <c r="P580">
        <v>1</v>
      </c>
      <c r="Q580">
        <v>4</v>
      </c>
      <c r="R580" t="s">
        <v>28</v>
      </c>
      <c r="S580">
        <v>1</v>
      </c>
    </row>
    <row r="581" spans="1:19" ht="16.5" x14ac:dyDescent="0.3">
      <c r="A581" t="s">
        <v>632</v>
      </c>
      <c r="B581" s="1">
        <v>45355</v>
      </c>
      <c r="C581" s="1">
        <v>45360</v>
      </c>
      <c r="D581">
        <v>2024</v>
      </c>
      <c r="E581" t="s">
        <v>20</v>
      </c>
      <c r="F581" t="s">
        <v>605</v>
      </c>
      <c r="G581" t="s">
        <v>22</v>
      </c>
      <c r="H581" t="s">
        <v>30</v>
      </c>
      <c r="I581" t="s">
        <v>31</v>
      </c>
      <c r="J581" t="s">
        <v>25</v>
      </c>
      <c r="K581" t="s">
        <v>26</v>
      </c>
      <c r="L581" t="s">
        <v>27</v>
      </c>
      <c r="M581">
        <v>5</v>
      </c>
      <c r="N581" s="2"/>
      <c r="O581" s="3">
        <v>4291</v>
      </c>
      <c r="P581">
        <v>0</v>
      </c>
      <c r="Q581">
        <v>4</v>
      </c>
      <c r="R581" t="s">
        <v>59</v>
      </c>
      <c r="S581">
        <v>1</v>
      </c>
    </row>
    <row r="582" spans="1:19" ht="16.5" x14ac:dyDescent="0.3">
      <c r="A582" t="s">
        <v>633</v>
      </c>
      <c r="B582" s="1">
        <v>45355</v>
      </c>
      <c r="C582" s="1">
        <v>45357</v>
      </c>
      <c r="D582">
        <v>2024</v>
      </c>
      <c r="E582" t="s">
        <v>20</v>
      </c>
      <c r="F582" t="s">
        <v>605</v>
      </c>
      <c r="G582" t="s">
        <v>22</v>
      </c>
      <c r="H582" t="s">
        <v>23</v>
      </c>
      <c r="I582" t="s">
        <v>24</v>
      </c>
      <c r="J582" t="s">
        <v>43</v>
      </c>
      <c r="K582" t="s">
        <v>36</v>
      </c>
      <c r="L582" t="s">
        <v>27</v>
      </c>
      <c r="M582">
        <v>2</v>
      </c>
      <c r="N582" s="2">
        <v>107</v>
      </c>
      <c r="O582" s="3">
        <v>1457</v>
      </c>
      <c r="P582">
        <v>1</v>
      </c>
      <c r="Q582">
        <v>4</v>
      </c>
      <c r="R582" t="s">
        <v>28</v>
      </c>
      <c r="S582">
        <v>1</v>
      </c>
    </row>
    <row r="583" spans="1:19" ht="16.5" x14ac:dyDescent="0.3">
      <c r="A583" t="s">
        <v>634</v>
      </c>
      <c r="B583" s="1">
        <v>45355</v>
      </c>
      <c r="C583" s="1">
        <v>45361</v>
      </c>
      <c r="D583">
        <v>2024</v>
      </c>
      <c r="E583" t="s">
        <v>20</v>
      </c>
      <c r="F583" t="s">
        <v>605</v>
      </c>
      <c r="G583" t="s">
        <v>22</v>
      </c>
      <c r="H583" t="s">
        <v>50</v>
      </c>
      <c r="I583" t="s">
        <v>31</v>
      </c>
      <c r="J583" t="s">
        <v>25</v>
      </c>
      <c r="K583" t="s">
        <v>32</v>
      </c>
      <c r="L583" t="s">
        <v>44</v>
      </c>
      <c r="M583">
        <v>6</v>
      </c>
      <c r="N583" s="2"/>
      <c r="O583" s="3">
        <v>6559</v>
      </c>
      <c r="P583">
        <v>0</v>
      </c>
      <c r="Q583">
        <v>4</v>
      </c>
      <c r="R583" t="s">
        <v>59</v>
      </c>
      <c r="S583">
        <v>1</v>
      </c>
    </row>
    <row r="584" spans="1:19" ht="16.5" x14ac:dyDescent="0.3">
      <c r="A584" t="s">
        <v>635</v>
      </c>
      <c r="B584" s="1">
        <v>45356</v>
      </c>
      <c r="C584" s="1">
        <v>45361</v>
      </c>
      <c r="D584">
        <v>2024</v>
      </c>
      <c r="E584" t="s">
        <v>20</v>
      </c>
      <c r="F584" t="s">
        <v>605</v>
      </c>
      <c r="G584" t="s">
        <v>56</v>
      </c>
      <c r="H584" t="s">
        <v>39</v>
      </c>
      <c r="I584" t="s">
        <v>24</v>
      </c>
      <c r="J584" t="s">
        <v>25</v>
      </c>
      <c r="K584" t="s">
        <v>41</v>
      </c>
      <c r="L584" t="s">
        <v>44</v>
      </c>
      <c r="M584">
        <v>5</v>
      </c>
      <c r="N584" s="2">
        <v>89</v>
      </c>
      <c r="O584" s="3">
        <v>2962</v>
      </c>
      <c r="P584">
        <v>0</v>
      </c>
      <c r="Q584">
        <v>5</v>
      </c>
      <c r="R584" t="s">
        <v>33</v>
      </c>
      <c r="S584">
        <v>1</v>
      </c>
    </row>
    <row r="585" spans="1:19" ht="16.5" x14ac:dyDescent="0.3">
      <c r="A585" t="s">
        <v>636</v>
      </c>
      <c r="B585" s="1">
        <v>45356</v>
      </c>
      <c r="C585" s="1">
        <v>45359</v>
      </c>
      <c r="D585">
        <v>2024</v>
      </c>
      <c r="E585" t="s">
        <v>20</v>
      </c>
      <c r="F585" t="s">
        <v>605</v>
      </c>
      <c r="G585" t="s">
        <v>56</v>
      </c>
      <c r="H585" t="s">
        <v>50</v>
      </c>
      <c r="I585" t="s">
        <v>24</v>
      </c>
      <c r="J585" t="s">
        <v>25</v>
      </c>
      <c r="K585" t="s">
        <v>32</v>
      </c>
      <c r="L585" t="s">
        <v>44</v>
      </c>
      <c r="M585">
        <v>3</v>
      </c>
      <c r="N585" s="2">
        <v>44</v>
      </c>
      <c r="O585" s="3">
        <v>4143</v>
      </c>
      <c r="P585">
        <v>0</v>
      </c>
      <c r="Q585">
        <v>5</v>
      </c>
      <c r="R585" t="s">
        <v>33</v>
      </c>
      <c r="S585">
        <v>1</v>
      </c>
    </row>
    <row r="586" spans="1:19" ht="16.5" x14ac:dyDescent="0.3">
      <c r="A586" t="s">
        <v>637</v>
      </c>
      <c r="B586" s="1">
        <v>45356</v>
      </c>
      <c r="C586" s="1">
        <v>45361</v>
      </c>
      <c r="D586">
        <v>2024</v>
      </c>
      <c r="E586" t="s">
        <v>20</v>
      </c>
      <c r="F586" t="s">
        <v>605</v>
      </c>
      <c r="G586" t="s">
        <v>56</v>
      </c>
      <c r="H586" t="s">
        <v>50</v>
      </c>
      <c r="I586" t="s">
        <v>24</v>
      </c>
      <c r="J586" t="s">
        <v>43</v>
      </c>
      <c r="K586" t="s">
        <v>53</v>
      </c>
      <c r="L586" t="s">
        <v>44</v>
      </c>
      <c r="M586">
        <v>5</v>
      </c>
      <c r="N586" s="2">
        <v>35</v>
      </c>
      <c r="O586" s="3">
        <v>6307</v>
      </c>
      <c r="P586">
        <v>0</v>
      </c>
      <c r="Q586">
        <v>3</v>
      </c>
      <c r="R586" t="s">
        <v>59</v>
      </c>
      <c r="S586">
        <v>1</v>
      </c>
    </row>
    <row r="587" spans="1:19" ht="16.5" x14ac:dyDescent="0.3">
      <c r="A587" t="s">
        <v>638</v>
      </c>
      <c r="B587" s="1">
        <v>45356</v>
      </c>
      <c r="C587" s="1">
        <v>45358</v>
      </c>
      <c r="D587">
        <v>2024</v>
      </c>
      <c r="E587" t="s">
        <v>20</v>
      </c>
      <c r="F587" t="s">
        <v>605</v>
      </c>
      <c r="G587" t="s">
        <v>56</v>
      </c>
      <c r="H587" t="s">
        <v>35</v>
      </c>
      <c r="I587" t="s">
        <v>40</v>
      </c>
      <c r="J587" t="s">
        <v>25</v>
      </c>
      <c r="K587" t="s">
        <v>32</v>
      </c>
      <c r="L587" t="s">
        <v>27</v>
      </c>
      <c r="M587">
        <v>2</v>
      </c>
      <c r="N587" s="2"/>
      <c r="O587" s="3">
        <v>1518</v>
      </c>
      <c r="P587">
        <v>0</v>
      </c>
      <c r="Q587">
        <v>5</v>
      </c>
      <c r="R587" t="s">
        <v>28</v>
      </c>
      <c r="S587">
        <v>1</v>
      </c>
    </row>
    <row r="588" spans="1:19" ht="16.5" x14ac:dyDescent="0.3">
      <c r="A588" t="s">
        <v>639</v>
      </c>
      <c r="B588" s="1">
        <v>45356</v>
      </c>
      <c r="C588" s="1">
        <v>45358</v>
      </c>
      <c r="D588">
        <v>2024</v>
      </c>
      <c r="E588" t="s">
        <v>20</v>
      </c>
      <c r="F588" t="s">
        <v>605</v>
      </c>
      <c r="G588" t="s">
        <v>56</v>
      </c>
      <c r="H588" t="s">
        <v>35</v>
      </c>
      <c r="I588" t="s">
        <v>24</v>
      </c>
      <c r="J588" t="s">
        <v>25</v>
      </c>
      <c r="K588" t="s">
        <v>32</v>
      </c>
      <c r="L588" t="s">
        <v>44</v>
      </c>
      <c r="M588">
        <v>2</v>
      </c>
      <c r="N588" s="2">
        <v>39</v>
      </c>
      <c r="O588" s="3">
        <v>2371</v>
      </c>
      <c r="P588">
        <v>0</v>
      </c>
      <c r="Q588">
        <v>5</v>
      </c>
      <c r="R588" t="s">
        <v>33</v>
      </c>
      <c r="S588">
        <v>1</v>
      </c>
    </row>
    <row r="589" spans="1:19" ht="16.5" x14ac:dyDescent="0.3">
      <c r="A589" t="s">
        <v>640</v>
      </c>
      <c r="B589" s="1">
        <v>45356</v>
      </c>
      <c r="C589" s="1">
        <v>45358</v>
      </c>
      <c r="D589">
        <v>2024</v>
      </c>
      <c r="E589" t="s">
        <v>20</v>
      </c>
      <c r="F589" t="s">
        <v>605</v>
      </c>
      <c r="G589" t="s">
        <v>56</v>
      </c>
      <c r="H589" t="s">
        <v>23</v>
      </c>
      <c r="I589" t="s">
        <v>24</v>
      </c>
      <c r="J589" t="s">
        <v>43</v>
      </c>
      <c r="K589" t="s">
        <v>36</v>
      </c>
      <c r="L589" t="s">
        <v>27</v>
      </c>
      <c r="M589">
        <v>2</v>
      </c>
      <c r="N589" s="2">
        <v>14</v>
      </c>
      <c r="O589" s="3">
        <v>2241</v>
      </c>
      <c r="P589">
        <v>0</v>
      </c>
      <c r="Q589">
        <v>3</v>
      </c>
      <c r="R589" t="s">
        <v>33</v>
      </c>
      <c r="S589">
        <v>1</v>
      </c>
    </row>
    <row r="590" spans="1:19" ht="16.5" x14ac:dyDescent="0.3">
      <c r="A590" t="s">
        <v>641</v>
      </c>
      <c r="B590" s="1">
        <v>45356</v>
      </c>
      <c r="C590" s="1">
        <v>45358</v>
      </c>
      <c r="D590">
        <v>2024</v>
      </c>
      <c r="E590" t="s">
        <v>20</v>
      </c>
      <c r="F590" t="s">
        <v>605</v>
      </c>
      <c r="G590" t="s">
        <v>56</v>
      </c>
      <c r="H590" t="s">
        <v>30</v>
      </c>
      <c r="I590" t="s">
        <v>40</v>
      </c>
      <c r="J590" t="s">
        <v>25</v>
      </c>
      <c r="K590" t="s">
        <v>32</v>
      </c>
      <c r="L590" t="s">
        <v>44</v>
      </c>
      <c r="M590">
        <v>2</v>
      </c>
      <c r="N590" s="2"/>
      <c r="O590" s="3">
        <v>2382</v>
      </c>
      <c r="P590">
        <v>0</v>
      </c>
      <c r="Q590">
        <v>3</v>
      </c>
      <c r="R590" t="s">
        <v>28</v>
      </c>
      <c r="S590">
        <v>1</v>
      </c>
    </row>
    <row r="591" spans="1:19" ht="16.5" x14ac:dyDescent="0.3">
      <c r="A591" t="s">
        <v>642</v>
      </c>
      <c r="B591" s="1">
        <v>45356</v>
      </c>
      <c r="C591" s="1">
        <v>45358</v>
      </c>
      <c r="D591">
        <v>2024</v>
      </c>
      <c r="E591" t="s">
        <v>20</v>
      </c>
      <c r="F591" t="s">
        <v>605</v>
      </c>
      <c r="G591" t="s">
        <v>56</v>
      </c>
      <c r="H591" t="s">
        <v>30</v>
      </c>
      <c r="I591" t="s">
        <v>40</v>
      </c>
      <c r="J591" t="s">
        <v>25</v>
      </c>
      <c r="K591" t="s">
        <v>53</v>
      </c>
      <c r="L591" t="s">
        <v>27</v>
      </c>
      <c r="M591">
        <v>2</v>
      </c>
      <c r="N591" s="2"/>
      <c r="O591" s="3">
        <v>2566</v>
      </c>
      <c r="P591">
        <v>0</v>
      </c>
      <c r="Q591">
        <v>4</v>
      </c>
      <c r="R591" t="s">
        <v>33</v>
      </c>
      <c r="S591">
        <v>1</v>
      </c>
    </row>
    <row r="592" spans="1:19" ht="16.5" x14ac:dyDescent="0.3">
      <c r="A592" t="s">
        <v>643</v>
      </c>
      <c r="B592" s="1">
        <v>45356</v>
      </c>
      <c r="C592" s="1">
        <v>45362</v>
      </c>
      <c r="D592">
        <v>2024</v>
      </c>
      <c r="E592" t="s">
        <v>20</v>
      </c>
      <c r="F592" t="s">
        <v>605</v>
      </c>
      <c r="G592" t="s">
        <v>56</v>
      </c>
      <c r="H592" t="s">
        <v>52</v>
      </c>
      <c r="I592" t="s">
        <v>31</v>
      </c>
      <c r="J592" t="s">
        <v>25</v>
      </c>
      <c r="K592" t="s">
        <v>53</v>
      </c>
      <c r="L592" t="s">
        <v>27</v>
      </c>
      <c r="M592">
        <v>6</v>
      </c>
      <c r="N592" s="2"/>
      <c r="O592" s="3">
        <v>5186</v>
      </c>
      <c r="P592">
        <v>0</v>
      </c>
      <c r="Q592">
        <v>5</v>
      </c>
      <c r="R592" t="s">
        <v>28</v>
      </c>
      <c r="S592">
        <v>1</v>
      </c>
    </row>
    <row r="593" spans="1:19" ht="16.5" x14ac:dyDescent="0.3">
      <c r="A593" t="s">
        <v>644</v>
      </c>
      <c r="B593" s="1">
        <v>45356</v>
      </c>
      <c r="C593" s="1">
        <v>45357</v>
      </c>
      <c r="D593">
        <v>2024</v>
      </c>
      <c r="E593" t="s">
        <v>20</v>
      </c>
      <c r="F593" t="s">
        <v>605</v>
      </c>
      <c r="G593" t="s">
        <v>56</v>
      </c>
      <c r="H593" t="s">
        <v>35</v>
      </c>
      <c r="I593" t="s">
        <v>24</v>
      </c>
      <c r="J593" t="s">
        <v>25</v>
      </c>
      <c r="K593" t="s">
        <v>36</v>
      </c>
      <c r="L593" t="s">
        <v>44</v>
      </c>
      <c r="M593">
        <v>1</v>
      </c>
      <c r="N593" s="2">
        <v>113</v>
      </c>
      <c r="O593" s="3">
        <v>1299</v>
      </c>
      <c r="P593">
        <v>0</v>
      </c>
      <c r="Q593">
        <v>3</v>
      </c>
      <c r="R593" t="s">
        <v>165</v>
      </c>
      <c r="S593">
        <v>1</v>
      </c>
    </row>
    <row r="594" spans="1:19" ht="16.5" x14ac:dyDescent="0.3">
      <c r="A594" t="s">
        <v>645</v>
      </c>
      <c r="B594" s="1">
        <v>45357</v>
      </c>
      <c r="C594" s="1">
        <v>45358</v>
      </c>
      <c r="D594">
        <v>2024</v>
      </c>
      <c r="E594" t="s">
        <v>20</v>
      </c>
      <c r="F594" t="s">
        <v>605</v>
      </c>
      <c r="G594" t="s">
        <v>70</v>
      </c>
      <c r="H594" t="s">
        <v>52</v>
      </c>
      <c r="I594" t="s">
        <v>40</v>
      </c>
      <c r="J594" t="s">
        <v>25</v>
      </c>
      <c r="K594" t="s">
        <v>53</v>
      </c>
      <c r="L594" t="s">
        <v>44</v>
      </c>
      <c r="M594">
        <v>1</v>
      </c>
      <c r="N594" s="2"/>
      <c r="O594" s="3">
        <v>1720</v>
      </c>
      <c r="P594">
        <v>0</v>
      </c>
      <c r="Q594">
        <v>5</v>
      </c>
      <c r="R594" t="s">
        <v>33</v>
      </c>
      <c r="S594">
        <v>1</v>
      </c>
    </row>
    <row r="595" spans="1:19" ht="16.5" x14ac:dyDescent="0.3">
      <c r="A595" t="s">
        <v>646</v>
      </c>
      <c r="B595" s="1">
        <v>45357</v>
      </c>
      <c r="C595" s="1">
        <v>45360</v>
      </c>
      <c r="D595">
        <v>2024</v>
      </c>
      <c r="E595" t="s">
        <v>20</v>
      </c>
      <c r="F595" t="s">
        <v>605</v>
      </c>
      <c r="G595" t="s">
        <v>70</v>
      </c>
      <c r="H595" t="s">
        <v>50</v>
      </c>
      <c r="I595" t="s">
        <v>24</v>
      </c>
      <c r="J595" t="s">
        <v>43</v>
      </c>
      <c r="K595" t="s">
        <v>36</v>
      </c>
      <c r="L595" t="s">
        <v>44</v>
      </c>
      <c r="M595">
        <v>3</v>
      </c>
      <c r="N595" s="2">
        <v>35</v>
      </c>
      <c r="O595" s="3">
        <v>4199</v>
      </c>
      <c r="P595">
        <v>0</v>
      </c>
      <c r="Q595">
        <v>4</v>
      </c>
      <c r="R595" t="s">
        <v>33</v>
      </c>
      <c r="S595">
        <v>1</v>
      </c>
    </row>
    <row r="596" spans="1:19" ht="16.5" x14ac:dyDescent="0.3">
      <c r="A596" t="s">
        <v>647</v>
      </c>
      <c r="B596" s="1">
        <v>45357</v>
      </c>
      <c r="C596" s="1">
        <v>45361</v>
      </c>
      <c r="D596">
        <v>2024</v>
      </c>
      <c r="E596" t="s">
        <v>20</v>
      </c>
      <c r="F596" t="s">
        <v>605</v>
      </c>
      <c r="G596" t="s">
        <v>70</v>
      </c>
      <c r="H596" t="s">
        <v>23</v>
      </c>
      <c r="I596" t="s">
        <v>24</v>
      </c>
      <c r="J596" t="s">
        <v>25</v>
      </c>
      <c r="K596" t="s">
        <v>26</v>
      </c>
      <c r="L596" t="s">
        <v>27</v>
      </c>
      <c r="M596">
        <v>4</v>
      </c>
      <c r="N596" s="2">
        <v>55</v>
      </c>
      <c r="O596" s="3">
        <v>4440</v>
      </c>
      <c r="P596">
        <v>0</v>
      </c>
      <c r="Q596">
        <v>4</v>
      </c>
      <c r="R596" t="s">
        <v>33</v>
      </c>
      <c r="S596">
        <v>1</v>
      </c>
    </row>
    <row r="597" spans="1:19" ht="16.5" x14ac:dyDescent="0.3">
      <c r="A597" t="s">
        <v>648</v>
      </c>
      <c r="B597" s="1">
        <v>45357</v>
      </c>
      <c r="C597" s="1">
        <v>45359</v>
      </c>
      <c r="D597">
        <v>2024</v>
      </c>
      <c r="E597" t="s">
        <v>20</v>
      </c>
      <c r="F597" t="s">
        <v>605</v>
      </c>
      <c r="G597" t="s">
        <v>70</v>
      </c>
      <c r="H597" t="s">
        <v>35</v>
      </c>
      <c r="I597" t="s">
        <v>24</v>
      </c>
      <c r="J597" t="s">
        <v>25</v>
      </c>
      <c r="K597" t="s">
        <v>32</v>
      </c>
      <c r="L597" t="s">
        <v>44</v>
      </c>
      <c r="M597">
        <v>2</v>
      </c>
      <c r="N597" s="2">
        <v>45</v>
      </c>
      <c r="O597" s="3">
        <v>2172</v>
      </c>
      <c r="P597">
        <v>0</v>
      </c>
      <c r="Q597">
        <v>5</v>
      </c>
      <c r="R597" t="s">
        <v>33</v>
      </c>
      <c r="S597">
        <v>1</v>
      </c>
    </row>
    <row r="598" spans="1:19" ht="16.5" x14ac:dyDescent="0.3">
      <c r="A598" t="s">
        <v>649</v>
      </c>
      <c r="B598" s="1">
        <v>45357</v>
      </c>
      <c r="C598" s="1">
        <v>45358</v>
      </c>
      <c r="D598">
        <v>2024</v>
      </c>
      <c r="E598" t="s">
        <v>20</v>
      </c>
      <c r="F598" t="s">
        <v>605</v>
      </c>
      <c r="G598" t="s">
        <v>70</v>
      </c>
      <c r="H598" t="s">
        <v>35</v>
      </c>
      <c r="I598" t="s">
        <v>24</v>
      </c>
      <c r="J598" t="s">
        <v>25</v>
      </c>
      <c r="K598" t="s">
        <v>36</v>
      </c>
      <c r="L598" t="s">
        <v>27</v>
      </c>
      <c r="M598">
        <v>1</v>
      </c>
      <c r="N598" s="2">
        <v>18</v>
      </c>
      <c r="O598" s="3">
        <v>1639</v>
      </c>
      <c r="P598">
        <v>0</v>
      </c>
      <c r="Q598">
        <v>4</v>
      </c>
      <c r="R598" t="s">
        <v>33</v>
      </c>
      <c r="S598">
        <v>1</v>
      </c>
    </row>
    <row r="599" spans="1:19" ht="16.5" x14ac:dyDescent="0.3">
      <c r="A599" t="s">
        <v>650</v>
      </c>
      <c r="B599" s="1">
        <v>45357</v>
      </c>
      <c r="C599" s="1">
        <v>45362</v>
      </c>
      <c r="D599">
        <v>2024</v>
      </c>
      <c r="E599" t="s">
        <v>20</v>
      </c>
      <c r="F599" t="s">
        <v>605</v>
      </c>
      <c r="G599" t="s">
        <v>70</v>
      </c>
      <c r="H599" t="s">
        <v>23</v>
      </c>
      <c r="I599" t="s">
        <v>40</v>
      </c>
      <c r="J599" t="s">
        <v>43</v>
      </c>
      <c r="K599" t="s">
        <v>32</v>
      </c>
      <c r="L599" t="s">
        <v>37</v>
      </c>
      <c r="M599">
        <v>5</v>
      </c>
      <c r="N599" s="2"/>
      <c r="O599" s="3">
        <v>4475</v>
      </c>
      <c r="P599">
        <v>0</v>
      </c>
      <c r="Q599">
        <v>4</v>
      </c>
      <c r="R599" t="s">
        <v>28</v>
      </c>
      <c r="S599">
        <v>1</v>
      </c>
    </row>
    <row r="600" spans="1:19" ht="16.5" x14ac:dyDescent="0.3">
      <c r="A600" t="s">
        <v>651</v>
      </c>
      <c r="B600" s="1">
        <v>45357</v>
      </c>
      <c r="C600" s="1">
        <v>45363</v>
      </c>
      <c r="D600">
        <v>2024</v>
      </c>
      <c r="E600" t="s">
        <v>20</v>
      </c>
      <c r="F600" t="s">
        <v>605</v>
      </c>
      <c r="G600" t="s">
        <v>70</v>
      </c>
      <c r="H600" t="s">
        <v>30</v>
      </c>
      <c r="I600" t="s">
        <v>24</v>
      </c>
      <c r="J600" t="s">
        <v>25</v>
      </c>
      <c r="K600" t="s">
        <v>53</v>
      </c>
      <c r="L600" t="s">
        <v>44</v>
      </c>
      <c r="M600">
        <v>6</v>
      </c>
      <c r="N600" s="2">
        <v>50</v>
      </c>
      <c r="O600" s="3">
        <v>5892</v>
      </c>
      <c r="P600">
        <v>0</v>
      </c>
      <c r="Q600">
        <v>5</v>
      </c>
      <c r="R600" t="s">
        <v>28</v>
      </c>
      <c r="S600">
        <v>1</v>
      </c>
    </row>
    <row r="601" spans="1:19" ht="16.5" x14ac:dyDescent="0.3">
      <c r="A601" t="s">
        <v>652</v>
      </c>
      <c r="B601" s="1">
        <v>45357</v>
      </c>
      <c r="C601" s="1">
        <v>45361</v>
      </c>
      <c r="D601">
        <v>2024</v>
      </c>
      <c r="E601" t="s">
        <v>20</v>
      </c>
      <c r="F601" t="s">
        <v>605</v>
      </c>
      <c r="G601" t="s">
        <v>70</v>
      </c>
      <c r="H601" t="s">
        <v>50</v>
      </c>
      <c r="I601" t="s">
        <v>24</v>
      </c>
      <c r="J601" t="s">
        <v>43</v>
      </c>
      <c r="K601" t="s">
        <v>26</v>
      </c>
      <c r="L601" t="s">
        <v>44</v>
      </c>
      <c r="M601">
        <v>4</v>
      </c>
      <c r="N601" s="2">
        <v>73</v>
      </c>
      <c r="O601" s="3">
        <v>5179</v>
      </c>
      <c r="P601">
        <v>1</v>
      </c>
      <c r="Q601">
        <v>3</v>
      </c>
      <c r="R601" t="s">
        <v>28</v>
      </c>
      <c r="S601">
        <v>1</v>
      </c>
    </row>
    <row r="602" spans="1:19" ht="16.5" x14ac:dyDescent="0.3">
      <c r="A602" t="s">
        <v>653</v>
      </c>
      <c r="B602" s="1">
        <v>45357</v>
      </c>
      <c r="C602" s="1">
        <v>45358</v>
      </c>
      <c r="D602">
        <v>2024</v>
      </c>
      <c r="E602" t="s">
        <v>20</v>
      </c>
      <c r="F602" t="s">
        <v>605</v>
      </c>
      <c r="G602" t="s">
        <v>70</v>
      </c>
      <c r="H602" t="s">
        <v>30</v>
      </c>
      <c r="I602" t="s">
        <v>40</v>
      </c>
      <c r="J602" t="s">
        <v>25</v>
      </c>
      <c r="K602" t="s">
        <v>53</v>
      </c>
      <c r="L602" t="s">
        <v>27</v>
      </c>
      <c r="M602">
        <v>1</v>
      </c>
      <c r="N602" s="2"/>
      <c r="O602" s="3">
        <v>1900</v>
      </c>
      <c r="P602">
        <v>0</v>
      </c>
      <c r="Q602">
        <v>4</v>
      </c>
      <c r="R602" t="s">
        <v>33</v>
      </c>
      <c r="S602">
        <v>1</v>
      </c>
    </row>
    <row r="603" spans="1:19" ht="16.5" x14ac:dyDescent="0.3">
      <c r="A603" t="s">
        <v>654</v>
      </c>
      <c r="B603" s="1">
        <v>45357</v>
      </c>
      <c r="C603" s="1">
        <v>45358</v>
      </c>
      <c r="D603">
        <v>2024</v>
      </c>
      <c r="E603" t="s">
        <v>20</v>
      </c>
      <c r="F603" t="s">
        <v>605</v>
      </c>
      <c r="G603" t="s">
        <v>70</v>
      </c>
      <c r="H603" t="s">
        <v>39</v>
      </c>
      <c r="I603" t="s">
        <v>40</v>
      </c>
      <c r="J603" t="s">
        <v>25</v>
      </c>
      <c r="K603" t="s">
        <v>41</v>
      </c>
      <c r="L603" t="s">
        <v>27</v>
      </c>
      <c r="M603">
        <v>1</v>
      </c>
      <c r="N603" s="2"/>
      <c r="O603" s="3">
        <v>1020</v>
      </c>
      <c r="P603">
        <v>0</v>
      </c>
      <c r="Q603">
        <v>5</v>
      </c>
      <c r="R603" t="s">
        <v>28</v>
      </c>
      <c r="S603">
        <v>1</v>
      </c>
    </row>
    <row r="604" spans="1:19" ht="16.5" x14ac:dyDescent="0.3">
      <c r="A604" t="s">
        <v>655</v>
      </c>
      <c r="B604" s="1">
        <v>45358</v>
      </c>
      <c r="C604" s="1">
        <v>45360</v>
      </c>
      <c r="D604">
        <v>2024</v>
      </c>
      <c r="E604" t="s">
        <v>20</v>
      </c>
      <c r="F604" t="s">
        <v>605</v>
      </c>
      <c r="G604" t="s">
        <v>78</v>
      </c>
      <c r="H604" t="s">
        <v>35</v>
      </c>
      <c r="I604" t="s">
        <v>24</v>
      </c>
      <c r="J604" t="s">
        <v>25</v>
      </c>
      <c r="K604" t="s">
        <v>32</v>
      </c>
      <c r="L604" t="s">
        <v>27</v>
      </c>
      <c r="M604">
        <v>2</v>
      </c>
      <c r="N604" s="2">
        <v>63</v>
      </c>
      <c r="O604" s="3">
        <v>2178</v>
      </c>
      <c r="P604">
        <v>0</v>
      </c>
      <c r="Q604">
        <v>5</v>
      </c>
      <c r="R604" t="s">
        <v>33</v>
      </c>
      <c r="S604">
        <v>1</v>
      </c>
    </row>
    <row r="605" spans="1:19" ht="16.5" x14ac:dyDescent="0.3">
      <c r="A605" t="s">
        <v>656</v>
      </c>
      <c r="B605" s="1">
        <v>45358</v>
      </c>
      <c r="C605" s="1">
        <v>45359</v>
      </c>
      <c r="D605">
        <v>2024</v>
      </c>
      <c r="E605" t="s">
        <v>20</v>
      </c>
      <c r="F605" t="s">
        <v>605</v>
      </c>
      <c r="G605" t="s">
        <v>78</v>
      </c>
      <c r="H605" t="s">
        <v>39</v>
      </c>
      <c r="I605" t="s">
        <v>40</v>
      </c>
      <c r="J605" t="s">
        <v>25</v>
      </c>
      <c r="K605" t="s">
        <v>41</v>
      </c>
      <c r="L605" t="s">
        <v>27</v>
      </c>
      <c r="M605">
        <v>1</v>
      </c>
      <c r="N605" s="2"/>
      <c r="O605" s="3">
        <v>1034</v>
      </c>
      <c r="P605">
        <v>0</v>
      </c>
      <c r="Q605">
        <v>5</v>
      </c>
      <c r="R605" t="s">
        <v>33</v>
      </c>
      <c r="S605">
        <v>1</v>
      </c>
    </row>
    <row r="606" spans="1:19" ht="16.5" x14ac:dyDescent="0.3">
      <c r="A606" t="s">
        <v>657</v>
      </c>
      <c r="B606" s="1">
        <v>45358</v>
      </c>
      <c r="C606" s="1">
        <v>45364</v>
      </c>
      <c r="D606">
        <v>2024</v>
      </c>
      <c r="E606" t="s">
        <v>20</v>
      </c>
      <c r="F606" t="s">
        <v>605</v>
      </c>
      <c r="G606" t="s">
        <v>78</v>
      </c>
      <c r="H606" t="s">
        <v>23</v>
      </c>
      <c r="I606" t="s">
        <v>24</v>
      </c>
      <c r="J606" t="s">
        <v>43</v>
      </c>
      <c r="K606" t="s">
        <v>26</v>
      </c>
      <c r="L606" t="s">
        <v>44</v>
      </c>
      <c r="M606">
        <v>6</v>
      </c>
      <c r="N606" s="2">
        <v>25</v>
      </c>
      <c r="O606" s="3">
        <v>4575</v>
      </c>
      <c r="P606">
        <v>0</v>
      </c>
      <c r="Q606">
        <v>5</v>
      </c>
      <c r="R606" t="s">
        <v>28</v>
      </c>
      <c r="S606">
        <v>1</v>
      </c>
    </row>
    <row r="607" spans="1:19" ht="16.5" x14ac:dyDescent="0.3">
      <c r="A607" t="s">
        <v>658</v>
      </c>
      <c r="B607" s="1">
        <v>45358</v>
      </c>
      <c r="C607" s="1">
        <v>45359</v>
      </c>
      <c r="D607">
        <v>2024</v>
      </c>
      <c r="E607" t="s">
        <v>20</v>
      </c>
      <c r="F607" t="s">
        <v>605</v>
      </c>
      <c r="G607" t="s">
        <v>78</v>
      </c>
      <c r="H607" t="s">
        <v>39</v>
      </c>
      <c r="I607" t="s">
        <v>24</v>
      </c>
      <c r="J607" t="s">
        <v>43</v>
      </c>
      <c r="K607" t="s">
        <v>41</v>
      </c>
      <c r="L607" t="s">
        <v>37</v>
      </c>
      <c r="M607">
        <v>1</v>
      </c>
      <c r="N607" s="2">
        <v>47</v>
      </c>
      <c r="O607" s="3">
        <v>1284</v>
      </c>
      <c r="P607">
        <v>1</v>
      </c>
      <c r="Q607">
        <v>3</v>
      </c>
      <c r="R607" t="s">
        <v>33</v>
      </c>
      <c r="S607">
        <v>1</v>
      </c>
    </row>
    <row r="608" spans="1:19" ht="16.5" x14ac:dyDescent="0.3">
      <c r="A608" t="s">
        <v>659</v>
      </c>
      <c r="B608" s="1">
        <v>45358</v>
      </c>
      <c r="C608" s="1">
        <v>45359</v>
      </c>
      <c r="D608">
        <v>2024</v>
      </c>
      <c r="E608" t="s">
        <v>20</v>
      </c>
      <c r="F608" t="s">
        <v>605</v>
      </c>
      <c r="G608" t="s">
        <v>78</v>
      </c>
      <c r="H608" t="s">
        <v>39</v>
      </c>
      <c r="I608" t="s">
        <v>40</v>
      </c>
      <c r="J608" t="s">
        <v>25</v>
      </c>
      <c r="K608" t="s">
        <v>41</v>
      </c>
      <c r="L608" t="s">
        <v>27</v>
      </c>
      <c r="M608">
        <v>1</v>
      </c>
      <c r="N608" s="2"/>
      <c r="O608" s="3">
        <v>1329</v>
      </c>
      <c r="P608">
        <v>0</v>
      </c>
      <c r="Q608">
        <v>5</v>
      </c>
      <c r="R608" t="s">
        <v>28</v>
      </c>
      <c r="S608">
        <v>1</v>
      </c>
    </row>
    <row r="609" spans="1:19" ht="16.5" x14ac:dyDescent="0.3">
      <c r="A609" t="s">
        <v>660</v>
      </c>
      <c r="B609" s="1">
        <v>45358</v>
      </c>
      <c r="C609" s="1">
        <v>45361</v>
      </c>
      <c r="D609">
        <v>2024</v>
      </c>
      <c r="E609" t="s">
        <v>20</v>
      </c>
      <c r="F609" t="s">
        <v>605</v>
      </c>
      <c r="G609" t="s">
        <v>78</v>
      </c>
      <c r="H609" t="s">
        <v>30</v>
      </c>
      <c r="I609" t="s">
        <v>40</v>
      </c>
      <c r="J609" t="s">
        <v>43</v>
      </c>
      <c r="K609" t="s">
        <v>26</v>
      </c>
      <c r="L609" t="s">
        <v>44</v>
      </c>
      <c r="M609">
        <v>3</v>
      </c>
      <c r="N609" s="2"/>
      <c r="O609" s="3">
        <v>3945</v>
      </c>
      <c r="P609">
        <v>1</v>
      </c>
      <c r="Q609">
        <v>3</v>
      </c>
      <c r="R609" t="s">
        <v>33</v>
      </c>
      <c r="S609">
        <v>1</v>
      </c>
    </row>
    <row r="610" spans="1:19" ht="16.5" x14ac:dyDescent="0.3">
      <c r="A610" t="s">
        <v>661</v>
      </c>
      <c r="B610" s="1">
        <v>45360</v>
      </c>
      <c r="C610" s="1">
        <v>45370</v>
      </c>
      <c r="D610">
        <v>2024</v>
      </c>
      <c r="E610" t="s">
        <v>20</v>
      </c>
      <c r="F610" t="s">
        <v>605</v>
      </c>
      <c r="G610" t="s">
        <v>102</v>
      </c>
      <c r="H610" t="s">
        <v>23</v>
      </c>
      <c r="I610" t="s">
        <v>24</v>
      </c>
      <c r="J610" t="s">
        <v>25</v>
      </c>
      <c r="K610" t="s">
        <v>32</v>
      </c>
      <c r="L610" t="s">
        <v>44</v>
      </c>
      <c r="M610">
        <v>10</v>
      </c>
      <c r="N610" s="2">
        <v>92</v>
      </c>
      <c r="O610" s="3">
        <v>7639</v>
      </c>
      <c r="P610">
        <v>0</v>
      </c>
      <c r="Q610">
        <v>4</v>
      </c>
      <c r="R610" t="s">
        <v>33</v>
      </c>
      <c r="S610">
        <v>1</v>
      </c>
    </row>
    <row r="611" spans="1:19" ht="16.5" x14ac:dyDescent="0.3">
      <c r="A611" t="s">
        <v>662</v>
      </c>
      <c r="B611" s="1">
        <v>45360</v>
      </c>
      <c r="C611" s="1">
        <v>45362</v>
      </c>
      <c r="D611">
        <v>2024</v>
      </c>
      <c r="E611" t="s">
        <v>20</v>
      </c>
      <c r="F611" t="s">
        <v>605</v>
      </c>
      <c r="G611" t="s">
        <v>102</v>
      </c>
      <c r="H611" t="s">
        <v>39</v>
      </c>
      <c r="I611" t="s">
        <v>24</v>
      </c>
      <c r="J611" t="s">
        <v>43</v>
      </c>
      <c r="K611" t="s">
        <v>41</v>
      </c>
      <c r="L611" t="s">
        <v>44</v>
      </c>
      <c r="M611">
        <v>2</v>
      </c>
      <c r="N611" s="2">
        <v>34</v>
      </c>
      <c r="O611" s="3">
        <v>2162</v>
      </c>
      <c r="P611">
        <v>0</v>
      </c>
      <c r="Q611">
        <v>4</v>
      </c>
      <c r="R611" t="s">
        <v>33</v>
      </c>
      <c r="S611">
        <v>1</v>
      </c>
    </row>
    <row r="612" spans="1:19" ht="16.5" x14ac:dyDescent="0.3">
      <c r="A612" t="s">
        <v>663</v>
      </c>
      <c r="B612" s="1">
        <v>45360</v>
      </c>
      <c r="C612" s="1">
        <v>45371</v>
      </c>
      <c r="D612">
        <v>2024</v>
      </c>
      <c r="E612" t="s">
        <v>20</v>
      </c>
      <c r="F612" t="s">
        <v>605</v>
      </c>
      <c r="G612" t="s">
        <v>102</v>
      </c>
      <c r="H612" t="s">
        <v>23</v>
      </c>
      <c r="I612" t="s">
        <v>24</v>
      </c>
      <c r="J612" t="s">
        <v>43</v>
      </c>
      <c r="K612" t="s">
        <v>26</v>
      </c>
      <c r="L612" t="s">
        <v>27</v>
      </c>
      <c r="M612">
        <v>11</v>
      </c>
      <c r="N612" s="2">
        <v>25</v>
      </c>
      <c r="O612" s="3">
        <v>8003</v>
      </c>
      <c r="P612">
        <v>0</v>
      </c>
      <c r="Q612">
        <v>5</v>
      </c>
      <c r="R612" t="s">
        <v>28</v>
      </c>
      <c r="S612">
        <v>1</v>
      </c>
    </row>
    <row r="613" spans="1:19" ht="16.5" x14ac:dyDescent="0.3">
      <c r="A613" t="s">
        <v>664</v>
      </c>
      <c r="B613" s="1">
        <v>45360</v>
      </c>
      <c r="C613" s="1">
        <v>45372</v>
      </c>
      <c r="D613">
        <v>2024</v>
      </c>
      <c r="E613" t="s">
        <v>20</v>
      </c>
      <c r="F613" t="s">
        <v>605</v>
      </c>
      <c r="G613" t="s">
        <v>102</v>
      </c>
      <c r="H613" t="s">
        <v>23</v>
      </c>
      <c r="I613" t="s">
        <v>24</v>
      </c>
      <c r="J613" t="s">
        <v>43</v>
      </c>
      <c r="K613" t="s">
        <v>26</v>
      </c>
      <c r="L613" t="s">
        <v>27</v>
      </c>
      <c r="M613">
        <v>12</v>
      </c>
      <c r="N613" s="2">
        <v>33</v>
      </c>
      <c r="O613" s="3">
        <v>11233</v>
      </c>
      <c r="P613">
        <v>0</v>
      </c>
      <c r="Q613">
        <v>4</v>
      </c>
      <c r="R613" t="s">
        <v>28</v>
      </c>
      <c r="S613">
        <v>1</v>
      </c>
    </row>
    <row r="614" spans="1:19" ht="16.5" x14ac:dyDescent="0.3">
      <c r="A614" t="s">
        <v>665</v>
      </c>
      <c r="B614" s="1">
        <v>45360</v>
      </c>
      <c r="C614" s="1">
        <v>45364</v>
      </c>
      <c r="D614">
        <v>2024</v>
      </c>
      <c r="E614" t="s">
        <v>20</v>
      </c>
      <c r="F614" t="s">
        <v>605</v>
      </c>
      <c r="G614" t="s">
        <v>102</v>
      </c>
      <c r="H614" t="s">
        <v>52</v>
      </c>
      <c r="I614" t="s">
        <v>40</v>
      </c>
      <c r="J614" t="s">
        <v>43</v>
      </c>
      <c r="K614" t="s">
        <v>53</v>
      </c>
      <c r="L614" t="s">
        <v>44</v>
      </c>
      <c r="M614">
        <v>4</v>
      </c>
      <c r="N614" s="2"/>
      <c r="O614" s="3">
        <v>3993</v>
      </c>
      <c r="P614">
        <v>0</v>
      </c>
      <c r="Q614">
        <v>5</v>
      </c>
      <c r="R614" t="s">
        <v>33</v>
      </c>
      <c r="S614">
        <v>1</v>
      </c>
    </row>
    <row r="615" spans="1:19" ht="16.5" x14ac:dyDescent="0.3">
      <c r="A615" t="s">
        <v>666</v>
      </c>
      <c r="B615" s="1">
        <v>45360</v>
      </c>
      <c r="C615" s="1">
        <v>45363</v>
      </c>
      <c r="D615">
        <v>2024</v>
      </c>
      <c r="E615" t="s">
        <v>20</v>
      </c>
      <c r="F615" t="s">
        <v>605</v>
      </c>
      <c r="G615" t="s">
        <v>102</v>
      </c>
      <c r="H615" t="s">
        <v>35</v>
      </c>
      <c r="I615" t="s">
        <v>24</v>
      </c>
      <c r="J615" t="s">
        <v>25</v>
      </c>
      <c r="K615" t="s">
        <v>32</v>
      </c>
      <c r="L615" t="s">
        <v>27</v>
      </c>
      <c r="M615">
        <v>3</v>
      </c>
      <c r="N615" s="2">
        <v>74</v>
      </c>
      <c r="O615" s="3">
        <v>2975</v>
      </c>
      <c r="P615">
        <v>0</v>
      </c>
      <c r="Q615">
        <v>4</v>
      </c>
      <c r="R615" t="s">
        <v>33</v>
      </c>
      <c r="S615">
        <v>1</v>
      </c>
    </row>
    <row r="616" spans="1:19" ht="16.5" x14ac:dyDescent="0.3">
      <c r="A616" t="s">
        <v>667</v>
      </c>
      <c r="B616" s="1">
        <v>45360</v>
      </c>
      <c r="C616" s="1">
        <v>45365</v>
      </c>
      <c r="D616">
        <v>2024</v>
      </c>
      <c r="E616" t="s">
        <v>20</v>
      </c>
      <c r="F616" t="s">
        <v>605</v>
      </c>
      <c r="G616" t="s">
        <v>102</v>
      </c>
      <c r="H616" t="s">
        <v>30</v>
      </c>
      <c r="I616" t="s">
        <v>40</v>
      </c>
      <c r="J616" t="s">
        <v>25</v>
      </c>
      <c r="K616" t="s">
        <v>26</v>
      </c>
      <c r="L616" t="s">
        <v>44</v>
      </c>
      <c r="M616">
        <v>5</v>
      </c>
      <c r="N616" s="2"/>
      <c r="O616" s="3">
        <v>6902</v>
      </c>
      <c r="P616">
        <v>0</v>
      </c>
      <c r="Q616">
        <v>4</v>
      </c>
      <c r="R616" t="s">
        <v>33</v>
      </c>
      <c r="S616">
        <v>1</v>
      </c>
    </row>
    <row r="617" spans="1:19" ht="16.5" x14ac:dyDescent="0.3">
      <c r="A617" t="s">
        <v>668</v>
      </c>
      <c r="B617" s="1">
        <v>45361</v>
      </c>
      <c r="C617" s="1">
        <v>45364</v>
      </c>
      <c r="D617">
        <v>2024</v>
      </c>
      <c r="E617" t="s">
        <v>20</v>
      </c>
      <c r="F617" t="s">
        <v>605</v>
      </c>
      <c r="G617" t="s">
        <v>112</v>
      </c>
      <c r="H617" t="s">
        <v>52</v>
      </c>
      <c r="I617" t="s">
        <v>24</v>
      </c>
      <c r="J617" t="s">
        <v>43</v>
      </c>
      <c r="K617" t="s">
        <v>36</v>
      </c>
      <c r="L617" t="s">
        <v>27</v>
      </c>
      <c r="M617">
        <v>3</v>
      </c>
      <c r="N617" s="2">
        <v>40</v>
      </c>
      <c r="O617" s="3">
        <v>3679</v>
      </c>
      <c r="P617">
        <v>0</v>
      </c>
      <c r="Q617">
        <v>4</v>
      </c>
      <c r="R617" t="s">
        <v>33</v>
      </c>
      <c r="S617">
        <v>1</v>
      </c>
    </row>
    <row r="618" spans="1:19" ht="16.5" x14ac:dyDescent="0.3">
      <c r="A618" t="s">
        <v>669</v>
      </c>
      <c r="B618" s="1">
        <v>45361</v>
      </c>
      <c r="C618" s="1">
        <v>45370</v>
      </c>
      <c r="D618">
        <v>2024</v>
      </c>
      <c r="E618" t="s">
        <v>20</v>
      </c>
      <c r="F618" t="s">
        <v>605</v>
      </c>
      <c r="G618" t="s">
        <v>112</v>
      </c>
      <c r="H618" t="s">
        <v>30</v>
      </c>
      <c r="I618" t="s">
        <v>31</v>
      </c>
      <c r="J618" t="s">
        <v>25</v>
      </c>
      <c r="K618" t="s">
        <v>53</v>
      </c>
      <c r="L618" t="s">
        <v>44</v>
      </c>
      <c r="M618">
        <v>9</v>
      </c>
      <c r="N618" s="2"/>
      <c r="O618" s="3">
        <v>12796</v>
      </c>
      <c r="P618">
        <v>0</v>
      </c>
      <c r="Q618">
        <v>5</v>
      </c>
      <c r="R618" t="s">
        <v>28</v>
      </c>
      <c r="S618">
        <v>1</v>
      </c>
    </row>
    <row r="619" spans="1:19" ht="16.5" x14ac:dyDescent="0.3">
      <c r="A619" t="s">
        <v>670</v>
      </c>
      <c r="B619" s="1">
        <v>45361</v>
      </c>
      <c r="C619" s="1">
        <v>45363</v>
      </c>
      <c r="D619">
        <v>2024</v>
      </c>
      <c r="E619" t="s">
        <v>20</v>
      </c>
      <c r="F619" t="s">
        <v>605</v>
      </c>
      <c r="G619" t="s">
        <v>112</v>
      </c>
      <c r="H619" t="s">
        <v>52</v>
      </c>
      <c r="I619" t="s">
        <v>40</v>
      </c>
      <c r="J619" t="s">
        <v>43</v>
      </c>
      <c r="K619" t="s">
        <v>36</v>
      </c>
      <c r="L619" t="s">
        <v>37</v>
      </c>
      <c r="M619">
        <v>2</v>
      </c>
      <c r="N619" s="2"/>
      <c r="O619" s="3">
        <v>3125</v>
      </c>
      <c r="P619">
        <v>0</v>
      </c>
      <c r="Q619">
        <v>5</v>
      </c>
      <c r="R619" t="s">
        <v>33</v>
      </c>
      <c r="S619">
        <v>1</v>
      </c>
    </row>
    <row r="620" spans="1:19" ht="16.5" x14ac:dyDescent="0.3">
      <c r="A620" t="s">
        <v>671</v>
      </c>
      <c r="B620" s="1">
        <v>45361</v>
      </c>
      <c r="C620" s="1">
        <v>45365</v>
      </c>
      <c r="D620">
        <v>2024</v>
      </c>
      <c r="E620" t="s">
        <v>20</v>
      </c>
      <c r="F620" t="s">
        <v>605</v>
      </c>
      <c r="G620" t="s">
        <v>112</v>
      </c>
      <c r="H620" t="s">
        <v>30</v>
      </c>
      <c r="I620" t="s">
        <v>24</v>
      </c>
      <c r="J620" t="s">
        <v>43</v>
      </c>
      <c r="K620" t="s">
        <v>26</v>
      </c>
      <c r="L620" t="s">
        <v>37</v>
      </c>
      <c r="M620">
        <v>4</v>
      </c>
      <c r="N620" s="2">
        <v>37</v>
      </c>
      <c r="O620" s="3">
        <v>5213</v>
      </c>
      <c r="P620">
        <v>0</v>
      </c>
      <c r="Q620">
        <v>4</v>
      </c>
      <c r="R620" t="s">
        <v>33</v>
      </c>
      <c r="S620">
        <v>1</v>
      </c>
    </row>
    <row r="621" spans="1:19" ht="16.5" x14ac:dyDescent="0.3">
      <c r="A621" t="s">
        <v>672</v>
      </c>
      <c r="B621" s="1">
        <v>45361</v>
      </c>
      <c r="C621" s="1">
        <v>45363</v>
      </c>
      <c r="D621">
        <v>2024</v>
      </c>
      <c r="E621" t="s">
        <v>20</v>
      </c>
      <c r="F621" t="s">
        <v>605</v>
      </c>
      <c r="G621" t="s">
        <v>112</v>
      </c>
      <c r="H621" t="s">
        <v>35</v>
      </c>
      <c r="I621" t="s">
        <v>24</v>
      </c>
      <c r="J621" t="s">
        <v>25</v>
      </c>
      <c r="K621" t="s">
        <v>32</v>
      </c>
      <c r="L621" t="s">
        <v>44</v>
      </c>
      <c r="M621">
        <v>2</v>
      </c>
      <c r="N621" s="2">
        <v>56</v>
      </c>
      <c r="O621" s="3">
        <v>2203</v>
      </c>
      <c r="P621">
        <v>1</v>
      </c>
      <c r="Q621">
        <v>3</v>
      </c>
      <c r="R621" t="s">
        <v>28</v>
      </c>
      <c r="S621">
        <v>1</v>
      </c>
    </row>
    <row r="622" spans="1:19" ht="16.5" x14ac:dyDescent="0.3">
      <c r="A622" t="s">
        <v>673</v>
      </c>
      <c r="B622" s="1">
        <v>45361</v>
      </c>
      <c r="C622" s="1">
        <v>45362</v>
      </c>
      <c r="D622">
        <v>2024</v>
      </c>
      <c r="E622" t="s">
        <v>20</v>
      </c>
      <c r="F622" t="s">
        <v>605</v>
      </c>
      <c r="G622" t="s">
        <v>112</v>
      </c>
      <c r="H622" t="s">
        <v>35</v>
      </c>
      <c r="I622" t="s">
        <v>24</v>
      </c>
      <c r="J622" t="s">
        <v>25</v>
      </c>
      <c r="K622" t="s">
        <v>36</v>
      </c>
      <c r="L622" t="s">
        <v>27</v>
      </c>
      <c r="M622">
        <v>1</v>
      </c>
      <c r="N622" s="2">
        <v>59</v>
      </c>
      <c r="O622" s="3">
        <v>1375</v>
      </c>
      <c r="P622">
        <v>0</v>
      </c>
      <c r="Q622">
        <v>4</v>
      </c>
      <c r="R622" t="s">
        <v>28</v>
      </c>
      <c r="S622">
        <v>1</v>
      </c>
    </row>
    <row r="623" spans="1:19" ht="16.5" x14ac:dyDescent="0.3">
      <c r="A623" t="s">
        <v>674</v>
      </c>
      <c r="B623" s="1">
        <v>45361</v>
      </c>
      <c r="C623" s="1">
        <v>45366</v>
      </c>
      <c r="D623">
        <v>2024</v>
      </c>
      <c r="E623" t="s">
        <v>20</v>
      </c>
      <c r="F623" t="s">
        <v>605</v>
      </c>
      <c r="G623" t="s">
        <v>112</v>
      </c>
      <c r="H623" t="s">
        <v>30</v>
      </c>
      <c r="I623" t="s">
        <v>40</v>
      </c>
      <c r="J623" t="s">
        <v>25</v>
      </c>
      <c r="K623" t="s">
        <v>26</v>
      </c>
      <c r="L623" t="s">
        <v>37</v>
      </c>
      <c r="M623">
        <v>5</v>
      </c>
      <c r="N623" s="2"/>
      <c r="O623" s="3">
        <v>4333</v>
      </c>
      <c r="P623">
        <v>0</v>
      </c>
      <c r="Q623">
        <v>4</v>
      </c>
      <c r="R623" t="s">
        <v>33</v>
      </c>
      <c r="S623">
        <v>1</v>
      </c>
    </row>
    <row r="624" spans="1:19" ht="16.5" x14ac:dyDescent="0.3">
      <c r="A624" t="s">
        <v>675</v>
      </c>
      <c r="B624" s="1">
        <v>45361</v>
      </c>
      <c r="C624" s="1">
        <v>45368</v>
      </c>
      <c r="D624">
        <v>2024</v>
      </c>
      <c r="E624" t="s">
        <v>20</v>
      </c>
      <c r="F624" t="s">
        <v>605</v>
      </c>
      <c r="G624" t="s">
        <v>112</v>
      </c>
      <c r="H624" t="s">
        <v>23</v>
      </c>
      <c r="I624" t="s">
        <v>31</v>
      </c>
      <c r="J624" t="s">
        <v>25</v>
      </c>
      <c r="K624" t="s">
        <v>32</v>
      </c>
      <c r="L624" t="s">
        <v>44</v>
      </c>
      <c r="M624">
        <v>7</v>
      </c>
      <c r="N624" s="2"/>
      <c r="O624" s="3">
        <v>4774</v>
      </c>
      <c r="P624">
        <v>0</v>
      </c>
      <c r="Q624">
        <v>5</v>
      </c>
      <c r="R624" t="s">
        <v>33</v>
      </c>
      <c r="S624">
        <v>1</v>
      </c>
    </row>
    <row r="625" spans="1:19" ht="16.5" x14ac:dyDescent="0.3">
      <c r="A625" t="s">
        <v>676</v>
      </c>
      <c r="B625" s="1">
        <v>45361</v>
      </c>
      <c r="C625" s="1">
        <v>45367</v>
      </c>
      <c r="D625">
        <v>2024</v>
      </c>
      <c r="E625" t="s">
        <v>20</v>
      </c>
      <c r="F625" t="s">
        <v>605</v>
      </c>
      <c r="G625" t="s">
        <v>112</v>
      </c>
      <c r="H625" t="s">
        <v>23</v>
      </c>
      <c r="I625" t="s">
        <v>24</v>
      </c>
      <c r="J625" t="s">
        <v>43</v>
      </c>
      <c r="K625" t="s">
        <v>26</v>
      </c>
      <c r="L625" t="s">
        <v>44</v>
      </c>
      <c r="M625">
        <v>6</v>
      </c>
      <c r="N625" s="2">
        <v>58</v>
      </c>
      <c r="O625" s="3">
        <v>3815</v>
      </c>
      <c r="P625">
        <v>0</v>
      </c>
      <c r="Q625">
        <v>4</v>
      </c>
      <c r="R625" t="s">
        <v>33</v>
      </c>
      <c r="S625">
        <v>1</v>
      </c>
    </row>
    <row r="626" spans="1:19" ht="16.5" x14ac:dyDescent="0.3">
      <c r="A626" t="s">
        <v>677</v>
      </c>
      <c r="B626" s="1">
        <v>45361</v>
      </c>
      <c r="C626" s="1">
        <v>45366</v>
      </c>
      <c r="D626">
        <v>2024</v>
      </c>
      <c r="E626" t="s">
        <v>20</v>
      </c>
      <c r="F626" t="s">
        <v>605</v>
      </c>
      <c r="G626" t="s">
        <v>112</v>
      </c>
      <c r="H626" t="s">
        <v>30</v>
      </c>
      <c r="I626" t="s">
        <v>40</v>
      </c>
      <c r="J626" t="s">
        <v>43</v>
      </c>
      <c r="K626" t="s">
        <v>53</v>
      </c>
      <c r="L626" t="s">
        <v>27</v>
      </c>
      <c r="M626">
        <v>5</v>
      </c>
      <c r="N626" s="2"/>
      <c r="O626" s="3">
        <v>6171</v>
      </c>
      <c r="P626">
        <v>0</v>
      </c>
      <c r="Q626">
        <v>4</v>
      </c>
      <c r="R626" t="s">
        <v>28</v>
      </c>
      <c r="S626">
        <v>1</v>
      </c>
    </row>
    <row r="627" spans="1:19" ht="16.5" x14ac:dyDescent="0.3">
      <c r="A627" t="s">
        <v>678</v>
      </c>
      <c r="B627" s="1">
        <v>45361</v>
      </c>
      <c r="C627" s="1">
        <v>45368</v>
      </c>
      <c r="D627">
        <v>2024</v>
      </c>
      <c r="E627" t="s">
        <v>20</v>
      </c>
      <c r="F627" t="s">
        <v>605</v>
      </c>
      <c r="G627" t="s">
        <v>112</v>
      </c>
      <c r="H627" t="s">
        <v>35</v>
      </c>
      <c r="I627" t="s">
        <v>24</v>
      </c>
      <c r="J627" t="s">
        <v>25</v>
      </c>
      <c r="K627" t="s">
        <v>32</v>
      </c>
      <c r="L627" t="s">
        <v>44</v>
      </c>
      <c r="M627">
        <v>7</v>
      </c>
      <c r="N627" s="2">
        <v>24</v>
      </c>
      <c r="O627" s="3">
        <v>5091</v>
      </c>
      <c r="P627">
        <v>0</v>
      </c>
      <c r="Q627">
        <v>4</v>
      </c>
      <c r="R627" t="s">
        <v>28</v>
      </c>
      <c r="S627">
        <v>1</v>
      </c>
    </row>
    <row r="628" spans="1:19" ht="16.5" x14ac:dyDescent="0.3">
      <c r="A628" t="s">
        <v>679</v>
      </c>
      <c r="B628" s="1">
        <v>45361</v>
      </c>
      <c r="C628" s="1">
        <v>45367</v>
      </c>
      <c r="D628">
        <v>2024</v>
      </c>
      <c r="E628" t="s">
        <v>20</v>
      </c>
      <c r="F628" t="s">
        <v>605</v>
      </c>
      <c r="G628" t="s">
        <v>112</v>
      </c>
      <c r="H628" t="s">
        <v>50</v>
      </c>
      <c r="I628" t="s">
        <v>40</v>
      </c>
      <c r="J628" t="s">
        <v>25</v>
      </c>
      <c r="K628" t="s">
        <v>26</v>
      </c>
      <c r="L628" t="s">
        <v>44</v>
      </c>
      <c r="M628">
        <v>6</v>
      </c>
      <c r="N628" s="2"/>
      <c r="O628" s="3">
        <v>9137</v>
      </c>
      <c r="P628">
        <v>0</v>
      </c>
      <c r="Q628">
        <v>4</v>
      </c>
      <c r="R628" t="s">
        <v>33</v>
      </c>
      <c r="S628">
        <v>1</v>
      </c>
    </row>
    <row r="629" spans="1:19" ht="16.5" x14ac:dyDescent="0.3">
      <c r="A629" t="s">
        <v>680</v>
      </c>
      <c r="B629" s="1">
        <v>45362</v>
      </c>
      <c r="C629" s="1">
        <v>45366</v>
      </c>
      <c r="D629">
        <v>2024</v>
      </c>
      <c r="E629" t="s">
        <v>20</v>
      </c>
      <c r="F629" t="s">
        <v>605</v>
      </c>
      <c r="G629" t="s">
        <v>22</v>
      </c>
      <c r="H629" t="s">
        <v>35</v>
      </c>
      <c r="I629" t="s">
        <v>24</v>
      </c>
      <c r="J629" t="s">
        <v>25</v>
      </c>
      <c r="K629" t="s">
        <v>36</v>
      </c>
      <c r="L629" t="s">
        <v>37</v>
      </c>
      <c r="M629">
        <v>4</v>
      </c>
      <c r="N629" s="2">
        <v>135</v>
      </c>
      <c r="O629" s="3">
        <v>3131</v>
      </c>
      <c r="P629">
        <v>0</v>
      </c>
      <c r="Q629">
        <v>3</v>
      </c>
      <c r="R629" t="s">
        <v>33</v>
      </c>
      <c r="S629">
        <v>1</v>
      </c>
    </row>
    <row r="630" spans="1:19" ht="16.5" x14ac:dyDescent="0.3">
      <c r="A630" t="s">
        <v>681</v>
      </c>
      <c r="B630" s="1">
        <v>45362</v>
      </c>
      <c r="C630" s="1">
        <v>45364</v>
      </c>
      <c r="D630">
        <v>2024</v>
      </c>
      <c r="E630" t="s">
        <v>20</v>
      </c>
      <c r="F630" t="s">
        <v>605</v>
      </c>
      <c r="G630" t="s">
        <v>22</v>
      </c>
      <c r="H630" t="s">
        <v>30</v>
      </c>
      <c r="I630" t="s">
        <v>40</v>
      </c>
      <c r="J630" t="s">
        <v>43</v>
      </c>
      <c r="K630" t="s">
        <v>36</v>
      </c>
      <c r="L630" t="s">
        <v>44</v>
      </c>
      <c r="M630">
        <v>2</v>
      </c>
      <c r="N630" s="2"/>
      <c r="O630" s="3">
        <v>2392</v>
      </c>
      <c r="P630">
        <v>0</v>
      </c>
      <c r="Q630">
        <v>5</v>
      </c>
      <c r="R630" t="s">
        <v>28</v>
      </c>
      <c r="S630">
        <v>1</v>
      </c>
    </row>
    <row r="631" spans="1:19" ht="16.5" x14ac:dyDescent="0.3">
      <c r="A631" t="s">
        <v>682</v>
      </c>
      <c r="B631" s="1">
        <v>45362</v>
      </c>
      <c r="C631" s="1">
        <v>45366</v>
      </c>
      <c r="D631">
        <v>2024</v>
      </c>
      <c r="E631" t="s">
        <v>20</v>
      </c>
      <c r="F631" t="s">
        <v>605</v>
      </c>
      <c r="G631" t="s">
        <v>22</v>
      </c>
      <c r="H631" t="s">
        <v>52</v>
      </c>
      <c r="I631" t="s">
        <v>40</v>
      </c>
      <c r="J631" t="s">
        <v>43</v>
      </c>
      <c r="K631" t="s">
        <v>32</v>
      </c>
      <c r="L631" t="s">
        <v>37</v>
      </c>
      <c r="M631">
        <v>4</v>
      </c>
      <c r="N631" s="2"/>
      <c r="O631" s="3">
        <v>4638</v>
      </c>
      <c r="P631">
        <v>1</v>
      </c>
      <c r="Q631">
        <v>4</v>
      </c>
      <c r="R631" t="s">
        <v>28</v>
      </c>
      <c r="S631">
        <v>1</v>
      </c>
    </row>
    <row r="632" spans="1:19" ht="16.5" x14ac:dyDescent="0.3">
      <c r="A632" t="s">
        <v>683</v>
      </c>
      <c r="B632" s="1">
        <v>45362</v>
      </c>
      <c r="C632" s="1">
        <v>45364</v>
      </c>
      <c r="D632">
        <v>2024</v>
      </c>
      <c r="E632" t="s">
        <v>20</v>
      </c>
      <c r="F632" t="s">
        <v>605</v>
      </c>
      <c r="G632" t="s">
        <v>22</v>
      </c>
      <c r="H632" t="s">
        <v>35</v>
      </c>
      <c r="I632" t="s">
        <v>24</v>
      </c>
      <c r="J632" t="s">
        <v>25</v>
      </c>
      <c r="K632" t="s">
        <v>32</v>
      </c>
      <c r="L632" t="s">
        <v>44</v>
      </c>
      <c r="M632">
        <v>2</v>
      </c>
      <c r="N632" s="2">
        <v>26</v>
      </c>
      <c r="O632" s="3">
        <v>2654</v>
      </c>
      <c r="P632">
        <v>0</v>
      </c>
      <c r="Q632">
        <v>4</v>
      </c>
      <c r="R632" t="s">
        <v>33</v>
      </c>
      <c r="S632">
        <v>1</v>
      </c>
    </row>
    <row r="633" spans="1:19" ht="16.5" x14ac:dyDescent="0.3">
      <c r="A633" t="s">
        <v>684</v>
      </c>
      <c r="B633" s="1">
        <v>45362</v>
      </c>
      <c r="C633" s="1">
        <v>45367</v>
      </c>
      <c r="D633">
        <v>2024</v>
      </c>
      <c r="E633" t="s">
        <v>20</v>
      </c>
      <c r="F633" t="s">
        <v>605</v>
      </c>
      <c r="G633" t="s">
        <v>22</v>
      </c>
      <c r="H633" t="s">
        <v>52</v>
      </c>
      <c r="I633" t="s">
        <v>40</v>
      </c>
      <c r="J633" t="s">
        <v>25</v>
      </c>
      <c r="K633" t="s">
        <v>26</v>
      </c>
      <c r="L633" t="s">
        <v>27</v>
      </c>
      <c r="M633">
        <v>5</v>
      </c>
      <c r="N633" s="2"/>
      <c r="O633" s="3">
        <v>5790</v>
      </c>
      <c r="P633">
        <v>0</v>
      </c>
      <c r="Q633">
        <v>5</v>
      </c>
      <c r="R633" t="s">
        <v>59</v>
      </c>
      <c r="S633">
        <v>1</v>
      </c>
    </row>
    <row r="634" spans="1:19" ht="16.5" x14ac:dyDescent="0.3">
      <c r="A634" t="s">
        <v>685</v>
      </c>
      <c r="B634" s="1">
        <v>45362</v>
      </c>
      <c r="C634" s="1">
        <v>45372</v>
      </c>
      <c r="D634">
        <v>2024</v>
      </c>
      <c r="E634" t="s">
        <v>20</v>
      </c>
      <c r="F634" t="s">
        <v>605</v>
      </c>
      <c r="G634" t="s">
        <v>22</v>
      </c>
      <c r="H634" t="s">
        <v>50</v>
      </c>
      <c r="I634" t="s">
        <v>24</v>
      </c>
      <c r="J634" t="s">
        <v>43</v>
      </c>
      <c r="K634" t="s">
        <v>53</v>
      </c>
      <c r="L634" t="s">
        <v>44</v>
      </c>
      <c r="M634">
        <v>10</v>
      </c>
      <c r="N634" s="2">
        <v>52</v>
      </c>
      <c r="O634" s="3">
        <v>10433</v>
      </c>
      <c r="P634">
        <v>0</v>
      </c>
      <c r="Q634">
        <v>5</v>
      </c>
      <c r="R634" t="s">
        <v>33</v>
      </c>
      <c r="S634">
        <v>1</v>
      </c>
    </row>
    <row r="635" spans="1:19" ht="16.5" x14ac:dyDescent="0.3">
      <c r="A635" t="s">
        <v>686</v>
      </c>
      <c r="B635" s="1">
        <v>45362</v>
      </c>
      <c r="C635" s="1">
        <v>45364</v>
      </c>
      <c r="D635">
        <v>2024</v>
      </c>
      <c r="E635" t="s">
        <v>20</v>
      </c>
      <c r="F635" t="s">
        <v>605</v>
      </c>
      <c r="G635" t="s">
        <v>22</v>
      </c>
      <c r="H635" t="s">
        <v>39</v>
      </c>
      <c r="I635" t="s">
        <v>24</v>
      </c>
      <c r="J635" t="s">
        <v>43</v>
      </c>
      <c r="K635" t="s">
        <v>41</v>
      </c>
      <c r="L635" t="s">
        <v>44</v>
      </c>
      <c r="M635">
        <v>2</v>
      </c>
      <c r="N635" s="2">
        <v>43</v>
      </c>
      <c r="O635" s="3">
        <v>1766</v>
      </c>
      <c r="P635">
        <v>1</v>
      </c>
      <c r="Q635">
        <v>3</v>
      </c>
      <c r="R635" t="s">
        <v>28</v>
      </c>
      <c r="S635">
        <v>1</v>
      </c>
    </row>
    <row r="636" spans="1:19" ht="16.5" x14ac:dyDescent="0.3">
      <c r="A636" t="s">
        <v>687</v>
      </c>
      <c r="B636" s="1">
        <v>45363</v>
      </c>
      <c r="C636" s="1">
        <v>45367</v>
      </c>
      <c r="D636">
        <v>2024</v>
      </c>
      <c r="E636" t="s">
        <v>20</v>
      </c>
      <c r="F636" t="s">
        <v>605</v>
      </c>
      <c r="G636" t="s">
        <v>56</v>
      </c>
      <c r="H636" t="s">
        <v>39</v>
      </c>
      <c r="I636" t="s">
        <v>40</v>
      </c>
      <c r="J636" t="s">
        <v>25</v>
      </c>
      <c r="K636" t="s">
        <v>41</v>
      </c>
      <c r="L636" t="s">
        <v>27</v>
      </c>
      <c r="M636">
        <v>4</v>
      </c>
      <c r="N636" s="2"/>
      <c r="O636" s="3">
        <v>3438</v>
      </c>
      <c r="P636">
        <v>0</v>
      </c>
      <c r="Q636">
        <v>2</v>
      </c>
      <c r="R636" t="s">
        <v>33</v>
      </c>
      <c r="S636">
        <v>1</v>
      </c>
    </row>
    <row r="637" spans="1:19" ht="16.5" x14ac:dyDescent="0.3">
      <c r="A637" t="s">
        <v>688</v>
      </c>
      <c r="B637" s="1">
        <v>45363</v>
      </c>
      <c r="C637" s="1">
        <v>45372</v>
      </c>
      <c r="D637">
        <v>2024</v>
      </c>
      <c r="E637" t="s">
        <v>20</v>
      </c>
      <c r="F637" t="s">
        <v>605</v>
      </c>
      <c r="G637" t="s">
        <v>56</v>
      </c>
      <c r="H637" t="s">
        <v>23</v>
      </c>
      <c r="I637" t="s">
        <v>24</v>
      </c>
      <c r="J637" t="s">
        <v>43</v>
      </c>
      <c r="K637" t="s">
        <v>53</v>
      </c>
      <c r="L637" t="s">
        <v>44</v>
      </c>
      <c r="M637">
        <v>9</v>
      </c>
      <c r="N637" s="2">
        <v>53</v>
      </c>
      <c r="O637" s="3">
        <v>7100</v>
      </c>
      <c r="P637">
        <v>0</v>
      </c>
      <c r="Q637">
        <v>3</v>
      </c>
      <c r="R637" t="s">
        <v>33</v>
      </c>
      <c r="S637">
        <v>1</v>
      </c>
    </row>
    <row r="638" spans="1:19" ht="16.5" x14ac:dyDescent="0.3">
      <c r="A638" t="s">
        <v>689</v>
      </c>
      <c r="B638" s="1">
        <v>45363</v>
      </c>
      <c r="C638" s="1">
        <v>45369</v>
      </c>
      <c r="D638">
        <v>2024</v>
      </c>
      <c r="E638" t="s">
        <v>20</v>
      </c>
      <c r="F638" t="s">
        <v>605</v>
      </c>
      <c r="G638" t="s">
        <v>56</v>
      </c>
      <c r="H638" t="s">
        <v>52</v>
      </c>
      <c r="I638" t="s">
        <v>40</v>
      </c>
      <c r="J638" t="s">
        <v>43</v>
      </c>
      <c r="K638" t="s">
        <v>32</v>
      </c>
      <c r="L638" t="s">
        <v>44</v>
      </c>
      <c r="M638">
        <v>6</v>
      </c>
      <c r="N638" s="2"/>
      <c r="O638" s="3">
        <v>5862</v>
      </c>
      <c r="P638">
        <v>0</v>
      </c>
      <c r="Q638">
        <v>4</v>
      </c>
      <c r="R638" t="s">
        <v>33</v>
      </c>
      <c r="S638">
        <v>1</v>
      </c>
    </row>
    <row r="639" spans="1:19" ht="16.5" x14ac:dyDescent="0.3">
      <c r="A639" t="s">
        <v>690</v>
      </c>
      <c r="B639" s="1">
        <v>45363</v>
      </c>
      <c r="C639" s="1">
        <v>45366</v>
      </c>
      <c r="D639">
        <v>2024</v>
      </c>
      <c r="E639" t="s">
        <v>20</v>
      </c>
      <c r="F639" t="s">
        <v>605</v>
      </c>
      <c r="G639" t="s">
        <v>56</v>
      </c>
      <c r="H639" t="s">
        <v>39</v>
      </c>
      <c r="I639" t="s">
        <v>24</v>
      </c>
      <c r="J639" t="s">
        <v>43</v>
      </c>
      <c r="K639" t="s">
        <v>41</v>
      </c>
      <c r="L639" t="s">
        <v>27</v>
      </c>
      <c r="M639">
        <v>3</v>
      </c>
      <c r="N639" s="2">
        <v>17</v>
      </c>
      <c r="O639" s="3">
        <v>2392</v>
      </c>
      <c r="P639">
        <v>0</v>
      </c>
      <c r="Q639">
        <v>5</v>
      </c>
      <c r="R639" t="s">
        <v>33</v>
      </c>
      <c r="S639">
        <v>1</v>
      </c>
    </row>
    <row r="640" spans="1:19" ht="16.5" x14ac:dyDescent="0.3">
      <c r="A640" t="s">
        <v>691</v>
      </c>
      <c r="B640" s="1">
        <v>45363</v>
      </c>
      <c r="C640" s="1">
        <v>45365</v>
      </c>
      <c r="D640">
        <v>2024</v>
      </c>
      <c r="E640" t="s">
        <v>20</v>
      </c>
      <c r="F640" t="s">
        <v>605</v>
      </c>
      <c r="G640" t="s">
        <v>56</v>
      </c>
      <c r="H640" t="s">
        <v>39</v>
      </c>
      <c r="I640" t="s">
        <v>24</v>
      </c>
      <c r="J640" t="s">
        <v>43</v>
      </c>
      <c r="K640" t="s">
        <v>41</v>
      </c>
      <c r="L640" t="s">
        <v>37</v>
      </c>
      <c r="M640">
        <v>2</v>
      </c>
      <c r="N640" s="2">
        <v>51</v>
      </c>
      <c r="O640" s="3">
        <v>1768</v>
      </c>
      <c r="P640">
        <v>1</v>
      </c>
      <c r="Q640">
        <v>4</v>
      </c>
      <c r="R640" t="s">
        <v>33</v>
      </c>
      <c r="S640">
        <v>1</v>
      </c>
    </row>
    <row r="641" spans="1:19" ht="16.5" x14ac:dyDescent="0.3">
      <c r="A641" t="s">
        <v>692</v>
      </c>
      <c r="B641" s="1">
        <v>45363</v>
      </c>
      <c r="C641" s="1">
        <v>45366</v>
      </c>
      <c r="D641">
        <v>2024</v>
      </c>
      <c r="E641" t="s">
        <v>20</v>
      </c>
      <c r="F641" t="s">
        <v>605</v>
      </c>
      <c r="G641" t="s">
        <v>56</v>
      </c>
      <c r="H641" t="s">
        <v>23</v>
      </c>
      <c r="I641" t="s">
        <v>24</v>
      </c>
      <c r="J641" t="s">
        <v>43</v>
      </c>
      <c r="K641" t="s">
        <v>53</v>
      </c>
      <c r="L641" t="s">
        <v>27</v>
      </c>
      <c r="M641">
        <v>3</v>
      </c>
      <c r="N641" s="2">
        <v>16</v>
      </c>
      <c r="O641" s="3">
        <v>2289</v>
      </c>
      <c r="P641">
        <v>0</v>
      </c>
      <c r="Q641">
        <v>4</v>
      </c>
      <c r="R641" t="s">
        <v>33</v>
      </c>
      <c r="S641">
        <v>1</v>
      </c>
    </row>
    <row r="642" spans="1:19" ht="16.5" x14ac:dyDescent="0.3">
      <c r="A642" t="s">
        <v>693</v>
      </c>
      <c r="B642" s="1">
        <v>45363</v>
      </c>
      <c r="C642" s="1">
        <v>45367</v>
      </c>
      <c r="D642">
        <v>2024</v>
      </c>
      <c r="E642" t="s">
        <v>20</v>
      </c>
      <c r="F642" t="s">
        <v>605</v>
      </c>
      <c r="G642" t="s">
        <v>56</v>
      </c>
      <c r="H642" t="s">
        <v>30</v>
      </c>
      <c r="I642" t="s">
        <v>40</v>
      </c>
      <c r="J642" t="s">
        <v>43</v>
      </c>
      <c r="K642" t="s">
        <v>26</v>
      </c>
      <c r="L642" t="s">
        <v>27</v>
      </c>
      <c r="M642">
        <v>4</v>
      </c>
      <c r="N642" s="2"/>
      <c r="O642" s="3">
        <v>4234</v>
      </c>
      <c r="P642">
        <v>1</v>
      </c>
      <c r="Q642">
        <v>3</v>
      </c>
      <c r="R642" t="s">
        <v>33</v>
      </c>
      <c r="S642">
        <v>1</v>
      </c>
    </row>
    <row r="643" spans="1:19" ht="16.5" x14ac:dyDescent="0.3">
      <c r="A643" t="s">
        <v>694</v>
      </c>
      <c r="B643" s="1">
        <v>45363</v>
      </c>
      <c r="C643" s="1">
        <v>45364</v>
      </c>
      <c r="D643">
        <v>2024</v>
      </c>
      <c r="E643" t="s">
        <v>20</v>
      </c>
      <c r="F643" t="s">
        <v>605</v>
      </c>
      <c r="G643" t="s">
        <v>56</v>
      </c>
      <c r="H643" t="s">
        <v>50</v>
      </c>
      <c r="I643" t="s">
        <v>31</v>
      </c>
      <c r="J643" t="s">
        <v>25</v>
      </c>
      <c r="K643" t="s">
        <v>53</v>
      </c>
      <c r="L643" t="s">
        <v>44</v>
      </c>
      <c r="M643">
        <v>1</v>
      </c>
      <c r="N643" s="2"/>
      <c r="O643" s="3">
        <v>1870</v>
      </c>
      <c r="P643">
        <v>0</v>
      </c>
      <c r="Q643">
        <v>4</v>
      </c>
      <c r="R643" t="s">
        <v>28</v>
      </c>
      <c r="S643">
        <v>1</v>
      </c>
    </row>
    <row r="644" spans="1:19" ht="16.5" x14ac:dyDescent="0.3">
      <c r="A644" t="s">
        <v>695</v>
      </c>
      <c r="B644" s="1">
        <v>45363</v>
      </c>
      <c r="C644" s="1">
        <v>45365</v>
      </c>
      <c r="D644">
        <v>2024</v>
      </c>
      <c r="E644" t="s">
        <v>20</v>
      </c>
      <c r="F644" t="s">
        <v>605</v>
      </c>
      <c r="G644" t="s">
        <v>56</v>
      </c>
      <c r="H644" t="s">
        <v>23</v>
      </c>
      <c r="I644" t="s">
        <v>40</v>
      </c>
      <c r="J644" t="s">
        <v>25</v>
      </c>
      <c r="K644" t="s">
        <v>32</v>
      </c>
      <c r="L644" t="s">
        <v>27</v>
      </c>
      <c r="M644">
        <v>2</v>
      </c>
      <c r="N644" s="2"/>
      <c r="O644" s="3">
        <v>2483</v>
      </c>
      <c r="P644">
        <v>0</v>
      </c>
      <c r="Q644">
        <v>4</v>
      </c>
      <c r="R644" t="s">
        <v>28</v>
      </c>
      <c r="S644">
        <v>1</v>
      </c>
    </row>
    <row r="645" spans="1:19" ht="16.5" x14ac:dyDescent="0.3">
      <c r="A645" t="s">
        <v>696</v>
      </c>
      <c r="B645" s="1">
        <v>45363</v>
      </c>
      <c r="C645" s="1">
        <v>45367</v>
      </c>
      <c r="D645">
        <v>2024</v>
      </c>
      <c r="E645" t="s">
        <v>20</v>
      </c>
      <c r="F645" t="s">
        <v>605</v>
      </c>
      <c r="G645" t="s">
        <v>56</v>
      </c>
      <c r="H645" t="s">
        <v>30</v>
      </c>
      <c r="I645" t="s">
        <v>40</v>
      </c>
      <c r="J645" t="s">
        <v>25</v>
      </c>
      <c r="K645" t="s">
        <v>32</v>
      </c>
      <c r="L645" t="s">
        <v>44</v>
      </c>
      <c r="M645">
        <v>4</v>
      </c>
      <c r="N645" s="2"/>
      <c r="O645" s="3">
        <v>4306</v>
      </c>
      <c r="P645">
        <v>1</v>
      </c>
      <c r="Q645">
        <v>3</v>
      </c>
      <c r="R645" t="s">
        <v>28</v>
      </c>
      <c r="S645">
        <v>1</v>
      </c>
    </row>
    <row r="646" spans="1:19" ht="16.5" x14ac:dyDescent="0.3">
      <c r="A646" t="s">
        <v>697</v>
      </c>
      <c r="B646" s="1">
        <v>45363</v>
      </c>
      <c r="C646" s="1">
        <v>45364</v>
      </c>
      <c r="D646">
        <v>2024</v>
      </c>
      <c r="E646" t="s">
        <v>20</v>
      </c>
      <c r="F646" t="s">
        <v>605</v>
      </c>
      <c r="G646" t="s">
        <v>56</v>
      </c>
      <c r="H646" t="s">
        <v>30</v>
      </c>
      <c r="I646" t="s">
        <v>40</v>
      </c>
      <c r="J646" t="s">
        <v>25</v>
      </c>
      <c r="K646" t="s">
        <v>32</v>
      </c>
      <c r="L646" t="s">
        <v>37</v>
      </c>
      <c r="M646">
        <v>1</v>
      </c>
      <c r="N646" s="2"/>
      <c r="O646" s="3">
        <v>2202</v>
      </c>
      <c r="P646">
        <v>0</v>
      </c>
      <c r="Q646">
        <v>3</v>
      </c>
      <c r="R646" t="s">
        <v>59</v>
      </c>
      <c r="S646">
        <v>1</v>
      </c>
    </row>
    <row r="647" spans="1:19" ht="16.5" x14ac:dyDescent="0.3">
      <c r="A647" t="s">
        <v>698</v>
      </c>
      <c r="B647" s="1">
        <v>45364</v>
      </c>
      <c r="C647" s="1">
        <v>45371</v>
      </c>
      <c r="D647">
        <v>2024</v>
      </c>
      <c r="E647" t="s">
        <v>20</v>
      </c>
      <c r="F647" t="s">
        <v>605</v>
      </c>
      <c r="G647" t="s">
        <v>70</v>
      </c>
      <c r="H647" t="s">
        <v>30</v>
      </c>
      <c r="I647" t="s">
        <v>40</v>
      </c>
      <c r="J647" t="s">
        <v>43</v>
      </c>
      <c r="K647" t="s">
        <v>26</v>
      </c>
      <c r="L647" t="s">
        <v>27</v>
      </c>
      <c r="M647">
        <v>7</v>
      </c>
      <c r="N647" s="2"/>
      <c r="O647" s="3">
        <v>7224</v>
      </c>
      <c r="P647">
        <v>0</v>
      </c>
      <c r="Q647">
        <v>4</v>
      </c>
      <c r="R647" t="s">
        <v>33</v>
      </c>
      <c r="S647">
        <v>1</v>
      </c>
    </row>
    <row r="648" spans="1:19" ht="16.5" x14ac:dyDescent="0.3">
      <c r="A648" t="s">
        <v>699</v>
      </c>
      <c r="B648" s="1">
        <v>45364</v>
      </c>
      <c r="C648" s="1">
        <v>45367</v>
      </c>
      <c r="D648">
        <v>2024</v>
      </c>
      <c r="E648" t="s">
        <v>20</v>
      </c>
      <c r="F648" t="s">
        <v>605</v>
      </c>
      <c r="G648" t="s">
        <v>70</v>
      </c>
      <c r="H648" t="s">
        <v>35</v>
      </c>
      <c r="I648" t="s">
        <v>24</v>
      </c>
      <c r="J648" t="s">
        <v>25</v>
      </c>
      <c r="K648" t="s">
        <v>36</v>
      </c>
      <c r="L648" t="s">
        <v>44</v>
      </c>
      <c r="M648">
        <v>3</v>
      </c>
      <c r="N648" s="2">
        <v>61</v>
      </c>
      <c r="O648" s="3">
        <v>2153</v>
      </c>
      <c r="P648">
        <v>0</v>
      </c>
      <c r="Q648">
        <v>5</v>
      </c>
      <c r="R648" t="s">
        <v>33</v>
      </c>
      <c r="S648">
        <v>1</v>
      </c>
    </row>
    <row r="649" spans="1:19" ht="16.5" x14ac:dyDescent="0.3">
      <c r="A649" t="s">
        <v>700</v>
      </c>
      <c r="B649" s="1">
        <v>45364</v>
      </c>
      <c r="C649" s="1">
        <v>45367</v>
      </c>
      <c r="D649">
        <v>2024</v>
      </c>
      <c r="E649" t="s">
        <v>20</v>
      </c>
      <c r="F649" t="s">
        <v>605</v>
      </c>
      <c r="G649" t="s">
        <v>70</v>
      </c>
      <c r="H649" t="s">
        <v>30</v>
      </c>
      <c r="I649" t="s">
        <v>40</v>
      </c>
      <c r="J649" t="s">
        <v>43</v>
      </c>
      <c r="K649" t="s">
        <v>36</v>
      </c>
      <c r="L649" t="s">
        <v>27</v>
      </c>
      <c r="M649">
        <v>3</v>
      </c>
      <c r="N649" s="2"/>
      <c r="O649" s="3">
        <v>4389</v>
      </c>
      <c r="P649">
        <v>0</v>
      </c>
      <c r="Q649">
        <v>5</v>
      </c>
      <c r="R649" t="s">
        <v>28</v>
      </c>
      <c r="S649">
        <v>1</v>
      </c>
    </row>
    <row r="650" spans="1:19" ht="16.5" x14ac:dyDescent="0.3">
      <c r="A650" t="s">
        <v>701</v>
      </c>
      <c r="B650" s="1">
        <v>45364</v>
      </c>
      <c r="C650" s="1">
        <v>45369</v>
      </c>
      <c r="D650">
        <v>2024</v>
      </c>
      <c r="E650" t="s">
        <v>20</v>
      </c>
      <c r="F650" t="s">
        <v>605</v>
      </c>
      <c r="G650" t="s">
        <v>70</v>
      </c>
      <c r="H650" t="s">
        <v>30</v>
      </c>
      <c r="I650" t="s">
        <v>40</v>
      </c>
      <c r="J650" t="s">
        <v>43</v>
      </c>
      <c r="K650" t="s">
        <v>26</v>
      </c>
      <c r="L650" t="s">
        <v>44</v>
      </c>
      <c r="M650">
        <v>5</v>
      </c>
      <c r="N650" s="2"/>
      <c r="O650" s="3">
        <v>5947</v>
      </c>
      <c r="P650">
        <v>0</v>
      </c>
      <c r="Q650">
        <v>4</v>
      </c>
      <c r="R650" t="s">
        <v>33</v>
      </c>
      <c r="S650">
        <v>1</v>
      </c>
    </row>
    <row r="651" spans="1:19" ht="16.5" x14ac:dyDescent="0.3">
      <c r="A651" t="s">
        <v>702</v>
      </c>
      <c r="B651" s="1">
        <v>45364</v>
      </c>
      <c r="C651" s="1">
        <v>45368</v>
      </c>
      <c r="D651">
        <v>2024</v>
      </c>
      <c r="E651" t="s">
        <v>20</v>
      </c>
      <c r="F651" t="s">
        <v>605</v>
      </c>
      <c r="G651" t="s">
        <v>70</v>
      </c>
      <c r="H651" t="s">
        <v>23</v>
      </c>
      <c r="I651" t="s">
        <v>40</v>
      </c>
      <c r="J651" t="s">
        <v>25</v>
      </c>
      <c r="K651" t="s">
        <v>36</v>
      </c>
      <c r="L651" t="s">
        <v>37</v>
      </c>
      <c r="M651">
        <v>4</v>
      </c>
      <c r="N651" s="2"/>
      <c r="O651" s="3">
        <v>2765</v>
      </c>
      <c r="P651">
        <v>0</v>
      </c>
      <c r="Q651">
        <v>4</v>
      </c>
      <c r="R651" t="s">
        <v>59</v>
      </c>
      <c r="S651">
        <v>1</v>
      </c>
    </row>
    <row r="652" spans="1:19" ht="16.5" x14ac:dyDescent="0.3">
      <c r="A652" t="s">
        <v>703</v>
      </c>
      <c r="B652" s="1">
        <v>45365</v>
      </c>
      <c r="C652" s="1">
        <v>45372</v>
      </c>
      <c r="D652">
        <v>2024</v>
      </c>
      <c r="E652" t="s">
        <v>20</v>
      </c>
      <c r="F652" t="s">
        <v>605</v>
      </c>
      <c r="G652" t="s">
        <v>78</v>
      </c>
      <c r="H652" t="s">
        <v>39</v>
      </c>
      <c r="I652" t="s">
        <v>31</v>
      </c>
      <c r="J652" t="s">
        <v>43</v>
      </c>
      <c r="K652" t="s">
        <v>41</v>
      </c>
      <c r="L652" t="s">
        <v>27</v>
      </c>
      <c r="M652">
        <v>7</v>
      </c>
      <c r="N652" s="2"/>
      <c r="O652" s="3">
        <v>6187</v>
      </c>
      <c r="P652">
        <v>0</v>
      </c>
      <c r="Q652">
        <v>5</v>
      </c>
      <c r="R652" t="s">
        <v>28</v>
      </c>
      <c r="S652">
        <v>1</v>
      </c>
    </row>
    <row r="653" spans="1:19" ht="16.5" x14ac:dyDescent="0.3">
      <c r="A653" t="s">
        <v>704</v>
      </c>
      <c r="B653" s="1">
        <v>45365</v>
      </c>
      <c r="C653" s="1">
        <v>45370</v>
      </c>
      <c r="D653">
        <v>2024</v>
      </c>
      <c r="E653" t="s">
        <v>20</v>
      </c>
      <c r="F653" t="s">
        <v>605</v>
      </c>
      <c r="G653" t="s">
        <v>78</v>
      </c>
      <c r="H653" t="s">
        <v>30</v>
      </c>
      <c r="I653" t="s">
        <v>40</v>
      </c>
      <c r="J653" t="s">
        <v>43</v>
      </c>
      <c r="K653" t="s">
        <v>53</v>
      </c>
      <c r="L653" t="s">
        <v>27</v>
      </c>
      <c r="M653">
        <v>5</v>
      </c>
      <c r="N653" s="2"/>
      <c r="O653" s="3">
        <v>8560</v>
      </c>
      <c r="P653">
        <v>0</v>
      </c>
      <c r="Q653">
        <v>4</v>
      </c>
      <c r="R653" t="s">
        <v>33</v>
      </c>
      <c r="S653">
        <v>1</v>
      </c>
    </row>
    <row r="654" spans="1:19" ht="16.5" x14ac:dyDescent="0.3">
      <c r="A654" t="s">
        <v>705</v>
      </c>
      <c r="B654" s="1">
        <v>45365</v>
      </c>
      <c r="C654" s="1">
        <v>45373</v>
      </c>
      <c r="D654">
        <v>2024</v>
      </c>
      <c r="E654" t="s">
        <v>20</v>
      </c>
      <c r="F654" t="s">
        <v>605</v>
      </c>
      <c r="G654" t="s">
        <v>78</v>
      </c>
      <c r="H654" t="s">
        <v>30</v>
      </c>
      <c r="I654" t="s">
        <v>40</v>
      </c>
      <c r="J654" t="s">
        <v>43</v>
      </c>
      <c r="K654" t="s">
        <v>36</v>
      </c>
      <c r="L654" t="s">
        <v>27</v>
      </c>
      <c r="M654">
        <v>8</v>
      </c>
      <c r="N654" s="2"/>
      <c r="O654" s="3">
        <v>11131</v>
      </c>
      <c r="P654">
        <v>1</v>
      </c>
      <c r="Q654">
        <v>3</v>
      </c>
      <c r="R654" t="s">
        <v>33</v>
      </c>
      <c r="S654">
        <v>1</v>
      </c>
    </row>
    <row r="655" spans="1:19" ht="16.5" x14ac:dyDescent="0.3">
      <c r="A655" t="s">
        <v>706</v>
      </c>
      <c r="B655" s="1">
        <v>45366</v>
      </c>
      <c r="C655" s="1">
        <v>45368</v>
      </c>
      <c r="D655">
        <v>2024</v>
      </c>
      <c r="E655" t="s">
        <v>20</v>
      </c>
      <c r="F655" t="s">
        <v>605</v>
      </c>
      <c r="G655" t="s">
        <v>83</v>
      </c>
      <c r="H655" t="s">
        <v>35</v>
      </c>
      <c r="I655" t="s">
        <v>31</v>
      </c>
      <c r="J655" t="s">
        <v>25</v>
      </c>
      <c r="K655" t="s">
        <v>36</v>
      </c>
      <c r="L655" t="s">
        <v>27</v>
      </c>
      <c r="M655">
        <v>2</v>
      </c>
      <c r="N655" s="2"/>
      <c r="O655" s="3">
        <v>2384</v>
      </c>
      <c r="P655">
        <v>0</v>
      </c>
      <c r="Q655">
        <v>4</v>
      </c>
      <c r="R655" t="s">
        <v>33</v>
      </c>
      <c r="S655">
        <v>1</v>
      </c>
    </row>
    <row r="656" spans="1:19" ht="16.5" x14ac:dyDescent="0.3">
      <c r="A656" t="s">
        <v>707</v>
      </c>
      <c r="B656" s="1">
        <v>45366</v>
      </c>
      <c r="C656" s="1">
        <v>45371</v>
      </c>
      <c r="D656">
        <v>2024</v>
      </c>
      <c r="E656" t="s">
        <v>20</v>
      </c>
      <c r="F656" t="s">
        <v>605</v>
      </c>
      <c r="G656" t="s">
        <v>83</v>
      </c>
      <c r="H656" t="s">
        <v>39</v>
      </c>
      <c r="I656" t="s">
        <v>31</v>
      </c>
      <c r="J656" t="s">
        <v>25</v>
      </c>
      <c r="K656" t="s">
        <v>41</v>
      </c>
      <c r="L656" t="s">
        <v>44</v>
      </c>
      <c r="M656">
        <v>5</v>
      </c>
      <c r="N656" s="2"/>
      <c r="O656" s="3">
        <v>3040</v>
      </c>
      <c r="P656">
        <v>0</v>
      </c>
      <c r="Q656">
        <v>4</v>
      </c>
      <c r="R656" t="s">
        <v>33</v>
      </c>
      <c r="S656">
        <v>1</v>
      </c>
    </row>
    <row r="657" spans="1:19" ht="16.5" x14ac:dyDescent="0.3">
      <c r="A657" t="s">
        <v>708</v>
      </c>
      <c r="B657" s="1">
        <v>45366</v>
      </c>
      <c r="C657" s="1">
        <v>45368</v>
      </c>
      <c r="D657">
        <v>2024</v>
      </c>
      <c r="E657" t="s">
        <v>20</v>
      </c>
      <c r="F657" t="s">
        <v>605</v>
      </c>
      <c r="G657" t="s">
        <v>83</v>
      </c>
      <c r="H657" t="s">
        <v>39</v>
      </c>
      <c r="I657" t="s">
        <v>40</v>
      </c>
      <c r="J657" t="s">
        <v>43</v>
      </c>
      <c r="K657" t="s">
        <v>41</v>
      </c>
      <c r="L657" t="s">
        <v>27</v>
      </c>
      <c r="M657">
        <v>2</v>
      </c>
      <c r="N657" s="2"/>
      <c r="O657" s="3">
        <v>2329</v>
      </c>
      <c r="P657">
        <v>1</v>
      </c>
      <c r="Q657">
        <v>3</v>
      </c>
      <c r="R657" t="s">
        <v>33</v>
      </c>
      <c r="S657">
        <v>1</v>
      </c>
    </row>
    <row r="658" spans="1:19" ht="16.5" x14ac:dyDescent="0.3">
      <c r="A658" t="s">
        <v>709</v>
      </c>
      <c r="B658" s="1">
        <v>45367</v>
      </c>
      <c r="C658" s="1">
        <v>45368</v>
      </c>
      <c r="D658">
        <v>2024</v>
      </c>
      <c r="E658" t="s">
        <v>20</v>
      </c>
      <c r="F658" t="s">
        <v>605</v>
      </c>
      <c r="G658" t="s">
        <v>102</v>
      </c>
      <c r="H658" t="s">
        <v>23</v>
      </c>
      <c r="I658" t="s">
        <v>40</v>
      </c>
      <c r="J658" t="s">
        <v>25</v>
      </c>
      <c r="K658" t="s">
        <v>26</v>
      </c>
      <c r="L658" t="s">
        <v>27</v>
      </c>
      <c r="M658">
        <v>1</v>
      </c>
      <c r="N658" s="2"/>
      <c r="O658" s="3">
        <v>1520</v>
      </c>
      <c r="P658">
        <v>0</v>
      </c>
      <c r="Q658">
        <v>4</v>
      </c>
      <c r="R658" t="s">
        <v>28</v>
      </c>
      <c r="S658">
        <v>1</v>
      </c>
    </row>
    <row r="659" spans="1:19" ht="16.5" x14ac:dyDescent="0.3">
      <c r="A659" t="s">
        <v>710</v>
      </c>
      <c r="B659" s="1">
        <v>45367</v>
      </c>
      <c r="C659" s="1">
        <v>45370</v>
      </c>
      <c r="D659">
        <v>2024</v>
      </c>
      <c r="E659" t="s">
        <v>20</v>
      </c>
      <c r="F659" t="s">
        <v>605</v>
      </c>
      <c r="G659" t="s">
        <v>102</v>
      </c>
      <c r="H659" t="s">
        <v>35</v>
      </c>
      <c r="I659" t="s">
        <v>24</v>
      </c>
      <c r="J659" t="s">
        <v>25</v>
      </c>
      <c r="K659" t="s">
        <v>32</v>
      </c>
      <c r="L659" t="s">
        <v>44</v>
      </c>
      <c r="M659">
        <v>3</v>
      </c>
      <c r="N659" s="2">
        <v>53</v>
      </c>
      <c r="O659" s="3">
        <v>3302</v>
      </c>
      <c r="P659">
        <v>0</v>
      </c>
      <c r="Q659">
        <v>5</v>
      </c>
      <c r="R659" t="s">
        <v>28</v>
      </c>
      <c r="S659">
        <v>1</v>
      </c>
    </row>
    <row r="660" spans="1:19" ht="16.5" x14ac:dyDescent="0.3">
      <c r="A660" t="s">
        <v>711</v>
      </c>
      <c r="B660" s="1">
        <v>45367</v>
      </c>
      <c r="C660" s="1">
        <v>45369</v>
      </c>
      <c r="D660">
        <v>2024</v>
      </c>
      <c r="E660" t="s">
        <v>20</v>
      </c>
      <c r="F660" t="s">
        <v>605</v>
      </c>
      <c r="G660" t="s">
        <v>102</v>
      </c>
      <c r="H660" t="s">
        <v>52</v>
      </c>
      <c r="I660" t="s">
        <v>40</v>
      </c>
      <c r="J660" t="s">
        <v>25</v>
      </c>
      <c r="K660" t="s">
        <v>36</v>
      </c>
      <c r="L660" t="s">
        <v>44</v>
      </c>
      <c r="M660">
        <v>2</v>
      </c>
      <c r="N660" s="2"/>
      <c r="O660" s="3">
        <v>1768</v>
      </c>
      <c r="P660">
        <v>0</v>
      </c>
      <c r="Q660">
        <v>5</v>
      </c>
      <c r="R660" t="s">
        <v>33</v>
      </c>
      <c r="S660">
        <v>1</v>
      </c>
    </row>
    <row r="661" spans="1:19" ht="16.5" x14ac:dyDescent="0.3">
      <c r="A661" t="s">
        <v>712</v>
      </c>
      <c r="B661" s="1">
        <v>45367</v>
      </c>
      <c r="C661" s="1">
        <v>45370</v>
      </c>
      <c r="D661">
        <v>2024</v>
      </c>
      <c r="E661" t="s">
        <v>20</v>
      </c>
      <c r="F661" t="s">
        <v>605</v>
      </c>
      <c r="G661" t="s">
        <v>102</v>
      </c>
      <c r="H661" t="s">
        <v>35</v>
      </c>
      <c r="I661" t="s">
        <v>24</v>
      </c>
      <c r="J661" t="s">
        <v>25</v>
      </c>
      <c r="K661" t="s">
        <v>32</v>
      </c>
      <c r="L661" t="s">
        <v>44</v>
      </c>
      <c r="M661">
        <v>3</v>
      </c>
      <c r="N661" s="2">
        <v>51</v>
      </c>
      <c r="O661" s="3">
        <v>3006</v>
      </c>
      <c r="P661">
        <v>0</v>
      </c>
      <c r="Q661">
        <v>3</v>
      </c>
      <c r="R661" t="s">
        <v>33</v>
      </c>
      <c r="S661">
        <v>1</v>
      </c>
    </row>
    <row r="662" spans="1:19" ht="16.5" x14ac:dyDescent="0.3">
      <c r="A662" t="s">
        <v>713</v>
      </c>
      <c r="B662" s="1">
        <v>45367</v>
      </c>
      <c r="C662" s="1">
        <v>45369</v>
      </c>
      <c r="D662">
        <v>2024</v>
      </c>
      <c r="E662" t="s">
        <v>20</v>
      </c>
      <c r="F662" t="s">
        <v>605</v>
      </c>
      <c r="G662" t="s">
        <v>102</v>
      </c>
      <c r="H662" t="s">
        <v>39</v>
      </c>
      <c r="I662" t="s">
        <v>24</v>
      </c>
      <c r="J662" t="s">
        <v>25</v>
      </c>
      <c r="K662" t="s">
        <v>41</v>
      </c>
      <c r="L662" t="s">
        <v>27</v>
      </c>
      <c r="M662">
        <v>2</v>
      </c>
      <c r="N662" s="2">
        <v>30</v>
      </c>
      <c r="O662" s="3">
        <v>1930</v>
      </c>
      <c r="P662">
        <v>0</v>
      </c>
      <c r="Q662">
        <v>5</v>
      </c>
      <c r="R662" t="s">
        <v>33</v>
      </c>
      <c r="S662">
        <v>1</v>
      </c>
    </row>
    <row r="663" spans="1:19" ht="16.5" x14ac:dyDescent="0.3">
      <c r="A663" t="s">
        <v>714</v>
      </c>
      <c r="B663" s="1">
        <v>45367</v>
      </c>
      <c r="C663" s="1">
        <v>45368</v>
      </c>
      <c r="D663">
        <v>2024</v>
      </c>
      <c r="E663" t="s">
        <v>20</v>
      </c>
      <c r="F663" t="s">
        <v>605</v>
      </c>
      <c r="G663" t="s">
        <v>102</v>
      </c>
      <c r="H663" t="s">
        <v>50</v>
      </c>
      <c r="I663" t="s">
        <v>40</v>
      </c>
      <c r="J663" t="s">
        <v>43</v>
      </c>
      <c r="K663" t="s">
        <v>26</v>
      </c>
      <c r="L663" t="s">
        <v>27</v>
      </c>
      <c r="M663">
        <v>1</v>
      </c>
      <c r="N663" s="2"/>
      <c r="O663" s="3">
        <v>1672</v>
      </c>
      <c r="P663">
        <v>0</v>
      </c>
      <c r="Q663">
        <v>4</v>
      </c>
      <c r="R663" t="s">
        <v>28</v>
      </c>
      <c r="S663">
        <v>1</v>
      </c>
    </row>
    <row r="664" spans="1:19" ht="16.5" x14ac:dyDescent="0.3">
      <c r="A664" t="s">
        <v>715</v>
      </c>
      <c r="B664" s="1">
        <v>45368</v>
      </c>
      <c r="C664" s="1">
        <v>45369</v>
      </c>
      <c r="D664">
        <v>2024</v>
      </c>
      <c r="E664" t="s">
        <v>20</v>
      </c>
      <c r="F664" t="s">
        <v>605</v>
      </c>
      <c r="G664" t="s">
        <v>112</v>
      </c>
      <c r="H664" t="s">
        <v>30</v>
      </c>
      <c r="I664" t="s">
        <v>31</v>
      </c>
      <c r="J664" t="s">
        <v>43</v>
      </c>
      <c r="K664" t="s">
        <v>53</v>
      </c>
      <c r="L664" t="s">
        <v>27</v>
      </c>
      <c r="M664">
        <v>1</v>
      </c>
      <c r="N664" s="2"/>
      <c r="O664" s="3">
        <v>1727</v>
      </c>
      <c r="P664">
        <v>0</v>
      </c>
      <c r="Q664">
        <v>4</v>
      </c>
      <c r="R664" t="s">
        <v>33</v>
      </c>
      <c r="S664">
        <v>1</v>
      </c>
    </row>
    <row r="665" spans="1:19" ht="16.5" x14ac:dyDescent="0.3">
      <c r="A665" t="s">
        <v>716</v>
      </c>
      <c r="B665" s="1">
        <v>45368</v>
      </c>
      <c r="C665" s="1">
        <v>45370</v>
      </c>
      <c r="D665">
        <v>2024</v>
      </c>
      <c r="E665" t="s">
        <v>20</v>
      </c>
      <c r="F665" t="s">
        <v>605</v>
      </c>
      <c r="G665" t="s">
        <v>112</v>
      </c>
      <c r="H665" t="s">
        <v>23</v>
      </c>
      <c r="I665" t="s">
        <v>40</v>
      </c>
      <c r="J665" t="s">
        <v>43</v>
      </c>
      <c r="K665" t="s">
        <v>26</v>
      </c>
      <c r="L665" t="s">
        <v>27</v>
      </c>
      <c r="M665">
        <v>2</v>
      </c>
      <c r="N665" s="2"/>
      <c r="O665" s="3">
        <v>1977</v>
      </c>
      <c r="P665">
        <v>0</v>
      </c>
      <c r="Q665">
        <v>3</v>
      </c>
      <c r="R665" t="s">
        <v>33</v>
      </c>
      <c r="S665">
        <v>1</v>
      </c>
    </row>
    <row r="666" spans="1:19" ht="16.5" x14ac:dyDescent="0.3">
      <c r="A666" t="s">
        <v>717</v>
      </c>
      <c r="B666" s="1">
        <v>45368</v>
      </c>
      <c r="C666" s="1">
        <v>45370</v>
      </c>
      <c r="D666">
        <v>2024</v>
      </c>
      <c r="E666" t="s">
        <v>20</v>
      </c>
      <c r="F666" t="s">
        <v>605</v>
      </c>
      <c r="G666" t="s">
        <v>112</v>
      </c>
      <c r="H666" t="s">
        <v>35</v>
      </c>
      <c r="I666" t="s">
        <v>24</v>
      </c>
      <c r="J666" t="s">
        <v>25</v>
      </c>
      <c r="K666" t="s">
        <v>32</v>
      </c>
      <c r="L666" t="s">
        <v>27</v>
      </c>
      <c r="M666">
        <v>2</v>
      </c>
      <c r="N666" s="2">
        <v>24</v>
      </c>
      <c r="O666" s="3">
        <v>3083</v>
      </c>
      <c r="P666">
        <v>0</v>
      </c>
      <c r="Q666">
        <v>4</v>
      </c>
      <c r="R666" t="s">
        <v>59</v>
      </c>
      <c r="S666">
        <v>1</v>
      </c>
    </row>
    <row r="667" spans="1:19" ht="16.5" x14ac:dyDescent="0.3">
      <c r="A667" t="s">
        <v>718</v>
      </c>
      <c r="B667" s="1">
        <v>45368</v>
      </c>
      <c r="C667" s="1">
        <v>45372</v>
      </c>
      <c r="D667">
        <v>2024</v>
      </c>
      <c r="E667" t="s">
        <v>20</v>
      </c>
      <c r="F667" t="s">
        <v>605</v>
      </c>
      <c r="G667" t="s">
        <v>112</v>
      </c>
      <c r="H667" t="s">
        <v>23</v>
      </c>
      <c r="I667" t="s">
        <v>24</v>
      </c>
      <c r="J667" t="s">
        <v>43</v>
      </c>
      <c r="K667" t="s">
        <v>53</v>
      </c>
      <c r="L667" t="s">
        <v>37</v>
      </c>
      <c r="M667">
        <v>4</v>
      </c>
      <c r="N667" s="2">
        <v>70</v>
      </c>
      <c r="O667" s="3">
        <v>4135</v>
      </c>
      <c r="P667">
        <v>0</v>
      </c>
      <c r="Q667">
        <v>3</v>
      </c>
      <c r="R667" t="s">
        <v>33</v>
      </c>
      <c r="S667">
        <v>1</v>
      </c>
    </row>
    <row r="668" spans="1:19" ht="16.5" x14ac:dyDescent="0.3">
      <c r="A668" t="s">
        <v>719</v>
      </c>
      <c r="B668" s="1">
        <v>45368</v>
      </c>
      <c r="C668" s="1">
        <v>45374</v>
      </c>
      <c r="D668">
        <v>2024</v>
      </c>
      <c r="E668" t="s">
        <v>20</v>
      </c>
      <c r="F668" t="s">
        <v>605</v>
      </c>
      <c r="G668" t="s">
        <v>112</v>
      </c>
      <c r="H668" t="s">
        <v>23</v>
      </c>
      <c r="I668" t="s">
        <v>40</v>
      </c>
      <c r="J668" t="s">
        <v>25</v>
      </c>
      <c r="K668" t="s">
        <v>26</v>
      </c>
      <c r="L668" t="s">
        <v>27</v>
      </c>
      <c r="M668">
        <v>6</v>
      </c>
      <c r="N668" s="2"/>
      <c r="O668" s="3">
        <v>5873</v>
      </c>
      <c r="P668">
        <v>0</v>
      </c>
      <c r="Q668">
        <v>5</v>
      </c>
      <c r="R668" t="s">
        <v>28</v>
      </c>
      <c r="S668">
        <v>1</v>
      </c>
    </row>
    <row r="669" spans="1:19" ht="16.5" x14ac:dyDescent="0.3">
      <c r="A669" t="s">
        <v>720</v>
      </c>
      <c r="B669" s="1">
        <v>45369</v>
      </c>
      <c r="C669" s="1">
        <v>45372</v>
      </c>
      <c r="D669">
        <v>2024</v>
      </c>
      <c r="E669" t="s">
        <v>20</v>
      </c>
      <c r="F669" t="s">
        <v>605</v>
      </c>
      <c r="G669" t="s">
        <v>22</v>
      </c>
      <c r="H669" t="s">
        <v>35</v>
      </c>
      <c r="I669" t="s">
        <v>24</v>
      </c>
      <c r="J669" t="s">
        <v>25</v>
      </c>
      <c r="K669" t="s">
        <v>36</v>
      </c>
      <c r="L669" t="s">
        <v>44</v>
      </c>
      <c r="M669">
        <v>3</v>
      </c>
      <c r="N669" s="2">
        <v>93</v>
      </c>
      <c r="O669" s="3">
        <v>2781</v>
      </c>
      <c r="P669">
        <v>0</v>
      </c>
      <c r="Q669">
        <v>3</v>
      </c>
      <c r="R669" t="s">
        <v>33</v>
      </c>
      <c r="S669">
        <v>1</v>
      </c>
    </row>
    <row r="670" spans="1:19" ht="16.5" x14ac:dyDescent="0.3">
      <c r="A670" t="s">
        <v>721</v>
      </c>
      <c r="B670" s="1">
        <v>45369</v>
      </c>
      <c r="C670" s="1">
        <v>45373</v>
      </c>
      <c r="D670">
        <v>2024</v>
      </c>
      <c r="E670" t="s">
        <v>20</v>
      </c>
      <c r="F670" t="s">
        <v>605</v>
      </c>
      <c r="G670" t="s">
        <v>22</v>
      </c>
      <c r="H670" t="s">
        <v>23</v>
      </c>
      <c r="I670" t="s">
        <v>24</v>
      </c>
      <c r="J670" t="s">
        <v>25</v>
      </c>
      <c r="K670" t="s">
        <v>36</v>
      </c>
      <c r="L670" t="s">
        <v>27</v>
      </c>
      <c r="M670">
        <v>4</v>
      </c>
      <c r="N670" s="2">
        <v>15</v>
      </c>
      <c r="O670" s="3">
        <v>2543</v>
      </c>
      <c r="P670">
        <v>0</v>
      </c>
      <c r="Q670">
        <v>4</v>
      </c>
      <c r="R670" t="s">
        <v>28</v>
      </c>
      <c r="S670">
        <v>1</v>
      </c>
    </row>
    <row r="671" spans="1:19" ht="16.5" x14ac:dyDescent="0.3">
      <c r="A671" t="s">
        <v>722</v>
      </c>
      <c r="B671" s="1">
        <v>45369</v>
      </c>
      <c r="C671" s="1">
        <v>45377</v>
      </c>
      <c r="D671">
        <v>2024</v>
      </c>
      <c r="E671" t="s">
        <v>20</v>
      </c>
      <c r="F671" t="s">
        <v>605</v>
      </c>
      <c r="G671" t="s">
        <v>22</v>
      </c>
      <c r="H671" t="s">
        <v>23</v>
      </c>
      <c r="I671" t="s">
        <v>31</v>
      </c>
      <c r="J671" t="s">
        <v>43</v>
      </c>
      <c r="K671" t="s">
        <v>32</v>
      </c>
      <c r="L671" t="s">
        <v>44</v>
      </c>
      <c r="M671">
        <v>8</v>
      </c>
      <c r="N671" s="2"/>
      <c r="O671" s="3">
        <v>5306</v>
      </c>
      <c r="P671">
        <v>0</v>
      </c>
      <c r="Q671">
        <v>5</v>
      </c>
      <c r="R671" t="s">
        <v>28</v>
      </c>
      <c r="S671">
        <v>1</v>
      </c>
    </row>
    <row r="672" spans="1:19" ht="16.5" x14ac:dyDescent="0.3">
      <c r="A672" t="s">
        <v>723</v>
      </c>
      <c r="B672" s="1">
        <v>45369</v>
      </c>
      <c r="C672" s="1">
        <v>45373</v>
      </c>
      <c r="D672">
        <v>2024</v>
      </c>
      <c r="E672" t="s">
        <v>20</v>
      </c>
      <c r="F672" t="s">
        <v>605</v>
      </c>
      <c r="G672" t="s">
        <v>22</v>
      </c>
      <c r="H672" t="s">
        <v>50</v>
      </c>
      <c r="I672" t="s">
        <v>40</v>
      </c>
      <c r="J672" t="s">
        <v>43</v>
      </c>
      <c r="K672" t="s">
        <v>53</v>
      </c>
      <c r="L672" t="s">
        <v>27</v>
      </c>
      <c r="M672">
        <v>4</v>
      </c>
      <c r="N672" s="2"/>
      <c r="O672" s="3">
        <v>6251</v>
      </c>
      <c r="P672">
        <v>0</v>
      </c>
      <c r="Q672">
        <v>4</v>
      </c>
      <c r="R672" t="s">
        <v>28</v>
      </c>
      <c r="S672">
        <v>1</v>
      </c>
    </row>
    <row r="673" spans="1:19" ht="16.5" x14ac:dyDescent="0.3">
      <c r="A673" t="s">
        <v>724</v>
      </c>
      <c r="B673" s="1">
        <v>45369</v>
      </c>
      <c r="C673" s="1">
        <v>45372</v>
      </c>
      <c r="D673">
        <v>2024</v>
      </c>
      <c r="E673" t="s">
        <v>20</v>
      </c>
      <c r="F673" t="s">
        <v>605</v>
      </c>
      <c r="G673" t="s">
        <v>22</v>
      </c>
      <c r="H673" t="s">
        <v>30</v>
      </c>
      <c r="I673" t="s">
        <v>24</v>
      </c>
      <c r="J673" t="s">
        <v>25</v>
      </c>
      <c r="K673" t="s">
        <v>53</v>
      </c>
      <c r="L673" t="s">
        <v>27</v>
      </c>
      <c r="M673">
        <v>3</v>
      </c>
      <c r="N673" s="2">
        <v>53</v>
      </c>
      <c r="O673" s="3">
        <v>3529</v>
      </c>
      <c r="P673">
        <v>0</v>
      </c>
      <c r="Q673">
        <v>4</v>
      </c>
      <c r="R673" t="s">
        <v>59</v>
      </c>
      <c r="S673">
        <v>1</v>
      </c>
    </row>
    <row r="674" spans="1:19" ht="16.5" x14ac:dyDescent="0.3">
      <c r="A674" t="s">
        <v>725</v>
      </c>
      <c r="B674" s="1">
        <v>45369</v>
      </c>
      <c r="C674" s="1">
        <v>45370</v>
      </c>
      <c r="D674">
        <v>2024</v>
      </c>
      <c r="E674" t="s">
        <v>20</v>
      </c>
      <c r="F674" t="s">
        <v>605</v>
      </c>
      <c r="G674" t="s">
        <v>22</v>
      </c>
      <c r="H674" t="s">
        <v>39</v>
      </c>
      <c r="I674" t="s">
        <v>24</v>
      </c>
      <c r="J674" t="s">
        <v>25</v>
      </c>
      <c r="K674" t="s">
        <v>41</v>
      </c>
      <c r="L674" t="s">
        <v>44</v>
      </c>
      <c r="M674">
        <v>1</v>
      </c>
      <c r="N674" s="2">
        <v>22</v>
      </c>
      <c r="O674" s="3">
        <v>1118</v>
      </c>
      <c r="P674">
        <v>0</v>
      </c>
      <c r="Q674">
        <v>5</v>
      </c>
      <c r="R674" t="s">
        <v>28</v>
      </c>
      <c r="S674">
        <v>1</v>
      </c>
    </row>
    <row r="675" spans="1:19" ht="16.5" x14ac:dyDescent="0.3">
      <c r="A675" t="s">
        <v>726</v>
      </c>
      <c r="B675" s="1">
        <v>45370</v>
      </c>
      <c r="C675" s="1">
        <v>45371</v>
      </c>
      <c r="D675">
        <v>2024</v>
      </c>
      <c r="E675" t="s">
        <v>20</v>
      </c>
      <c r="F675" t="s">
        <v>605</v>
      </c>
      <c r="G675" t="s">
        <v>56</v>
      </c>
      <c r="H675" t="s">
        <v>39</v>
      </c>
      <c r="I675" t="s">
        <v>24</v>
      </c>
      <c r="J675" t="s">
        <v>25</v>
      </c>
      <c r="K675" t="s">
        <v>41</v>
      </c>
      <c r="L675" t="s">
        <v>27</v>
      </c>
      <c r="M675">
        <v>1</v>
      </c>
      <c r="N675" s="2">
        <v>71</v>
      </c>
      <c r="O675" s="3">
        <v>1317</v>
      </c>
      <c r="P675">
        <v>0</v>
      </c>
      <c r="Q675">
        <v>5</v>
      </c>
      <c r="R675" t="s">
        <v>28</v>
      </c>
      <c r="S675">
        <v>1</v>
      </c>
    </row>
    <row r="676" spans="1:19" ht="16.5" x14ac:dyDescent="0.3">
      <c r="A676" t="s">
        <v>727</v>
      </c>
      <c r="B676" s="1">
        <v>45370</v>
      </c>
      <c r="C676" s="1">
        <v>45371</v>
      </c>
      <c r="D676">
        <v>2024</v>
      </c>
      <c r="E676" t="s">
        <v>20</v>
      </c>
      <c r="F676" t="s">
        <v>605</v>
      </c>
      <c r="G676" t="s">
        <v>56</v>
      </c>
      <c r="H676" t="s">
        <v>52</v>
      </c>
      <c r="I676" t="s">
        <v>40</v>
      </c>
      <c r="J676" t="s">
        <v>43</v>
      </c>
      <c r="K676" t="s">
        <v>32</v>
      </c>
      <c r="L676" t="s">
        <v>27</v>
      </c>
      <c r="M676">
        <v>1</v>
      </c>
      <c r="N676" s="2"/>
      <c r="O676" s="3">
        <v>2145</v>
      </c>
      <c r="P676">
        <v>1</v>
      </c>
      <c r="Q676">
        <v>4</v>
      </c>
      <c r="R676" t="s">
        <v>28</v>
      </c>
      <c r="S676">
        <v>1</v>
      </c>
    </row>
    <row r="677" spans="1:19" ht="16.5" x14ac:dyDescent="0.3">
      <c r="A677" t="s">
        <v>728</v>
      </c>
      <c r="B677" s="1">
        <v>45370</v>
      </c>
      <c r="C677" s="1">
        <v>45371</v>
      </c>
      <c r="D677">
        <v>2024</v>
      </c>
      <c r="E677" t="s">
        <v>20</v>
      </c>
      <c r="F677" t="s">
        <v>605</v>
      </c>
      <c r="G677" t="s">
        <v>56</v>
      </c>
      <c r="H677" t="s">
        <v>35</v>
      </c>
      <c r="I677" t="s">
        <v>24</v>
      </c>
      <c r="J677" t="s">
        <v>25</v>
      </c>
      <c r="K677" t="s">
        <v>32</v>
      </c>
      <c r="L677" t="s">
        <v>27</v>
      </c>
      <c r="M677">
        <v>1</v>
      </c>
      <c r="N677" s="2">
        <v>44</v>
      </c>
      <c r="O677" s="3">
        <v>1822</v>
      </c>
      <c r="P677">
        <v>0</v>
      </c>
      <c r="Q677">
        <v>3</v>
      </c>
      <c r="R677" t="s">
        <v>33</v>
      </c>
      <c r="S677">
        <v>1</v>
      </c>
    </row>
    <row r="678" spans="1:19" ht="16.5" x14ac:dyDescent="0.3">
      <c r="A678" t="s">
        <v>729</v>
      </c>
      <c r="B678" s="1">
        <v>45370</v>
      </c>
      <c r="C678" s="1">
        <v>45381</v>
      </c>
      <c r="D678">
        <v>2024</v>
      </c>
      <c r="E678" t="s">
        <v>20</v>
      </c>
      <c r="F678" t="s">
        <v>605</v>
      </c>
      <c r="G678" t="s">
        <v>56</v>
      </c>
      <c r="H678" t="s">
        <v>23</v>
      </c>
      <c r="I678" t="s">
        <v>24</v>
      </c>
      <c r="J678" t="s">
        <v>25</v>
      </c>
      <c r="K678" t="s">
        <v>26</v>
      </c>
      <c r="L678" t="s">
        <v>27</v>
      </c>
      <c r="M678">
        <v>11</v>
      </c>
      <c r="N678" s="2">
        <v>25</v>
      </c>
      <c r="O678" s="3">
        <v>9100</v>
      </c>
      <c r="P678">
        <v>0</v>
      </c>
      <c r="Q678">
        <v>5</v>
      </c>
      <c r="R678" t="s">
        <v>33</v>
      </c>
      <c r="S678">
        <v>1</v>
      </c>
    </row>
    <row r="679" spans="1:19" ht="16.5" x14ac:dyDescent="0.3">
      <c r="A679" t="s">
        <v>730</v>
      </c>
      <c r="B679" s="1">
        <v>45370</v>
      </c>
      <c r="C679" s="1">
        <v>45373</v>
      </c>
      <c r="D679">
        <v>2024</v>
      </c>
      <c r="E679" t="s">
        <v>20</v>
      </c>
      <c r="F679" t="s">
        <v>605</v>
      </c>
      <c r="G679" t="s">
        <v>56</v>
      </c>
      <c r="H679" t="s">
        <v>35</v>
      </c>
      <c r="I679" t="s">
        <v>24</v>
      </c>
      <c r="J679" t="s">
        <v>25</v>
      </c>
      <c r="K679" t="s">
        <v>32</v>
      </c>
      <c r="L679" t="s">
        <v>44</v>
      </c>
      <c r="M679">
        <v>3</v>
      </c>
      <c r="N679" s="2">
        <v>61</v>
      </c>
      <c r="O679" s="3">
        <v>2986</v>
      </c>
      <c r="P679">
        <v>0</v>
      </c>
      <c r="Q679">
        <v>3</v>
      </c>
      <c r="R679" t="s">
        <v>28</v>
      </c>
      <c r="S679">
        <v>1</v>
      </c>
    </row>
    <row r="680" spans="1:19" ht="16.5" x14ac:dyDescent="0.3">
      <c r="A680" t="s">
        <v>731</v>
      </c>
      <c r="B680" s="1">
        <v>45370</v>
      </c>
      <c r="C680" s="1">
        <v>45374</v>
      </c>
      <c r="D680">
        <v>2024</v>
      </c>
      <c r="E680" t="s">
        <v>20</v>
      </c>
      <c r="F680" t="s">
        <v>605</v>
      </c>
      <c r="G680" t="s">
        <v>56</v>
      </c>
      <c r="H680" t="s">
        <v>52</v>
      </c>
      <c r="I680" t="s">
        <v>40</v>
      </c>
      <c r="J680" t="s">
        <v>43</v>
      </c>
      <c r="K680" t="s">
        <v>32</v>
      </c>
      <c r="L680" t="s">
        <v>44</v>
      </c>
      <c r="M680">
        <v>4</v>
      </c>
      <c r="N680" s="2"/>
      <c r="O680" s="3">
        <v>5201</v>
      </c>
      <c r="P680">
        <v>0</v>
      </c>
      <c r="Q680">
        <v>5</v>
      </c>
      <c r="R680" t="s">
        <v>28</v>
      </c>
      <c r="S680">
        <v>1</v>
      </c>
    </row>
    <row r="681" spans="1:19" ht="16.5" x14ac:dyDescent="0.3">
      <c r="A681" t="s">
        <v>732</v>
      </c>
      <c r="B681" s="1">
        <v>45370</v>
      </c>
      <c r="C681" s="1">
        <v>45377</v>
      </c>
      <c r="D681">
        <v>2024</v>
      </c>
      <c r="E681" t="s">
        <v>20</v>
      </c>
      <c r="F681" t="s">
        <v>605</v>
      </c>
      <c r="G681" t="s">
        <v>56</v>
      </c>
      <c r="H681" t="s">
        <v>39</v>
      </c>
      <c r="I681" t="s">
        <v>24</v>
      </c>
      <c r="J681" t="s">
        <v>25</v>
      </c>
      <c r="K681" t="s">
        <v>41</v>
      </c>
      <c r="L681" t="s">
        <v>27</v>
      </c>
      <c r="M681">
        <v>7</v>
      </c>
      <c r="N681" s="2">
        <v>37</v>
      </c>
      <c r="O681" s="3">
        <v>4135</v>
      </c>
      <c r="P681">
        <v>0</v>
      </c>
      <c r="Q681">
        <v>5</v>
      </c>
      <c r="R681" t="s">
        <v>33</v>
      </c>
      <c r="S681">
        <v>1</v>
      </c>
    </row>
    <row r="682" spans="1:19" ht="16.5" x14ac:dyDescent="0.3">
      <c r="A682" t="s">
        <v>733</v>
      </c>
      <c r="B682" s="1">
        <v>45370</v>
      </c>
      <c r="C682" s="1">
        <v>45377</v>
      </c>
      <c r="D682">
        <v>2024</v>
      </c>
      <c r="E682" t="s">
        <v>20</v>
      </c>
      <c r="F682" t="s">
        <v>605</v>
      </c>
      <c r="G682" t="s">
        <v>56</v>
      </c>
      <c r="H682" t="s">
        <v>50</v>
      </c>
      <c r="I682" t="s">
        <v>24</v>
      </c>
      <c r="J682" t="s">
        <v>25</v>
      </c>
      <c r="K682" t="s">
        <v>26</v>
      </c>
      <c r="L682" t="s">
        <v>27</v>
      </c>
      <c r="M682">
        <v>7</v>
      </c>
      <c r="N682" s="2">
        <v>14</v>
      </c>
      <c r="O682" s="3">
        <v>6706</v>
      </c>
      <c r="P682">
        <v>0</v>
      </c>
      <c r="Q682">
        <v>5</v>
      </c>
      <c r="R682" t="s">
        <v>33</v>
      </c>
      <c r="S682">
        <v>1</v>
      </c>
    </row>
    <row r="683" spans="1:19" ht="16.5" x14ac:dyDescent="0.3">
      <c r="A683" t="s">
        <v>734</v>
      </c>
      <c r="B683" s="1">
        <v>45371</v>
      </c>
      <c r="C683" s="1">
        <v>45373</v>
      </c>
      <c r="D683">
        <v>2024</v>
      </c>
      <c r="E683" t="s">
        <v>20</v>
      </c>
      <c r="F683" t="s">
        <v>605</v>
      </c>
      <c r="G683" t="s">
        <v>70</v>
      </c>
      <c r="H683" t="s">
        <v>39</v>
      </c>
      <c r="I683" t="s">
        <v>31</v>
      </c>
      <c r="J683" t="s">
        <v>43</v>
      </c>
      <c r="K683" t="s">
        <v>41</v>
      </c>
      <c r="L683" t="s">
        <v>44</v>
      </c>
      <c r="M683">
        <v>2</v>
      </c>
      <c r="N683" s="2"/>
      <c r="O683" s="3">
        <v>1629</v>
      </c>
      <c r="P683">
        <v>1</v>
      </c>
      <c r="Q683">
        <v>4</v>
      </c>
      <c r="R683" t="s">
        <v>33</v>
      </c>
      <c r="S683">
        <v>1</v>
      </c>
    </row>
    <row r="684" spans="1:19" ht="16.5" x14ac:dyDescent="0.3">
      <c r="A684" t="s">
        <v>735</v>
      </c>
      <c r="B684" s="1">
        <v>45371</v>
      </c>
      <c r="C684" s="1">
        <v>45375</v>
      </c>
      <c r="D684">
        <v>2024</v>
      </c>
      <c r="E684" t="s">
        <v>20</v>
      </c>
      <c r="F684" t="s">
        <v>605</v>
      </c>
      <c r="G684" t="s">
        <v>70</v>
      </c>
      <c r="H684" t="s">
        <v>23</v>
      </c>
      <c r="I684" t="s">
        <v>24</v>
      </c>
      <c r="J684" t="s">
        <v>43</v>
      </c>
      <c r="K684" t="s">
        <v>36</v>
      </c>
      <c r="L684" t="s">
        <v>27</v>
      </c>
      <c r="M684">
        <v>4</v>
      </c>
      <c r="N684" s="2">
        <v>61</v>
      </c>
      <c r="O684" s="3">
        <v>3602</v>
      </c>
      <c r="P684">
        <v>0</v>
      </c>
      <c r="Q684">
        <v>4</v>
      </c>
      <c r="R684" t="s">
        <v>33</v>
      </c>
      <c r="S684">
        <v>1</v>
      </c>
    </row>
    <row r="685" spans="1:19" ht="16.5" x14ac:dyDescent="0.3">
      <c r="A685" t="s">
        <v>736</v>
      </c>
      <c r="B685" s="1">
        <v>45371</v>
      </c>
      <c r="C685" s="1">
        <v>45372</v>
      </c>
      <c r="D685">
        <v>2024</v>
      </c>
      <c r="E685" t="s">
        <v>20</v>
      </c>
      <c r="F685" t="s">
        <v>605</v>
      </c>
      <c r="G685" t="s">
        <v>70</v>
      </c>
      <c r="H685" t="s">
        <v>23</v>
      </c>
      <c r="I685" t="s">
        <v>24</v>
      </c>
      <c r="J685" t="s">
        <v>43</v>
      </c>
      <c r="K685" t="s">
        <v>53</v>
      </c>
      <c r="L685" t="s">
        <v>44</v>
      </c>
      <c r="M685">
        <v>1</v>
      </c>
      <c r="N685" s="2">
        <v>69</v>
      </c>
      <c r="O685" s="3">
        <v>1439</v>
      </c>
      <c r="P685">
        <v>1</v>
      </c>
      <c r="Q685">
        <v>4</v>
      </c>
      <c r="R685" t="s">
        <v>28</v>
      </c>
      <c r="S685">
        <v>1</v>
      </c>
    </row>
    <row r="686" spans="1:19" ht="16.5" x14ac:dyDescent="0.3">
      <c r="A686" t="s">
        <v>737</v>
      </c>
      <c r="B686" s="1">
        <v>45371</v>
      </c>
      <c r="C686" s="1">
        <v>45377</v>
      </c>
      <c r="D686">
        <v>2024</v>
      </c>
      <c r="E686" t="s">
        <v>20</v>
      </c>
      <c r="F686" t="s">
        <v>605</v>
      </c>
      <c r="G686" t="s">
        <v>70</v>
      </c>
      <c r="H686" t="s">
        <v>23</v>
      </c>
      <c r="I686" t="s">
        <v>24</v>
      </c>
      <c r="J686" t="s">
        <v>25</v>
      </c>
      <c r="K686" t="s">
        <v>32</v>
      </c>
      <c r="L686" t="s">
        <v>44</v>
      </c>
      <c r="M686">
        <v>6</v>
      </c>
      <c r="N686" s="2">
        <v>17</v>
      </c>
      <c r="O686" s="3">
        <v>5028</v>
      </c>
      <c r="P686">
        <v>0</v>
      </c>
      <c r="Q686">
        <v>5</v>
      </c>
      <c r="R686" t="s">
        <v>33</v>
      </c>
      <c r="S686">
        <v>1</v>
      </c>
    </row>
    <row r="687" spans="1:19" ht="16.5" x14ac:dyDescent="0.3">
      <c r="A687" t="s">
        <v>738</v>
      </c>
      <c r="B687" s="1">
        <v>45371</v>
      </c>
      <c r="C687" s="1">
        <v>45379</v>
      </c>
      <c r="D687">
        <v>2024</v>
      </c>
      <c r="E687" t="s">
        <v>20</v>
      </c>
      <c r="F687" t="s">
        <v>605</v>
      </c>
      <c r="G687" t="s">
        <v>70</v>
      </c>
      <c r="H687" t="s">
        <v>35</v>
      </c>
      <c r="I687" t="s">
        <v>24</v>
      </c>
      <c r="J687" t="s">
        <v>25</v>
      </c>
      <c r="K687" t="s">
        <v>32</v>
      </c>
      <c r="L687" t="s">
        <v>27</v>
      </c>
      <c r="M687">
        <v>8</v>
      </c>
      <c r="N687" s="2">
        <v>38</v>
      </c>
      <c r="O687" s="3">
        <v>6283</v>
      </c>
      <c r="P687">
        <v>0</v>
      </c>
      <c r="Q687">
        <v>4</v>
      </c>
      <c r="R687" t="s">
        <v>33</v>
      </c>
      <c r="S687">
        <v>1</v>
      </c>
    </row>
    <row r="688" spans="1:19" ht="16.5" x14ac:dyDescent="0.3">
      <c r="A688" t="s">
        <v>739</v>
      </c>
      <c r="B688" s="1">
        <v>45371</v>
      </c>
      <c r="C688" s="1">
        <v>45374</v>
      </c>
      <c r="D688">
        <v>2024</v>
      </c>
      <c r="E688" t="s">
        <v>20</v>
      </c>
      <c r="F688" t="s">
        <v>605</v>
      </c>
      <c r="G688" t="s">
        <v>70</v>
      </c>
      <c r="H688" t="s">
        <v>30</v>
      </c>
      <c r="I688" t="s">
        <v>24</v>
      </c>
      <c r="J688" t="s">
        <v>25</v>
      </c>
      <c r="K688" t="s">
        <v>26</v>
      </c>
      <c r="L688" t="s">
        <v>27</v>
      </c>
      <c r="M688">
        <v>3</v>
      </c>
      <c r="N688" s="2">
        <v>53</v>
      </c>
      <c r="O688" s="3">
        <v>3436</v>
      </c>
      <c r="P688">
        <v>0</v>
      </c>
      <c r="Q688">
        <v>4</v>
      </c>
      <c r="R688" t="s">
        <v>59</v>
      </c>
      <c r="S688">
        <v>1</v>
      </c>
    </row>
    <row r="689" spans="1:19" ht="16.5" x14ac:dyDescent="0.3">
      <c r="A689" t="s">
        <v>740</v>
      </c>
      <c r="B689" s="1">
        <v>45371</v>
      </c>
      <c r="C689" s="1">
        <v>45375</v>
      </c>
      <c r="D689">
        <v>2024</v>
      </c>
      <c r="E689" t="s">
        <v>20</v>
      </c>
      <c r="F689" t="s">
        <v>605</v>
      </c>
      <c r="G689" t="s">
        <v>70</v>
      </c>
      <c r="H689" t="s">
        <v>50</v>
      </c>
      <c r="I689" t="s">
        <v>24</v>
      </c>
      <c r="J689" t="s">
        <v>25</v>
      </c>
      <c r="K689" t="s">
        <v>53</v>
      </c>
      <c r="L689" t="s">
        <v>37</v>
      </c>
      <c r="M689">
        <v>4</v>
      </c>
      <c r="N689" s="2">
        <v>62</v>
      </c>
      <c r="O689" s="3">
        <v>2786</v>
      </c>
      <c r="P689">
        <v>0</v>
      </c>
      <c r="Q689">
        <v>4</v>
      </c>
      <c r="R689" t="s">
        <v>28</v>
      </c>
      <c r="S689">
        <v>1</v>
      </c>
    </row>
    <row r="690" spans="1:19" ht="16.5" x14ac:dyDescent="0.3">
      <c r="A690" t="s">
        <v>741</v>
      </c>
      <c r="B690" s="1">
        <v>45371</v>
      </c>
      <c r="C690" s="1">
        <v>45380</v>
      </c>
      <c r="D690">
        <v>2024</v>
      </c>
      <c r="E690" t="s">
        <v>20</v>
      </c>
      <c r="F690" t="s">
        <v>605</v>
      </c>
      <c r="G690" t="s">
        <v>70</v>
      </c>
      <c r="H690" t="s">
        <v>52</v>
      </c>
      <c r="I690" t="s">
        <v>40</v>
      </c>
      <c r="J690" t="s">
        <v>43</v>
      </c>
      <c r="K690" t="s">
        <v>26</v>
      </c>
      <c r="L690" t="s">
        <v>27</v>
      </c>
      <c r="M690">
        <v>9</v>
      </c>
      <c r="N690" s="2"/>
      <c r="O690" s="3">
        <v>10539</v>
      </c>
      <c r="P690">
        <v>0</v>
      </c>
      <c r="Q690">
        <v>4</v>
      </c>
      <c r="R690" t="s">
        <v>33</v>
      </c>
      <c r="S690">
        <v>1</v>
      </c>
    </row>
    <row r="691" spans="1:19" ht="16.5" x14ac:dyDescent="0.3">
      <c r="A691" t="s">
        <v>742</v>
      </c>
      <c r="B691" s="1">
        <v>45371</v>
      </c>
      <c r="C691" s="1">
        <v>45375</v>
      </c>
      <c r="D691">
        <v>2024</v>
      </c>
      <c r="E691" t="s">
        <v>20</v>
      </c>
      <c r="F691" t="s">
        <v>605</v>
      </c>
      <c r="G691" t="s">
        <v>70</v>
      </c>
      <c r="H691" t="s">
        <v>52</v>
      </c>
      <c r="I691" t="s">
        <v>40</v>
      </c>
      <c r="J691" t="s">
        <v>25</v>
      </c>
      <c r="K691" t="s">
        <v>53</v>
      </c>
      <c r="L691" t="s">
        <v>44</v>
      </c>
      <c r="M691">
        <v>4</v>
      </c>
      <c r="N691" s="2"/>
      <c r="O691" s="3">
        <v>4670</v>
      </c>
      <c r="P691">
        <v>1</v>
      </c>
      <c r="Q691">
        <v>2</v>
      </c>
      <c r="R691" t="s">
        <v>28</v>
      </c>
      <c r="S691">
        <v>1</v>
      </c>
    </row>
    <row r="692" spans="1:19" ht="16.5" x14ac:dyDescent="0.3">
      <c r="A692" t="s">
        <v>743</v>
      </c>
      <c r="B692" s="1">
        <v>45371</v>
      </c>
      <c r="C692" s="1">
        <v>45376</v>
      </c>
      <c r="D692">
        <v>2024</v>
      </c>
      <c r="E692" t="s">
        <v>20</v>
      </c>
      <c r="F692" t="s">
        <v>605</v>
      </c>
      <c r="G692" t="s">
        <v>70</v>
      </c>
      <c r="H692" t="s">
        <v>52</v>
      </c>
      <c r="I692" t="s">
        <v>40</v>
      </c>
      <c r="J692" t="s">
        <v>25</v>
      </c>
      <c r="K692" t="s">
        <v>53</v>
      </c>
      <c r="L692" t="s">
        <v>44</v>
      </c>
      <c r="M692">
        <v>5</v>
      </c>
      <c r="N692" s="2"/>
      <c r="O692" s="3">
        <v>4788</v>
      </c>
      <c r="P692">
        <v>0</v>
      </c>
      <c r="Q692">
        <v>4</v>
      </c>
      <c r="R692" t="s">
        <v>33</v>
      </c>
      <c r="S692">
        <v>1</v>
      </c>
    </row>
    <row r="693" spans="1:19" ht="16.5" x14ac:dyDescent="0.3">
      <c r="A693" t="s">
        <v>744</v>
      </c>
      <c r="B693" s="1">
        <v>45371</v>
      </c>
      <c r="C693" s="1">
        <v>45377</v>
      </c>
      <c r="D693">
        <v>2024</v>
      </c>
      <c r="E693" t="s">
        <v>20</v>
      </c>
      <c r="F693" t="s">
        <v>605</v>
      </c>
      <c r="G693" t="s">
        <v>70</v>
      </c>
      <c r="H693" t="s">
        <v>23</v>
      </c>
      <c r="I693" t="s">
        <v>24</v>
      </c>
      <c r="J693" t="s">
        <v>43</v>
      </c>
      <c r="K693" t="s">
        <v>32</v>
      </c>
      <c r="L693" t="s">
        <v>44</v>
      </c>
      <c r="M693">
        <v>6</v>
      </c>
      <c r="N693" s="2">
        <v>37</v>
      </c>
      <c r="O693" s="3">
        <v>5962</v>
      </c>
      <c r="P693">
        <v>0</v>
      </c>
      <c r="Q693">
        <v>4</v>
      </c>
      <c r="R693" t="s">
        <v>33</v>
      </c>
      <c r="S693">
        <v>1</v>
      </c>
    </row>
    <row r="694" spans="1:19" ht="16.5" x14ac:dyDescent="0.3">
      <c r="A694" t="s">
        <v>745</v>
      </c>
      <c r="B694" s="1">
        <v>45371</v>
      </c>
      <c r="C694" s="1">
        <v>45378</v>
      </c>
      <c r="D694">
        <v>2024</v>
      </c>
      <c r="E694" t="s">
        <v>20</v>
      </c>
      <c r="F694" t="s">
        <v>605</v>
      </c>
      <c r="G694" t="s">
        <v>70</v>
      </c>
      <c r="H694" t="s">
        <v>35</v>
      </c>
      <c r="I694" t="s">
        <v>24</v>
      </c>
      <c r="J694" t="s">
        <v>25</v>
      </c>
      <c r="K694" t="s">
        <v>32</v>
      </c>
      <c r="L694" t="s">
        <v>44</v>
      </c>
      <c r="M694">
        <v>7</v>
      </c>
      <c r="N694" s="2">
        <v>99</v>
      </c>
      <c r="O694" s="3">
        <v>4589</v>
      </c>
      <c r="P694">
        <v>0</v>
      </c>
      <c r="Q694">
        <v>4</v>
      </c>
      <c r="R694" t="s">
        <v>28</v>
      </c>
      <c r="S694">
        <v>1</v>
      </c>
    </row>
    <row r="695" spans="1:19" ht="16.5" x14ac:dyDescent="0.3">
      <c r="A695" t="s">
        <v>746</v>
      </c>
      <c r="B695" s="1">
        <v>45372</v>
      </c>
      <c r="C695" s="1">
        <v>45376</v>
      </c>
      <c r="D695">
        <v>2024</v>
      </c>
      <c r="E695" t="s">
        <v>20</v>
      </c>
      <c r="F695" t="s">
        <v>605</v>
      </c>
      <c r="G695" t="s">
        <v>78</v>
      </c>
      <c r="H695" t="s">
        <v>35</v>
      </c>
      <c r="I695" t="s">
        <v>24</v>
      </c>
      <c r="J695" t="s">
        <v>25</v>
      </c>
      <c r="K695" t="s">
        <v>32</v>
      </c>
      <c r="L695" t="s">
        <v>37</v>
      </c>
      <c r="M695">
        <v>4</v>
      </c>
      <c r="N695" s="2">
        <v>31</v>
      </c>
      <c r="O695" s="3">
        <v>3890</v>
      </c>
      <c r="P695">
        <v>0</v>
      </c>
      <c r="Q695">
        <v>3</v>
      </c>
      <c r="R695" t="s">
        <v>33</v>
      </c>
      <c r="S695">
        <v>1</v>
      </c>
    </row>
    <row r="696" spans="1:19" ht="16.5" x14ac:dyDescent="0.3">
      <c r="A696" t="s">
        <v>747</v>
      </c>
      <c r="B696" s="1">
        <v>45372</v>
      </c>
      <c r="C696" s="1">
        <v>45376</v>
      </c>
      <c r="D696">
        <v>2024</v>
      </c>
      <c r="E696" t="s">
        <v>20</v>
      </c>
      <c r="F696" t="s">
        <v>605</v>
      </c>
      <c r="G696" t="s">
        <v>78</v>
      </c>
      <c r="H696" t="s">
        <v>30</v>
      </c>
      <c r="I696" t="s">
        <v>40</v>
      </c>
      <c r="J696" t="s">
        <v>43</v>
      </c>
      <c r="K696" t="s">
        <v>53</v>
      </c>
      <c r="L696" t="s">
        <v>27</v>
      </c>
      <c r="M696">
        <v>4</v>
      </c>
      <c r="N696" s="2"/>
      <c r="O696" s="3">
        <v>3762</v>
      </c>
      <c r="P696">
        <v>0</v>
      </c>
      <c r="Q696">
        <v>3</v>
      </c>
      <c r="R696" t="s">
        <v>28</v>
      </c>
      <c r="S696">
        <v>1</v>
      </c>
    </row>
    <row r="697" spans="1:19" ht="16.5" x14ac:dyDescent="0.3">
      <c r="A697" t="s">
        <v>748</v>
      </c>
      <c r="B697" s="1">
        <v>45372</v>
      </c>
      <c r="C697" s="1">
        <v>45375</v>
      </c>
      <c r="D697">
        <v>2024</v>
      </c>
      <c r="E697" t="s">
        <v>20</v>
      </c>
      <c r="F697" t="s">
        <v>605</v>
      </c>
      <c r="G697" t="s">
        <v>78</v>
      </c>
      <c r="H697" t="s">
        <v>52</v>
      </c>
      <c r="I697" t="s">
        <v>40</v>
      </c>
      <c r="J697" t="s">
        <v>43</v>
      </c>
      <c r="K697" t="s">
        <v>26</v>
      </c>
      <c r="L697" t="s">
        <v>44</v>
      </c>
      <c r="M697">
        <v>3</v>
      </c>
      <c r="N697" s="2"/>
      <c r="O697" s="3">
        <v>2845</v>
      </c>
      <c r="P697">
        <v>0</v>
      </c>
      <c r="Q697">
        <v>4</v>
      </c>
      <c r="R697" t="s">
        <v>59</v>
      </c>
      <c r="S697">
        <v>1</v>
      </c>
    </row>
    <row r="698" spans="1:19" ht="16.5" x14ac:dyDescent="0.3">
      <c r="A698" t="s">
        <v>749</v>
      </c>
      <c r="B698" s="1">
        <v>45372</v>
      </c>
      <c r="C698" s="1">
        <v>45373</v>
      </c>
      <c r="D698">
        <v>2024</v>
      </c>
      <c r="E698" t="s">
        <v>20</v>
      </c>
      <c r="F698" t="s">
        <v>605</v>
      </c>
      <c r="G698" t="s">
        <v>78</v>
      </c>
      <c r="H698" t="s">
        <v>52</v>
      </c>
      <c r="I698" t="s">
        <v>40</v>
      </c>
      <c r="J698" t="s">
        <v>43</v>
      </c>
      <c r="K698" t="s">
        <v>26</v>
      </c>
      <c r="L698" t="s">
        <v>44</v>
      </c>
      <c r="M698">
        <v>1</v>
      </c>
      <c r="N698" s="2"/>
      <c r="O698" s="3">
        <v>1686</v>
      </c>
      <c r="P698">
        <v>0</v>
      </c>
      <c r="Q698">
        <v>5</v>
      </c>
      <c r="R698" t="s">
        <v>33</v>
      </c>
      <c r="S698">
        <v>1</v>
      </c>
    </row>
    <row r="699" spans="1:19" ht="16.5" x14ac:dyDescent="0.3">
      <c r="A699" t="s">
        <v>750</v>
      </c>
      <c r="B699" s="1">
        <v>45372</v>
      </c>
      <c r="C699" s="1">
        <v>45378</v>
      </c>
      <c r="D699">
        <v>2024</v>
      </c>
      <c r="E699" t="s">
        <v>20</v>
      </c>
      <c r="F699" t="s">
        <v>605</v>
      </c>
      <c r="G699" t="s">
        <v>78</v>
      </c>
      <c r="H699" t="s">
        <v>50</v>
      </c>
      <c r="I699" t="s">
        <v>40</v>
      </c>
      <c r="J699" t="s">
        <v>25</v>
      </c>
      <c r="K699" t="s">
        <v>53</v>
      </c>
      <c r="L699" t="s">
        <v>27</v>
      </c>
      <c r="M699">
        <v>6</v>
      </c>
      <c r="N699" s="2"/>
      <c r="O699" s="3">
        <v>8908</v>
      </c>
      <c r="P699">
        <v>0</v>
      </c>
      <c r="Q699">
        <v>5</v>
      </c>
      <c r="R699" t="s">
        <v>33</v>
      </c>
      <c r="S699">
        <v>1</v>
      </c>
    </row>
    <row r="700" spans="1:19" ht="16.5" x14ac:dyDescent="0.3">
      <c r="A700" t="s">
        <v>751</v>
      </c>
      <c r="B700" s="1">
        <v>45372</v>
      </c>
      <c r="C700" s="1">
        <v>45378</v>
      </c>
      <c r="D700">
        <v>2024</v>
      </c>
      <c r="E700" t="s">
        <v>20</v>
      </c>
      <c r="F700" t="s">
        <v>605</v>
      </c>
      <c r="G700" t="s">
        <v>78</v>
      </c>
      <c r="H700" t="s">
        <v>50</v>
      </c>
      <c r="I700" t="s">
        <v>24</v>
      </c>
      <c r="J700" t="s">
        <v>43</v>
      </c>
      <c r="K700" t="s">
        <v>53</v>
      </c>
      <c r="L700" t="s">
        <v>27</v>
      </c>
      <c r="M700">
        <v>6</v>
      </c>
      <c r="N700" s="2">
        <v>19</v>
      </c>
      <c r="O700" s="3">
        <v>8314</v>
      </c>
      <c r="P700">
        <v>0</v>
      </c>
      <c r="Q700">
        <v>5</v>
      </c>
      <c r="R700" t="s">
        <v>28</v>
      </c>
      <c r="S700">
        <v>1</v>
      </c>
    </row>
    <row r="701" spans="1:19" ht="16.5" x14ac:dyDescent="0.3">
      <c r="A701" t="s">
        <v>752</v>
      </c>
      <c r="B701" s="1">
        <v>45372</v>
      </c>
      <c r="C701" s="1">
        <v>45376</v>
      </c>
      <c r="D701">
        <v>2024</v>
      </c>
      <c r="E701" t="s">
        <v>20</v>
      </c>
      <c r="F701" t="s">
        <v>605</v>
      </c>
      <c r="G701" t="s">
        <v>78</v>
      </c>
      <c r="H701" t="s">
        <v>50</v>
      </c>
      <c r="I701" t="s">
        <v>24</v>
      </c>
      <c r="J701" t="s">
        <v>43</v>
      </c>
      <c r="K701" t="s">
        <v>26</v>
      </c>
      <c r="L701" t="s">
        <v>44</v>
      </c>
      <c r="M701">
        <v>4</v>
      </c>
      <c r="N701" s="2">
        <v>77</v>
      </c>
      <c r="O701" s="3">
        <v>6390</v>
      </c>
      <c r="P701">
        <v>0</v>
      </c>
      <c r="Q701">
        <v>4</v>
      </c>
      <c r="R701" t="s">
        <v>33</v>
      </c>
      <c r="S701">
        <v>1</v>
      </c>
    </row>
    <row r="702" spans="1:19" ht="16.5" x14ac:dyDescent="0.3">
      <c r="A702" t="s">
        <v>753</v>
      </c>
      <c r="B702" s="1">
        <v>45372</v>
      </c>
      <c r="C702" s="1">
        <v>45374</v>
      </c>
      <c r="D702">
        <v>2024</v>
      </c>
      <c r="E702" t="s">
        <v>20</v>
      </c>
      <c r="F702" t="s">
        <v>605</v>
      </c>
      <c r="G702" t="s">
        <v>78</v>
      </c>
      <c r="H702" t="s">
        <v>39</v>
      </c>
      <c r="I702" t="s">
        <v>24</v>
      </c>
      <c r="J702" t="s">
        <v>25</v>
      </c>
      <c r="K702" t="s">
        <v>41</v>
      </c>
      <c r="L702" t="s">
        <v>44</v>
      </c>
      <c r="M702">
        <v>2</v>
      </c>
      <c r="N702" s="2">
        <v>53</v>
      </c>
      <c r="O702" s="3">
        <v>1877</v>
      </c>
      <c r="P702">
        <v>0</v>
      </c>
      <c r="Q702">
        <v>5</v>
      </c>
      <c r="R702" t="s">
        <v>33</v>
      </c>
      <c r="S702">
        <v>1</v>
      </c>
    </row>
    <row r="703" spans="1:19" ht="16.5" x14ac:dyDescent="0.3">
      <c r="A703" t="s">
        <v>754</v>
      </c>
      <c r="B703" s="1">
        <v>45373</v>
      </c>
      <c r="C703" s="1">
        <v>45377</v>
      </c>
      <c r="D703">
        <v>2024</v>
      </c>
      <c r="E703" t="s">
        <v>20</v>
      </c>
      <c r="F703" t="s">
        <v>605</v>
      </c>
      <c r="G703" t="s">
        <v>83</v>
      </c>
      <c r="H703" t="s">
        <v>35</v>
      </c>
      <c r="I703" t="s">
        <v>24</v>
      </c>
      <c r="J703" t="s">
        <v>25</v>
      </c>
      <c r="K703" t="s">
        <v>36</v>
      </c>
      <c r="L703" t="s">
        <v>27</v>
      </c>
      <c r="M703">
        <v>4</v>
      </c>
      <c r="N703" s="2">
        <v>32</v>
      </c>
      <c r="O703" s="3">
        <v>3565</v>
      </c>
      <c r="P703">
        <v>0</v>
      </c>
      <c r="Q703">
        <v>4</v>
      </c>
      <c r="R703" t="s">
        <v>33</v>
      </c>
      <c r="S703">
        <v>1</v>
      </c>
    </row>
    <row r="704" spans="1:19" ht="16.5" x14ac:dyDescent="0.3">
      <c r="A704" t="s">
        <v>755</v>
      </c>
      <c r="B704" s="1">
        <v>45373</v>
      </c>
      <c r="C704" s="1">
        <v>45376</v>
      </c>
      <c r="D704">
        <v>2024</v>
      </c>
      <c r="E704" t="s">
        <v>20</v>
      </c>
      <c r="F704" t="s">
        <v>605</v>
      </c>
      <c r="G704" t="s">
        <v>83</v>
      </c>
      <c r="H704" t="s">
        <v>30</v>
      </c>
      <c r="I704" t="s">
        <v>40</v>
      </c>
      <c r="J704" t="s">
        <v>43</v>
      </c>
      <c r="K704" t="s">
        <v>26</v>
      </c>
      <c r="L704" t="s">
        <v>27</v>
      </c>
      <c r="M704">
        <v>3</v>
      </c>
      <c r="N704" s="2"/>
      <c r="O704" s="3">
        <v>3277</v>
      </c>
      <c r="P704">
        <v>0</v>
      </c>
      <c r="Q704">
        <v>4</v>
      </c>
      <c r="R704" t="s">
        <v>33</v>
      </c>
      <c r="S704">
        <v>1</v>
      </c>
    </row>
    <row r="705" spans="1:19" ht="16.5" x14ac:dyDescent="0.3">
      <c r="A705" t="s">
        <v>756</v>
      </c>
      <c r="B705" s="1">
        <v>45373</v>
      </c>
      <c r="C705" s="1">
        <v>45374</v>
      </c>
      <c r="D705">
        <v>2024</v>
      </c>
      <c r="E705" t="s">
        <v>20</v>
      </c>
      <c r="F705" t="s">
        <v>605</v>
      </c>
      <c r="G705" t="s">
        <v>83</v>
      </c>
      <c r="H705" t="s">
        <v>23</v>
      </c>
      <c r="I705" t="s">
        <v>24</v>
      </c>
      <c r="J705" t="s">
        <v>25</v>
      </c>
      <c r="K705" t="s">
        <v>26</v>
      </c>
      <c r="L705" t="s">
        <v>44</v>
      </c>
      <c r="M705">
        <v>1</v>
      </c>
      <c r="N705" s="2">
        <v>67</v>
      </c>
      <c r="O705" s="3">
        <v>1626</v>
      </c>
      <c r="P705">
        <v>0</v>
      </c>
      <c r="Q705">
        <v>4</v>
      </c>
      <c r="R705" t="s">
        <v>33</v>
      </c>
      <c r="S705">
        <v>1</v>
      </c>
    </row>
    <row r="706" spans="1:19" ht="16.5" x14ac:dyDescent="0.3">
      <c r="A706" t="s">
        <v>757</v>
      </c>
      <c r="B706" s="1">
        <v>45373</v>
      </c>
      <c r="C706" s="1">
        <v>45377</v>
      </c>
      <c r="D706">
        <v>2024</v>
      </c>
      <c r="E706" t="s">
        <v>20</v>
      </c>
      <c r="F706" t="s">
        <v>605</v>
      </c>
      <c r="G706" t="s">
        <v>83</v>
      </c>
      <c r="H706" t="s">
        <v>39</v>
      </c>
      <c r="I706" t="s">
        <v>40</v>
      </c>
      <c r="J706" t="s">
        <v>43</v>
      </c>
      <c r="K706" t="s">
        <v>41</v>
      </c>
      <c r="L706" t="s">
        <v>27</v>
      </c>
      <c r="M706">
        <v>4</v>
      </c>
      <c r="N706" s="2"/>
      <c r="O706" s="3">
        <v>3277</v>
      </c>
      <c r="P706">
        <v>0</v>
      </c>
      <c r="Q706">
        <v>4</v>
      </c>
      <c r="R706" t="s">
        <v>33</v>
      </c>
      <c r="S706">
        <v>1</v>
      </c>
    </row>
    <row r="707" spans="1:19" ht="16.5" x14ac:dyDescent="0.3">
      <c r="A707" t="s">
        <v>758</v>
      </c>
      <c r="B707" s="1">
        <v>45373</v>
      </c>
      <c r="C707" s="1">
        <v>45374</v>
      </c>
      <c r="D707">
        <v>2024</v>
      </c>
      <c r="E707" t="s">
        <v>20</v>
      </c>
      <c r="F707" t="s">
        <v>605</v>
      </c>
      <c r="G707" t="s">
        <v>83</v>
      </c>
      <c r="H707" t="s">
        <v>23</v>
      </c>
      <c r="I707" t="s">
        <v>24</v>
      </c>
      <c r="J707" t="s">
        <v>25</v>
      </c>
      <c r="K707" t="s">
        <v>53</v>
      </c>
      <c r="L707" t="s">
        <v>44</v>
      </c>
      <c r="M707">
        <v>1</v>
      </c>
      <c r="N707" s="2">
        <v>91</v>
      </c>
      <c r="O707" s="3">
        <v>1503</v>
      </c>
      <c r="P707">
        <v>0</v>
      </c>
      <c r="Q707">
        <v>4</v>
      </c>
      <c r="R707" t="s">
        <v>33</v>
      </c>
      <c r="S707">
        <v>1</v>
      </c>
    </row>
    <row r="708" spans="1:19" ht="16.5" x14ac:dyDescent="0.3">
      <c r="A708" t="s">
        <v>759</v>
      </c>
      <c r="B708" s="1">
        <v>45373</v>
      </c>
      <c r="C708" s="1">
        <v>45374</v>
      </c>
      <c r="D708">
        <v>2024</v>
      </c>
      <c r="E708" t="s">
        <v>20</v>
      </c>
      <c r="F708" t="s">
        <v>605</v>
      </c>
      <c r="G708" t="s">
        <v>83</v>
      </c>
      <c r="H708" t="s">
        <v>35</v>
      </c>
      <c r="I708" t="s">
        <v>40</v>
      </c>
      <c r="J708" t="s">
        <v>25</v>
      </c>
      <c r="K708" t="s">
        <v>32</v>
      </c>
      <c r="L708" t="s">
        <v>44</v>
      </c>
      <c r="M708">
        <v>1</v>
      </c>
      <c r="N708" s="2"/>
      <c r="O708" s="3">
        <v>1675</v>
      </c>
      <c r="P708">
        <v>0</v>
      </c>
      <c r="Q708">
        <v>5</v>
      </c>
      <c r="R708" t="s">
        <v>33</v>
      </c>
      <c r="S708">
        <v>1</v>
      </c>
    </row>
    <row r="709" spans="1:19" ht="16.5" x14ac:dyDescent="0.3">
      <c r="A709" t="s">
        <v>760</v>
      </c>
      <c r="B709" s="1">
        <v>45373</v>
      </c>
      <c r="C709" s="1">
        <v>45376</v>
      </c>
      <c r="D709">
        <v>2024</v>
      </c>
      <c r="E709" t="s">
        <v>20</v>
      </c>
      <c r="F709" t="s">
        <v>605</v>
      </c>
      <c r="G709" t="s">
        <v>83</v>
      </c>
      <c r="H709" t="s">
        <v>39</v>
      </c>
      <c r="I709" t="s">
        <v>24</v>
      </c>
      <c r="J709" t="s">
        <v>43</v>
      </c>
      <c r="K709" t="s">
        <v>41</v>
      </c>
      <c r="L709" t="s">
        <v>27</v>
      </c>
      <c r="M709">
        <v>3</v>
      </c>
      <c r="N709" s="2">
        <v>46</v>
      </c>
      <c r="O709" s="3">
        <v>2959</v>
      </c>
      <c r="P709">
        <v>0</v>
      </c>
      <c r="Q709">
        <v>4</v>
      </c>
      <c r="R709" t="s">
        <v>33</v>
      </c>
      <c r="S709">
        <v>1</v>
      </c>
    </row>
    <row r="710" spans="1:19" ht="16.5" x14ac:dyDescent="0.3">
      <c r="A710" t="s">
        <v>761</v>
      </c>
      <c r="B710" s="1">
        <v>45373</v>
      </c>
      <c r="C710" s="1">
        <v>45378</v>
      </c>
      <c r="D710">
        <v>2024</v>
      </c>
      <c r="E710" t="s">
        <v>20</v>
      </c>
      <c r="F710" t="s">
        <v>605</v>
      </c>
      <c r="G710" t="s">
        <v>83</v>
      </c>
      <c r="H710" t="s">
        <v>23</v>
      </c>
      <c r="I710" t="s">
        <v>24</v>
      </c>
      <c r="J710" t="s">
        <v>25</v>
      </c>
      <c r="K710" t="s">
        <v>53</v>
      </c>
      <c r="L710" t="s">
        <v>27</v>
      </c>
      <c r="M710">
        <v>5</v>
      </c>
      <c r="N710" s="2">
        <v>114</v>
      </c>
      <c r="O710" s="3">
        <v>4157</v>
      </c>
      <c r="P710">
        <v>0</v>
      </c>
      <c r="Q710">
        <v>3</v>
      </c>
      <c r="R710" t="s">
        <v>28</v>
      </c>
      <c r="S710">
        <v>1</v>
      </c>
    </row>
    <row r="711" spans="1:19" ht="16.5" x14ac:dyDescent="0.3">
      <c r="A711" t="s">
        <v>762</v>
      </c>
      <c r="B711" s="1">
        <v>45373</v>
      </c>
      <c r="C711" s="1">
        <v>45379</v>
      </c>
      <c r="D711">
        <v>2024</v>
      </c>
      <c r="E711" t="s">
        <v>20</v>
      </c>
      <c r="F711" t="s">
        <v>605</v>
      </c>
      <c r="G711" t="s">
        <v>83</v>
      </c>
      <c r="H711" t="s">
        <v>23</v>
      </c>
      <c r="I711" t="s">
        <v>31</v>
      </c>
      <c r="J711" t="s">
        <v>25</v>
      </c>
      <c r="K711" t="s">
        <v>32</v>
      </c>
      <c r="L711" t="s">
        <v>44</v>
      </c>
      <c r="M711">
        <v>6</v>
      </c>
      <c r="N711" s="2"/>
      <c r="O711" s="3">
        <v>3570</v>
      </c>
      <c r="P711">
        <v>0</v>
      </c>
      <c r="Q711">
        <v>5</v>
      </c>
      <c r="R711" t="s">
        <v>33</v>
      </c>
      <c r="S711">
        <v>1</v>
      </c>
    </row>
    <row r="712" spans="1:19" ht="16.5" x14ac:dyDescent="0.3">
      <c r="A712" t="s">
        <v>763</v>
      </c>
      <c r="B712" s="1">
        <v>45374</v>
      </c>
      <c r="C712" s="1">
        <v>45376</v>
      </c>
      <c r="D712">
        <v>2024</v>
      </c>
      <c r="E712" t="s">
        <v>20</v>
      </c>
      <c r="F712" t="s">
        <v>605</v>
      </c>
      <c r="G712" t="s">
        <v>102</v>
      </c>
      <c r="H712" t="s">
        <v>50</v>
      </c>
      <c r="I712" t="s">
        <v>24</v>
      </c>
      <c r="J712" t="s">
        <v>25</v>
      </c>
      <c r="K712" t="s">
        <v>26</v>
      </c>
      <c r="L712" t="s">
        <v>37</v>
      </c>
      <c r="M712">
        <v>2</v>
      </c>
      <c r="N712" s="2">
        <v>26</v>
      </c>
      <c r="O712" s="3">
        <v>3223</v>
      </c>
      <c r="P712">
        <v>1</v>
      </c>
      <c r="Q712">
        <v>4</v>
      </c>
      <c r="R712" t="s">
        <v>33</v>
      </c>
      <c r="S712">
        <v>1</v>
      </c>
    </row>
    <row r="713" spans="1:19" ht="16.5" x14ac:dyDescent="0.3">
      <c r="A713" t="s">
        <v>764</v>
      </c>
      <c r="B713" s="1">
        <v>45374</v>
      </c>
      <c r="C713" s="1">
        <v>45376</v>
      </c>
      <c r="D713">
        <v>2024</v>
      </c>
      <c r="E713" t="s">
        <v>20</v>
      </c>
      <c r="F713" t="s">
        <v>605</v>
      </c>
      <c r="G713" t="s">
        <v>102</v>
      </c>
      <c r="H713" t="s">
        <v>39</v>
      </c>
      <c r="I713" t="s">
        <v>40</v>
      </c>
      <c r="J713" t="s">
        <v>25</v>
      </c>
      <c r="K713" t="s">
        <v>41</v>
      </c>
      <c r="L713" t="s">
        <v>44</v>
      </c>
      <c r="M713">
        <v>2</v>
      </c>
      <c r="N713" s="2"/>
      <c r="O713" s="3">
        <v>1754</v>
      </c>
      <c r="P713">
        <v>0</v>
      </c>
      <c r="Q713">
        <v>4</v>
      </c>
      <c r="R713" t="s">
        <v>33</v>
      </c>
      <c r="S713">
        <v>1</v>
      </c>
    </row>
    <row r="714" spans="1:19" ht="16.5" x14ac:dyDescent="0.3">
      <c r="A714" t="s">
        <v>765</v>
      </c>
      <c r="B714" s="1">
        <v>45374</v>
      </c>
      <c r="C714" s="1">
        <v>45377</v>
      </c>
      <c r="D714">
        <v>2024</v>
      </c>
      <c r="E714" t="s">
        <v>20</v>
      </c>
      <c r="F714" t="s">
        <v>605</v>
      </c>
      <c r="G714" t="s">
        <v>102</v>
      </c>
      <c r="H714" t="s">
        <v>30</v>
      </c>
      <c r="I714" t="s">
        <v>40</v>
      </c>
      <c r="J714" t="s">
        <v>25</v>
      </c>
      <c r="K714" t="s">
        <v>26</v>
      </c>
      <c r="L714" t="s">
        <v>44</v>
      </c>
      <c r="M714">
        <v>3</v>
      </c>
      <c r="N714" s="2"/>
      <c r="O714" s="3">
        <v>4217</v>
      </c>
      <c r="P714">
        <v>0</v>
      </c>
      <c r="Q714">
        <v>4</v>
      </c>
      <c r="R714" t="s">
        <v>33</v>
      </c>
      <c r="S714">
        <v>1</v>
      </c>
    </row>
    <row r="715" spans="1:19" ht="16.5" x14ac:dyDescent="0.3">
      <c r="A715" t="s">
        <v>766</v>
      </c>
      <c r="B715" s="1">
        <v>45374</v>
      </c>
      <c r="C715" s="1">
        <v>45375</v>
      </c>
      <c r="D715">
        <v>2024</v>
      </c>
      <c r="E715" t="s">
        <v>20</v>
      </c>
      <c r="F715" t="s">
        <v>605</v>
      </c>
      <c r="G715" t="s">
        <v>102</v>
      </c>
      <c r="H715" t="s">
        <v>23</v>
      </c>
      <c r="I715" t="s">
        <v>31</v>
      </c>
      <c r="J715" t="s">
        <v>43</v>
      </c>
      <c r="K715" t="s">
        <v>32</v>
      </c>
      <c r="L715" t="s">
        <v>27</v>
      </c>
      <c r="M715">
        <v>1</v>
      </c>
      <c r="N715" s="2"/>
      <c r="O715" s="3">
        <v>1333</v>
      </c>
      <c r="P715">
        <v>0</v>
      </c>
      <c r="Q715">
        <v>4</v>
      </c>
      <c r="R715" t="s">
        <v>28</v>
      </c>
      <c r="S715">
        <v>1</v>
      </c>
    </row>
    <row r="716" spans="1:19" ht="16.5" x14ac:dyDescent="0.3">
      <c r="A716" t="s">
        <v>767</v>
      </c>
      <c r="B716" s="1">
        <v>45374</v>
      </c>
      <c r="C716" s="1">
        <v>45376</v>
      </c>
      <c r="D716">
        <v>2024</v>
      </c>
      <c r="E716" t="s">
        <v>20</v>
      </c>
      <c r="F716" t="s">
        <v>605</v>
      </c>
      <c r="G716" t="s">
        <v>102</v>
      </c>
      <c r="H716" t="s">
        <v>35</v>
      </c>
      <c r="I716" t="s">
        <v>24</v>
      </c>
      <c r="J716" t="s">
        <v>25</v>
      </c>
      <c r="K716" t="s">
        <v>36</v>
      </c>
      <c r="L716" t="s">
        <v>27</v>
      </c>
      <c r="M716">
        <v>2</v>
      </c>
      <c r="N716" s="2">
        <v>65</v>
      </c>
      <c r="O716" s="3">
        <v>1903</v>
      </c>
      <c r="P716">
        <v>0</v>
      </c>
      <c r="Q716">
        <v>4</v>
      </c>
      <c r="R716" t="s">
        <v>59</v>
      </c>
      <c r="S716">
        <v>1</v>
      </c>
    </row>
    <row r="717" spans="1:19" ht="16.5" x14ac:dyDescent="0.3">
      <c r="A717" t="s">
        <v>768</v>
      </c>
      <c r="B717" s="1">
        <v>45374</v>
      </c>
      <c r="C717" s="1">
        <v>45395</v>
      </c>
      <c r="D717">
        <v>2024</v>
      </c>
      <c r="E717" t="s">
        <v>20</v>
      </c>
      <c r="F717" t="s">
        <v>605</v>
      </c>
      <c r="G717" t="s">
        <v>102</v>
      </c>
      <c r="H717" t="s">
        <v>23</v>
      </c>
      <c r="I717" t="s">
        <v>24</v>
      </c>
      <c r="J717" t="s">
        <v>25</v>
      </c>
      <c r="K717" t="s">
        <v>26</v>
      </c>
      <c r="L717" t="s">
        <v>44</v>
      </c>
      <c r="M717">
        <v>21</v>
      </c>
      <c r="N717" s="2">
        <v>45</v>
      </c>
      <c r="O717" s="3">
        <v>13579</v>
      </c>
      <c r="P717">
        <v>0</v>
      </c>
      <c r="Q717">
        <v>3</v>
      </c>
      <c r="R717" t="s">
        <v>28</v>
      </c>
      <c r="S717">
        <v>1</v>
      </c>
    </row>
    <row r="718" spans="1:19" ht="16.5" x14ac:dyDescent="0.3">
      <c r="A718" t="s">
        <v>769</v>
      </c>
      <c r="B718" s="1">
        <v>45374</v>
      </c>
      <c r="C718" s="1">
        <v>45375</v>
      </c>
      <c r="D718">
        <v>2024</v>
      </c>
      <c r="E718" t="s">
        <v>20</v>
      </c>
      <c r="F718" t="s">
        <v>605</v>
      </c>
      <c r="G718" t="s">
        <v>102</v>
      </c>
      <c r="H718" t="s">
        <v>35</v>
      </c>
      <c r="I718" t="s">
        <v>40</v>
      </c>
      <c r="J718" t="s">
        <v>25</v>
      </c>
      <c r="K718" t="s">
        <v>32</v>
      </c>
      <c r="L718" t="s">
        <v>27</v>
      </c>
      <c r="M718">
        <v>1</v>
      </c>
      <c r="N718" s="2"/>
      <c r="O718" s="3">
        <v>1895</v>
      </c>
      <c r="P718">
        <v>0</v>
      </c>
      <c r="Q718">
        <v>5</v>
      </c>
      <c r="R718" t="s">
        <v>28</v>
      </c>
      <c r="S718">
        <v>1</v>
      </c>
    </row>
    <row r="719" spans="1:19" ht="16.5" x14ac:dyDescent="0.3">
      <c r="A719" t="s">
        <v>770</v>
      </c>
      <c r="B719" s="1">
        <v>45374</v>
      </c>
      <c r="C719" s="1">
        <v>45376</v>
      </c>
      <c r="D719">
        <v>2024</v>
      </c>
      <c r="E719" t="s">
        <v>20</v>
      </c>
      <c r="F719" t="s">
        <v>605</v>
      </c>
      <c r="G719" t="s">
        <v>102</v>
      </c>
      <c r="H719" t="s">
        <v>23</v>
      </c>
      <c r="I719" t="s">
        <v>24</v>
      </c>
      <c r="J719" t="s">
        <v>25</v>
      </c>
      <c r="K719" t="s">
        <v>53</v>
      </c>
      <c r="L719" t="s">
        <v>37</v>
      </c>
      <c r="M719">
        <v>2</v>
      </c>
      <c r="N719" s="2">
        <v>51</v>
      </c>
      <c r="O719" s="3">
        <v>2137</v>
      </c>
      <c r="P719">
        <v>0</v>
      </c>
      <c r="Q719">
        <v>4</v>
      </c>
      <c r="R719" t="s">
        <v>28</v>
      </c>
      <c r="S719">
        <v>1</v>
      </c>
    </row>
    <row r="720" spans="1:19" ht="16.5" x14ac:dyDescent="0.3">
      <c r="A720" t="s">
        <v>771</v>
      </c>
      <c r="B720" s="1">
        <v>45375</v>
      </c>
      <c r="C720" s="1">
        <v>45380</v>
      </c>
      <c r="D720">
        <v>2024</v>
      </c>
      <c r="E720" t="s">
        <v>20</v>
      </c>
      <c r="F720" t="s">
        <v>605</v>
      </c>
      <c r="G720" t="s">
        <v>112</v>
      </c>
      <c r="H720" t="s">
        <v>23</v>
      </c>
      <c r="I720" t="s">
        <v>24</v>
      </c>
      <c r="J720" t="s">
        <v>25</v>
      </c>
      <c r="K720" t="s">
        <v>53</v>
      </c>
      <c r="L720" t="s">
        <v>27</v>
      </c>
      <c r="M720">
        <v>5</v>
      </c>
      <c r="N720" s="2">
        <v>50</v>
      </c>
      <c r="O720" s="3">
        <v>4117</v>
      </c>
      <c r="P720">
        <v>0</v>
      </c>
      <c r="Q720">
        <v>4</v>
      </c>
      <c r="R720" t="s">
        <v>33</v>
      </c>
      <c r="S720">
        <v>1</v>
      </c>
    </row>
    <row r="721" spans="1:19" ht="16.5" x14ac:dyDescent="0.3">
      <c r="A721" t="s">
        <v>772</v>
      </c>
      <c r="B721" s="1">
        <v>45375</v>
      </c>
      <c r="C721" s="1">
        <v>45380</v>
      </c>
      <c r="D721">
        <v>2024</v>
      </c>
      <c r="E721" t="s">
        <v>20</v>
      </c>
      <c r="F721" t="s">
        <v>605</v>
      </c>
      <c r="G721" t="s">
        <v>112</v>
      </c>
      <c r="H721" t="s">
        <v>50</v>
      </c>
      <c r="I721" t="s">
        <v>24</v>
      </c>
      <c r="J721" t="s">
        <v>43</v>
      </c>
      <c r="K721" t="s">
        <v>53</v>
      </c>
      <c r="L721" t="s">
        <v>44</v>
      </c>
      <c r="M721">
        <v>5</v>
      </c>
      <c r="N721" s="2">
        <v>47</v>
      </c>
      <c r="O721" s="3">
        <v>7672</v>
      </c>
      <c r="P721">
        <v>0</v>
      </c>
      <c r="Q721">
        <v>3</v>
      </c>
      <c r="R721" t="s">
        <v>33</v>
      </c>
      <c r="S721">
        <v>1</v>
      </c>
    </row>
    <row r="722" spans="1:19" ht="16.5" x14ac:dyDescent="0.3">
      <c r="A722" t="s">
        <v>773</v>
      </c>
      <c r="B722" s="1">
        <v>45375</v>
      </c>
      <c r="C722" s="1">
        <v>45378</v>
      </c>
      <c r="D722">
        <v>2024</v>
      </c>
      <c r="E722" t="s">
        <v>20</v>
      </c>
      <c r="F722" t="s">
        <v>605</v>
      </c>
      <c r="G722" t="s">
        <v>112</v>
      </c>
      <c r="H722" t="s">
        <v>52</v>
      </c>
      <c r="I722" t="s">
        <v>40</v>
      </c>
      <c r="J722" t="s">
        <v>43</v>
      </c>
      <c r="K722" t="s">
        <v>53</v>
      </c>
      <c r="L722" t="s">
        <v>27</v>
      </c>
      <c r="M722">
        <v>3</v>
      </c>
      <c r="N722" s="2"/>
      <c r="O722" s="3">
        <v>3501</v>
      </c>
      <c r="P722">
        <v>0</v>
      </c>
      <c r="Q722">
        <v>5</v>
      </c>
      <c r="R722" t="s">
        <v>28</v>
      </c>
      <c r="S722">
        <v>1</v>
      </c>
    </row>
    <row r="723" spans="1:19" ht="16.5" x14ac:dyDescent="0.3">
      <c r="A723" t="s">
        <v>774</v>
      </c>
      <c r="B723" s="1">
        <v>45375</v>
      </c>
      <c r="C723" s="1">
        <v>45383</v>
      </c>
      <c r="D723">
        <v>2024</v>
      </c>
      <c r="E723" t="s">
        <v>20</v>
      </c>
      <c r="F723" t="s">
        <v>605</v>
      </c>
      <c r="G723" t="s">
        <v>112</v>
      </c>
      <c r="H723" t="s">
        <v>52</v>
      </c>
      <c r="I723" t="s">
        <v>40</v>
      </c>
      <c r="J723" t="s">
        <v>25</v>
      </c>
      <c r="K723" t="s">
        <v>26</v>
      </c>
      <c r="L723" t="s">
        <v>44</v>
      </c>
      <c r="M723">
        <v>8</v>
      </c>
      <c r="N723" s="2"/>
      <c r="O723" s="3">
        <v>5780</v>
      </c>
      <c r="P723">
        <v>0</v>
      </c>
      <c r="Q723">
        <v>4</v>
      </c>
      <c r="R723" t="s">
        <v>28</v>
      </c>
      <c r="S723">
        <v>1</v>
      </c>
    </row>
    <row r="724" spans="1:19" ht="16.5" x14ac:dyDescent="0.3">
      <c r="A724" t="s">
        <v>775</v>
      </c>
      <c r="B724" s="1">
        <v>45375</v>
      </c>
      <c r="C724" s="1">
        <v>45381</v>
      </c>
      <c r="D724">
        <v>2024</v>
      </c>
      <c r="E724" t="s">
        <v>20</v>
      </c>
      <c r="F724" t="s">
        <v>605</v>
      </c>
      <c r="G724" t="s">
        <v>112</v>
      </c>
      <c r="H724" t="s">
        <v>23</v>
      </c>
      <c r="I724" t="s">
        <v>24</v>
      </c>
      <c r="J724" t="s">
        <v>43</v>
      </c>
      <c r="K724" t="s">
        <v>53</v>
      </c>
      <c r="L724" t="s">
        <v>44</v>
      </c>
      <c r="M724">
        <v>6</v>
      </c>
      <c r="N724" s="2">
        <v>21</v>
      </c>
      <c r="O724" s="3">
        <v>4040</v>
      </c>
      <c r="P724">
        <v>0</v>
      </c>
      <c r="Q724">
        <v>4</v>
      </c>
      <c r="R724" t="s">
        <v>28</v>
      </c>
      <c r="S724">
        <v>1</v>
      </c>
    </row>
    <row r="725" spans="1:19" ht="16.5" x14ac:dyDescent="0.3">
      <c r="A725" t="s">
        <v>776</v>
      </c>
      <c r="B725" s="1">
        <v>45375</v>
      </c>
      <c r="C725" s="1">
        <v>45383</v>
      </c>
      <c r="D725">
        <v>2024</v>
      </c>
      <c r="E725" t="s">
        <v>20</v>
      </c>
      <c r="F725" t="s">
        <v>605</v>
      </c>
      <c r="G725" t="s">
        <v>112</v>
      </c>
      <c r="H725" t="s">
        <v>23</v>
      </c>
      <c r="I725" t="s">
        <v>24</v>
      </c>
      <c r="J725" t="s">
        <v>25</v>
      </c>
      <c r="K725" t="s">
        <v>32</v>
      </c>
      <c r="L725" t="s">
        <v>27</v>
      </c>
      <c r="M725">
        <v>8</v>
      </c>
      <c r="N725" s="2">
        <v>30</v>
      </c>
      <c r="O725" s="3">
        <v>5283</v>
      </c>
      <c r="P725">
        <v>1</v>
      </c>
      <c r="Q725">
        <v>3</v>
      </c>
      <c r="R725" t="s">
        <v>33</v>
      </c>
      <c r="S725">
        <v>1</v>
      </c>
    </row>
    <row r="726" spans="1:19" ht="16.5" x14ac:dyDescent="0.3">
      <c r="A726" t="s">
        <v>777</v>
      </c>
      <c r="B726" s="1">
        <v>45376</v>
      </c>
      <c r="C726" s="1">
        <v>45380</v>
      </c>
      <c r="D726">
        <v>2024</v>
      </c>
      <c r="E726" t="s">
        <v>20</v>
      </c>
      <c r="F726" t="s">
        <v>605</v>
      </c>
      <c r="G726" t="s">
        <v>22</v>
      </c>
      <c r="H726" t="s">
        <v>50</v>
      </c>
      <c r="I726" t="s">
        <v>24</v>
      </c>
      <c r="J726" t="s">
        <v>43</v>
      </c>
      <c r="K726" t="s">
        <v>26</v>
      </c>
      <c r="L726" t="s">
        <v>44</v>
      </c>
      <c r="M726">
        <v>4</v>
      </c>
      <c r="N726" s="2">
        <v>48</v>
      </c>
      <c r="O726" s="3">
        <v>5678</v>
      </c>
      <c r="P726">
        <v>0</v>
      </c>
      <c r="Q726">
        <v>4</v>
      </c>
      <c r="R726" t="s">
        <v>33</v>
      </c>
      <c r="S726">
        <v>1</v>
      </c>
    </row>
    <row r="727" spans="1:19" ht="16.5" x14ac:dyDescent="0.3">
      <c r="A727" t="s">
        <v>778</v>
      </c>
      <c r="B727" s="1">
        <v>45376</v>
      </c>
      <c r="C727" s="1">
        <v>45381</v>
      </c>
      <c r="D727">
        <v>2024</v>
      </c>
      <c r="E727" t="s">
        <v>20</v>
      </c>
      <c r="F727" t="s">
        <v>605</v>
      </c>
      <c r="G727" t="s">
        <v>22</v>
      </c>
      <c r="H727" t="s">
        <v>50</v>
      </c>
      <c r="I727" t="s">
        <v>24</v>
      </c>
      <c r="J727" t="s">
        <v>43</v>
      </c>
      <c r="K727" t="s">
        <v>26</v>
      </c>
      <c r="L727" t="s">
        <v>27</v>
      </c>
      <c r="M727">
        <v>5</v>
      </c>
      <c r="N727" s="2">
        <v>35</v>
      </c>
      <c r="O727" s="3">
        <v>6149</v>
      </c>
      <c r="P727">
        <v>1</v>
      </c>
      <c r="Q727">
        <v>4</v>
      </c>
      <c r="R727" t="s">
        <v>33</v>
      </c>
      <c r="S727">
        <v>1</v>
      </c>
    </row>
    <row r="728" spans="1:19" ht="16.5" x14ac:dyDescent="0.3">
      <c r="A728" t="s">
        <v>779</v>
      </c>
      <c r="B728" s="1">
        <v>45376</v>
      </c>
      <c r="C728" s="1">
        <v>45380</v>
      </c>
      <c r="D728">
        <v>2024</v>
      </c>
      <c r="E728" t="s">
        <v>20</v>
      </c>
      <c r="F728" t="s">
        <v>605</v>
      </c>
      <c r="G728" t="s">
        <v>22</v>
      </c>
      <c r="H728" t="s">
        <v>23</v>
      </c>
      <c r="I728" t="s">
        <v>24</v>
      </c>
      <c r="J728" t="s">
        <v>25</v>
      </c>
      <c r="K728" t="s">
        <v>53</v>
      </c>
      <c r="L728" t="s">
        <v>27</v>
      </c>
      <c r="M728">
        <v>4</v>
      </c>
      <c r="N728" s="2">
        <v>46</v>
      </c>
      <c r="O728" s="3">
        <v>2803</v>
      </c>
      <c r="P728">
        <v>0</v>
      </c>
      <c r="Q728">
        <v>5</v>
      </c>
      <c r="R728" t="s">
        <v>28</v>
      </c>
      <c r="S728">
        <v>1</v>
      </c>
    </row>
    <row r="729" spans="1:19" ht="16.5" x14ac:dyDescent="0.3">
      <c r="A729" t="s">
        <v>780</v>
      </c>
      <c r="B729" s="1">
        <v>45376</v>
      </c>
      <c r="C729" s="1">
        <v>45379</v>
      </c>
      <c r="D729">
        <v>2024</v>
      </c>
      <c r="E729" t="s">
        <v>20</v>
      </c>
      <c r="F729" t="s">
        <v>605</v>
      </c>
      <c r="G729" t="s">
        <v>22</v>
      </c>
      <c r="H729" t="s">
        <v>30</v>
      </c>
      <c r="I729" t="s">
        <v>40</v>
      </c>
      <c r="J729" t="s">
        <v>43</v>
      </c>
      <c r="K729" t="s">
        <v>32</v>
      </c>
      <c r="L729" t="s">
        <v>44</v>
      </c>
      <c r="M729">
        <v>3</v>
      </c>
      <c r="N729" s="2"/>
      <c r="O729" s="3">
        <v>4252</v>
      </c>
      <c r="P729">
        <v>0</v>
      </c>
      <c r="Q729">
        <v>5</v>
      </c>
      <c r="R729" t="s">
        <v>59</v>
      </c>
      <c r="S729">
        <v>1</v>
      </c>
    </row>
    <row r="730" spans="1:19" ht="16.5" x14ac:dyDescent="0.3">
      <c r="A730" t="s">
        <v>781</v>
      </c>
      <c r="B730" s="1">
        <v>45376</v>
      </c>
      <c r="C730" s="1">
        <v>45379</v>
      </c>
      <c r="D730">
        <v>2024</v>
      </c>
      <c r="E730" t="s">
        <v>20</v>
      </c>
      <c r="F730" t="s">
        <v>605</v>
      </c>
      <c r="G730" t="s">
        <v>22</v>
      </c>
      <c r="H730" t="s">
        <v>30</v>
      </c>
      <c r="I730" t="s">
        <v>31</v>
      </c>
      <c r="J730" t="s">
        <v>43</v>
      </c>
      <c r="K730" t="s">
        <v>32</v>
      </c>
      <c r="L730" t="s">
        <v>27</v>
      </c>
      <c r="M730">
        <v>3</v>
      </c>
      <c r="N730" s="2"/>
      <c r="O730" s="3">
        <v>4026</v>
      </c>
      <c r="P730">
        <v>0</v>
      </c>
      <c r="Q730">
        <v>5</v>
      </c>
      <c r="R730" t="s">
        <v>165</v>
      </c>
      <c r="S730">
        <v>1</v>
      </c>
    </row>
    <row r="731" spans="1:19" ht="16.5" x14ac:dyDescent="0.3">
      <c r="A731" t="s">
        <v>782</v>
      </c>
      <c r="B731" s="1">
        <v>45376</v>
      </c>
      <c r="C731" s="1">
        <v>45377</v>
      </c>
      <c r="D731">
        <v>2024</v>
      </c>
      <c r="E731" t="s">
        <v>20</v>
      </c>
      <c r="F731" t="s">
        <v>605</v>
      </c>
      <c r="G731" t="s">
        <v>22</v>
      </c>
      <c r="H731" t="s">
        <v>30</v>
      </c>
      <c r="I731" t="s">
        <v>40</v>
      </c>
      <c r="J731" t="s">
        <v>25</v>
      </c>
      <c r="K731" t="s">
        <v>53</v>
      </c>
      <c r="L731" t="s">
        <v>27</v>
      </c>
      <c r="M731">
        <v>1</v>
      </c>
      <c r="N731" s="2"/>
      <c r="O731" s="3">
        <v>1865</v>
      </c>
      <c r="P731">
        <v>0</v>
      </c>
      <c r="Q731">
        <v>4</v>
      </c>
      <c r="R731" t="s">
        <v>28</v>
      </c>
      <c r="S731">
        <v>1</v>
      </c>
    </row>
    <row r="732" spans="1:19" ht="16.5" x14ac:dyDescent="0.3">
      <c r="A732" t="s">
        <v>783</v>
      </c>
      <c r="B732" s="1">
        <v>45376</v>
      </c>
      <c r="C732" s="1">
        <v>45378</v>
      </c>
      <c r="D732">
        <v>2024</v>
      </c>
      <c r="E732" t="s">
        <v>20</v>
      </c>
      <c r="F732" t="s">
        <v>605</v>
      </c>
      <c r="G732" t="s">
        <v>22</v>
      </c>
      <c r="H732" t="s">
        <v>35</v>
      </c>
      <c r="I732" t="s">
        <v>40</v>
      </c>
      <c r="J732" t="s">
        <v>25</v>
      </c>
      <c r="K732" t="s">
        <v>32</v>
      </c>
      <c r="L732" t="s">
        <v>27</v>
      </c>
      <c r="M732">
        <v>2</v>
      </c>
      <c r="N732" s="2"/>
      <c r="O732" s="3">
        <v>2647</v>
      </c>
      <c r="P732">
        <v>0</v>
      </c>
      <c r="Q732">
        <v>4</v>
      </c>
      <c r="R732" t="s">
        <v>33</v>
      </c>
      <c r="S732">
        <v>1</v>
      </c>
    </row>
    <row r="733" spans="1:19" ht="16.5" x14ac:dyDescent="0.3">
      <c r="A733" t="s">
        <v>784</v>
      </c>
      <c r="B733" s="1">
        <v>45376</v>
      </c>
      <c r="C733" s="1">
        <v>45384</v>
      </c>
      <c r="D733">
        <v>2024</v>
      </c>
      <c r="E733" t="s">
        <v>20</v>
      </c>
      <c r="F733" t="s">
        <v>605</v>
      </c>
      <c r="G733" t="s">
        <v>22</v>
      </c>
      <c r="H733" t="s">
        <v>23</v>
      </c>
      <c r="I733" t="s">
        <v>24</v>
      </c>
      <c r="J733" t="s">
        <v>25</v>
      </c>
      <c r="K733" t="s">
        <v>26</v>
      </c>
      <c r="L733" t="s">
        <v>44</v>
      </c>
      <c r="M733">
        <v>8</v>
      </c>
      <c r="N733" s="2">
        <v>82</v>
      </c>
      <c r="O733" s="3">
        <v>7535</v>
      </c>
      <c r="P733">
        <v>0</v>
      </c>
      <c r="Q733">
        <v>5</v>
      </c>
      <c r="R733" t="s">
        <v>28</v>
      </c>
      <c r="S733">
        <v>1</v>
      </c>
    </row>
    <row r="734" spans="1:19" ht="16.5" x14ac:dyDescent="0.3">
      <c r="A734" t="s">
        <v>785</v>
      </c>
      <c r="B734" s="1">
        <v>45376</v>
      </c>
      <c r="C734" s="1">
        <v>45378</v>
      </c>
      <c r="D734">
        <v>2024</v>
      </c>
      <c r="E734" t="s">
        <v>20</v>
      </c>
      <c r="F734" t="s">
        <v>605</v>
      </c>
      <c r="G734" t="s">
        <v>22</v>
      </c>
      <c r="H734" t="s">
        <v>35</v>
      </c>
      <c r="I734" t="s">
        <v>24</v>
      </c>
      <c r="J734" t="s">
        <v>25</v>
      </c>
      <c r="K734" t="s">
        <v>36</v>
      </c>
      <c r="L734" t="s">
        <v>44</v>
      </c>
      <c r="M734">
        <v>2</v>
      </c>
      <c r="N734" s="2">
        <v>19</v>
      </c>
      <c r="O734" s="3">
        <v>2440</v>
      </c>
      <c r="P734">
        <v>0</v>
      </c>
      <c r="Q734">
        <v>5</v>
      </c>
      <c r="R734" t="s">
        <v>33</v>
      </c>
      <c r="S734">
        <v>1</v>
      </c>
    </row>
    <row r="735" spans="1:19" ht="16.5" x14ac:dyDescent="0.3">
      <c r="A735" t="s">
        <v>786</v>
      </c>
      <c r="B735" s="1">
        <v>45376</v>
      </c>
      <c r="C735" s="1">
        <v>45384</v>
      </c>
      <c r="D735">
        <v>2024</v>
      </c>
      <c r="E735" t="s">
        <v>20</v>
      </c>
      <c r="F735" t="s">
        <v>605</v>
      </c>
      <c r="G735" t="s">
        <v>22</v>
      </c>
      <c r="H735" t="s">
        <v>52</v>
      </c>
      <c r="I735" t="s">
        <v>40</v>
      </c>
      <c r="J735" t="s">
        <v>25</v>
      </c>
      <c r="K735" t="s">
        <v>26</v>
      </c>
      <c r="L735" t="s">
        <v>44</v>
      </c>
      <c r="M735">
        <v>8</v>
      </c>
      <c r="N735" s="2"/>
      <c r="O735" s="3">
        <v>9715</v>
      </c>
      <c r="P735">
        <v>0</v>
      </c>
      <c r="Q735">
        <v>4</v>
      </c>
      <c r="R735" t="s">
        <v>33</v>
      </c>
      <c r="S735">
        <v>1</v>
      </c>
    </row>
    <row r="736" spans="1:19" ht="16.5" x14ac:dyDescent="0.3">
      <c r="A736" t="s">
        <v>787</v>
      </c>
      <c r="B736" s="1">
        <v>45376</v>
      </c>
      <c r="C736" s="1">
        <v>45382</v>
      </c>
      <c r="D736">
        <v>2024</v>
      </c>
      <c r="E736" t="s">
        <v>20</v>
      </c>
      <c r="F736" t="s">
        <v>605</v>
      </c>
      <c r="G736" t="s">
        <v>22</v>
      </c>
      <c r="H736" t="s">
        <v>35</v>
      </c>
      <c r="I736" t="s">
        <v>24</v>
      </c>
      <c r="J736" t="s">
        <v>25</v>
      </c>
      <c r="K736" t="s">
        <v>36</v>
      </c>
      <c r="L736" t="s">
        <v>44</v>
      </c>
      <c r="M736">
        <v>6</v>
      </c>
      <c r="N736" s="2">
        <v>46</v>
      </c>
      <c r="O736" s="3">
        <v>5475</v>
      </c>
      <c r="P736">
        <v>0</v>
      </c>
      <c r="Q736">
        <v>4</v>
      </c>
      <c r="R736" t="s">
        <v>33</v>
      </c>
      <c r="S736">
        <v>1</v>
      </c>
    </row>
    <row r="737" spans="1:19" ht="16.5" x14ac:dyDescent="0.3">
      <c r="A737" t="s">
        <v>788</v>
      </c>
      <c r="B737" s="1">
        <v>45377</v>
      </c>
      <c r="C737" s="1">
        <v>45381</v>
      </c>
      <c r="D737">
        <v>2024</v>
      </c>
      <c r="E737" t="s">
        <v>20</v>
      </c>
      <c r="F737" t="s">
        <v>605</v>
      </c>
      <c r="G737" t="s">
        <v>56</v>
      </c>
      <c r="H737" t="s">
        <v>30</v>
      </c>
      <c r="I737" t="s">
        <v>40</v>
      </c>
      <c r="J737" t="s">
        <v>25</v>
      </c>
      <c r="K737" t="s">
        <v>32</v>
      </c>
      <c r="L737" t="s">
        <v>44</v>
      </c>
      <c r="M737">
        <v>4</v>
      </c>
      <c r="N737" s="2"/>
      <c r="O737" s="3">
        <v>4296</v>
      </c>
      <c r="P737">
        <v>0</v>
      </c>
      <c r="Q737">
        <v>5</v>
      </c>
      <c r="R737" t="s">
        <v>33</v>
      </c>
      <c r="S737">
        <v>1</v>
      </c>
    </row>
    <row r="738" spans="1:19" ht="16.5" x14ac:dyDescent="0.3">
      <c r="A738" t="s">
        <v>789</v>
      </c>
      <c r="B738" s="1">
        <v>45377</v>
      </c>
      <c r="C738" s="1">
        <v>45381</v>
      </c>
      <c r="D738">
        <v>2024</v>
      </c>
      <c r="E738" t="s">
        <v>20</v>
      </c>
      <c r="F738" t="s">
        <v>605</v>
      </c>
      <c r="G738" t="s">
        <v>56</v>
      </c>
      <c r="H738" t="s">
        <v>35</v>
      </c>
      <c r="I738" t="s">
        <v>24</v>
      </c>
      <c r="J738" t="s">
        <v>25</v>
      </c>
      <c r="K738" t="s">
        <v>36</v>
      </c>
      <c r="L738" t="s">
        <v>44</v>
      </c>
      <c r="M738">
        <v>4</v>
      </c>
      <c r="N738" s="2">
        <v>34</v>
      </c>
      <c r="O738" s="3">
        <v>3590</v>
      </c>
      <c r="P738">
        <v>0</v>
      </c>
      <c r="Q738">
        <v>4</v>
      </c>
      <c r="R738" t="s">
        <v>33</v>
      </c>
      <c r="S738">
        <v>1</v>
      </c>
    </row>
    <row r="739" spans="1:19" ht="16.5" x14ac:dyDescent="0.3">
      <c r="A739" t="s">
        <v>790</v>
      </c>
      <c r="B739" s="1">
        <v>45377</v>
      </c>
      <c r="C739" s="1">
        <v>45383</v>
      </c>
      <c r="D739">
        <v>2024</v>
      </c>
      <c r="E739" t="s">
        <v>20</v>
      </c>
      <c r="F739" t="s">
        <v>605</v>
      </c>
      <c r="G739" t="s">
        <v>56</v>
      </c>
      <c r="H739" t="s">
        <v>30</v>
      </c>
      <c r="I739" t="s">
        <v>24</v>
      </c>
      <c r="J739" t="s">
        <v>25</v>
      </c>
      <c r="K739" t="s">
        <v>26</v>
      </c>
      <c r="L739" t="s">
        <v>44</v>
      </c>
      <c r="M739">
        <v>6</v>
      </c>
      <c r="N739" s="2">
        <v>15</v>
      </c>
      <c r="O739" s="3">
        <v>7355</v>
      </c>
      <c r="P739">
        <v>0</v>
      </c>
      <c r="Q739">
        <v>4</v>
      </c>
      <c r="R739" t="s">
        <v>33</v>
      </c>
      <c r="S739">
        <v>1</v>
      </c>
    </row>
    <row r="740" spans="1:19" ht="16.5" x14ac:dyDescent="0.3">
      <c r="A740" t="s">
        <v>791</v>
      </c>
      <c r="B740" s="1">
        <v>45377</v>
      </c>
      <c r="C740" s="1">
        <v>45381</v>
      </c>
      <c r="D740">
        <v>2024</v>
      </c>
      <c r="E740" t="s">
        <v>20</v>
      </c>
      <c r="F740" t="s">
        <v>605</v>
      </c>
      <c r="G740" t="s">
        <v>56</v>
      </c>
      <c r="H740" t="s">
        <v>30</v>
      </c>
      <c r="I740" t="s">
        <v>40</v>
      </c>
      <c r="J740" t="s">
        <v>25</v>
      </c>
      <c r="K740" t="s">
        <v>53</v>
      </c>
      <c r="L740" t="s">
        <v>44</v>
      </c>
      <c r="M740">
        <v>4</v>
      </c>
      <c r="N740" s="2"/>
      <c r="O740" s="3">
        <v>5065</v>
      </c>
      <c r="P740">
        <v>0</v>
      </c>
      <c r="Q740">
        <v>5</v>
      </c>
      <c r="R740" t="s">
        <v>33</v>
      </c>
      <c r="S740">
        <v>1</v>
      </c>
    </row>
    <row r="741" spans="1:19" ht="16.5" x14ac:dyDescent="0.3">
      <c r="A741" t="s">
        <v>792</v>
      </c>
      <c r="B741" s="1">
        <v>45377</v>
      </c>
      <c r="C741" s="1">
        <v>45379</v>
      </c>
      <c r="D741">
        <v>2024</v>
      </c>
      <c r="E741" t="s">
        <v>20</v>
      </c>
      <c r="F741" t="s">
        <v>605</v>
      </c>
      <c r="G741" t="s">
        <v>56</v>
      </c>
      <c r="H741" t="s">
        <v>23</v>
      </c>
      <c r="I741" t="s">
        <v>40</v>
      </c>
      <c r="J741" t="s">
        <v>25</v>
      </c>
      <c r="K741" t="s">
        <v>32</v>
      </c>
      <c r="L741" t="s">
        <v>44</v>
      </c>
      <c r="M741">
        <v>2</v>
      </c>
      <c r="N741" s="2"/>
      <c r="O741" s="3">
        <v>2284</v>
      </c>
      <c r="P741">
        <v>0</v>
      </c>
      <c r="Q741">
        <v>3</v>
      </c>
      <c r="R741" t="s">
        <v>28</v>
      </c>
      <c r="S741">
        <v>1</v>
      </c>
    </row>
    <row r="742" spans="1:19" ht="16.5" x14ac:dyDescent="0.3">
      <c r="A742" t="s">
        <v>793</v>
      </c>
      <c r="B742" s="1">
        <v>45377</v>
      </c>
      <c r="C742" s="1">
        <v>45378</v>
      </c>
      <c r="D742">
        <v>2024</v>
      </c>
      <c r="E742" t="s">
        <v>20</v>
      </c>
      <c r="F742" t="s">
        <v>605</v>
      </c>
      <c r="G742" t="s">
        <v>56</v>
      </c>
      <c r="H742" t="s">
        <v>52</v>
      </c>
      <c r="I742" t="s">
        <v>40</v>
      </c>
      <c r="J742" t="s">
        <v>43</v>
      </c>
      <c r="K742" t="s">
        <v>53</v>
      </c>
      <c r="L742" t="s">
        <v>44</v>
      </c>
      <c r="M742">
        <v>1</v>
      </c>
      <c r="N742" s="2"/>
      <c r="O742" s="3">
        <v>1714</v>
      </c>
      <c r="P742">
        <v>0</v>
      </c>
      <c r="Q742">
        <v>3</v>
      </c>
      <c r="R742" t="s">
        <v>33</v>
      </c>
      <c r="S742">
        <v>1</v>
      </c>
    </row>
    <row r="743" spans="1:19" ht="16.5" x14ac:dyDescent="0.3">
      <c r="A743" t="s">
        <v>794</v>
      </c>
      <c r="B743" s="1">
        <v>45377</v>
      </c>
      <c r="C743" s="1">
        <v>45383</v>
      </c>
      <c r="D743">
        <v>2024</v>
      </c>
      <c r="E743" t="s">
        <v>20</v>
      </c>
      <c r="F743" t="s">
        <v>605</v>
      </c>
      <c r="G743" t="s">
        <v>56</v>
      </c>
      <c r="H743" t="s">
        <v>50</v>
      </c>
      <c r="I743" t="s">
        <v>24</v>
      </c>
      <c r="J743" t="s">
        <v>25</v>
      </c>
      <c r="K743" t="s">
        <v>53</v>
      </c>
      <c r="L743" t="s">
        <v>44</v>
      </c>
      <c r="M743">
        <v>6</v>
      </c>
      <c r="N743" s="2">
        <v>37</v>
      </c>
      <c r="O743" s="3">
        <v>8928</v>
      </c>
      <c r="P743">
        <v>0</v>
      </c>
      <c r="Q743">
        <v>4</v>
      </c>
      <c r="R743" t="s">
        <v>33</v>
      </c>
      <c r="S743">
        <v>1</v>
      </c>
    </row>
    <row r="744" spans="1:19" ht="16.5" x14ac:dyDescent="0.3">
      <c r="A744" t="s">
        <v>795</v>
      </c>
      <c r="B744" s="1">
        <v>45378</v>
      </c>
      <c r="C744" s="1">
        <v>45380</v>
      </c>
      <c r="D744">
        <v>2024</v>
      </c>
      <c r="E744" t="s">
        <v>20</v>
      </c>
      <c r="F744" t="s">
        <v>605</v>
      </c>
      <c r="G744" t="s">
        <v>70</v>
      </c>
      <c r="H744" t="s">
        <v>23</v>
      </c>
      <c r="I744" t="s">
        <v>31</v>
      </c>
      <c r="J744" t="s">
        <v>25</v>
      </c>
      <c r="K744" t="s">
        <v>26</v>
      </c>
      <c r="L744" t="s">
        <v>27</v>
      </c>
      <c r="M744">
        <v>2</v>
      </c>
      <c r="N744" s="2"/>
      <c r="O744" s="3">
        <v>2541</v>
      </c>
      <c r="P744">
        <v>0</v>
      </c>
      <c r="Q744">
        <v>4</v>
      </c>
      <c r="R744" t="s">
        <v>59</v>
      </c>
      <c r="S744">
        <v>1</v>
      </c>
    </row>
    <row r="745" spans="1:19" ht="16.5" x14ac:dyDescent="0.3">
      <c r="A745" t="s">
        <v>796</v>
      </c>
      <c r="B745" s="1">
        <v>45378</v>
      </c>
      <c r="C745" s="1">
        <v>45382</v>
      </c>
      <c r="D745">
        <v>2024</v>
      </c>
      <c r="E745" t="s">
        <v>20</v>
      </c>
      <c r="F745" t="s">
        <v>605</v>
      </c>
      <c r="G745" t="s">
        <v>70</v>
      </c>
      <c r="H745" t="s">
        <v>35</v>
      </c>
      <c r="I745" t="s">
        <v>24</v>
      </c>
      <c r="J745" t="s">
        <v>25</v>
      </c>
      <c r="K745" t="s">
        <v>32</v>
      </c>
      <c r="L745" t="s">
        <v>44</v>
      </c>
      <c r="M745">
        <v>4</v>
      </c>
      <c r="N745" s="2">
        <v>144</v>
      </c>
      <c r="O745" s="3">
        <v>3211</v>
      </c>
      <c r="P745">
        <v>0</v>
      </c>
      <c r="Q745">
        <v>3</v>
      </c>
      <c r="R745" t="s">
        <v>165</v>
      </c>
      <c r="S745">
        <v>1</v>
      </c>
    </row>
    <row r="746" spans="1:19" ht="16.5" x14ac:dyDescent="0.3">
      <c r="A746" t="s">
        <v>797</v>
      </c>
      <c r="B746" s="1">
        <v>45378</v>
      </c>
      <c r="C746" s="1">
        <v>45380</v>
      </c>
      <c r="D746">
        <v>2024</v>
      </c>
      <c r="E746" t="s">
        <v>20</v>
      </c>
      <c r="F746" t="s">
        <v>605</v>
      </c>
      <c r="G746" t="s">
        <v>70</v>
      </c>
      <c r="H746" t="s">
        <v>30</v>
      </c>
      <c r="I746" t="s">
        <v>40</v>
      </c>
      <c r="J746" t="s">
        <v>25</v>
      </c>
      <c r="K746" t="s">
        <v>32</v>
      </c>
      <c r="L746" t="s">
        <v>27</v>
      </c>
      <c r="M746">
        <v>2</v>
      </c>
      <c r="N746" s="2"/>
      <c r="O746" s="3">
        <v>3544</v>
      </c>
      <c r="P746">
        <v>0</v>
      </c>
      <c r="Q746">
        <v>5</v>
      </c>
      <c r="R746" t="s">
        <v>33</v>
      </c>
      <c r="S746">
        <v>1</v>
      </c>
    </row>
    <row r="747" spans="1:19" ht="16.5" x14ac:dyDescent="0.3">
      <c r="A747" t="s">
        <v>798</v>
      </c>
      <c r="B747" s="1">
        <v>45378</v>
      </c>
      <c r="C747" s="1">
        <v>45382</v>
      </c>
      <c r="D747">
        <v>2024</v>
      </c>
      <c r="E747" t="s">
        <v>20</v>
      </c>
      <c r="F747" t="s">
        <v>605</v>
      </c>
      <c r="G747" t="s">
        <v>70</v>
      </c>
      <c r="H747" t="s">
        <v>30</v>
      </c>
      <c r="I747" t="s">
        <v>40</v>
      </c>
      <c r="J747" t="s">
        <v>43</v>
      </c>
      <c r="K747" t="s">
        <v>53</v>
      </c>
      <c r="L747" t="s">
        <v>37</v>
      </c>
      <c r="M747">
        <v>4</v>
      </c>
      <c r="N747" s="2"/>
      <c r="O747" s="3">
        <v>5369</v>
      </c>
      <c r="P747">
        <v>1</v>
      </c>
      <c r="Q747">
        <v>4</v>
      </c>
      <c r="R747" t="s">
        <v>28</v>
      </c>
      <c r="S747">
        <v>1</v>
      </c>
    </row>
    <row r="748" spans="1:19" ht="16.5" x14ac:dyDescent="0.3">
      <c r="A748" t="s">
        <v>799</v>
      </c>
      <c r="B748" s="1">
        <v>45378</v>
      </c>
      <c r="C748" s="1">
        <v>45389</v>
      </c>
      <c r="D748">
        <v>2024</v>
      </c>
      <c r="E748" t="s">
        <v>20</v>
      </c>
      <c r="F748" t="s">
        <v>605</v>
      </c>
      <c r="G748" t="s">
        <v>70</v>
      </c>
      <c r="H748" t="s">
        <v>50</v>
      </c>
      <c r="I748" t="s">
        <v>24</v>
      </c>
      <c r="J748" t="s">
        <v>43</v>
      </c>
      <c r="K748" t="s">
        <v>36</v>
      </c>
      <c r="L748" t="s">
        <v>27</v>
      </c>
      <c r="M748">
        <v>11</v>
      </c>
      <c r="N748" s="2">
        <v>18</v>
      </c>
      <c r="O748" s="3">
        <v>15634</v>
      </c>
      <c r="P748">
        <v>0</v>
      </c>
      <c r="Q748">
        <v>4</v>
      </c>
      <c r="R748" t="s">
        <v>33</v>
      </c>
      <c r="S748">
        <v>1</v>
      </c>
    </row>
    <row r="749" spans="1:19" ht="16.5" x14ac:dyDescent="0.3">
      <c r="A749" t="s">
        <v>800</v>
      </c>
      <c r="B749" s="1">
        <v>45378</v>
      </c>
      <c r="C749" s="1">
        <v>45379</v>
      </c>
      <c r="D749">
        <v>2024</v>
      </c>
      <c r="E749" t="s">
        <v>20</v>
      </c>
      <c r="F749" t="s">
        <v>605</v>
      </c>
      <c r="G749" t="s">
        <v>70</v>
      </c>
      <c r="H749" t="s">
        <v>52</v>
      </c>
      <c r="I749" t="s">
        <v>40</v>
      </c>
      <c r="J749" t="s">
        <v>43</v>
      </c>
      <c r="K749" t="s">
        <v>32</v>
      </c>
      <c r="L749" t="s">
        <v>44</v>
      </c>
      <c r="M749">
        <v>1</v>
      </c>
      <c r="N749" s="2"/>
      <c r="O749" s="3">
        <v>2265</v>
      </c>
      <c r="P749">
        <v>0</v>
      </c>
      <c r="Q749">
        <v>2</v>
      </c>
      <c r="R749" t="s">
        <v>33</v>
      </c>
      <c r="S749">
        <v>1</v>
      </c>
    </row>
    <row r="750" spans="1:19" ht="16.5" x14ac:dyDescent="0.3">
      <c r="A750" t="s">
        <v>801</v>
      </c>
      <c r="B750" s="1">
        <v>45378</v>
      </c>
      <c r="C750" s="1">
        <v>45381</v>
      </c>
      <c r="D750">
        <v>2024</v>
      </c>
      <c r="E750" t="s">
        <v>20</v>
      </c>
      <c r="F750" t="s">
        <v>605</v>
      </c>
      <c r="G750" t="s">
        <v>70</v>
      </c>
      <c r="H750" t="s">
        <v>35</v>
      </c>
      <c r="I750" t="s">
        <v>40</v>
      </c>
      <c r="J750" t="s">
        <v>25</v>
      </c>
      <c r="K750" t="s">
        <v>36</v>
      </c>
      <c r="L750" t="s">
        <v>44</v>
      </c>
      <c r="M750">
        <v>3</v>
      </c>
      <c r="N750" s="2"/>
      <c r="O750" s="3">
        <v>2350</v>
      </c>
      <c r="P750">
        <v>0</v>
      </c>
      <c r="Q750">
        <v>5</v>
      </c>
      <c r="R750" t="s">
        <v>33</v>
      </c>
      <c r="S750">
        <v>1</v>
      </c>
    </row>
    <row r="751" spans="1:19" ht="16.5" x14ac:dyDescent="0.3">
      <c r="A751" t="s">
        <v>802</v>
      </c>
      <c r="B751" s="1">
        <v>45378</v>
      </c>
      <c r="C751" s="1">
        <v>45386</v>
      </c>
      <c r="D751">
        <v>2024</v>
      </c>
      <c r="E751" t="s">
        <v>20</v>
      </c>
      <c r="F751" t="s">
        <v>605</v>
      </c>
      <c r="G751" t="s">
        <v>70</v>
      </c>
      <c r="H751" t="s">
        <v>23</v>
      </c>
      <c r="I751" t="s">
        <v>24</v>
      </c>
      <c r="J751" t="s">
        <v>43</v>
      </c>
      <c r="K751" t="s">
        <v>26</v>
      </c>
      <c r="L751" t="s">
        <v>37</v>
      </c>
      <c r="M751">
        <v>8</v>
      </c>
      <c r="N751" s="2">
        <v>98</v>
      </c>
      <c r="O751" s="3">
        <v>6561</v>
      </c>
      <c r="P751">
        <v>0</v>
      </c>
      <c r="Q751">
        <v>4</v>
      </c>
      <c r="R751" t="s">
        <v>33</v>
      </c>
      <c r="S751">
        <v>1</v>
      </c>
    </row>
    <row r="752" spans="1:19" ht="16.5" x14ac:dyDescent="0.3">
      <c r="A752" t="s">
        <v>803</v>
      </c>
      <c r="B752" s="1">
        <v>45378</v>
      </c>
      <c r="C752" s="1">
        <v>45381</v>
      </c>
      <c r="D752">
        <v>2024</v>
      </c>
      <c r="E752" t="s">
        <v>20</v>
      </c>
      <c r="F752" t="s">
        <v>605</v>
      </c>
      <c r="G752" t="s">
        <v>70</v>
      </c>
      <c r="H752" t="s">
        <v>39</v>
      </c>
      <c r="I752" t="s">
        <v>31</v>
      </c>
      <c r="J752" t="s">
        <v>43</v>
      </c>
      <c r="K752" t="s">
        <v>41</v>
      </c>
      <c r="L752" t="s">
        <v>37</v>
      </c>
      <c r="M752">
        <v>3</v>
      </c>
      <c r="N752" s="2"/>
      <c r="O752" s="3">
        <v>2387</v>
      </c>
      <c r="P752">
        <v>0</v>
      </c>
      <c r="Q752">
        <v>4</v>
      </c>
      <c r="R752" t="s">
        <v>33</v>
      </c>
      <c r="S752">
        <v>1</v>
      </c>
    </row>
    <row r="753" spans="1:19" ht="16.5" x14ac:dyDescent="0.3">
      <c r="A753" t="s">
        <v>804</v>
      </c>
      <c r="B753" s="1">
        <v>45379</v>
      </c>
      <c r="C753" s="1">
        <v>45389</v>
      </c>
      <c r="D753">
        <v>2024</v>
      </c>
      <c r="E753" t="s">
        <v>20</v>
      </c>
      <c r="F753" t="s">
        <v>605</v>
      </c>
      <c r="G753" t="s">
        <v>78</v>
      </c>
      <c r="H753" t="s">
        <v>23</v>
      </c>
      <c r="I753" t="s">
        <v>24</v>
      </c>
      <c r="J753" t="s">
        <v>25</v>
      </c>
      <c r="K753" t="s">
        <v>26</v>
      </c>
      <c r="L753" t="s">
        <v>27</v>
      </c>
      <c r="M753">
        <v>10</v>
      </c>
      <c r="N753" s="2">
        <v>28</v>
      </c>
      <c r="O753" s="3">
        <v>5723</v>
      </c>
      <c r="P753">
        <v>0</v>
      </c>
      <c r="Q753">
        <v>5</v>
      </c>
      <c r="R753" t="s">
        <v>33</v>
      </c>
      <c r="S753">
        <v>1</v>
      </c>
    </row>
    <row r="754" spans="1:19" ht="16.5" x14ac:dyDescent="0.3">
      <c r="A754" t="s">
        <v>805</v>
      </c>
      <c r="B754" s="1">
        <v>45379</v>
      </c>
      <c r="C754" s="1">
        <v>45380</v>
      </c>
      <c r="D754">
        <v>2024</v>
      </c>
      <c r="E754" t="s">
        <v>20</v>
      </c>
      <c r="F754" t="s">
        <v>605</v>
      </c>
      <c r="G754" t="s">
        <v>78</v>
      </c>
      <c r="H754" t="s">
        <v>30</v>
      </c>
      <c r="I754" t="s">
        <v>24</v>
      </c>
      <c r="J754" t="s">
        <v>43</v>
      </c>
      <c r="K754" t="s">
        <v>36</v>
      </c>
      <c r="L754" t="s">
        <v>44</v>
      </c>
      <c r="M754">
        <v>1</v>
      </c>
      <c r="N754" s="2">
        <v>39</v>
      </c>
      <c r="O754" s="3">
        <v>2180</v>
      </c>
      <c r="P754">
        <v>1</v>
      </c>
      <c r="Q754">
        <v>3</v>
      </c>
      <c r="R754" t="s">
        <v>33</v>
      </c>
      <c r="S754">
        <v>1</v>
      </c>
    </row>
    <row r="755" spans="1:19" ht="16.5" x14ac:dyDescent="0.3">
      <c r="A755" t="s">
        <v>806</v>
      </c>
      <c r="B755" s="1">
        <v>45379</v>
      </c>
      <c r="C755" s="1">
        <v>45391</v>
      </c>
      <c r="D755">
        <v>2024</v>
      </c>
      <c r="E755" t="s">
        <v>20</v>
      </c>
      <c r="F755" t="s">
        <v>605</v>
      </c>
      <c r="G755" t="s">
        <v>78</v>
      </c>
      <c r="H755" t="s">
        <v>50</v>
      </c>
      <c r="I755" t="s">
        <v>24</v>
      </c>
      <c r="J755" t="s">
        <v>25</v>
      </c>
      <c r="K755" t="s">
        <v>36</v>
      </c>
      <c r="L755" t="s">
        <v>44</v>
      </c>
      <c r="M755">
        <v>12</v>
      </c>
      <c r="N755" s="2">
        <v>92</v>
      </c>
      <c r="O755" s="3">
        <v>17288</v>
      </c>
      <c r="P755">
        <v>0</v>
      </c>
      <c r="Q755">
        <v>3</v>
      </c>
      <c r="R755" t="s">
        <v>28</v>
      </c>
      <c r="S755">
        <v>1</v>
      </c>
    </row>
    <row r="756" spans="1:19" ht="16.5" x14ac:dyDescent="0.3">
      <c r="A756" t="s">
        <v>807</v>
      </c>
      <c r="B756" s="1">
        <v>45379</v>
      </c>
      <c r="C756" s="1">
        <v>45383</v>
      </c>
      <c r="D756">
        <v>2024</v>
      </c>
      <c r="E756" t="s">
        <v>20</v>
      </c>
      <c r="F756" t="s">
        <v>605</v>
      </c>
      <c r="G756" t="s">
        <v>78</v>
      </c>
      <c r="H756" t="s">
        <v>35</v>
      </c>
      <c r="I756" t="s">
        <v>24</v>
      </c>
      <c r="J756" t="s">
        <v>25</v>
      </c>
      <c r="K756" t="s">
        <v>32</v>
      </c>
      <c r="L756" t="s">
        <v>44</v>
      </c>
      <c r="M756">
        <v>4</v>
      </c>
      <c r="N756" s="2">
        <v>22</v>
      </c>
      <c r="O756" s="3">
        <v>3871</v>
      </c>
      <c r="P756">
        <v>0</v>
      </c>
      <c r="Q756">
        <v>5</v>
      </c>
      <c r="R756" t="s">
        <v>28</v>
      </c>
      <c r="S756">
        <v>1</v>
      </c>
    </row>
    <row r="757" spans="1:19" ht="16.5" x14ac:dyDescent="0.3">
      <c r="A757" t="s">
        <v>808</v>
      </c>
      <c r="B757" s="1">
        <v>45379</v>
      </c>
      <c r="C757" s="1">
        <v>45381</v>
      </c>
      <c r="D757">
        <v>2024</v>
      </c>
      <c r="E757" t="s">
        <v>20</v>
      </c>
      <c r="F757" t="s">
        <v>605</v>
      </c>
      <c r="G757" t="s">
        <v>78</v>
      </c>
      <c r="H757" t="s">
        <v>39</v>
      </c>
      <c r="I757" t="s">
        <v>24</v>
      </c>
      <c r="J757" t="s">
        <v>43</v>
      </c>
      <c r="K757" t="s">
        <v>41</v>
      </c>
      <c r="L757" t="s">
        <v>44</v>
      </c>
      <c r="M757">
        <v>2</v>
      </c>
      <c r="N757" s="2">
        <v>19</v>
      </c>
      <c r="O757" s="3">
        <v>1899</v>
      </c>
      <c r="P757">
        <v>0</v>
      </c>
      <c r="Q757">
        <v>5</v>
      </c>
      <c r="R757" t="s">
        <v>59</v>
      </c>
      <c r="S757">
        <v>1</v>
      </c>
    </row>
    <row r="758" spans="1:19" ht="16.5" x14ac:dyDescent="0.3">
      <c r="A758" t="s">
        <v>809</v>
      </c>
      <c r="B758" s="1">
        <v>45379</v>
      </c>
      <c r="C758" s="1">
        <v>45393</v>
      </c>
      <c r="D758">
        <v>2024</v>
      </c>
      <c r="E758" t="s">
        <v>20</v>
      </c>
      <c r="F758" t="s">
        <v>605</v>
      </c>
      <c r="G758" t="s">
        <v>78</v>
      </c>
      <c r="H758" t="s">
        <v>23</v>
      </c>
      <c r="I758" t="s">
        <v>24</v>
      </c>
      <c r="J758" t="s">
        <v>43</v>
      </c>
      <c r="K758" t="s">
        <v>26</v>
      </c>
      <c r="L758" t="s">
        <v>27</v>
      </c>
      <c r="M758">
        <v>14</v>
      </c>
      <c r="N758" s="2">
        <v>76</v>
      </c>
      <c r="O758" s="3">
        <v>8632</v>
      </c>
      <c r="P758">
        <v>0</v>
      </c>
      <c r="Q758">
        <v>4</v>
      </c>
      <c r="R758" t="s">
        <v>33</v>
      </c>
      <c r="S758">
        <v>1</v>
      </c>
    </row>
    <row r="759" spans="1:19" ht="16.5" x14ac:dyDescent="0.3">
      <c r="A759" t="s">
        <v>810</v>
      </c>
      <c r="B759" s="1">
        <v>45379</v>
      </c>
      <c r="C759" s="1">
        <v>45386</v>
      </c>
      <c r="D759">
        <v>2024</v>
      </c>
      <c r="E759" t="s">
        <v>20</v>
      </c>
      <c r="F759" t="s">
        <v>605</v>
      </c>
      <c r="G759" t="s">
        <v>78</v>
      </c>
      <c r="H759" t="s">
        <v>39</v>
      </c>
      <c r="I759" t="s">
        <v>24</v>
      </c>
      <c r="J759" t="s">
        <v>43</v>
      </c>
      <c r="K759" t="s">
        <v>41</v>
      </c>
      <c r="L759" t="s">
        <v>44</v>
      </c>
      <c r="M759">
        <v>7</v>
      </c>
      <c r="N759" s="2">
        <v>31</v>
      </c>
      <c r="O759" s="3">
        <v>4806</v>
      </c>
      <c r="P759">
        <v>0</v>
      </c>
      <c r="Q759">
        <v>5</v>
      </c>
      <c r="R759" t="s">
        <v>33</v>
      </c>
      <c r="S759">
        <v>1</v>
      </c>
    </row>
    <row r="760" spans="1:19" ht="16.5" x14ac:dyDescent="0.3">
      <c r="A760" t="s">
        <v>811</v>
      </c>
      <c r="B760" s="1">
        <v>45379</v>
      </c>
      <c r="C760" s="1">
        <v>45382</v>
      </c>
      <c r="D760">
        <v>2024</v>
      </c>
      <c r="E760" t="s">
        <v>20</v>
      </c>
      <c r="F760" t="s">
        <v>605</v>
      </c>
      <c r="G760" t="s">
        <v>78</v>
      </c>
      <c r="H760" t="s">
        <v>35</v>
      </c>
      <c r="I760" t="s">
        <v>40</v>
      </c>
      <c r="J760" t="s">
        <v>25</v>
      </c>
      <c r="K760" t="s">
        <v>36</v>
      </c>
      <c r="L760" t="s">
        <v>27</v>
      </c>
      <c r="M760">
        <v>3</v>
      </c>
      <c r="N760" s="2"/>
      <c r="O760" s="3">
        <v>2819</v>
      </c>
      <c r="P760">
        <v>0</v>
      </c>
      <c r="Q760">
        <v>5</v>
      </c>
      <c r="R760" t="s">
        <v>33</v>
      </c>
      <c r="S760">
        <v>1</v>
      </c>
    </row>
    <row r="761" spans="1:19" ht="16.5" x14ac:dyDescent="0.3">
      <c r="A761" t="s">
        <v>812</v>
      </c>
      <c r="B761" s="1">
        <v>45379</v>
      </c>
      <c r="C761" s="1">
        <v>45382</v>
      </c>
      <c r="D761">
        <v>2024</v>
      </c>
      <c r="E761" t="s">
        <v>20</v>
      </c>
      <c r="F761" t="s">
        <v>605</v>
      </c>
      <c r="G761" t="s">
        <v>78</v>
      </c>
      <c r="H761" t="s">
        <v>23</v>
      </c>
      <c r="I761" t="s">
        <v>24</v>
      </c>
      <c r="J761" t="s">
        <v>25</v>
      </c>
      <c r="K761" t="s">
        <v>26</v>
      </c>
      <c r="L761" t="s">
        <v>27</v>
      </c>
      <c r="M761">
        <v>3</v>
      </c>
      <c r="N761" s="2">
        <v>49</v>
      </c>
      <c r="O761" s="3">
        <v>2138</v>
      </c>
      <c r="P761">
        <v>0</v>
      </c>
      <c r="Q761">
        <v>4</v>
      </c>
      <c r="R761" t="s">
        <v>33</v>
      </c>
      <c r="S761">
        <v>1</v>
      </c>
    </row>
    <row r="762" spans="1:19" ht="16.5" x14ac:dyDescent="0.3">
      <c r="A762" t="s">
        <v>813</v>
      </c>
      <c r="B762" s="1">
        <v>45379</v>
      </c>
      <c r="C762" s="1">
        <v>45385</v>
      </c>
      <c r="D762">
        <v>2024</v>
      </c>
      <c r="E762" t="s">
        <v>20</v>
      </c>
      <c r="F762" t="s">
        <v>605</v>
      </c>
      <c r="G762" t="s">
        <v>78</v>
      </c>
      <c r="H762" t="s">
        <v>39</v>
      </c>
      <c r="I762" t="s">
        <v>24</v>
      </c>
      <c r="J762" t="s">
        <v>25</v>
      </c>
      <c r="K762" t="s">
        <v>41</v>
      </c>
      <c r="L762" t="s">
        <v>44</v>
      </c>
      <c r="M762">
        <v>6</v>
      </c>
      <c r="N762" s="2">
        <v>30</v>
      </c>
      <c r="O762" s="3">
        <v>4160</v>
      </c>
      <c r="P762">
        <v>0</v>
      </c>
      <c r="Q762">
        <v>4</v>
      </c>
      <c r="R762" t="s">
        <v>28</v>
      </c>
      <c r="S762">
        <v>1</v>
      </c>
    </row>
    <row r="763" spans="1:19" ht="16.5" x14ac:dyDescent="0.3">
      <c r="A763" t="s">
        <v>814</v>
      </c>
      <c r="B763" s="1">
        <v>45379</v>
      </c>
      <c r="C763" s="1">
        <v>45385</v>
      </c>
      <c r="D763">
        <v>2024</v>
      </c>
      <c r="E763" t="s">
        <v>20</v>
      </c>
      <c r="F763" t="s">
        <v>605</v>
      </c>
      <c r="G763" t="s">
        <v>78</v>
      </c>
      <c r="H763" t="s">
        <v>35</v>
      </c>
      <c r="I763" t="s">
        <v>24</v>
      </c>
      <c r="J763" t="s">
        <v>25</v>
      </c>
      <c r="K763" t="s">
        <v>32</v>
      </c>
      <c r="L763" t="s">
        <v>44</v>
      </c>
      <c r="M763">
        <v>6</v>
      </c>
      <c r="N763" s="2">
        <v>50</v>
      </c>
      <c r="O763" s="3">
        <v>4526</v>
      </c>
      <c r="P763">
        <v>0</v>
      </c>
      <c r="Q763">
        <v>5</v>
      </c>
      <c r="R763" t="s">
        <v>59</v>
      </c>
      <c r="S763">
        <v>1</v>
      </c>
    </row>
    <row r="764" spans="1:19" ht="16.5" x14ac:dyDescent="0.3">
      <c r="A764" t="s">
        <v>815</v>
      </c>
      <c r="B764" s="1">
        <v>45380</v>
      </c>
      <c r="C764" s="1">
        <v>45385</v>
      </c>
      <c r="D764">
        <v>2024</v>
      </c>
      <c r="E764" t="s">
        <v>20</v>
      </c>
      <c r="F764" t="s">
        <v>605</v>
      </c>
      <c r="G764" t="s">
        <v>83</v>
      </c>
      <c r="H764" t="s">
        <v>23</v>
      </c>
      <c r="I764" t="s">
        <v>24</v>
      </c>
      <c r="J764" t="s">
        <v>25</v>
      </c>
      <c r="K764" t="s">
        <v>36</v>
      </c>
      <c r="L764" t="s">
        <v>27</v>
      </c>
      <c r="M764">
        <v>5</v>
      </c>
      <c r="N764" s="2">
        <v>20</v>
      </c>
      <c r="O764" s="3">
        <v>3533</v>
      </c>
      <c r="P764">
        <v>0</v>
      </c>
      <c r="Q764">
        <v>5</v>
      </c>
      <c r="R764" t="s">
        <v>59</v>
      </c>
      <c r="S764">
        <v>1</v>
      </c>
    </row>
    <row r="765" spans="1:19" ht="16.5" x14ac:dyDescent="0.3">
      <c r="A765" t="s">
        <v>816</v>
      </c>
      <c r="B765" s="1">
        <v>45380</v>
      </c>
      <c r="C765" s="1">
        <v>45386</v>
      </c>
      <c r="D765">
        <v>2024</v>
      </c>
      <c r="E765" t="s">
        <v>20</v>
      </c>
      <c r="F765" t="s">
        <v>605</v>
      </c>
      <c r="G765" t="s">
        <v>83</v>
      </c>
      <c r="H765" t="s">
        <v>52</v>
      </c>
      <c r="I765" t="s">
        <v>40</v>
      </c>
      <c r="J765" t="s">
        <v>43</v>
      </c>
      <c r="K765" t="s">
        <v>53</v>
      </c>
      <c r="L765" t="s">
        <v>44</v>
      </c>
      <c r="M765">
        <v>6</v>
      </c>
      <c r="N765" s="2"/>
      <c r="O765" s="3">
        <v>7924</v>
      </c>
      <c r="P765">
        <v>0</v>
      </c>
      <c r="Q765">
        <v>5</v>
      </c>
      <c r="R765" t="s">
        <v>33</v>
      </c>
      <c r="S765">
        <v>1</v>
      </c>
    </row>
    <row r="766" spans="1:19" ht="16.5" x14ac:dyDescent="0.3">
      <c r="A766" t="s">
        <v>817</v>
      </c>
      <c r="B766" s="1">
        <v>45380</v>
      </c>
      <c r="C766" s="1">
        <v>45388</v>
      </c>
      <c r="D766">
        <v>2024</v>
      </c>
      <c r="E766" t="s">
        <v>20</v>
      </c>
      <c r="F766" t="s">
        <v>605</v>
      </c>
      <c r="G766" t="s">
        <v>83</v>
      </c>
      <c r="H766" t="s">
        <v>50</v>
      </c>
      <c r="I766" t="s">
        <v>40</v>
      </c>
      <c r="J766" t="s">
        <v>25</v>
      </c>
      <c r="K766" t="s">
        <v>26</v>
      </c>
      <c r="L766" t="s">
        <v>44</v>
      </c>
      <c r="M766">
        <v>8</v>
      </c>
      <c r="N766" s="2"/>
      <c r="O766" s="3">
        <v>11780</v>
      </c>
      <c r="P766">
        <v>0</v>
      </c>
      <c r="Q766">
        <v>4</v>
      </c>
      <c r="R766" t="s">
        <v>28</v>
      </c>
      <c r="S766">
        <v>1</v>
      </c>
    </row>
    <row r="767" spans="1:19" ht="16.5" x14ac:dyDescent="0.3">
      <c r="A767" t="s">
        <v>818</v>
      </c>
      <c r="B767" s="1">
        <v>45380</v>
      </c>
      <c r="C767" s="1">
        <v>45385</v>
      </c>
      <c r="D767">
        <v>2024</v>
      </c>
      <c r="E767" t="s">
        <v>20</v>
      </c>
      <c r="F767" t="s">
        <v>605</v>
      </c>
      <c r="G767" t="s">
        <v>83</v>
      </c>
      <c r="H767" t="s">
        <v>50</v>
      </c>
      <c r="I767" t="s">
        <v>31</v>
      </c>
      <c r="J767" t="s">
        <v>43</v>
      </c>
      <c r="K767" t="s">
        <v>26</v>
      </c>
      <c r="L767" t="s">
        <v>44</v>
      </c>
      <c r="M767">
        <v>5</v>
      </c>
      <c r="N767" s="2"/>
      <c r="O767" s="3">
        <v>6597</v>
      </c>
      <c r="P767">
        <v>0</v>
      </c>
      <c r="Q767">
        <v>5</v>
      </c>
      <c r="R767" t="s">
        <v>33</v>
      </c>
      <c r="S767">
        <v>1</v>
      </c>
    </row>
    <row r="768" spans="1:19" ht="16.5" x14ac:dyDescent="0.3">
      <c r="A768" t="s">
        <v>819</v>
      </c>
      <c r="B768" s="1">
        <v>45380</v>
      </c>
      <c r="C768" s="1">
        <v>45382</v>
      </c>
      <c r="D768">
        <v>2024</v>
      </c>
      <c r="E768" t="s">
        <v>20</v>
      </c>
      <c r="F768" t="s">
        <v>605</v>
      </c>
      <c r="G768" t="s">
        <v>83</v>
      </c>
      <c r="H768" t="s">
        <v>39</v>
      </c>
      <c r="I768" t="s">
        <v>40</v>
      </c>
      <c r="J768" t="s">
        <v>25</v>
      </c>
      <c r="K768" t="s">
        <v>41</v>
      </c>
      <c r="L768" t="s">
        <v>44</v>
      </c>
      <c r="M768">
        <v>2</v>
      </c>
      <c r="N768" s="2"/>
      <c r="O768" s="3">
        <v>1772</v>
      </c>
      <c r="P768">
        <v>0</v>
      </c>
      <c r="Q768">
        <v>4</v>
      </c>
      <c r="R768" t="s">
        <v>33</v>
      </c>
      <c r="S768">
        <v>1</v>
      </c>
    </row>
    <row r="769" spans="1:19" ht="16.5" x14ac:dyDescent="0.3">
      <c r="A769" t="s">
        <v>820</v>
      </c>
      <c r="B769" s="1">
        <v>45380</v>
      </c>
      <c r="C769" s="1">
        <v>45386</v>
      </c>
      <c r="D769">
        <v>2024</v>
      </c>
      <c r="E769" t="s">
        <v>20</v>
      </c>
      <c r="F769" t="s">
        <v>605</v>
      </c>
      <c r="G769" t="s">
        <v>83</v>
      </c>
      <c r="H769" t="s">
        <v>35</v>
      </c>
      <c r="I769" t="s">
        <v>24</v>
      </c>
      <c r="J769" t="s">
        <v>25</v>
      </c>
      <c r="K769" t="s">
        <v>36</v>
      </c>
      <c r="L769" t="s">
        <v>27</v>
      </c>
      <c r="M769">
        <v>6</v>
      </c>
      <c r="N769" s="2">
        <v>134</v>
      </c>
      <c r="O769" s="3">
        <v>3887</v>
      </c>
      <c r="P769">
        <v>0</v>
      </c>
      <c r="Q769">
        <v>3</v>
      </c>
      <c r="R769" t="s">
        <v>33</v>
      </c>
      <c r="S769">
        <v>1</v>
      </c>
    </row>
    <row r="770" spans="1:19" ht="16.5" x14ac:dyDescent="0.3">
      <c r="A770" t="s">
        <v>821</v>
      </c>
      <c r="B770" s="1">
        <v>45380</v>
      </c>
      <c r="C770" s="1">
        <v>45381</v>
      </c>
      <c r="D770">
        <v>2024</v>
      </c>
      <c r="E770" t="s">
        <v>20</v>
      </c>
      <c r="F770" t="s">
        <v>605</v>
      </c>
      <c r="G770" t="s">
        <v>83</v>
      </c>
      <c r="H770" t="s">
        <v>35</v>
      </c>
      <c r="I770" t="s">
        <v>24</v>
      </c>
      <c r="J770" t="s">
        <v>25</v>
      </c>
      <c r="K770" t="s">
        <v>32</v>
      </c>
      <c r="L770" t="s">
        <v>44</v>
      </c>
      <c r="M770">
        <v>1</v>
      </c>
      <c r="N770" s="2">
        <v>27</v>
      </c>
      <c r="O770" s="3">
        <v>1674</v>
      </c>
      <c r="P770">
        <v>0</v>
      </c>
      <c r="Q770">
        <v>3</v>
      </c>
      <c r="R770" t="s">
        <v>28</v>
      </c>
      <c r="S770">
        <v>1</v>
      </c>
    </row>
    <row r="771" spans="1:19" ht="16.5" x14ac:dyDescent="0.3">
      <c r="A771" t="s">
        <v>822</v>
      </c>
      <c r="B771" s="1">
        <v>45380</v>
      </c>
      <c r="C771" s="1">
        <v>45387</v>
      </c>
      <c r="D771">
        <v>2024</v>
      </c>
      <c r="E771" t="s">
        <v>20</v>
      </c>
      <c r="F771" t="s">
        <v>605</v>
      </c>
      <c r="G771" t="s">
        <v>83</v>
      </c>
      <c r="H771" t="s">
        <v>39</v>
      </c>
      <c r="I771" t="s">
        <v>24</v>
      </c>
      <c r="J771" t="s">
        <v>25</v>
      </c>
      <c r="K771" t="s">
        <v>41</v>
      </c>
      <c r="L771" t="s">
        <v>37</v>
      </c>
      <c r="M771">
        <v>7</v>
      </c>
      <c r="N771" s="2">
        <v>275</v>
      </c>
      <c r="O771" s="3">
        <v>4674</v>
      </c>
      <c r="P771">
        <v>0</v>
      </c>
      <c r="Q771">
        <v>3</v>
      </c>
      <c r="R771" t="s">
        <v>165</v>
      </c>
      <c r="S771">
        <v>1</v>
      </c>
    </row>
    <row r="772" spans="1:19" ht="16.5" x14ac:dyDescent="0.3">
      <c r="A772" t="s">
        <v>823</v>
      </c>
      <c r="B772" s="1">
        <v>45380</v>
      </c>
      <c r="C772" s="1">
        <v>45381</v>
      </c>
      <c r="D772">
        <v>2024</v>
      </c>
      <c r="E772" t="s">
        <v>20</v>
      </c>
      <c r="F772" t="s">
        <v>605</v>
      </c>
      <c r="G772" t="s">
        <v>83</v>
      </c>
      <c r="H772" t="s">
        <v>35</v>
      </c>
      <c r="I772" t="s">
        <v>24</v>
      </c>
      <c r="J772" t="s">
        <v>25</v>
      </c>
      <c r="K772" t="s">
        <v>32</v>
      </c>
      <c r="L772" t="s">
        <v>44</v>
      </c>
      <c r="M772">
        <v>1</v>
      </c>
      <c r="N772" s="2">
        <v>71</v>
      </c>
      <c r="O772" s="3">
        <v>1325</v>
      </c>
      <c r="P772">
        <v>0</v>
      </c>
      <c r="Q772">
        <v>5</v>
      </c>
      <c r="R772" t="s">
        <v>28</v>
      </c>
      <c r="S772">
        <v>1</v>
      </c>
    </row>
    <row r="773" spans="1:19" ht="16.5" x14ac:dyDescent="0.3">
      <c r="A773" t="s">
        <v>824</v>
      </c>
      <c r="B773" s="1">
        <v>45381</v>
      </c>
      <c r="C773" s="1">
        <v>45385</v>
      </c>
      <c r="D773">
        <v>2024</v>
      </c>
      <c r="E773" t="s">
        <v>20</v>
      </c>
      <c r="F773" t="s">
        <v>605</v>
      </c>
      <c r="G773" t="s">
        <v>102</v>
      </c>
      <c r="H773" t="s">
        <v>30</v>
      </c>
      <c r="I773" t="s">
        <v>40</v>
      </c>
      <c r="J773" t="s">
        <v>43</v>
      </c>
      <c r="K773" t="s">
        <v>53</v>
      </c>
      <c r="L773" t="s">
        <v>44</v>
      </c>
      <c r="M773">
        <v>4</v>
      </c>
      <c r="N773" s="2"/>
      <c r="O773" s="3">
        <v>5819</v>
      </c>
      <c r="P773">
        <v>0</v>
      </c>
      <c r="Q773">
        <v>3</v>
      </c>
      <c r="R773" t="s">
        <v>33</v>
      </c>
      <c r="S773">
        <v>1</v>
      </c>
    </row>
    <row r="774" spans="1:19" ht="16.5" x14ac:dyDescent="0.3">
      <c r="A774" t="s">
        <v>825</v>
      </c>
      <c r="B774" s="1">
        <v>45381</v>
      </c>
      <c r="C774" s="1">
        <v>45389</v>
      </c>
      <c r="D774">
        <v>2024</v>
      </c>
      <c r="E774" t="s">
        <v>20</v>
      </c>
      <c r="F774" t="s">
        <v>605</v>
      </c>
      <c r="G774" t="s">
        <v>102</v>
      </c>
      <c r="H774" t="s">
        <v>50</v>
      </c>
      <c r="I774" t="s">
        <v>24</v>
      </c>
      <c r="J774" t="s">
        <v>25</v>
      </c>
      <c r="K774" t="s">
        <v>53</v>
      </c>
      <c r="L774" t="s">
        <v>44</v>
      </c>
      <c r="M774">
        <v>8</v>
      </c>
      <c r="N774" s="2">
        <v>115</v>
      </c>
      <c r="O774" s="3">
        <v>8670</v>
      </c>
      <c r="P774">
        <v>0</v>
      </c>
      <c r="Q774">
        <v>3</v>
      </c>
      <c r="R774" t="s">
        <v>33</v>
      </c>
      <c r="S774">
        <v>1</v>
      </c>
    </row>
    <row r="775" spans="1:19" ht="16.5" x14ac:dyDescent="0.3">
      <c r="A775" t="s">
        <v>826</v>
      </c>
      <c r="B775" s="1">
        <v>45381</v>
      </c>
      <c r="C775" s="1">
        <v>45384</v>
      </c>
      <c r="D775">
        <v>2024</v>
      </c>
      <c r="E775" t="s">
        <v>20</v>
      </c>
      <c r="F775" t="s">
        <v>605</v>
      </c>
      <c r="G775" t="s">
        <v>102</v>
      </c>
      <c r="H775" t="s">
        <v>30</v>
      </c>
      <c r="I775" t="s">
        <v>40</v>
      </c>
      <c r="J775" t="s">
        <v>43</v>
      </c>
      <c r="K775" t="s">
        <v>36</v>
      </c>
      <c r="L775" t="s">
        <v>27</v>
      </c>
      <c r="M775">
        <v>3</v>
      </c>
      <c r="N775" s="2"/>
      <c r="O775" s="3">
        <v>4665</v>
      </c>
      <c r="P775">
        <v>0</v>
      </c>
      <c r="Q775">
        <v>5</v>
      </c>
      <c r="R775" t="s">
        <v>28</v>
      </c>
      <c r="S775">
        <v>1</v>
      </c>
    </row>
    <row r="776" spans="1:19" ht="16.5" x14ac:dyDescent="0.3">
      <c r="A776" t="s">
        <v>827</v>
      </c>
      <c r="B776" s="1">
        <v>45381</v>
      </c>
      <c r="C776" s="1">
        <v>45390</v>
      </c>
      <c r="D776">
        <v>2024</v>
      </c>
      <c r="E776" t="s">
        <v>20</v>
      </c>
      <c r="F776" t="s">
        <v>605</v>
      </c>
      <c r="G776" t="s">
        <v>102</v>
      </c>
      <c r="H776" t="s">
        <v>23</v>
      </c>
      <c r="I776" t="s">
        <v>24</v>
      </c>
      <c r="J776" t="s">
        <v>25</v>
      </c>
      <c r="K776" t="s">
        <v>32</v>
      </c>
      <c r="L776" t="s">
        <v>44</v>
      </c>
      <c r="M776">
        <v>9</v>
      </c>
      <c r="N776" s="2">
        <v>54</v>
      </c>
      <c r="O776" s="3">
        <v>5130</v>
      </c>
      <c r="P776">
        <v>0</v>
      </c>
      <c r="Q776">
        <v>4</v>
      </c>
      <c r="R776" t="s">
        <v>33</v>
      </c>
      <c r="S776">
        <v>1</v>
      </c>
    </row>
    <row r="777" spans="1:19" ht="16.5" x14ac:dyDescent="0.3">
      <c r="A777" t="s">
        <v>828</v>
      </c>
      <c r="B777" s="1">
        <v>45382</v>
      </c>
      <c r="C777" s="1">
        <v>45390</v>
      </c>
      <c r="D777">
        <v>2024</v>
      </c>
      <c r="E777" t="s">
        <v>20</v>
      </c>
      <c r="F777" t="s">
        <v>605</v>
      </c>
      <c r="G777" t="s">
        <v>112</v>
      </c>
      <c r="H777" t="s">
        <v>23</v>
      </c>
      <c r="I777" t="s">
        <v>24</v>
      </c>
      <c r="J777" t="s">
        <v>43</v>
      </c>
      <c r="K777" t="s">
        <v>26</v>
      </c>
      <c r="L777" t="s">
        <v>27</v>
      </c>
      <c r="M777">
        <v>8</v>
      </c>
      <c r="N777" s="2">
        <v>24</v>
      </c>
      <c r="O777" s="3">
        <v>5744</v>
      </c>
      <c r="P777">
        <v>0</v>
      </c>
      <c r="Q777">
        <v>4</v>
      </c>
      <c r="R777" t="s">
        <v>28</v>
      </c>
      <c r="S777">
        <v>1</v>
      </c>
    </row>
    <row r="778" spans="1:19" ht="16.5" x14ac:dyDescent="0.3">
      <c r="A778" t="s">
        <v>829</v>
      </c>
      <c r="B778" s="1">
        <v>45382</v>
      </c>
      <c r="C778" s="1">
        <v>45383</v>
      </c>
      <c r="D778">
        <v>2024</v>
      </c>
      <c r="E778" t="s">
        <v>20</v>
      </c>
      <c r="F778" t="s">
        <v>605</v>
      </c>
      <c r="G778" t="s">
        <v>112</v>
      </c>
      <c r="H778" t="s">
        <v>35</v>
      </c>
      <c r="I778" t="s">
        <v>24</v>
      </c>
      <c r="J778" t="s">
        <v>25</v>
      </c>
      <c r="K778" t="s">
        <v>36</v>
      </c>
      <c r="L778" t="s">
        <v>27</v>
      </c>
      <c r="M778">
        <v>1</v>
      </c>
      <c r="N778" s="2">
        <v>58</v>
      </c>
      <c r="O778" s="3">
        <v>1630</v>
      </c>
      <c r="P778">
        <v>0</v>
      </c>
      <c r="Q778">
        <v>4</v>
      </c>
      <c r="R778" t="s">
        <v>28</v>
      </c>
      <c r="S778">
        <v>1</v>
      </c>
    </row>
    <row r="779" spans="1:19" ht="16.5" x14ac:dyDescent="0.3">
      <c r="A779" t="s">
        <v>830</v>
      </c>
      <c r="B779" s="1">
        <v>45382</v>
      </c>
      <c r="C779" s="1">
        <v>45383</v>
      </c>
      <c r="D779">
        <v>2024</v>
      </c>
      <c r="E779" t="s">
        <v>20</v>
      </c>
      <c r="F779" t="s">
        <v>605</v>
      </c>
      <c r="G779" t="s">
        <v>112</v>
      </c>
      <c r="H779" t="s">
        <v>23</v>
      </c>
      <c r="I779" t="s">
        <v>24</v>
      </c>
      <c r="J779" t="s">
        <v>25</v>
      </c>
      <c r="K779" t="s">
        <v>53</v>
      </c>
      <c r="L779" t="s">
        <v>44</v>
      </c>
      <c r="M779">
        <v>1</v>
      </c>
      <c r="N779" s="2">
        <v>20</v>
      </c>
      <c r="O779" s="3">
        <v>1615</v>
      </c>
      <c r="P779">
        <v>0</v>
      </c>
      <c r="Q779">
        <v>4</v>
      </c>
      <c r="R779" t="s">
        <v>28</v>
      </c>
      <c r="S779">
        <v>1</v>
      </c>
    </row>
    <row r="780" spans="1:19" ht="16.5" x14ac:dyDescent="0.3">
      <c r="A780" t="s">
        <v>831</v>
      </c>
      <c r="B780" s="1">
        <v>45382</v>
      </c>
      <c r="C780" s="1">
        <v>45387</v>
      </c>
      <c r="D780">
        <v>2024</v>
      </c>
      <c r="E780" t="s">
        <v>20</v>
      </c>
      <c r="F780" t="s">
        <v>605</v>
      </c>
      <c r="G780" t="s">
        <v>112</v>
      </c>
      <c r="H780" t="s">
        <v>30</v>
      </c>
      <c r="I780" t="s">
        <v>24</v>
      </c>
      <c r="J780" t="s">
        <v>25</v>
      </c>
      <c r="K780" t="s">
        <v>36</v>
      </c>
      <c r="L780" t="s">
        <v>37</v>
      </c>
      <c r="M780">
        <v>5</v>
      </c>
      <c r="N780" s="2">
        <v>22</v>
      </c>
      <c r="O780" s="3">
        <v>6931</v>
      </c>
      <c r="P780">
        <v>0</v>
      </c>
      <c r="Q780">
        <v>4</v>
      </c>
      <c r="R780" t="s">
        <v>33</v>
      </c>
      <c r="S780">
        <v>1</v>
      </c>
    </row>
    <row r="781" spans="1:19" ht="16.5" x14ac:dyDescent="0.3">
      <c r="A781" t="s">
        <v>832</v>
      </c>
      <c r="B781" s="1">
        <v>45382</v>
      </c>
      <c r="C781" s="1">
        <v>45385</v>
      </c>
      <c r="D781">
        <v>2024</v>
      </c>
      <c r="E781" t="s">
        <v>20</v>
      </c>
      <c r="F781" t="s">
        <v>605</v>
      </c>
      <c r="G781" t="s">
        <v>112</v>
      </c>
      <c r="H781" t="s">
        <v>23</v>
      </c>
      <c r="I781" t="s">
        <v>24</v>
      </c>
      <c r="J781" t="s">
        <v>43</v>
      </c>
      <c r="K781" t="s">
        <v>36</v>
      </c>
      <c r="L781" t="s">
        <v>44</v>
      </c>
      <c r="M781">
        <v>3</v>
      </c>
      <c r="N781" s="2">
        <v>116</v>
      </c>
      <c r="O781" s="3">
        <v>3267</v>
      </c>
      <c r="P781">
        <v>0</v>
      </c>
      <c r="Q781">
        <v>2</v>
      </c>
      <c r="R781" t="s">
        <v>33</v>
      </c>
      <c r="S781">
        <v>1</v>
      </c>
    </row>
    <row r="782" spans="1:19" ht="16.5" x14ac:dyDescent="0.3">
      <c r="A782" t="s">
        <v>833</v>
      </c>
      <c r="B782" s="1">
        <v>45382</v>
      </c>
      <c r="C782" s="1">
        <v>45392</v>
      </c>
      <c r="D782">
        <v>2024</v>
      </c>
      <c r="E782" t="s">
        <v>20</v>
      </c>
      <c r="F782" t="s">
        <v>605</v>
      </c>
      <c r="G782" t="s">
        <v>112</v>
      </c>
      <c r="H782" t="s">
        <v>50</v>
      </c>
      <c r="I782" t="s">
        <v>40</v>
      </c>
      <c r="J782" t="s">
        <v>25</v>
      </c>
      <c r="K782" t="s">
        <v>26</v>
      </c>
      <c r="L782" t="s">
        <v>27</v>
      </c>
      <c r="M782">
        <v>10</v>
      </c>
      <c r="N782" s="2"/>
      <c r="O782" s="3">
        <v>10123</v>
      </c>
      <c r="P782">
        <v>0</v>
      </c>
      <c r="Q782">
        <v>4</v>
      </c>
      <c r="R782" t="s">
        <v>28</v>
      </c>
      <c r="S782">
        <v>1</v>
      </c>
    </row>
    <row r="783" spans="1:19" ht="16.5" x14ac:dyDescent="0.3">
      <c r="A783" t="s">
        <v>834</v>
      </c>
      <c r="B783" s="1">
        <v>45382</v>
      </c>
      <c r="C783" s="1">
        <v>45386</v>
      </c>
      <c r="D783">
        <v>2024</v>
      </c>
      <c r="E783" t="s">
        <v>20</v>
      </c>
      <c r="F783" t="s">
        <v>605</v>
      </c>
      <c r="G783" t="s">
        <v>112</v>
      </c>
      <c r="H783" t="s">
        <v>23</v>
      </c>
      <c r="I783" t="s">
        <v>24</v>
      </c>
      <c r="J783" t="s">
        <v>25</v>
      </c>
      <c r="K783" t="s">
        <v>26</v>
      </c>
      <c r="L783" t="s">
        <v>27</v>
      </c>
      <c r="M783">
        <v>4</v>
      </c>
      <c r="N783" s="2">
        <v>18</v>
      </c>
      <c r="O783" s="3">
        <v>2358</v>
      </c>
      <c r="P783">
        <v>0</v>
      </c>
      <c r="Q783">
        <v>5</v>
      </c>
      <c r="R783" t="s">
        <v>33</v>
      </c>
      <c r="S783">
        <v>1</v>
      </c>
    </row>
    <row r="784" spans="1:19" ht="16.5" x14ac:dyDescent="0.3">
      <c r="A784" t="s">
        <v>835</v>
      </c>
      <c r="B784" s="1">
        <v>45383</v>
      </c>
      <c r="C784" s="1">
        <v>45387</v>
      </c>
      <c r="D784">
        <v>2024</v>
      </c>
      <c r="E784" t="s">
        <v>836</v>
      </c>
      <c r="F784" t="s">
        <v>837</v>
      </c>
      <c r="G784" t="s">
        <v>22</v>
      </c>
      <c r="H784" t="s">
        <v>30</v>
      </c>
      <c r="I784" t="s">
        <v>40</v>
      </c>
      <c r="J784" t="s">
        <v>25</v>
      </c>
      <c r="K784" t="s">
        <v>32</v>
      </c>
      <c r="L784" t="s">
        <v>27</v>
      </c>
      <c r="M784">
        <v>4</v>
      </c>
      <c r="N784" s="2"/>
      <c r="O784" s="3">
        <v>5304</v>
      </c>
      <c r="P784">
        <v>0</v>
      </c>
      <c r="Q784">
        <v>4</v>
      </c>
      <c r="R784" t="s">
        <v>28</v>
      </c>
      <c r="S784">
        <v>1</v>
      </c>
    </row>
    <row r="785" spans="1:19" ht="16.5" x14ac:dyDescent="0.3">
      <c r="A785" t="s">
        <v>838</v>
      </c>
      <c r="B785" s="1">
        <v>45383</v>
      </c>
      <c r="C785" s="1">
        <v>45384</v>
      </c>
      <c r="D785">
        <v>2024</v>
      </c>
      <c r="E785" t="s">
        <v>836</v>
      </c>
      <c r="F785" t="s">
        <v>837</v>
      </c>
      <c r="G785" t="s">
        <v>22</v>
      </c>
      <c r="H785" t="s">
        <v>30</v>
      </c>
      <c r="I785" t="s">
        <v>40</v>
      </c>
      <c r="J785" t="s">
        <v>43</v>
      </c>
      <c r="K785" t="s">
        <v>53</v>
      </c>
      <c r="L785" t="s">
        <v>27</v>
      </c>
      <c r="M785">
        <v>1</v>
      </c>
      <c r="N785" s="2"/>
      <c r="O785" s="3">
        <v>1767</v>
      </c>
      <c r="P785">
        <v>0</v>
      </c>
      <c r="Q785">
        <v>4</v>
      </c>
      <c r="R785" t="s">
        <v>28</v>
      </c>
      <c r="S785">
        <v>1</v>
      </c>
    </row>
    <row r="786" spans="1:19" ht="16.5" x14ac:dyDescent="0.3">
      <c r="A786" t="s">
        <v>839</v>
      </c>
      <c r="B786" s="1">
        <v>45383</v>
      </c>
      <c r="C786" s="1">
        <v>45385</v>
      </c>
      <c r="D786">
        <v>2024</v>
      </c>
      <c r="E786" t="s">
        <v>836</v>
      </c>
      <c r="F786" t="s">
        <v>837</v>
      </c>
      <c r="G786" t="s">
        <v>22</v>
      </c>
      <c r="H786" t="s">
        <v>35</v>
      </c>
      <c r="I786" t="s">
        <v>40</v>
      </c>
      <c r="J786" t="s">
        <v>25</v>
      </c>
      <c r="K786" t="s">
        <v>36</v>
      </c>
      <c r="L786" t="s">
        <v>27</v>
      </c>
      <c r="M786">
        <v>2</v>
      </c>
      <c r="N786" s="2"/>
      <c r="O786" s="3">
        <v>2353</v>
      </c>
      <c r="P786">
        <v>0</v>
      </c>
      <c r="Q786">
        <v>4</v>
      </c>
      <c r="R786" t="s">
        <v>28</v>
      </c>
      <c r="S786">
        <v>1</v>
      </c>
    </row>
    <row r="787" spans="1:19" ht="16.5" x14ac:dyDescent="0.3">
      <c r="A787" t="s">
        <v>840</v>
      </c>
      <c r="B787" s="1">
        <v>45383</v>
      </c>
      <c r="C787" s="1">
        <v>45392</v>
      </c>
      <c r="D787">
        <v>2024</v>
      </c>
      <c r="E787" t="s">
        <v>836</v>
      </c>
      <c r="F787" t="s">
        <v>837</v>
      </c>
      <c r="G787" t="s">
        <v>22</v>
      </c>
      <c r="H787" t="s">
        <v>35</v>
      </c>
      <c r="I787" t="s">
        <v>24</v>
      </c>
      <c r="J787" t="s">
        <v>25</v>
      </c>
      <c r="K787" t="s">
        <v>36</v>
      </c>
      <c r="L787" t="s">
        <v>27</v>
      </c>
      <c r="M787">
        <v>9</v>
      </c>
      <c r="N787" s="2">
        <v>86</v>
      </c>
      <c r="O787" s="3">
        <v>5777</v>
      </c>
      <c r="P787">
        <v>0</v>
      </c>
      <c r="Q787">
        <v>4</v>
      </c>
      <c r="R787" t="s">
        <v>28</v>
      </c>
      <c r="S787">
        <v>1</v>
      </c>
    </row>
    <row r="788" spans="1:19" ht="16.5" x14ac:dyDescent="0.3">
      <c r="A788" t="s">
        <v>841</v>
      </c>
      <c r="B788" s="1">
        <v>45383</v>
      </c>
      <c r="C788" s="1">
        <v>45386</v>
      </c>
      <c r="D788">
        <v>2024</v>
      </c>
      <c r="E788" t="s">
        <v>836</v>
      </c>
      <c r="F788" t="s">
        <v>837</v>
      </c>
      <c r="G788" t="s">
        <v>22</v>
      </c>
      <c r="H788" t="s">
        <v>35</v>
      </c>
      <c r="I788" t="s">
        <v>24</v>
      </c>
      <c r="J788" t="s">
        <v>25</v>
      </c>
      <c r="K788" t="s">
        <v>32</v>
      </c>
      <c r="L788" t="s">
        <v>44</v>
      </c>
      <c r="M788">
        <v>3</v>
      </c>
      <c r="N788" s="2">
        <v>33</v>
      </c>
      <c r="O788" s="3">
        <v>2326</v>
      </c>
      <c r="P788">
        <v>0</v>
      </c>
      <c r="Q788">
        <v>4</v>
      </c>
      <c r="R788" t="s">
        <v>59</v>
      </c>
      <c r="S788">
        <v>1</v>
      </c>
    </row>
    <row r="789" spans="1:19" ht="16.5" x14ac:dyDescent="0.3">
      <c r="A789" t="s">
        <v>842</v>
      </c>
      <c r="B789" s="1">
        <v>45383</v>
      </c>
      <c r="C789" s="1">
        <v>45385</v>
      </c>
      <c r="D789">
        <v>2024</v>
      </c>
      <c r="E789" t="s">
        <v>836</v>
      </c>
      <c r="F789" t="s">
        <v>837</v>
      </c>
      <c r="G789" t="s">
        <v>22</v>
      </c>
      <c r="H789" t="s">
        <v>50</v>
      </c>
      <c r="I789" t="s">
        <v>24</v>
      </c>
      <c r="J789" t="s">
        <v>43</v>
      </c>
      <c r="K789" t="s">
        <v>32</v>
      </c>
      <c r="L789" t="s">
        <v>44</v>
      </c>
      <c r="M789">
        <v>2</v>
      </c>
      <c r="N789" s="2">
        <v>70</v>
      </c>
      <c r="O789" s="3">
        <v>2670</v>
      </c>
      <c r="P789">
        <v>0</v>
      </c>
      <c r="Q789">
        <v>4</v>
      </c>
      <c r="R789" t="s">
        <v>33</v>
      </c>
      <c r="S789">
        <v>1</v>
      </c>
    </row>
    <row r="790" spans="1:19" ht="16.5" x14ac:dyDescent="0.3">
      <c r="A790" t="s">
        <v>843</v>
      </c>
      <c r="B790" s="1">
        <v>45383</v>
      </c>
      <c r="C790" s="1">
        <v>45389</v>
      </c>
      <c r="D790">
        <v>2024</v>
      </c>
      <c r="E790" t="s">
        <v>836</v>
      </c>
      <c r="F790" t="s">
        <v>837</v>
      </c>
      <c r="G790" t="s">
        <v>22</v>
      </c>
      <c r="H790" t="s">
        <v>23</v>
      </c>
      <c r="I790" t="s">
        <v>40</v>
      </c>
      <c r="J790" t="s">
        <v>43</v>
      </c>
      <c r="K790" t="s">
        <v>53</v>
      </c>
      <c r="L790" t="s">
        <v>37</v>
      </c>
      <c r="M790">
        <v>6</v>
      </c>
      <c r="N790" s="2"/>
      <c r="O790" s="3">
        <v>4681</v>
      </c>
      <c r="P790">
        <v>0</v>
      </c>
      <c r="Q790">
        <v>4</v>
      </c>
      <c r="R790" t="s">
        <v>28</v>
      </c>
      <c r="S790">
        <v>1</v>
      </c>
    </row>
    <row r="791" spans="1:19" ht="16.5" x14ac:dyDescent="0.3">
      <c r="A791" t="s">
        <v>844</v>
      </c>
      <c r="B791" s="1">
        <v>45383</v>
      </c>
      <c r="C791" s="1">
        <v>45384</v>
      </c>
      <c r="D791">
        <v>2024</v>
      </c>
      <c r="E791" t="s">
        <v>836</v>
      </c>
      <c r="F791" t="s">
        <v>837</v>
      </c>
      <c r="G791" t="s">
        <v>22</v>
      </c>
      <c r="H791" t="s">
        <v>50</v>
      </c>
      <c r="I791" t="s">
        <v>31</v>
      </c>
      <c r="J791" t="s">
        <v>43</v>
      </c>
      <c r="K791" t="s">
        <v>53</v>
      </c>
      <c r="L791" t="s">
        <v>37</v>
      </c>
      <c r="M791">
        <v>1</v>
      </c>
      <c r="N791" s="2"/>
      <c r="O791" s="3">
        <v>1671</v>
      </c>
      <c r="P791">
        <v>0</v>
      </c>
      <c r="Q791">
        <v>3</v>
      </c>
      <c r="R791" t="s">
        <v>33</v>
      </c>
      <c r="S791">
        <v>1</v>
      </c>
    </row>
    <row r="792" spans="1:19" ht="16.5" x14ac:dyDescent="0.3">
      <c r="A792" t="s">
        <v>845</v>
      </c>
      <c r="B792" s="1">
        <v>45383</v>
      </c>
      <c r="C792" s="1">
        <v>45390</v>
      </c>
      <c r="D792">
        <v>2024</v>
      </c>
      <c r="E792" t="s">
        <v>836</v>
      </c>
      <c r="F792" t="s">
        <v>837</v>
      </c>
      <c r="G792" t="s">
        <v>22</v>
      </c>
      <c r="H792" t="s">
        <v>30</v>
      </c>
      <c r="I792" t="s">
        <v>24</v>
      </c>
      <c r="J792" t="s">
        <v>43</v>
      </c>
      <c r="K792" t="s">
        <v>26</v>
      </c>
      <c r="L792" t="s">
        <v>44</v>
      </c>
      <c r="M792">
        <v>7</v>
      </c>
      <c r="N792" s="2">
        <v>50</v>
      </c>
      <c r="O792" s="3">
        <v>9097</v>
      </c>
      <c r="P792">
        <v>0</v>
      </c>
      <c r="Q792">
        <v>5</v>
      </c>
      <c r="R792" t="s">
        <v>59</v>
      </c>
      <c r="S792">
        <v>1</v>
      </c>
    </row>
    <row r="793" spans="1:19" ht="16.5" x14ac:dyDescent="0.3">
      <c r="A793" t="s">
        <v>846</v>
      </c>
      <c r="B793" s="1">
        <v>45384</v>
      </c>
      <c r="C793" s="1">
        <v>45388</v>
      </c>
      <c r="D793">
        <v>2024</v>
      </c>
      <c r="E793" t="s">
        <v>836</v>
      </c>
      <c r="F793" t="s">
        <v>837</v>
      </c>
      <c r="G793" t="s">
        <v>56</v>
      </c>
      <c r="H793" t="s">
        <v>50</v>
      </c>
      <c r="I793" t="s">
        <v>24</v>
      </c>
      <c r="J793" t="s">
        <v>43</v>
      </c>
      <c r="K793" t="s">
        <v>26</v>
      </c>
      <c r="L793" t="s">
        <v>44</v>
      </c>
      <c r="M793">
        <v>4</v>
      </c>
      <c r="N793" s="2">
        <v>43</v>
      </c>
      <c r="O793" s="3">
        <v>4425</v>
      </c>
      <c r="P793">
        <v>1</v>
      </c>
      <c r="Q793">
        <v>3</v>
      </c>
      <c r="R793" t="s">
        <v>33</v>
      </c>
      <c r="S793">
        <v>1</v>
      </c>
    </row>
    <row r="794" spans="1:19" ht="16.5" x14ac:dyDescent="0.3">
      <c r="A794" t="s">
        <v>847</v>
      </c>
      <c r="B794" s="1">
        <v>45384</v>
      </c>
      <c r="C794" s="1">
        <v>45388</v>
      </c>
      <c r="D794">
        <v>2024</v>
      </c>
      <c r="E794" t="s">
        <v>836</v>
      </c>
      <c r="F794" t="s">
        <v>837</v>
      </c>
      <c r="G794" t="s">
        <v>56</v>
      </c>
      <c r="H794" t="s">
        <v>50</v>
      </c>
      <c r="I794" t="s">
        <v>40</v>
      </c>
      <c r="J794" t="s">
        <v>25</v>
      </c>
      <c r="K794" t="s">
        <v>53</v>
      </c>
      <c r="L794" t="s">
        <v>44</v>
      </c>
      <c r="M794">
        <v>4</v>
      </c>
      <c r="N794" s="2"/>
      <c r="O794" s="3">
        <v>5351</v>
      </c>
      <c r="P794">
        <v>0</v>
      </c>
      <c r="Q794">
        <v>4</v>
      </c>
      <c r="R794" t="s">
        <v>28</v>
      </c>
      <c r="S794">
        <v>1</v>
      </c>
    </row>
    <row r="795" spans="1:19" ht="16.5" x14ac:dyDescent="0.3">
      <c r="A795" t="s">
        <v>848</v>
      </c>
      <c r="B795" s="1">
        <v>45384</v>
      </c>
      <c r="C795" s="1">
        <v>45388</v>
      </c>
      <c r="D795">
        <v>2024</v>
      </c>
      <c r="E795" t="s">
        <v>836</v>
      </c>
      <c r="F795" t="s">
        <v>837</v>
      </c>
      <c r="G795" t="s">
        <v>56</v>
      </c>
      <c r="H795" t="s">
        <v>39</v>
      </c>
      <c r="I795" t="s">
        <v>40</v>
      </c>
      <c r="J795" t="s">
        <v>43</v>
      </c>
      <c r="K795" t="s">
        <v>41</v>
      </c>
      <c r="L795" t="s">
        <v>27</v>
      </c>
      <c r="M795">
        <v>4</v>
      </c>
      <c r="N795" s="2"/>
      <c r="O795" s="3">
        <v>3511</v>
      </c>
      <c r="P795">
        <v>0</v>
      </c>
      <c r="Q795">
        <v>5</v>
      </c>
      <c r="R795" t="s">
        <v>33</v>
      </c>
      <c r="S795">
        <v>1</v>
      </c>
    </row>
    <row r="796" spans="1:19" ht="16.5" x14ac:dyDescent="0.3">
      <c r="A796" t="s">
        <v>849</v>
      </c>
      <c r="B796" s="1">
        <v>45384</v>
      </c>
      <c r="C796" s="1">
        <v>45388</v>
      </c>
      <c r="D796">
        <v>2024</v>
      </c>
      <c r="E796" t="s">
        <v>836</v>
      </c>
      <c r="F796" t="s">
        <v>837</v>
      </c>
      <c r="G796" t="s">
        <v>56</v>
      </c>
      <c r="H796" t="s">
        <v>52</v>
      </c>
      <c r="I796" t="s">
        <v>40</v>
      </c>
      <c r="J796" t="s">
        <v>43</v>
      </c>
      <c r="K796" t="s">
        <v>26</v>
      </c>
      <c r="L796" t="s">
        <v>27</v>
      </c>
      <c r="M796">
        <v>4</v>
      </c>
      <c r="N796" s="2"/>
      <c r="O796" s="3">
        <v>5968</v>
      </c>
      <c r="P796">
        <v>0</v>
      </c>
      <c r="Q796">
        <v>5</v>
      </c>
      <c r="R796" t="s">
        <v>33</v>
      </c>
      <c r="S796">
        <v>1</v>
      </c>
    </row>
    <row r="797" spans="1:19" ht="16.5" x14ac:dyDescent="0.3">
      <c r="A797" t="s">
        <v>850</v>
      </c>
      <c r="B797" s="1">
        <v>45384</v>
      </c>
      <c r="C797" s="1">
        <v>45395</v>
      </c>
      <c r="D797">
        <v>2024</v>
      </c>
      <c r="E797" t="s">
        <v>836</v>
      </c>
      <c r="F797" t="s">
        <v>837</v>
      </c>
      <c r="G797" t="s">
        <v>56</v>
      </c>
      <c r="H797" t="s">
        <v>23</v>
      </c>
      <c r="I797" t="s">
        <v>40</v>
      </c>
      <c r="J797" t="s">
        <v>25</v>
      </c>
      <c r="K797" t="s">
        <v>53</v>
      </c>
      <c r="L797" t="s">
        <v>27</v>
      </c>
      <c r="M797">
        <v>11</v>
      </c>
      <c r="N797" s="2"/>
      <c r="O797" s="3">
        <v>6952</v>
      </c>
      <c r="P797">
        <v>0</v>
      </c>
      <c r="Q797">
        <v>4</v>
      </c>
      <c r="R797" t="s">
        <v>28</v>
      </c>
      <c r="S797">
        <v>1</v>
      </c>
    </row>
    <row r="798" spans="1:19" ht="16.5" x14ac:dyDescent="0.3">
      <c r="A798" t="s">
        <v>851</v>
      </c>
      <c r="B798" s="1">
        <v>45384</v>
      </c>
      <c r="C798" s="1">
        <v>45389</v>
      </c>
      <c r="D798">
        <v>2024</v>
      </c>
      <c r="E798" t="s">
        <v>836</v>
      </c>
      <c r="F798" t="s">
        <v>837</v>
      </c>
      <c r="G798" t="s">
        <v>56</v>
      </c>
      <c r="H798" t="s">
        <v>52</v>
      </c>
      <c r="I798" t="s">
        <v>40</v>
      </c>
      <c r="J798" t="s">
        <v>25</v>
      </c>
      <c r="K798" t="s">
        <v>53</v>
      </c>
      <c r="L798" t="s">
        <v>37</v>
      </c>
      <c r="M798">
        <v>5</v>
      </c>
      <c r="N798" s="2"/>
      <c r="O798" s="3">
        <v>5329</v>
      </c>
      <c r="P798">
        <v>0</v>
      </c>
      <c r="Q798">
        <v>4</v>
      </c>
      <c r="R798" t="s">
        <v>28</v>
      </c>
      <c r="S798">
        <v>1</v>
      </c>
    </row>
    <row r="799" spans="1:19" ht="16.5" x14ac:dyDescent="0.3">
      <c r="A799" t="s">
        <v>852</v>
      </c>
      <c r="B799" s="1">
        <v>45384</v>
      </c>
      <c r="C799" s="1">
        <v>45390</v>
      </c>
      <c r="D799">
        <v>2024</v>
      </c>
      <c r="E799" t="s">
        <v>836</v>
      </c>
      <c r="F799" t="s">
        <v>837</v>
      </c>
      <c r="G799" t="s">
        <v>56</v>
      </c>
      <c r="H799" t="s">
        <v>50</v>
      </c>
      <c r="I799" t="s">
        <v>31</v>
      </c>
      <c r="J799" t="s">
        <v>43</v>
      </c>
      <c r="K799" t="s">
        <v>53</v>
      </c>
      <c r="L799" t="s">
        <v>27</v>
      </c>
      <c r="M799">
        <v>6</v>
      </c>
      <c r="N799" s="2"/>
      <c r="O799" s="3">
        <v>7400</v>
      </c>
      <c r="P799">
        <v>0</v>
      </c>
      <c r="Q799">
        <v>4</v>
      </c>
      <c r="R799" t="s">
        <v>33</v>
      </c>
      <c r="S799">
        <v>1</v>
      </c>
    </row>
    <row r="800" spans="1:19" ht="16.5" x14ac:dyDescent="0.3">
      <c r="A800" t="s">
        <v>853</v>
      </c>
      <c r="B800" s="1">
        <v>45384</v>
      </c>
      <c r="C800" s="1">
        <v>45391</v>
      </c>
      <c r="D800">
        <v>2024</v>
      </c>
      <c r="E800" t="s">
        <v>836</v>
      </c>
      <c r="F800" t="s">
        <v>837</v>
      </c>
      <c r="G800" t="s">
        <v>56</v>
      </c>
      <c r="H800" t="s">
        <v>30</v>
      </c>
      <c r="I800" t="s">
        <v>40</v>
      </c>
      <c r="J800" t="s">
        <v>43</v>
      </c>
      <c r="K800" t="s">
        <v>53</v>
      </c>
      <c r="L800" t="s">
        <v>44</v>
      </c>
      <c r="M800">
        <v>7</v>
      </c>
      <c r="N800" s="2"/>
      <c r="O800" s="3">
        <v>10097</v>
      </c>
      <c r="P800">
        <v>0</v>
      </c>
      <c r="Q800">
        <v>5</v>
      </c>
      <c r="R800" t="s">
        <v>33</v>
      </c>
      <c r="S800">
        <v>1</v>
      </c>
    </row>
    <row r="801" spans="1:19" ht="16.5" x14ac:dyDescent="0.3">
      <c r="A801" t="s">
        <v>854</v>
      </c>
      <c r="B801" s="1">
        <v>45384</v>
      </c>
      <c r="C801" s="1">
        <v>45389</v>
      </c>
      <c r="D801">
        <v>2024</v>
      </c>
      <c r="E801" t="s">
        <v>836</v>
      </c>
      <c r="F801" t="s">
        <v>837</v>
      </c>
      <c r="G801" t="s">
        <v>56</v>
      </c>
      <c r="H801" t="s">
        <v>30</v>
      </c>
      <c r="I801" t="s">
        <v>24</v>
      </c>
      <c r="J801" t="s">
        <v>25</v>
      </c>
      <c r="K801" t="s">
        <v>53</v>
      </c>
      <c r="L801" t="s">
        <v>44</v>
      </c>
      <c r="M801">
        <v>5</v>
      </c>
      <c r="N801" s="2">
        <v>17</v>
      </c>
      <c r="O801" s="3">
        <v>5571</v>
      </c>
      <c r="P801">
        <v>0</v>
      </c>
      <c r="Q801">
        <v>5</v>
      </c>
      <c r="R801" t="s">
        <v>33</v>
      </c>
      <c r="S801">
        <v>1</v>
      </c>
    </row>
    <row r="802" spans="1:19" ht="16.5" x14ac:dyDescent="0.3">
      <c r="A802" t="s">
        <v>855</v>
      </c>
      <c r="B802" s="1">
        <v>45384</v>
      </c>
      <c r="C802" s="1">
        <v>45390</v>
      </c>
      <c r="D802">
        <v>2024</v>
      </c>
      <c r="E802" t="s">
        <v>836</v>
      </c>
      <c r="F802" t="s">
        <v>837</v>
      </c>
      <c r="G802" t="s">
        <v>56</v>
      </c>
      <c r="H802" t="s">
        <v>50</v>
      </c>
      <c r="I802" t="s">
        <v>24</v>
      </c>
      <c r="J802" t="s">
        <v>25</v>
      </c>
      <c r="K802" t="s">
        <v>32</v>
      </c>
      <c r="L802" t="s">
        <v>44</v>
      </c>
      <c r="M802">
        <v>6</v>
      </c>
      <c r="N802" s="2">
        <v>66</v>
      </c>
      <c r="O802" s="3">
        <v>7613</v>
      </c>
      <c r="P802">
        <v>0</v>
      </c>
      <c r="Q802">
        <v>5</v>
      </c>
      <c r="R802" t="s">
        <v>33</v>
      </c>
      <c r="S802">
        <v>1</v>
      </c>
    </row>
    <row r="803" spans="1:19" ht="16.5" x14ac:dyDescent="0.3">
      <c r="A803" t="s">
        <v>856</v>
      </c>
      <c r="B803" s="1">
        <v>45385</v>
      </c>
      <c r="C803" s="1">
        <v>45390</v>
      </c>
      <c r="D803">
        <v>2024</v>
      </c>
      <c r="E803" t="s">
        <v>836</v>
      </c>
      <c r="F803" t="s">
        <v>837</v>
      </c>
      <c r="G803" t="s">
        <v>70</v>
      </c>
      <c r="H803" t="s">
        <v>30</v>
      </c>
      <c r="I803" t="s">
        <v>24</v>
      </c>
      <c r="J803" t="s">
        <v>43</v>
      </c>
      <c r="K803" t="s">
        <v>32</v>
      </c>
      <c r="L803" t="s">
        <v>44</v>
      </c>
      <c r="M803">
        <v>5</v>
      </c>
      <c r="N803" s="2">
        <v>71</v>
      </c>
      <c r="O803" s="3">
        <v>7761</v>
      </c>
      <c r="P803">
        <v>0</v>
      </c>
      <c r="Q803">
        <v>4</v>
      </c>
      <c r="R803" t="s">
        <v>33</v>
      </c>
      <c r="S803">
        <v>1</v>
      </c>
    </row>
    <row r="804" spans="1:19" ht="16.5" x14ac:dyDescent="0.3">
      <c r="A804" t="s">
        <v>857</v>
      </c>
      <c r="B804" s="1">
        <v>45385</v>
      </c>
      <c r="C804" s="1">
        <v>45388</v>
      </c>
      <c r="D804">
        <v>2024</v>
      </c>
      <c r="E804" t="s">
        <v>836</v>
      </c>
      <c r="F804" t="s">
        <v>837</v>
      </c>
      <c r="G804" t="s">
        <v>70</v>
      </c>
      <c r="H804" t="s">
        <v>39</v>
      </c>
      <c r="I804" t="s">
        <v>40</v>
      </c>
      <c r="J804" t="s">
        <v>43</v>
      </c>
      <c r="K804" t="s">
        <v>41</v>
      </c>
      <c r="L804" t="s">
        <v>27</v>
      </c>
      <c r="M804">
        <v>3</v>
      </c>
      <c r="N804" s="2"/>
      <c r="O804" s="3">
        <v>2542</v>
      </c>
      <c r="P804">
        <v>0</v>
      </c>
      <c r="Q804">
        <v>5</v>
      </c>
      <c r="R804" t="s">
        <v>33</v>
      </c>
      <c r="S804">
        <v>1</v>
      </c>
    </row>
    <row r="805" spans="1:19" ht="16.5" x14ac:dyDescent="0.3">
      <c r="A805" t="s">
        <v>858</v>
      </c>
      <c r="B805" s="1">
        <v>45385</v>
      </c>
      <c r="C805" s="1">
        <v>45387</v>
      </c>
      <c r="D805">
        <v>2024</v>
      </c>
      <c r="E805" t="s">
        <v>836</v>
      </c>
      <c r="F805" t="s">
        <v>837</v>
      </c>
      <c r="G805" t="s">
        <v>70</v>
      </c>
      <c r="H805" t="s">
        <v>39</v>
      </c>
      <c r="I805" t="s">
        <v>24</v>
      </c>
      <c r="J805" t="s">
        <v>25</v>
      </c>
      <c r="K805" t="s">
        <v>41</v>
      </c>
      <c r="L805" t="s">
        <v>37</v>
      </c>
      <c r="M805">
        <v>2</v>
      </c>
      <c r="N805" s="2">
        <v>70</v>
      </c>
      <c r="O805" s="3">
        <v>1492</v>
      </c>
      <c r="P805">
        <v>0</v>
      </c>
      <c r="Q805">
        <v>3</v>
      </c>
      <c r="R805" t="s">
        <v>165</v>
      </c>
      <c r="S805">
        <v>1</v>
      </c>
    </row>
    <row r="806" spans="1:19" ht="16.5" x14ac:dyDescent="0.3">
      <c r="A806" t="s">
        <v>859</v>
      </c>
      <c r="B806" s="1">
        <v>45385</v>
      </c>
      <c r="C806" s="1">
        <v>45390</v>
      </c>
      <c r="D806">
        <v>2024</v>
      </c>
      <c r="E806" t="s">
        <v>836</v>
      </c>
      <c r="F806" t="s">
        <v>837</v>
      </c>
      <c r="G806" t="s">
        <v>70</v>
      </c>
      <c r="H806" t="s">
        <v>23</v>
      </c>
      <c r="I806" t="s">
        <v>40</v>
      </c>
      <c r="J806" t="s">
        <v>25</v>
      </c>
      <c r="K806" t="s">
        <v>53</v>
      </c>
      <c r="L806" t="s">
        <v>27</v>
      </c>
      <c r="M806">
        <v>5</v>
      </c>
      <c r="N806" s="2"/>
      <c r="O806" s="3">
        <v>3962</v>
      </c>
      <c r="P806">
        <v>0</v>
      </c>
      <c r="Q806">
        <v>4</v>
      </c>
      <c r="R806" t="s">
        <v>33</v>
      </c>
      <c r="S806">
        <v>1</v>
      </c>
    </row>
    <row r="807" spans="1:19" ht="16.5" x14ac:dyDescent="0.3">
      <c r="A807" t="s">
        <v>860</v>
      </c>
      <c r="B807" s="1">
        <v>45385</v>
      </c>
      <c r="C807" s="1">
        <v>45389</v>
      </c>
      <c r="D807">
        <v>2024</v>
      </c>
      <c r="E807" t="s">
        <v>836</v>
      </c>
      <c r="F807" t="s">
        <v>837</v>
      </c>
      <c r="G807" t="s">
        <v>70</v>
      </c>
      <c r="H807" t="s">
        <v>23</v>
      </c>
      <c r="I807" t="s">
        <v>40</v>
      </c>
      <c r="J807" t="s">
        <v>43</v>
      </c>
      <c r="K807" t="s">
        <v>53</v>
      </c>
      <c r="L807" t="s">
        <v>44</v>
      </c>
      <c r="M807">
        <v>4</v>
      </c>
      <c r="N807" s="2"/>
      <c r="O807" s="3">
        <v>4313</v>
      </c>
      <c r="P807">
        <v>0</v>
      </c>
      <c r="Q807">
        <v>4</v>
      </c>
      <c r="R807" t="s">
        <v>33</v>
      </c>
      <c r="S807">
        <v>1</v>
      </c>
    </row>
    <row r="808" spans="1:19" ht="16.5" x14ac:dyDescent="0.3">
      <c r="A808" t="s">
        <v>861</v>
      </c>
      <c r="B808" s="1">
        <v>45385</v>
      </c>
      <c r="C808" s="1">
        <v>45388</v>
      </c>
      <c r="D808">
        <v>2024</v>
      </c>
      <c r="E808" t="s">
        <v>836</v>
      </c>
      <c r="F808" t="s">
        <v>837</v>
      </c>
      <c r="G808" t="s">
        <v>70</v>
      </c>
      <c r="H808" t="s">
        <v>39</v>
      </c>
      <c r="I808" t="s">
        <v>24</v>
      </c>
      <c r="J808" t="s">
        <v>25</v>
      </c>
      <c r="K808" t="s">
        <v>41</v>
      </c>
      <c r="L808" t="s">
        <v>27</v>
      </c>
      <c r="M808">
        <v>3</v>
      </c>
      <c r="N808" s="2">
        <v>33</v>
      </c>
      <c r="O808" s="3">
        <v>2765</v>
      </c>
      <c r="P808">
        <v>0</v>
      </c>
      <c r="Q808">
        <v>4</v>
      </c>
      <c r="R808" t="s">
        <v>28</v>
      </c>
      <c r="S808">
        <v>1</v>
      </c>
    </row>
    <row r="809" spans="1:19" ht="16.5" x14ac:dyDescent="0.3">
      <c r="A809" t="s">
        <v>862</v>
      </c>
      <c r="B809" s="1">
        <v>45385</v>
      </c>
      <c r="C809" s="1">
        <v>45390</v>
      </c>
      <c r="D809">
        <v>2024</v>
      </c>
      <c r="E809" t="s">
        <v>836</v>
      </c>
      <c r="F809" t="s">
        <v>837</v>
      </c>
      <c r="G809" t="s">
        <v>70</v>
      </c>
      <c r="H809" t="s">
        <v>52</v>
      </c>
      <c r="I809" t="s">
        <v>24</v>
      </c>
      <c r="J809" t="s">
        <v>43</v>
      </c>
      <c r="K809" t="s">
        <v>53</v>
      </c>
      <c r="L809" t="s">
        <v>27</v>
      </c>
      <c r="M809">
        <v>5</v>
      </c>
      <c r="N809" s="2">
        <v>45</v>
      </c>
      <c r="O809" s="3">
        <v>5052</v>
      </c>
      <c r="P809">
        <v>0</v>
      </c>
      <c r="Q809">
        <v>5</v>
      </c>
      <c r="R809" t="s">
        <v>59</v>
      </c>
      <c r="S809">
        <v>1</v>
      </c>
    </row>
    <row r="810" spans="1:19" ht="16.5" x14ac:dyDescent="0.3">
      <c r="A810" t="s">
        <v>863</v>
      </c>
      <c r="B810" s="1">
        <v>45385</v>
      </c>
      <c r="C810" s="1">
        <v>45386</v>
      </c>
      <c r="D810">
        <v>2024</v>
      </c>
      <c r="E810" t="s">
        <v>836</v>
      </c>
      <c r="F810" t="s">
        <v>837</v>
      </c>
      <c r="G810" t="s">
        <v>70</v>
      </c>
      <c r="H810" t="s">
        <v>30</v>
      </c>
      <c r="I810" t="s">
        <v>40</v>
      </c>
      <c r="J810" t="s">
        <v>43</v>
      </c>
      <c r="K810" t="s">
        <v>32</v>
      </c>
      <c r="L810" t="s">
        <v>37</v>
      </c>
      <c r="M810">
        <v>1</v>
      </c>
      <c r="N810" s="2"/>
      <c r="O810" s="3">
        <v>1989</v>
      </c>
      <c r="P810">
        <v>0</v>
      </c>
      <c r="Q810">
        <v>4</v>
      </c>
      <c r="R810" t="s">
        <v>59</v>
      </c>
      <c r="S810">
        <v>1</v>
      </c>
    </row>
    <row r="811" spans="1:19" ht="16.5" x14ac:dyDescent="0.3">
      <c r="A811" t="s">
        <v>864</v>
      </c>
      <c r="B811" s="1">
        <v>45386</v>
      </c>
      <c r="C811" s="1">
        <v>45391</v>
      </c>
      <c r="D811">
        <v>2024</v>
      </c>
      <c r="E811" t="s">
        <v>836</v>
      </c>
      <c r="F811" t="s">
        <v>837</v>
      </c>
      <c r="G811" t="s">
        <v>78</v>
      </c>
      <c r="H811" t="s">
        <v>39</v>
      </c>
      <c r="I811" t="s">
        <v>24</v>
      </c>
      <c r="J811" t="s">
        <v>43</v>
      </c>
      <c r="K811" t="s">
        <v>41</v>
      </c>
      <c r="L811" t="s">
        <v>44</v>
      </c>
      <c r="M811">
        <v>5</v>
      </c>
      <c r="N811" s="2">
        <v>42</v>
      </c>
      <c r="O811" s="3">
        <v>4419</v>
      </c>
      <c r="P811">
        <v>0</v>
      </c>
      <c r="Q811">
        <v>3</v>
      </c>
      <c r="R811" t="s">
        <v>33</v>
      </c>
      <c r="S811">
        <v>1</v>
      </c>
    </row>
    <row r="812" spans="1:19" ht="16.5" x14ac:dyDescent="0.3">
      <c r="A812" t="s">
        <v>865</v>
      </c>
      <c r="B812" s="1">
        <v>45386</v>
      </c>
      <c r="C812" s="1">
        <v>45389</v>
      </c>
      <c r="D812">
        <v>2024</v>
      </c>
      <c r="E812" t="s">
        <v>836</v>
      </c>
      <c r="F812" t="s">
        <v>837</v>
      </c>
      <c r="G812" t="s">
        <v>78</v>
      </c>
      <c r="H812" t="s">
        <v>30</v>
      </c>
      <c r="I812" t="s">
        <v>40</v>
      </c>
      <c r="J812" t="s">
        <v>25</v>
      </c>
      <c r="K812" t="s">
        <v>26</v>
      </c>
      <c r="L812" t="s">
        <v>44</v>
      </c>
      <c r="M812">
        <v>3</v>
      </c>
      <c r="N812" s="2"/>
      <c r="O812" s="3">
        <v>3717</v>
      </c>
      <c r="P812">
        <v>0</v>
      </c>
      <c r="Q812">
        <v>5</v>
      </c>
      <c r="R812" t="s">
        <v>28</v>
      </c>
      <c r="S812">
        <v>1</v>
      </c>
    </row>
    <row r="813" spans="1:19" ht="16.5" x14ac:dyDescent="0.3">
      <c r="A813" t="s">
        <v>866</v>
      </c>
      <c r="B813" s="1">
        <v>45386</v>
      </c>
      <c r="C813" s="1">
        <v>45391</v>
      </c>
      <c r="D813">
        <v>2024</v>
      </c>
      <c r="E813" t="s">
        <v>836</v>
      </c>
      <c r="F813" t="s">
        <v>837</v>
      </c>
      <c r="G813" t="s">
        <v>78</v>
      </c>
      <c r="H813" t="s">
        <v>23</v>
      </c>
      <c r="I813" t="s">
        <v>24</v>
      </c>
      <c r="J813" t="s">
        <v>43</v>
      </c>
      <c r="K813" t="s">
        <v>53</v>
      </c>
      <c r="L813" t="s">
        <v>37</v>
      </c>
      <c r="M813">
        <v>5</v>
      </c>
      <c r="N813" s="2">
        <v>29</v>
      </c>
      <c r="O813" s="3">
        <v>4211</v>
      </c>
      <c r="P813">
        <v>0</v>
      </c>
      <c r="Q813">
        <v>3</v>
      </c>
      <c r="R813" t="s">
        <v>28</v>
      </c>
      <c r="S813">
        <v>1</v>
      </c>
    </row>
    <row r="814" spans="1:19" ht="16.5" x14ac:dyDescent="0.3">
      <c r="A814" t="s">
        <v>867</v>
      </c>
      <c r="B814" s="1">
        <v>45386</v>
      </c>
      <c r="C814" s="1">
        <v>45388</v>
      </c>
      <c r="D814">
        <v>2024</v>
      </c>
      <c r="E814" t="s">
        <v>836</v>
      </c>
      <c r="F814" t="s">
        <v>837</v>
      </c>
      <c r="G814" t="s">
        <v>78</v>
      </c>
      <c r="H814" t="s">
        <v>35</v>
      </c>
      <c r="I814" t="s">
        <v>24</v>
      </c>
      <c r="J814" t="s">
        <v>25</v>
      </c>
      <c r="K814" t="s">
        <v>32</v>
      </c>
      <c r="L814" t="s">
        <v>44</v>
      </c>
      <c r="M814">
        <v>2</v>
      </c>
      <c r="N814" s="2">
        <v>43</v>
      </c>
      <c r="O814" s="3">
        <v>2022</v>
      </c>
      <c r="P814">
        <v>1</v>
      </c>
      <c r="Q814">
        <v>4</v>
      </c>
      <c r="R814" t="s">
        <v>33</v>
      </c>
      <c r="S814">
        <v>1</v>
      </c>
    </row>
    <row r="815" spans="1:19" ht="16.5" x14ac:dyDescent="0.3">
      <c r="A815" t="s">
        <v>868</v>
      </c>
      <c r="B815" s="1">
        <v>45386</v>
      </c>
      <c r="C815" s="1">
        <v>45390</v>
      </c>
      <c r="D815">
        <v>2024</v>
      </c>
      <c r="E815" t="s">
        <v>836</v>
      </c>
      <c r="F815" t="s">
        <v>837</v>
      </c>
      <c r="G815" t="s">
        <v>78</v>
      </c>
      <c r="H815" t="s">
        <v>30</v>
      </c>
      <c r="I815" t="s">
        <v>24</v>
      </c>
      <c r="J815" t="s">
        <v>43</v>
      </c>
      <c r="K815" t="s">
        <v>53</v>
      </c>
      <c r="L815" t="s">
        <v>27</v>
      </c>
      <c r="M815">
        <v>4</v>
      </c>
      <c r="N815" s="2">
        <v>74</v>
      </c>
      <c r="O815" s="3">
        <v>4862</v>
      </c>
      <c r="P815">
        <v>0</v>
      </c>
      <c r="Q815">
        <v>4</v>
      </c>
      <c r="R815" t="s">
        <v>33</v>
      </c>
      <c r="S815">
        <v>1</v>
      </c>
    </row>
    <row r="816" spans="1:19" ht="16.5" x14ac:dyDescent="0.3">
      <c r="A816" t="s">
        <v>869</v>
      </c>
      <c r="B816" s="1">
        <v>45387</v>
      </c>
      <c r="C816" s="1">
        <v>45392</v>
      </c>
      <c r="D816">
        <v>2024</v>
      </c>
      <c r="E816" t="s">
        <v>836</v>
      </c>
      <c r="F816" t="s">
        <v>837</v>
      </c>
      <c r="G816" t="s">
        <v>83</v>
      </c>
      <c r="H816" t="s">
        <v>23</v>
      </c>
      <c r="I816" t="s">
        <v>24</v>
      </c>
      <c r="J816" t="s">
        <v>43</v>
      </c>
      <c r="K816" t="s">
        <v>53</v>
      </c>
      <c r="L816" t="s">
        <v>44</v>
      </c>
      <c r="M816">
        <v>5</v>
      </c>
      <c r="N816" s="2">
        <v>137</v>
      </c>
      <c r="O816" s="3">
        <v>4502</v>
      </c>
      <c r="P816">
        <v>0</v>
      </c>
      <c r="Q816">
        <v>3</v>
      </c>
      <c r="R816" t="s">
        <v>33</v>
      </c>
      <c r="S816">
        <v>1</v>
      </c>
    </row>
    <row r="817" spans="1:19" ht="16.5" x14ac:dyDescent="0.3">
      <c r="A817" t="s">
        <v>870</v>
      </c>
      <c r="B817" s="1">
        <v>45387</v>
      </c>
      <c r="C817" s="1">
        <v>45391</v>
      </c>
      <c r="D817">
        <v>2024</v>
      </c>
      <c r="E817" t="s">
        <v>836</v>
      </c>
      <c r="F817" t="s">
        <v>837</v>
      </c>
      <c r="G817" t="s">
        <v>83</v>
      </c>
      <c r="H817" t="s">
        <v>52</v>
      </c>
      <c r="I817" t="s">
        <v>40</v>
      </c>
      <c r="J817" t="s">
        <v>43</v>
      </c>
      <c r="K817" t="s">
        <v>53</v>
      </c>
      <c r="L817" t="s">
        <v>44</v>
      </c>
      <c r="M817">
        <v>4</v>
      </c>
      <c r="N817" s="2"/>
      <c r="O817" s="3">
        <v>4948</v>
      </c>
      <c r="P817">
        <v>0</v>
      </c>
      <c r="Q817">
        <v>4</v>
      </c>
      <c r="R817" t="s">
        <v>33</v>
      </c>
      <c r="S817">
        <v>1</v>
      </c>
    </row>
    <row r="818" spans="1:19" ht="16.5" x14ac:dyDescent="0.3">
      <c r="A818" t="s">
        <v>871</v>
      </c>
      <c r="B818" s="1">
        <v>45388</v>
      </c>
      <c r="C818" s="1">
        <v>45393</v>
      </c>
      <c r="D818">
        <v>2024</v>
      </c>
      <c r="E818" t="s">
        <v>836</v>
      </c>
      <c r="F818" t="s">
        <v>837</v>
      </c>
      <c r="G818" t="s">
        <v>102</v>
      </c>
      <c r="H818" t="s">
        <v>30</v>
      </c>
      <c r="I818" t="s">
        <v>24</v>
      </c>
      <c r="J818" t="s">
        <v>43</v>
      </c>
      <c r="K818" t="s">
        <v>32</v>
      </c>
      <c r="L818" t="s">
        <v>44</v>
      </c>
      <c r="M818">
        <v>5</v>
      </c>
      <c r="N818" s="2">
        <v>32</v>
      </c>
      <c r="O818" s="3">
        <v>6252</v>
      </c>
      <c r="P818">
        <v>0</v>
      </c>
      <c r="Q818">
        <v>4</v>
      </c>
      <c r="R818" t="s">
        <v>33</v>
      </c>
      <c r="S818">
        <v>1</v>
      </c>
    </row>
    <row r="819" spans="1:19" ht="16.5" x14ac:dyDescent="0.3">
      <c r="A819" t="s">
        <v>872</v>
      </c>
      <c r="B819" s="1">
        <v>45388</v>
      </c>
      <c r="C819" s="1">
        <v>45391</v>
      </c>
      <c r="D819">
        <v>2024</v>
      </c>
      <c r="E819" t="s">
        <v>836</v>
      </c>
      <c r="F819" t="s">
        <v>837</v>
      </c>
      <c r="G819" t="s">
        <v>102</v>
      </c>
      <c r="H819" t="s">
        <v>50</v>
      </c>
      <c r="I819" t="s">
        <v>24</v>
      </c>
      <c r="J819" t="s">
        <v>25</v>
      </c>
      <c r="K819" t="s">
        <v>32</v>
      </c>
      <c r="L819" t="s">
        <v>44</v>
      </c>
      <c r="M819">
        <v>3</v>
      </c>
      <c r="N819" s="2">
        <v>23</v>
      </c>
      <c r="O819" s="3">
        <v>4965</v>
      </c>
      <c r="P819">
        <v>0</v>
      </c>
      <c r="Q819">
        <v>4</v>
      </c>
      <c r="R819" t="s">
        <v>28</v>
      </c>
      <c r="S819">
        <v>1</v>
      </c>
    </row>
    <row r="820" spans="1:19" ht="16.5" x14ac:dyDescent="0.3">
      <c r="A820" t="s">
        <v>873</v>
      </c>
      <c r="B820" s="1">
        <v>45388</v>
      </c>
      <c r="C820" s="1">
        <v>45390</v>
      </c>
      <c r="D820">
        <v>2024</v>
      </c>
      <c r="E820" t="s">
        <v>836</v>
      </c>
      <c r="F820" t="s">
        <v>837</v>
      </c>
      <c r="G820" t="s">
        <v>102</v>
      </c>
      <c r="H820" t="s">
        <v>35</v>
      </c>
      <c r="I820" t="s">
        <v>24</v>
      </c>
      <c r="J820" t="s">
        <v>25</v>
      </c>
      <c r="K820" t="s">
        <v>32</v>
      </c>
      <c r="L820" t="s">
        <v>27</v>
      </c>
      <c r="M820">
        <v>2</v>
      </c>
      <c r="N820" s="2">
        <v>79</v>
      </c>
      <c r="O820" s="3">
        <v>1885</v>
      </c>
      <c r="P820">
        <v>0</v>
      </c>
      <c r="Q820">
        <v>4</v>
      </c>
      <c r="R820" t="s">
        <v>33</v>
      </c>
      <c r="S820">
        <v>1</v>
      </c>
    </row>
    <row r="821" spans="1:19" ht="16.5" x14ac:dyDescent="0.3">
      <c r="A821" t="s">
        <v>874</v>
      </c>
      <c r="B821" s="1">
        <v>45388</v>
      </c>
      <c r="C821" s="1">
        <v>45393</v>
      </c>
      <c r="D821">
        <v>2024</v>
      </c>
      <c r="E821" t="s">
        <v>836</v>
      </c>
      <c r="F821" t="s">
        <v>837</v>
      </c>
      <c r="G821" t="s">
        <v>102</v>
      </c>
      <c r="H821" t="s">
        <v>52</v>
      </c>
      <c r="I821" t="s">
        <v>24</v>
      </c>
      <c r="J821" t="s">
        <v>43</v>
      </c>
      <c r="K821" t="s">
        <v>26</v>
      </c>
      <c r="L821" t="s">
        <v>44</v>
      </c>
      <c r="M821">
        <v>5</v>
      </c>
      <c r="N821" s="2">
        <v>68</v>
      </c>
      <c r="O821" s="3">
        <v>6213</v>
      </c>
      <c r="P821">
        <v>1</v>
      </c>
      <c r="Q821">
        <v>4</v>
      </c>
      <c r="R821" t="s">
        <v>33</v>
      </c>
      <c r="S821">
        <v>1</v>
      </c>
    </row>
    <row r="822" spans="1:19" ht="16.5" x14ac:dyDescent="0.3">
      <c r="A822" t="s">
        <v>875</v>
      </c>
      <c r="B822" s="1">
        <v>45388</v>
      </c>
      <c r="C822" s="1">
        <v>45391</v>
      </c>
      <c r="D822">
        <v>2024</v>
      </c>
      <c r="E822" t="s">
        <v>836</v>
      </c>
      <c r="F822" t="s">
        <v>837</v>
      </c>
      <c r="G822" t="s">
        <v>102</v>
      </c>
      <c r="H822" t="s">
        <v>30</v>
      </c>
      <c r="I822" t="s">
        <v>40</v>
      </c>
      <c r="J822" t="s">
        <v>43</v>
      </c>
      <c r="K822" t="s">
        <v>26</v>
      </c>
      <c r="L822" t="s">
        <v>27</v>
      </c>
      <c r="M822">
        <v>3</v>
      </c>
      <c r="N822" s="2"/>
      <c r="O822" s="3">
        <v>3620</v>
      </c>
      <c r="P822">
        <v>0</v>
      </c>
      <c r="Q822">
        <v>4</v>
      </c>
      <c r="R822" t="s">
        <v>59</v>
      </c>
      <c r="S822">
        <v>1</v>
      </c>
    </row>
    <row r="823" spans="1:19" ht="16.5" x14ac:dyDescent="0.3">
      <c r="A823" t="s">
        <v>876</v>
      </c>
      <c r="B823" s="1">
        <v>45388</v>
      </c>
      <c r="C823" s="1">
        <v>45389</v>
      </c>
      <c r="D823">
        <v>2024</v>
      </c>
      <c r="E823" t="s">
        <v>836</v>
      </c>
      <c r="F823" t="s">
        <v>837</v>
      </c>
      <c r="G823" t="s">
        <v>102</v>
      </c>
      <c r="H823" t="s">
        <v>52</v>
      </c>
      <c r="I823" t="s">
        <v>40</v>
      </c>
      <c r="J823" t="s">
        <v>25</v>
      </c>
      <c r="K823" t="s">
        <v>53</v>
      </c>
      <c r="L823" t="s">
        <v>27</v>
      </c>
      <c r="M823">
        <v>1</v>
      </c>
      <c r="N823" s="2"/>
      <c r="O823" s="3">
        <v>2365</v>
      </c>
      <c r="P823">
        <v>0</v>
      </c>
      <c r="Q823">
        <v>4</v>
      </c>
      <c r="R823" t="s">
        <v>33</v>
      </c>
      <c r="S823">
        <v>1</v>
      </c>
    </row>
    <row r="824" spans="1:19" ht="16.5" x14ac:dyDescent="0.3">
      <c r="A824" t="s">
        <v>877</v>
      </c>
      <c r="B824" s="1">
        <v>45388</v>
      </c>
      <c r="C824" s="1">
        <v>45395</v>
      </c>
      <c r="D824">
        <v>2024</v>
      </c>
      <c r="E824" t="s">
        <v>836</v>
      </c>
      <c r="F824" t="s">
        <v>837</v>
      </c>
      <c r="G824" t="s">
        <v>102</v>
      </c>
      <c r="H824" t="s">
        <v>23</v>
      </c>
      <c r="I824" t="s">
        <v>24</v>
      </c>
      <c r="J824" t="s">
        <v>25</v>
      </c>
      <c r="K824" t="s">
        <v>53</v>
      </c>
      <c r="L824" t="s">
        <v>37</v>
      </c>
      <c r="M824">
        <v>7</v>
      </c>
      <c r="N824" s="2">
        <v>188</v>
      </c>
      <c r="O824" s="3">
        <v>5192</v>
      </c>
      <c r="P824">
        <v>0</v>
      </c>
      <c r="Q824">
        <v>3</v>
      </c>
      <c r="R824" t="s">
        <v>28</v>
      </c>
      <c r="S824">
        <v>1</v>
      </c>
    </row>
    <row r="825" spans="1:19" ht="16.5" x14ac:dyDescent="0.3">
      <c r="A825" t="s">
        <v>878</v>
      </c>
      <c r="B825" s="1">
        <v>45388</v>
      </c>
      <c r="C825" s="1">
        <v>45400</v>
      </c>
      <c r="D825">
        <v>2024</v>
      </c>
      <c r="E825" t="s">
        <v>836</v>
      </c>
      <c r="F825" t="s">
        <v>837</v>
      </c>
      <c r="G825" t="s">
        <v>102</v>
      </c>
      <c r="H825" t="s">
        <v>23</v>
      </c>
      <c r="I825" t="s">
        <v>24</v>
      </c>
      <c r="J825" t="s">
        <v>25</v>
      </c>
      <c r="K825" t="s">
        <v>26</v>
      </c>
      <c r="L825" t="s">
        <v>44</v>
      </c>
      <c r="M825">
        <v>12</v>
      </c>
      <c r="N825" s="2">
        <v>188</v>
      </c>
      <c r="O825" s="3">
        <v>7260</v>
      </c>
      <c r="P825">
        <v>0</v>
      </c>
      <c r="Q825">
        <v>4</v>
      </c>
      <c r="R825" t="s">
        <v>33</v>
      </c>
      <c r="S825">
        <v>1</v>
      </c>
    </row>
    <row r="826" spans="1:19" ht="16.5" x14ac:dyDescent="0.3">
      <c r="A826" t="s">
        <v>879</v>
      </c>
      <c r="B826" s="1">
        <v>45388</v>
      </c>
      <c r="C826" s="1">
        <v>45393</v>
      </c>
      <c r="D826">
        <v>2024</v>
      </c>
      <c r="E826" t="s">
        <v>836</v>
      </c>
      <c r="F826" t="s">
        <v>837</v>
      </c>
      <c r="G826" t="s">
        <v>102</v>
      </c>
      <c r="H826" t="s">
        <v>30</v>
      </c>
      <c r="I826" t="s">
        <v>40</v>
      </c>
      <c r="J826" t="s">
        <v>25</v>
      </c>
      <c r="K826" t="s">
        <v>32</v>
      </c>
      <c r="L826" t="s">
        <v>44</v>
      </c>
      <c r="M826">
        <v>5</v>
      </c>
      <c r="N826" s="2"/>
      <c r="O826" s="3">
        <v>4569</v>
      </c>
      <c r="P826">
        <v>0</v>
      </c>
      <c r="Q826">
        <v>5</v>
      </c>
      <c r="R826" t="s">
        <v>28</v>
      </c>
      <c r="S826">
        <v>1</v>
      </c>
    </row>
    <row r="827" spans="1:19" ht="16.5" x14ac:dyDescent="0.3">
      <c r="A827" t="s">
        <v>880</v>
      </c>
      <c r="B827" s="1">
        <v>45389</v>
      </c>
      <c r="C827" s="1">
        <v>45392</v>
      </c>
      <c r="D827">
        <v>2024</v>
      </c>
      <c r="E827" t="s">
        <v>836</v>
      </c>
      <c r="F827" t="s">
        <v>837</v>
      </c>
      <c r="G827" t="s">
        <v>112</v>
      </c>
      <c r="H827" t="s">
        <v>50</v>
      </c>
      <c r="I827" t="s">
        <v>24</v>
      </c>
      <c r="J827" t="s">
        <v>25</v>
      </c>
      <c r="K827" t="s">
        <v>26</v>
      </c>
      <c r="L827" t="s">
        <v>27</v>
      </c>
      <c r="M827">
        <v>3</v>
      </c>
      <c r="N827" s="2">
        <v>43</v>
      </c>
      <c r="O827" s="3">
        <v>4332</v>
      </c>
      <c r="P827">
        <v>1</v>
      </c>
      <c r="Q827">
        <v>5</v>
      </c>
      <c r="R827" t="s">
        <v>33</v>
      </c>
      <c r="S827">
        <v>1</v>
      </c>
    </row>
    <row r="828" spans="1:19" ht="16.5" x14ac:dyDescent="0.3">
      <c r="A828" t="s">
        <v>881</v>
      </c>
      <c r="B828" s="1">
        <v>45389</v>
      </c>
      <c r="C828" s="1">
        <v>45392</v>
      </c>
      <c r="D828">
        <v>2024</v>
      </c>
      <c r="E828" t="s">
        <v>836</v>
      </c>
      <c r="F828" t="s">
        <v>837</v>
      </c>
      <c r="G828" t="s">
        <v>112</v>
      </c>
      <c r="H828" t="s">
        <v>52</v>
      </c>
      <c r="I828" t="s">
        <v>40</v>
      </c>
      <c r="J828" t="s">
        <v>43</v>
      </c>
      <c r="K828" t="s">
        <v>32</v>
      </c>
      <c r="L828" t="s">
        <v>27</v>
      </c>
      <c r="M828">
        <v>3</v>
      </c>
      <c r="N828" s="2"/>
      <c r="O828" s="3">
        <v>3260</v>
      </c>
      <c r="P828">
        <v>0</v>
      </c>
      <c r="Q828">
        <v>4</v>
      </c>
      <c r="R828" t="s">
        <v>28</v>
      </c>
      <c r="S828">
        <v>1</v>
      </c>
    </row>
    <row r="829" spans="1:19" ht="16.5" x14ac:dyDescent="0.3">
      <c r="A829" t="s">
        <v>882</v>
      </c>
      <c r="B829" s="1">
        <v>45389</v>
      </c>
      <c r="C829" s="1">
        <v>45391</v>
      </c>
      <c r="D829">
        <v>2024</v>
      </c>
      <c r="E829" t="s">
        <v>836</v>
      </c>
      <c r="F829" t="s">
        <v>837</v>
      </c>
      <c r="G829" t="s">
        <v>112</v>
      </c>
      <c r="H829" t="s">
        <v>35</v>
      </c>
      <c r="I829" t="s">
        <v>24</v>
      </c>
      <c r="J829" t="s">
        <v>25</v>
      </c>
      <c r="K829" t="s">
        <v>36</v>
      </c>
      <c r="L829" t="s">
        <v>44</v>
      </c>
      <c r="M829">
        <v>2</v>
      </c>
      <c r="N829" s="2">
        <v>22</v>
      </c>
      <c r="O829" s="3">
        <v>2247</v>
      </c>
      <c r="P829">
        <v>0</v>
      </c>
      <c r="Q829">
        <v>4</v>
      </c>
      <c r="R829" t="s">
        <v>33</v>
      </c>
      <c r="S829">
        <v>1</v>
      </c>
    </row>
    <row r="830" spans="1:19" ht="16.5" x14ac:dyDescent="0.3">
      <c r="A830" t="s">
        <v>883</v>
      </c>
      <c r="B830" s="1">
        <v>45389</v>
      </c>
      <c r="C830" s="1">
        <v>45390</v>
      </c>
      <c r="D830">
        <v>2024</v>
      </c>
      <c r="E830" t="s">
        <v>836</v>
      </c>
      <c r="F830" t="s">
        <v>837</v>
      </c>
      <c r="G830" t="s">
        <v>112</v>
      </c>
      <c r="H830" t="s">
        <v>23</v>
      </c>
      <c r="I830" t="s">
        <v>24</v>
      </c>
      <c r="J830" t="s">
        <v>25</v>
      </c>
      <c r="K830" t="s">
        <v>32</v>
      </c>
      <c r="L830" t="s">
        <v>27</v>
      </c>
      <c r="M830">
        <v>1</v>
      </c>
      <c r="N830" s="2">
        <v>70</v>
      </c>
      <c r="O830" s="3">
        <v>1439</v>
      </c>
      <c r="P830">
        <v>0</v>
      </c>
      <c r="Q830">
        <v>4</v>
      </c>
      <c r="R830" t="s">
        <v>33</v>
      </c>
      <c r="S830">
        <v>1</v>
      </c>
    </row>
    <row r="831" spans="1:19" ht="16.5" x14ac:dyDescent="0.3">
      <c r="A831" t="s">
        <v>884</v>
      </c>
      <c r="B831" s="1">
        <v>45389</v>
      </c>
      <c r="C831" s="1">
        <v>45394</v>
      </c>
      <c r="D831">
        <v>2024</v>
      </c>
      <c r="E831" t="s">
        <v>836</v>
      </c>
      <c r="F831" t="s">
        <v>837</v>
      </c>
      <c r="G831" t="s">
        <v>112</v>
      </c>
      <c r="H831" t="s">
        <v>23</v>
      </c>
      <c r="I831" t="s">
        <v>24</v>
      </c>
      <c r="J831" t="s">
        <v>25</v>
      </c>
      <c r="K831" t="s">
        <v>32</v>
      </c>
      <c r="L831" t="s">
        <v>44</v>
      </c>
      <c r="M831">
        <v>5</v>
      </c>
      <c r="N831" s="2">
        <v>55</v>
      </c>
      <c r="O831" s="3">
        <v>4764</v>
      </c>
      <c r="P831">
        <v>1</v>
      </c>
      <c r="Q831">
        <v>4</v>
      </c>
      <c r="R831" t="s">
        <v>28</v>
      </c>
      <c r="S831">
        <v>1</v>
      </c>
    </row>
    <row r="832" spans="1:19" ht="16.5" x14ac:dyDescent="0.3">
      <c r="A832" t="s">
        <v>885</v>
      </c>
      <c r="B832" s="1">
        <v>45389</v>
      </c>
      <c r="C832" s="1">
        <v>45391</v>
      </c>
      <c r="D832">
        <v>2024</v>
      </c>
      <c r="E832" t="s">
        <v>836</v>
      </c>
      <c r="F832" t="s">
        <v>837</v>
      </c>
      <c r="G832" t="s">
        <v>112</v>
      </c>
      <c r="H832" t="s">
        <v>35</v>
      </c>
      <c r="I832" t="s">
        <v>24</v>
      </c>
      <c r="J832" t="s">
        <v>25</v>
      </c>
      <c r="K832" t="s">
        <v>32</v>
      </c>
      <c r="L832" t="s">
        <v>27</v>
      </c>
      <c r="M832">
        <v>2</v>
      </c>
      <c r="N832" s="2">
        <v>21</v>
      </c>
      <c r="O832" s="3">
        <v>1990</v>
      </c>
      <c r="P832">
        <v>0</v>
      </c>
      <c r="Q832">
        <v>5</v>
      </c>
      <c r="R832" t="s">
        <v>28</v>
      </c>
      <c r="S832">
        <v>1</v>
      </c>
    </row>
    <row r="833" spans="1:19" ht="16.5" x14ac:dyDescent="0.3">
      <c r="A833" t="s">
        <v>886</v>
      </c>
      <c r="B833" s="1">
        <v>45389</v>
      </c>
      <c r="C833" s="1">
        <v>45392</v>
      </c>
      <c r="D833">
        <v>2024</v>
      </c>
      <c r="E833" t="s">
        <v>836</v>
      </c>
      <c r="F833" t="s">
        <v>837</v>
      </c>
      <c r="G833" t="s">
        <v>112</v>
      </c>
      <c r="H833" t="s">
        <v>35</v>
      </c>
      <c r="I833" t="s">
        <v>24</v>
      </c>
      <c r="J833" t="s">
        <v>25</v>
      </c>
      <c r="K833" t="s">
        <v>32</v>
      </c>
      <c r="L833" t="s">
        <v>44</v>
      </c>
      <c r="M833">
        <v>3</v>
      </c>
      <c r="N833" s="2">
        <v>77</v>
      </c>
      <c r="O833" s="3">
        <v>2514</v>
      </c>
      <c r="P833">
        <v>0</v>
      </c>
      <c r="Q833">
        <v>5</v>
      </c>
      <c r="R833" t="s">
        <v>59</v>
      </c>
      <c r="S833">
        <v>1</v>
      </c>
    </row>
    <row r="834" spans="1:19" ht="16.5" x14ac:dyDescent="0.3">
      <c r="A834" t="s">
        <v>887</v>
      </c>
      <c r="B834" s="1">
        <v>45389</v>
      </c>
      <c r="C834" s="1">
        <v>45398</v>
      </c>
      <c r="D834">
        <v>2024</v>
      </c>
      <c r="E834" t="s">
        <v>836</v>
      </c>
      <c r="F834" t="s">
        <v>837</v>
      </c>
      <c r="G834" t="s">
        <v>112</v>
      </c>
      <c r="H834" t="s">
        <v>23</v>
      </c>
      <c r="I834" t="s">
        <v>24</v>
      </c>
      <c r="J834" t="s">
        <v>25</v>
      </c>
      <c r="K834" t="s">
        <v>53</v>
      </c>
      <c r="L834" t="s">
        <v>27</v>
      </c>
      <c r="M834">
        <v>9</v>
      </c>
      <c r="N834" s="2">
        <v>52</v>
      </c>
      <c r="O834" s="3">
        <v>7397</v>
      </c>
      <c r="P834">
        <v>0</v>
      </c>
      <c r="Q834">
        <v>5</v>
      </c>
      <c r="R834" t="s">
        <v>33</v>
      </c>
      <c r="S834">
        <v>1</v>
      </c>
    </row>
    <row r="835" spans="1:19" ht="16.5" x14ac:dyDescent="0.3">
      <c r="A835" t="s">
        <v>888</v>
      </c>
      <c r="B835" s="1">
        <v>45389</v>
      </c>
      <c r="C835" s="1">
        <v>45393</v>
      </c>
      <c r="D835">
        <v>2024</v>
      </c>
      <c r="E835" t="s">
        <v>836</v>
      </c>
      <c r="F835" t="s">
        <v>837</v>
      </c>
      <c r="G835" t="s">
        <v>112</v>
      </c>
      <c r="H835" t="s">
        <v>35</v>
      </c>
      <c r="I835" t="s">
        <v>24</v>
      </c>
      <c r="J835" t="s">
        <v>25</v>
      </c>
      <c r="K835" t="s">
        <v>36</v>
      </c>
      <c r="L835" t="s">
        <v>27</v>
      </c>
      <c r="M835">
        <v>4</v>
      </c>
      <c r="N835" s="2">
        <v>43</v>
      </c>
      <c r="O835" s="3">
        <v>3620</v>
      </c>
      <c r="P835">
        <v>0</v>
      </c>
      <c r="Q835">
        <v>5</v>
      </c>
      <c r="R835" t="s">
        <v>33</v>
      </c>
      <c r="S835">
        <v>1</v>
      </c>
    </row>
    <row r="836" spans="1:19" ht="16.5" x14ac:dyDescent="0.3">
      <c r="A836" t="s">
        <v>889</v>
      </c>
      <c r="B836" s="1">
        <v>45389</v>
      </c>
      <c r="C836" s="1">
        <v>45394</v>
      </c>
      <c r="D836">
        <v>2024</v>
      </c>
      <c r="E836" t="s">
        <v>836</v>
      </c>
      <c r="F836" t="s">
        <v>837</v>
      </c>
      <c r="G836" t="s">
        <v>112</v>
      </c>
      <c r="H836" t="s">
        <v>23</v>
      </c>
      <c r="I836" t="s">
        <v>40</v>
      </c>
      <c r="J836" t="s">
        <v>43</v>
      </c>
      <c r="K836" t="s">
        <v>53</v>
      </c>
      <c r="L836" t="s">
        <v>27</v>
      </c>
      <c r="M836">
        <v>5</v>
      </c>
      <c r="N836" s="2"/>
      <c r="O836" s="3">
        <v>4374</v>
      </c>
      <c r="P836">
        <v>0</v>
      </c>
      <c r="Q836">
        <v>3</v>
      </c>
      <c r="R836" t="s">
        <v>33</v>
      </c>
      <c r="S836">
        <v>1</v>
      </c>
    </row>
    <row r="837" spans="1:19" ht="16.5" x14ac:dyDescent="0.3">
      <c r="A837" t="s">
        <v>890</v>
      </c>
      <c r="B837" s="1">
        <v>45390</v>
      </c>
      <c r="C837" s="1">
        <v>45391</v>
      </c>
      <c r="D837">
        <v>2024</v>
      </c>
      <c r="E837" t="s">
        <v>836</v>
      </c>
      <c r="F837" t="s">
        <v>837</v>
      </c>
      <c r="G837" t="s">
        <v>22</v>
      </c>
      <c r="H837" t="s">
        <v>35</v>
      </c>
      <c r="I837" t="s">
        <v>24</v>
      </c>
      <c r="J837" t="s">
        <v>25</v>
      </c>
      <c r="K837" t="s">
        <v>36</v>
      </c>
      <c r="L837" t="s">
        <v>37</v>
      </c>
      <c r="M837">
        <v>1</v>
      </c>
      <c r="N837" s="2">
        <v>34</v>
      </c>
      <c r="O837" s="3">
        <v>1632</v>
      </c>
      <c r="P837">
        <v>0</v>
      </c>
      <c r="Q837">
        <v>4</v>
      </c>
      <c r="R837" t="s">
        <v>33</v>
      </c>
      <c r="S837">
        <v>1</v>
      </c>
    </row>
    <row r="838" spans="1:19" ht="16.5" x14ac:dyDescent="0.3">
      <c r="A838" t="s">
        <v>891</v>
      </c>
      <c r="B838" s="1">
        <v>45390</v>
      </c>
      <c r="C838" s="1">
        <v>45392</v>
      </c>
      <c r="D838">
        <v>2024</v>
      </c>
      <c r="E838" t="s">
        <v>836</v>
      </c>
      <c r="F838" t="s">
        <v>837</v>
      </c>
      <c r="G838" t="s">
        <v>22</v>
      </c>
      <c r="H838" t="s">
        <v>23</v>
      </c>
      <c r="I838" t="s">
        <v>40</v>
      </c>
      <c r="J838" t="s">
        <v>43</v>
      </c>
      <c r="K838" t="s">
        <v>36</v>
      </c>
      <c r="L838" t="s">
        <v>27</v>
      </c>
      <c r="M838">
        <v>2</v>
      </c>
      <c r="N838" s="2"/>
      <c r="O838" s="3">
        <v>1975</v>
      </c>
      <c r="P838">
        <v>0</v>
      </c>
      <c r="Q838">
        <v>3</v>
      </c>
      <c r="R838" t="s">
        <v>59</v>
      </c>
      <c r="S838">
        <v>1</v>
      </c>
    </row>
    <row r="839" spans="1:19" ht="16.5" x14ac:dyDescent="0.3">
      <c r="A839" t="s">
        <v>892</v>
      </c>
      <c r="B839" s="1">
        <v>45390</v>
      </c>
      <c r="C839" s="1">
        <v>45396</v>
      </c>
      <c r="D839">
        <v>2024</v>
      </c>
      <c r="E839" t="s">
        <v>836</v>
      </c>
      <c r="F839" t="s">
        <v>837</v>
      </c>
      <c r="G839" t="s">
        <v>22</v>
      </c>
      <c r="H839" t="s">
        <v>30</v>
      </c>
      <c r="I839" t="s">
        <v>40</v>
      </c>
      <c r="J839" t="s">
        <v>25</v>
      </c>
      <c r="K839" t="s">
        <v>32</v>
      </c>
      <c r="L839" t="s">
        <v>27</v>
      </c>
      <c r="M839">
        <v>6</v>
      </c>
      <c r="N839" s="2"/>
      <c r="O839" s="3">
        <v>6684</v>
      </c>
      <c r="P839">
        <v>0</v>
      </c>
      <c r="Q839">
        <v>3</v>
      </c>
      <c r="R839" t="s">
        <v>33</v>
      </c>
      <c r="S839">
        <v>1</v>
      </c>
    </row>
    <row r="840" spans="1:19" ht="16.5" x14ac:dyDescent="0.3">
      <c r="A840" t="s">
        <v>893</v>
      </c>
      <c r="B840" s="1">
        <v>45390</v>
      </c>
      <c r="C840" s="1">
        <v>45395</v>
      </c>
      <c r="D840">
        <v>2024</v>
      </c>
      <c r="E840" t="s">
        <v>836</v>
      </c>
      <c r="F840" t="s">
        <v>837</v>
      </c>
      <c r="G840" t="s">
        <v>22</v>
      </c>
      <c r="H840" t="s">
        <v>52</v>
      </c>
      <c r="I840" t="s">
        <v>40</v>
      </c>
      <c r="J840" t="s">
        <v>43</v>
      </c>
      <c r="K840" t="s">
        <v>26</v>
      </c>
      <c r="L840" t="s">
        <v>27</v>
      </c>
      <c r="M840">
        <v>5</v>
      </c>
      <c r="N840" s="2"/>
      <c r="O840" s="3">
        <v>5354</v>
      </c>
      <c r="P840">
        <v>0</v>
      </c>
      <c r="Q840">
        <v>4</v>
      </c>
      <c r="R840" t="s">
        <v>33</v>
      </c>
      <c r="S840">
        <v>1</v>
      </c>
    </row>
    <row r="841" spans="1:19" ht="16.5" x14ac:dyDescent="0.3">
      <c r="A841" t="s">
        <v>894</v>
      </c>
      <c r="B841" s="1">
        <v>45390</v>
      </c>
      <c r="C841" s="1">
        <v>45392</v>
      </c>
      <c r="D841">
        <v>2024</v>
      </c>
      <c r="E841" t="s">
        <v>836</v>
      </c>
      <c r="F841" t="s">
        <v>837</v>
      </c>
      <c r="G841" t="s">
        <v>22</v>
      </c>
      <c r="H841" t="s">
        <v>35</v>
      </c>
      <c r="I841" t="s">
        <v>24</v>
      </c>
      <c r="J841" t="s">
        <v>25</v>
      </c>
      <c r="K841" t="s">
        <v>36</v>
      </c>
      <c r="L841" t="s">
        <v>27</v>
      </c>
      <c r="M841">
        <v>2</v>
      </c>
      <c r="N841" s="2">
        <v>39</v>
      </c>
      <c r="O841" s="3">
        <v>1666</v>
      </c>
      <c r="P841">
        <v>0</v>
      </c>
      <c r="Q841">
        <v>4</v>
      </c>
      <c r="R841" t="s">
        <v>28</v>
      </c>
      <c r="S841">
        <v>1</v>
      </c>
    </row>
    <row r="842" spans="1:19" ht="16.5" x14ac:dyDescent="0.3">
      <c r="A842" t="s">
        <v>895</v>
      </c>
      <c r="B842" s="1">
        <v>45390</v>
      </c>
      <c r="C842" s="1">
        <v>45391</v>
      </c>
      <c r="D842">
        <v>2024</v>
      </c>
      <c r="E842" t="s">
        <v>836</v>
      </c>
      <c r="F842" t="s">
        <v>837</v>
      </c>
      <c r="G842" t="s">
        <v>22</v>
      </c>
      <c r="H842" t="s">
        <v>50</v>
      </c>
      <c r="I842" t="s">
        <v>24</v>
      </c>
      <c r="J842" t="s">
        <v>43</v>
      </c>
      <c r="K842" t="s">
        <v>32</v>
      </c>
      <c r="L842" t="s">
        <v>37</v>
      </c>
      <c r="M842">
        <v>1</v>
      </c>
      <c r="N842" s="2">
        <v>85</v>
      </c>
      <c r="O842" s="3">
        <v>2149</v>
      </c>
      <c r="P842">
        <v>1</v>
      </c>
      <c r="Q842">
        <v>4</v>
      </c>
      <c r="R842" t="s">
        <v>33</v>
      </c>
      <c r="S842">
        <v>1</v>
      </c>
    </row>
    <row r="843" spans="1:19" ht="16.5" x14ac:dyDescent="0.3">
      <c r="A843" t="s">
        <v>896</v>
      </c>
      <c r="B843" s="1">
        <v>45390</v>
      </c>
      <c r="C843" s="1">
        <v>45392</v>
      </c>
      <c r="D843">
        <v>2024</v>
      </c>
      <c r="E843" t="s">
        <v>836</v>
      </c>
      <c r="F843" t="s">
        <v>837</v>
      </c>
      <c r="G843" t="s">
        <v>22</v>
      </c>
      <c r="H843" t="s">
        <v>52</v>
      </c>
      <c r="I843" t="s">
        <v>40</v>
      </c>
      <c r="J843" t="s">
        <v>43</v>
      </c>
      <c r="K843" t="s">
        <v>26</v>
      </c>
      <c r="L843" t="s">
        <v>37</v>
      </c>
      <c r="M843">
        <v>2</v>
      </c>
      <c r="N843" s="2"/>
      <c r="O843" s="3">
        <v>2097</v>
      </c>
      <c r="P843">
        <v>0</v>
      </c>
      <c r="Q843">
        <v>4</v>
      </c>
      <c r="R843" t="s">
        <v>33</v>
      </c>
      <c r="S843">
        <v>1</v>
      </c>
    </row>
    <row r="844" spans="1:19" ht="16.5" x14ac:dyDescent="0.3">
      <c r="A844" t="s">
        <v>897</v>
      </c>
      <c r="B844" s="1">
        <v>45391</v>
      </c>
      <c r="C844" s="1">
        <v>45393</v>
      </c>
      <c r="D844">
        <v>2024</v>
      </c>
      <c r="E844" t="s">
        <v>836</v>
      </c>
      <c r="F844" t="s">
        <v>837</v>
      </c>
      <c r="G844" t="s">
        <v>56</v>
      </c>
      <c r="H844" t="s">
        <v>23</v>
      </c>
      <c r="I844" t="s">
        <v>40</v>
      </c>
      <c r="J844" t="s">
        <v>43</v>
      </c>
      <c r="K844" t="s">
        <v>26</v>
      </c>
      <c r="L844" t="s">
        <v>44</v>
      </c>
      <c r="M844">
        <v>2</v>
      </c>
      <c r="N844" s="2"/>
      <c r="O844" s="3">
        <v>1525</v>
      </c>
      <c r="P844">
        <v>0</v>
      </c>
      <c r="Q844">
        <v>4</v>
      </c>
      <c r="R844" t="s">
        <v>33</v>
      </c>
      <c r="S844">
        <v>1</v>
      </c>
    </row>
    <row r="845" spans="1:19" ht="16.5" x14ac:dyDescent="0.3">
      <c r="A845" t="s">
        <v>898</v>
      </c>
      <c r="B845" s="1">
        <v>45391</v>
      </c>
      <c r="C845" s="1">
        <v>45404</v>
      </c>
      <c r="D845">
        <v>2024</v>
      </c>
      <c r="E845" t="s">
        <v>836</v>
      </c>
      <c r="F845" t="s">
        <v>837</v>
      </c>
      <c r="G845" t="s">
        <v>56</v>
      </c>
      <c r="H845" t="s">
        <v>23</v>
      </c>
      <c r="I845" t="s">
        <v>24</v>
      </c>
      <c r="J845" t="s">
        <v>25</v>
      </c>
      <c r="K845" t="s">
        <v>26</v>
      </c>
      <c r="L845" t="s">
        <v>44</v>
      </c>
      <c r="M845">
        <v>13</v>
      </c>
      <c r="N845" s="2">
        <v>19</v>
      </c>
      <c r="O845" s="3">
        <v>10959</v>
      </c>
      <c r="P845">
        <v>0</v>
      </c>
      <c r="Q845">
        <v>3</v>
      </c>
      <c r="R845" t="s">
        <v>59</v>
      </c>
      <c r="S845">
        <v>1</v>
      </c>
    </row>
    <row r="846" spans="1:19" ht="16.5" x14ac:dyDescent="0.3">
      <c r="A846" t="s">
        <v>899</v>
      </c>
      <c r="B846" s="1">
        <v>45391</v>
      </c>
      <c r="C846" s="1">
        <v>45392</v>
      </c>
      <c r="D846">
        <v>2024</v>
      </c>
      <c r="E846" t="s">
        <v>836</v>
      </c>
      <c r="F846" t="s">
        <v>837</v>
      </c>
      <c r="G846" t="s">
        <v>56</v>
      </c>
      <c r="H846" t="s">
        <v>39</v>
      </c>
      <c r="I846" t="s">
        <v>40</v>
      </c>
      <c r="J846" t="s">
        <v>43</v>
      </c>
      <c r="K846" t="s">
        <v>41</v>
      </c>
      <c r="L846" t="s">
        <v>27</v>
      </c>
      <c r="M846">
        <v>1</v>
      </c>
      <c r="N846" s="2"/>
      <c r="O846" s="3">
        <v>1457</v>
      </c>
      <c r="P846">
        <v>0</v>
      </c>
      <c r="Q846">
        <v>4</v>
      </c>
      <c r="R846" t="s">
        <v>28</v>
      </c>
      <c r="S846">
        <v>1</v>
      </c>
    </row>
    <row r="847" spans="1:19" ht="16.5" x14ac:dyDescent="0.3">
      <c r="A847" t="s">
        <v>900</v>
      </c>
      <c r="B847" s="1">
        <v>45391</v>
      </c>
      <c r="C847" s="1">
        <v>45396</v>
      </c>
      <c r="D847">
        <v>2024</v>
      </c>
      <c r="E847" t="s">
        <v>836</v>
      </c>
      <c r="F847" t="s">
        <v>837</v>
      </c>
      <c r="G847" t="s">
        <v>56</v>
      </c>
      <c r="H847" t="s">
        <v>35</v>
      </c>
      <c r="I847" t="s">
        <v>40</v>
      </c>
      <c r="J847" t="s">
        <v>25</v>
      </c>
      <c r="K847" t="s">
        <v>32</v>
      </c>
      <c r="L847" t="s">
        <v>27</v>
      </c>
      <c r="M847">
        <v>5</v>
      </c>
      <c r="N847" s="2"/>
      <c r="O847" s="3">
        <v>4011</v>
      </c>
      <c r="P847">
        <v>0</v>
      </c>
      <c r="Q847">
        <v>5</v>
      </c>
      <c r="R847" t="s">
        <v>33</v>
      </c>
      <c r="S847">
        <v>1</v>
      </c>
    </row>
    <row r="848" spans="1:19" ht="16.5" x14ac:dyDescent="0.3">
      <c r="A848" t="s">
        <v>901</v>
      </c>
      <c r="B848" s="1">
        <v>45391</v>
      </c>
      <c r="C848" s="1">
        <v>45397</v>
      </c>
      <c r="D848">
        <v>2024</v>
      </c>
      <c r="E848" t="s">
        <v>836</v>
      </c>
      <c r="F848" t="s">
        <v>837</v>
      </c>
      <c r="G848" t="s">
        <v>56</v>
      </c>
      <c r="H848" t="s">
        <v>50</v>
      </c>
      <c r="I848" t="s">
        <v>24</v>
      </c>
      <c r="J848" t="s">
        <v>25</v>
      </c>
      <c r="K848" t="s">
        <v>26</v>
      </c>
      <c r="L848" t="s">
        <v>37</v>
      </c>
      <c r="M848">
        <v>6</v>
      </c>
      <c r="N848" s="2">
        <v>31</v>
      </c>
      <c r="O848" s="3">
        <v>7024</v>
      </c>
      <c r="P848">
        <v>0</v>
      </c>
      <c r="Q848">
        <v>4</v>
      </c>
      <c r="R848" t="s">
        <v>33</v>
      </c>
      <c r="S848">
        <v>1</v>
      </c>
    </row>
    <row r="849" spans="1:19" ht="16.5" x14ac:dyDescent="0.3">
      <c r="A849" t="s">
        <v>902</v>
      </c>
      <c r="B849" s="1">
        <v>45392</v>
      </c>
      <c r="C849" s="1">
        <v>45394</v>
      </c>
      <c r="D849">
        <v>2024</v>
      </c>
      <c r="E849" t="s">
        <v>836</v>
      </c>
      <c r="F849" t="s">
        <v>837</v>
      </c>
      <c r="G849" t="s">
        <v>70</v>
      </c>
      <c r="H849" t="s">
        <v>35</v>
      </c>
      <c r="I849" t="s">
        <v>24</v>
      </c>
      <c r="J849" t="s">
        <v>25</v>
      </c>
      <c r="K849" t="s">
        <v>36</v>
      </c>
      <c r="L849" t="s">
        <v>27</v>
      </c>
      <c r="M849">
        <v>2</v>
      </c>
      <c r="N849" s="2">
        <v>33</v>
      </c>
      <c r="O849" s="3">
        <v>1299</v>
      </c>
      <c r="P849">
        <v>0</v>
      </c>
      <c r="Q849">
        <v>5</v>
      </c>
      <c r="R849" t="s">
        <v>28</v>
      </c>
      <c r="S849">
        <v>1</v>
      </c>
    </row>
    <row r="850" spans="1:19" ht="16.5" x14ac:dyDescent="0.3">
      <c r="A850" t="s">
        <v>903</v>
      </c>
      <c r="B850" s="1">
        <v>45392</v>
      </c>
      <c r="C850" s="1">
        <v>45393</v>
      </c>
      <c r="D850">
        <v>2024</v>
      </c>
      <c r="E850" t="s">
        <v>836</v>
      </c>
      <c r="F850" t="s">
        <v>837</v>
      </c>
      <c r="G850" t="s">
        <v>70</v>
      </c>
      <c r="H850" t="s">
        <v>50</v>
      </c>
      <c r="I850" t="s">
        <v>40</v>
      </c>
      <c r="J850" t="s">
        <v>43</v>
      </c>
      <c r="K850" t="s">
        <v>32</v>
      </c>
      <c r="L850" t="s">
        <v>27</v>
      </c>
      <c r="M850">
        <v>1</v>
      </c>
      <c r="N850" s="2"/>
      <c r="O850" s="3">
        <v>2276</v>
      </c>
      <c r="P850">
        <v>0</v>
      </c>
      <c r="Q850">
        <v>3</v>
      </c>
      <c r="R850" t="s">
        <v>28</v>
      </c>
      <c r="S850">
        <v>1</v>
      </c>
    </row>
    <row r="851" spans="1:19" ht="16.5" x14ac:dyDescent="0.3">
      <c r="A851" t="s">
        <v>904</v>
      </c>
      <c r="B851" s="1">
        <v>45392</v>
      </c>
      <c r="C851" s="1">
        <v>45399</v>
      </c>
      <c r="D851">
        <v>2024</v>
      </c>
      <c r="E851" t="s">
        <v>836</v>
      </c>
      <c r="F851" t="s">
        <v>837</v>
      </c>
      <c r="G851" t="s">
        <v>70</v>
      </c>
      <c r="H851" t="s">
        <v>23</v>
      </c>
      <c r="I851" t="s">
        <v>40</v>
      </c>
      <c r="J851" t="s">
        <v>43</v>
      </c>
      <c r="K851" t="s">
        <v>53</v>
      </c>
      <c r="L851" t="s">
        <v>27</v>
      </c>
      <c r="M851">
        <v>7</v>
      </c>
      <c r="N851" s="2"/>
      <c r="O851" s="3">
        <v>3613</v>
      </c>
      <c r="P851">
        <v>0</v>
      </c>
      <c r="Q851">
        <v>4</v>
      </c>
      <c r="R851" t="s">
        <v>33</v>
      </c>
      <c r="S851">
        <v>1</v>
      </c>
    </row>
    <row r="852" spans="1:19" ht="16.5" x14ac:dyDescent="0.3">
      <c r="A852" t="s">
        <v>905</v>
      </c>
      <c r="B852" s="1">
        <v>45392</v>
      </c>
      <c r="C852" s="1">
        <v>45394</v>
      </c>
      <c r="D852">
        <v>2024</v>
      </c>
      <c r="E852" t="s">
        <v>836</v>
      </c>
      <c r="F852" t="s">
        <v>837</v>
      </c>
      <c r="G852" t="s">
        <v>70</v>
      </c>
      <c r="H852" t="s">
        <v>39</v>
      </c>
      <c r="I852" t="s">
        <v>40</v>
      </c>
      <c r="J852" t="s">
        <v>25</v>
      </c>
      <c r="K852" t="s">
        <v>41</v>
      </c>
      <c r="L852" t="s">
        <v>27</v>
      </c>
      <c r="M852">
        <v>2</v>
      </c>
      <c r="N852" s="2"/>
      <c r="O852" s="3">
        <v>1997</v>
      </c>
      <c r="P852">
        <v>1</v>
      </c>
      <c r="Q852">
        <v>5</v>
      </c>
      <c r="R852" t="s">
        <v>28</v>
      </c>
      <c r="S852">
        <v>1</v>
      </c>
    </row>
    <row r="853" spans="1:19" ht="16.5" x14ac:dyDescent="0.3">
      <c r="A853" t="s">
        <v>906</v>
      </c>
      <c r="B853" s="1">
        <v>45392</v>
      </c>
      <c r="C853" s="1">
        <v>45394</v>
      </c>
      <c r="D853">
        <v>2024</v>
      </c>
      <c r="E853" t="s">
        <v>836</v>
      </c>
      <c r="F853" t="s">
        <v>837</v>
      </c>
      <c r="G853" t="s">
        <v>70</v>
      </c>
      <c r="H853" t="s">
        <v>35</v>
      </c>
      <c r="I853" t="s">
        <v>40</v>
      </c>
      <c r="J853" t="s">
        <v>25</v>
      </c>
      <c r="K853" t="s">
        <v>32</v>
      </c>
      <c r="L853" t="s">
        <v>27</v>
      </c>
      <c r="M853">
        <v>2</v>
      </c>
      <c r="N853" s="2"/>
      <c r="O853" s="3">
        <v>2003</v>
      </c>
      <c r="P853">
        <v>0</v>
      </c>
      <c r="Q853">
        <v>5</v>
      </c>
      <c r="R853" t="s">
        <v>28</v>
      </c>
      <c r="S853">
        <v>1</v>
      </c>
    </row>
    <row r="854" spans="1:19" ht="16.5" x14ac:dyDescent="0.3">
      <c r="A854" t="s">
        <v>907</v>
      </c>
      <c r="B854" s="1">
        <v>45392</v>
      </c>
      <c r="C854" s="1">
        <v>45394</v>
      </c>
      <c r="D854">
        <v>2024</v>
      </c>
      <c r="E854" t="s">
        <v>836</v>
      </c>
      <c r="F854" t="s">
        <v>837</v>
      </c>
      <c r="G854" t="s">
        <v>70</v>
      </c>
      <c r="H854" t="s">
        <v>30</v>
      </c>
      <c r="I854" t="s">
        <v>24</v>
      </c>
      <c r="J854" t="s">
        <v>43</v>
      </c>
      <c r="K854" t="s">
        <v>53</v>
      </c>
      <c r="L854" t="s">
        <v>27</v>
      </c>
      <c r="M854">
        <v>2</v>
      </c>
      <c r="N854" s="2">
        <v>30</v>
      </c>
      <c r="O854" s="3">
        <v>3130</v>
      </c>
      <c r="P854">
        <v>1</v>
      </c>
      <c r="Q854">
        <v>4</v>
      </c>
      <c r="R854" t="s">
        <v>28</v>
      </c>
      <c r="S854">
        <v>1</v>
      </c>
    </row>
    <row r="855" spans="1:19" ht="16.5" x14ac:dyDescent="0.3">
      <c r="A855" t="s">
        <v>908</v>
      </c>
      <c r="B855" s="1">
        <v>45392</v>
      </c>
      <c r="C855" s="1">
        <v>45394</v>
      </c>
      <c r="D855">
        <v>2024</v>
      </c>
      <c r="E855" t="s">
        <v>836</v>
      </c>
      <c r="F855" t="s">
        <v>837</v>
      </c>
      <c r="G855" t="s">
        <v>70</v>
      </c>
      <c r="H855" t="s">
        <v>52</v>
      </c>
      <c r="I855" t="s">
        <v>40</v>
      </c>
      <c r="J855" t="s">
        <v>43</v>
      </c>
      <c r="K855" t="s">
        <v>26</v>
      </c>
      <c r="L855" t="s">
        <v>37</v>
      </c>
      <c r="M855">
        <v>2</v>
      </c>
      <c r="N855" s="2"/>
      <c r="O855" s="3">
        <v>3338</v>
      </c>
      <c r="P855">
        <v>0</v>
      </c>
      <c r="Q855">
        <v>5</v>
      </c>
      <c r="R855" t="s">
        <v>33</v>
      </c>
      <c r="S855">
        <v>1</v>
      </c>
    </row>
    <row r="856" spans="1:19" ht="16.5" x14ac:dyDescent="0.3">
      <c r="A856" t="s">
        <v>909</v>
      </c>
      <c r="B856" s="1">
        <v>45392</v>
      </c>
      <c r="C856" s="1">
        <v>45394</v>
      </c>
      <c r="D856">
        <v>2024</v>
      </c>
      <c r="E856" t="s">
        <v>836</v>
      </c>
      <c r="F856" t="s">
        <v>837</v>
      </c>
      <c r="G856" t="s">
        <v>70</v>
      </c>
      <c r="H856" t="s">
        <v>30</v>
      </c>
      <c r="I856" t="s">
        <v>40</v>
      </c>
      <c r="J856" t="s">
        <v>25</v>
      </c>
      <c r="K856" t="s">
        <v>26</v>
      </c>
      <c r="L856" t="s">
        <v>44</v>
      </c>
      <c r="M856">
        <v>2</v>
      </c>
      <c r="N856" s="2"/>
      <c r="O856" s="3">
        <v>2498</v>
      </c>
      <c r="P856">
        <v>0</v>
      </c>
      <c r="Q856">
        <v>3</v>
      </c>
      <c r="R856" t="s">
        <v>33</v>
      </c>
      <c r="S856">
        <v>1</v>
      </c>
    </row>
    <row r="857" spans="1:19" ht="16.5" x14ac:dyDescent="0.3">
      <c r="A857" t="s">
        <v>910</v>
      </c>
      <c r="B857" s="1">
        <v>45392</v>
      </c>
      <c r="C857" s="1">
        <v>45396</v>
      </c>
      <c r="D857">
        <v>2024</v>
      </c>
      <c r="E857" t="s">
        <v>836</v>
      </c>
      <c r="F857" t="s">
        <v>837</v>
      </c>
      <c r="G857" t="s">
        <v>70</v>
      </c>
      <c r="H857" t="s">
        <v>23</v>
      </c>
      <c r="I857" t="s">
        <v>40</v>
      </c>
      <c r="J857" t="s">
        <v>25</v>
      </c>
      <c r="K857" t="s">
        <v>36</v>
      </c>
      <c r="L857" t="s">
        <v>27</v>
      </c>
      <c r="M857">
        <v>4</v>
      </c>
      <c r="N857" s="2"/>
      <c r="O857" s="3">
        <v>3098</v>
      </c>
      <c r="P857">
        <v>0</v>
      </c>
      <c r="Q857">
        <v>4</v>
      </c>
      <c r="R857" t="s">
        <v>33</v>
      </c>
      <c r="S857">
        <v>1</v>
      </c>
    </row>
    <row r="858" spans="1:19" ht="16.5" x14ac:dyDescent="0.3">
      <c r="A858" t="s">
        <v>911</v>
      </c>
      <c r="B858" s="1">
        <v>45392</v>
      </c>
      <c r="C858" s="1">
        <v>45398</v>
      </c>
      <c r="D858">
        <v>2024</v>
      </c>
      <c r="E858" t="s">
        <v>836</v>
      </c>
      <c r="F858" t="s">
        <v>837</v>
      </c>
      <c r="G858" t="s">
        <v>70</v>
      </c>
      <c r="H858" t="s">
        <v>30</v>
      </c>
      <c r="I858" t="s">
        <v>24</v>
      </c>
      <c r="J858" t="s">
        <v>43</v>
      </c>
      <c r="K858" t="s">
        <v>36</v>
      </c>
      <c r="L858" t="s">
        <v>44</v>
      </c>
      <c r="M858">
        <v>6</v>
      </c>
      <c r="N858" s="2">
        <v>31</v>
      </c>
      <c r="O858" s="3">
        <v>7610</v>
      </c>
      <c r="P858">
        <v>0</v>
      </c>
      <c r="Q858">
        <v>3</v>
      </c>
      <c r="R858" t="s">
        <v>33</v>
      </c>
      <c r="S858">
        <v>1</v>
      </c>
    </row>
    <row r="859" spans="1:19" ht="16.5" x14ac:dyDescent="0.3">
      <c r="A859" t="s">
        <v>912</v>
      </c>
      <c r="B859" s="1">
        <v>45392</v>
      </c>
      <c r="C859" s="1">
        <v>45399</v>
      </c>
      <c r="D859">
        <v>2024</v>
      </c>
      <c r="E859" t="s">
        <v>836</v>
      </c>
      <c r="F859" t="s">
        <v>837</v>
      </c>
      <c r="G859" t="s">
        <v>70</v>
      </c>
      <c r="H859" t="s">
        <v>23</v>
      </c>
      <c r="I859" t="s">
        <v>40</v>
      </c>
      <c r="J859" t="s">
        <v>43</v>
      </c>
      <c r="K859" t="s">
        <v>26</v>
      </c>
      <c r="L859" t="s">
        <v>44</v>
      </c>
      <c r="M859">
        <v>7</v>
      </c>
      <c r="N859" s="2"/>
      <c r="O859" s="3">
        <v>4173</v>
      </c>
      <c r="P859">
        <v>0</v>
      </c>
      <c r="Q859">
        <v>3</v>
      </c>
      <c r="R859" t="s">
        <v>28</v>
      </c>
      <c r="S859">
        <v>1</v>
      </c>
    </row>
    <row r="860" spans="1:19" ht="16.5" x14ac:dyDescent="0.3">
      <c r="A860" t="s">
        <v>913</v>
      </c>
      <c r="B860" s="1">
        <v>45392</v>
      </c>
      <c r="C860" s="1">
        <v>45400</v>
      </c>
      <c r="D860">
        <v>2024</v>
      </c>
      <c r="E860" t="s">
        <v>836</v>
      </c>
      <c r="F860" t="s">
        <v>837</v>
      </c>
      <c r="G860" t="s">
        <v>70</v>
      </c>
      <c r="H860" t="s">
        <v>23</v>
      </c>
      <c r="I860" t="s">
        <v>24</v>
      </c>
      <c r="J860" t="s">
        <v>43</v>
      </c>
      <c r="K860" t="s">
        <v>53</v>
      </c>
      <c r="L860" t="s">
        <v>27</v>
      </c>
      <c r="M860">
        <v>8</v>
      </c>
      <c r="N860" s="2">
        <v>59</v>
      </c>
      <c r="O860" s="3">
        <v>5847</v>
      </c>
      <c r="P860">
        <v>0</v>
      </c>
      <c r="Q860">
        <v>5</v>
      </c>
      <c r="R860" t="s">
        <v>33</v>
      </c>
      <c r="S860">
        <v>1</v>
      </c>
    </row>
    <row r="861" spans="1:19" ht="16.5" x14ac:dyDescent="0.3">
      <c r="A861" t="s">
        <v>914</v>
      </c>
      <c r="B861" s="1">
        <v>45392</v>
      </c>
      <c r="C861" s="1">
        <v>45393</v>
      </c>
      <c r="D861">
        <v>2024</v>
      </c>
      <c r="E861" t="s">
        <v>836</v>
      </c>
      <c r="F861" t="s">
        <v>837</v>
      </c>
      <c r="G861" t="s">
        <v>70</v>
      </c>
      <c r="H861" t="s">
        <v>52</v>
      </c>
      <c r="I861" t="s">
        <v>24</v>
      </c>
      <c r="J861" t="s">
        <v>25</v>
      </c>
      <c r="K861" t="s">
        <v>26</v>
      </c>
      <c r="L861" t="s">
        <v>27</v>
      </c>
      <c r="M861">
        <v>1</v>
      </c>
      <c r="N861" s="2">
        <v>12</v>
      </c>
      <c r="O861" s="3">
        <v>2149</v>
      </c>
      <c r="P861">
        <v>1</v>
      </c>
      <c r="Q861">
        <v>4</v>
      </c>
      <c r="R861" t="s">
        <v>28</v>
      </c>
      <c r="S861">
        <v>1</v>
      </c>
    </row>
    <row r="862" spans="1:19" ht="16.5" x14ac:dyDescent="0.3">
      <c r="A862" t="s">
        <v>915</v>
      </c>
      <c r="B862" s="1">
        <v>45393</v>
      </c>
      <c r="C862" s="1">
        <v>45398</v>
      </c>
      <c r="D862">
        <v>2024</v>
      </c>
      <c r="E862" t="s">
        <v>836</v>
      </c>
      <c r="F862" t="s">
        <v>837</v>
      </c>
      <c r="G862" t="s">
        <v>78</v>
      </c>
      <c r="H862" t="s">
        <v>30</v>
      </c>
      <c r="I862" t="s">
        <v>40</v>
      </c>
      <c r="J862" t="s">
        <v>43</v>
      </c>
      <c r="K862" t="s">
        <v>53</v>
      </c>
      <c r="L862" t="s">
        <v>27</v>
      </c>
      <c r="M862">
        <v>5</v>
      </c>
      <c r="N862" s="2"/>
      <c r="O862" s="3">
        <v>6450</v>
      </c>
      <c r="P862">
        <v>0</v>
      </c>
      <c r="Q862">
        <v>5</v>
      </c>
      <c r="R862" t="s">
        <v>33</v>
      </c>
      <c r="S862">
        <v>1</v>
      </c>
    </row>
    <row r="863" spans="1:19" ht="16.5" x14ac:dyDescent="0.3">
      <c r="A863" t="s">
        <v>916</v>
      </c>
      <c r="B863" s="1">
        <v>45393</v>
      </c>
      <c r="C863" s="1">
        <v>45399</v>
      </c>
      <c r="D863">
        <v>2024</v>
      </c>
      <c r="E863" t="s">
        <v>836</v>
      </c>
      <c r="F863" t="s">
        <v>837</v>
      </c>
      <c r="G863" t="s">
        <v>78</v>
      </c>
      <c r="H863" t="s">
        <v>52</v>
      </c>
      <c r="I863" t="s">
        <v>24</v>
      </c>
      <c r="J863" t="s">
        <v>43</v>
      </c>
      <c r="K863" t="s">
        <v>32</v>
      </c>
      <c r="L863" t="s">
        <v>27</v>
      </c>
      <c r="M863">
        <v>6</v>
      </c>
      <c r="N863" s="2">
        <v>53</v>
      </c>
      <c r="O863" s="3">
        <v>7123</v>
      </c>
      <c r="P863">
        <v>0</v>
      </c>
      <c r="Q863">
        <v>5</v>
      </c>
      <c r="R863" t="s">
        <v>28</v>
      </c>
      <c r="S863">
        <v>1</v>
      </c>
    </row>
    <row r="864" spans="1:19" ht="16.5" x14ac:dyDescent="0.3">
      <c r="A864" t="s">
        <v>917</v>
      </c>
      <c r="B864" s="1">
        <v>45393</v>
      </c>
      <c r="C864" s="1">
        <v>45396</v>
      </c>
      <c r="D864">
        <v>2024</v>
      </c>
      <c r="E864" t="s">
        <v>836</v>
      </c>
      <c r="F864" t="s">
        <v>837</v>
      </c>
      <c r="G864" t="s">
        <v>78</v>
      </c>
      <c r="H864" t="s">
        <v>39</v>
      </c>
      <c r="I864" t="s">
        <v>40</v>
      </c>
      <c r="J864" t="s">
        <v>43</v>
      </c>
      <c r="K864" t="s">
        <v>41</v>
      </c>
      <c r="L864" t="s">
        <v>44</v>
      </c>
      <c r="M864">
        <v>3</v>
      </c>
      <c r="N864" s="2"/>
      <c r="O864" s="3">
        <v>2636</v>
      </c>
      <c r="P864">
        <v>0</v>
      </c>
      <c r="Q864">
        <v>5</v>
      </c>
      <c r="R864" t="s">
        <v>59</v>
      </c>
      <c r="S864">
        <v>1</v>
      </c>
    </row>
    <row r="865" spans="1:19" ht="16.5" x14ac:dyDescent="0.3">
      <c r="A865" t="s">
        <v>918</v>
      </c>
      <c r="B865" s="1">
        <v>45393</v>
      </c>
      <c r="C865" s="1">
        <v>45394</v>
      </c>
      <c r="D865">
        <v>2024</v>
      </c>
      <c r="E865" t="s">
        <v>836</v>
      </c>
      <c r="F865" t="s">
        <v>837</v>
      </c>
      <c r="G865" t="s">
        <v>78</v>
      </c>
      <c r="H865" t="s">
        <v>30</v>
      </c>
      <c r="I865" t="s">
        <v>40</v>
      </c>
      <c r="J865" t="s">
        <v>43</v>
      </c>
      <c r="K865" t="s">
        <v>36</v>
      </c>
      <c r="L865" t="s">
        <v>27</v>
      </c>
      <c r="M865">
        <v>1</v>
      </c>
      <c r="N865" s="2"/>
      <c r="O865" s="3">
        <v>1084</v>
      </c>
      <c r="P865">
        <v>0</v>
      </c>
      <c r="Q865">
        <v>4</v>
      </c>
      <c r="R865" t="s">
        <v>59</v>
      </c>
      <c r="S865">
        <v>1</v>
      </c>
    </row>
    <row r="866" spans="1:19" ht="16.5" x14ac:dyDescent="0.3">
      <c r="A866" t="s">
        <v>919</v>
      </c>
      <c r="B866" s="1">
        <v>45393</v>
      </c>
      <c r="C866" s="1">
        <v>45394</v>
      </c>
      <c r="D866">
        <v>2024</v>
      </c>
      <c r="E866" t="s">
        <v>836</v>
      </c>
      <c r="F866" t="s">
        <v>837</v>
      </c>
      <c r="G866" t="s">
        <v>78</v>
      </c>
      <c r="H866" t="s">
        <v>30</v>
      </c>
      <c r="I866" t="s">
        <v>31</v>
      </c>
      <c r="J866" t="s">
        <v>25</v>
      </c>
      <c r="K866" t="s">
        <v>53</v>
      </c>
      <c r="L866" t="s">
        <v>37</v>
      </c>
      <c r="M866">
        <v>1</v>
      </c>
      <c r="N866" s="2"/>
      <c r="O866" s="3">
        <v>1659</v>
      </c>
      <c r="P866">
        <v>0</v>
      </c>
      <c r="Q866">
        <v>4</v>
      </c>
      <c r="R866" t="s">
        <v>33</v>
      </c>
      <c r="S866">
        <v>1</v>
      </c>
    </row>
    <row r="867" spans="1:19" ht="16.5" x14ac:dyDescent="0.3">
      <c r="A867" t="s">
        <v>920</v>
      </c>
      <c r="B867" s="1">
        <v>45393</v>
      </c>
      <c r="C867" s="1">
        <v>45399</v>
      </c>
      <c r="D867">
        <v>2024</v>
      </c>
      <c r="E867" t="s">
        <v>836</v>
      </c>
      <c r="F867" t="s">
        <v>837</v>
      </c>
      <c r="G867" t="s">
        <v>78</v>
      </c>
      <c r="H867" t="s">
        <v>23</v>
      </c>
      <c r="I867" t="s">
        <v>24</v>
      </c>
      <c r="J867" t="s">
        <v>25</v>
      </c>
      <c r="K867" t="s">
        <v>53</v>
      </c>
      <c r="L867" t="s">
        <v>27</v>
      </c>
      <c r="M867">
        <v>6</v>
      </c>
      <c r="N867" s="2">
        <v>91</v>
      </c>
      <c r="O867" s="3">
        <v>3803</v>
      </c>
      <c r="P867">
        <v>0</v>
      </c>
      <c r="Q867">
        <v>4</v>
      </c>
      <c r="R867" t="s">
        <v>28</v>
      </c>
      <c r="S867">
        <v>1</v>
      </c>
    </row>
    <row r="868" spans="1:19" ht="16.5" x14ac:dyDescent="0.3">
      <c r="A868" t="s">
        <v>921</v>
      </c>
      <c r="B868" s="1">
        <v>45393</v>
      </c>
      <c r="C868" s="1">
        <v>45394</v>
      </c>
      <c r="D868">
        <v>2024</v>
      </c>
      <c r="E868" t="s">
        <v>836</v>
      </c>
      <c r="F868" t="s">
        <v>837</v>
      </c>
      <c r="G868" t="s">
        <v>78</v>
      </c>
      <c r="H868" t="s">
        <v>35</v>
      </c>
      <c r="I868" t="s">
        <v>24</v>
      </c>
      <c r="J868" t="s">
        <v>25</v>
      </c>
      <c r="K868" t="s">
        <v>36</v>
      </c>
      <c r="L868" t="s">
        <v>27</v>
      </c>
      <c r="M868">
        <v>1</v>
      </c>
      <c r="N868" s="2">
        <v>24</v>
      </c>
      <c r="O868" s="3">
        <v>1643</v>
      </c>
      <c r="P868">
        <v>0</v>
      </c>
      <c r="Q868">
        <v>4</v>
      </c>
      <c r="R868" t="s">
        <v>28</v>
      </c>
      <c r="S868">
        <v>1</v>
      </c>
    </row>
    <row r="869" spans="1:19" ht="16.5" x14ac:dyDescent="0.3">
      <c r="A869" t="s">
        <v>922</v>
      </c>
      <c r="B869" s="1">
        <v>45393</v>
      </c>
      <c r="C869" s="1">
        <v>45396</v>
      </c>
      <c r="D869">
        <v>2024</v>
      </c>
      <c r="E869" t="s">
        <v>836</v>
      </c>
      <c r="F869" t="s">
        <v>837</v>
      </c>
      <c r="G869" t="s">
        <v>78</v>
      </c>
      <c r="H869" t="s">
        <v>30</v>
      </c>
      <c r="I869" t="s">
        <v>31</v>
      </c>
      <c r="J869" t="s">
        <v>43</v>
      </c>
      <c r="K869" t="s">
        <v>26</v>
      </c>
      <c r="L869" t="s">
        <v>44</v>
      </c>
      <c r="M869">
        <v>3</v>
      </c>
      <c r="N869" s="2"/>
      <c r="O869" s="3">
        <v>3553</v>
      </c>
      <c r="P869">
        <v>0</v>
      </c>
      <c r="Q869">
        <v>5</v>
      </c>
      <c r="R869" t="s">
        <v>28</v>
      </c>
      <c r="S869">
        <v>1</v>
      </c>
    </row>
    <row r="870" spans="1:19" ht="16.5" x14ac:dyDescent="0.3">
      <c r="A870" t="s">
        <v>923</v>
      </c>
      <c r="B870" s="1">
        <v>45393</v>
      </c>
      <c r="C870" s="1">
        <v>45409</v>
      </c>
      <c r="D870">
        <v>2024</v>
      </c>
      <c r="E870" t="s">
        <v>836</v>
      </c>
      <c r="F870" t="s">
        <v>837</v>
      </c>
      <c r="G870" t="s">
        <v>78</v>
      </c>
      <c r="H870" t="s">
        <v>23</v>
      </c>
      <c r="I870" t="s">
        <v>40</v>
      </c>
      <c r="J870" t="s">
        <v>43</v>
      </c>
      <c r="K870" t="s">
        <v>26</v>
      </c>
      <c r="L870" t="s">
        <v>44</v>
      </c>
      <c r="M870">
        <v>16</v>
      </c>
      <c r="N870" s="2"/>
      <c r="O870" s="3">
        <v>10968</v>
      </c>
      <c r="P870">
        <v>1</v>
      </c>
      <c r="Q870">
        <v>3</v>
      </c>
      <c r="R870" t="s">
        <v>33</v>
      </c>
      <c r="S870">
        <v>1</v>
      </c>
    </row>
    <row r="871" spans="1:19" ht="16.5" x14ac:dyDescent="0.3">
      <c r="A871" t="s">
        <v>924</v>
      </c>
      <c r="B871" s="1">
        <v>45393</v>
      </c>
      <c r="C871" s="1">
        <v>45399</v>
      </c>
      <c r="D871">
        <v>2024</v>
      </c>
      <c r="E871" t="s">
        <v>836</v>
      </c>
      <c r="F871" t="s">
        <v>837</v>
      </c>
      <c r="G871" t="s">
        <v>78</v>
      </c>
      <c r="H871" t="s">
        <v>30</v>
      </c>
      <c r="I871" t="s">
        <v>24</v>
      </c>
      <c r="J871" t="s">
        <v>43</v>
      </c>
      <c r="K871" t="s">
        <v>53</v>
      </c>
      <c r="L871" t="s">
        <v>44</v>
      </c>
      <c r="M871">
        <v>6</v>
      </c>
      <c r="N871" s="2">
        <v>134</v>
      </c>
      <c r="O871" s="3">
        <v>7355</v>
      </c>
      <c r="P871">
        <v>0</v>
      </c>
      <c r="Q871">
        <v>4</v>
      </c>
      <c r="R871" t="s">
        <v>33</v>
      </c>
      <c r="S871">
        <v>1</v>
      </c>
    </row>
    <row r="872" spans="1:19" ht="16.5" x14ac:dyDescent="0.3">
      <c r="A872" t="s">
        <v>925</v>
      </c>
      <c r="B872" s="1">
        <v>45393</v>
      </c>
      <c r="C872" s="1">
        <v>45395</v>
      </c>
      <c r="D872">
        <v>2024</v>
      </c>
      <c r="E872" t="s">
        <v>836</v>
      </c>
      <c r="F872" t="s">
        <v>837</v>
      </c>
      <c r="G872" t="s">
        <v>78</v>
      </c>
      <c r="H872" t="s">
        <v>50</v>
      </c>
      <c r="I872" t="s">
        <v>31</v>
      </c>
      <c r="J872" t="s">
        <v>43</v>
      </c>
      <c r="K872" t="s">
        <v>36</v>
      </c>
      <c r="L872" t="s">
        <v>27</v>
      </c>
      <c r="M872">
        <v>2</v>
      </c>
      <c r="N872" s="2"/>
      <c r="O872" s="3">
        <v>2353</v>
      </c>
      <c r="P872">
        <v>1</v>
      </c>
      <c r="Q872">
        <v>4</v>
      </c>
      <c r="R872" t="s">
        <v>33</v>
      </c>
      <c r="S872">
        <v>1</v>
      </c>
    </row>
    <row r="873" spans="1:19" ht="16.5" x14ac:dyDescent="0.3">
      <c r="A873" t="s">
        <v>926</v>
      </c>
      <c r="B873" s="1">
        <v>45393</v>
      </c>
      <c r="C873" s="1">
        <v>45401</v>
      </c>
      <c r="D873">
        <v>2024</v>
      </c>
      <c r="E873" t="s">
        <v>836</v>
      </c>
      <c r="F873" t="s">
        <v>837</v>
      </c>
      <c r="G873" t="s">
        <v>78</v>
      </c>
      <c r="H873" t="s">
        <v>23</v>
      </c>
      <c r="I873" t="s">
        <v>24</v>
      </c>
      <c r="J873" t="s">
        <v>25</v>
      </c>
      <c r="K873" t="s">
        <v>32</v>
      </c>
      <c r="L873" t="s">
        <v>44</v>
      </c>
      <c r="M873">
        <v>8</v>
      </c>
      <c r="N873" s="2">
        <v>26</v>
      </c>
      <c r="O873" s="3">
        <v>7896</v>
      </c>
      <c r="P873">
        <v>0</v>
      </c>
      <c r="Q873">
        <v>4</v>
      </c>
      <c r="R873" t="s">
        <v>28</v>
      </c>
      <c r="S873">
        <v>1</v>
      </c>
    </row>
    <row r="874" spans="1:19" ht="16.5" x14ac:dyDescent="0.3">
      <c r="A874" t="s">
        <v>927</v>
      </c>
      <c r="B874" s="1">
        <v>45394</v>
      </c>
      <c r="C874" s="1">
        <v>45397</v>
      </c>
      <c r="D874">
        <v>2024</v>
      </c>
      <c r="E874" t="s">
        <v>836</v>
      </c>
      <c r="F874" t="s">
        <v>837</v>
      </c>
      <c r="G874" t="s">
        <v>83</v>
      </c>
      <c r="H874" t="s">
        <v>50</v>
      </c>
      <c r="I874" t="s">
        <v>24</v>
      </c>
      <c r="J874" t="s">
        <v>25</v>
      </c>
      <c r="K874" t="s">
        <v>53</v>
      </c>
      <c r="L874" t="s">
        <v>37</v>
      </c>
      <c r="M874">
        <v>3</v>
      </c>
      <c r="N874" s="2">
        <v>33</v>
      </c>
      <c r="O874" s="3">
        <v>5102</v>
      </c>
      <c r="P874">
        <v>0</v>
      </c>
      <c r="Q874">
        <v>5</v>
      </c>
      <c r="R874" t="s">
        <v>33</v>
      </c>
      <c r="S874">
        <v>1</v>
      </c>
    </row>
    <row r="875" spans="1:19" ht="16.5" x14ac:dyDescent="0.3">
      <c r="A875" t="s">
        <v>928</v>
      </c>
      <c r="B875" s="1">
        <v>45394</v>
      </c>
      <c r="C875" s="1">
        <v>45395</v>
      </c>
      <c r="D875">
        <v>2024</v>
      </c>
      <c r="E875" t="s">
        <v>836</v>
      </c>
      <c r="F875" t="s">
        <v>837</v>
      </c>
      <c r="G875" t="s">
        <v>83</v>
      </c>
      <c r="H875" t="s">
        <v>35</v>
      </c>
      <c r="I875" t="s">
        <v>31</v>
      </c>
      <c r="J875" t="s">
        <v>25</v>
      </c>
      <c r="K875" t="s">
        <v>36</v>
      </c>
      <c r="L875" t="s">
        <v>44</v>
      </c>
      <c r="M875">
        <v>1</v>
      </c>
      <c r="N875" s="2"/>
      <c r="O875" s="3">
        <v>1435</v>
      </c>
      <c r="P875">
        <v>0</v>
      </c>
      <c r="Q875">
        <v>4</v>
      </c>
      <c r="R875" t="s">
        <v>28</v>
      </c>
      <c r="S875">
        <v>1</v>
      </c>
    </row>
    <row r="876" spans="1:19" ht="16.5" x14ac:dyDescent="0.3">
      <c r="A876" t="s">
        <v>929</v>
      </c>
      <c r="B876" s="1">
        <v>45394</v>
      </c>
      <c r="C876" s="1">
        <v>45401</v>
      </c>
      <c r="D876">
        <v>2024</v>
      </c>
      <c r="E876" t="s">
        <v>836</v>
      </c>
      <c r="F876" t="s">
        <v>837</v>
      </c>
      <c r="G876" t="s">
        <v>83</v>
      </c>
      <c r="H876" t="s">
        <v>35</v>
      </c>
      <c r="I876" t="s">
        <v>24</v>
      </c>
      <c r="J876" t="s">
        <v>25</v>
      </c>
      <c r="K876" t="s">
        <v>36</v>
      </c>
      <c r="L876" t="s">
        <v>44</v>
      </c>
      <c r="M876">
        <v>7</v>
      </c>
      <c r="N876" s="2">
        <v>24</v>
      </c>
      <c r="O876" s="3">
        <v>4388</v>
      </c>
      <c r="P876">
        <v>0</v>
      </c>
      <c r="Q876">
        <v>4</v>
      </c>
      <c r="R876" t="s">
        <v>33</v>
      </c>
      <c r="S876">
        <v>1</v>
      </c>
    </row>
    <row r="877" spans="1:19" ht="16.5" x14ac:dyDescent="0.3">
      <c r="A877" t="s">
        <v>930</v>
      </c>
      <c r="B877" s="1">
        <v>45394</v>
      </c>
      <c r="C877" s="1">
        <v>45395</v>
      </c>
      <c r="D877">
        <v>2024</v>
      </c>
      <c r="E877" t="s">
        <v>836</v>
      </c>
      <c r="F877" t="s">
        <v>837</v>
      </c>
      <c r="G877" t="s">
        <v>83</v>
      </c>
      <c r="H877" t="s">
        <v>50</v>
      </c>
      <c r="I877" t="s">
        <v>24</v>
      </c>
      <c r="J877" t="s">
        <v>43</v>
      </c>
      <c r="K877" t="s">
        <v>53</v>
      </c>
      <c r="L877" t="s">
        <v>44</v>
      </c>
      <c r="M877">
        <v>1</v>
      </c>
      <c r="N877" s="2">
        <v>35</v>
      </c>
      <c r="O877" s="3">
        <v>2109</v>
      </c>
      <c r="P877">
        <v>0</v>
      </c>
      <c r="Q877">
        <v>3</v>
      </c>
      <c r="R877" t="s">
        <v>28</v>
      </c>
      <c r="S877">
        <v>1</v>
      </c>
    </row>
    <row r="878" spans="1:19" ht="16.5" x14ac:dyDescent="0.3">
      <c r="A878" t="s">
        <v>931</v>
      </c>
      <c r="B878" s="1">
        <v>45394</v>
      </c>
      <c r="C878" s="1">
        <v>45396</v>
      </c>
      <c r="D878">
        <v>2024</v>
      </c>
      <c r="E878" t="s">
        <v>836</v>
      </c>
      <c r="F878" t="s">
        <v>837</v>
      </c>
      <c r="G878" t="s">
        <v>83</v>
      </c>
      <c r="H878" t="s">
        <v>23</v>
      </c>
      <c r="I878" t="s">
        <v>31</v>
      </c>
      <c r="J878" t="s">
        <v>43</v>
      </c>
      <c r="K878" t="s">
        <v>53</v>
      </c>
      <c r="L878" t="s">
        <v>37</v>
      </c>
      <c r="M878">
        <v>2</v>
      </c>
      <c r="N878" s="2"/>
      <c r="O878" s="3">
        <v>2046</v>
      </c>
      <c r="P878">
        <v>0</v>
      </c>
      <c r="Q878">
        <v>4</v>
      </c>
      <c r="R878" t="s">
        <v>28</v>
      </c>
      <c r="S878">
        <v>1</v>
      </c>
    </row>
    <row r="879" spans="1:19" ht="16.5" x14ac:dyDescent="0.3">
      <c r="A879" t="s">
        <v>932</v>
      </c>
      <c r="B879" s="1">
        <v>45394</v>
      </c>
      <c r="C879" s="1">
        <v>45397</v>
      </c>
      <c r="D879">
        <v>2024</v>
      </c>
      <c r="E879" t="s">
        <v>836</v>
      </c>
      <c r="F879" t="s">
        <v>837</v>
      </c>
      <c r="G879" t="s">
        <v>83</v>
      </c>
      <c r="H879" t="s">
        <v>39</v>
      </c>
      <c r="I879" t="s">
        <v>40</v>
      </c>
      <c r="J879" t="s">
        <v>25</v>
      </c>
      <c r="K879" t="s">
        <v>41</v>
      </c>
      <c r="L879" t="s">
        <v>27</v>
      </c>
      <c r="M879">
        <v>3</v>
      </c>
      <c r="N879" s="2"/>
      <c r="O879" s="3">
        <v>2428</v>
      </c>
      <c r="P879">
        <v>0</v>
      </c>
      <c r="Q879">
        <v>4</v>
      </c>
      <c r="R879" t="s">
        <v>33</v>
      </c>
      <c r="S879">
        <v>1</v>
      </c>
    </row>
    <row r="880" spans="1:19" ht="16.5" x14ac:dyDescent="0.3">
      <c r="A880" t="s">
        <v>933</v>
      </c>
      <c r="B880" s="1">
        <v>45394</v>
      </c>
      <c r="C880" s="1">
        <v>45395</v>
      </c>
      <c r="D880">
        <v>2024</v>
      </c>
      <c r="E880" t="s">
        <v>836</v>
      </c>
      <c r="F880" t="s">
        <v>837</v>
      </c>
      <c r="G880" t="s">
        <v>83</v>
      </c>
      <c r="H880" t="s">
        <v>35</v>
      </c>
      <c r="I880" t="s">
        <v>40</v>
      </c>
      <c r="J880" t="s">
        <v>25</v>
      </c>
      <c r="K880" t="s">
        <v>32</v>
      </c>
      <c r="L880" t="s">
        <v>44</v>
      </c>
      <c r="M880">
        <v>1</v>
      </c>
      <c r="N880" s="2"/>
      <c r="O880" s="3">
        <v>1060</v>
      </c>
      <c r="P880">
        <v>0</v>
      </c>
      <c r="Q880">
        <v>4</v>
      </c>
      <c r="R880" t="s">
        <v>33</v>
      </c>
      <c r="S880">
        <v>1</v>
      </c>
    </row>
    <row r="881" spans="1:19" ht="16.5" x14ac:dyDescent="0.3">
      <c r="A881" t="s">
        <v>934</v>
      </c>
      <c r="B881" s="1">
        <v>45395</v>
      </c>
      <c r="C881" s="1">
        <v>45397</v>
      </c>
      <c r="D881">
        <v>2024</v>
      </c>
      <c r="E881" t="s">
        <v>836</v>
      </c>
      <c r="F881" t="s">
        <v>837</v>
      </c>
      <c r="G881" t="s">
        <v>102</v>
      </c>
      <c r="H881" t="s">
        <v>35</v>
      </c>
      <c r="I881" t="s">
        <v>31</v>
      </c>
      <c r="J881" t="s">
        <v>25</v>
      </c>
      <c r="K881" t="s">
        <v>36</v>
      </c>
      <c r="L881" t="s">
        <v>27</v>
      </c>
      <c r="M881">
        <v>2</v>
      </c>
      <c r="N881" s="2"/>
      <c r="O881" s="3">
        <v>2078</v>
      </c>
      <c r="P881">
        <v>0</v>
      </c>
      <c r="Q881">
        <v>3</v>
      </c>
      <c r="R881" t="s">
        <v>33</v>
      </c>
      <c r="S881">
        <v>1</v>
      </c>
    </row>
    <row r="882" spans="1:19" ht="16.5" x14ac:dyDescent="0.3">
      <c r="A882" t="s">
        <v>935</v>
      </c>
      <c r="B882" s="1">
        <v>45395</v>
      </c>
      <c r="C882" s="1">
        <v>45397</v>
      </c>
      <c r="D882">
        <v>2024</v>
      </c>
      <c r="E882" t="s">
        <v>836</v>
      </c>
      <c r="F882" t="s">
        <v>837</v>
      </c>
      <c r="G882" t="s">
        <v>102</v>
      </c>
      <c r="H882" t="s">
        <v>52</v>
      </c>
      <c r="I882" t="s">
        <v>31</v>
      </c>
      <c r="J882" t="s">
        <v>25</v>
      </c>
      <c r="K882" t="s">
        <v>53</v>
      </c>
      <c r="L882" t="s">
        <v>44</v>
      </c>
      <c r="M882">
        <v>2</v>
      </c>
      <c r="N882" s="2"/>
      <c r="O882" s="3">
        <v>2770</v>
      </c>
      <c r="P882">
        <v>0</v>
      </c>
      <c r="Q882">
        <v>3</v>
      </c>
      <c r="R882" t="s">
        <v>33</v>
      </c>
      <c r="S882">
        <v>1</v>
      </c>
    </row>
    <row r="883" spans="1:19" ht="16.5" x14ac:dyDescent="0.3">
      <c r="A883" t="s">
        <v>936</v>
      </c>
      <c r="B883" s="1">
        <v>45395</v>
      </c>
      <c r="C883" s="1">
        <v>45402</v>
      </c>
      <c r="D883">
        <v>2024</v>
      </c>
      <c r="E883" t="s">
        <v>836</v>
      </c>
      <c r="F883" t="s">
        <v>837</v>
      </c>
      <c r="G883" t="s">
        <v>102</v>
      </c>
      <c r="H883" t="s">
        <v>52</v>
      </c>
      <c r="I883" t="s">
        <v>24</v>
      </c>
      <c r="J883" t="s">
        <v>25</v>
      </c>
      <c r="K883" t="s">
        <v>26</v>
      </c>
      <c r="L883" t="s">
        <v>44</v>
      </c>
      <c r="M883">
        <v>7</v>
      </c>
      <c r="N883" s="2">
        <v>174</v>
      </c>
      <c r="O883" s="3">
        <v>7156</v>
      </c>
      <c r="P883">
        <v>0</v>
      </c>
      <c r="Q883">
        <v>4</v>
      </c>
      <c r="R883" t="s">
        <v>33</v>
      </c>
      <c r="S883">
        <v>1</v>
      </c>
    </row>
    <row r="884" spans="1:19" ht="16.5" x14ac:dyDescent="0.3">
      <c r="A884" t="s">
        <v>937</v>
      </c>
      <c r="B884" s="1">
        <v>45395</v>
      </c>
      <c r="C884" s="1">
        <v>45397</v>
      </c>
      <c r="D884">
        <v>2024</v>
      </c>
      <c r="E884" t="s">
        <v>836</v>
      </c>
      <c r="F884" t="s">
        <v>837</v>
      </c>
      <c r="G884" t="s">
        <v>102</v>
      </c>
      <c r="H884" t="s">
        <v>23</v>
      </c>
      <c r="I884" t="s">
        <v>24</v>
      </c>
      <c r="J884" t="s">
        <v>25</v>
      </c>
      <c r="K884" t="s">
        <v>32</v>
      </c>
      <c r="L884" t="s">
        <v>44</v>
      </c>
      <c r="M884">
        <v>2</v>
      </c>
      <c r="N884" s="2">
        <v>94</v>
      </c>
      <c r="O884" s="3">
        <v>2441</v>
      </c>
      <c r="P884">
        <v>1</v>
      </c>
      <c r="Q884">
        <v>3</v>
      </c>
      <c r="R884" t="s">
        <v>33</v>
      </c>
      <c r="S884">
        <v>1</v>
      </c>
    </row>
    <row r="885" spans="1:19" ht="16.5" x14ac:dyDescent="0.3">
      <c r="A885" t="s">
        <v>938</v>
      </c>
      <c r="B885" s="1">
        <v>45395</v>
      </c>
      <c r="C885" s="1">
        <v>45402</v>
      </c>
      <c r="D885">
        <v>2024</v>
      </c>
      <c r="E885" t="s">
        <v>836</v>
      </c>
      <c r="F885" t="s">
        <v>837</v>
      </c>
      <c r="G885" t="s">
        <v>102</v>
      </c>
      <c r="H885" t="s">
        <v>50</v>
      </c>
      <c r="I885" t="s">
        <v>24</v>
      </c>
      <c r="J885" t="s">
        <v>25</v>
      </c>
      <c r="K885" t="s">
        <v>36</v>
      </c>
      <c r="L885" t="s">
        <v>27</v>
      </c>
      <c r="M885">
        <v>7</v>
      </c>
      <c r="N885" s="2">
        <v>79</v>
      </c>
      <c r="O885" s="3">
        <v>9529</v>
      </c>
      <c r="P885">
        <v>0</v>
      </c>
      <c r="Q885">
        <v>4</v>
      </c>
      <c r="R885" t="s">
        <v>33</v>
      </c>
      <c r="S885">
        <v>1</v>
      </c>
    </row>
    <row r="886" spans="1:19" ht="16.5" x14ac:dyDescent="0.3">
      <c r="A886" t="s">
        <v>939</v>
      </c>
      <c r="B886" s="1">
        <v>45396</v>
      </c>
      <c r="C886" s="1">
        <v>45398</v>
      </c>
      <c r="D886">
        <v>2024</v>
      </c>
      <c r="E886" t="s">
        <v>836</v>
      </c>
      <c r="F886" t="s">
        <v>837</v>
      </c>
      <c r="G886" t="s">
        <v>112</v>
      </c>
      <c r="H886" t="s">
        <v>39</v>
      </c>
      <c r="I886" t="s">
        <v>40</v>
      </c>
      <c r="J886" t="s">
        <v>25</v>
      </c>
      <c r="K886" t="s">
        <v>41</v>
      </c>
      <c r="L886" t="s">
        <v>37</v>
      </c>
      <c r="M886">
        <v>2</v>
      </c>
      <c r="N886" s="2"/>
      <c r="O886" s="3">
        <v>2282</v>
      </c>
      <c r="P886">
        <v>0</v>
      </c>
      <c r="Q886">
        <v>5</v>
      </c>
      <c r="R886" t="s">
        <v>28</v>
      </c>
      <c r="S886">
        <v>1</v>
      </c>
    </row>
    <row r="887" spans="1:19" ht="16.5" x14ac:dyDescent="0.3">
      <c r="A887" t="s">
        <v>940</v>
      </c>
      <c r="B887" s="1">
        <v>45396</v>
      </c>
      <c r="C887" s="1">
        <v>45397</v>
      </c>
      <c r="D887">
        <v>2024</v>
      </c>
      <c r="E887" t="s">
        <v>836</v>
      </c>
      <c r="F887" t="s">
        <v>837</v>
      </c>
      <c r="G887" t="s">
        <v>112</v>
      </c>
      <c r="H887" t="s">
        <v>35</v>
      </c>
      <c r="I887" t="s">
        <v>24</v>
      </c>
      <c r="J887" t="s">
        <v>25</v>
      </c>
      <c r="K887" t="s">
        <v>32</v>
      </c>
      <c r="L887" t="s">
        <v>44</v>
      </c>
      <c r="M887">
        <v>1</v>
      </c>
      <c r="N887" s="2">
        <v>41</v>
      </c>
      <c r="O887" s="3">
        <v>1668</v>
      </c>
      <c r="P887">
        <v>0</v>
      </c>
      <c r="Q887">
        <v>4</v>
      </c>
      <c r="R887" t="s">
        <v>33</v>
      </c>
      <c r="S887">
        <v>1</v>
      </c>
    </row>
    <row r="888" spans="1:19" ht="16.5" x14ac:dyDescent="0.3">
      <c r="A888" t="s">
        <v>941</v>
      </c>
      <c r="B888" s="1">
        <v>45396</v>
      </c>
      <c r="C888" s="1">
        <v>45399</v>
      </c>
      <c r="D888">
        <v>2024</v>
      </c>
      <c r="E888" t="s">
        <v>836</v>
      </c>
      <c r="F888" t="s">
        <v>837</v>
      </c>
      <c r="G888" t="s">
        <v>112</v>
      </c>
      <c r="H888" t="s">
        <v>30</v>
      </c>
      <c r="I888" t="s">
        <v>40</v>
      </c>
      <c r="J888" t="s">
        <v>43</v>
      </c>
      <c r="K888" t="s">
        <v>32</v>
      </c>
      <c r="L888" t="s">
        <v>27</v>
      </c>
      <c r="M888">
        <v>3</v>
      </c>
      <c r="N888" s="2"/>
      <c r="O888" s="3">
        <v>2411</v>
      </c>
      <c r="P888">
        <v>0</v>
      </c>
      <c r="Q888">
        <v>4</v>
      </c>
      <c r="R888" t="s">
        <v>33</v>
      </c>
      <c r="S888">
        <v>1</v>
      </c>
    </row>
    <row r="889" spans="1:19" ht="16.5" x14ac:dyDescent="0.3">
      <c r="A889" t="s">
        <v>942</v>
      </c>
      <c r="B889" s="1">
        <v>45396</v>
      </c>
      <c r="C889" s="1">
        <v>45400</v>
      </c>
      <c r="D889">
        <v>2024</v>
      </c>
      <c r="E889" t="s">
        <v>836</v>
      </c>
      <c r="F889" t="s">
        <v>837</v>
      </c>
      <c r="G889" t="s">
        <v>112</v>
      </c>
      <c r="H889" t="s">
        <v>39</v>
      </c>
      <c r="I889" t="s">
        <v>24</v>
      </c>
      <c r="J889" t="s">
        <v>43</v>
      </c>
      <c r="K889" t="s">
        <v>41</v>
      </c>
      <c r="L889" t="s">
        <v>27</v>
      </c>
      <c r="M889">
        <v>4</v>
      </c>
      <c r="N889" s="2">
        <v>83</v>
      </c>
      <c r="O889" s="3">
        <v>2602</v>
      </c>
      <c r="P889">
        <v>0</v>
      </c>
      <c r="Q889">
        <v>5</v>
      </c>
      <c r="R889" t="s">
        <v>59</v>
      </c>
      <c r="S889">
        <v>1</v>
      </c>
    </row>
    <row r="890" spans="1:19" ht="16.5" x14ac:dyDescent="0.3">
      <c r="A890" t="s">
        <v>943</v>
      </c>
      <c r="B890" s="1">
        <v>45396</v>
      </c>
      <c r="C890" s="1">
        <v>45399</v>
      </c>
      <c r="D890">
        <v>2024</v>
      </c>
      <c r="E890" t="s">
        <v>836</v>
      </c>
      <c r="F890" t="s">
        <v>837</v>
      </c>
      <c r="G890" t="s">
        <v>112</v>
      </c>
      <c r="H890" t="s">
        <v>30</v>
      </c>
      <c r="I890" t="s">
        <v>40</v>
      </c>
      <c r="J890" t="s">
        <v>25</v>
      </c>
      <c r="K890" t="s">
        <v>53</v>
      </c>
      <c r="L890" t="s">
        <v>44</v>
      </c>
      <c r="M890">
        <v>3</v>
      </c>
      <c r="N890" s="2"/>
      <c r="O890" s="3">
        <v>2740</v>
      </c>
      <c r="P890">
        <v>0</v>
      </c>
      <c r="Q890">
        <v>3</v>
      </c>
      <c r="R890" t="s">
        <v>33</v>
      </c>
      <c r="S890">
        <v>1</v>
      </c>
    </row>
    <row r="891" spans="1:19" ht="16.5" x14ac:dyDescent="0.3">
      <c r="A891" t="s">
        <v>944</v>
      </c>
      <c r="B891" s="1">
        <v>45396</v>
      </c>
      <c r="C891" s="1">
        <v>45399</v>
      </c>
      <c r="D891">
        <v>2024</v>
      </c>
      <c r="E891" t="s">
        <v>836</v>
      </c>
      <c r="F891" t="s">
        <v>837</v>
      </c>
      <c r="G891" t="s">
        <v>112</v>
      </c>
      <c r="H891" t="s">
        <v>50</v>
      </c>
      <c r="I891" t="s">
        <v>24</v>
      </c>
      <c r="J891" t="s">
        <v>25</v>
      </c>
      <c r="K891" t="s">
        <v>26</v>
      </c>
      <c r="L891" t="s">
        <v>44</v>
      </c>
      <c r="M891">
        <v>3</v>
      </c>
      <c r="N891" s="2">
        <v>40</v>
      </c>
      <c r="O891" s="3">
        <v>5156</v>
      </c>
      <c r="P891">
        <v>0</v>
      </c>
      <c r="Q891">
        <v>4</v>
      </c>
      <c r="R891" t="s">
        <v>165</v>
      </c>
      <c r="S891">
        <v>1</v>
      </c>
    </row>
    <row r="892" spans="1:19" ht="16.5" x14ac:dyDescent="0.3">
      <c r="A892" t="s">
        <v>945</v>
      </c>
      <c r="B892" s="1">
        <v>45396</v>
      </c>
      <c r="C892" s="1">
        <v>45405</v>
      </c>
      <c r="D892">
        <v>2024</v>
      </c>
      <c r="E892" t="s">
        <v>836</v>
      </c>
      <c r="F892" t="s">
        <v>837</v>
      </c>
      <c r="G892" t="s">
        <v>112</v>
      </c>
      <c r="H892" t="s">
        <v>23</v>
      </c>
      <c r="I892" t="s">
        <v>24</v>
      </c>
      <c r="J892" t="s">
        <v>25</v>
      </c>
      <c r="K892" t="s">
        <v>36</v>
      </c>
      <c r="L892" t="s">
        <v>27</v>
      </c>
      <c r="M892">
        <v>9</v>
      </c>
      <c r="N892" s="2">
        <v>35</v>
      </c>
      <c r="O892" s="3">
        <v>3860</v>
      </c>
      <c r="P892">
        <v>0</v>
      </c>
      <c r="Q892">
        <v>4</v>
      </c>
      <c r="R892" t="s">
        <v>33</v>
      </c>
      <c r="S892">
        <v>1</v>
      </c>
    </row>
    <row r="893" spans="1:19" ht="16.5" x14ac:dyDescent="0.3">
      <c r="A893" t="s">
        <v>946</v>
      </c>
      <c r="B893" s="1">
        <v>45397</v>
      </c>
      <c r="C893" s="1">
        <v>45398</v>
      </c>
      <c r="D893">
        <v>2024</v>
      </c>
      <c r="E893" t="s">
        <v>836</v>
      </c>
      <c r="F893" t="s">
        <v>837</v>
      </c>
      <c r="G893" t="s">
        <v>22</v>
      </c>
      <c r="H893" t="s">
        <v>39</v>
      </c>
      <c r="I893" t="s">
        <v>24</v>
      </c>
      <c r="J893" t="s">
        <v>43</v>
      </c>
      <c r="K893" t="s">
        <v>41</v>
      </c>
      <c r="L893" t="s">
        <v>27</v>
      </c>
      <c r="M893">
        <v>1</v>
      </c>
      <c r="N893" s="2">
        <v>29</v>
      </c>
      <c r="O893" s="3">
        <v>1382</v>
      </c>
      <c r="P893">
        <v>0</v>
      </c>
      <c r="Q893">
        <v>5</v>
      </c>
      <c r="R893" t="s">
        <v>33</v>
      </c>
      <c r="S893">
        <v>1</v>
      </c>
    </row>
    <row r="894" spans="1:19" ht="16.5" x14ac:dyDescent="0.3">
      <c r="A894" t="s">
        <v>947</v>
      </c>
      <c r="B894" s="1">
        <v>45397</v>
      </c>
      <c r="C894" s="1">
        <v>45403</v>
      </c>
      <c r="D894">
        <v>2024</v>
      </c>
      <c r="E894" t="s">
        <v>836</v>
      </c>
      <c r="F894" t="s">
        <v>837</v>
      </c>
      <c r="G894" t="s">
        <v>22</v>
      </c>
      <c r="H894" t="s">
        <v>39</v>
      </c>
      <c r="I894" t="s">
        <v>40</v>
      </c>
      <c r="J894" t="s">
        <v>43</v>
      </c>
      <c r="K894" t="s">
        <v>41</v>
      </c>
      <c r="L894" t="s">
        <v>27</v>
      </c>
      <c r="M894">
        <v>6</v>
      </c>
      <c r="N894" s="2"/>
      <c r="O894" s="3">
        <v>4406</v>
      </c>
      <c r="P894">
        <v>0</v>
      </c>
      <c r="Q894">
        <v>4</v>
      </c>
      <c r="R894" t="s">
        <v>33</v>
      </c>
      <c r="S894">
        <v>1</v>
      </c>
    </row>
    <row r="895" spans="1:19" ht="16.5" x14ac:dyDescent="0.3">
      <c r="A895" t="s">
        <v>948</v>
      </c>
      <c r="B895" s="1">
        <v>45397</v>
      </c>
      <c r="C895" s="1">
        <v>45400</v>
      </c>
      <c r="D895">
        <v>2024</v>
      </c>
      <c r="E895" t="s">
        <v>836</v>
      </c>
      <c r="F895" t="s">
        <v>837</v>
      </c>
      <c r="G895" t="s">
        <v>22</v>
      </c>
      <c r="H895" t="s">
        <v>35</v>
      </c>
      <c r="I895" t="s">
        <v>24</v>
      </c>
      <c r="J895" t="s">
        <v>25</v>
      </c>
      <c r="K895" t="s">
        <v>32</v>
      </c>
      <c r="L895" t="s">
        <v>44</v>
      </c>
      <c r="M895">
        <v>3</v>
      </c>
      <c r="N895" s="2">
        <v>60</v>
      </c>
      <c r="O895" s="3">
        <v>2025</v>
      </c>
      <c r="P895">
        <v>0</v>
      </c>
      <c r="Q895">
        <v>4</v>
      </c>
      <c r="R895" t="s">
        <v>33</v>
      </c>
      <c r="S895">
        <v>1</v>
      </c>
    </row>
    <row r="896" spans="1:19" ht="16.5" x14ac:dyDescent="0.3">
      <c r="A896" t="s">
        <v>949</v>
      </c>
      <c r="B896" s="1">
        <v>45398</v>
      </c>
      <c r="C896" s="1">
        <v>45400</v>
      </c>
      <c r="D896">
        <v>2024</v>
      </c>
      <c r="E896" t="s">
        <v>836</v>
      </c>
      <c r="F896" t="s">
        <v>837</v>
      </c>
      <c r="G896" t="s">
        <v>56</v>
      </c>
      <c r="H896" t="s">
        <v>39</v>
      </c>
      <c r="I896" t="s">
        <v>40</v>
      </c>
      <c r="J896" t="s">
        <v>25</v>
      </c>
      <c r="K896" t="s">
        <v>41</v>
      </c>
      <c r="L896" t="s">
        <v>37</v>
      </c>
      <c r="M896">
        <v>2</v>
      </c>
      <c r="N896" s="2"/>
      <c r="O896" s="3">
        <v>1472</v>
      </c>
      <c r="P896">
        <v>0</v>
      </c>
      <c r="Q896">
        <v>4</v>
      </c>
      <c r="R896" t="s">
        <v>33</v>
      </c>
      <c r="S896">
        <v>1</v>
      </c>
    </row>
    <row r="897" spans="1:19" ht="16.5" x14ac:dyDescent="0.3">
      <c r="A897" t="s">
        <v>950</v>
      </c>
      <c r="B897" s="1">
        <v>45398</v>
      </c>
      <c r="C897" s="1">
        <v>45407</v>
      </c>
      <c r="D897">
        <v>2024</v>
      </c>
      <c r="E897" t="s">
        <v>836</v>
      </c>
      <c r="F897" t="s">
        <v>837</v>
      </c>
      <c r="G897" t="s">
        <v>56</v>
      </c>
      <c r="H897" t="s">
        <v>30</v>
      </c>
      <c r="I897" t="s">
        <v>40</v>
      </c>
      <c r="J897" t="s">
        <v>43</v>
      </c>
      <c r="K897" t="s">
        <v>53</v>
      </c>
      <c r="L897" t="s">
        <v>44</v>
      </c>
      <c r="M897">
        <v>9</v>
      </c>
      <c r="N897" s="2"/>
      <c r="O897" s="3">
        <v>7714</v>
      </c>
      <c r="P897">
        <v>0</v>
      </c>
      <c r="Q897">
        <v>5</v>
      </c>
      <c r="R897" t="s">
        <v>33</v>
      </c>
      <c r="S897">
        <v>1</v>
      </c>
    </row>
    <row r="898" spans="1:19" ht="16.5" x14ac:dyDescent="0.3">
      <c r="A898" t="s">
        <v>951</v>
      </c>
      <c r="B898" s="1">
        <v>45398</v>
      </c>
      <c r="C898" s="1">
        <v>45403</v>
      </c>
      <c r="D898">
        <v>2024</v>
      </c>
      <c r="E898" t="s">
        <v>836</v>
      </c>
      <c r="F898" t="s">
        <v>837</v>
      </c>
      <c r="G898" t="s">
        <v>56</v>
      </c>
      <c r="H898" t="s">
        <v>30</v>
      </c>
      <c r="I898" t="s">
        <v>40</v>
      </c>
      <c r="J898" t="s">
        <v>25</v>
      </c>
      <c r="K898" t="s">
        <v>26</v>
      </c>
      <c r="L898" t="s">
        <v>44</v>
      </c>
      <c r="M898">
        <v>5</v>
      </c>
      <c r="N898" s="2"/>
      <c r="O898" s="3">
        <v>6028</v>
      </c>
      <c r="P898">
        <v>0</v>
      </c>
      <c r="Q898">
        <v>4</v>
      </c>
      <c r="R898" t="s">
        <v>33</v>
      </c>
      <c r="S898">
        <v>1</v>
      </c>
    </row>
    <row r="899" spans="1:19" ht="16.5" x14ac:dyDescent="0.3">
      <c r="A899" t="s">
        <v>952</v>
      </c>
      <c r="B899" s="1">
        <v>45398</v>
      </c>
      <c r="C899" s="1">
        <v>45399</v>
      </c>
      <c r="D899">
        <v>2024</v>
      </c>
      <c r="E899" t="s">
        <v>836</v>
      </c>
      <c r="F899" t="s">
        <v>837</v>
      </c>
      <c r="G899" t="s">
        <v>56</v>
      </c>
      <c r="H899" t="s">
        <v>52</v>
      </c>
      <c r="I899" t="s">
        <v>40</v>
      </c>
      <c r="J899" t="s">
        <v>25</v>
      </c>
      <c r="K899" t="s">
        <v>26</v>
      </c>
      <c r="L899" t="s">
        <v>44</v>
      </c>
      <c r="M899">
        <v>1</v>
      </c>
      <c r="N899" s="2"/>
      <c r="O899" s="3">
        <v>1646</v>
      </c>
      <c r="P899">
        <v>0</v>
      </c>
      <c r="Q899">
        <v>4</v>
      </c>
      <c r="R899" t="s">
        <v>33</v>
      </c>
      <c r="S899">
        <v>1</v>
      </c>
    </row>
    <row r="900" spans="1:19" ht="16.5" x14ac:dyDescent="0.3">
      <c r="A900" t="s">
        <v>953</v>
      </c>
      <c r="B900" s="1">
        <v>45398</v>
      </c>
      <c r="C900" s="1">
        <v>45406</v>
      </c>
      <c r="D900">
        <v>2024</v>
      </c>
      <c r="E900" t="s">
        <v>836</v>
      </c>
      <c r="F900" t="s">
        <v>837</v>
      </c>
      <c r="G900" t="s">
        <v>56</v>
      </c>
      <c r="H900" t="s">
        <v>39</v>
      </c>
      <c r="I900" t="s">
        <v>24</v>
      </c>
      <c r="J900" t="s">
        <v>43</v>
      </c>
      <c r="K900" t="s">
        <v>41</v>
      </c>
      <c r="L900" t="s">
        <v>37</v>
      </c>
      <c r="M900">
        <v>8</v>
      </c>
      <c r="N900" s="2">
        <v>32</v>
      </c>
      <c r="O900" s="3">
        <v>4790</v>
      </c>
      <c r="P900">
        <v>0</v>
      </c>
      <c r="Q900">
        <v>5</v>
      </c>
      <c r="R900" t="s">
        <v>33</v>
      </c>
      <c r="S900">
        <v>1</v>
      </c>
    </row>
    <row r="901" spans="1:19" ht="16.5" x14ac:dyDescent="0.3">
      <c r="A901" t="s">
        <v>954</v>
      </c>
      <c r="B901" s="1">
        <v>45398</v>
      </c>
      <c r="C901" s="1">
        <v>45403</v>
      </c>
      <c r="D901">
        <v>2024</v>
      </c>
      <c r="E901" t="s">
        <v>836</v>
      </c>
      <c r="F901" t="s">
        <v>837</v>
      </c>
      <c r="G901" t="s">
        <v>56</v>
      </c>
      <c r="H901" t="s">
        <v>35</v>
      </c>
      <c r="I901" t="s">
        <v>24</v>
      </c>
      <c r="J901" t="s">
        <v>25</v>
      </c>
      <c r="K901" t="s">
        <v>36</v>
      </c>
      <c r="L901" t="s">
        <v>27</v>
      </c>
      <c r="M901">
        <v>5</v>
      </c>
      <c r="N901" s="2">
        <v>15</v>
      </c>
      <c r="O901" s="3">
        <v>4048</v>
      </c>
      <c r="P901">
        <v>0</v>
      </c>
      <c r="Q901">
        <v>3</v>
      </c>
      <c r="R901" t="s">
        <v>33</v>
      </c>
      <c r="S901">
        <v>1</v>
      </c>
    </row>
    <row r="902" spans="1:19" ht="16.5" x14ac:dyDescent="0.3">
      <c r="A902" t="s">
        <v>955</v>
      </c>
      <c r="B902" s="1">
        <v>45398</v>
      </c>
      <c r="C902" s="1">
        <v>45401</v>
      </c>
      <c r="D902">
        <v>2024</v>
      </c>
      <c r="E902" t="s">
        <v>836</v>
      </c>
      <c r="F902" t="s">
        <v>837</v>
      </c>
      <c r="G902" t="s">
        <v>56</v>
      </c>
      <c r="H902" t="s">
        <v>35</v>
      </c>
      <c r="I902" t="s">
        <v>24</v>
      </c>
      <c r="J902" t="s">
        <v>25</v>
      </c>
      <c r="K902" t="s">
        <v>32</v>
      </c>
      <c r="L902" t="s">
        <v>27</v>
      </c>
      <c r="M902">
        <v>3</v>
      </c>
      <c r="N902" s="2">
        <v>64</v>
      </c>
      <c r="O902" s="3">
        <v>3150</v>
      </c>
      <c r="P902">
        <v>0</v>
      </c>
      <c r="Q902">
        <v>4</v>
      </c>
      <c r="R902" t="s">
        <v>28</v>
      </c>
      <c r="S902">
        <v>1</v>
      </c>
    </row>
    <row r="903" spans="1:19" ht="16.5" x14ac:dyDescent="0.3">
      <c r="A903" t="s">
        <v>956</v>
      </c>
      <c r="B903" s="1">
        <v>45399</v>
      </c>
      <c r="C903" s="1">
        <v>45409</v>
      </c>
      <c r="D903">
        <v>2024</v>
      </c>
      <c r="E903" t="s">
        <v>836</v>
      </c>
      <c r="F903" t="s">
        <v>837</v>
      </c>
      <c r="G903" t="s">
        <v>70</v>
      </c>
      <c r="H903" t="s">
        <v>23</v>
      </c>
      <c r="I903" t="s">
        <v>24</v>
      </c>
      <c r="J903" t="s">
        <v>25</v>
      </c>
      <c r="K903" t="s">
        <v>32</v>
      </c>
      <c r="L903" t="s">
        <v>44</v>
      </c>
      <c r="M903">
        <v>10</v>
      </c>
      <c r="N903" s="2">
        <v>39</v>
      </c>
      <c r="O903" s="3">
        <v>6218</v>
      </c>
      <c r="P903">
        <v>1</v>
      </c>
      <c r="Q903">
        <v>2</v>
      </c>
      <c r="R903" t="s">
        <v>33</v>
      </c>
      <c r="S903">
        <v>1</v>
      </c>
    </row>
    <row r="904" spans="1:19" ht="16.5" x14ac:dyDescent="0.3">
      <c r="A904" t="s">
        <v>957</v>
      </c>
      <c r="B904" s="1">
        <v>45399</v>
      </c>
      <c r="C904" s="1">
        <v>45403</v>
      </c>
      <c r="D904">
        <v>2024</v>
      </c>
      <c r="E904" t="s">
        <v>836</v>
      </c>
      <c r="F904" t="s">
        <v>837</v>
      </c>
      <c r="G904" t="s">
        <v>70</v>
      </c>
      <c r="H904" t="s">
        <v>30</v>
      </c>
      <c r="I904" t="s">
        <v>40</v>
      </c>
      <c r="J904" t="s">
        <v>43</v>
      </c>
      <c r="K904" t="s">
        <v>26</v>
      </c>
      <c r="L904" t="s">
        <v>37</v>
      </c>
      <c r="M904">
        <v>4</v>
      </c>
      <c r="N904" s="2"/>
      <c r="O904" s="3">
        <v>4429</v>
      </c>
      <c r="P904">
        <v>0</v>
      </c>
      <c r="Q904">
        <v>4</v>
      </c>
      <c r="R904" t="s">
        <v>33</v>
      </c>
      <c r="S904">
        <v>1</v>
      </c>
    </row>
    <row r="905" spans="1:19" ht="16.5" x14ac:dyDescent="0.3">
      <c r="A905" t="s">
        <v>958</v>
      </c>
      <c r="B905" s="1">
        <v>45399</v>
      </c>
      <c r="C905" s="1">
        <v>45405</v>
      </c>
      <c r="D905">
        <v>2024</v>
      </c>
      <c r="E905" t="s">
        <v>836</v>
      </c>
      <c r="F905" t="s">
        <v>837</v>
      </c>
      <c r="G905" t="s">
        <v>70</v>
      </c>
      <c r="H905" t="s">
        <v>50</v>
      </c>
      <c r="I905" t="s">
        <v>24</v>
      </c>
      <c r="J905" t="s">
        <v>43</v>
      </c>
      <c r="K905" t="s">
        <v>36</v>
      </c>
      <c r="L905" t="s">
        <v>37</v>
      </c>
      <c r="M905">
        <v>6</v>
      </c>
      <c r="N905" s="2">
        <v>70</v>
      </c>
      <c r="O905" s="3">
        <v>8249</v>
      </c>
      <c r="P905">
        <v>0</v>
      </c>
      <c r="Q905">
        <v>5</v>
      </c>
      <c r="R905" t="s">
        <v>28</v>
      </c>
      <c r="S905">
        <v>1</v>
      </c>
    </row>
    <row r="906" spans="1:19" ht="16.5" x14ac:dyDescent="0.3">
      <c r="A906" t="s">
        <v>959</v>
      </c>
      <c r="B906" s="1">
        <v>45399</v>
      </c>
      <c r="C906" s="1">
        <v>45405</v>
      </c>
      <c r="D906">
        <v>2024</v>
      </c>
      <c r="E906" t="s">
        <v>836</v>
      </c>
      <c r="F906" t="s">
        <v>837</v>
      </c>
      <c r="G906" t="s">
        <v>70</v>
      </c>
      <c r="H906" t="s">
        <v>52</v>
      </c>
      <c r="I906" t="s">
        <v>40</v>
      </c>
      <c r="J906" t="s">
        <v>43</v>
      </c>
      <c r="K906" t="s">
        <v>53</v>
      </c>
      <c r="L906" t="s">
        <v>44</v>
      </c>
      <c r="M906">
        <v>6</v>
      </c>
      <c r="N906" s="2"/>
      <c r="O906" s="3">
        <v>5845</v>
      </c>
      <c r="P906">
        <v>0</v>
      </c>
      <c r="Q906">
        <v>4</v>
      </c>
      <c r="R906" t="s">
        <v>28</v>
      </c>
      <c r="S906">
        <v>1</v>
      </c>
    </row>
    <row r="907" spans="1:19" ht="16.5" x14ac:dyDescent="0.3">
      <c r="A907" t="s">
        <v>960</v>
      </c>
      <c r="B907" s="1">
        <v>45399</v>
      </c>
      <c r="C907" s="1">
        <v>45402</v>
      </c>
      <c r="D907">
        <v>2024</v>
      </c>
      <c r="E907" t="s">
        <v>836</v>
      </c>
      <c r="F907" t="s">
        <v>837</v>
      </c>
      <c r="G907" t="s">
        <v>70</v>
      </c>
      <c r="H907" t="s">
        <v>52</v>
      </c>
      <c r="I907" t="s">
        <v>40</v>
      </c>
      <c r="J907" t="s">
        <v>25</v>
      </c>
      <c r="K907" t="s">
        <v>32</v>
      </c>
      <c r="L907" t="s">
        <v>37</v>
      </c>
      <c r="M907">
        <v>3</v>
      </c>
      <c r="N907" s="2"/>
      <c r="O907" s="3">
        <v>4737</v>
      </c>
      <c r="P907">
        <v>0</v>
      </c>
      <c r="Q907">
        <v>4</v>
      </c>
      <c r="R907" t="s">
        <v>33</v>
      </c>
      <c r="S907">
        <v>1</v>
      </c>
    </row>
    <row r="908" spans="1:19" ht="16.5" x14ac:dyDescent="0.3">
      <c r="A908" t="s">
        <v>961</v>
      </c>
      <c r="B908" s="1">
        <v>45399</v>
      </c>
      <c r="C908" s="1">
        <v>45406</v>
      </c>
      <c r="D908">
        <v>2024</v>
      </c>
      <c r="E908" t="s">
        <v>836</v>
      </c>
      <c r="F908" t="s">
        <v>837</v>
      </c>
      <c r="G908" t="s">
        <v>70</v>
      </c>
      <c r="H908" t="s">
        <v>52</v>
      </c>
      <c r="I908" t="s">
        <v>40</v>
      </c>
      <c r="J908" t="s">
        <v>43</v>
      </c>
      <c r="K908" t="s">
        <v>53</v>
      </c>
      <c r="L908" t="s">
        <v>27</v>
      </c>
      <c r="M908">
        <v>7</v>
      </c>
      <c r="N908" s="2"/>
      <c r="O908" s="3">
        <v>6768</v>
      </c>
      <c r="P908">
        <v>0</v>
      </c>
      <c r="Q908">
        <v>4</v>
      </c>
      <c r="R908" t="s">
        <v>33</v>
      </c>
      <c r="S908">
        <v>1</v>
      </c>
    </row>
    <row r="909" spans="1:19" ht="16.5" x14ac:dyDescent="0.3">
      <c r="A909" t="s">
        <v>962</v>
      </c>
      <c r="B909" s="1">
        <v>45399</v>
      </c>
      <c r="C909" s="1">
        <v>45409</v>
      </c>
      <c r="D909">
        <v>2024</v>
      </c>
      <c r="E909" t="s">
        <v>836</v>
      </c>
      <c r="F909" t="s">
        <v>837</v>
      </c>
      <c r="G909" t="s">
        <v>70</v>
      </c>
      <c r="H909" t="s">
        <v>50</v>
      </c>
      <c r="I909" t="s">
        <v>24</v>
      </c>
      <c r="J909" t="s">
        <v>25</v>
      </c>
      <c r="K909" t="s">
        <v>26</v>
      </c>
      <c r="L909" t="s">
        <v>37</v>
      </c>
      <c r="M909">
        <v>10</v>
      </c>
      <c r="N909" s="2">
        <v>129</v>
      </c>
      <c r="O909" s="3">
        <v>10919</v>
      </c>
      <c r="P909">
        <v>0</v>
      </c>
      <c r="Q909">
        <v>3</v>
      </c>
      <c r="R909" t="s">
        <v>28</v>
      </c>
      <c r="S909">
        <v>1</v>
      </c>
    </row>
    <row r="910" spans="1:19" ht="16.5" x14ac:dyDescent="0.3">
      <c r="A910" t="s">
        <v>963</v>
      </c>
      <c r="B910" s="1">
        <v>45399</v>
      </c>
      <c r="C910" s="1">
        <v>45402</v>
      </c>
      <c r="D910">
        <v>2024</v>
      </c>
      <c r="E910" t="s">
        <v>836</v>
      </c>
      <c r="F910" t="s">
        <v>837</v>
      </c>
      <c r="G910" t="s">
        <v>70</v>
      </c>
      <c r="H910" t="s">
        <v>23</v>
      </c>
      <c r="I910" t="s">
        <v>40</v>
      </c>
      <c r="J910" t="s">
        <v>43</v>
      </c>
      <c r="K910" t="s">
        <v>32</v>
      </c>
      <c r="L910" t="s">
        <v>44</v>
      </c>
      <c r="M910">
        <v>3</v>
      </c>
      <c r="N910" s="2"/>
      <c r="O910" s="3">
        <v>2703</v>
      </c>
      <c r="P910">
        <v>1</v>
      </c>
      <c r="Q910">
        <v>3</v>
      </c>
      <c r="R910" t="s">
        <v>28</v>
      </c>
      <c r="S910">
        <v>1</v>
      </c>
    </row>
    <row r="911" spans="1:19" ht="16.5" x14ac:dyDescent="0.3">
      <c r="A911" t="s">
        <v>964</v>
      </c>
      <c r="B911" s="1">
        <v>45399</v>
      </c>
      <c r="C911" s="1">
        <v>45400</v>
      </c>
      <c r="D911">
        <v>2024</v>
      </c>
      <c r="E911" t="s">
        <v>836</v>
      </c>
      <c r="F911" t="s">
        <v>837</v>
      </c>
      <c r="G911" t="s">
        <v>70</v>
      </c>
      <c r="H911" t="s">
        <v>50</v>
      </c>
      <c r="I911" t="s">
        <v>40</v>
      </c>
      <c r="J911" t="s">
        <v>25</v>
      </c>
      <c r="K911" t="s">
        <v>32</v>
      </c>
      <c r="L911" t="s">
        <v>37</v>
      </c>
      <c r="M911">
        <v>1</v>
      </c>
      <c r="N911" s="2"/>
      <c r="O911" s="3">
        <v>2347</v>
      </c>
      <c r="P911">
        <v>0</v>
      </c>
      <c r="Q911">
        <v>4</v>
      </c>
      <c r="R911" t="s">
        <v>28</v>
      </c>
      <c r="S911">
        <v>1</v>
      </c>
    </row>
    <row r="912" spans="1:19" ht="16.5" x14ac:dyDescent="0.3">
      <c r="A912" t="s">
        <v>965</v>
      </c>
      <c r="B912" s="1">
        <v>45400</v>
      </c>
      <c r="C912" s="1">
        <v>45403</v>
      </c>
      <c r="D912">
        <v>2024</v>
      </c>
      <c r="E912" t="s">
        <v>836</v>
      </c>
      <c r="F912" t="s">
        <v>837</v>
      </c>
      <c r="G912" t="s">
        <v>78</v>
      </c>
      <c r="H912" t="s">
        <v>35</v>
      </c>
      <c r="I912" t="s">
        <v>24</v>
      </c>
      <c r="J912" t="s">
        <v>25</v>
      </c>
      <c r="K912" t="s">
        <v>32</v>
      </c>
      <c r="L912" t="s">
        <v>27</v>
      </c>
      <c r="M912">
        <v>3</v>
      </c>
      <c r="N912" s="2">
        <v>150</v>
      </c>
      <c r="O912" s="3">
        <v>2237</v>
      </c>
      <c r="P912">
        <v>0</v>
      </c>
      <c r="Q912">
        <v>3</v>
      </c>
      <c r="R912" t="s">
        <v>28</v>
      </c>
      <c r="S912">
        <v>1</v>
      </c>
    </row>
    <row r="913" spans="1:19" ht="16.5" x14ac:dyDescent="0.3">
      <c r="A913" t="s">
        <v>966</v>
      </c>
      <c r="B913" s="1">
        <v>45400</v>
      </c>
      <c r="C913" s="1">
        <v>45401</v>
      </c>
      <c r="D913">
        <v>2024</v>
      </c>
      <c r="E913" t="s">
        <v>836</v>
      </c>
      <c r="F913" t="s">
        <v>837</v>
      </c>
      <c r="G913" t="s">
        <v>78</v>
      </c>
      <c r="H913" t="s">
        <v>50</v>
      </c>
      <c r="I913" t="s">
        <v>24</v>
      </c>
      <c r="J913" t="s">
        <v>25</v>
      </c>
      <c r="K913" t="s">
        <v>32</v>
      </c>
      <c r="L913" t="s">
        <v>27</v>
      </c>
      <c r="M913">
        <v>1</v>
      </c>
      <c r="N913" s="2">
        <v>55</v>
      </c>
      <c r="O913" s="3">
        <v>2311</v>
      </c>
      <c r="P913">
        <v>0</v>
      </c>
      <c r="Q913">
        <v>4</v>
      </c>
      <c r="R913" t="s">
        <v>28</v>
      </c>
      <c r="S913">
        <v>1</v>
      </c>
    </row>
    <row r="914" spans="1:19" ht="16.5" x14ac:dyDescent="0.3">
      <c r="A914" t="s">
        <v>967</v>
      </c>
      <c r="B914" s="1">
        <v>45400</v>
      </c>
      <c r="C914" s="1">
        <v>45401</v>
      </c>
      <c r="D914">
        <v>2024</v>
      </c>
      <c r="E914" t="s">
        <v>836</v>
      </c>
      <c r="F914" t="s">
        <v>837</v>
      </c>
      <c r="G914" t="s">
        <v>78</v>
      </c>
      <c r="H914" t="s">
        <v>52</v>
      </c>
      <c r="I914" t="s">
        <v>40</v>
      </c>
      <c r="J914" t="s">
        <v>25</v>
      </c>
      <c r="K914" t="s">
        <v>32</v>
      </c>
      <c r="L914" t="s">
        <v>27</v>
      </c>
      <c r="M914">
        <v>1</v>
      </c>
      <c r="N914" s="2"/>
      <c r="O914" s="3">
        <v>2000</v>
      </c>
      <c r="P914">
        <v>0</v>
      </c>
      <c r="Q914">
        <v>5</v>
      </c>
      <c r="R914" t="s">
        <v>33</v>
      </c>
      <c r="S914">
        <v>1</v>
      </c>
    </row>
    <row r="915" spans="1:19" ht="16.5" x14ac:dyDescent="0.3">
      <c r="A915" t="s">
        <v>968</v>
      </c>
      <c r="B915" s="1">
        <v>45400</v>
      </c>
      <c r="C915" s="1">
        <v>45402</v>
      </c>
      <c r="D915">
        <v>2024</v>
      </c>
      <c r="E915" t="s">
        <v>836</v>
      </c>
      <c r="F915" t="s">
        <v>837</v>
      </c>
      <c r="G915" t="s">
        <v>78</v>
      </c>
      <c r="H915" t="s">
        <v>52</v>
      </c>
      <c r="I915" t="s">
        <v>40</v>
      </c>
      <c r="J915" t="s">
        <v>43</v>
      </c>
      <c r="K915" t="s">
        <v>53</v>
      </c>
      <c r="L915" t="s">
        <v>44</v>
      </c>
      <c r="M915">
        <v>2</v>
      </c>
      <c r="N915" s="2"/>
      <c r="O915" s="3">
        <v>2404</v>
      </c>
      <c r="P915">
        <v>0</v>
      </c>
      <c r="Q915">
        <v>4</v>
      </c>
      <c r="R915" t="s">
        <v>28</v>
      </c>
      <c r="S915">
        <v>1</v>
      </c>
    </row>
    <row r="916" spans="1:19" ht="16.5" x14ac:dyDescent="0.3">
      <c r="A916" t="s">
        <v>969</v>
      </c>
      <c r="B916" s="1">
        <v>45400</v>
      </c>
      <c r="C916" s="1">
        <v>45407</v>
      </c>
      <c r="D916">
        <v>2024</v>
      </c>
      <c r="E916" t="s">
        <v>836</v>
      </c>
      <c r="F916" t="s">
        <v>837</v>
      </c>
      <c r="G916" t="s">
        <v>78</v>
      </c>
      <c r="H916" t="s">
        <v>52</v>
      </c>
      <c r="I916" t="s">
        <v>24</v>
      </c>
      <c r="J916" t="s">
        <v>25</v>
      </c>
      <c r="K916" t="s">
        <v>53</v>
      </c>
      <c r="L916" t="s">
        <v>44</v>
      </c>
      <c r="M916">
        <v>7</v>
      </c>
      <c r="N916" s="2">
        <v>26</v>
      </c>
      <c r="O916" s="3">
        <v>5631</v>
      </c>
      <c r="P916">
        <v>0</v>
      </c>
      <c r="Q916">
        <v>5</v>
      </c>
      <c r="R916" t="s">
        <v>33</v>
      </c>
      <c r="S916">
        <v>1</v>
      </c>
    </row>
    <row r="917" spans="1:19" ht="16.5" x14ac:dyDescent="0.3">
      <c r="A917" t="s">
        <v>970</v>
      </c>
      <c r="B917" s="1">
        <v>45400</v>
      </c>
      <c r="C917" s="1">
        <v>45401</v>
      </c>
      <c r="D917">
        <v>2024</v>
      </c>
      <c r="E917" t="s">
        <v>836</v>
      </c>
      <c r="F917" t="s">
        <v>837</v>
      </c>
      <c r="G917" t="s">
        <v>78</v>
      </c>
      <c r="H917" t="s">
        <v>35</v>
      </c>
      <c r="I917" t="s">
        <v>24</v>
      </c>
      <c r="J917" t="s">
        <v>25</v>
      </c>
      <c r="K917" t="s">
        <v>36</v>
      </c>
      <c r="L917" t="s">
        <v>44</v>
      </c>
      <c r="M917">
        <v>1</v>
      </c>
      <c r="N917" s="2">
        <v>71</v>
      </c>
      <c r="O917" s="3">
        <v>1322</v>
      </c>
      <c r="P917">
        <v>0</v>
      </c>
      <c r="Q917">
        <v>4</v>
      </c>
      <c r="R917" t="s">
        <v>165</v>
      </c>
      <c r="S917">
        <v>1</v>
      </c>
    </row>
    <row r="918" spans="1:19" ht="16.5" x14ac:dyDescent="0.3">
      <c r="A918" t="s">
        <v>971</v>
      </c>
      <c r="B918" s="1">
        <v>45400</v>
      </c>
      <c r="C918" s="1">
        <v>45405</v>
      </c>
      <c r="D918">
        <v>2024</v>
      </c>
      <c r="E918" t="s">
        <v>836</v>
      </c>
      <c r="F918" t="s">
        <v>837</v>
      </c>
      <c r="G918" t="s">
        <v>78</v>
      </c>
      <c r="H918" t="s">
        <v>50</v>
      </c>
      <c r="I918" t="s">
        <v>24</v>
      </c>
      <c r="J918" t="s">
        <v>25</v>
      </c>
      <c r="K918" t="s">
        <v>26</v>
      </c>
      <c r="L918" t="s">
        <v>37</v>
      </c>
      <c r="M918">
        <v>5</v>
      </c>
      <c r="N918" s="2">
        <v>29</v>
      </c>
      <c r="O918" s="3">
        <v>5668</v>
      </c>
      <c r="P918">
        <v>0</v>
      </c>
      <c r="Q918">
        <v>3</v>
      </c>
      <c r="R918" t="s">
        <v>33</v>
      </c>
      <c r="S918">
        <v>1</v>
      </c>
    </row>
    <row r="919" spans="1:19" ht="16.5" x14ac:dyDescent="0.3">
      <c r="A919" t="s">
        <v>972</v>
      </c>
      <c r="B919" s="1">
        <v>45400</v>
      </c>
      <c r="C919" s="1">
        <v>45403</v>
      </c>
      <c r="D919">
        <v>2024</v>
      </c>
      <c r="E919" t="s">
        <v>836</v>
      </c>
      <c r="F919" t="s">
        <v>837</v>
      </c>
      <c r="G919" t="s">
        <v>78</v>
      </c>
      <c r="H919" t="s">
        <v>39</v>
      </c>
      <c r="I919" t="s">
        <v>24</v>
      </c>
      <c r="J919" t="s">
        <v>43</v>
      </c>
      <c r="K919" t="s">
        <v>41</v>
      </c>
      <c r="L919" t="s">
        <v>44</v>
      </c>
      <c r="M919">
        <v>3</v>
      </c>
      <c r="N919" s="2">
        <v>44</v>
      </c>
      <c r="O919" s="3">
        <v>2665</v>
      </c>
      <c r="P919">
        <v>0</v>
      </c>
      <c r="Q919">
        <v>3</v>
      </c>
      <c r="R919" t="s">
        <v>33</v>
      </c>
      <c r="S919">
        <v>1</v>
      </c>
    </row>
    <row r="920" spans="1:19" ht="16.5" x14ac:dyDescent="0.3">
      <c r="A920" t="s">
        <v>973</v>
      </c>
      <c r="B920" s="1">
        <v>45401</v>
      </c>
      <c r="C920" s="1">
        <v>45406</v>
      </c>
      <c r="D920">
        <v>2024</v>
      </c>
      <c r="E920" t="s">
        <v>836</v>
      </c>
      <c r="F920" t="s">
        <v>837</v>
      </c>
      <c r="G920" t="s">
        <v>83</v>
      </c>
      <c r="H920" t="s">
        <v>50</v>
      </c>
      <c r="I920" t="s">
        <v>24</v>
      </c>
      <c r="J920" t="s">
        <v>43</v>
      </c>
      <c r="K920" t="s">
        <v>26</v>
      </c>
      <c r="L920" t="s">
        <v>27</v>
      </c>
      <c r="M920">
        <v>5</v>
      </c>
      <c r="N920" s="2">
        <v>50</v>
      </c>
      <c r="O920" s="3">
        <v>6432</v>
      </c>
      <c r="P920">
        <v>0</v>
      </c>
      <c r="Q920">
        <v>4</v>
      </c>
      <c r="R920" t="s">
        <v>33</v>
      </c>
      <c r="S920">
        <v>1</v>
      </c>
    </row>
    <row r="921" spans="1:19" ht="16.5" x14ac:dyDescent="0.3">
      <c r="A921" t="s">
        <v>974</v>
      </c>
      <c r="B921" s="1">
        <v>45401</v>
      </c>
      <c r="C921" s="1">
        <v>45408</v>
      </c>
      <c r="D921">
        <v>2024</v>
      </c>
      <c r="E921" t="s">
        <v>836</v>
      </c>
      <c r="F921" t="s">
        <v>837</v>
      </c>
      <c r="G921" t="s">
        <v>83</v>
      </c>
      <c r="H921" t="s">
        <v>23</v>
      </c>
      <c r="I921" t="s">
        <v>24</v>
      </c>
      <c r="J921" t="s">
        <v>43</v>
      </c>
      <c r="K921" t="s">
        <v>26</v>
      </c>
      <c r="L921" t="s">
        <v>27</v>
      </c>
      <c r="M921">
        <v>7</v>
      </c>
      <c r="N921" s="2">
        <v>85</v>
      </c>
      <c r="O921" s="3">
        <v>5307</v>
      </c>
      <c r="P921">
        <v>0</v>
      </c>
      <c r="Q921">
        <v>5</v>
      </c>
      <c r="R921" t="s">
        <v>28</v>
      </c>
      <c r="S921">
        <v>1</v>
      </c>
    </row>
    <row r="922" spans="1:19" ht="16.5" x14ac:dyDescent="0.3">
      <c r="A922" t="s">
        <v>975</v>
      </c>
      <c r="B922" s="1">
        <v>45401</v>
      </c>
      <c r="C922" s="1">
        <v>45404</v>
      </c>
      <c r="D922">
        <v>2024</v>
      </c>
      <c r="E922" t="s">
        <v>836</v>
      </c>
      <c r="F922" t="s">
        <v>837</v>
      </c>
      <c r="G922" t="s">
        <v>83</v>
      </c>
      <c r="H922" t="s">
        <v>39</v>
      </c>
      <c r="I922" t="s">
        <v>24</v>
      </c>
      <c r="J922" t="s">
        <v>43</v>
      </c>
      <c r="K922" t="s">
        <v>41</v>
      </c>
      <c r="L922" t="s">
        <v>27</v>
      </c>
      <c r="M922">
        <v>3</v>
      </c>
      <c r="N922" s="2">
        <v>21</v>
      </c>
      <c r="O922" s="3">
        <v>3001</v>
      </c>
      <c r="P922">
        <v>0</v>
      </c>
      <c r="Q922">
        <v>4</v>
      </c>
      <c r="R922" t="s">
        <v>33</v>
      </c>
      <c r="S922">
        <v>1</v>
      </c>
    </row>
    <row r="923" spans="1:19" ht="16.5" x14ac:dyDescent="0.3">
      <c r="A923" t="s">
        <v>976</v>
      </c>
      <c r="B923" s="1">
        <v>45401</v>
      </c>
      <c r="C923" s="1">
        <v>45402</v>
      </c>
      <c r="D923">
        <v>2024</v>
      </c>
      <c r="E923" t="s">
        <v>836</v>
      </c>
      <c r="F923" t="s">
        <v>837</v>
      </c>
      <c r="G923" t="s">
        <v>83</v>
      </c>
      <c r="H923" t="s">
        <v>35</v>
      </c>
      <c r="I923" t="s">
        <v>24</v>
      </c>
      <c r="J923" t="s">
        <v>25</v>
      </c>
      <c r="K923" t="s">
        <v>32</v>
      </c>
      <c r="L923" t="s">
        <v>27</v>
      </c>
      <c r="M923">
        <v>1</v>
      </c>
      <c r="N923" s="2">
        <v>72</v>
      </c>
      <c r="O923" s="3">
        <v>1351</v>
      </c>
      <c r="P923">
        <v>0</v>
      </c>
      <c r="Q923">
        <v>4</v>
      </c>
      <c r="R923" t="s">
        <v>33</v>
      </c>
      <c r="S923">
        <v>1</v>
      </c>
    </row>
    <row r="924" spans="1:19" ht="16.5" x14ac:dyDescent="0.3">
      <c r="A924" t="s">
        <v>977</v>
      </c>
      <c r="B924" s="1">
        <v>45401</v>
      </c>
      <c r="C924" s="1">
        <v>45403</v>
      </c>
      <c r="D924">
        <v>2024</v>
      </c>
      <c r="E924" t="s">
        <v>836</v>
      </c>
      <c r="F924" t="s">
        <v>837</v>
      </c>
      <c r="G924" t="s">
        <v>83</v>
      </c>
      <c r="H924" t="s">
        <v>23</v>
      </c>
      <c r="I924" t="s">
        <v>40</v>
      </c>
      <c r="J924" t="s">
        <v>25</v>
      </c>
      <c r="K924" t="s">
        <v>26</v>
      </c>
      <c r="L924" t="s">
        <v>44</v>
      </c>
      <c r="M924">
        <v>2</v>
      </c>
      <c r="N924" s="2"/>
      <c r="O924" s="3">
        <v>1484</v>
      </c>
      <c r="P924">
        <v>0</v>
      </c>
      <c r="Q924">
        <v>4</v>
      </c>
      <c r="R924" t="s">
        <v>33</v>
      </c>
      <c r="S924">
        <v>1</v>
      </c>
    </row>
    <row r="925" spans="1:19" ht="16.5" x14ac:dyDescent="0.3">
      <c r="A925" t="s">
        <v>978</v>
      </c>
      <c r="B925" s="1">
        <v>45401</v>
      </c>
      <c r="C925" s="1">
        <v>45404</v>
      </c>
      <c r="D925">
        <v>2024</v>
      </c>
      <c r="E925" t="s">
        <v>836</v>
      </c>
      <c r="F925" t="s">
        <v>837</v>
      </c>
      <c r="G925" t="s">
        <v>83</v>
      </c>
      <c r="H925" t="s">
        <v>35</v>
      </c>
      <c r="I925" t="s">
        <v>24</v>
      </c>
      <c r="J925" t="s">
        <v>25</v>
      </c>
      <c r="K925" t="s">
        <v>36</v>
      </c>
      <c r="L925" t="s">
        <v>44</v>
      </c>
      <c r="M925">
        <v>3</v>
      </c>
      <c r="N925" s="2">
        <v>54</v>
      </c>
      <c r="O925" s="3">
        <v>2667</v>
      </c>
      <c r="P925">
        <v>0</v>
      </c>
      <c r="Q925">
        <v>2</v>
      </c>
      <c r="R925" t="s">
        <v>28</v>
      </c>
      <c r="S925">
        <v>1</v>
      </c>
    </row>
    <row r="926" spans="1:19" ht="16.5" x14ac:dyDescent="0.3">
      <c r="A926" t="s">
        <v>979</v>
      </c>
      <c r="B926" s="1">
        <v>45401</v>
      </c>
      <c r="C926" s="1">
        <v>45404</v>
      </c>
      <c r="D926">
        <v>2024</v>
      </c>
      <c r="E926" t="s">
        <v>836</v>
      </c>
      <c r="F926" t="s">
        <v>837</v>
      </c>
      <c r="G926" t="s">
        <v>83</v>
      </c>
      <c r="H926" t="s">
        <v>30</v>
      </c>
      <c r="I926" t="s">
        <v>24</v>
      </c>
      <c r="J926" t="s">
        <v>43</v>
      </c>
      <c r="K926" t="s">
        <v>53</v>
      </c>
      <c r="L926" t="s">
        <v>44</v>
      </c>
      <c r="M926">
        <v>3</v>
      </c>
      <c r="N926" s="2">
        <v>26</v>
      </c>
      <c r="O926" s="3">
        <v>5001</v>
      </c>
      <c r="P926">
        <v>0</v>
      </c>
      <c r="Q926">
        <v>5</v>
      </c>
      <c r="R926" t="s">
        <v>33</v>
      </c>
      <c r="S926">
        <v>1</v>
      </c>
    </row>
    <row r="927" spans="1:19" ht="16.5" x14ac:dyDescent="0.3">
      <c r="A927" t="s">
        <v>980</v>
      </c>
      <c r="B927" s="1">
        <v>45401</v>
      </c>
      <c r="C927" s="1">
        <v>45412</v>
      </c>
      <c r="D927">
        <v>2024</v>
      </c>
      <c r="E927" t="s">
        <v>836</v>
      </c>
      <c r="F927" t="s">
        <v>837</v>
      </c>
      <c r="G927" t="s">
        <v>83</v>
      </c>
      <c r="H927" t="s">
        <v>50</v>
      </c>
      <c r="I927" t="s">
        <v>31</v>
      </c>
      <c r="J927" t="s">
        <v>25</v>
      </c>
      <c r="K927" t="s">
        <v>26</v>
      </c>
      <c r="L927" t="s">
        <v>44</v>
      </c>
      <c r="M927">
        <v>11</v>
      </c>
      <c r="N927" s="2"/>
      <c r="O927" s="3">
        <v>9938</v>
      </c>
      <c r="P927">
        <v>0</v>
      </c>
      <c r="Q927">
        <v>3</v>
      </c>
      <c r="R927" t="s">
        <v>33</v>
      </c>
      <c r="S927">
        <v>1</v>
      </c>
    </row>
    <row r="928" spans="1:19" ht="16.5" x14ac:dyDescent="0.3">
      <c r="A928" t="s">
        <v>981</v>
      </c>
      <c r="B928" s="1">
        <v>45401</v>
      </c>
      <c r="C928" s="1">
        <v>45403</v>
      </c>
      <c r="D928">
        <v>2024</v>
      </c>
      <c r="E928" t="s">
        <v>836</v>
      </c>
      <c r="F928" t="s">
        <v>837</v>
      </c>
      <c r="G928" t="s">
        <v>83</v>
      </c>
      <c r="H928" t="s">
        <v>35</v>
      </c>
      <c r="I928" t="s">
        <v>24</v>
      </c>
      <c r="J928" t="s">
        <v>25</v>
      </c>
      <c r="K928" t="s">
        <v>36</v>
      </c>
      <c r="L928" t="s">
        <v>44</v>
      </c>
      <c r="M928">
        <v>2</v>
      </c>
      <c r="N928" s="2">
        <v>29</v>
      </c>
      <c r="O928" s="3">
        <v>2144</v>
      </c>
      <c r="P928">
        <v>0</v>
      </c>
      <c r="Q928">
        <v>4</v>
      </c>
      <c r="R928" t="s">
        <v>28</v>
      </c>
      <c r="S928">
        <v>1</v>
      </c>
    </row>
    <row r="929" spans="1:19" ht="16.5" x14ac:dyDescent="0.3">
      <c r="A929" t="s">
        <v>982</v>
      </c>
      <c r="B929" s="1">
        <v>45401</v>
      </c>
      <c r="C929" s="1">
        <v>45404</v>
      </c>
      <c r="D929">
        <v>2024</v>
      </c>
      <c r="E929" t="s">
        <v>836</v>
      </c>
      <c r="F929" t="s">
        <v>837</v>
      </c>
      <c r="G929" t="s">
        <v>83</v>
      </c>
      <c r="H929" t="s">
        <v>50</v>
      </c>
      <c r="I929" t="s">
        <v>31</v>
      </c>
      <c r="J929" t="s">
        <v>25</v>
      </c>
      <c r="K929" t="s">
        <v>26</v>
      </c>
      <c r="L929" t="s">
        <v>44</v>
      </c>
      <c r="M929">
        <v>3</v>
      </c>
      <c r="N929" s="2"/>
      <c r="O929" s="3">
        <v>3690</v>
      </c>
      <c r="P929">
        <v>0</v>
      </c>
      <c r="Q929">
        <v>5</v>
      </c>
      <c r="R929" t="s">
        <v>28</v>
      </c>
      <c r="S929">
        <v>1</v>
      </c>
    </row>
    <row r="930" spans="1:19" ht="16.5" x14ac:dyDescent="0.3">
      <c r="A930" t="s">
        <v>983</v>
      </c>
      <c r="B930" s="1">
        <v>45402</v>
      </c>
      <c r="C930" s="1">
        <v>45408</v>
      </c>
      <c r="D930">
        <v>2024</v>
      </c>
      <c r="E930" t="s">
        <v>836</v>
      </c>
      <c r="F930" t="s">
        <v>837</v>
      </c>
      <c r="G930" t="s">
        <v>102</v>
      </c>
      <c r="H930" t="s">
        <v>30</v>
      </c>
      <c r="I930" t="s">
        <v>24</v>
      </c>
      <c r="J930" t="s">
        <v>25</v>
      </c>
      <c r="K930" t="s">
        <v>53</v>
      </c>
      <c r="L930" t="s">
        <v>37</v>
      </c>
      <c r="M930">
        <v>6</v>
      </c>
      <c r="N930" s="2">
        <v>56</v>
      </c>
      <c r="O930" s="3">
        <v>5458</v>
      </c>
      <c r="P930">
        <v>1</v>
      </c>
      <c r="Q930">
        <v>4</v>
      </c>
      <c r="R930" t="s">
        <v>28</v>
      </c>
      <c r="S930">
        <v>1</v>
      </c>
    </row>
    <row r="931" spans="1:19" ht="16.5" x14ac:dyDescent="0.3">
      <c r="A931" t="s">
        <v>984</v>
      </c>
      <c r="B931" s="1">
        <v>45402</v>
      </c>
      <c r="C931" s="1">
        <v>45412</v>
      </c>
      <c r="D931">
        <v>2024</v>
      </c>
      <c r="E931" t="s">
        <v>836</v>
      </c>
      <c r="F931" t="s">
        <v>837</v>
      </c>
      <c r="G931" t="s">
        <v>102</v>
      </c>
      <c r="H931" t="s">
        <v>50</v>
      </c>
      <c r="I931" t="s">
        <v>24</v>
      </c>
      <c r="J931" t="s">
        <v>43</v>
      </c>
      <c r="K931" t="s">
        <v>26</v>
      </c>
      <c r="L931" t="s">
        <v>27</v>
      </c>
      <c r="M931">
        <v>10</v>
      </c>
      <c r="N931" s="2">
        <v>44</v>
      </c>
      <c r="O931" s="3">
        <v>15367</v>
      </c>
      <c r="P931">
        <v>0</v>
      </c>
      <c r="Q931">
        <v>4</v>
      </c>
      <c r="R931" t="s">
        <v>33</v>
      </c>
      <c r="S931">
        <v>1</v>
      </c>
    </row>
    <row r="932" spans="1:19" ht="16.5" x14ac:dyDescent="0.3">
      <c r="A932" t="s">
        <v>985</v>
      </c>
      <c r="B932" s="1">
        <v>45402</v>
      </c>
      <c r="C932" s="1">
        <v>45404</v>
      </c>
      <c r="D932">
        <v>2024</v>
      </c>
      <c r="E932" t="s">
        <v>836</v>
      </c>
      <c r="F932" t="s">
        <v>837</v>
      </c>
      <c r="G932" t="s">
        <v>102</v>
      </c>
      <c r="H932" t="s">
        <v>52</v>
      </c>
      <c r="I932" t="s">
        <v>24</v>
      </c>
      <c r="J932" t="s">
        <v>25</v>
      </c>
      <c r="K932" t="s">
        <v>32</v>
      </c>
      <c r="L932" t="s">
        <v>27</v>
      </c>
      <c r="M932">
        <v>2</v>
      </c>
      <c r="N932" s="2">
        <v>65</v>
      </c>
      <c r="O932" s="3">
        <v>2827</v>
      </c>
      <c r="P932">
        <v>0</v>
      </c>
      <c r="Q932">
        <v>3</v>
      </c>
      <c r="R932" t="s">
        <v>28</v>
      </c>
      <c r="S932">
        <v>1</v>
      </c>
    </row>
    <row r="933" spans="1:19" ht="16.5" x14ac:dyDescent="0.3">
      <c r="A933" t="s">
        <v>986</v>
      </c>
      <c r="B933" s="1">
        <v>45402</v>
      </c>
      <c r="C933" s="1">
        <v>45407</v>
      </c>
      <c r="D933">
        <v>2024</v>
      </c>
      <c r="E933" t="s">
        <v>836</v>
      </c>
      <c r="F933" t="s">
        <v>837</v>
      </c>
      <c r="G933" t="s">
        <v>102</v>
      </c>
      <c r="H933" t="s">
        <v>50</v>
      </c>
      <c r="I933" t="s">
        <v>24</v>
      </c>
      <c r="J933" t="s">
        <v>25</v>
      </c>
      <c r="K933" t="s">
        <v>53</v>
      </c>
      <c r="L933" t="s">
        <v>44</v>
      </c>
      <c r="M933">
        <v>5</v>
      </c>
      <c r="N933" s="2">
        <v>119</v>
      </c>
      <c r="O933" s="3">
        <v>7458</v>
      </c>
      <c r="P933">
        <v>0</v>
      </c>
      <c r="Q933">
        <v>4</v>
      </c>
      <c r="R933" t="s">
        <v>33</v>
      </c>
      <c r="S933">
        <v>1</v>
      </c>
    </row>
    <row r="934" spans="1:19" ht="16.5" x14ac:dyDescent="0.3">
      <c r="A934" t="s">
        <v>987</v>
      </c>
      <c r="B934" s="1">
        <v>45402</v>
      </c>
      <c r="C934" s="1">
        <v>45407</v>
      </c>
      <c r="D934">
        <v>2024</v>
      </c>
      <c r="E934" t="s">
        <v>836</v>
      </c>
      <c r="F934" t="s">
        <v>837</v>
      </c>
      <c r="G934" t="s">
        <v>102</v>
      </c>
      <c r="H934" t="s">
        <v>23</v>
      </c>
      <c r="I934" t="s">
        <v>24</v>
      </c>
      <c r="J934" t="s">
        <v>43</v>
      </c>
      <c r="K934" t="s">
        <v>53</v>
      </c>
      <c r="L934" t="s">
        <v>37</v>
      </c>
      <c r="M934">
        <v>5</v>
      </c>
      <c r="N934" s="2">
        <v>65</v>
      </c>
      <c r="O934" s="3">
        <v>3514</v>
      </c>
      <c r="P934">
        <v>0</v>
      </c>
      <c r="Q934">
        <v>4</v>
      </c>
      <c r="R934" t="s">
        <v>28</v>
      </c>
      <c r="S934">
        <v>1</v>
      </c>
    </row>
    <row r="935" spans="1:19" ht="16.5" x14ac:dyDescent="0.3">
      <c r="A935" t="s">
        <v>988</v>
      </c>
      <c r="B935" s="1">
        <v>45402</v>
      </c>
      <c r="C935" s="1">
        <v>45403</v>
      </c>
      <c r="D935">
        <v>2024</v>
      </c>
      <c r="E935" t="s">
        <v>836</v>
      </c>
      <c r="F935" t="s">
        <v>837</v>
      </c>
      <c r="G935" t="s">
        <v>102</v>
      </c>
      <c r="H935" t="s">
        <v>39</v>
      </c>
      <c r="I935" t="s">
        <v>24</v>
      </c>
      <c r="J935" t="s">
        <v>43</v>
      </c>
      <c r="K935" t="s">
        <v>41</v>
      </c>
      <c r="L935" t="s">
        <v>27</v>
      </c>
      <c r="M935">
        <v>1</v>
      </c>
      <c r="N935" s="2">
        <v>33</v>
      </c>
      <c r="O935" s="3">
        <v>1278</v>
      </c>
      <c r="P935">
        <v>0</v>
      </c>
      <c r="Q935">
        <v>4</v>
      </c>
      <c r="R935" t="s">
        <v>33</v>
      </c>
      <c r="S935">
        <v>1</v>
      </c>
    </row>
    <row r="936" spans="1:19" ht="16.5" x14ac:dyDescent="0.3">
      <c r="A936" t="s">
        <v>989</v>
      </c>
      <c r="B936" s="1">
        <v>45403</v>
      </c>
      <c r="C936" s="1">
        <v>45413</v>
      </c>
      <c r="D936">
        <v>2024</v>
      </c>
      <c r="E936" t="s">
        <v>836</v>
      </c>
      <c r="F936" t="s">
        <v>837</v>
      </c>
      <c r="G936" t="s">
        <v>112</v>
      </c>
      <c r="H936" t="s">
        <v>52</v>
      </c>
      <c r="I936" t="s">
        <v>40</v>
      </c>
      <c r="J936" t="s">
        <v>43</v>
      </c>
      <c r="K936" t="s">
        <v>26</v>
      </c>
      <c r="L936" t="s">
        <v>44</v>
      </c>
      <c r="M936">
        <v>10</v>
      </c>
      <c r="N936" s="2"/>
      <c r="O936" s="3">
        <v>8810</v>
      </c>
      <c r="P936">
        <v>0</v>
      </c>
      <c r="Q936">
        <v>5</v>
      </c>
      <c r="R936" t="s">
        <v>28</v>
      </c>
      <c r="S936">
        <v>1</v>
      </c>
    </row>
    <row r="937" spans="1:19" ht="16.5" x14ac:dyDescent="0.3">
      <c r="A937" t="s">
        <v>990</v>
      </c>
      <c r="B937" s="1">
        <v>45403</v>
      </c>
      <c r="C937" s="1">
        <v>45405</v>
      </c>
      <c r="D937">
        <v>2024</v>
      </c>
      <c r="E937" t="s">
        <v>836</v>
      </c>
      <c r="F937" t="s">
        <v>837</v>
      </c>
      <c r="G937" t="s">
        <v>112</v>
      </c>
      <c r="H937" t="s">
        <v>23</v>
      </c>
      <c r="I937" t="s">
        <v>40</v>
      </c>
      <c r="J937" t="s">
        <v>43</v>
      </c>
      <c r="K937" t="s">
        <v>32</v>
      </c>
      <c r="L937" t="s">
        <v>37</v>
      </c>
      <c r="M937">
        <v>2</v>
      </c>
      <c r="N937" s="2"/>
      <c r="O937" s="3">
        <v>2639</v>
      </c>
      <c r="P937">
        <v>0</v>
      </c>
      <c r="Q937">
        <v>4</v>
      </c>
      <c r="R937" t="s">
        <v>33</v>
      </c>
      <c r="S937">
        <v>1</v>
      </c>
    </row>
    <row r="938" spans="1:19" ht="16.5" x14ac:dyDescent="0.3">
      <c r="A938" t="s">
        <v>991</v>
      </c>
      <c r="B938" s="1">
        <v>45403</v>
      </c>
      <c r="C938" s="1">
        <v>45408</v>
      </c>
      <c r="D938">
        <v>2024</v>
      </c>
      <c r="E938" t="s">
        <v>836</v>
      </c>
      <c r="F938" t="s">
        <v>837</v>
      </c>
      <c r="G938" t="s">
        <v>112</v>
      </c>
      <c r="H938" t="s">
        <v>23</v>
      </c>
      <c r="I938" t="s">
        <v>24</v>
      </c>
      <c r="J938" t="s">
        <v>43</v>
      </c>
      <c r="K938" t="s">
        <v>26</v>
      </c>
      <c r="L938" t="s">
        <v>27</v>
      </c>
      <c r="M938">
        <v>5</v>
      </c>
      <c r="N938" s="2">
        <v>21</v>
      </c>
      <c r="O938" s="3">
        <v>3935</v>
      </c>
      <c r="P938">
        <v>0</v>
      </c>
      <c r="Q938">
        <v>5</v>
      </c>
      <c r="R938" t="s">
        <v>33</v>
      </c>
      <c r="S938">
        <v>1</v>
      </c>
    </row>
    <row r="939" spans="1:19" ht="16.5" x14ac:dyDescent="0.3">
      <c r="A939" t="s">
        <v>992</v>
      </c>
      <c r="B939" s="1">
        <v>45403</v>
      </c>
      <c r="C939" s="1">
        <v>45414</v>
      </c>
      <c r="D939">
        <v>2024</v>
      </c>
      <c r="E939" t="s">
        <v>836</v>
      </c>
      <c r="F939" t="s">
        <v>837</v>
      </c>
      <c r="G939" t="s">
        <v>112</v>
      </c>
      <c r="H939" t="s">
        <v>23</v>
      </c>
      <c r="I939" t="s">
        <v>24</v>
      </c>
      <c r="J939" t="s">
        <v>43</v>
      </c>
      <c r="K939" t="s">
        <v>36</v>
      </c>
      <c r="L939" t="s">
        <v>37</v>
      </c>
      <c r="M939">
        <v>11</v>
      </c>
      <c r="N939" s="2">
        <v>18</v>
      </c>
      <c r="O939" s="3">
        <v>8348</v>
      </c>
      <c r="P939">
        <v>0</v>
      </c>
      <c r="Q939">
        <v>5</v>
      </c>
      <c r="R939" t="s">
        <v>33</v>
      </c>
      <c r="S939">
        <v>1</v>
      </c>
    </row>
    <row r="940" spans="1:19" ht="16.5" x14ac:dyDescent="0.3">
      <c r="A940" t="s">
        <v>993</v>
      </c>
      <c r="B940" s="1">
        <v>45403</v>
      </c>
      <c r="C940" s="1">
        <v>45425</v>
      </c>
      <c r="D940">
        <v>2024</v>
      </c>
      <c r="E940" t="s">
        <v>836</v>
      </c>
      <c r="F940" t="s">
        <v>837</v>
      </c>
      <c r="G940" t="s">
        <v>112</v>
      </c>
      <c r="H940" t="s">
        <v>50</v>
      </c>
      <c r="I940" t="s">
        <v>24</v>
      </c>
      <c r="J940" t="s">
        <v>43</v>
      </c>
      <c r="K940" t="s">
        <v>36</v>
      </c>
      <c r="L940" t="s">
        <v>37</v>
      </c>
      <c r="M940">
        <v>22</v>
      </c>
      <c r="N940" s="2">
        <v>15</v>
      </c>
      <c r="O940" s="3">
        <v>20498</v>
      </c>
      <c r="P940">
        <v>1</v>
      </c>
      <c r="Q940">
        <v>4</v>
      </c>
      <c r="R940" t="s">
        <v>28</v>
      </c>
      <c r="S940">
        <v>1</v>
      </c>
    </row>
    <row r="941" spans="1:19" ht="16.5" x14ac:dyDescent="0.3">
      <c r="A941" t="s">
        <v>994</v>
      </c>
      <c r="B941" s="1">
        <v>45404</v>
      </c>
      <c r="C941" s="1">
        <v>45407</v>
      </c>
      <c r="D941">
        <v>2024</v>
      </c>
      <c r="E941" t="s">
        <v>836</v>
      </c>
      <c r="F941" t="s">
        <v>837</v>
      </c>
      <c r="G941" t="s">
        <v>22</v>
      </c>
      <c r="H941" t="s">
        <v>23</v>
      </c>
      <c r="I941" t="s">
        <v>24</v>
      </c>
      <c r="J941" t="s">
        <v>43</v>
      </c>
      <c r="K941" t="s">
        <v>53</v>
      </c>
      <c r="L941" t="s">
        <v>44</v>
      </c>
      <c r="M941">
        <v>3</v>
      </c>
      <c r="N941" s="2">
        <v>67</v>
      </c>
      <c r="O941" s="3">
        <v>2904</v>
      </c>
      <c r="P941">
        <v>0</v>
      </c>
      <c r="Q941">
        <v>5</v>
      </c>
      <c r="R941" t="s">
        <v>28</v>
      </c>
      <c r="S941">
        <v>1</v>
      </c>
    </row>
    <row r="942" spans="1:19" ht="16.5" x14ac:dyDescent="0.3">
      <c r="A942" t="s">
        <v>995</v>
      </c>
      <c r="B942" s="1">
        <v>45404</v>
      </c>
      <c r="C942" s="1">
        <v>45406</v>
      </c>
      <c r="D942">
        <v>2024</v>
      </c>
      <c r="E942" t="s">
        <v>836</v>
      </c>
      <c r="F942" t="s">
        <v>837</v>
      </c>
      <c r="G942" t="s">
        <v>22</v>
      </c>
      <c r="H942" t="s">
        <v>23</v>
      </c>
      <c r="I942" t="s">
        <v>31</v>
      </c>
      <c r="J942" t="s">
        <v>25</v>
      </c>
      <c r="K942" t="s">
        <v>36</v>
      </c>
      <c r="L942" t="s">
        <v>27</v>
      </c>
      <c r="M942">
        <v>2</v>
      </c>
      <c r="N942" s="2"/>
      <c r="O942" s="3">
        <v>1798</v>
      </c>
      <c r="P942">
        <v>0</v>
      </c>
      <c r="Q942">
        <v>4</v>
      </c>
      <c r="R942" t="s">
        <v>33</v>
      </c>
      <c r="S942">
        <v>1</v>
      </c>
    </row>
    <row r="943" spans="1:19" ht="16.5" x14ac:dyDescent="0.3">
      <c r="A943" t="s">
        <v>996</v>
      </c>
      <c r="B943" s="1">
        <v>45404</v>
      </c>
      <c r="C943" s="1">
        <v>45405</v>
      </c>
      <c r="D943">
        <v>2024</v>
      </c>
      <c r="E943" t="s">
        <v>836</v>
      </c>
      <c r="F943" t="s">
        <v>837</v>
      </c>
      <c r="G943" t="s">
        <v>22</v>
      </c>
      <c r="H943" t="s">
        <v>23</v>
      </c>
      <c r="I943" t="s">
        <v>40</v>
      </c>
      <c r="J943" t="s">
        <v>25</v>
      </c>
      <c r="K943" t="s">
        <v>53</v>
      </c>
      <c r="L943" t="s">
        <v>44</v>
      </c>
      <c r="M943">
        <v>1</v>
      </c>
      <c r="N943" s="2"/>
      <c r="O943" s="3">
        <v>1457</v>
      </c>
      <c r="P943">
        <v>0</v>
      </c>
      <c r="Q943">
        <v>5</v>
      </c>
      <c r="R943" t="s">
        <v>33</v>
      </c>
      <c r="S943">
        <v>1</v>
      </c>
    </row>
    <row r="944" spans="1:19" ht="16.5" x14ac:dyDescent="0.3">
      <c r="A944" t="s">
        <v>997</v>
      </c>
      <c r="B944" s="1">
        <v>45404</v>
      </c>
      <c r="C944" s="1">
        <v>45408</v>
      </c>
      <c r="D944">
        <v>2024</v>
      </c>
      <c r="E944" t="s">
        <v>836</v>
      </c>
      <c r="F944" t="s">
        <v>837</v>
      </c>
      <c r="G944" t="s">
        <v>22</v>
      </c>
      <c r="H944" t="s">
        <v>30</v>
      </c>
      <c r="I944" t="s">
        <v>40</v>
      </c>
      <c r="J944" t="s">
        <v>43</v>
      </c>
      <c r="K944" t="s">
        <v>36</v>
      </c>
      <c r="L944" t="s">
        <v>27</v>
      </c>
      <c r="M944">
        <v>4</v>
      </c>
      <c r="N944" s="2"/>
      <c r="O944" s="3">
        <v>3800</v>
      </c>
      <c r="P944">
        <v>0</v>
      </c>
      <c r="Q944">
        <v>4</v>
      </c>
      <c r="R944" t="s">
        <v>33</v>
      </c>
      <c r="S944">
        <v>1</v>
      </c>
    </row>
    <row r="945" spans="1:19" ht="16.5" x14ac:dyDescent="0.3">
      <c r="A945" t="s">
        <v>998</v>
      </c>
      <c r="B945" s="1">
        <v>45404</v>
      </c>
      <c r="C945" s="1">
        <v>45407</v>
      </c>
      <c r="D945">
        <v>2024</v>
      </c>
      <c r="E945" t="s">
        <v>836</v>
      </c>
      <c r="F945" t="s">
        <v>837</v>
      </c>
      <c r="G945" t="s">
        <v>22</v>
      </c>
      <c r="H945" t="s">
        <v>39</v>
      </c>
      <c r="I945" t="s">
        <v>24</v>
      </c>
      <c r="J945" t="s">
        <v>43</v>
      </c>
      <c r="K945" t="s">
        <v>41</v>
      </c>
      <c r="L945" t="s">
        <v>27</v>
      </c>
      <c r="M945">
        <v>3</v>
      </c>
      <c r="N945" s="2">
        <v>124</v>
      </c>
      <c r="O945" s="3">
        <v>2642</v>
      </c>
      <c r="P945">
        <v>0</v>
      </c>
      <c r="Q945">
        <v>3</v>
      </c>
      <c r="R945" t="s">
        <v>28</v>
      </c>
      <c r="S945">
        <v>1</v>
      </c>
    </row>
    <row r="946" spans="1:19" ht="16.5" x14ac:dyDescent="0.3">
      <c r="A946" t="s">
        <v>999</v>
      </c>
      <c r="B946" s="1">
        <v>45405</v>
      </c>
      <c r="C946" s="1">
        <v>45414</v>
      </c>
      <c r="D946">
        <v>2024</v>
      </c>
      <c r="E946" t="s">
        <v>836</v>
      </c>
      <c r="F946" t="s">
        <v>837</v>
      </c>
      <c r="G946" t="s">
        <v>56</v>
      </c>
      <c r="H946" t="s">
        <v>23</v>
      </c>
      <c r="I946" t="s">
        <v>40</v>
      </c>
      <c r="J946" t="s">
        <v>43</v>
      </c>
      <c r="K946" t="s">
        <v>26</v>
      </c>
      <c r="L946" t="s">
        <v>37</v>
      </c>
      <c r="M946">
        <v>9</v>
      </c>
      <c r="N946" s="2"/>
      <c r="O946" s="3">
        <v>4149</v>
      </c>
      <c r="P946">
        <v>0</v>
      </c>
      <c r="Q946">
        <v>4</v>
      </c>
      <c r="R946" t="s">
        <v>59</v>
      </c>
      <c r="S946">
        <v>1</v>
      </c>
    </row>
    <row r="947" spans="1:19" ht="16.5" x14ac:dyDescent="0.3">
      <c r="A947" t="s">
        <v>1000</v>
      </c>
      <c r="B947" s="1">
        <v>45405</v>
      </c>
      <c r="C947" s="1">
        <v>45407</v>
      </c>
      <c r="D947">
        <v>2024</v>
      </c>
      <c r="E947" t="s">
        <v>836</v>
      </c>
      <c r="F947" t="s">
        <v>837</v>
      </c>
      <c r="G947" t="s">
        <v>56</v>
      </c>
      <c r="H947" t="s">
        <v>35</v>
      </c>
      <c r="I947" t="s">
        <v>24</v>
      </c>
      <c r="J947" t="s">
        <v>25</v>
      </c>
      <c r="K947" t="s">
        <v>32</v>
      </c>
      <c r="L947" t="s">
        <v>27</v>
      </c>
      <c r="M947">
        <v>2</v>
      </c>
      <c r="N947" s="2">
        <v>27</v>
      </c>
      <c r="O947" s="3">
        <v>2071</v>
      </c>
      <c r="P947">
        <v>0</v>
      </c>
      <c r="Q947">
        <v>4</v>
      </c>
      <c r="R947" t="s">
        <v>28</v>
      </c>
      <c r="S947">
        <v>1</v>
      </c>
    </row>
    <row r="948" spans="1:19" ht="16.5" x14ac:dyDescent="0.3">
      <c r="A948" t="s">
        <v>1001</v>
      </c>
      <c r="B948" s="1">
        <v>45405</v>
      </c>
      <c r="C948" s="1">
        <v>45417</v>
      </c>
      <c r="D948">
        <v>2024</v>
      </c>
      <c r="E948" t="s">
        <v>836</v>
      </c>
      <c r="F948" t="s">
        <v>837</v>
      </c>
      <c r="G948" t="s">
        <v>56</v>
      </c>
      <c r="H948" t="s">
        <v>50</v>
      </c>
      <c r="I948" t="s">
        <v>24</v>
      </c>
      <c r="J948" t="s">
        <v>25</v>
      </c>
      <c r="K948" t="s">
        <v>32</v>
      </c>
      <c r="L948" t="s">
        <v>44</v>
      </c>
      <c r="M948">
        <v>12</v>
      </c>
      <c r="N948" s="2">
        <v>56</v>
      </c>
      <c r="O948" s="3">
        <v>15251</v>
      </c>
      <c r="P948">
        <v>1</v>
      </c>
      <c r="Q948">
        <v>4</v>
      </c>
      <c r="R948" t="s">
        <v>33</v>
      </c>
      <c r="S948">
        <v>1</v>
      </c>
    </row>
    <row r="949" spans="1:19" ht="16.5" x14ac:dyDescent="0.3">
      <c r="A949" t="s">
        <v>1002</v>
      </c>
      <c r="B949" s="1">
        <v>45405</v>
      </c>
      <c r="C949" s="1">
        <v>45410</v>
      </c>
      <c r="D949">
        <v>2024</v>
      </c>
      <c r="E949" t="s">
        <v>836</v>
      </c>
      <c r="F949" t="s">
        <v>837</v>
      </c>
      <c r="G949" t="s">
        <v>56</v>
      </c>
      <c r="H949" t="s">
        <v>23</v>
      </c>
      <c r="I949" t="s">
        <v>24</v>
      </c>
      <c r="J949" t="s">
        <v>43</v>
      </c>
      <c r="K949" t="s">
        <v>53</v>
      </c>
      <c r="L949" t="s">
        <v>27</v>
      </c>
      <c r="M949">
        <v>5</v>
      </c>
      <c r="N949" s="2">
        <v>71</v>
      </c>
      <c r="O949" s="3">
        <v>3124</v>
      </c>
      <c r="P949">
        <v>0</v>
      </c>
      <c r="Q949">
        <v>5</v>
      </c>
      <c r="R949" t="s">
        <v>28</v>
      </c>
      <c r="S949">
        <v>1</v>
      </c>
    </row>
    <row r="950" spans="1:19" ht="16.5" x14ac:dyDescent="0.3">
      <c r="A950" t="s">
        <v>1003</v>
      </c>
      <c r="B950" s="1">
        <v>45405</v>
      </c>
      <c r="C950" s="1">
        <v>45411</v>
      </c>
      <c r="D950">
        <v>2024</v>
      </c>
      <c r="E950" t="s">
        <v>836</v>
      </c>
      <c r="F950" t="s">
        <v>837</v>
      </c>
      <c r="G950" t="s">
        <v>56</v>
      </c>
      <c r="H950" t="s">
        <v>39</v>
      </c>
      <c r="I950" t="s">
        <v>24</v>
      </c>
      <c r="J950" t="s">
        <v>43</v>
      </c>
      <c r="K950" t="s">
        <v>41</v>
      </c>
      <c r="L950" t="s">
        <v>27</v>
      </c>
      <c r="M950">
        <v>6</v>
      </c>
      <c r="N950" s="2">
        <v>31</v>
      </c>
      <c r="O950" s="3">
        <v>4215</v>
      </c>
      <c r="P950">
        <v>0</v>
      </c>
      <c r="Q950">
        <v>3</v>
      </c>
      <c r="R950" t="s">
        <v>33</v>
      </c>
      <c r="S950">
        <v>1</v>
      </c>
    </row>
    <row r="951" spans="1:19" ht="16.5" x14ac:dyDescent="0.3">
      <c r="A951" t="s">
        <v>1004</v>
      </c>
      <c r="B951" s="1">
        <v>45405</v>
      </c>
      <c r="C951" s="1">
        <v>45413</v>
      </c>
      <c r="D951">
        <v>2024</v>
      </c>
      <c r="E951" t="s">
        <v>836</v>
      </c>
      <c r="F951" t="s">
        <v>837</v>
      </c>
      <c r="G951" t="s">
        <v>56</v>
      </c>
      <c r="H951" t="s">
        <v>52</v>
      </c>
      <c r="I951" t="s">
        <v>24</v>
      </c>
      <c r="J951" t="s">
        <v>43</v>
      </c>
      <c r="K951" t="s">
        <v>26</v>
      </c>
      <c r="L951" t="s">
        <v>44</v>
      </c>
      <c r="M951">
        <v>8</v>
      </c>
      <c r="N951" s="2">
        <v>14</v>
      </c>
      <c r="O951" s="3">
        <v>9441</v>
      </c>
      <c r="P951">
        <v>0</v>
      </c>
      <c r="Q951">
        <v>5</v>
      </c>
      <c r="R951" t="s">
        <v>28</v>
      </c>
      <c r="S951">
        <v>1</v>
      </c>
    </row>
    <row r="952" spans="1:19" ht="16.5" x14ac:dyDescent="0.3">
      <c r="A952" t="s">
        <v>1005</v>
      </c>
      <c r="B952" s="1">
        <v>45405</v>
      </c>
      <c r="C952" s="1">
        <v>45418</v>
      </c>
      <c r="D952">
        <v>2024</v>
      </c>
      <c r="E952" t="s">
        <v>836</v>
      </c>
      <c r="F952" t="s">
        <v>837</v>
      </c>
      <c r="G952" t="s">
        <v>56</v>
      </c>
      <c r="H952" t="s">
        <v>23</v>
      </c>
      <c r="I952" t="s">
        <v>24</v>
      </c>
      <c r="J952" t="s">
        <v>25</v>
      </c>
      <c r="K952" t="s">
        <v>26</v>
      </c>
      <c r="L952" t="s">
        <v>27</v>
      </c>
      <c r="M952">
        <v>13</v>
      </c>
      <c r="N952" s="2">
        <v>46</v>
      </c>
      <c r="O952" s="3">
        <v>8847</v>
      </c>
      <c r="P952">
        <v>0</v>
      </c>
      <c r="Q952">
        <v>5</v>
      </c>
      <c r="R952" t="s">
        <v>33</v>
      </c>
      <c r="S952">
        <v>1</v>
      </c>
    </row>
    <row r="953" spans="1:19" ht="16.5" x14ac:dyDescent="0.3">
      <c r="A953" t="s">
        <v>1006</v>
      </c>
      <c r="B953" s="1">
        <v>45405</v>
      </c>
      <c r="C953" s="1">
        <v>45407</v>
      </c>
      <c r="D953">
        <v>2024</v>
      </c>
      <c r="E953" t="s">
        <v>836</v>
      </c>
      <c r="F953" t="s">
        <v>837</v>
      </c>
      <c r="G953" t="s">
        <v>56</v>
      </c>
      <c r="H953" t="s">
        <v>39</v>
      </c>
      <c r="I953" t="s">
        <v>40</v>
      </c>
      <c r="J953" t="s">
        <v>43</v>
      </c>
      <c r="K953" t="s">
        <v>41</v>
      </c>
      <c r="L953" t="s">
        <v>44</v>
      </c>
      <c r="M953">
        <v>2</v>
      </c>
      <c r="N953" s="2"/>
      <c r="O953" s="3">
        <v>3017</v>
      </c>
      <c r="P953">
        <v>0</v>
      </c>
      <c r="Q953">
        <v>5</v>
      </c>
      <c r="R953" t="s">
        <v>33</v>
      </c>
      <c r="S953">
        <v>1</v>
      </c>
    </row>
    <row r="954" spans="1:19" ht="16.5" x14ac:dyDescent="0.3">
      <c r="A954" t="s">
        <v>1007</v>
      </c>
      <c r="B954" s="1">
        <v>45405</v>
      </c>
      <c r="C954" s="1">
        <v>45421</v>
      </c>
      <c r="D954">
        <v>2024</v>
      </c>
      <c r="E954" t="s">
        <v>836</v>
      </c>
      <c r="F954" t="s">
        <v>837</v>
      </c>
      <c r="G954" t="s">
        <v>56</v>
      </c>
      <c r="H954" t="s">
        <v>30</v>
      </c>
      <c r="I954" t="s">
        <v>24</v>
      </c>
      <c r="J954" t="s">
        <v>43</v>
      </c>
      <c r="K954" t="s">
        <v>26</v>
      </c>
      <c r="L954" t="s">
        <v>44</v>
      </c>
      <c r="M954">
        <v>16</v>
      </c>
      <c r="N954" s="2">
        <v>22</v>
      </c>
      <c r="O954" s="3">
        <v>15787</v>
      </c>
      <c r="P954">
        <v>0</v>
      </c>
      <c r="Q954">
        <v>4</v>
      </c>
      <c r="R954" t="s">
        <v>33</v>
      </c>
      <c r="S954">
        <v>1</v>
      </c>
    </row>
    <row r="955" spans="1:19" ht="16.5" x14ac:dyDescent="0.3">
      <c r="A955" t="s">
        <v>1008</v>
      </c>
      <c r="B955" s="1">
        <v>45405</v>
      </c>
      <c r="C955" s="1">
        <v>45409</v>
      </c>
      <c r="D955">
        <v>2024</v>
      </c>
      <c r="E955" t="s">
        <v>836</v>
      </c>
      <c r="F955" t="s">
        <v>837</v>
      </c>
      <c r="G955" t="s">
        <v>56</v>
      </c>
      <c r="H955" t="s">
        <v>50</v>
      </c>
      <c r="I955" t="s">
        <v>24</v>
      </c>
      <c r="J955" t="s">
        <v>25</v>
      </c>
      <c r="K955" t="s">
        <v>26</v>
      </c>
      <c r="L955" t="s">
        <v>27</v>
      </c>
      <c r="M955">
        <v>4</v>
      </c>
      <c r="N955" s="2">
        <v>63</v>
      </c>
      <c r="O955" s="3">
        <v>4641</v>
      </c>
      <c r="P955">
        <v>0</v>
      </c>
      <c r="Q955">
        <v>5</v>
      </c>
      <c r="R955" t="s">
        <v>33</v>
      </c>
      <c r="S955">
        <v>1</v>
      </c>
    </row>
    <row r="956" spans="1:19" ht="16.5" x14ac:dyDescent="0.3">
      <c r="A956" t="s">
        <v>1009</v>
      </c>
      <c r="B956" s="1">
        <v>45405</v>
      </c>
      <c r="C956" s="1">
        <v>45412</v>
      </c>
      <c r="D956">
        <v>2024</v>
      </c>
      <c r="E956" t="s">
        <v>836</v>
      </c>
      <c r="F956" t="s">
        <v>837</v>
      </c>
      <c r="G956" t="s">
        <v>56</v>
      </c>
      <c r="H956" t="s">
        <v>23</v>
      </c>
      <c r="I956" t="s">
        <v>24</v>
      </c>
      <c r="J956" t="s">
        <v>43</v>
      </c>
      <c r="K956" t="s">
        <v>26</v>
      </c>
      <c r="L956" t="s">
        <v>27</v>
      </c>
      <c r="M956">
        <v>7</v>
      </c>
      <c r="N956" s="2">
        <v>33</v>
      </c>
      <c r="O956" s="3">
        <v>5052</v>
      </c>
      <c r="P956">
        <v>0</v>
      </c>
      <c r="Q956">
        <v>5</v>
      </c>
      <c r="R956" t="s">
        <v>33</v>
      </c>
      <c r="S956">
        <v>1</v>
      </c>
    </row>
    <row r="957" spans="1:19" ht="16.5" x14ac:dyDescent="0.3">
      <c r="A957" t="s">
        <v>1010</v>
      </c>
      <c r="B957" s="1">
        <v>45406</v>
      </c>
      <c r="C957" s="1">
        <v>45407</v>
      </c>
      <c r="D957">
        <v>2024</v>
      </c>
      <c r="E957" t="s">
        <v>836</v>
      </c>
      <c r="F957" t="s">
        <v>837</v>
      </c>
      <c r="G957" t="s">
        <v>70</v>
      </c>
      <c r="H957" t="s">
        <v>35</v>
      </c>
      <c r="I957" t="s">
        <v>40</v>
      </c>
      <c r="J957" t="s">
        <v>25</v>
      </c>
      <c r="K957" t="s">
        <v>36</v>
      </c>
      <c r="L957" t="s">
        <v>27</v>
      </c>
      <c r="M957">
        <v>1</v>
      </c>
      <c r="N957" s="2"/>
      <c r="O957" s="3">
        <v>1904</v>
      </c>
      <c r="P957">
        <v>0</v>
      </c>
      <c r="Q957">
        <v>3</v>
      </c>
      <c r="R957" t="s">
        <v>28</v>
      </c>
      <c r="S957">
        <v>1</v>
      </c>
    </row>
    <row r="958" spans="1:19" ht="16.5" x14ac:dyDescent="0.3">
      <c r="A958" t="s">
        <v>1011</v>
      </c>
      <c r="B958" s="1">
        <v>45406</v>
      </c>
      <c r="C958" s="1">
        <v>45407</v>
      </c>
      <c r="D958">
        <v>2024</v>
      </c>
      <c r="E958" t="s">
        <v>836</v>
      </c>
      <c r="F958" t="s">
        <v>837</v>
      </c>
      <c r="G958" t="s">
        <v>70</v>
      </c>
      <c r="H958" t="s">
        <v>30</v>
      </c>
      <c r="I958" t="s">
        <v>40</v>
      </c>
      <c r="J958" t="s">
        <v>25</v>
      </c>
      <c r="K958" t="s">
        <v>36</v>
      </c>
      <c r="L958" t="s">
        <v>44</v>
      </c>
      <c r="M958">
        <v>1</v>
      </c>
      <c r="N958" s="2"/>
      <c r="O958" s="3">
        <v>1982</v>
      </c>
      <c r="P958">
        <v>0</v>
      </c>
      <c r="Q958">
        <v>3</v>
      </c>
      <c r="R958" t="s">
        <v>33</v>
      </c>
      <c r="S958">
        <v>1</v>
      </c>
    </row>
    <row r="959" spans="1:19" ht="16.5" x14ac:dyDescent="0.3">
      <c r="A959" t="s">
        <v>1012</v>
      </c>
      <c r="B959" s="1">
        <v>45406</v>
      </c>
      <c r="C959" s="1">
        <v>45411</v>
      </c>
      <c r="D959">
        <v>2024</v>
      </c>
      <c r="E959" t="s">
        <v>836</v>
      </c>
      <c r="F959" t="s">
        <v>837</v>
      </c>
      <c r="G959" t="s">
        <v>70</v>
      </c>
      <c r="H959" t="s">
        <v>39</v>
      </c>
      <c r="I959" t="s">
        <v>24</v>
      </c>
      <c r="J959" t="s">
        <v>25</v>
      </c>
      <c r="K959" t="s">
        <v>41</v>
      </c>
      <c r="L959" t="s">
        <v>27</v>
      </c>
      <c r="M959">
        <v>5</v>
      </c>
      <c r="N959" s="2">
        <v>98</v>
      </c>
      <c r="O959" s="3">
        <v>3559</v>
      </c>
      <c r="P959">
        <v>0</v>
      </c>
      <c r="Q959">
        <v>4</v>
      </c>
      <c r="R959" t="s">
        <v>28</v>
      </c>
      <c r="S959">
        <v>1</v>
      </c>
    </row>
    <row r="960" spans="1:19" ht="16.5" x14ac:dyDescent="0.3">
      <c r="A960" t="s">
        <v>1013</v>
      </c>
      <c r="B960" s="1">
        <v>45406</v>
      </c>
      <c r="C960" s="1">
        <v>45410</v>
      </c>
      <c r="D960">
        <v>2024</v>
      </c>
      <c r="E960" t="s">
        <v>836</v>
      </c>
      <c r="F960" t="s">
        <v>837</v>
      </c>
      <c r="G960" t="s">
        <v>70</v>
      </c>
      <c r="H960" t="s">
        <v>23</v>
      </c>
      <c r="I960" t="s">
        <v>40</v>
      </c>
      <c r="J960" t="s">
        <v>43</v>
      </c>
      <c r="K960" t="s">
        <v>26</v>
      </c>
      <c r="L960" t="s">
        <v>27</v>
      </c>
      <c r="M960">
        <v>4</v>
      </c>
      <c r="N960" s="2"/>
      <c r="O960" s="3">
        <v>3061</v>
      </c>
      <c r="P960">
        <v>0</v>
      </c>
      <c r="Q960">
        <v>5</v>
      </c>
      <c r="R960" t="s">
        <v>33</v>
      </c>
      <c r="S960">
        <v>1</v>
      </c>
    </row>
    <row r="961" spans="1:19" ht="16.5" x14ac:dyDescent="0.3">
      <c r="A961" t="s">
        <v>1014</v>
      </c>
      <c r="B961" s="1">
        <v>45406</v>
      </c>
      <c r="C961" s="1">
        <v>45413</v>
      </c>
      <c r="D961">
        <v>2024</v>
      </c>
      <c r="E961" t="s">
        <v>836</v>
      </c>
      <c r="F961" t="s">
        <v>837</v>
      </c>
      <c r="G961" t="s">
        <v>70</v>
      </c>
      <c r="H961" t="s">
        <v>52</v>
      </c>
      <c r="I961" t="s">
        <v>40</v>
      </c>
      <c r="J961" t="s">
        <v>43</v>
      </c>
      <c r="K961" t="s">
        <v>36</v>
      </c>
      <c r="L961" t="s">
        <v>27</v>
      </c>
      <c r="M961">
        <v>7</v>
      </c>
      <c r="N961" s="2"/>
      <c r="O961" s="3">
        <v>8023</v>
      </c>
      <c r="P961">
        <v>0</v>
      </c>
      <c r="Q961">
        <v>4</v>
      </c>
      <c r="R961" t="s">
        <v>28</v>
      </c>
      <c r="S961">
        <v>1</v>
      </c>
    </row>
    <row r="962" spans="1:19" ht="16.5" x14ac:dyDescent="0.3">
      <c r="A962" t="s">
        <v>1015</v>
      </c>
      <c r="B962" s="1">
        <v>45406</v>
      </c>
      <c r="C962" s="1">
        <v>45415</v>
      </c>
      <c r="D962">
        <v>2024</v>
      </c>
      <c r="E962" t="s">
        <v>836</v>
      </c>
      <c r="F962" t="s">
        <v>837</v>
      </c>
      <c r="G962" t="s">
        <v>70</v>
      </c>
      <c r="H962" t="s">
        <v>35</v>
      </c>
      <c r="I962" t="s">
        <v>24</v>
      </c>
      <c r="J962" t="s">
        <v>25</v>
      </c>
      <c r="K962" t="s">
        <v>36</v>
      </c>
      <c r="L962" t="s">
        <v>37</v>
      </c>
      <c r="M962">
        <v>9</v>
      </c>
      <c r="N962" s="2">
        <v>89</v>
      </c>
      <c r="O962" s="3">
        <v>4311</v>
      </c>
      <c r="P962">
        <v>0</v>
      </c>
      <c r="Q962">
        <v>5</v>
      </c>
      <c r="R962" t="s">
        <v>28</v>
      </c>
      <c r="S962">
        <v>1</v>
      </c>
    </row>
    <row r="963" spans="1:19" ht="16.5" x14ac:dyDescent="0.3">
      <c r="A963" t="s">
        <v>1016</v>
      </c>
      <c r="B963" s="1">
        <v>45406</v>
      </c>
      <c r="C963" s="1">
        <v>45410</v>
      </c>
      <c r="D963">
        <v>2024</v>
      </c>
      <c r="E963" t="s">
        <v>836</v>
      </c>
      <c r="F963" t="s">
        <v>837</v>
      </c>
      <c r="G963" t="s">
        <v>70</v>
      </c>
      <c r="H963" t="s">
        <v>35</v>
      </c>
      <c r="I963" t="s">
        <v>24</v>
      </c>
      <c r="J963" t="s">
        <v>25</v>
      </c>
      <c r="K963" t="s">
        <v>32</v>
      </c>
      <c r="L963" t="s">
        <v>37</v>
      </c>
      <c r="M963">
        <v>4</v>
      </c>
      <c r="N963" s="2">
        <v>43</v>
      </c>
      <c r="O963" s="3">
        <v>2520</v>
      </c>
      <c r="P963">
        <v>0</v>
      </c>
      <c r="Q963">
        <v>4</v>
      </c>
      <c r="R963" t="s">
        <v>33</v>
      </c>
      <c r="S963">
        <v>1</v>
      </c>
    </row>
    <row r="964" spans="1:19" ht="16.5" x14ac:dyDescent="0.3">
      <c r="A964" t="s">
        <v>1017</v>
      </c>
      <c r="B964" s="1">
        <v>45406</v>
      </c>
      <c r="C964" s="1">
        <v>45409</v>
      </c>
      <c r="D964">
        <v>2024</v>
      </c>
      <c r="E964" t="s">
        <v>836</v>
      </c>
      <c r="F964" t="s">
        <v>837</v>
      </c>
      <c r="G964" t="s">
        <v>70</v>
      </c>
      <c r="H964" t="s">
        <v>23</v>
      </c>
      <c r="I964" t="s">
        <v>40</v>
      </c>
      <c r="J964" t="s">
        <v>25</v>
      </c>
      <c r="K964" t="s">
        <v>53</v>
      </c>
      <c r="L964" t="s">
        <v>27</v>
      </c>
      <c r="M964">
        <v>3</v>
      </c>
      <c r="N964" s="2"/>
      <c r="O964" s="3">
        <v>2459</v>
      </c>
      <c r="P964">
        <v>0</v>
      </c>
      <c r="Q964">
        <v>5</v>
      </c>
      <c r="R964" t="s">
        <v>33</v>
      </c>
      <c r="S964">
        <v>1</v>
      </c>
    </row>
    <row r="965" spans="1:19" ht="16.5" x14ac:dyDescent="0.3">
      <c r="A965" t="s">
        <v>1018</v>
      </c>
      <c r="B965" s="1">
        <v>45406</v>
      </c>
      <c r="C965" s="1">
        <v>45416</v>
      </c>
      <c r="D965">
        <v>2024</v>
      </c>
      <c r="E965" t="s">
        <v>836</v>
      </c>
      <c r="F965" t="s">
        <v>837</v>
      </c>
      <c r="G965" t="s">
        <v>70</v>
      </c>
      <c r="H965" t="s">
        <v>23</v>
      </c>
      <c r="I965" t="s">
        <v>24</v>
      </c>
      <c r="J965" t="s">
        <v>43</v>
      </c>
      <c r="K965" t="s">
        <v>32</v>
      </c>
      <c r="L965" t="s">
        <v>44</v>
      </c>
      <c r="M965">
        <v>10</v>
      </c>
      <c r="N965" s="2">
        <v>56</v>
      </c>
      <c r="O965" s="3">
        <v>5457</v>
      </c>
      <c r="P965">
        <v>1</v>
      </c>
      <c r="Q965">
        <v>4</v>
      </c>
      <c r="R965" t="s">
        <v>33</v>
      </c>
      <c r="S965">
        <v>1</v>
      </c>
    </row>
    <row r="966" spans="1:19" ht="16.5" x14ac:dyDescent="0.3">
      <c r="A966" t="s">
        <v>1019</v>
      </c>
      <c r="B966" s="1">
        <v>45407</v>
      </c>
      <c r="C966" s="1">
        <v>45411</v>
      </c>
      <c r="D966">
        <v>2024</v>
      </c>
      <c r="E966" t="s">
        <v>836</v>
      </c>
      <c r="F966" t="s">
        <v>837</v>
      </c>
      <c r="G966" t="s">
        <v>78</v>
      </c>
      <c r="H966" t="s">
        <v>39</v>
      </c>
      <c r="I966" t="s">
        <v>24</v>
      </c>
      <c r="J966" t="s">
        <v>25</v>
      </c>
      <c r="K966" t="s">
        <v>41</v>
      </c>
      <c r="L966" t="s">
        <v>27</v>
      </c>
      <c r="M966">
        <v>4</v>
      </c>
      <c r="N966" s="2">
        <v>67</v>
      </c>
      <c r="O966" s="3">
        <v>3263</v>
      </c>
      <c r="P966">
        <v>0</v>
      </c>
      <c r="Q966">
        <v>2</v>
      </c>
      <c r="R966" t="s">
        <v>33</v>
      </c>
      <c r="S966">
        <v>1</v>
      </c>
    </row>
    <row r="967" spans="1:19" ht="16.5" x14ac:dyDescent="0.3">
      <c r="A967" t="s">
        <v>1020</v>
      </c>
      <c r="B967" s="1">
        <v>45407</v>
      </c>
      <c r="C967" s="1">
        <v>45409</v>
      </c>
      <c r="D967">
        <v>2024</v>
      </c>
      <c r="E967" t="s">
        <v>836</v>
      </c>
      <c r="F967" t="s">
        <v>837</v>
      </c>
      <c r="G967" t="s">
        <v>78</v>
      </c>
      <c r="H967" t="s">
        <v>30</v>
      </c>
      <c r="I967" t="s">
        <v>40</v>
      </c>
      <c r="J967" t="s">
        <v>25</v>
      </c>
      <c r="K967" t="s">
        <v>26</v>
      </c>
      <c r="L967" t="s">
        <v>44</v>
      </c>
      <c r="M967">
        <v>2</v>
      </c>
      <c r="N967" s="2"/>
      <c r="O967" s="3">
        <v>2792</v>
      </c>
      <c r="P967">
        <v>1</v>
      </c>
      <c r="Q967">
        <v>4</v>
      </c>
      <c r="R967" t="s">
        <v>28</v>
      </c>
      <c r="S967">
        <v>1</v>
      </c>
    </row>
    <row r="968" spans="1:19" ht="16.5" x14ac:dyDescent="0.3">
      <c r="A968" t="s">
        <v>1021</v>
      </c>
      <c r="B968" s="1">
        <v>45407</v>
      </c>
      <c r="C968" s="1">
        <v>45412</v>
      </c>
      <c r="D968">
        <v>2024</v>
      </c>
      <c r="E968" t="s">
        <v>836</v>
      </c>
      <c r="F968" t="s">
        <v>837</v>
      </c>
      <c r="G968" t="s">
        <v>78</v>
      </c>
      <c r="H968" t="s">
        <v>35</v>
      </c>
      <c r="I968" t="s">
        <v>24</v>
      </c>
      <c r="J968" t="s">
        <v>25</v>
      </c>
      <c r="K968" t="s">
        <v>36</v>
      </c>
      <c r="L968" t="s">
        <v>44</v>
      </c>
      <c r="M968">
        <v>5</v>
      </c>
      <c r="N968" s="2">
        <v>48</v>
      </c>
      <c r="O968" s="3">
        <v>3197</v>
      </c>
      <c r="P968">
        <v>0</v>
      </c>
      <c r="Q968">
        <v>4</v>
      </c>
      <c r="R968" t="s">
        <v>33</v>
      </c>
      <c r="S968">
        <v>1</v>
      </c>
    </row>
    <row r="969" spans="1:19" ht="16.5" x14ac:dyDescent="0.3">
      <c r="A969" t="s">
        <v>1022</v>
      </c>
      <c r="B969" s="1">
        <v>45407</v>
      </c>
      <c r="C969" s="1">
        <v>45412</v>
      </c>
      <c r="D969">
        <v>2024</v>
      </c>
      <c r="E969" t="s">
        <v>836</v>
      </c>
      <c r="F969" t="s">
        <v>837</v>
      </c>
      <c r="G969" t="s">
        <v>78</v>
      </c>
      <c r="H969" t="s">
        <v>30</v>
      </c>
      <c r="I969" t="s">
        <v>40</v>
      </c>
      <c r="J969" t="s">
        <v>43</v>
      </c>
      <c r="K969" t="s">
        <v>26</v>
      </c>
      <c r="L969" t="s">
        <v>44</v>
      </c>
      <c r="M969">
        <v>5</v>
      </c>
      <c r="N969" s="2"/>
      <c r="O969" s="3">
        <v>4719</v>
      </c>
      <c r="P969">
        <v>0</v>
      </c>
      <c r="Q969">
        <v>5</v>
      </c>
      <c r="R969" t="s">
        <v>28</v>
      </c>
      <c r="S969">
        <v>1</v>
      </c>
    </row>
    <row r="970" spans="1:19" ht="16.5" x14ac:dyDescent="0.3">
      <c r="A970" t="s">
        <v>1023</v>
      </c>
      <c r="B970" s="1">
        <v>45408</v>
      </c>
      <c r="C970" s="1">
        <v>45410</v>
      </c>
      <c r="D970">
        <v>2024</v>
      </c>
      <c r="E970" t="s">
        <v>836</v>
      </c>
      <c r="F970" t="s">
        <v>837</v>
      </c>
      <c r="G970" t="s">
        <v>83</v>
      </c>
      <c r="H970" t="s">
        <v>35</v>
      </c>
      <c r="I970" t="s">
        <v>24</v>
      </c>
      <c r="J970" t="s">
        <v>25</v>
      </c>
      <c r="K970" t="s">
        <v>36</v>
      </c>
      <c r="L970" t="s">
        <v>27</v>
      </c>
      <c r="M970">
        <v>2</v>
      </c>
      <c r="N970" s="2">
        <v>23</v>
      </c>
      <c r="O970" s="3">
        <v>2404</v>
      </c>
      <c r="P970">
        <v>0</v>
      </c>
      <c r="Q970">
        <v>3</v>
      </c>
      <c r="R970" t="s">
        <v>33</v>
      </c>
      <c r="S970">
        <v>1</v>
      </c>
    </row>
    <row r="971" spans="1:19" ht="16.5" x14ac:dyDescent="0.3">
      <c r="A971" t="s">
        <v>1024</v>
      </c>
      <c r="B971" s="1">
        <v>45408</v>
      </c>
      <c r="C971" s="1">
        <v>45426</v>
      </c>
      <c r="D971">
        <v>2024</v>
      </c>
      <c r="E971" t="s">
        <v>836</v>
      </c>
      <c r="F971" t="s">
        <v>837</v>
      </c>
      <c r="G971" t="s">
        <v>83</v>
      </c>
      <c r="H971" t="s">
        <v>23</v>
      </c>
      <c r="I971" t="s">
        <v>24</v>
      </c>
      <c r="J971" t="s">
        <v>43</v>
      </c>
      <c r="K971" t="s">
        <v>26</v>
      </c>
      <c r="L971" t="s">
        <v>44</v>
      </c>
      <c r="M971">
        <v>18</v>
      </c>
      <c r="N971" s="2">
        <v>172</v>
      </c>
      <c r="O971" s="3">
        <v>12154</v>
      </c>
      <c r="P971">
        <v>1</v>
      </c>
      <c r="Q971">
        <v>2</v>
      </c>
      <c r="R971" t="s">
        <v>33</v>
      </c>
      <c r="S971">
        <v>1</v>
      </c>
    </row>
    <row r="972" spans="1:19" ht="16.5" x14ac:dyDescent="0.3">
      <c r="A972" t="s">
        <v>1025</v>
      </c>
      <c r="B972" s="1">
        <v>45408</v>
      </c>
      <c r="C972" s="1">
        <v>45413</v>
      </c>
      <c r="D972">
        <v>2024</v>
      </c>
      <c r="E972" t="s">
        <v>836</v>
      </c>
      <c r="F972" t="s">
        <v>837</v>
      </c>
      <c r="G972" t="s">
        <v>83</v>
      </c>
      <c r="H972" t="s">
        <v>39</v>
      </c>
      <c r="I972" t="s">
        <v>24</v>
      </c>
      <c r="J972" t="s">
        <v>25</v>
      </c>
      <c r="K972" t="s">
        <v>41</v>
      </c>
      <c r="L972" t="s">
        <v>27</v>
      </c>
      <c r="M972">
        <v>5</v>
      </c>
      <c r="N972" s="2">
        <v>35</v>
      </c>
      <c r="O972" s="3">
        <v>3003</v>
      </c>
      <c r="P972">
        <v>0</v>
      </c>
      <c r="Q972">
        <v>4</v>
      </c>
      <c r="R972" t="s">
        <v>33</v>
      </c>
      <c r="S972">
        <v>1</v>
      </c>
    </row>
    <row r="973" spans="1:19" ht="16.5" x14ac:dyDescent="0.3">
      <c r="A973" t="s">
        <v>1026</v>
      </c>
      <c r="B973" s="1">
        <v>45408</v>
      </c>
      <c r="C973" s="1">
        <v>45413</v>
      </c>
      <c r="D973">
        <v>2024</v>
      </c>
      <c r="E973" t="s">
        <v>836</v>
      </c>
      <c r="F973" t="s">
        <v>837</v>
      </c>
      <c r="G973" t="s">
        <v>83</v>
      </c>
      <c r="H973" t="s">
        <v>23</v>
      </c>
      <c r="I973" t="s">
        <v>24</v>
      </c>
      <c r="J973" t="s">
        <v>43</v>
      </c>
      <c r="K973" t="s">
        <v>32</v>
      </c>
      <c r="L973" t="s">
        <v>27</v>
      </c>
      <c r="M973">
        <v>5</v>
      </c>
      <c r="N973" s="2">
        <v>176</v>
      </c>
      <c r="O973" s="3">
        <v>3874</v>
      </c>
      <c r="P973">
        <v>0</v>
      </c>
      <c r="Q973">
        <v>3</v>
      </c>
      <c r="R973" t="s">
        <v>33</v>
      </c>
      <c r="S973">
        <v>1</v>
      </c>
    </row>
    <row r="974" spans="1:19" ht="16.5" x14ac:dyDescent="0.3">
      <c r="A974" t="s">
        <v>1027</v>
      </c>
      <c r="B974" s="1">
        <v>45408</v>
      </c>
      <c r="C974" s="1">
        <v>45416</v>
      </c>
      <c r="D974">
        <v>2024</v>
      </c>
      <c r="E974" t="s">
        <v>836</v>
      </c>
      <c r="F974" t="s">
        <v>837</v>
      </c>
      <c r="G974" t="s">
        <v>83</v>
      </c>
      <c r="H974" t="s">
        <v>23</v>
      </c>
      <c r="I974" t="s">
        <v>24</v>
      </c>
      <c r="J974" t="s">
        <v>43</v>
      </c>
      <c r="K974" t="s">
        <v>26</v>
      </c>
      <c r="L974" t="s">
        <v>37</v>
      </c>
      <c r="M974">
        <v>8</v>
      </c>
      <c r="N974" s="2">
        <v>62</v>
      </c>
      <c r="O974" s="3">
        <v>7148</v>
      </c>
      <c r="P974">
        <v>0</v>
      </c>
      <c r="Q974">
        <v>5</v>
      </c>
      <c r="R974" t="s">
        <v>28</v>
      </c>
      <c r="S974">
        <v>1</v>
      </c>
    </row>
    <row r="975" spans="1:19" ht="16.5" x14ac:dyDescent="0.3">
      <c r="A975" t="s">
        <v>1028</v>
      </c>
      <c r="B975" s="1">
        <v>45408</v>
      </c>
      <c r="C975" s="1">
        <v>45410</v>
      </c>
      <c r="D975">
        <v>2024</v>
      </c>
      <c r="E975" t="s">
        <v>836</v>
      </c>
      <c r="F975" t="s">
        <v>837</v>
      </c>
      <c r="G975" t="s">
        <v>83</v>
      </c>
      <c r="H975" t="s">
        <v>35</v>
      </c>
      <c r="I975" t="s">
        <v>24</v>
      </c>
      <c r="J975" t="s">
        <v>25</v>
      </c>
      <c r="K975" t="s">
        <v>32</v>
      </c>
      <c r="L975" t="s">
        <v>27</v>
      </c>
      <c r="M975">
        <v>2</v>
      </c>
      <c r="N975" s="2">
        <v>42</v>
      </c>
      <c r="O975" s="3">
        <v>2409</v>
      </c>
      <c r="P975">
        <v>0</v>
      </c>
      <c r="Q975">
        <v>5</v>
      </c>
      <c r="R975" t="s">
        <v>28</v>
      </c>
      <c r="S975">
        <v>1</v>
      </c>
    </row>
    <row r="976" spans="1:19" ht="16.5" x14ac:dyDescent="0.3">
      <c r="A976" t="s">
        <v>1029</v>
      </c>
      <c r="B976" s="1">
        <v>45408</v>
      </c>
      <c r="C976" s="1">
        <v>45418</v>
      </c>
      <c r="D976">
        <v>2024</v>
      </c>
      <c r="E976" t="s">
        <v>836</v>
      </c>
      <c r="F976" t="s">
        <v>837</v>
      </c>
      <c r="G976" t="s">
        <v>83</v>
      </c>
      <c r="H976" t="s">
        <v>23</v>
      </c>
      <c r="I976" t="s">
        <v>24</v>
      </c>
      <c r="J976" t="s">
        <v>25</v>
      </c>
      <c r="K976" t="s">
        <v>26</v>
      </c>
      <c r="L976" t="s">
        <v>44</v>
      </c>
      <c r="M976">
        <v>10</v>
      </c>
      <c r="N976" s="2">
        <v>75</v>
      </c>
      <c r="O976" s="3">
        <v>7674</v>
      </c>
      <c r="P976">
        <v>0</v>
      </c>
      <c r="Q976">
        <v>5</v>
      </c>
      <c r="R976" t="s">
        <v>33</v>
      </c>
      <c r="S976">
        <v>1</v>
      </c>
    </row>
    <row r="977" spans="1:19" ht="16.5" x14ac:dyDescent="0.3">
      <c r="A977" t="s">
        <v>1030</v>
      </c>
      <c r="B977" s="1">
        <v>45408</v>
      </c>
      <c r="C977" s="1">
        <v>45409</v>
      </c>
      <c r="D977">
        <v>2024</v>
      </c>
      <c r="E977" t="s">
        <v>836</v>
      </c>
      <c r="F977" t="s">
        <v>837</v>
      </c>
      <c r="G977" t="s">
        <v>83</v>
      </c>
      <c r="H977" t="s">
        <v>35</v>
      </c>
      <c r="I977" t="s">
        <v>31</v>
      </c>
      <c r="J977" t="s">
        <v>25</v>
      </c>
      <c r="K977" t="s">
        <v>32</v>
      </c>
      <c r="L977" t="s">
        <v>44</v>
      </c>
      <c r="M977">
        <v>1</v>
      </c>
      <c r="N977" s="2"/>
      <c r="O977" s="3">
        <v>1612</v>
      </c>
      <c r="P977">
        <v>1</v>
      </c>
      <c r="Q977">
        <v>4</v>
      </c>
      <c r="R977" t="s">
        <v>28</v>
      </c>
      <c r="S977">
        <v>1</v>
      </c>
    </row>
    <row r="978" spans="1:19" ht="16.5" x14ac:dyDescent="0.3">
      <c r="A978" t="s">
        <v>1031</v>
      </c>
      <c r="B978" s="1">
        <v>45408</v>
      </c>
      <c r="C978" s="1">
        <v>45415</v>
      </c>
      <c r="D978">
        <v>2024</v>
      </c>
      <c r="E978" t="s">
        <v>836</v>
      </c>
      <c r="F978" t="s">
        <v>837</v>
      </c>
      <c r="G978" t="s">
        <v>83</v>
      </c>
      <c r="H978" t="s">
        <v>50</v>
      </c>
      <c r="I978" t="s">
        <v>40</v>
      </c>
      <c r="J978" t="s">
        <v>43</v>
      </c>
      <c r="K978" t="s">
        <v>36</v>
      </c>
      <c r="L978" t="s">
        <v>44</v>
      </c>
      <c r="M978">
        <v>7</v>
      </c>
      <c r="N978" s="2"/>
      <c r="O978" s="3">
        <v>9518</v>
      </c>
      <c r="P978">
        <v>0</v>
      </c>
      <c r="Q978">
        <v>3</v>
      </c>
      <c r="R978" t="s">
        <v>33</v>
      </c>
      <c r="S978">
        <v>1</v>
      </c>
    </row>
    <row r="979" spans="1:19" ht="16.5" x14ac:dyDescent="0.3">
      <c r="A979" t="s">
        <v>1032</v>
      </c>
      <c r="B979" s="1">
        <v>45408</v>
      </c>
      <c r="C979" s="1">
        <v>45415</v>
      </c>
      <c r="D979">
        <v>2024</v>
      </c>
      <c r="E979" t="s">
        <v>836</v>
      </c>
      <c r="F979" t="s">
        <v>837</v>
      </c>
      <c r="G979" t="s">
        <v>83</v>
      </c>
      <c r="H979" t="s">
        <v>35</v>
      </c>
      <c r="I979" t="s">
        <v>24</v>
      </c>
      <c r="J979" t="s">
        <v>25</v>
      </c>
      <c r="K979" t="s">
        <v>32</v>
      </c>
      <c r="L979" t="s">
        <v>27</v>
      </c>
      <c r="M979">
        <v>7</v>
      </c>
      <c r="N979" s="2">
        <v>56</v>
      </c>
      <c r="O979" s="3">
        <v>5201</v>
      </c>
      <c r="P979">
        <v>1</v>
      </c>
      <c r="Q979">
        <v>3</v>
      </c>
      <c r="R979" t="s">
        <v>28</v>
      </c>
      <c r="S979">
        <v>1</v>
      </c>
    </row>
    <row r="980" spans="1:19" ht="16.5" x14ac:dyDescent="0.3">
      <c r="A980" t="s">
        <v>1033</v>
      </c>
      <c r="B980" s="1">
        <v>45409</v>
      </c>
      <c r="C980" s="1">
        <v>45417</v>
      </c>
      <c r="D980">
        <v>2024</v>
      </c>
      <c r="E980" t="s">
        <v>836</v>
      </c>
      <c r="F980" t="s">
        <v>837</v>
      </c>
      <c r="G980" t="s">
        <v>102</v>
      </c>
      <c r="H980" t="s">
        <v>30</v>
      </c>
      <c r="I980" t="s">
        <v>40</v>
      </c>
      <c r="J980" t="s">
        <v>43</v>
      </c>
      <c r="K980" t="s">
        <v>53</v>
      </c>
      <c r="L980" t="s">
        <v>44</v>
      </c>
      <c r="M980">
        <v>8</v>
      </c>
      <c r="N980" s="2"/>
      <c r="O980" s="3">
        <v>7513</v>
      </c>
      <c r="P980">
        <v>0</v>
      </c>
      <c r="Q980">
        <v>5</v>
      </c>
      <c r="R980" t="s">
        <v>28</v>
      </c>
      <c r="S980">
        <v>1</v>
      </c>
    </row>
    <row r="981" spans="1:19" ht="16.5" x14ac:dyDescent="0.3">
      <c r="A981" t="s">
        <v>1034</v>
      </c>
      <c r="B981" s="1">
        <v>45409</v>
      </c>
      <c r="C981" s="1">
        <v>45413</v>
      </c>
      <c r="D981">
        <v>2024</v>
      </c>
      <c r="E981" t="s">
        <v>836</v>
      </c>
      <c r="F981" t="s">
        <v>837</v>
      </c>
      <c r="G981" t="s">
        <v>102</v>
      </c>
      <c r="H981" t="s">
        <v>30</v>
      </c>
      <c r="I981" t="s">
        <v>40</v>
      </c>
      <c r="J981" t="s">
        <v>43</v>
      </c>
      <c r="K981" t="s">
        <v>53</v>
      </c>
      <c r="L981" t="s">
        <v>37</v>
      </c>
      <c r="M981">
        <v>4</v>
      </c>
      <c r="N981" s="2"/>
      <c r="O981" s="3">
        <v>3374</v>
      </c>
      <c r="P981">
        <v>0</v>
      </c>
      <c r="Q981">
        <v>4</v>
      </c>
      <c r="R981" t="s">
        <v>33</v>
      </c>
      <c r="S981">
        <v>1</v>
      </c>
    </row>
    <row r="982" spans="1:19" ht="16.5" x14ac:dyDescent="0.3">
      <c r="A982" t="s">
        <v>1035</v>
      </c>
      <c r="B982" s="1">
        <v>45409</v>
      </c>
      <c r="C982" s="1">
        <v>45413</v>
      </c>
      <c r="D982">
        <v>2024</v>
      </c>
      <c r="E982" t="s">
        <v>836</v>
      </c>
      <c r="F982" t="s">
        <v>837</v>
      </c>
      <c r="G982" t="s">
        <v>102</v>
      </c>
      <c r="H982" t="s">
        <v>23</v>
      </c>
      <c r="I982" t="s">
        <v>40</v>
      </c>
      <c r="J982" t="s">
        <v>25</v>
      </c>
      <c r="K982" t="s">
        <v>53</v>
      </c>
      <c r="L982" t="s">
        <v>44</v>
      </c>
      <c r="M982">
        <v>4</v>
      </c>
      <c r="N982" s="2"/>
      <c r="O982" s="3">
        <v>3195</v>
      </c>
      <c r="P982">
        <v>0</v>
      </c>
      <c r="Q982">
        <v>5</v>
      </c>
      <c r="R982" t="s">
        <v>33</v>
      </c>
      <c r="S982">
        <v>1</v>
      </c>
    </row>
    <row r="983" spans="1:19" ht="16.5" x14ac:dyDescent="0.3">
      <c r="A983" t="s">
        <v>1036</v>
      </c>
      <c r="B983" s="1">
        <v>45409</v>
      </c>
      <c r="C983" s="1">
        <v>45411</v>
      </c>
      <c r="D983">
        <v>2024</v>
      </c>
      <c r="E983" t="s">
        <v>836</v>
      </c>
      <c r="F983" t="s">
        <v>837</v>
      </c>
      <c r="G983" t="s">
        <v>102</v>
      </c>
      <c r="H983" t="s">
        <v>39</v>
      </c>
      <c r="I983" t="s">
        <v>24</v>
      </c>
      <c r="J983" t="s">
        <v>25</v>
      </c>
      <c r="K983" t="s">
        <v>41</v>
      </c>
      <c r="L983" t="s">
        <v>44</v>
      </c>
      <c r="M983">
        <v>2</v>
      </c>
      <c r="N983" s="2">
        <v>63</v>
      </c>
      <c r="O983" s="3">
        <v>1752</v>
      </c>
      <c r="P983">
        <v>0</v>
      </c>
      <c r="Q983">
        <v>4</v>
      </c>
      <c r="R983" t="s">
        <v>59</v>
      </c>
      <c r="S983">
        <v>1</v>
      </c>
    </row>
    <row r="984" spans="1:19" ht="16.5" x14ac:dyDescent="0.3">
      <c r="A984" t="s">
        <v>1037</v>
      </c>
      <c r="B984" s="1">
        <v>45409</v>
      </c>
      <c r="C984" s="1">
        <v>45415</v>
      </c>
      <c r="D984">
        <v>2024</v>
      </c>
      <c r="E984" t="s">
        <v>836</v>
      </c>
      <c r="F984" t="s">
        <v>837</v>
      </c>
      <c r="G984" t="s">
        <v>102</v>
      </c>
      <c r="H984" t="s">
        <v>50</v>
      </c>
      <c r="I984" t="s">
        <v>24</v>
      </c>
      <c r="J984" t="s">
        <v>25</v>
      </c>
      <c r="K984" t="s">
        <v>53</v>
      </c>
      <c r="L984" t="s">
        <v>27</v>
      </c>
      <c r="M984">
        <v>6</v>
      </c>
      <c r="N984" s="2">
        <v>17</v>
      </c>
      <c r="O984" s="3">
        <v>9503</v>
      </c>
      <c r="P984">
        <v>0</v>
      </c>
      <c r="Q984">
        <v>4</v>
      </c>
      <c r="R984" t="s">
        <v>28</v>
      </c>
      <c r="S984">
        <v>1</v>
      </c>
    </row>
    <row r="985" spans="1:19" ht="16.5" x14ac:dyDescent="0.3">
      <c r="A985" t="s">
        <v>1038</v>
      </c>
      <c r="B985" s="1">
        <v>45410</v>
      </c>
      <c r="C985" s="1">
        <v>45415</v>
      </c>
      <c r="D985">
        <v>2024</v>
      </c>
      <c r="E985" t="s">
        <v>836</v>
      </c>
      <c r="F985" t="s">
        <v>837</v>
      </c>
      <c r="G985" t="s">
        <v>112</v>
      </c>
      <c r="H985" t="s">
        <v>35</v>
      </c>
      <c r="I985" t="s">
        <v>24</v>
      </c>
      <c r="J985" t="s">
        <v>25</v>
      </c>
      <c r="K985" t="s">
        <v>36</v>
      </c>
      <c r="L985" t="s">
        <v>44</v>
      </c>
      <c r="M985">
        <v>5</v>
      </c>
      <c r="N985" s="2">
        <v>40</v>
      </c>
      <c r="O985" s="3">
        <v>3933</v>
      </c>
      <c r="P985">
        <v>0</v>
      </c>
      <c r="Q985">
        <v>5</v>
      </c>
      <c r="R985" t="s">
        <v>33</v>
      </c>
      <c r="S985">
        <v>1</v>
      </c>
    </row>
    <row r="986" spans="1:19" ht="16.5" x14ac:dyDescent="0.3">
      <c r="A986" t="s">
        <v>1039</v>
      </c>
      <c r="B986" s="1">
        <v>45410</v>
      </c>
      <c r="C986" s="1">
        <v>45417</v>
      </c>
      <c r="D986">
        <v>2024</v>
      </c>
      <c r="E986" t="s">
        <v>836</v>
      </c>
      <c r="F986" t="s">
        <v>837</v>
      </c>
      <c r="G986" t="s">
        <v>112</v>
      </c>
      <c r="H986" t="s">
        <v>52</v>
      </c>
      <c r="I986" t="s">
        <v>40</v>
      </c>
      <c r="J986" t="s">
        <v>25</v>
      </c>
      <c r="K986" t="s">
        <v>26</v>
      </c>
      <c r="L986" t="s">
        <v>37</v>
      </c>
      <c r="M986">
        <v>7</v>
      </c>
      <c r="N986" s="2"/>
      <c r="O986" s="3">
        <v>8466</v>
      </c>
      <c r="P986">
        <v>0</v>
      </c>
      <c r="Q986">
        <v>4</v>
      </c>
      <c r="R986" t="s">
        <v>28</v>
      </c>
      <c r="S986">
        <v>1</v>
      </c>
    </row>
    <row r="987" spans="1:19" ht="16.5" x14ac:dyDescent="0.3">
      <c r="A987" t="s">
        <v>1040</v>
      </c>
      <c r="B987" s="1">
        <v>45410</v>
      </c>
      <c r="C987" s="1">
        <v>45412</v>
      </c>
      <c r="D987">
        <v>2024</v>
      </c>
      <c r="E987" t="s">
        <v>836</v>
      </c>
      <c r="F987" t="s">
        <v>837</v>
      </c>
      <c r="G987" t="s">
        <v>112</v>
      </c>
      <c r="H987" t="s">
        <v>30</v>
      </c>
      <c r="I987" t="s">
        <v>40</v>
      </c>
      <c r="J987" t="s">
        <v>43</v>
      </c>
      <c r="K987" t="s">
        <v>36</v>
      </c>
      <c r="L987" t="s">
        <v>44</v>
      </c>
      <c r="M987">
        <v>2</v>
      </c>
      <c r="N987" s="2"/>
      <c r="O987" s="3">
        <v>3351</v>
      </c>
      <c r="P987">
        <v>0</v>
      </c>
      <c r="Q987">
        <v>5</v>
      </c>
      <c r="R987" t="s">
        <v>28</v>
      </c>
      <c r="S987">
        <v>1</v>
      </c>
    </row>
    <row r="988" spans="1:19" ht="16.5" x14ac:dyDescent="0.3">
      <c r="A988" t="s">
        <v>1041</v>
      </c>
      <c r="B988" s="1">
        <v>45410</v>
      </c>
      <c r="C988" s="1">
        <v>45417</v>
      </c>
      <c r="D988">
        <v>2024</v>
      </c>
      <c r="E988" t="s">
        <v>836</v>
      </c>
      <c r="F988" t="s">
        <v>837</v>
      </c>
      <c r="G988" t="s">
        <v>112</v>
      </c>
      <c r="H988" t="s">
        <v>30</v>
      </c>
      <c r="I988" t="s">
        <v>40</v>
      </c>
      <c r="J988" t="s">
        <v>25</v>
      </c>
      <c r="K988" t="s">
        <v>32</v>
      </c>
      <c r="L988" t="s">
        <v>44</v>
      </c>
      <c r="M988">
        <v>7</v>
      </c>
      <c r="N988" s="2"/>
      <c r="O988" s="3">
        <v>8681</v>
      </c>
      <c r="P988">
        <v>0</v>
      </c>
      <c r="Q988">
        <v>5</v>
      </c>
      <c r="R988" t="s">
        <v>33</v>
      </c>
      <c r="S988">
        <v>1</v>
      </c>
    </row>
    <row r="989" spans="1:19" ht="16.5" x14ac:dyDescent="0.3">
      <c r="A989" t="s">
        <v>1042</v>
      </c>
      <c r="B989" s="1">
        <v>45410</v>
      </c>
      <c r="C989" s="1">
        <v>45415</v>
      </c>
      <c r="D989">
        <v>2024</v>
      </c>
      <c r="E989" t="s">
        <v>836</v>
      </c>
      <c r="F989" t="s">
        <v>837</v>
      </c>
      <c r="G989" t="s">
        <v>112</v>
      </c>
      <c r="H989" t="s">
        <v>39</v>
      </c>
      <c r="I989" t="s">
        <v>24</v>
      </c>
      <c r="J989" t="s">
        <v>25</v>
      </c>
      <c r="K989" t="s">
        <v>41</v>
      </c>
      <c r="L989" t="s">
        <v>44</v>
      </c>
      <c r="M989">
        <v>5</v>
      </c>
      <c r="N989" s="2">
        <v>65</v>
      </c>
      <c r="O989" s="3">
        <v>2649</v>
      </c>
      <c r="P989">
        <v>0</v>
      </c>
      <c r="Q989">
        <v>4</v>
      </c>
      <c r="R989" t="s">
        <v>28</v>
      </c>
      <c r="S989">
        <v>1</v>
      </c>
    </row>
    <row r="990" spans="1:19" ht="16.5" x14ac:dyDescent="0.3">
      <c r="A990" t="s">
        <v>1043</v>
      </c>
      <c r="B990" s="1">
        <v>45410</v>
      </c>
      <c r="C990" s="1">
        <v>45412</v>
      </c>
      <c r="D990">
        <v>2024</v>
      </c>
      <c r="E990" t="s">
        <v>836</v>
      </c>
      <c r="F990" t="s">
        <v>837</v>
      </c>
      <c r="G990" t="s">
        <v>112</v>
      </c>
      <c r="H990" t="s">
        <v>35</v>
      </c>
      <c r="I990" t="s">
        <v>24</v>
      </c>
      <c r="J990" t="s">
        <v>25</v>
      </c>
      <c r="K990" t="s">
        <v>36</v>
      </c>
      <c r="L990" t="s">
        <v>44</v>
      </c>
      <c r="M990">
        <v>2</v>
      </c>
      <c r="N990" s="2">
        <v>63</v>
      </c>
      <c r="O990" s="3">
        <v>2061</v>
      </c>
      <c r="P990">
        <v>0</v>
      </c>
      <c r="Q990">
        <v>4</v>
      </c>
      <c r="R990" t="s">
        <v>33</v>
      </c>
      <c r="S990">
        <v>1</v>
      </c>
    </row>
    <row r="991" spans="1:19" ht="16.5" x14ac:dyDescent="0.3">
      <c r="A991" t="s">
        <v>1044</v>
      </c>
      <c r="B991" s="1">
        <v>45410</v>
      </c>
      <c r="C991" s="1">
        <v>45413</v>
      </c>
      <c r="D991">
        <v>2024</v>
      </c>
      <c r="E991" t="s">
        <v>836</v>
      </c>
      <c r="F991" t="s">
        <v>837</v>
      </c>
      <c r="G991" t="s">
        <v>112</v>
      </c>
      <c r="H991" t="s">
        <v>23</v>
      </c>
      <c r="I991" t="s">
        <v>24</v>
      </c>
      <c r="J991" t="s">
        <v>43</v>
      </c>
      <c r="K991" t="s">
        <v>26</v>
      </c>
      <c r="L991" t="s">
        <v>37</v>
      </c>
      <c r="M991">
        <v>3</v>
      </c>
      <c r="N991" s="2">
        <v>26</v>
      </c>
      <c r="O991" s="3">
        <v>2718</v>
      </c>
      <c r="P991">
        <v>0</v>
      </c>
      <c r="Q991">
        <v>4</v>
      </c>
      <c r="R991" t="s">
        <v>33</v>
      </c>
      <c r="S991">
        <v>1</v>
      </c>
    </row>
    <row r="992" spans="1:19" ht="16.5" x14ac:dyDescent="0.3">
      <c r="A992" t="s">
        <v>1045</v>
      </c>
      <c r="B992" s="1">
        <v>45411</v>
      </c>
      <c r="C992" s="1">
        <v>45415</v>
      </c>
      <c r="D992">
        <v>2024</v>
      </c>
      <c r="E992" t="s">
        <v>836</v>
      </c>
      <c r="F992" t="s">
        <v>837</v>
      </c>
      <c r="G992" t="s">
        <v>22</v>
      </c>
      <c r="H992" t="s">
        <v>23</v>
      </c>
      <c r="I992" t="s">
        <v>24</v>
      </c>
      <c r="J992" t="s">
        <v>43</v>
      </c>
      <c r="K992" t="s">
        <v>53</v>
      </c>
      <c r="L992" t="s">
        <v>44</v>
      </c>
      <c r="M992">
        <v>4</v>
      </c>
      <c r="N992" s="2">
        <v>41</v>
      </c>
      <c r="O992" s="3">
        <v>4014</v>
      </c>
      <c r="P992">
        <v>1</v>
      </c>
      <c r="Q992">
        <v>4</v>
      </c>
      <c r="R992" t="s">
        <v>28</v>
      </c>
      <c r="S992">
        <v>1</v>
      </c>
    </row>
    <row r="993" spans="1:19" ht="16.5" x14ac:dyDescent="0.3">
      <c r="A993" t="s">
        <v>1046</v>
      </c>
      <c r="B993" s="1">
        <v>45411</v>
      </c>
      <c r="C993" s="1">
        <v>45415</v>
      </c>
      <c r="D993">
        <v>2024</v>
      </c>
      <c r="E993" t="s">
        <v>836</v>
      </c>
      <c r="F993" t="s">
        <v>837</v>
      </c>
      <c r="G993" t="s">
        <v>22</v>
      </c>
      <c r="H993" t="s">
        <v>30</v>
      </c>
      <c r="I993" t="s">
        <v>40</v>
      </c>
      <c r="J993" t="s">
        <v>25</v>
      </c>
      <c r="K993" t="s">
        <v>32</v>
      </c>
      <c r="L993" t="s">
        <v>44</v>
      </c>
      <c r="M993">
        <v>4</v>
      </c>
      <c r="N993" s="2"/>
      <c r="O993" s="3">
        <v>4316</v>
      </c>
      <c r="P993">
        <v>0</v>
      </c>
      <c r="Q993">
        <v>4</v>
      </c>
      <c r="R993" t="s">
        <v>33</v>
      </c>
      <c r="S993">
        <v>1</v>
      </c>
    </row>
    <row r="994" spans="1:19" ht="16.5" x14ac:dyDescent="0.3">
      <c r="A994" t="s">
        <v>1047</v>
      </c>
      <c r="B994" s="1">
        <v>45411</v>
      </c>
      <c r="C994" s="1">
        <v>45415</v>
      </c>
      <c r="D994">
        <v>2024</v>
      </c>
      <c r="E994" t="s">
        <v>836</v>
      </c>
      <c r="F994" t="s">
        <v>837</v>
      </c>
      <c r="G994" t="s">
        <v>22</v>
      </c>
      <c r="H994" t="s">
        <v>52</v>
      </c>
      <c r="I994" t="s">
        <v>40</v>
      </c>
      <c r="J994" t="s">
        <v>43</v>
      </c>
      <c r="K994" t="s">
        <v>53</v>
      </c>
      <c r="L994" t="s">
        <v>44</v>
      </c>
      <c r="M994">
        <v>4</v>
      </c>
      <c r="N994" s="2"/>
      <c r="O994" s="3">
        <v>4135</v>
      </c>
      <c r="P994">
        <v>0</v>
      </c>
      <c r="Q994">
        <v>5</v>
      </c>
      <c r="R994" t="s">
        <v>33</v>
      </c>
      <c r="S994">
        <v>1</v>
      </c>
    </row>
    <row r="995" spans="1:19" ht="16.5" x14ac:dyDescent="0.3">
      <c r="A995" t="s">
        <v>1048</v>
      </c>
      <c r="B995" s="1">
        <v>45411</v>
      </c>
      <c r="C995" s="1">
        <v>45419</v>
      </c>
      <c r="D995">
        <v>2024</v>
      </c>
      <c r="E995" t="s">
        <v>836</v>
      </c>
      <c r="F995" t="s">
        <v>837</v>
      </c>
      <c r="G995" t="s">
        <v>22</v>
      </c>
      <c r="H995" t="s">
        <v>23</v>
      </c>
      <c r="I995" t="s">
        <v>24</v>
      </c>
      <c r="J995" t="s">
        <v>43</v>
      </c>
      <c r="K995" t="s">
        <v>32</v>
      </c>
      <c r="L995" t="s">
        <v>27</v>
      </c>
      <c r="M995">
        <v>8</v>
      </c>
      <c r="N995" s="2">
        <v>28</v>
      </c>
      <c r="O995" s="3">
        <v>6917</v>
      </c>
      <c r="P995">
        <v>0</v>
      </c>
      <c r="Q995">
        <v>3</v>
      </c>
      <c r="R995" t="s">
        <v>33</v>
      </c>
      <c r="S995">
        <v>1</v>
      </c>
    </row>
    <row r="996" spans="1:19" ht="16.5" x14ac:dyDescent="0.3">
      <c r="A996" t="s">
        <v>1049</v>
      </c>
      <c r="B996" s="1">
        <v>45411</v>
      </c>
      <c r="C996" s="1">
        <v>45413</v>
      </c>
      <c r="D996">
        <v>2024</v>
      </c>
      <c r="E996" t="s">
        <v>836</v>
      </c>
      <c r="F996" t="s">
        <v>837</v>
      </c>
      <c r="G996" t="s">
        <v>22</v>
      </c>
      <c r="H996" t="s">
        <v>52</v>
      </c>
      <c r="I996" t="s">
        <v>40</v>
      </c>
      <c r="J996" t="s">
        <v>25</v>
      </c>
      <c r="K996" t="s">
        <v>36</v>
      </c>
      <c r="L996" t="s">
        <v>27</v>
      </c>
      <c r="M996">
        <v>2</v>
      </c>
      <c r="N996" s="2"/>
      <c r="O996" s="3">
        <v>2302</v>
      </c>
      <c r="P996">
        <v>0</v>
      </c>
      <c r="Q996">
        <v>5</v>
      </c>
      <c r="R996" t="s">
        <v>33</v>
      </c>
      <c r="S996">
        <v>1</v>
      </c>
    </row>
    <row r="997" spans="1:19" ht="16.5" x14ac:dyDescent="0.3">
      <c r="A997" t="s">
        <v>1050</v>
      </c>
      <c r="B997" s="1">
        <v>45411</v>
      </c>
      <c r="C997" s="1">
        <v>45413</v>
      </c>
      <c r="D997">
        <v>2024</v>
      </c>
      <c r="E997" t="s">
        <v>836</v>
      </c>
      <c r="F997" t="s">
        <v>837</v>
      </c>
      <c r="G997" t="s">
        <v>22</v>
      </c>
      <c r="H997" t="s">
        <v>39</v>
      </c>
      <c r="I997" t="s">
        <v>40</v>
      </c>
      <c r="J997" t="s">
        <v>43</v>
      </c>
      <c r="K997" t="s">
        <v>41</v>
      </c>
      <c r="L997" t="s">
        <v>27</v>
      </c>
      <c r="M997">
        <v>2</v>
      </c>
      <c r="N997" s="2"/>
      <c r="O997" s="3">
        <v>2249</v>
      </c>
      <c r="P997">
        <v>0</v>
      </c>
      <c r="Q997">
        <v>4</v>
      </c>
      <c r="R997" t="s">
        <v>28</v>
      </c>
      <c r="S997">
        <v>1</v>
      </c>
    </row>
    <row r="998" spans="1:19" ht="16.5" x14ac:dyDescent="0.3">
      <c r="A998" t="s">
        <v>1051</v>
      </c>
      <c r="B998" s="1">
        <v>45411</v>
      </c>
      <c r="C998" s="1">
        <v>45414</v>
      </c>
      <c r="D998">
        <v>2024</v>
      </c>
      <c r="E998" t="s">
        <v>836</v>
      </c>
      <c r="F998" t="s">
        <v>837</v>
      </c>
      <c r="G998" t="s">
        <v>22</v>
      </c>
      <c r="H998" t="s">
        <v>39</v>
      </c>
      <c r="I998" t="s">
        <v>31</v>
      </c>
      <c r="J998" t="s">
        <v>43</v>
      </c>
      <c r="K998" t="s">
        <v>41</v>
      </c>
      <c r="L998" t="s">
        <v>44</v>
      </c>
      <c r="M998">
        <v>3</v>
      </c>
      <c r="N998" s="2"/>
      <c r="O998" s="3">
        <v>2089</v>
      </c>
      <c r="P998">
        <v>0</v>
      </c>
      <c r="Q998">
        <v>5</v>
      </c>
      <c r="R998" t="s">
        <v>33</v>
      </c>
      <c r="S998">
        <v>1</v>
      </c>
    </row>
    <row r="999" spans="1:19" ht="16.5" x14ac:dyDescent="0.3">
      <c r="A999" t="s">
        <v>1052</v>
      </c>
      <c r="B999" s="1">
        <v>45411</v>
      </c>
      <c r="C999" s="1">
        <v>45415</v>
      </c>
      <c r="D999">
        <v>2024</v>
      </c>
      <c r="E999" t="s">
        <v>836</v>
      </c>
      <c r="F999" t="s">
        <v>837</v>
      </c>
      <c r="G999" t="s">
        <v>22</v>
      </c>
      <c r="H999" t="s">
        <v>30</v>
      </c>
      <c r="I999" t="s">
        <v>40</v>
      </c>
      <c r="J999" t="s">
        <v>25</v>
      </c>
      <c r="K999" t="s">
        <v>53</v>
      </c>
      <c r="L999" t="s">
        <v>27</v>
      </c>
      <c r="M999">
        <v>4</v>
      </c>
      <c r="N999" s="2"/>
      <c r="O999" s="3">
        <v>4985</v>
      </c>
      <c r="P999">
        <v>0</v>
      </c>
      <c r="Q999">
        <v>4</v>
      </c>
      <c r="R999" t="s">
        <v>59</v>
      </c>
      <c r="S999">
        <v>1</v>
      </c>
    </row>
    <row r="1000" spans="1:19" ht="16.5" x14ac:dyDescent="0.3">
      <c r="A1000" t="s">
        <v>1053</v>
      </c>
      <c r="B1000" s="1">
        <v>45412</v>
      </c>
      <c r="C1000" s="1">
        <v>45416</v>
      </c>
      <c r="D1000">
        <v>2024</v>
      </c>
      <c r="E1000" t="s">
        <v>836</v>
      </c>
      <c r="F1000" t="s">
        <v>837</v>
      </c>
      <c r="G1000" t="s">
        <v>56</v>
      </c>
      <c r="H1000" t="s">
        <v>30</v>
      </c>
      <c r="I1000" t="s">
        <v>24</v>
      </c>
      <c r="J1000" t="s">
        <v>43</v>
      </c>
      <c r="K1000" t="s">
        <v>26</v>
      </c>
      <c r="L1000" t="s">
        <v>27</v>
      </c>
      <c r="M1000">
        <v>4</v>
      </c>
      <c r="N1000" s="2">
        <v>39</v>
      </c>
      <c r="O1000" s="3">
        <v>6208</v>
      </c>
      <c r="P1000">
        <v>0</v>
      </c>
      <c r="Q1000">
        <v>4</v>
      </c>
      <c r="R1000" t="s">
        <v>28</v>
      </c>
      <c r="S1000">
        <v>1</v>
      </c>
    </row>
    <row r="1001" spans="1:19" ht="16.5" x14ac:dyDescent="0.3">
      <c r="A1001" t="s">
        <v>1054</v>
      </c>
      <c r="B1001" s="1">
        <v>45412</v>
      </c>
      <c r="C1001" s="1">
        <v>45415</v>
      </c>
      <c r="D1001">
        <v>2024</v>
      </c>
      <c r="E1001" t="s">
        <v>836</v>
      </c>
      <c r="F1001" t="s">
        <v>837</v>
      </c>
      <c r="G1001" t="s">
        <v>56</v>
      </c>
      <c r="H1001" t="s">
        <v>35</v>
      </c>
      <c r="I1001" t="s">
        <v>24</v>
      </c>
      <c r="J1001" t="s">
        <v>25</v>
      </c>
      <c r="K1001" t="s">
        <v>32</v>
      </c>
      <c r="L1001" t="s">
        <v>27</v>
      </c>
      <c r="M1001">
        <v>3</v>
      </c>
      <c r="N1001" s="2">
        <v>60</v>
      </c>
      <c r="O1001" s="3">
        <v>2996</v>
      </c>
      <c r="P1001">
        <v>0</v>
      </c>
      <c r="Q1001">
        <v>4</v>
      </c>
      <c r="R1001" t="s">
        <v>28</v>
      </c>
      <c r="S1001">
        <v>1</v>
      </c>
    </row>
    <row r="1002" spans="1:19" ht="16.5" x14ac:dyDescent="0.3">
      <c r="A1002" t="s">
        <v>1055</v>
      </c>
      <c r="B1002" s="1">
        <v>45412</v>
      </c>
      <c r="C1002" s="1">
        <v>45420</v>
      </c>
      <c r="D1002">
        <v>2024</v>
      </c>
      <c r="E1002" t="s">
        <v>836</v>
      </c>
      <c r="F1002" t="s">
        <v>837</v>
      </c>
      <c r="G1002" t="s">
        <v>56</v>
      </c>
      <c r="H1002" t="s">
        <v>30</v>
      </c>
      <c r="I1002" t="s">
        <v>40</v>
      </c>
      <c r="J1002" t="s">
        <v>43</v>
      </c>
      <c r="K1002" t="s">
        <v>26</v>
      </c>
      <c r="L1002" t="s">
        <v>44</v>
      </c>
      <c r="M1002">
        <v>8</v>
      </c>
      <c r="N1002" s="2"/>
      <c r="O1002" s="3">
        <v>9657</v>
      </c>
      <c r="P1002">
        <v>0</v>
      </c>
      <c r="Q1002">
        <v>3</v>
      </c>
      <c r="R1002" t="s">
        <v>28</v>
      </c>
      <c r="S1002">
        <v>1</v>
      </c>
    </row>
    <row r="1003" spans="1:19" ht="16.5" x14ac:dyDescent="0.3">
      <c r="A1003" t="s">
        <v>1056</v>
      </c>
      <c r="B1003" s="1">
        <v>45412</v>
      </c>
      <c r="C1003" s="1">
        <v>45419</v>
      </c>
      <c r="D1003">
        <v>2024</v>
      </c>
      <c r="E1003" t="s">
        <v>836</v>
      </c>
      <c r="F1003" t="s">
        <v>837</v>
      </c>
      <c r="G1003" t="s">
        <v>56</v>
      </c>
      <c r="H1003" t="s">
        <v>30</v>
      </c>
      <c r="I1003" t="s">
        <v>24</v>
      </c>
      <c r="J1003" t="s">
        <v>43</v>
      </c>
      <c r="K1003" t="s">
        <v>32</v>
      </c>
      <c r="L1003" t="s">
        <v>27</v>
      </c>
      <c r="M1003">
        <v>7</v>
      </c>
      <c r="N1003" s="2">
        <v>102</v>
      </c>
      <c r="O1003" s="3">
        <v>7969</v>
      </c>
      <c r="P1003">
        <v>0</v>
      </c>
      <c r="Q1003">
        <v>3</v>
      </c>
      <c r="R1003" t="s">
        <v>28</v>
      </c>
      <c r="S1003">
        <v>1</v>
      </c>
    </row>
    <row r="1004" spans="1:19" ht="16.5" x14ac:dyDescent="0.3">
      <c r="A1004" t="s">
        <v>1057</v>
      </c>
      <c r="B1004" s="1">
        <v>45412</v>
      </c>
      <c r="C1004" s="1">
        <v>45414</v>
      </c>
      <c r="D1004">
        <v>2024</v>
      </c>
      <c r="E1004" t="s">
        <v>836</v>
      </c>
      <c r="F1004" t="s">
        <v>837</v>
      </c>
      <c r="G1004" t="s">
        <v>56</v>
      </c>
      <c r="H1004" t="s">
        <v>50</v>
      </c>
      <c r="I1004" t="s">
        <v>40</v>
      </c>
      <c r="J1004" t="s">
        <v>43</v>
      </c>
      <c r="K1004" t="s">
        <v>32</v>
      </c>
      <c r="L1004" t="s">
        <v>44</v>
      </c>
      <c r="M1004">
        <v>2</v>
      </c>
      <c r="N1004" s="2"/>
      <c r="O1004" s="3">
        <v>2966</v>
      </c>
      <c r="P1004">
        <v>0</v>
      </c>
      <c r="Q1004">
        <v>5</v>
      </c>
      <c r="R1004" t="s">
        <v>33</v>
      </c>
      <c r="S1004">
        <v>1</v>
      </c>
    </row>
    <row r="1005" spans="1:19" ht="16.5" x14ac:dyDescent="0.3">
      <c r="A1005" t="s">
        <v>1058</v>
      </c>
      <c r="B1005" s="1">
        <v>45412</v>
      </c>
      <c r="C1005" s="1">
        <v>45423</v>
      </c>
      <c r="D1005">
        <v>2024</v>
      </c>
      <c r="E1005" t="s">
        <v>836</v>
      </c>
      <c r="F1005" t="s">
        <v>837</v>
      </c>
      <c r="G1005" t="s">
        <v>56</v>
      </c>
      <c r="H1005" t="s">
        <v>30</v>
      </c>
      <c r="I1005" t="s">
        <v>40</v>
      </c>
      <c r="J1005" t="s">
        <v>25</v>
      </c>
      <c r="K1005" t="s">
        <v>26</v>
      </c>
      <c r="L1005" t="s">
        <v>44</v>
      </c>
      <c r="M1005">
        <v>11</v>
      </c>
      <c r="N1005" s="2"/>
      <c r="O1005" s="3">
        <v>14385</v>
      </c>
      <c r="P1005">
        <v>0</v>
      </c>
      <c r="Q1005">
        <v>5</v>
      </c>
      <c r="R1005" t="s">
        <v>33</v>
      </c>
      <c r="S1005">
        <v>1</v>
      </c>
    </row>
    <row r="1006" spans="1:19" ht="16.5" x14ac:dyDescent="0.3">
      <c r="A1006" t="s">
        <v>1059</v>
      </c>
      <c r="B1006" s="1">
        <v>45412</v>
      </c>
      <c r="C1006" s="1">
        <v>45413</v>
      </c>
      <c r="D1006">
        <v>2024</v>
      </c>
      <c r="E1006" t="s">
        <v>836</v>
      </c>
      <c r="F1006" t="s">
        <v>837</v>
      </c>
      <c r="G1006" t="s">
        <v>56</v>
      </c>
      <c r="H1006" t="s">
        <v>39</v>
      </c>
      <c r="I1006" t="s">
        <v>24</v>
      </c>
      <c r="J1006" t="s">
        <v>43</v>
      </c>
      <c r="K1006" t="s">
        <v>41</v>
      </c>
      <c r="L1006" t="s">
        <v>27</v>
      </c>
      <c r="M1006">
        <v>1</v>
      </c>
      <c r="N1006" s="2">
        <v>83</v>
      </c>
      <c r="O1006" s="3">
        <v>1461</v>
      </c>
      <c r="P1006">
        <v>0</v>
      </c>
      <c r="Q1006">
        <v>5</v>
      </c>
      <c r="R1006" t="s">
        <v>33</v>
      </c>
      <c r="S1006">
        <v>1</v>
      </c>
    </row>
    <row r="1007" spans="1:19" ht="16.5" x14ac:dyDescent="0.3">
      <c r="A1007" t="s">
        <v>1060</v>
      </c>
      <c r="B1007" s="1">
        <v>45412</v>
      </c>
      <c r="C1007" s="1">
        <v>45413</v>
      </c>
      <c r="D1007">
        <v>2024</v>
      </c>
      <c r="E1007" t="s">
        <v>836</v>
      </c>
      <c r="F1007" t="s">
        <v>837</v>
      </c>
      <c r="G1007" t="s">
        <v>56</v>
      </c>
      <c r="H1007" t="s">
        <v>39</v>
      </c>
      <c r="I1007" t="s">
        <v>24</v>
      </c>
      <c r="J1007" t="s">
        <v>43</v>
      </c>
      <c r="K1007" t="s">
        <v>41</v>
      </c>
      <c r="L1007" t="s">
        <v>44</v>
      </c>
      <c r="M1007">
        <v>1</v>
      </c>
      <c r="N1007" s="2">
        <v>54</v>
      </c>
      <c r="O1007" s="3">
        <v>1323</v>
      </c>
      <c r="P1007">
        <v>0</v>
      </c>
      <c r="Q1007">
        <v>4</v>
      </c>
      <c r="R1007" t="s">
        <v>33</v>
      </c>
      <c r="S1007">
        <v>1</v>
      </c>
    </row>
    <row r="1008" spans="1:19" ht="16.5" x14ac:dyDescent="0.3">
      <c r="A1008" t="s">
        <v>1061</v>
      </c>
      <c r="B1008" s="1">
        <v>45413</v>
      </c>
      <c r="C1008" s="1">
        <v>45419</v>
      </c>
      <c r="D1008">
        <v>2024</v>
      </c>
      <c r="E1008" t="s">
        <v>836</v>
      </c>
      <c r="F1008" t="s">
        <v>1062</v>
      </c>
      <c r="G1008" t="s">
        <v>70</v>
      </c>
      <c r="H1008" t="s">
        <v>35</v>
      </c>
      <c r="I1008" t="s">
        <v>24</v>
      </c>
      <c r="J1008" t="s">
        <v>25</v>
      </c>
      <c r="K1008" t="s">
        <v>36</v>
      </c>
      <c r="L1008" t="s">
        <v>27</v>
      </c>
      <c r="M1008">
        <v>6</v>
      </c>
      <c r="N1008" s="2">
        <v>64</v>
      </c>
      <c r="O1008" s="3">
        <v>5077</v>
      </c>
      <c r="P1008">
        <v>0</v>
      </c>
      <c r="Q1008">
        <v>4</v>
      </c>
      <c r="R1008" t="s">
        <v>28</v>
      </c>
      <c r="S1008">
        <v>1</v>
      </c>
    </row>
    <row r="1009" spans="1:19" ht="16.5" x14ac:dyDescent="0.3">
      <c r="A1009" t="s">
        <v>1063</v>
      </c>
      <c r="B1009" s="1">
        <v>45413</v>
      </c>
      <c r="C1009" s="1">
        <v>45419</v>
      </c>
      <c r="D1009">
        <v>2024</v>
      </c>
      <c r="E1009" t="s">
        <v>836</v>
      </c>
      <c r="F1009" t="s">
        <v>1062</v>
      </c>
      <c r="G1009" t="s">
        <v>70</v>
      </c>
      <c r="H1009" t="s">
        <v>30</v>
      </c>
      <c r="I1009" t="s">
        <v>40</v>
      </c>
      <c r="J1009" t="s">
        <v>43</v>
      </c>
      <c r="K1009" t="s">
        <v>32</v>
      </c>
      <c r="L1009" t="s">
        <v>27</v>
      </c>
      <c r="M1009">
        <v>6</v>
      </c>
      <c r="N1009" s="2"/>
      <c r="O1009" s="3">
        <v>5996</v>
      </c>
      <c r="P1009">
        <v>0</v>
      </c>
      <c r="Q1009">
        <v>4</v>
      </c>
      <c r="R1009" t="s">
        <v>59</v>
      </c>
      <c r="S1009">
        <v>1</v>
      </c>
    </row>
    <row r="1010" spans="1:19" ht="16.5" x14ac:dyDescent="0.3">
      <c r="A1010" t="s">
        <v>1064</v>
      </c>
      <c r="B1010" s="1">
        <v>45413</v>
      </c>
      <c r="C1010" s="1">
        <v>45420</v>
      </c>
      <c r="D1010">
        <v>2024</v>
      </c>
      <c r="E1010" t="s">
        <v>836</v>
      </c>
      <c r="F1010" t="s">
        <v>1062</v>
      </c>
      <c r="G1010" t="s">
        <v>70</v>
      </c>
      <c r="H1010" t="s">
        <v>50</v>
      </c>
      <c r="I1010" t="s">
        <v>24</v>
      </c>
      <c r="J1010" t="s">
        <v>25</v>
      </c>
      <c r="K1010" t="s">
        <v>26</v>
      </c>
      <c r="L1010" t="s">
        <v>27</v>
      </c>
      <c r="M1010">
        <v>7</v>
      </c>
      <c r="N1010" s="2">
        <v>51</v>
      </c>
      <c r="O1010" s="3">
        <v>9762</v>
      </c>
      <c r="P1010">
        <v>0</v>
      </c>
      <c r="Q1010">
        <v>3</v>
      </c>
      <c r="R1010" t="s">
        <v>33</v>
      </c>
      <c r="S1010">
        <v>1</v>
      </c>
    </row>
    <row r="1011" spans="1:19" ht="16.5" x14ac:dyDescent="0.3">
      <c r="A1011" t="s">
        <v>1065</v>
      </c>
      <c r="B1011" s="1">
        <v>45413</v>
      </c>
      <c r="C1011" s="1">
        <v>45420</v>
      </c>
      <c r="D1011">
        <v>2024</v>
      </c>
      <c r="E1011" t="s">
        <v>836</v>
      </c>
      <c r="F1011" t="s">
        <v>1062</v>
      </c>
      <c r="G1011" t="s">
        <v>70</v>
      </c>
      <c r="H1011" t="s">
        <v>50</v>
      </c>
      <c r="I1011" t="s">
        <v>24</v>
      </c>
      <c r="J1011" t="s">
        <v>43</v>
      </c>
      <c r="K1011" t="s">
        <v>32</v>
      </c>
      <c r="L1011" t="s">
        <v>44</v>
      </c>
      <c r="M1011">
        <v>7</v>
      </c>
      <c r="N1011" s="2">
        <v>66</v>
      </c>
      <c r="O1011" s="3">
        <v>6620</v>
      </c>
      <c r="P1011">
        <v>0</v>
      </c>
      <c r="Q1011">
        <v>5</v>
      </c>
      <c r="R1011" t="s">
        <v>33</v>
      </c>
      <c r="S1011">
        <v>1</v>
      </c>
    </row>
    <row r="1012" spans="1:19" ht="16.5" x14ac:dyDescent="0.3">
      <c r="A1012" t="s">
        <v>1066</v>
      </c>
      <c r="B1012" s="1">
        <v>45413</v>
      </c>
      <c r="C1012" s="1">
        <v>45421</v>
      </c>
      <c r="D1012">
        <v>2024</v>
      </c>
      <c r="E1012" t="s">
        <v>836</v>
      </c>
      <c r="F1012" t="s">
        <v>1062</v>
      </c>
      <c r="G1012" t="s">
        <v>70</v>
      </c>
      <c r="H1012" t="s">
        <v>23</v>
      </c>
      <c r="I1012" t="s">
        <v>40</v>
      </c>
      <c r="J1012" t="s">
        <v>43</v>
      </c>
      <c r="K1012" t="s">
        <v>26</v>
      </c>
      <c r="L1012" t="s">
        <v>37</v>
      </c>
      <c r="M1012">
        <v>8</v>
      </c>
      <c r="N1012" s="2"/>
      <c r="O1012" s="3">
        <v>6394</v>
      </c>
      <c r="P1012">
        <v>1</v>
      </c>
      <c r="Q1012">
        <v>4</v>
      </c>
      <c r="R1012" t="s">
        <v>28</v>
      </c>
      <c r="S1012">
        <v>1</v>
      </c>
    </row>
    <row r="1013" spans="1:19" ht="16.5" x14ac:dyDescent="0.3">
      <c r="A1013" t="s">
        <v>1067</v>
      </c>
      <c r="B1013" s="1">
        <v>45413</v>
      </c>
      <c r="C1013" s="1">
        <v>45418</v>
      </c>
      <c r="D1013">
        <v>2024</v>
      </c>
      <c r="E1013" t="s">
        <v>836</v>
      </c>
      <c r="F1013" t="s">
        <v>1062</v>
      </c>
      <c r="G1013" t="s">
        <v>70</v>
      </c>
      <c r="H1013" t="s">
        <v>35</v>
      </c>
      <c r="I1013" t="s">
        <v>24</v>
      </c>
      <c r="J1013" t="s">
        <v>25</v>
      </c>
      <c r="K1013" t="s">
        <v>36</v>
      </c>
      <c r="L1013" t="s">
        <v>37</v>
      </c>
      <c r="M1013">
        <v>5</v>
      </c>
      <c r="N1013" s="2">
        <v>146</v>
      </c>
      <c r="O1013" s="3">
        <v>4284</v>
      </c>
      <c r="P1013">
        <v>0</v>
      </c>
      <c r="Q1013">
        <v>3</v>
      </c>
      <c r="R1013" t="s">
        <v>33</v>
      </c>
      <c r="S1013">
        <v>1</v>
      </c>
    </row>
    <row r="1014" spans="1:19" ht="16.5" x14ac:dyDescent="0.3">
      <c r="A1014" t="s">
        <v>1068</v>
      </c>
      <c r="B1014" s="1">
        <v>45413</v>
      </c>
      <c r="C1014" s="1">
        <v>45415</v>
      </c>
      <c r="D1014">
        <v>2024</v>
      </c>
      <c r="E1014" t="s">
        <v>836</v>
      </c>
      <c r="F1014" t="s">
        <v>1062</v>
      </c>
      <c r="G1014" t="s">
        <v>70</v>
      </c>
      <c r="H1014" t="s">
        <v>35</v>
      </c>
      <c r="I1014" t="s">
        <v>24</v>
      </c>
      <c r="J1014" t="s">
        <v>25</v>
      </c>
      <c r="K1014" t="s">
        <v>32</v>
      </c>
      <c r="L1014" t="s">
        <v>44</v>
      </c>
      <c r="M1014">
        <v>2</v>
      </c>
      <c r="N1014" s="2">
        <v>21</v>
      </c>
      <c r="O1014" s="3">
        <v>2287</v>
      </c>
      <c r="P1014">
        <v>0</v>
      </c>
      <c r="Q1014">
        <v>4</v>
      </c>
      <c r="R1014" t="s">
        <v>28</v>
      </c>
      <c r="S1014">
        <v>1</v>
      </c>
    </row>
    <row r="1015" spans="1:19" ht="16.5" x14ac:dyDescent="0.3">
      <c r="A1015" t="s">
        <v>1069</v>
      </c>
      <c r="B1015" s="1">
        <v>45413</v>
      </c>
      <c r="C1015" s="1">
        <v>45415</v>
      </c>
      <c r="D1015">
        <v>2024</v>
      </c>
      <c r="E1015" t="s">
        <v>836</v>
      </c>
      <c r="F1015" t="s">
        <v>1062</v>
      </c>
      <c r="G1015" t="s">
        <v>70</v>
      </c>
      <c r="H1015" t="s">
        <v>52</v>
      </c>
      <c r="I1015" t="s">
        <v>24</v>
      </c>
      <c r="J1015" t="s">
        <v>25</v>
      </c>
      <c r="K1015" t="s">
        <v>36</v>
      </c>
      <c r="L1015" t="s">
        <v>27</v>
      </c>
      <c r="M1015">
        <v>2</v>
      </c>
      <c r="N1015" s="2">
        <v>85</v>
      </c>
      <c r="O1015" s="3">
        <v>2143</v>
      </c>
      <c r="P1015">
        <v>0</v>
      </c>
      <c r="Q1015">
        <v>4</v>
      </c>
      <c r="R1015" t="s">
        <v>33</v>
      </c>
      <c r="S1015">
        <v>1</v>
      </c>
    </row>
    <row r="1016" spans="1:19" ht="16.5" x14ac:dyDescent="0.3">
      <c r="A1016" t="s">
        <v>1070</v>
      </c>
      <c r="B1016" s="1">
        <v>45413</v>
      </c>
      <c r="C1016" s="1">
        <v>45418</v>
      </c>
      <c r="D1016">
        <v>2024</v>
      </c>
      <c r="E1016" t="s">
        <v>836</v>
      </c>
      <c r="F1016" t="s">
        <v>1062</v>
      </c>
      <c r="G1016" t="s">
        <v>70</v>
      </c>
      <c r="H1016" t="s">
        <v>50</v>
      </c>
      <c r="I1016" t="s">
        <v>24</v>
      </c>
      <c r="J1016" t="s">
        <v>25</v>
      </c>
      <c r="K1016" t="s">
        <v>53</v>
      </c>
      <c r="L1016" t="s">
        <v>44</v>
      </c>
      <c r="M1016">
        <v>5</v>
      </c>
      <c r="N1016" s="2">
        <v>13</v>
      </c>
      <c r="O1016" s="3">
        <v>7004</v>
      </c>
      <c r="P1016">
        <v>0</v>
      </c>
      <c r="Q1016">
        <v>4</v>
      </c>
      <c r="R1016" t="s">
        <v>33</v>
      </c>
      <c r="S1016">
        <v>1</v>
      </c>
    </row>
    <row r="1017" spans="1:19" ht="16.5" x14ac:dyDescent="0.3">
      <c r="A1017" t="s">
        <v>1071</v>
      </c>
      <c r="B1017" s="1">
        <v>45413</v>
      </c>
      <c r="C1017" s="1">
        <v>45426</v>
      </c>
      <c r="D1017">
        <v>2024</v>
      </c>
      <c r="E1017" t="s">
        <v>836</v>
      </c>
      <c r="F1017" t="s">
        <v>1062</v>
      </c>
      <c r="G1017" t="s">
        <v>70</v>
      </c>
      <c r="H1017" t="s">
        <v>50</v>
      </c>
      <c r="I1017" t="s">
        <v>24</v>
      </c>
      <c r="J1017" t="s">
        <v>43</v>
      </c>
      <c r="K1017" t="s">
        <v>26</v>
      </c>
      <c r="L1017" t="s">
        <v>27</v>
      </c>
      <c r="M1017">
        <v>13</v>
      </c>
      <c r="N1017" s="2">
        <v>45</v>
      </c>
      <c r="O1017" s="3">
        <v>15415</v>
      </c>
      <c r="P1017">
        <v>0</v>
      </c>
      <c r="Q1017">
        <v>3</v>
      </c>
      <c r="R1017" t="s">
        <v>28</v>
      </c>
      <c r="S1017">
        <v>1</v>
      </c>
    </row>
    <row r="1018" spans="1:19" ht="16.5" x14ac:dyDescent="0.3">
      <c r="A1018" t="s">
        <v>1072</v>
      </c>
      <c r="B1018" s="1">
        <v>45413</v>
      </c>
      <c r="C1018" s="1">
        <v>45414</v>
      </c>
      <c r="D1018">
        <v>2024</v>
      </c>
      <c r="E1018" t="s">
        <v>836</v>
      </c>
      <c r="F1018" t="s">
        <v>1062</v>
      </c>
      <c r="G1018" t="s">
        <v>70</v>
      </c>
      <c r="H1018" t="s">
        <v>50</v>
      </c>
      <c r="I1018" t="s">
        <v>24</v>
      </c>
      <c r="J1018" t="s">
        <v>25</v>
      </c>
      <c r="K1018" t="s">
        <v>53</v>
      </c>
      <c r="L1018" t="s">
        <v>27</v>
      </c>
      <c r="M1018">
        <v>1</v>
      </c>
      <c r="N1018" s="2">
        <v>24</v>
      </c>
      <c r="O1018" s="3">
        <v>2552</v>
      </c>
      <c r="P1018">
        <v>1</v>
      </c>
      <c r="Q1018">
        <v>3</v>
      </c>
      <c r="R1018" t="s">
        <v>28</v>
      </c>
      <c r="S1018">
        <v>1</v>
      </c>
    </row>
    <row r="1019" spans="1:19" ht="16.5" x14ac:dyDescent="0.3">
      <c r="A1019" t="s">
        <v>1073</v>
      </c>
      <c r="B1019" s="1">
        <v>45413</v>
      </c>
      <c r="C1019" s="1">
        <v>45415</v>
      </c>
      <c r="D1019">
        <v>2024</v>
      </c>
      <c r="E1019" t="s">
        <v>836</v>
      </c>
      <c r="F1019" t="s">
        <v>1062</v>
      </c>
      <c r="G1019" t="s">
        <v>70</v>
      </c>
      <c r="H1019" t="s">
        <v>35</v>
      </c>
      <c r="I1019" t="s">
        <v>40</v>
      </c>
      <c r="J1019" t="s">
        <v>25</v>
      </c>
      <c r="K1019" t="s">
        <v>32</v>
      </c>
      <c r="L1019" t="s">
        <v>27</v>
      </c>
      <c r="M1019">
        <v>2</v>
      </c>
      <c r="N1019" s="2"/>
      <c r="O1019" s="3">
        <v>2417</v>
      </c>
      <c r="P1019">
        <v>0</v>
      </c>
      <c r="Q1019">
        <v>5</v>
      </c>
      <c r="R1019" t="s">
        <v>28</v>
      </c>
      <c r="S1019">
        <v>1</v>
      </c>
    </row>
    <row r="1020" spans="1:19" ht="16.5" x14ac:dyDescent="0.3">
      <c r="A1020" t="s">
        <v>1074</v>
      </c>
      <c r="B1020" s="1">
        <v>45413</v>
      </c>
      <c r="C1020" s="1">
        <v>45420</v>
      </c>
      <c r="D1020">
        <v>2024</v>
      </c>
      <c r="E1020" t="s">
        <v>836</v>
      </c>
      <c r="F1020" t="s">
        <v>1062</v>
      </c>
      <c r="G1020" t="s">
        <v>70</v>
      </c>
      <c r="H1020" t="s">
        <v>23</v>
      </c>
      <c r="I1020" t="s">
        <v>40</v>
      </c>
      <c r="J1020" t="s">
        <v>25</v>
      </c>
      <c r="K1020" t="s">
        <v>26</v>
      </c>
      <c r="L1020" t="s">
        <v>37</v>
      </c>
      <c r="M1020">
        <v>7</v>
      </c>
      <c r="N1020" s="2"/>
      <c r="O1020" s="3">
        <v>5578</v>
      </c>
      <c r="P1020">
        <v>0</v>
      </c>
      <c r="Q1020">
        <v>4</v>
      </c>
      <c r="R1020" t="s">
        <v>28</v>
      </c>
      <c r="S1020">
        <v>1</v>
      </c>
    </row>
    <row r="1021" spans="1:19" ht="16.5" x14ac:dyDescent="0.3">
      <c r="A1021" t="s">
        <v>1075</v>
      </c>
      <c r="B1021" s="1">
        <v>45413</v>
      </c>
      <c r="C1021" s="1">
        <v>45422</v>
      </c>
      <c r="D1021">
        <v>2024</v>
      </c>
      <c r="E1021" t="s">
        <v>836</v>
      </c>
      <c r="F1021" t="s">
        <v>1062</v>
      </c>
      <c r="G1021" t="s">
        <v>70</v>
      </c>
      <c r="H1021" t="s">
        <v>39</v>
      </c>
      <c r="I1021" t="s">
        <v>24</v>
      </c>
      <c r="J1021" t="s">
        <v>25</v>
      </c>
      <c r="K1021" t="s">
        <v>41</v>
      </c>
      <c r="L1021" t="s">
        <v>27</v>
      </c>
      <c r="M1021">
        <v>9</v>
      </c>
      <c r="N1021" s="2">
        <v>28</v>
      </c>
      <c r="O1021" s="3">
        <v>4869</v>
      </c>
      <c r="P1021">
        <v>0</v>
      </c>
      <c r="Q1021">
        <v>4</v>
      </c>
      <c r="R1021" t="s">
        <v>28</v>
      </c>
      <c r="S1021">
        <v>1</v>
      </c>
    </row>
    <row r="1022" spans="1:19" ht="16.5" x14ac:dyDescent="0.3">
      <c r="A1022" t="s">
        <v>1076</v>
      </c>
      <c r="B1022" s="1">
        <v>45414</v>
      </c>
      <c r="C1022" s="1">
        <v>45417</v>
      </c>
      <c r="D1022">
        <v>2024</v>
      </c>
      <c r="E1022" t="s">
        <v>836</v>
      </c>
      <c r="F1022" t="s">
        <v>1062</v>
      </c>
      <c r="G1022" t="s">
        <v>78</v>
      </c>
      <c r="H1022" t="s">
        <v>50</v>
      </c>
      <c r="I1022" t="s">
        <v>24</v>
      </c>
      <c r="J1022" t="s">
        <v>43</v>
      </c>
      <c r="K1022" t="s">
        <v>26</v>
      </c>
      <c r="L1022" t="s">
        <v>27</v>
      </c>
      <c r="M1022">
        <v>3</v>
      </c>
      <c r="N1022" s="2">
        <v>37</v>
      </c>
      <c r="O1022" s="3">
        <v>4229</v>
      </c>
      <c r="P1022">
        <v>0</v>
      </c>
      <c r="Q1022">
        <v>5</v>
      </c>
      <c r="R1022" t="s">
        <v>28</v>
      </c>
      <c r="S1022">
        <v>1</v>
      </c>
    </row>
    <row r="1023" spans="1:19" ht="16.5" x14ac:dyDescent="0.3">
      <c r="A1023" t="s">
        <v>1077</v>
      </c>
      <c r="B1023" s="1">
        <v>45414</v>
      </c>
      <c r="C1023" s="1">
        <v>45423</v>
      </c>
      <c r="D1023">
        <v>2024</v>
      </c>
      <c r="E1023" t="s">
        <v>836</v>
      </c>
      <c r="F1023" t="s">
        <v>1062</v>
      </c>
      <c r="G1023" t="s">
        <v>78</v>
      </c>
      <c r="H1023" t="s">
        <v>30</v>
      </c>
      <c r="I1023" t="s">
        <v>40</v>
      </c>
      <c r="J1023" t="s">
        <v>43</v>
      </c>
      <c r="K1023" t="s">
        <v>26</v>
      </c>
      <c r="L1023" t="s">
        <v>44</v>
      </c>
      <c r="M1023">
        <v>9</v>
      </c>
      <c r="N1023" s="2"/>
      <c r="O1023" s="3">
        <v>10021</v>
      </c>
      <c r="P1023">
        <v>0</v>
      </c>
      <c r="Q1023">
        <v>5</v>
      </c>
      <c r="R1023" t="s">
        <v>33</v>
      </c>
      <c r="S1023">
        <v>1</v>
      </c>
    </row>
    <row r="1024" spans="1:19" ht="16.5" x14ac:dyDescent="0.3">
      <c r="A1024" t="s">
        <v>1078</v>
      </c>
      <c r="B1024" s="1">
        <v>45414</v>
      </c>
      <c r="C1024" s="1">
        <v>45425</v>
      </c>
      <c r="D1024">
        <v>2024</v>
      </c>
      <c r="E1024" t="s">
        <v>836</v>
      </c>
      <c r="F1024" t="s">
        <v>1062</v>
      </c>
      <c r="G1024" t="s">
        <v>78</v>
      </c>
      <c r="H1024" t="s">
        <v>30</v>
      </c>
      <c r="I1024" t="s">
        <v>40</v>
      </c>
      <c r="J1024" t="s">
        <v>43</v>
      </c>
      <c r="K1024" t="s">
        <v>26</v>
      </c>
      <c r="L1024" t="s">
        <v>44</v>
      </c>
      <c r="M1024">
        <v>11</v>
      </c>
      <c r="N1024" s="2"/>
      <c r="O1024" s="3">
        <v>10249</v>
      </c>
      <c r="P1024">
        <v>0</v>
      </c>
      <c r="Q1024">
        <v>5</v>
      </c>
      <c r="R1024" t="s">
        <v>59</v>
      </c>
      <c r="S1024">
        <v>1</v>
      </c>
    </row>
    <row r="1025" spans="1:19" ht="16.5" x14ac:dyDescent="0.3">
      <c r="A1025" t="s">
        <v>1079</v>
      </c>
      <c r="B1025" s="1">
        <v>45414</v>
      </c>
      <c r="C1025" s="1">
        <v>45420</v>
      </c>
      <c r="D1025">
        <v>2024</v>
      </c>
      <c r="E1025" t="s">
        <v>836</v>
      </c>
      <c r="F1025" t="s">
        <v>1062</v>
      </c>
      <c r="G1025" t="s">
        <v>78</v>
      </c>
      <c r="H1025" t="s">
        <v>23</v>
      </c>
      <c r="I1025" t="s">
        <v>24</v>
      </c>
      <c r="J1025" t="s">
        <v>43</v>
      </c>
      <c r="K1025" t="s">
        <v>53</v>
      </c>
      <c r="L1025" t="s">
        <v>27</v>
      </c>
      <c r="M1025">
        <v>6</v>
      </c>
      <c r="N1025" s="2">
        <v>35</v>
      </c>
      <c r="O1025" s="3">
        <v>4337</v>
      </c>
      <c r="P1025">
        <v>1</v>
      </c>
      <c r="Q1025">
        <v>4</v>
      </c>
      <c r="R1025" t="s">
        <v>33</v>
      </c>
      <c r="S1025">
        <v>1</v>
      </c>
    </row>
    <row r="1026" spans="1:19" ht="16.5" x14ac:dyDescent="0.3">
      <c r="A1026" t="s">
        <v>1080</v>
      </c>
      <c r="B1026" s="1">
        <v>45414</v>
      </c>
      <c r="C1026" s="1">
        <v>45425</v>
      </c>
      <c r="D1026">
        <v>2024</v>
      </c>
      <c r="E1026" t="s">
        <v>836</v>
      </c>
      <c r="F1026" t="s">
        <v>1062</v>
      </c>
      <c r="G1026" t="s">
        <v>78</v>
      </c>
      <c r="H1026" t="s">
        <v>50</v>
      </c>
      <c r="I1026" t="s">
        <v>24</v>
      </c>
      <c r="J1026" t="s">
        <v>25</v>
      </c>
      <c r="K1026" t="s">
        <v>53</v>
      </c>
      <c r="L1026" t="s">
        <v>27</v>
      </c>
      <c r="M1026">
        <v>11</v>
      </c>
      <c r="N1026" s="2">
        <v>51</v>
      </c>
      <c r="O1026" s="3">
        <v>13059</v>
      </c>
      <c r="P1026">
        <v>0</v>
      </c>
      <c r="Q1026">
        <v>5</v>
      </c>
      <c r="R1026" t="s">
        <v>33</v>
      </c>
      <c r="S1026">
        <v>1</v>
      </c>
    </row>
    <row r="1027" spans="1:19" ht="16.5" x14ac:dyDescent="0.3">
      <c r="A1027" t="s">
        <v>1081</v>
      </c>
      <c r="B1027" s="1">
        <v>45414</v>
      </c>
      <c r="C1027" s="1">
        <v>45419</v>
      </c>
      <c r="D1027">
        <v>2024</v>
      </c>
      <c r="E1027" t="s">
        <v>836</v>
      </c>
      <c r="F1027" t="s">
        <v>1062</v>
      </c>
      <c r="G1027" t="s">
        <v>78</v>
      </c>
      <c r="H1027" t="s">
        <v>23</v>
      </c>
      <c r="I1027" t="s">
        <v>24</v>
      </c>
      <c r="J1027" t="s">
        <v>25</v>
      </c>
      <c r="K1027" t="s">
        <v>26</v>
      </c>
      <c r="L1027" t="s">
        <v>27</v>
      </c>
      <c r="M1027">
        <v>5</v>
      </c>
      <c r="N1027" s="2">
        <v>26</v>
      </c>
      <c r="O1027" s="3">
        <v>4530</v>
      </c>
      <c r="P1027">
        <v>1</v>
      </c>
      <c r="Q1027">
        <v>4</v>
      </c>
      <c r="R1027" t="s">
        <v>59</v>
      </c>
      <c r="S1027">
        <v>1</v>
      </c>
    </row>
    <row r="1028" spans="1:19" ht="16.5" x14ac:dyDescent="0.3">
      <c r="A1028" t="s">
        <v>1082</v>
      </c>
      <c r="B1028" s="1">
        <v>45414</v>
      </c>
      <c r="C1028" s="1">
        <v>45417</v>
      </c>
      <c r="D1028">
        <v>2024</v>
      </c>
      <c r="E1028" t="s">
        <v>836</v>
      </c>
      <c r="F1028" t="s">
        <v>1062</v>
      </c>
      <c r="G1028" t="s">
        <v>78</v>
      </c>
      <c r="H1028" t="s">
        <v>30</v>
      </c>
      <c r="I1028" t="s">
        <v>24</v>
      </c>
      <c r="J1028" t="s">
        <v>25</v>
      </c>
      <c r="K1028" t="s">
        <v>26</v>
      </c>
      <c r="L1028" t="s">
        <v>27</v>
      </c>
      <c r="M1028">
        <v>3</v>
      </c>
      <c r="N1028" s="2">
        <v>75</v>
      </c>
      <c r="O1028" s="3">
        <v>4026</v>
      </c>
      <c r="P1028">
        <v>1</v>
      </c>
      <c r="Q1028">
        <v>3</v>
      </c>
      <c r="R1028" t="s">
        <v>33</v>
      </c>
      <c r="S1028">
        <v>1</v>
      </c>
    </row>
    <row r="1029" spans="1:19" ht="16.5" x14ac:dyDescent="0.3">
      <c r="A1029" t="s">
        <v>1083</v>
      </c>
      <c r="B1029" s="1">
        <v>45414</v>
      </c>
      <c r="C1029" s="1">
        <v>45424</v>
      </c>
      <c r="D1029">
        <v>2024</v>
      </c>
      <c r="E1029" t="s">
        <v>836</v>
      </c>
      <c r="F1029" t="s">
        <v>1062</v>
      </c>
      <c r="G1029" t="s">
        <v>78</v>
      </c>
      <c r="H1029" t="s">
        <v>50</v>
      </c>
      <c r="I1029" t="s">
        <v>24</v>
      </c>
      <c r="J1029" t="s">
        <v>43</v>
      </c>
      <c r="K1029" t="s">
        <v>53</v>
      </c>
      <c r="L1029" t="s">
        <v>27</v>
      </c>
      <c r="M1029">
        <v>10</v>
      </c>
      <c r="N1029" s="2">
        <v>38</v>
      </c>
      <c r="O1029" s="3">
        <v>11944</v>
      </c>
      <c r="P1029">
        <v>0</v>
      </c>
      <c r="Q1029">
        <v>4</v>
      </c>
      <c r="R1029" t="s">
        <v>33</v>
      </c>
      <c r="S1029">
        <v>1</v>
      </c>
    </row>
    <row r="1030" spans="1:19" ht="16.5" x14ac:dyDescent="0.3">
      <c r="A1030" t="s">
        <v>1084</v>
      </c>
      <c r="B1030" s="1">
        <v>45414</v>
      </c>
      <c r="C1030" s="1">
        <v>45418</v>
      </c>
      <c r="D1030">
        <v>2024</v>
      </c>
      <c r="E1030" t="s">
        <v>836</v>
      </c>
      <c r="F1030" t="s">
        <v>1062</v>
      </c>
      <c r="G1030" t="s">
        <v>78</v>
      </c>
      <c r="H1030" t="s">
        <v>30</v>
      </c>
      <c r="I1030" t="s">
        <v>40</v>
      </c>
      <c r="J1030" t="s">
        <v>43</v>
      </c>
      <c r="K1030" t="s">
        <v>53</v>
      </c>
      <c r="L1030" t="s">
        <v>44</v>
      </c>
      <c r="M1030">
        <v>4</v>
      </c>
      <c r="N1030" s="2"/>
      <c r="O1030" s="3">
        <v>5737</v>
      </c>
      <c r="P1030">
        <v>0</v>
      </c>
      <c r="Q1030">
        <v>4</v>
      </c>
      <c r="R1030" t="s">
        <v>33</v>
      </c>
      <c r="S1030">
        <v>1</v>
      </c>
    </row>
    <row r="1031" spans="1:19" ht="16.5" x14ac:dyDescent="0.3">
      <c r="A1031" t="s">
        <v>1085</v>
      </c>
      <c r="B1031" s="1">
        <v>45415</v>
      </c>
      <c r="C1031" s="1">
        <v>45418</v>
      </c>
      <c r="D1031">
        <v>2024</v>
      </c>
      <c r="E1031" t="s">
        <v>836</v>
      </c>
      <c r="F1031" t="s">
        <v>1062</v>
      </c>
      <c r="G1031" t="s">
        <v>83</v>
      </c>
      <c r="H1031" t="s">
        <v>30</v>
      </c>
      <c r="I1031" t="s">
        <v>40</v>
      </c>
      <c r="J1031" t="s">
        <v>25</v>
      </c>
      <c r="K1031" t="s">
        <v>32</v>
      </c>
      <c r="L1031" t="s">
        <v>44</v>
      </c>
      <c r="M1031">
        <v>3</v>
      </c>
      <c r="N1031" s="2"/>
      <c r="O1031" s="3">
        <v>4793</v>
      </c>
      <c r="P1031">
        <v>0</v>
      </c>
      <c r="Q1031">
        <v>4</v>
      </c>
      <c r="R1031" t="s">
        <v>28</v>
      </c>
      <c r="S1031">
        <v>1</v>
      </c>
    </row>
    <row r="1032" spans="1:19" ht="16.5" x14ac:dyDescent="0.3">
      <c r="A1032" t="s">
        <v>1086</v>
      </c>
      <c r="B1032" s="1">
        <v>45415</v>
      </c>
      <c r="C1032" s="1">
        <v>45423</v>
      </c>
      <c r="D1032">
        <v>2024</v>
      </c>
      <c r="E1032" t="s">
        <v>836</v>
      </c>
      <c r="F1032" t="s">
        <v>1062</v>
      </c>
      <c r="G1032" t="s">
        <v>83</v>
      </c>
      <c r="H1032" t="s">
        <v>52</v>
      </c>
      <c r="I1032" t="s">
        <v>40</v>
      </c>
      <c r="J1032" t="s">
        <v>43</v>
      </c>
      <c r="K1032" t="s">
        <v>53</v>
      </c>
      <c r="L1032" t="s">
        <v>27</v>
      </c>
      <c r="M1032">
        <v>8</v>
      </c>
      <c r="N1032" s="2"/>
      <c r="O1032" s="3">
        <v>8083</v>
      </c>
      <c r="P1032">
        <v>1</v>
      </c>
      <c r="Q1032">
        <v>4</v>
      </c>
      <c r="R1032" t="s">
        <v>59</v>
      </c>
      <c r="S1032">
        <v>1</v>
      </c>
    </row>
    <row r="1033" spans="1:19" ht="16.5" x14ac:dyDescent="0.3">
      <c r="A1033" t="s">
        <v>1087</v>
      </c>
      <c r="B1033" s="1">
        <v>45415</v>
      </c>
      <c r="C1033" s="1">
        <v>45418</v>
      </c>
      <c r="D1033">
        <v>2024</v>
      </c>
      <c r="E1033" t="s">
        <v>836</v>
      </c>
      <c r="F1033" t="s">
        <v>1062</v>
      </c>
      <c r="G1033" t="s">
        <v>83</v>
      </c>
      <c r="H1033" t="s">
        <v>50</v>
      </c>
      <c r="I1033" t="s">
        <v>24</v>
      </c>
      <c r="J1033" t="s">
        <v>43</v>
      </c>
      <c r="K1033" t="s">
        <v>32</v>
      </c>
      <c r="L1033" t="s">
        <v>44</v>
      </c>
      <c r="M1033">
        <v>3</v>
      </c>
      <c r="N1033" s="2">
        <v>183</v>
      </c>
      <c r="O1033" s="3">
        <v>3884</v>
      </c>
      <c r="P1033">
        <v>1</v>
      </c>
      <c r="Q1033">
        <v>3</v>
      </c>
      <c r="R1033" t="s">
        <v>33</v>
      </c>
      <c r="S1033">
        <v>1</v>
      </c>
    </row>
    <row r="1034" spans="1:19" ht="16.5" x14ac:dyDescent="0.3">
      <c r="A1034" t="s">
        <v>1088</v>
      </c>
      <c r="B1034" s="1">
        <v>45415</v>
      </c>
      <c r="C1034" s="1">
        <v>45417</v>
      </c>
      <c r="D1034">
        <v>2024</v>
      </c>
      <c r="E1034" t="s">
        <v>836</v>
      </c>
      <c r="F1034" t="s">
        <v>1062</v>
      </c>
      <c r="G1034" t="s">
        <v>83</v>
      </c>
      <c r="H1034" t="s">
        <v>23</v>
      </c>
      <c r="I1034" t="s">
        <v>31</v>
      </c>
      <c r="J1034" t="s">
        <v>43</v>
      </c>
      <c r="K1034" t="s">
        <v>53</v>
      </c>
      <c r="L1034" t="s">
        <v>27</v>
      </c>
      <c r="M1034">
        <v>2</v>
      </c>
      <c r="N1034" s="2"/>
      <c r="O1034" s="3">
        <v>2941</v>
      </c>
      <c r="P1034">
        <v>0</v>
      </c>
      <c r="Q1034">
        <v>5</v>
      </c>
      <c r="R1034" t="s">
        <v>28</v>
      </c>
      <c r="S1034">
        <v>1</v>
      </c>
    </row>
    <row r="1035" spans="1:19" ht="16.5" x14ac:dyDescent="0.3">
      <c r="A1035" t="s">
        <v>1089</v>
      </c>
      <c r="B1035" s="1">
        <v>45415</v>
      </c>
      <c r="C1035" s="1">
        <v>45416</v>
      </c>
      <c r="D1035">
        <v>2024</v>
      </c>
      <c r="E1035" t="s">
        <v>836</v>
      </c>
      <c r="F1035" t="s">
        <v>1062</v>
      </c>
      <c r="G1035" t="s">
        <v>83</v>
      </c>
      <c r="H1035" t="s">
        <v>50</v>
      </c>
      <c r="I1035" t="s">
        <v>24</v>
      </c>
      <c r="J1035" t="s">
        <v>43</v>
      </c>
      <c r="K1035" t="s">
        <v>32</v>
      </c>
      <c r="L1035" t="s">
        <v>44</v>
      </c>
      <c r="M1035">
        <v>1</v>
      </c>
      <c r="N1035" s="2">
        <v>55</v>
      </c>
      <c r="O1035" s="3">
        <v>2251</v>
      </c>
      <c r="P1035">
        <v>0</v>
      </c>
      <c r="Q1035">
        <v>4</v>
      </c>
      <c r="R1035" t="s">
        <v>33</v>
      </c>
      <c r="S1035">
        <v>1</v>
      </c>
    </row>
    <row r="1036" spans="1:19" ht="16.5" x14ac:dyDescent="0.3">
      <c r="A1036" t="s">
        <v>1090</v>
      </c>
      <c r="B1036" s="1">
        <v>45415</v>
      </c>
      <c r="C1036" s="1">
        <v>45416</v>
      </c>
      <c r="D1036">
        <v>2024</v>
      </c>
      <c r="E1036" t="s">
        <v>836</v>
      </c>
      <c r="F1036" t="s">
        <v>1062</v>
      </c>
      <c r="G1036" t="s">
        <v>83</v>
      </c>
      <c r="H1036" t="s">
        <v>39</v>
      </c>
      <c r="I1036" t="s">
        <v>24</v>
      </c>
      <c r="J1036" t="s">
        <v>25</v>
      </c>
      <c r="K1036" t="s">
        <v>41</v>
      </c>
      <c r="L1036" t="s">
        <v>44</v>
      </c>
      <c r="M1036">
        <v>1</v>
      </c>
      <c r="N1036" s="2">
        <v>76</v>
      </c>
      <c r="O1036" s="3">
        <v>1257</v>
      </c>
      <c r="P1036">
        <v>0</v>
      </c>
      <c r="Q1036">
        <v>3</v>
      </c>
      <c r="R1036" t="s">
        <v>28</v>
      </c>
      <c r="S1036">
        <v>1</v>
      </c>
    </row>
    <row r="1037" spans="1:19" ht="16.5" x14ac:dyDescent="0.3">
      <c r="A1037" t="s">
        <v>1091</v>
      </c>
      <c r="B1037" s="1">
        <v>45415</v>
      </c>
      <c r="C1037" s="1">
        <v>45420</v>
      </c>
      <c r="D1037">
        <v>2024</v>
      </c>
      <c r="E1037" t="s">
        <v>836</v>
      </c>
      <c r="F1037" t="s">
        <v>1062</v>
      </c>
      <c r="G1037" t="s">
        <v>83</v>
      </c>
      <c r="H1037" t="s">
        <v>30</v>
      </c>
      <c r="I1037" t="s">
        <v>40</v>
      </c>
      <c r="J1037" t="s">
        <v>25</v>
      </c>
      <c r="K1037" t="s">
        <v>53</v>
      </c>
      <c r="L1037" t="s">
        <v>44</v>
      </c>
      <c r="M1037">
        <v>5</v>
      </c>
      <c r="N1037" s="2"/>
      <c r="O1037" s="3">
        <v>6505</v>
      </c>
      <c r="P1037">
        <v>0</v>
      </c>
      <c r="Q1037">
        <v>4</v>
      </c>
      <c r="R1037" t="s">
        <v>33</v>
      </c>
      <c r="S1037">
        <v>1</v>
      </c>
    </row>
    <row r="1038" spans="1:19" ht="16.5" x14ac:dyDescent="0.3">
      <c r="A1038" t="s">
        <v>1092</v>
      </c>
      <c r="B1038" s="1">
        <v>45415</v>
      </c>
      <c r="C1038" s="1">
        <v>45420</v>
      </c>
      <c r="D1038">
        <v>2024</v>
      </c>
      <c r="E1038" t="s">
        <v>836</v>
      </c>
      <c r="F1038" t="s">
        <v>1062</v>
      </c>
      <c r="G1038" t="s">
        <v>83</v>
      </c>
      <c r="H1038" t="s">
        <v>35</v>
      </c>
      <c r="I1038" t="s">
        <v>31</v>
      </c>
      <c r="J1038" t="s">
        <v>25</v>
      </c>
      <c r="K1038" t="s">
        <v>36</v>
      </c>
      <c r="L1038" t="s">
        <v>27</v>
      </c>
      <c r="M1038">
        <v>5</v>
      </c>
      <c r="N1038" s="2"/>
      <c r="O1038" s="3">
        <v>4047</v>
      </c>
      <c r="P1038">
        <v>0</v>
      </c>
      <c r="Q1038">
        <v>5</v>
      </c>
      <c r="R1038" t="s">
        <v>33</v>
      </c>
      <c r="S1038">
        <v>1</v>
      </c>
    </row>
    <row r="1039" spans="1:19" ht="16.5" x14ac:dyDescent="0.3">
      <c r="A1039" t="s">
        <v>1093</v>
      </c>
      <c r="B1039" s="1">
        <v>45415</v>
      </c>
      <c r="C1039" s="1">
        <v>45418</v>
      </c>
      <c r="D1039">
        <v>2024</v>
      </c>
      <c r="E1039" t="s">
        <v>836</v>
      </c>
      <c r="F1039" t="s">
        <v>1062</v>
      </c>
      <c r="G1039" t="s">
        <v>83</v>
      </c>
      <c r="H1039" t="s">
        <v>50</v>
      </c>
      <c r="I1039" t="s">
        <v>24</v>
      </c>
      <c r="J1039" t="s">
        <v>43</v>
      </c>
      <c r="K1039" t="s">
        <v>32</v>
      </c>
      <c r="L1039" t="s">
        <v>44</v>
      </c>
      <c r="M1039">
        <v>3</v>
      </c>
      <c r="N1039" s="2">
        <v>96</v>
      </c>
      <c r="O1039" s="3">
        <v>4194</v>
      </c>
      <c r="P1039">
        <v>0</v>
      </c>
      <c r="Q1039">
        <v>3</v>
      </c>
      <c r="R1039" t="s">
        <v>33</v>
      </c>
      <c r="S1039">
        <v>1</v>
      </c>
    </row>
    <row r="1040" spans="1:19" ht="16.5" x14ac:dyDescent="0.3">
      <c r="A1040" t="s">
        <v>1094</v>
      </c>
      <c r="B1040" s="1">
        <v>45415</v>
      </c>
      <c r="C1040" s="1">
        <v>45418</v>
      </c>
      <c r="D1040">
        <v>2024</v>
      </c>
      <c r="E1040" t="s">
        <v>836</v>
      </c>
      <c r="F1040" t="s">
        <v>1062</v>
      </c>
      <c r="G1040" t="s">
        <v>83</v>
      </c>
      <c r="H1040" t="s">
        <v>50</v>
      </c>
      <c r="I1040" t="s">
        <v>40</v>
      </c>
      <c r="J1040" t="s">
        <v>25</v>
      </c>
      <c r="K1040" t="s">
        <v>26</v>
      </c>
      <c r="L1040" t="s">
        <v>44</v>
      </c>
      <c r="M1040">
        <v>3</v>
      </c>
      <c r="N1040" s="2"/>
      <c r="O1040" s="3">
        <v>4381</v>
      </c>
      <c r="P1040">
        <v>0</v>
      </c>
      <c r="Q1040">
        <v>4</v>
      </c>
      <c r="R1040" t="s">
        <v>33</v>
      </c>
      <c r="S1040">
        <v>1</v>
      </c>
    </row>
    <row r="1041" spans="1:19" ht="16.5" x14ac:dyDescent="0.3">
      <c r="A1041" t="s">
        <v>1095</v>
      </c>
      <c r="B1041" s="1">
        <v>45415</v>
      </c>
      <c r="C1041" s="1">
        <v>45417</v>
      </c>
      <c r="D1041">
        <v>2024</v>
      </c>
      <c r="E1041" t="s">
        <v>836</v>
      </c>
      <c r="F1041" t="s">
        <v>1062</v>
      </c>
      <c r="G1041" t="s">
        <v>83</v>
      </c>
      <c r="H1041" t="s">
        <v>30</v>
      </c>
      <c r="I1041" t="s">
        <v>40</v>
      </c>
      <c r="J1041" t="s">
        <v>43</v>
      </c>
      <c r="K1041" t="s">
        <v>36</v>
      </c>
      <c r="L1041" t="s">
        <v>27</v>
      </c>
      <c r="M1041">
        <v>2</v>
      </c>
      <c r="N1041" s="2"/>
      <c r="O1041" s="3">
        <v>2426</v>
      </c>
      <c r="P1041">
        <v>0</v>
      </c>
      <c r="Q1041">
        <v>4</v>
      </c>
      <c r="R1041" t="s">
        <v>33</v>
      </c>
      <c r="S1041">
        <v>1</v>
      </c>
    </row>
    <row r="1042" spans="1:19" ht="16.5" x14ac:dyDescent="0.3">
      <c r="A1042" t="s">
        <v>1096</v>
      </c>
      <c r="B1042" s="1">
        <v>45416</v>
      </c>
      <c r="C1042" s="1">
        <v>45424</v>
      </c>
      <c r="D1042">
        <v>2024</v>
      </c>
      <c r="E1042" t="s">
        <v>836</v>
      </c>
      <c r="F1042" t="s">
        <v>1062</v>
      </c>
      <c r="G1042" t="s">
        <v>102</v>
      </c>
      <c r="H1042" t="s">
        <v>23</v>
      </c>
      <c r="I1042" t="s">
        <v>24</v>
      </c>
      <c r="J1042" t="s">
        <v>43</v>
      </c>
      <c r="K1042" t="s">
        <v>36</v>
      </c>
      <c r="L1042" t="s">
        <v>44</v>
      </c>
      <c r="M1042">
        <v>8</v>
      </c>
      <c r="N1042" s="2">
        <v>227</v>
      </c>
      <c r="O1042" s="3">
        <v>5832</v>
      </c>
      <c r="P1042">
        <v>0</v>
      </c>
      <c r="Q1042">
        <v>4</v>
      </c>
      <c r="R1042" t="s">
        <v>28</v>
      </c>
      <c r="S1042">
        <v>1</v>
      </c>
    </row>
    <row r="1043" spans="1:19" ht="16.5" x14ac:dyDescent="0.3">
      <c r="A1043" t="s">
        <v>1097</v>
      </c>
      <c r="B1043" s="1">
        <v>45416</v>
      </c>
      <c r="C1043" s="1">
        <v>45421</v>
      </c>
      <c r="D1043">
        <v>2024</v>
      </c>
      <c r="E1043" t="s">
        <v>836</v>
      </c>
      <c r="F1043" t="s">
        <v>1062</v>
      </c>
      <c r="G1043" t="s">
        <v>102</v>
      </c>
      <c r="H1043" t="s">
        <v>39</v>
      </c>
      <c r="I1043" t="s">
        <v>24</v>
      </c>
      <c r="J1043" t="s">
        <v>43</v>
      </c>
      <c r="K1043" t="s">
        <v>41</v>
      </c>
      <c r="L1043" t="s">
        <v>44</v>
      </c>
      <c r="M1043">
        <v>5</v>
      </c>
      <c r="N1043" s="2">
        <v>118</v>
      </c>
      <c r="O1043" s="3">
        <v>3551</v>
      </c>
      <c r="P1043">
        <v>0</v>
      </c>
      <c r="Q1043">
        <v>3</v>
      </c>
      <c r="R1043" t="s">
        <v>33</v>
      </c>
      <c r="S1043">
        <v>1</v>
      </c>
    </row>
    <row r="1044" spans="1:19" ht="16.5" x14ac:dyDescent="0.3">
      <c r="A1044" t="s">
        <v>1098</v>
      </c>
      <c r="B1044" s="1">
        <v>45417</v>
      </c>
      <c r="C1044" s="1">
        <v>45420</v>
      </c>
      <c r="D1044">
        <v>2024</v>
      </c>
      <c r="E1044" t="s">
        <v>836</v>
      </c>
      <c r="F1044" t="s">
        <v>1062</v>
      </c>
      <c r="G1044" t="s">
        <v>112</v>
      </c>
      <c r="H1044" t="s">
        <v>30</v>
      </c>
      <c r="I1044" t="s">
        <v>40</v>
      </c>
      <c r="J1044" t="s">
        <v>43</v>
      </c>
      <c r="K1044" t="s">
        <v>32</v>
      </c>
      <c r="L1044" t="s">
        <v>27</v>
      </c>
      <c r="M1044">
        <v>3</v>
      </c>
      <c r="N1044" s="2"/>
      <c r="O1044" s="3">
        <v>4848</v>
      </c>
      <c r="P1044">
        <v>0</v>
      </c>
      <c r="Q1044">
        <v>5</v>
      </c>
      <c r="R1044" t="s">
        <v>28</v>
      </c>
      <c r="S1044">
        <v>1</v>
      </c>
    </row>
    <row r="1045" spans="1:19" ht="16.5" x14ac:dyDescent="0.3">
      <c r="A1045" t="s">
        <v>1099</v>
      </c>
      <c r="B1045" s="1">
        <v>45417</v>
      </c>
      <c r="C1045" s="1">
        <v>45418</v>
      </c>
      <c r="D1045">
        <v>2024</v>
      </c>
      <c r="E1045" t="s">
        <v>836</v>
      </c>
      <c r="F1045" t="s">
        <v>1062</v>
      </c>
      <c r="G1045" t="s">
        <v>112</v>
      </c>
      <c r="H1045" t="s">
        <v>35</v>
      </c>
      <c r="I1045" t="s">
        <v>24</v>
      </c>
      <c r="J1045" t="s">
        <v>25</v>
      </c>
      <c r="K1045" t="s">
        <v>36</v>
      </c>
      <c r="L1045" t="s">
        <v>27</v>
      </c>
      <c r="M1045">
        <v>1</v>
      </c>
      <c r="N1045" s="2">
        <v>48</v>
      </c>
      <c r="O1045" s="3">
        <v>1410</v>
      </c>
      <c r="P1045">
        <v>0</v>
      </c>
      <c r="Q1045">
        <v>3</v>
      </c>
      <c r="R1045" t="s">
        <v>33</v>
      </c>
      <c r="S1045">
        <v>1</v>
      </c>
    </row>
    <row r="1046" spans="1:19" ht="16.5" x14ac:dyDescent="0.3">
      <c r="A1046" t="s">
        <v>1100</v>
      </c>
      <c r="B1046" s="1">
        <v>45417</v>
      </c>
      <c r="C1046" s="1">
        <v>45418</v>
      </c>
      <c r="D1046">
        <v>2024</v>
      </c>
      <c r="E1046" t="s">
        <v>836</v>
      </c>
      <c r="F1046" t="s">
        <v>1062</v>
      </c>
      <c r="G1046" t="s">
        <v>112</v>
      </c>
      <c r="H1046" t="s">
        <v>52</v>
      </c>
      <c r="I1046" t="s">
        <v>40</v>
      </c>
      <c r="J1046" t="s">
        <v>43</v>
      </c>
      <c r="K1046" t="s">
        <v>26</v>
      </c>
      <c r="L1046" t="s">
        <v>44</v>
      </c>
      <c r="M1046">
        <v>1</v>
      </c>
      <c r="N1046" s="2"/>
      <c r="O1046" s="3">
        <v>2166</v>
      </c>
      <c r="P1046">
        <v>0</v>
      </c>
      <c r="Q1046">
        <v>4</v>
      </c>
      <c r="R1046" t="s">
        <v>59</v>
      </c>
      <c r="S1046">
        <v>1</v>
      </c>
    </row>
    <row r="1047" spans="1:19" ht="16.5" x14ac:dyDescent="0.3">
      <c r="A1047" t="s">
        <v>1101</v>
      </c>
      <c r="B1047" s="1">
        <v>45417</v>
      </c>
      <c r="C1047" s="1">
        <v>45424</v>
      </c>
      <c r="D1047">
        <v>2024</v>
      </c>
      <c r="E1047" t="s">
        <v>836</v>
      </c>
      <c r="F1047" t="s">
        <v>1062</v>
      </c>
      <c r="G1047" t="s">
        <v>112</v>
      </c>
      <c r="H1047" t="s">
        <v>50</v>
      </c>
      <c r="I1047" t="s">
        <v>24</v>
      </c>
      <c r="J1047" t="s">
        <v>25</v>
      </c>
      <c r="K1047" t="s">
        <v>53</v>
      </c>
      <c r="L1047" t="s">
        <v>27</v>
      </c>
      <c r="M1047">
        <v>7</v>
      </c>
      <c r="N1047" s="2">
        <v>112</v>
      </c>
      <c r="O1047" s="3">
        <v>10462</v>
      </c>
      <c r="P1047">
        <v>0</v>
      </c>
      <c r="Q1047">
        <v>4</v>
      </c>
      <c r="R1047" t="s">
        <v>33</v>
      </c>
      <c r="S1047">
        <v>1</v>
      </c>
    </row>
    <row r="1048" spans="1:19" ht="16.5" x14ac:dyDescent="0.3">
      <c r="A1048" t="s">
        <v>1102</v>
      </c>
      <c r="B1048" s="1">
        <v>45418</v>
      </c>
      <c r="C1048" s="1">
        <v>45422</v>
      </c>
      <c r="D1048">
        <v>2024</v>
      </c>
      <c r="E1048" t="s">
        <v>836</v>
      </c>
      <c r="F1048" t="s">
        <v>1062</v>
      </c>
      <c r="G1048" t="s">
        <v>22</v>
      </c>
      <c r="H1048" t="s">
        <v>23</v>
      </c>
      <c r="I1048" t="s">
        <v>24</v>
      </c>
      <c r="J1048" t="s">
        <v>43</v>
      </c>
      <c r="K1048" t="s">
        <v>26</v>
      </c>
      <c r="L1048" t="s">
        <v>44</v>
      </c>
      <c r="M1048">
        <v>4</v>
      </c>
      <c r="N1048" s="2">
        <v>46</v>
      </c>
      <c r="O1048" s="3">
        <v>4091</v>
      </c>
      <c r="P1048">
        <v>0</v>
      </c>
      <c r="Q1048">
        <v>4</v>
      </c>
      <c r="R1048" t="s">
        <v>33</v>
      </c>
      <c r="S1048">
        <v>1</v>
      </c>
    </row>
    <row r="1049" spans="1:19" ht="16.5" x14ac:dyDescent="0.3">
      <c r="A1049" t="s">
        <v>1103</v>
      </c>
      <c r="B1049" s="1">
        <v>45418</v>
      </c>
      <c r="C1049" s="1">
        <v>45426</v>
      </c>
      <c r="D1049">
        <v>2024</v>
      </c>
      <c r="E1049" t="s">
        <v>836</v>
      </c>
      <c r="F1049" t="s">
        <v>1062</v>
      </c>
      <c r="G1049" t="s">
        <v>22</v>
      </c>
      <c r="H1049" t="s">
        <v>52</v>
      </c>
      <c r="I1049" t="s">
        <v>40</v>
      </c>
      <c r="J1049" t="s">
        <v>43</v>
      </c>
      <c r="K1049" t="s">
        <v>26</v>
      </c>
      <c r="L1049" t="s">
        <v>27</v>
      </c>
      <c r="M1049">
        <v>8</v>
      </c>
      <c r="N1049" s="2"/>
      <c r="O1049" s="3">
        <v>7088</v>
      </c>
      <c r="P1049">
        <v>0</v>
      </c>
      <c r="Q1049">
        <v>4</v>
      </c>
      <c r="R1049" t="s">
        <v>33</v>
      </c>
      <c r="S1049">
        <v>1</v>
      </c>
    </row>
    <row r="1050" spans="1:19" ht="16.5" x14ac:dyDescent="0.3">
      <c r="A1050" t="s">
        <v>1104</v>
      </c>
      <c r="B1050" s="1">
        <v>45418</v>
      </c>
      <c r="C1050" s="1">
        <v>45422</v>
      </c>
      <c r="D1050">
        <v>2024</v>
      </c>
      <c r="E1050" t="s">
        <v>836</v>
      </c>
      <c r="F1050" t="s">
        <v>1062</v>
      </c>
      <c r="G1050" t="s">
        <v>22</v>
      </c>
      <c r="H1050" t="s">
        <v>35</v>
      </c>
      <c r="I1050" t="s">
        <v>24</v>
      </c>
      <c r="J1050" t="s">
        <v>25</v>
      </c>
      <c r="K1050" t="s">
        <v>36</v>
      </c>
      <c r="L1050" t="s">
        <v>27</v>
      </c>
      <c r="M1050">
        <v>4</v>
      </c>
      <c r="N1050" s="2">
        <v>37</v>
      </c>
      <c r="O1050" s="3">
        <v>4044</v>
      </c>
      <c r="P1050">
        <v>0</v>
      </c>
      <c r="Q1050">
        <v>5</v>
      </c>
      <c r="R1050" t="s">
        <v>28</v>
      </c>
      <c r="S1050">
        <v>1</v>
      </c>
    </row>
    <row r="1051" spans="1:19" ht="16.5" x14ac:dyDescent="0.3">
      <c r="A1051" t="s">
        <v>1105</v>
      </c>
      <c r="B1051" s="1">
        <v>45418</v>
      </c>
      <c r="C1051" s="1">
        <v>45419</v>
      </c>
      <c r="D1051">
        <v>2024</v>
      </c>
      <c r="E1051" t="s">
        <v>836</v>
      </c>
      <c r="F1051" t="s">
        <v>1062</v>
      </c>
      <c r="G1051" t="s">
        <v>22</v>
      </c>
      <c r="H1051" t="s">
        <v>52</v>
      </c>
      <c r="I1051" t="s">
        <v>40</v>
      </c>
      <c r="J1051" t="s">
        <v>43</v>
      </c>
      <c r="K1051" t="s">
        <v>53</v>
      </c>
      <c r="L1051" t="s">
        <v>44</v>
      </c>
      <c r="M1051">
        <v>1</v>
      </c>
      <c r="N1051" s="2"/>
      <c r="O1051" s="3">
        <v>1796</v>
      </c>
      <c r="P1051">
        <v>0</v>
      </c>
      <c r="Q1051">
        <v>4</v>
      </c>
      <c r="R1051" t="s">
        <v>28</v>
      </c>
      <c r="S1051">
        <v>1</v>
      </c>
    </row>
    <row r="1052" spans="1:19" ht="16.5" x14ac:dyDescent="0.3">
      <c r="A1052" t="s">
        <v>1106</v>
      </c>
      <c r="B1052" s="1">
        <v>45418</v>
      </c>
      <c r="C1052" s="1">
        <v>45422</v>
      </c>
      <c r="D1052">
        <v>2024</v>
      </c>
      <c r="E1052" t="s">
        <v>836</v>
      </c>
      <c r="F1052" t="s">
        <v>1062</v>
      </c>
      <c r="G1052" t="s">
        <v>22</v>
      </c>
      <c r="H1052" t="s">
        <v>50</v>
      </c>
      <c r="I1052" t="s">
        <v>24</v>
      </c>
      <c r="J1052" t="s">
        <v>25</v>
      </c>
      <c r="K1052" t="s">
        <v>36</v>
      </c>
      <c r="L1052" t="s">
        <v>44</v>
      </c>
      <c r="M1052">
        <v>4</v>
      </c>
      <c r="N1052" s="2">
        <v>65</v>
      </c>
      <c r="O1052" s="3">
        <v>6008</v>
      </c>
      <c r="P1052">
        <v>0</v>
      </c>
      <c r="Q1052">
        <v>4</v>
      </c>
      <c r="R1052" t="s">
        <v>28</v>
      </c>
      <c r="S1052">
        <v>1</v>
      </c>
    </row>
    <row r="1053" spans="1:19" ht="16.5" x14ac:dyDescent="0.3">
      <c r="A1053" t="s">
        <v>1107</v>
      </c>
      <c r="B1053" s="1">
        <v>45418</v>
      </c>
      <c r="C1053" s="1">
        <v>45424</v>
      </c>
      <c r="D1053">
        <v>2024</v>
      </c>
      <c r="E1053" t="s">
        <v>836</v>
      </c>
      <c r="F1053" t="s">
        <v>1062</v>
      </c>
      <c r="G1053" t="s">
        <v>22</v>
      </c>
      <c r="H1053" t="s">
        <v>52</v>
      </c>
      <c r="I1053" t="s">
        <v>40</v>
      </c>
      <c r="J1053" t="s">
        <v>25</v>
      </c>
      <c r="K1053" t="s">
        <v>26</v>
      </c>
      <c r="L1053" t="s">
        <v>27</v>
      </c>
      <c r="M1053">
        <v>6</v>
      </c>
      <c r="N1053" s="2"/>
      <c r="O1053" s="3">
        <v>6633</v>
      </c>
      <c r="P1053">
        <v>0</v>
      </c>
      <c r="Q1053">
        <v>5</v>
      </c>
      <c r="R1053" t="s">
        <v>28</v>
      </c>
      <c r="S1053">
        <v>1</v>
      </c>
    </row>
    <row r="1054" spans="1:19" ht="16.5" x14ac:dyDescent="0.3">
      <c r="A1054" t="s">
        <v>1108</v>
      </c>
      <c r="B1054" s="1">
        <v>45418</v>
      </c>
      <c r="C1054" s="1">
        <v>45436</v>
      </c>
      <c r="D1054">
        <v>2024</v>
      </c>
      <c r="E1054" t="s">
        <v>836</v>
      </c>
      <c r="F1054" t="s">
        <v>1062</v>
      </c>
      <c r="G1054" t="s">
        <v>22</v>
      </c>
      <c r="H1054" t="s">
        <v>23</v>
      </c>
      <c r="I1054" t="s">
        <v>24</v>
      </c>
      <c r="J1054" t="s">
        <v>25</v>
      </c>
      <c r="K1054" t="s">
        <v>53</v>
      </c>
      <c r="L1054" t="s">
        <v>27</v>
      </c>
      <c r="M1054">
        <v>18</v>
      </c>
      <c r="N1054" s="2">
        <v>58</v>
      </c>
      <c r="O1054" s="3">
        <v>11207</v>
      </c>
      <c r="P1054">
        <v>0</v>
      </c>
      <c r="Q1054">
        <v>3</v>
      </c>
      <c r="R1054" t="s">
        <v>28</v>
      </c>
      <c r="S1054">
        <v>1</v>
      </c>
    </row>
    <row r="1055" spans="1:19" ht="16.5" x14ac:dyDescent="0.3">
      <c r="A1055" t="s">
        <v>1109</v>
      </c>
      <c r="B1055" s="1">
        <v>45419</v>
      </c>
      <c r="C1055" s="1">
        <v>45420</v>
      </c>
      <c r="D1055">
        <v>2024</v>
      </c>
      <c r="E1055" t="s">
        <v>836</v>
      </c>
      <c r="F1055" t="s">
        <v>1062</v>
      </c>
      <c r="G1055" t="s">
        <v>56</v>
      </c>
      <c r="H1055" t="s">
        <v>35</v>
      </c>
      <c r="I1055" t="s">
        <v>31</v>
      </c>
      <c r="J1055" t="s">
        <v>25</v>
      </c>
      <c r="K1055" t="s">
        <v>36</v>
      </c>
      <c r="L1055" t="s">
        <v>27</v>
      </c>
      <c r="M1055">
        <v>1</v>
      </c>
      <c r="N1055" s="2"/>
      <c r="O1055" s="3">
        <v>1409</v>
      </c>
      <c r="P1055">
        <v>0</v>
      </c>
      <c r="Q1055">
        <v>4</v>
      </c>
      <c r="R1055" t="s">
        <v>33</v>
      </c>
      <c r="S1055">
        <v>1</v>
      </c>
    </row>
    <row r="1056" spans="1:19" ht="16.5" x14ac:dyDescent="0.3">
      <c r="A1056" t="s">
        <v>1110</v>
      </c>
      <c r="B1056" s="1">
        <v>45419</v>
      </c>
      <c r="C1056" s="1">
        <v>45421</v>
      </c>
      <c r="D1056">
        <v>2024</v>
      </c>
      <c r="E1056" t="s">
        <v>836</v>
      </c>
      <c r="F1056" t="s">
        <v>1062</v>
      </c>
      <c r="G1056" t="s">
        <v>56</v>
      </c>
      <c r="H1056" t="s">
        <v>35</v>
      </c>
      <c r="I1056" t="s">
        <v>24</v>
      </c>
      <c r="J1056" t="s">
        <v>25</v>
      </c>
      <c r="K1056" t="s">
        <v>36</v>
      </c>
      <c r="L1056" t="s">
        <v>44</v>
      </c>
      <c r="M1056">
        <v>2</v>
      </c>
      <c r="N1056" s="2">
        <v>47</v>
      </c>
      <c r="O1056" s="3">
        <v>2360</v>
      </c>
      <c r="P1056">
        <v>0</v>
      </c>
      <c r="Q1056">
        <v>5</v>
      </c>
      <c r="R1056" t="s">
        <v>33</v>
      </c>
      <c r="S1056">
        <v>1</v>
      </c>
    </row>
    <row r="1057" spans="1:19" ht="16.5" x14ac:dyDescent="0.3">
      <c r="A1057" t="s">
        <v>1111</v>
      </c>
      <c r="B1057" s="1">
        <v>45419</v>
      </c>
      <c r="C1057" s="1">
        <v>45423</v>
      </c>
      <c r="D1057">
        <v>2024</v>
      </c>
      <c r="E1057" t="s">
        <v>836</v>
      </c>
      <c r="F1057" t="s">
        <v>1062</v>
      </c>
      <c r="G1057" t="s">
        <v>56</v>
      </c>
      <c r="H1057" t="s">
        <v>50</v>
      </c>
      <c r="I1057" t="s">
        <v>40</v>
      </c>
      <c r="J1057" t="s">
        <v>25</v>
      </c>
      <c r="K1057" t="s">
        <v>36</v>
      </c>
      <c r="L1057" t="s">
        <v>37</v>
      </c>
      <c r="M1057">
        <v>4</v>
      </c>
      <c r="N1057" s="2"/>
      <c r="O1057" s="3">
        <v>7051</v>
      </c>
      <c r="P1057">
        <v>0</v>
      </c>
      <c r="Q1057">
        <v>5</v>
      </c>
      <c r="R1057" t="s">
        <v>33</v>
      </c>
      <c r="S1057">
        <v>1</v>
      </c>
    </row>
    <row r="1058" spans="1:19" ht="16.5" x14ac:dyDescent="0.3">
      <c r="A1058" t="s">
        <v>1112</v>
      </c>
      <c r="B1058" s="1">
        <v>45419</v>
      </c>
      <c r="C1058" s="1">
        <v>45425</v>
      </c>
      <c r="D1058">
        <v>2024</v>
      </c>
      <c r="E1058" t="s">
        <v>836</v>
      </c>
      <c r="F1058" t="s">
        <v>1062</v>
      </c>
      <c r="G1058" t="s">
        <v>56</v>
      </c>
      <c r="H1058" t="s">
        <v>39</v>
      </c>
      <c r="I1058" t="s">
        <v>24</v>
      </c>
      <c r="J1058" t="s">
        <v>43</v>
      </c>
      <c r="K1058" t="s">
        <v>41</v>
      </c>
      <c r="L1058" t="s">
        <v>44</v>
      </c>
      <c r="M1058">
        <v>6</v>
      </c>
      <c r="N1058" s="2">
        <v>13</v>
      </c>
      <c r="O1058" s="3">
        <v>4810</v>
      </c>
      <c r="P1058">
        <v>0</v>
      </c>
      <c r="Q1058">
        <v>3</v>
      </c>
      <c r="R1058" t="s">
        <v>33</v>
      </c>
      <c r="S1058">
        <v>1</v>
      </c>
    </row>
    <row r="1059" spans="1:19" ht="16.5" x14ac:dyDescent="0.3">
      <c r="A1059" t="s">
        <v>1113</v>
      </c>
      <c r="B1059" s="1">
        <v>45419</v>
      </c>
      <c r="C1059" s="1">
        <v>45422</v>
      </c>
      <c r="D1059">
        <v>2024</v>
      </c>
      <c r="E1059" t="s">
        <v>836</v>
      </c>
      <c r="F1059" t="s">
        <v>1062</v>
      </c>
      <c r="G1059" t="s">
        <v>56</v>
      </c>
      <c r="H1059" t="s">
        <v>30</v>
      </c>
      <c r="I1059" t="s">
        <v>40</v>
      </c>
      <c r="J1059" t="s">
        <v>25</v>
      </c>
      <c r="K1059" t="s">
        <v>53</v>
      </c>
      <c r="L1059" t="s">
        <v>27</v>
      </c>
      <c r="M1059">
        <v>3</v>
      </c>
      <c r="N1059" s="2"/>
      <c r="O1059" s="3">
        <v>5026</v>
      </c>
      <c r="P1059">
        <v>0</v>
      </c>
      <c r="Q1059">
        <v>5</v>
      </c>
      <c r="R1059" t="s">
        <v>59</v>
      </c>
      <c r="S1059">
        <v>1</v>
      </c>
    </row>
    <row r="1060" spans="1:19" ht="16.5" x14ac:dyDescent="0.3">
      <c r="A1060" t="s">
        <v>1114</v>
      </c>
      <c r="B1060" s="1">
        <v>45419</v>
      </c>
      <c r="C1060" s="1">
        <v>45424</v>
      </c>
      <c r="D1060">
        <v>2024</v>
      </c>
      <c r="E1060" t="s">
        <v>836</v>
      </c>
      <c r="F1060" t="s">
        <v>1062</v>
      </c>
      <c r="G1060" t="s">
        <v>56</v>
      </c>
      <c r="H1060" t="s">
        <v>35</v>
      </c>
      <c r="I1060" t="s">
        <v>24</v>
      </c>
      <c r="J1060" t="s">
        <v>25</v>
      </c>
      <c r="K1060" t="s">
        <v>36</v>
      </c>
      <c r="L1060" t="s">
        <v>44</v>
      </c>
      <c r="M1060">
        <v>5</v>
      </c>
      <c r="N1060" s="2">
        <v>32</v>
      </c>
      <c r="O1060" s="3">
        <v>4450</v>
      </c>
      <c r="P1060">
        <v>0</v>
      </c>
      <c r="Q1060">
        <v>4</v>
      </c>
      <c r="R1060" t="s">
        <v>28</v>
      </c>
      <c r="S1060">
        <v>1</v>
      </c>
    </row>
    <row r="1061" spans="1:19" ht="16.5" x14ac:dyDescent="0.3">
      <c r="A1061" t="s">
        <v>1115</v>
      </c>
      <c r="B1061" s="1">
        <v>45420</v>
      </c>
      <c r="C1061" s="1">
        <v>45432</v>
      </c>
      <c r="D1061">
        <v>2024</v>
      </c>
      <c r="E1061" t="s">
        <v>836</v>
      </c>
      <c r="F1061" t="s">
        <v>1062</v>
      </c>
      <c r="G1061" t="s">
        <v>70</v>
      </c>
      <c r="H1061" t="s">
        <v>23</v>
      </c>
      <c r="I1061" t="s">
        <v>40</v>
      </c>
      <c r="J1061" t="s">
        <v>43</v>
      </c>
      <c r="K1061" t="s">
        <v>32</v>
      </c>
      <c r="L1061" t="s">
        <v>27</v>
      </c>
      <c r="M1061">
        <v>12</v>
      </c>
      <c r="N1061" s="2"/>
      <c r="O1061" s="3">
        <v>7704</v>
      </c>
      <c r="P1061">
        <v>0</v>
      </c>
      <c r="Q1061">
        <v>4</v>
      </c>
      <c r="R1061" t="s">
        <v>33</v>
      </c>
      <c r="S1061">
        <v>1</v>
      </c>
    </row>
    <row r="1062" spans="1:19" ht="16.5" x14ac:dyDescent="0.3">
      <c r="A1062" t="s">
        <v>1116</v>
      </c>
      <c r="B1062" s="1">
        <v>45420</v>
      </c>
      <c r="C1062" s="1">
        <v>45421</v>
      </c>
      <c r="D1062">
        <v>2024</v>
      </c>
      <c r="E1062" t="s">
        <v>836</v>
      </c>
      <c r="F1062" t="s">
        <v>1062</v>
      </c>
      <c r="G1062" t="s">
        <v>70</v>
      </c>
      <c r="H1062" t="s">
        <v>52</v>
      </c>
      <c r="I1062" t="s">
        <v>40</v>
      </c>
      <c r="J1062" t="s">
        <v>43</v>
      </c>
      <c r="K1062" t="s">
        <v>36</v>
      </c>
      <c r="L1062" t="s">
        <v>27</v>
      </c>
      <c r="M1062">
        <v>1</v>
      </c>
      <c r="N1062" s="2"/>
      <c r="O1062" s="3">
        <v>1911</v>
      </c>
      <c r="P1062">
        <v>0</v>
      </c>
      <c r="Q1062">
        <v>4</v>
      </c>
      <c r="R1062" t="s">
        <v>33</v>
      </c>
      <c r="S1062">
        <v>1</v>
      </c>
    </row>
    <row r="1063" spans="1:19" ht="16.5" x14ac:dyDescent="0.3">
      <c r="A1063" t="s">
        <v>1117</v>
      </c>
      <c r="B1063" s="1">
        <v>45420</v>
      </c>
      <c r="C1063" s="1">
        <v>45423</v>
      </c>
      <c r="D1063">
        <v>2024</v>
      </c>
      <c r="E1063" t="s">
        <v>836</v>
      </c>
      <c r="F1063" t="s">
        <v>1062</v>
      </c>
      <c r="G1063" t="s">
        <v>70</v>
      </c>
      <c r="H1063" t="s">
        <v>50</v>
      </c>
      <c r="I1063" t="s">
        <v>40</v>
      </c>
      <c r="J1063" t="s">
        <v>43</v>
      </c>
      <c r="K1063" t="s">
        <v>32</v>
      </c>
      <c r="L1063" t="s">
        <v>44</v>
      </c>
      <c r="M1063">
        <v>3</v>
      </c>
      <c r="N1063" s="2"/>
      <c r="O1063" s="3">
        <v>3587</v>
      </c>
      <c r="P1063">
        <v>0</v>
      </c>
      <c r="Q1063">
        <v>4</v>
      </c>
      <c r="R1063" t="s">
        <v>33</v>
      </c>
      <c r="S1063">
        <v>1</v>
      </c>
    </row>
    <row r="1064" spans="1:19" ht="16.5" x14ac:dyDescent="0.3">
      <c r="A1064" t="s">
        <v>1118</v>
      </c>
      <c r="B1064" s="1">
        <v>45420</v>
      </c>
      <c r="C1064" s="1">
        <v>45425</v>
      </c>
      <c r="D1064">
        <v>2024</v>
      </c>
      <c r="E1064" t="s">
        <v>836</v>
      </c>
      <c r="F1064" t="s">
        <v>1062</v>
      </c>
      <c r="G1064" t="s">
        <v>70</v>
      </c>
      <c r="H1064" t="s">
        <v>39</v>
      </c>
      <c r="I1064" t="s">
        <v>40</v>
      </c>
      <c r="J1064" t="s">
        <v>25</v>
      </c>
      <c r="K1064" t="s">
        <v>41</v>
      </c>
      <c r="L1064" t="s">
        <v>27</v>
      </c>
      <c r="M1064">
        <v>5</v>
      </c>
      <c r="N1064" s="2"/>
      <c r="O1064" s="3">
        <v>4092</v>
      </c>
      <c r="P1064">
        <v>0</v>
      </c>
      <c r="Q1064">
        <v>3</v>
      </c>
      <c r="R1064" t="s">
        <v>33</v>
      </c>
      <c r="S1064">
        <v>1</v>
      </c>
    </row>
    <row r="1065" spans="1:19" ht="16.5" x14ac:dyDescent="0.3">
      <c r="A1065" t="s">
        <v>1119</v>
      </c>
      <c r="B1065" s="1">
        <v>45420</v>
      </c>
      <c r="C1065" s="1">
        <v>45424</v>
      </c>
      <c r="D1065">
        <v>2024</v>
      </c>
      <c r="E1065" t="s">
        <v>836</v>
      </c>
      <c r="F1065" t="s">
        <v>1062</v>
      </c>
      <c r="G1065" t="s">
        <v>70</v>
      </c>
      <c r="H1065" t="s">
        <v>39</v>
      </c>
      <c r="I1065" t="s">
        <v>24</v>
      </c>
      <c r="J1065" t="s">
        <v>25</v>
      </c>
      <c r="K1065" t="s">
        <v>41</v>
      </c>
      <c r="L1065" t="s">
        <v>27</v>
      </c>
      <c r="M1065">
        <v>4</v>
      </c>
      <c r="N1065" s="2">
        <v>28</v>
      </c>
      <c r="O1065" s="3">
        <v>3686</v>
      </c>
      <c r="P1065">
        <v>0</v>
      </c>
      <c r="Q1065">
        <v>3</v>
      </c>
      <c r="R1065" t="s">
        <v>28</v>
      </c>
      <c r="S1065">
        <v>1</v>
      </c>
    </row>
    <row r="1066" spans="1:19" ht="16.5" x14ac:dyDescent="0.3">
      <c r="A1066" t="s">
        <v>1120</v>
      </c>
      <c r="B1066" s="1">
        <v>45420</v>
      </c>
      <c r="C1066" s="1">
        <v>45422</v>
      </c>
      <c r="D1066">
        <v>2024</v>
      </c>
      <c r="E1066" t="s">
        <v>836</v>
      </c>
      <c r="F1066" t="s">
        <v>1062</v>
      </c>
      <c r="G1066" t="s">
        <v>70</v>
      </c>
      <c r="H1066" t="s">
        <v>52</v>
      </c>
      <c r="I1066" t="s">
        <v>40</v>
      </c>
      <c r="J1066" t="s">
        <v>43</v>
      </c>
      <c r="K1066" t="s">
        <v>36</v>
      </c>
      <c r="L1066" t="s">
        <v>27</v>
      </c>
      <c r="M1066">
        <v>2</v>
      </c>
      <c r="N1066" s="2"/>
      <c r="O1066" s="3">
        <v>2275</v>
      </c>
      <c r="P1066">
        <v>0</v>
      </c>
      <c r="Q1066">
        <v>5</v>
      </c>
      <c r="R1066" t="s">
        <v>33</v>
      </c>
      <c r="S1066">
        <v>1</v>
      </c>
    </row>
    <row r="1067" spans="1:19" ht="16.5" x14ac:dyDescent="0.3">
      <c r="A1067" t="s">
        <v>1121</v>
      </c>
      <c r="B1067" s="1">
        <v>45420</v>
      </c>
      <c r="C1067" s="1">
        <v>45421</v>
      </c>
      <c r="D1067">
        <v>2024</v>
      </c>
      <c r="E1067" t="s">
        <v>836</v>
      </c>
      <c r="F1067" t="s">
        <v>1062</v>
      </c>
      <c r="G1067" t="s">
        <v>70</v>
      </c>
      <c r="H1067" t="s">
        <v>30</v>
      </c>
      <c r="I1067" t="s">
        <v>40</v>
      </c>
      <c r="J1067" t="s">
        <v>25</v>
      </c>
      <c r="K1067" t="s">
        <v>32</v>
      </c>
      <c r="L1067" t="s">
        <v>44</v>
      </c>
      <c r="M1067">
        <v>1</v>
      </c>
      <c r="N1067" s="2"/>
      <c r="O1067" s="3">
        <v>2337</v>
      </c>
      <c r="P1067">
        <v>0</v>
      </c>
      <c r="Q1067">
        <v>3</v>
      </c>
      <c r="R1067" t="s">
        <v>28</v>
      </c>
      <c r="S1067">
        <v>1</v>
      </c>
    </row>
    <row r="1068" spans="1:19" ht="16.5" x14ac:dyDescent="0.3">
      <c r="A1068" t="s">
        <v>1122</v>
      </c>
      <c r="B1068" s="1">
        <v>45421</v>
      </c>
      <c r="C1068" s="1">
        <v>45424</v>
      </c>
      <c r="D1068">
        <v>2024</v>
      </c>
      <c r="E1068" t="s">
        <v>836</v>
      </c>
      <c r="F1068" t="s">
        <v>1062</v>
      </c>
      <c r="G1068" t="s">
        <v>78</v>
      </c>
      <c r="H1068" t="s">
        <v>30</v>
      </c>
      <c r="I1068" t="s">
        <v>40</v>
      </c>
      <c r="J1068" t="s">
        <v>25</v>
      </c>
      <c r="K1068" t="s">
        <v>53</v>
      </c>
      <c r="L1068" t="s">
        <v>44</v>
      </c>
      <c r="M1068">
        <v>3</v>
      </c>
      <c r="N1068" s="2"/>
      <c r="O1068" s="3">
        <v>4147</v>
      </c>
      <c r="P1068">
        <v>0</v>
      </c>
      <c r="Q1068">
        <v>4</v>
      </c>
      <c r="R1068" t="s">
        <v>33</v>
      </c>
      <c r="S1068">
        <v>1</v>
      </c>
    </row>
    <row r="1069" spans="1:19" ht="16.5" x14ac:dyDescent="0.3">
      <c r="A1069" t="s">
        <v>1123</v>
      </c>
      <c r="B1069" s="1">
        <v>45421</v>
      </c>
      <c r="C1069" s="1">
        <v>45422</v>
      </c>
      <c r="D1069">
        <v>2024</v>
      </c>
      <c r="E1069" t="s">
        <v>836</v>
      </c>
      <c r="F1069" t="s">
        <v>1062</v>
      </c>
      <c r="G1069" t="s">
        <v>78</v>
      </c>
      <c r="H1069" t="s">
        <v>35</v>
      </c>
      <c r="I1069" t="s">
        <v>24</v>
      </c>
      <c r="J1069" t="s">
        <v>25</v>
      </c>
      <c r="K1069" t="s">
        <v>36</v>
      </c>
      <c r="L1069" t="s">
        <v>27</v>
      </c>
      <c r="M1069">
        <v>1</v>
      </c>
      <c r="N1069" s="2">
        <v>78</v>
      </c>
      <c r="O1069" s="3">
        <v>1719</v>
      </c>
      <c r="P1069">
        <v>0</v>
      </c>
      <c r="Q1069">
        <v>4</v>
      </c>
      <c r="R1069" t="s">
        <v>33</v>
      </c>
      <c r="S1069">
        <v>1</v>
      </c>
    </row>
    <row r="1070" spans="1:19" ht="16.5" x14ac:dyDescent="0.3">
      <c r="A1070" t="s">
        <v>1124</v>
      </c>
      <c r="B1070" s="1">
        <v>45421</v>
      </c>
      <c r="C1070" s="1">
        <v>45425</v>
      </c>
      <c r="D1070">
        <v>2024</v>
      </c>
      <c r="E1070" t="s">
        <v>836</v>
      </c>
      <c r="F1070" t="s">
        <v>1062</v>
      </c>
      <c r="G1070" t="s">
        <v>78</v>
      </c>
      <c r="H1070" t="s">
        <v>39</v>
      </c>
      <c r="I1070" t="s">
        <v>24</v>
      </c>
      <c r="J1070" t="s">
        <v>25</v>
      </c>
      <c r="K1070" t="s">
        <v>41</v>
      </c>
      <c r="L1070" t="s">
        <v>44</v>
      </c>
      <c r="M1070">
        <v>4</v>
      </c>
      <c r="N1070" s="2">
        <v>30</v>
      </c>
      <c r="O1070" s="3">
        <v>2742</v>
      </c>
      <c r="P1070">
        <v>0</v>
      </c>
      <c r="Q1070">
        <v>5</v>
      </c>
      <c r="R1070" t="s">
        <v>33</v>
      </c>
      <c r="S1070">
        <v>1</v>
      </c>
    </row>
    <row r="1071" spans="1:19" ht="16.5" x14ac:dyDescent="0.3">
      <c r="A1071" t="s">
        <v>1125</v>
      </c>
      <c r="B1071" s="1">
        <v>45421</v>
      </c>
      <c r="C1071" s="1">
        <v>45425</v>
      </c>
      <c r="D1071">
        <v>2024</v>
      </c>
      <c r="E1071" t="s">
        <v>836</v>
      </c>
      <c r="F1071" t="s">
        <v>1062</v>
      </c>
      <c r="G1071" t="s">
        <v>78</v>
      </c>
      <c r="H1071" t="s">
        <v>35</v>
      </c>
      <c r="I1071" t="s">
        <v>24</v>
      </c>
      <c r="J1071" t="s">
        <v>25</v>
      </c>
      <c r="K1071" t="s">
        <v>32</v>
      </c>
      <c r="L1071" t="s">
        <v>44</v>
      </c>
      <c r="M1071">
        <v>4</v>
      </c>
      <c r="N1071" s="2">
        <v>31</v>
      </c>
      <c r="O1071" s="3">
        <v>3864</v>
      </c>
      <c r="P1071">
        <v>0</v>
      </c>
      <c r="Q1071">
        <v>4</v>
      </c>
      <c r="R1071" t="s">
        <v>33</v>
      </c>
      <c r="S1071">
        <v>1</v>
      </c>
    </row>
    <row r="1072" spans="1:19" ht="16.5" x14ac:dyDescent="0.3">
      <c r="A1072" t="s">
        <v>1126</v>
      </c>
      <c r="B1072" s="1">
        <v>45421</v>
      </c>
      <c r="C1072" s="1">
        <v>45425</v>
      </c>
      <c r="D1072">
        <v>2024</v>
      </c>
      <c r="E1072" t="s">
        <v>836</v>
      </c>
      <c r="F1072" t="s">
        <v>1062</v>
      </c>
      <c r="G1072" t="s">
        <v>78</v>
      </c>
      <c r="H1072" t="s">
        <v>35</v>
      </c>
      <c r="I1072" t="s">
        <v>24</v>
      </c>
      <c r="J1072" t="s">
        <v>25</v>
      </c>
      <c r="K1072" t="s">
        <v>36</v>
      </c>
      <c r="L1072" t="s">
        <v>44</v>
      </c>
      <c r="M1072">
        <v>4</v>
      </c>
      <c r="N1072" s="2">
        <v>85</v>
      </c>
      <c r="O1072" s="3">
        <v>3583</v>
      </c>
      <c r="P1072">
        <v>0</v>
      </c>
      <c r="Q1072">
        <v>4</v>
      </c>
      <c r="R1072" t="s">
        <v>33</v>
      </c>
      <c r="S1072">
        <v>1</v>
      </c>
    </row>
    <row r="1073" spans="1:19" ht="16.5" x14ac:dyDescent="0.3">
      <c r="A1073" t="s">
        <v>1127</v>
      </c>
      <c r="B1073" s="1">
        <v>45421</v>
      </c>
      <c r="C1073" s="1">
        <v>45431</v>
      </c>
      <c r="D1073">
        <v>2024</v>
      </c>
      <c r="E1073" t="s">
        <v>836</v>
      </c>
      <c r="F1073" t="s">
        <v>1062</v>
      </c>
      <c r="G1073" t="s">
        <v>78</v>
      </c>
      <c r="H1073" t="s">
        <v>23</v>
      </c>
      <c r="I1073" t="s">
        <v>24</v>
      </c>
      <c r="J1073" t="s">
        <v>25</v>
      </c>
      <c r="K1073" t="s">
        <v>26</v>
      </c>
      <c r="L1073" t="s">
        <v>27</v>
      </c>
      <c r="M1073">
        <v>10</v>
      </c>
      <c r="N1073" s="2">
        <v>54</v>
      </c>
      <c r="O1073" s="3">
        <v>6572</v>
      </c>
      <c r="P1073">
        <v>0</v>
      </c>
      <c r="Q1073">
        <v>3</v>
      </c>
      <c r="R1073" t="s">
        <v>33</v>
      </c>
      <c r="S1073">
        <v>1</v>
      </c>
    </row>
    <row r="1074" spans="1:19" ht="16.5" x14ac:dyDescent="0.3">
      <c r="A1074" t="s">
        <v>1128</v>
      </c>
      <c r="B1074" s="1">
        <v>45421</v>
      </c>
      <c r="C1074" s="1">
        <v>45425</v>
      </c>
      <c r="D1074">
        <v>2024</v>
      </c>
      <c r="E1074" t="s">
        <v>836</v>
      </c>
      <c r="F1074" t="s">
        <v>1062</v>
      </c>
      <c r="G1074" t="s">
        <v>78</v>
      </c>
      <c r="H1074" t="s">
        <v>52</v>
      </c>
      <c r="I1074" t="s">
        <v>24</v>
      </c>
      <c r="J1074" t="s">
        <v>43</v>
      </c>
      <c r="K1074" t="s">
        <v>32</v>
      </c>
      <c r="L1074" t="s">
        <v>44</v>
      </c>
      <c r="M1074">
        <v>4</v>
      </c>
      <c r="N1074" s="2">
        <v>34</v>
      </c>
      <c r="O1074" s="3">
        <v>4418</v>
      </c>
      <c r="P1074">
        <v>0</v>
      </c>
      <c r="Q1074">
        <v>2</v>
      </c>
      <c r="R1074" t="s">
        <v>33</v>
      </c>
      <c r="S1074">
        <v>1</v>
      </c>
    </row>
    <row r="1075" spans="1:19" ht="16.5" x14ac:dyDescent="0.3">
      <c r="A1075" t="s">
        <v>1129</v>
      </c>
      <c r="B1075" s="1">
        <v>45421</v>
      </c>
      <c r="C1075" s="1">
        <v>45426</v>
      </c>
      <c r="D1075">
        <v>2024</v>
      </c>
      <c r="E1075" t="s">
        <v>836</v>
      </c>
      <c r="F1075" t="s">
        <v>1062</v>
      </c>
      <c r="G1075" t="s">
        <v>78</v>
      </c>
      <c r="H1075" t="s">
        <v>35</v>
      </c>
      <c r="I1075" t="s">
        <v>24</v>
      </c>
      <c r="J1075" t="s">
        <v>25</v>
      </c>
      <c r="K1075" t="s">
        <v>32</v>
      </c>
      <c r="L1075" t="s">
        <v>44</v>
      </c>
      <c r="M1075">
        <v>5</v>
      </c>
      <c r="N1075" s="2">
        <v>14</v>
      </c>
      <c r="O1075" s="3">
        <v>3244</v>
      </c>
      <c r="P1075">
        <v>0</v>
      </c>
      <c r="Q1075">
        <v>4</v>
      </c>
      <c r="R1075" t="s">
        <v>33</v>
      </c>
      <c r="S1075">
        <v>1</v>
      </c>
    </row>
    <row r="1076" spans="1:19" ht="16.5" x14ac:dyDescent="0.3">
      <c r="A1076" t="s">
        <v>1130</v>
      </c>
      <c r="B1076" s="1">
        <v>45421</v>
      </c>
      <c r="C1076" s="1">
        <v>45426</v>
      </c>
      <c r="D1076">
        <v>2024</v>
      </c>
      <c r="E1076" t="s">
        <v>836</v>
      </c>
      <c r="F1076" t="s">
        <v>1062</v>
      </c>
      <c r="G1076" t="s">
        <v>78</v>
      </c>
      <c r="H1076" t="s">
        <v>50</v>
      </c>
      <c r="I1076" t="s">
        <v>24</v>
      </c>
      <c r="J1076" t="s">
        <v>25</v>
      </c>
      <c r="K1076" t="s">
        <v>32</v>
      </c>
      <c r="L1076" t="s">
        <v>44</v>
      </c>
      <c r="M1076">
        <v>5</v>
      </c>
      <c r="N1076" s="2">
        <v>39</v>
      </c>
      <c r="O1076" s="3">
        <v>6689</v>
      </c>
      <c r="P1076">
        <v>0</v>
      </c>
      <c r="Q1076">
        <v>4</v>
      </c>
      <c r="R1076" t="s">
        <v>33</v>
      </c>
      <c r="S1076">
        <v>1</v>
      </c>
    </row>
    <row r="1077" spans="1:19" ht="16.5" x14ac:dyDescent="0.3">
      <c r="A1077" t="s">
        <v>1131</v>
      </c>
      <c r="B1077" s="1">
        <v>45422</v>
      </c>
      <c r="C1077" s="1">
        <v>45425</v>
      </c>
      <c r="D1077">
        <v>2024</v>
      </c>
      <c r="E1077" t="s">
        <v>836</v>
      </c>
      <c r="F1077" t="s">
        <v>1062</v>
      </c>
      <c r="G1077" t="s">
        <v>83</v>
      </c>
      <c r="H1077" t="s">
        <v>39</v>
      </c>
      <c r="I1077" t="s">
        <v>24</v>
      </c>
      <c r="J1077" t="s">
        <v>43</v>
      </c>
      <c r="K1077" t="s">
        <v>41</v>
      </c>
      <c r="L1077" t="s">
        <v>27</v>
      </c>
      <c r="M1077">
        <v>3</v>
      </c>
      <c r="N1077" s="2">
        <v>112</v>
      </c>
      <c r="O1077" s="3">
        <v>2149</v>
      </c>
      <c r="P1077">
        <v>0</v>
      </c>
      <c r="Q1077">
        <v>3</v>
      </c>
      <c r="R1077" t="s">
        <v>33</v>
      </c>
      <c r="S1077">
        <v>1</v>
      </c>
    </row>
    <row r="1078" spans="1:19" ht="16.5" x14ac:dyDescent="0.3">
      <c r="A1078" t="s">
        <v>1132</v>
      </c>
      <c r="B1078" s="1">
        <v>45422</v>
      </c>
      <c r="C1078" s="1">
        <v>45424</v>
      </c>
      <c r="D1078">
        <v>2024</v>
      </c>
      <c r="E1078" t="s">
        <v>836</v>
      </c>
      <c r="F1078" t="s">
        <v>1062</v>
      </c>
      <c r="G1078" t="s">
        <v>83</v>
      </c>
      <c r="H1078" t="s">
        <v>39</v>
      </c>
      <c r="I1078" t="s">
        <v>24</v>
      </c>
      <c r="J1078" t="s">
        <v>43</v>
      </c>
      <c r="K1078" t="s">
        <v>41</v>
      </c>
      <c r="L1078" t="s">
        <v>27</v>
      </c>
      <c r="M1078">
        <v>2</v>
      </c>
      <c r="N1078" s="2">
        <v>124</v>
      </c>
      <c r="O1078" s="3">
        <v>2275</v>
      </c>
      <c r="P1078">
        <v>0</v>
      </c>
      <c r="Q1078">
        <v>3</v>
      </c>
      <c r="R1078" t="s">
        <v>33</v>
      </c>
      <c r="S1078">
        <v>1</v>
      </c>
    </row>
    <row r="1079" spans="1:19" ht="16.5" x14ac:dyDescent="0.3">
      <c r="A1079" t="s">
        <v>1133</v>
      </c>
      <c r="B1079" s="1">
        <v>45422</v>
      </c>
      <c r="C1079" s="1">
        <v>45426</v>
      </c>
      <c r="D1079">
        <v>2024</v>
      </c>
      <c r="E1079" t="s">
        <v>836</v>
      </c>
      <c r="F1079" t="s">
        <v>1062</v>
      </c>
      <c r="G1079" t="s">
        <v>83</v>
      </c>
      <c r="H1079" t="s">
        <v>50</v>
      </c>
      <c r="I1079" t="s">
        <v>24</v>
      </c>
      <c r="J1079" t="s">
        <v>43</v>
      </c>
      <c r="K1079" t="s">
        <v>53</v>
      </c>
      <c r="L1079" t="s">
        <v>44</v>
      </c>
      <c r="M1079">
        <v>4</v>
      </c>
      <c r="N1079" s="2">
        <v>42</v>
      </c>
      <c r="O1079" s="3">
        <v>7099</v>
      </c>
      <c r="P1079">
        <v>0</v>
      </c>
      <c r="Q1079">
        <v>5</v>
      </c>
      <c r="R1079" t="s">
        <v>33</v>
      </c>
      <c r="S1079">
        <v>1</v>
      </c>
    </row>
    <row r="1080" spans="1:19" ht="16.5" x14ac:dyDescent="0.3">
      <c r="A1080" t="s">
        <v>1134</v>
      </c>
      <c r="B1080" s="1">
        <v>45422</v>
      </c>
      <c r="C1080" s="1">
        <v>45426</v>
      </c>
      <c r="D1080">
        <v>2024</v>
      </c>
      <c r="E1080" t="s">
        <v>836</v>
      </c>
      <c r="F1080" t="s">
        <v>1062</v>
      </c>
      <c r="G1080" t="s">
        <v>83</v>
      </c>
      <c r="H1080" t="s">
        <v>23</v>
      </c>
      <c r="I1080" t="s">
        <v>40</v>
      </c>
      <c r="J1080" t="s">
        <v>43</v>
      </c>
      <c r="K1080" t="s">
        <v>32</v>
      </c>
      <c r="L1080" t="s">
        <v>27</v>
      </c>
      <c r="M1080">
        <v>4</v>
      </c>
      <c r="N1080" s="2"/>
      <c r="O1080" s="3">
        <v>3822</v>
      </c>
      <c r="P1080">
        <v>0</v>
      </c>
      <c r="Q1080">
        <v>5</v>
      </c>
      <c r="R1080" t="s">
        <v>33</v>
      </c>
      <c r="S1080">
        <v>1</v>
      </c>
    </row>
    <row r="1081" spans="1:19" ht="16.5" x14ac:dyDescent="0.3">
      <c r="A1081" t="s">
        <v>1135</v>
      </c>
      <c r="B1081" s="1">
        <v>45422</v>
      </c>
      <c r="C1081" s="1">
        <v>45425</v>
      </c>
      <c r="D1081">
        <v>2024</v>
      </c>
      <c r="E1081" t="s">
        <v>836</v>
      </c>
      <c r="F1081" t="s">
        <v>1062</v>
      </c>
      <c r="G1081" t="s">
        <v>83</v>
      </c>
      <c r="H1081" t="s">
        <v>50</v>
      </c>
      <c r="I1081" t="s">
        <v>40</v>
      </c>
      <c r="J1081" t="s">
        <v>25</v>
      </c>
      <c r="K1081" t="s">
        <v>53</v>
      </c>
      <c r="L1081" t="s">
        <v>44</v>
      </c>
      <c r="M1081">
        <v>3</v>
      </c>
      <c r="N1081" s="2"/>
      <c r="O1081" s="3">
        <v>5842</v>
      </c>
      <c r="P1081">
        <v>1</v>
      </c>
      <c r="Q1081">
        <v>4</v>
      </c>
      <c r="R1081" t="s">
        <v>28</v>
      </c>
      <c r="S1081">
        <v>1</v>
      </c>
    </row>
    <row r="1082" spans="1:19" ht="16.5" x14ac:dyDescent="0.3">
      <c r="A1082" t="s">
        <v>1136</v>
      </c>
      <c r="B1082" s="1">
        <v>45422</v>
      </c>
      <c r="C1082" s="1">
        <v>45424</v>
      </c>
      <c r="D1082">
        <v>2024</v>
      </c>
      <c r="E1082" t="s">
        <v>836</v>
      </c>
      <c r="F1082" t="s">
        <v>1062</v>
      </c>
      <c r="G1082" t="s">
        <v>83</v>
      </c>
      <c r="H1082" t="s">
        <v>39</v>
      </c>
      <c r="I1082" t="s">
        <v>24</v>
      </c>
      <c r="J1082" t="s">
        <v>43</v>
      </c>
      <c r="K1082" t="s">
        <v>41</v>
      </c>
      <c r="L1082" t="s">
        <v>27</v>
      </c>
      <c r="M1082">
        <v>2</v>
      </c>
      <c r="N1082" s="2">
        <v>175</v>
      </c>
      <c r="O1082" s="3">
        <v>2253</v>
      </c>
      <c r="P1082">
        <v>0</v>
      </c>
      <c r="Q1082">
        <v>4</v>
      </c>
      <c r="R1082" t="s">
        <v>33</v>
      </c>
      <c r="S1082">
        <v>1</v>
      </c>
    </row>
    <row r="1083" spans="1:19" ht="16.5" x14ac:dyDescent="0.3">
      <c r="A1083" t="s">
        <v>1137</v>
      </c>
      <c r="B1083" s="1">
        <v>45422</v>
      </c>
      <c r="C1083" s="1">
        <v>45426</v>
      </c>
      <c r="D1083">
        <v>2024</v>
      </c>
      <c r="E1083" t="s">
        <v>836</v>
      </c>
      <c r="F1083" t="s">
        <v>1062</v>
      </c>
      <c r="G1083" t="s">
        <v>83</v>
      </c>
      <c r="H1083" t="s">
        <v>35</v>
      </c>
      <c r="I1083" t="s">
        <v>24</v>
      </c>
      <c r="J1083" t="s">
        <v>25</v>
      </c>
      <c r="K1083" t="s">
        <v>32</v>
      </c>
      <c r="L1083" t="s">
        <v>44</v>
      </c>
      <c r="M1083">
        <v>4</v>
      </c>
      <c r="N1083" s="2">
        <v>35</v>
      </c>
      <c r="O1083" s="3">
        <v>4214</v>
      </c>
      <c r="P1083">
        <v>0</v>
      </c>
      <c r="Q1083">
        <v>4</v>
      </c>
      <c r="R1083" t="s">
        <v>33</v>
      </c>
      <c r="S1083">
        <v>1</v>
      </c>
    </row>
    <row r="1084" spans="1:19" ht="16.5" x14ac:dyDescent="0.3">
      <c r="A1084" t="s">
        <v>1138</v>
      </c>
      <c r="B1084" s="1">
        <v>45422</v>
      </c>
      <c r="C1084" s="1">
        <v>45425</v>
      </c>
      <c r="D1084">
        <v>2024</v>
      </c>
      <c r="E1084" t="s">
        <v>836</v>
      </c>
      <c r="F1084" t="s">
        <v>1062</v>
      </c>
      <c r="G1084" t="s">
        <v>83</v>
      </c>
      <c r="H1084" t="s">
        <v>52</v>
      </c>
      <c r="I1084" t="s">
        <v>31</v>
      </c>
      <c r="J1084" t="s">
        <v>43</v>
      </c>
      <c r="K1084" t="s">
        <v>53</v>
      </c>
      <c r="L1084" t="s">
        <v>27</v>
      </c>
      <c r="M1084">
        <v>3</v>
      </c>
      <c r="N1084" s="2"/>
      <c r="O1084" s="3">
        <v>3962</v>
      </c>
      <c r="P1084">
        <v>0</v>
      </c>
      <c r="Q1084">
        <v>4</v>
      </c>
      <c r="R1084" t="s">
        <v>33</v>
      </c>
      <c r="S1084">
        <v>1</v>
      </c>
    </row>
    <row r="1085" spans="1:19" ht="16.5" x14ac:dyDescent="0.3">
      <c r="A1085" t="s">
        <v>1139</v>
      </c>
      <c r="B1085" s="1">
        <v>45422</v>
      </c>
      <c r="C1085" s="1">
        <v>45424</v>
      </c>
      <c r="D1085">
        <v>2024</v>
      </c>
      <c r="E1085" t="s">
        <v>836</v>
      </c>
      <c r="F1085" t="s">
        <v>1062</v>
      </c>
      <c r="G1085" t="s">
        <v>83</v>
      </c>
      <c r="H1085" t="s">
        <v>50</v>
      </c>
      <c r="I1085" t="s">
        <v>31</v>
      </c>
      <c r="J1085" t="s">
        <v>43</v>
      </c>
      <c r="K1085" t="s">
        <v>36</v>
      </c>
      <c r="L1085" t="s">
        <v>27</v>
      </c>
      <c r="M1085">
        <v>2</v>
      </c>
      <c r="N1085" s="2"/>
      <c r="O1085" s="3">
        <v>3635</v>
      </c>
      <c r="P1085">
        <v>0</v>
      </c>
      <c r="Q1085">
        <v>5</v>
      </c>
      <c r="R1085" t="s">
        <v>33</v>
      </c>
      <c r="S1085">
        <v>1</v>
      </c>
    </row>
    <row r="1086" spans="1:19" ht="16.5" x14ac:dyDescent="0.3">
      <c r="A1086" t="s">
        <v>1140</v>
      </c>
      <c r="B1086" s="1">
        <v>45422</v>
      </c>
      <c r="C1086" s="1">
        <v>45423</v>
      </c>
      <c r="D1086">
        <v>2024</v>
      </c>
      <c r="E1086" t="s">
        <v>836</v>
      </c>
      <c r="F1086" t="s">
        <v>1062</v>
      </c>
      <c r="G1086" t="s">
        <v>83</v>
      </c>
      <c r="H1086" t="s">
        <v>30</v>
      </c>
      <c r="I1086" t="s">
        <v>40</v>
      </c>
      <c r="J1086" t="s">
        <v>43</v>
      </c>
      <c r="K1086" t="s">
        <v>53</v>
      </c>
      <c r="L1086" t="s">
        <v>27</v>
      </c>
      <c r="M1086">
        <v>1</v>
      </c>
      <c r="N1086" s="2"/>
      <c r="O1086" s="3">
        <v>1984</v>
      </c>
      <c r="P1086">
        <v>0</v>
      </c>
      <c r="Q1086">
        <v>5</v>
      </c>
      <c r="R1086" t="s">
        <v>33</v>
      </c>
      <c r="S1086">
        <v>1</v>
      </c>
    </row>
    <row r="1087" spans="1:19" ht="16.5" x14ac:dyDescent="0.3">
      <c r="A1087" t="s">
        <v>1141</v>
      </c>
      <c r="B1087" s="1">
        <v>45422</v>
      </c>
      <c r="C1087" s="1">
        <v>45429</v>
      </c>
      <c r="D1087">
        <v>2024</v>
      </c>
      <c r="E1087" t="s">
        <v>836</v>
      </c>
      <c r="F1087" t="s">
        <v>1062</v>
      </c>
      <c r="G1087" t="s">
        <v>83</v>
      </c>
      <c r="H1087" t="s">
        <v>35</v>
      </c>
      <c r="I1087" t="s">
        <v>40</v>
      </c>
      <c r="J1087" t="s">
        <v>25</v>
      </c>
      <c r="K1087" t="s">
        <v>32</v>
      </c>
      <c r="L1087" t="s">
        <v>44</v>
      </c>
      <c r="M1087">
        <v>7</v>
      </c>
      <c r="N1087" s="2"/>
      <c r="O1087" s="3">
        <v>5789</v>
      </c>
      <c r="P1087">
        <v>0</v>
      </c>
      <c r="Q1087">
        <v>4</v>
      </c>
      <c r="R1087" t="s">
        <v>33</v>
      </c>
      <c r="S1087">
        <v>1</v>
      </c>
    </row>
    <row r="1088" spans="1:19" ht="16.5" x14ac:dyDescent="0.3">
      <c r="A1088" t="s">
        <v>1142</v>
      </c>
      <c r="B1088" s="1">
        <v>45422</v>
      </c>
      <c r="C1088" s="1">
        <v>45427</v>
      </c>
      <c r="D1088">
        <v>2024</v>
      </c>
      <c r="E1088" t="s">
        <v>836</v>
      </c>
      <c r="F1088" t="s">
        <v>1062</v>
      </c>
      <c r="G1088" t="s">
        <v>83</v>
      </c>
      <c r="H1088" t="s">
        <v>23</v>
      </c>
      <c r="I1088" t="s">
        <v>24</v>
      </c>
      <c r="J1088" t="s">
        <v>43</v>
      </c>
      <c r="K1088" t="s">
        <v>53</v>
      </c>
      <c r="L1088" t="s">
        <v>44</v>
      </c>
      <c r="M1088">
        <v>5</v>
      </c>
      <c r="N1088" s="2">
        <v>85</v>
      </c>
      <c r="O1088" s="3">
        <v>4332</v>
      </c>
      <c r="P1088">
        <v>1</v>
      </c>
      <c r="Q1088">
        <v>3</v>
      </c>
      <c r="R1088" t="s">
        <v>28</v>
      </c>
      <c r="S1088">
        <v>1</v>
      </c>
    </row>
    <row r="1089" spans="1:19" ht="16.5" x14ac:dyDescent="0.3">
      <c r="A1089" t="s">
        <v>1143</v>
      </c>
      <c r="B1089" s="1">
        <v>45423</v>
      </c>
      <c r="C1089" s="1">
        <v>45430</v>
      </c>
      <c r="D1089">
        <v>2024</v>
      </c>
      <c r="E1089" t="s">
        <v>836</v>
      </c>
      <c r="F1089" t="s">
        <v>1062</v>
      </c>
      <c r="G1089" t="s">
        <v>102</v>
      </c>
      <c r="H1089" t="s">
        <v>50</v>
      </c>
      <c r="I1089" t="s">
        <v>24</v>
      </c>
      <c r="J1089" t="s">
        <v>43</v>
      </c>
      <c r="K1089" t="s">
        <v>26</v>
      </c>
      <c r="L1089" t="s">
        <v>27</v>
      </c>
      <c r="M1089">
        <v>7</v>
      </c>
      <c r="N1089" s="2">
        <v>57</v>
      </c>
      <c r="O1089" s="3">
        <v>9244</v>
      </c>
      <c r="P1089">
        <v>0</v>
      </c>
      <c r="Q1089">
        <v>4</v>
      </c>
      <c r="R1089" t="s">
        <v>33</v>
      </c>
      <c r="S1089">
        <v>1</v>
      </c>
    </row>
    <row r="1090" spans="1:19" ht="16.5" x14ac:dyDescent="0.3">
      <c r="A1090" t="s">
        <v>1144</v>
      </c>
      <c r="B1090" s="1">
        <v>45423</v>
      </c>
      <c r="C1090" s="1">
        <v>45428</v>
      </c>
      <c r="D1090">
        <v>2024</v>
      </c>
      <c r="E1090" t="s">
        <v>836</v>
      </c>
      <c r="F1090" t="s">
        <v>1062</v>
      </c>
      <c r="G1090" t="s">
        <v>102</v>
      </c>
      <c r="H1090" t="s">
        <v>50</v>
      </c>
      <c r="I1090" t="s">
        <v>24</v>
      </c>
      <c r="J1090" t="s">
        <v>25</v>
      </c>
      <c r="K1090" t="s">
        <v>53</v>
      </c>
      <c r="L1090" t="s">
        <v>44</v>
      </c>
      <c r="M1090">
        <v>5</v>
      </c>
      <c r="N1090" s="2">
        <v>65</v>
      </c>
      <c r="O1090" s="3">
        <v>7210</v>
      </c>
      <c r="P1090">
        <v>0</v>
      </c>
      <c r="Q1090">
        <v>5</v>
      </c>
      <c r="R1090" t="s">
        <v>28</v>
      </c>
      <c r="S1090">
        <v>1</v>
      </c>
    </row>
    <row r="1091" spans="1:19" ht="16.5" x14ac:dyDescent="0.3">
      <c r="A1091" t="s">
        <v>1145</v>
      </c>
      <c r="B1091" s="1">
        <v>45423</v>
      </c>
      <c r="C1091" s="1">
        <v>45444</v>
      </c>
      <c r="D1091">
        <v>2024</v>
      </c>
      <c r="E1091" t="s">
        <v>836</v>
      </c>
      <c r="F1091" t="s">
        <v>1062</v>
      </c>
      <c r="G1091" t="s">
        <v>102</v>
      </c>
      <c r="H1091" t="s">
        <v>50</v>
      </c>
      <c r="I1091" t="s">
        <v>40</v>
      </c>
      <c r="J1091" t="s">
        <v>25</v>
      </c>
      <c r="K1091" t="s">
        <v>26</v>
      </c>
      <c r="L1091" t="s">
        <v>44</v>
      </c>
      <c r="M1091">
        <v>21</v>
      </c>
      <c r="N1091" s="2"/>
      <c r="O1091" s="3">
        <v>27904</v>
      </c>
      <c r="P1091">
        <v>0</v>
      </c>
      <c r="Q1091">
        <v>4</v>
      </c>
      <c r="R1091" t="s">
        <v>28</v>
      </c>
      <c r="S1091">
        <v>1</v>
      </c>
    </row>
    <row r="1092" spans="1:19" ht="16.5" x14ac:dyDescent="0.3">
      <c r="A1092" t="s">
        <v>1146</v>
      </c>
      <c r="B1092" s="1">
        <v>45423</v>
      </c>
      <c r="C1092" s="1">
        <v>45434</v>
      </c>
      <c r="D1092">
        <v>2024</v>
      </c>
      <c r="E1092" t="s">
        <v>836</v>
      </c>
      <c r="F1092" t="s">
        <v>1062</v>
      </c>
      <c r="G1092" t="s">
        <v>102</v>
      </c>
      <c r="H1092" t="s">
        <v>23</v>
      </c>
      <c r="I1092" t="s">
        <v>40</v>
      </c>
      <c r="J1092" t="s">
        <v>43</v>
      </c>
      <c r="K1092" t="s">
        <v>53</v>
      </c>
      <c r="L1092" t="s">
        <v>44</v>
      </c>
      <c r="M1092">
        <v>11</v>
      </c>
      <c r="N1092" s="2"/>
      <c r="O1092" s="3">
        <v>7653</v>
      </c>
      <c r="P1092">
        <v>0</v>
      </c>
      <c r="Q1092">
        <v>4</v>
      </c>
      <c r="R1092" t="s">
        <v>28</v>
      </c>
      <c r="S1092">
        <v>1</v>
      </c>
    </row>
    <row r="1093" spans="1:19" ht="16.5" x14ac:dyDescent="0.3">
      <c r="A1093" t="s">
        <v>1147</v>
      </c>
      <c r="B1093" s="1">
        <v>45424</v>
      </c>
      <c r="C1093" s="1">
        <v>45428</v>
      </c>
      <c r="D1093">
        <v>2024</v>
      </c>
      <c r="E1093" t="s">
        <v>836</v>
      </c>
      <c r="F1093" t="s">
        <v>1062</v>
      </c>
      <c r="G1093" t="s">
        <v>112</v>
      </c>
      <c r="H1093" t="s">
        <v>39</v>
      </c>
      <c r="I1093" t="s">
        <v>24</v>
      </c>
      <c r="J1093" t="s">
        <v>25</v>
      </c>
      <c r="K1093" t="s">
        <v>41</v>
      </c>
      <c r="L1093" t="s">
        <v>44</v>
      </c>
      <c r="M1093">
        <v>4</v>
      </c>
      <c r="N1093" s="2">
        <v>37</v>
      </c>
      <c r="O1093" s="3">
        <v>2578</v>
      </c>
      <c r="P1093">
        <v>0</v>
      </c>
      <c r="Q1093">
        <v>4</v>
      </c>
      <c r="R1093" t="s">
        <v>33</v>
      </c>
      <c r="S1093">
        <v>1</v>
      </c>
    </row>
    <row r="1094" spans="1:19" ht="16.5" x14ac:dyDescent="0.3">
      <c r="A1094" t="s">
        <v>1148</v>
      </c>
      <c r="B1094" s="1">
        <v>45424</v>
      </c>
      <c r="C1094" s="1">
        <v>45431</v>
      </c>
      <c r="D1094">
        <v>2024</v>
      </c>
      <c r="E1094" t="s">
        <v>836</v>
      </c>
      <c r="F1094" t="s">
        <v>1062</v>
      </c>
      <c r="G1094" t="s">
        <v>112</v>
      </c>
      <c r="H1094" t="s">
        <v>35</v>
      </c>
      <c r="I1094" t="s">
        <v>31</v>
      </c>
      <c r="J1094" t="s">
        <v>25</v>
      </c>
      <c r="K1094" t="s">
        <v>36</v>
      </c>
      <c r="L1094" t="s">
        <v>27</v>
      </c>
      <c r="M1094">
        <v>7</v>
      </c>
      <c r="N1094" s="2"/>
      <c r="O1094" s="3">
        <v>4541</v>
      </c>
      <c r="P1094">
        <v>0</v>
      </c>
      <c r="Q1094">
        <v>5</v>
      </c>
      <c r="R1094" t="s">
        <v>28</v>
      </c>
      <c r="S1094">
        <v>1</v>
      </c>
    </row>
    <row r="1095" spans="1:19" ht="16.5" x14ac:dyDescent="0.3">
      <c r="A1095" t="s">
        <v>1149</v>
      </c>
      <c r="B1095" s="1">
        <v>45424</v>
      </c>
      <c r="C1095" s="1">
        <v>45425</v>
      </c>
      <c r="D1095">
        <v>2024</v>
      </c>
      <c r="E1095" t="s">
        <v>836</v>
      </c>
      <c r="F1095" t="s">
        <v>1062</v>
      </c>
      <c r="G1095" t="s">
        <v>112</v>
      </c>
      <c r="H1095" t="s">
        <v>52</v>
      </c>
      <c r="I1095" t="s">
        <v>40</v>
      </c>
      <c r="J1095" t="s">
        <v>25</v>
      </c>
      <c r="K1095" t="s">
        <v>26</v>
      </c>
      <c r="L1095" t="s">
        <v>44</v>
      </c>
      <c r="M1095">
        <v>1</v>
      </c>
      <c r="N1095" s="2"/>
      <c r="O1095" s="3">
        <v>1571</v>
      </c>
      <c r="P1095">
        <v>0</v>
      </c>
      <c r="Q1095">
        <v>5</v>
      </c>
      <c r="R1095" t="s">
        <v>59</v>
      </c>
      <c r="S1095">
        <v>1</v>
      </c>
    </row>
    <row r="1096" spans="1:19" ht="16.5" x14ac:dyDescent="0.3">
      <c r="A1096" t="s">
        <v>1150</v>
      </c>
      <c r="B1096" s="1">
        <v>45424</v>
      </c>
      <c r="C1096" s="1">
        <v>45426</v>
      </c>
      <c r="D1096">
        <v>2024</v>
      </c>
      <c r="E1096" t="s">
        <v>836</v>
      </c>
      <c r="F1096" t="s">
        <v>1062</v>
      </c>
      <c r="G1096" t="s">
        <v>112</v>
      </c>
      <c r="H1096" t="s">
        <v>30</v>
      </c>
      <c r="I1096" t="s">
        <v>40</v>
      </c>
      <c r="J1096" t="s">
        <v>43</v>
      </c>
      <c r="K1096" t="s">
        <v>26</v>
      </c>
      <c r="L1096" t="s">
        <v>27</v>
      </c>
      <c r="M1096">
        <v>2</v>
      </c>
      <c r="N1096" s="2"/>
      <c r="O1096" s="3">
        <v>3374</v>
      </c>
      <c r="P1096">
        <v>0</v>
      </c>
      <c r="Q1096">
        <v>5</v>
      </c>
      <c r="R1096" t="s">
        <v>33</v>
      </c>
      <c r="S1096">
        <v>1</v>
      </c>
    </row>
    <row r="1097" spans="1:19" ht="16.5" x14ac:dyDescent="0.3">
      <c r="A1097" t="s">
        <v>1151</v>
      </c>
      <c r="B1097" s="1">
        <v>45424</v>
      </c>
      <c r="C1097" s="1">
        <v>45427</v>
      </c>
      <c r="D1097">
        <v>2024</v>
      </c>
      <c r="E1097" t="s">
        <v>836</v>
      </c>
      <c r="F1097" t="s">
        <v>1062</v>
      </c>
      <c r="G1097" t="s">
        <v>112</v>
      </c>
      <c r="H1097" t="s">
        <v>23</v>
      </c>
      <c r="I1097" t="s">
        <v>31</v>
      </c>
      <c r="J1097" t="s">
        <v>25</v>
      </c>
      <c r="K1097" t="s">
        <v>53</v>
      </c>
      <c r="L1097" t="s">
        <v>44</v>
      </c>
      <c r="M1097">
        <v>3</v>
      </c>
      <c r="N1097" s="2"/>
      <c r="O1097" s="3">
        <v>2724</v>
      </c>
      <c r="P1097">
        <v>0</v>
      </c>
      <c r="Q1097">
        <v>4</v>
      </c>
      <c r="R1097" t="s">
        <v>33</v>
      </c>
      <c r="S1097">
        <v>1</v>
      </c>
    </row>
    <row r="1098" spans="1:19" ht="16.5" x14ac:dyDescent="0.3">
      <c r="A1098" t="s">
        <v>1152</v>
      </c>
      <c r="B1098" s="1">
        <v>45425</v>
      </c>
      <c r="C1098" s="1">
        <v>45437</v>
      </c>
      <c r="D1098">
        <v>2024</v>
      </c>
      <c r="E1098" t="s">
        <v>836</v>
      </c>
      <c r="F1098" t="s">
        <v>1062</v>
      </c>
      <c r="G1098" t="s">
        <v>22</v>
      </c>
      <c r="H1098" t="s">
        <v>23</v>
      </c>
      <c r="I1098" t="s">
        <v>24</v>
      </c>
      <c r="J1098" t="s">
        <v>25</v>
      </c>
      <c r="K1098" t="s">
        <v>32</v>
      </c>
      <c r="L1098" t="s">
        <v>27</v>
      </c>
      <c r="M1098">
        <v>12</v>
      </c>
      <c r="N1098" s="2">
        <v>47</v>
      </c>
      <c r="O1098" s="3">
        <v>10963</v>
      </c>
      <c r="P1098">
        <v>0</v>
      </c>
      <c r="Q1098">
        <v>4</v>
      </c>
      <c r="R1098" t="s">
        <v>165</v>
      </c>
      <c r="S1098">
        <v>1</v>
      </c>
    </row>
    <row r="1099" spans="1:19" ht="16.5" x14ac:dyDescent="0.3">
      <c r="A1099" t="s">
        <v>1153</v>
      </c>
      <c r="B1099" s="1">
        <v>45425</v>
      </c>
      <c r="C1099" s="1">
        <v>45429</v>
      </c>
      <c r="D1099">
        <v>2024</v>
      </c>
      <c r="E1099" t="s">
        <v>836</v>
      </c>
      <c r="F1099" t="s">
        <v>1062</v>
      </c>
      <c r="G1099" t="s">
        <v>22</v>
      </c>
      <c r="H1099" t="s">
        <v>35</v>
      </c>
      <c r="I1099" t="s">
        <v>24</v>
      </c>
      <c r="J1099" t="s">
        <v>25</v>
      </c>
      <c r="K1099" t="s">
        <v>36</v>
      </c>
      <c r="L1099" t="s">
        <v>27</v>
      </c>
      <c r="M1099">
        <v>4</v>
      </c>
      <c r="N1099" s="2">
        <v>37</v>
      </c>
      <c r="O1099" s="3">
        <v>2788</v>
      </c>
      <c r="P1099">
        <v>0</v>
      </c>
      <c r="Q1099">
        <v>5</v>
      </c>
      <c r="R1099" t="s">
        <v>33</v>
      </c>
      <c r="S1099">
        <v>1</v>
      </c>
    </row>
    <row r="1100" spans="1:19" ht="16.5" x14ac:dyDescent="0.3">
      <c r="A1100" t="s">
        <v>1154</v>
      </c>
      <c r="B1100" s="1">
        <v>45425</v>
      </c>
      <c r="C1100" s="1">
        <v>45427</v>
      </c>
      <c r="D1100">
        <v>2024</v>
      </c>
      <c r="E1100" t="s">
        <v>836</v>
      </c>
      <c r="F1100" t="s">
        <v>1062</v>
      </c>
      <c r="G1100" t="s">
        <v>22</v>
      </c>
      <c r="H1100" t="s">
        <v>50</v>
      </c>
      <c r="I1100" t="s">
        <v>24</v>
      </c>
      <c r="J1100" t="s">
        <v>25</v>
      </c>
      <c r="K1100" t="s">
        <v>32</v>
      </c>
      <c r="L1100" t="s">
        <v>27</v>
      </c>
      <c r="M1100">
        <v>2</v>
      </c>
      <c r="N1100" s="2">
        <v>36</v>
      </c>
      <c r="O1100" s="3">
        <v>3671</v>
      </c>
      <c r="P1100">
        <v>0</v>
      </c>
      <c r="Q1100">
        <v>5</v>
      </c>
      <c r="R1100" t="s">
        <v>33</v>
      </c>
      <c r="S1100">
        <v>1</v>
      </c>
    </row>
    <row r="1101" spans="1:19" ht="16.5" x14ac:dyDescent="0.3">
      <c r="A1101" t="s">
        <v>1155</v>
      </c>
      <c r="B1101" s="1">
        <v>45425</v>
      </c>
      <c r="C1101" s="1">
        <v>45426</v>
      </c>
      <c r="D1101">
        <v>2024</v>
      </c>
      <c r="E1101" t="s">
        <v>836</v>
      </c>
      <c r="F1101" t="s">
        <v>1062</v>
      </c>
      <c r="G1101" t="s">
        <v>22</v>
      </c>
      <c r="H1101" t="s">
        <v>52</v>
      </c>
      <c r="I1101" t="s">
        <v>40</v>
      </c>
      <c r="J1101" t="s">
        <v>25</v>
      </c>
      <c r="K1101" t="s">
        <v>32</v>
      </c>
      <c r="L1101" t="s">
        <v>44</v>
      </c>
      <c r="M1101">
        <v>1</v>
      </c>
      <c r="N1101" s="2"/>
      <c r="O1101" s="3">
        <v>2145</v>
      </c>
      <c r="P1101">
        <v>1</v>
      </c>
      <c r="Q1101">
        <v>3</v>
      </c>
      <c r="R1101" t="s">
        <v>28</v>
      </c>
      <c r="S1101">
        <v>1</v>
      </c>
    </row>
    <row r="1102" spans="1:19" ht="16.5" x14ac:dyDescent="0.3">
      <c r="A1102" t="s">
        <v>1156</v>
      </c>
      <c r="B1102" s="1">
        <v>45425</v>
      </c>
      <c r="C1102" s="1">
        <v>45426</v>
      </c>
      <c r="D1102">
        <v>2024</v>
      </c>
      <c r="E1102" t="s">
        <v>836</v>
      </c>
      <c r="F1102" t="s">
        <v>1062</v>
      </c>
      <c r="G1102" t="s">
        <v>22</v>
      </c>
      <c r="H1102" t="s">
        <v>39</v>
      </c>
      <c r="I1102" t="s">
        <v>24</v>
      </c>
      <c r="J1102" t="s">
        <v>43</v>
      </c>
      <c r="K1102" t="s">
        <v>41</v>
      </c>
      <c r="L1102" t="s">
        <v>44</v>
      </c>
      <c r="M1102">
        <v>1</v>
      </c>
      <c r="N1102" s="2">
        <v>54</v>
      </c>
      <c r="O1102" s="3">
        <v>1214</v>
      </c>
      <c r="P1102">
        <v>0</v>
      </c>
      <c r="Q1102">
        <v>5</v>
      </c>
      <c r="R1102" t="s">
        <v>33</v>
      </c>
      <c r="S1102">
        <v>1</v>
      </c>
    </row>
    <row r="1103" spans="1:19" ht="16.5" x14ac:dyDescent="0.3">
      <c r="A1103" t="s">
        <v>1157</v>
      </c>
      <c r="B1103" s="1">
        <v>45425</v>
      </c>
      <c r="C1103" s="1">
        <v>45429</v>
      </c>
      <c r="D1103">
        <v>2024</v>
      </c>
      <c r="E1103" t="s">
        <v>836</v>
      </c>
      <c r="F1103" t="s">
        <v>1062</v>
      </c>
      <c r="G1103" t="s">
        <v>22</v>
      </c>
      <c r="H1103" t="s">
        <v>23</v>
      </c>
      <c r="I1103" t="s">
        <v>24</v>
      </c>
      <c r="J1103" t="s">
        <v>43</v>
      </c>
      <c r="K1103" t="s">
        <v>32</v>
      </c>
      <c r="L1103" t="s">
        <v>27</v>
      </c>
      <c r="M1103">
        <v>4</v>
      </c>
      <c r="N1103" s="2">
        <v>62</v>
      </c>
      <c r="O1103" s="3">
        <v>3756</v>
      </c>
      <c r="P1103">
        <v>1</v>
      </c>
      <c r="Q1103">
        <v>4</v>
      </c>
      <c r="R1103" t="s">
        <v>33</v>
      </c>
      <c r="S1103">
        <v>1</v>
      </c>
    </row>
    <row r="1104" spans="1:19" ht="16.5" x14ac:dyDescent="0.3">
      <c r="A1104" t="s">
        <v>1158</v>
      </c>
      <c r="B1104" s="1">
        <v>45425</v>
      </c>
      <c r="C1104" s="1">
        <v>45431</v>
      </c>
      <c r="D1104">
        <v>2024</v>
      </c>
      <c r="E1104" t="s">
        <v>836</v>
      </c>
      <c r="F1104" t="s">
        <v>1062</v>
      </c>
      <c r="G1104" t="s">
        <v>22</v>
      </c>
      <c r="H1104" t="s">
        <v>52</v>
      </c>
      <c r="I1104" t="s">
        <v>40</v>
      </c>
      <c r="J1104" t="s">
        <v>43</v>
      </c>
      <c r="K1104" t="s">
        <v>53</v>
      </c>
      <c r="L1104" t="s">
        <v>44</v>
      </c>
      <c r="M1104">
        <v>6</v>
      </c>
      <c r="N1104" s="2"/>
      <c r="O1104" s="3">
        <v>5719</v>
      </c>
      <c r="P1104">
        <v>0</v>
      </c>
      <c r="Q1104">
        <v>4</v>
      </c>
      <c r="R1104" t="s">
        <v>28</v>
      </c>
      <c r="S1104">
        <v>1</v>
      </c>
    </row>
    <row r="1105" spans="1:19" ht="16.5" x14ac:dyDescent="0.3">
      <c r="A1105" t="s">
        <v>1159</v>
      </c>
      <c r="B1105" s="1">
        <v>45426</v>
      </c>
      <c r="C1105" s="1">
        <v>45437</v>
      </c>
      <c r="D1105">
        <v>2024</v>
      </c>
      <c r="E1105" t="s">
        <v>836</v>
      </c>
      <c r="F1105" t="s">
        <v>1062</v>
      </c>
      <c r="G1105" t="s">
        <v>56</v>
      </c>
      <c r="H1105" t="s">
        <v>23</v>
      </c>
      <c r="I1105" t="s">
        <v>24</v>
      </c>
      <c r="J1105" t="s">
        <v>43</v>
      </c>
      <c r="K1105" t="s">
        <v>26</v>
      </c>
      <c r="L1105" t="s">
        <v>27</v>
      </c>
      <c r="M1105">
        <v>11</v>
      </c>
      <c r="N1105" s="2">
        <v>25</v>
      </c>
      <c r="O1105" s="3">
        <v>8222</v>
      </c>
      <c r="P1105">
        <v>0</v>
      </c>
      <c r="Q1105">
        <v>3</v>
      </c>
      <c r="R1105" t="s">
        <v>28</v>
      </c>
      <c r="S1105">
        <v>1</v>
      </c>
    </row>
    <row r="1106" spans="1:19" ht="16.5" x14ac:dyDescent="0.3">
      <c r="A1106" t="s">
        <v>1160</v>
      </c>
      <c r="B1106" s="1">
        <v>45426</v>
      </c>
      <c r="C1106" s="1">
        <v>45435</v>
      </c>
      <c r="D1106">
        <v>2024</v>
      </c>
      <c r="E1106" t="s">
        <v>836</v>
      </c>
      <c r="F1106" t="s">
        <v>1062</v>
      </c>
      <c r="G1106" t="s">
        <v>56</v>
      </c>
      <c r="H1106" t="s">
        <v>23</v>
      </c>
      <c r="I1106" t="s">
        <v>40</v>
      </c>
      <c r="J1106" t="s">
        <v>25</v>
      </c>
      <c r="K1106" t="s">
        <v>26</v>
      </c>
      <c r="L1106" t="s">
        <v>44</v>
      </c>
      <c r="M1106">
        <v>9</v>
      </c>
      <c r="N1106" s="2"/>
      <c r="O1106" s="3">
        <v>6722</v>
      </c>
      <c r="P1106">
        <v>0</v>
      </c>
      <c r="Q1106">
        <v>4</v>
      </c>
      <c r="R1106" t="s">
        <v>28</v>
      </c>
      <c r="S1106">
        <v>1</v>
      </c>
    </row>
    <row r="1107" spans="1:19" ht="16.5" x14ac:dyDescent="0.3">
      <c r="A1107" t="s">
        <v>1161</v>
      </c>
      <c r="B1107" s="1">
        <v>45426</v>
      </c>
      <c r="C1107" s="1">
        <v>45434</v>
      </c>
      <c r="D1107">
        <v>2024</v>
      </c>
      <c r="E1107" t="s">
        <v>836</v>
      </c>
      <c r="F1107" t="s">
        <v>1062</v>
      </c>
      <c r="G1107" t="s">
        <v>56</v>
      </c>
      <c r="H1107" t="s">
        <v>23</v>
      </c>
      <c r="I1107" t="s">
        <v>24</v>
      </c>
      <c r="J1107" t="s">
        <v>25</v>
      </c>
      <c r="K1107" t="s">
        <v>36</v>
      </c>
      <c r="L1107" t="s">
        <v>44</v>
      </c>
      <c r="M1107">
        <v>8</v>
      </c>
      <c r="N1107" s="2">
        <v>34</v>
      </c>
      <c r="O1107" s="3">
        <v>4882</v>
      </c>
      <c r="P1107">
        <v>0</v>
      </c>
      <c r="Q1107">
        <v>5</v>
      </c>
      <c r="R1107" t="s">
        <v>33</v>
      </c>
      <c r="S1107">
        <v>1</v>
      </c>
    </row>
    <row r="1108" spans="1:19" ht="16.5" x14ac:dyDescent="0.3">
      <c r="A1108" t="s">
        <v>1162</v>
      </c>
      <c r="B1108" s="1">
        <v>45426</v>
      </c>
      <c r="C1108" s="1">
        <v>45428</v>
      </c>
      <c r="D1108">
        <v>2024</v>
      </c>
      <c r="E1108" t="s">
        <v>836</v>
      </c>
      <c r="F1108" t="s">
        <v>1062</v>
      </c>
      <c r="G1108" t="s">
        <v>56</v>
      </c>
      <c r="H1108" t="s">
        <v>39</v>
      </c>
      <c r="I1108" t="s">
        <v>24</v>
      </c>
      <c r="J1108" t="s">
        <v>43</v>
      </c>
      <c r="K1108" t="s">
        <v>41</v>
      </c>
      <c r="L1108" t="s">
        <v>27</v>
      </c>
      <c r="M1108">
        <v>2</v>
      </c>
      <c r="N1108" s="2">
        <v>20</v>
      </c>
      <c r="O1108" s="3">
        <v>2158</v>
      </c>
      <c r="P1108">
        <v>1</v>
      </c>
      <c r="Q1108">
        <v>3</v>
      </c>
      <c r="R1108" t="s">
        <v>28</v>
      </c>
      <c r="S1108">
        <v>1</v>
      </c>
    </row>
    <row r="1109" spans="1:19" ht="16.5" x14ac:dyDescent="0.3">
      <c r="A1109" t="s">
        <v>1163</v>
      </c>
      <c r="B1109" s="1">
        <v>45426</v>
      </c>
      <c r="C1109" s="1">
        <v>45433</v>
      </c>
      <c r="D1109">
        <v>2024</v>
      </c>
      <c r="E1109" t="s">
        <v>836</v>
      </c>
      <c r="F1109" t="s">
        <v>1062</v>
      </c>
      <c r="G1109" t="s">
        <v>56</v>
      </c>
      <c r="H1109" t="s">
        <v>23</v>
      </c>
      <c r="I1109" t="s">
        <v>24</v>
      </c>
      <c r="J1109" t="s">
        <v>43</v>
      </c>
      <c r="K1109" t="s">
        <v>26</v>
      </c>
      <c r="L1109" t="s">
        <v>37</v>
      </c>
      <c r="M1109">
        <v>7</v>
      </c>
      <c r="N1109" s="2">
        <v>69</v>
      </c>
      <c r="O1109" s="3">
        <v>5885</v>
      </c>
      <c r="P1109">
        <v>0</v>
      </c>
      <c r="Q1109">
        <v>5</v>
      </c>
      <c r="R1109" t="s">
        <v>33</v>
      </c>
      <c r="S1109">
        <v>1</v>
      </c>
    </row>
    <row r="1110" spans="1:19" ht="16.5" x14ac:dyDescent="0.3">
      <c r="A1110" t="s">
        <v>1164</v>
      </c>
      <c r="B1110" s="1">
        <v>45426</v>
      </c>
      <c r="C1110" s="1">
        <v>45427</v>
      </c>
      <c r="D1110">
        <v>2024</v>
      </c>
      <c r="E1110" t="s">
        <v>836</v>
      </c>
      <c r="F1110" t="s">
        <v>1062</v>
      </c>
      <c r="G1110" t="s">
        <v>56</v>
      </c>
      <c r="H1110" t="s">
        <v>39</v>
      </c>
      <c r="I1110" t="s">
        <v>31</v>
      </c>
      <c r="J1110" t="s">
        <v>25</v>
      </c>
      <c r="K1110" t="s">
        <v>41</v>
      </c>
      <c r="L1110" t="s">
        <v>44</v>
      </c>
      <c r="M1110">
        <v>1</v>
      </c>
      <c r="N1110" s="2"/>
      <c r="O1110" s="3">
        <v>2006</v>
      </c>
      <c r="P1110">
        <v>0</v>
      </c>
      <c r="Q1110">
        <v>5</v>
      </c>
      <c r="R1110" t="s">
        <v>59</v>
      </c>
      <c r="S1110">
        <v>1</v>
      </c>
    </row>
    <row r="1111" spans="1:19" ht="16.5" x14ac:dyDescent="0.3">
      <c r="A1111" t="s">
        <v>1165</v>
      </c>
      <c r="B1111" s="1">
        <v>45426</v>
      </c>
      <c r="C1111" s="1">
        <v>45430</v>
      </c>
      <c r="D1111">
        <v>2024</v>
      </c>
      <c r="E1111" t="s">
        <v>836</v>
      </c>
      <c r="F1111" t="s">
        <v>1062</v>
      </c>
      <c r="G1111" t="s">
        <v>56</v>
      </c>
      <c r="H1111" t="s">
        <v>23</v>
      </c>
      <c r="I1111" t="s">
        <v>24</v>
      </c>
      <c r="J1111" t="s">
        <v>25</v>
      </c>
      <c r="K1111" t="s">
        <v>26</v>
      </c>
      <c r="L1111" t="s">
        <v>37</v>
      </c>
      <c r="M1111">
        <v>4</v>
      </c>
      <c r="N1111" s="2">
        <v>30</v>
      </c>
      <c r="O1111" s="3">
        <v>3995</v>
      </c>
      <c r="P1111">
        <v>0</v>
      </c>
      <c r="Q1111">
        <v>5</v>
      </c>
      <c r="R1111" t="s">
        <v>33</v>
      </c>
      <c r="S1111">
        <v>1</v>
      </c>
    </row>
    <row r="1112" spans="1:19" ht="16.5" x14ac:dyDescent="0.3">
      <c r="A1112" t="s">
        <v>1166</v>
      </c>
      <c r="B1112" s="1">
        <v>45427</v>
      </c>
      <c r="C1112" s="1">
        <v>45429</v>
      </c>
      <c r="D1112">
        <v>2024</v>
      </c>
      <c r="E1112" t="s">
        <v>836</v>
      </c>
      <c r="F1112" t="s">
        <v>1062</v>
      </c>
      <c r="G1112" t="s">
        <v>70</v>
      </c>
      <c r="H1112" t="s">
        <v>23</v>
      </c>
      <c r="I1112" t="s">
        <v>40</v>
      </c>
      <c r="J1112" t="s">
        <v>25</v>
      </c>
      <c r="K1112" t="s">
        <v>26</v>
      </c>
      <c r="L1112" t="s">
        <v>44</v>
      </c>
      <c r="M1112">
        <v>2</v>
      </c>
      <c r="N1112" s="2"/>
      <c r="O1112" s="3">
        <v>2156</v>
      </c>
      <c r="P1112">
        <v>0</v>
      </c>
      <c r="Q1112">
        <v>5</v>
      </c>
      <c r="R1112" t="s">
        <v>33</v>
      </c>
      <c r="S1112">
        <v>1</v>
      </c>
    </row>
    <row r="1113" spans="1:19" ht="16.5" x14ac:dyDescent="0.3">
      <c r="A1113" t="s">
        <v>1167</v>
      </c>
      <c r="B1113" s="1">
        <v>45427</v>
      </c>
      <c r="C1113" s="1">
        <v>45436</v>
      </c>
      <c r="D1113">
        <v>2024</v>
      </c>
      <c r="E1113" t="s">
        <v>836</v>
      </c>
      <c r="F1113" t="s">
        <v>1062</v>
      </c>
      <c r="G1113" t="s">
        <v>70</v>
      </c>
      <c r="H1113" t="s">
        <v>50</v>
      </c>
      <c r="I1113" t="s">
        <v>24</v>
      </c>
      <c r="J1113" t="s">
        <v>43</v>
      </c>
      <c r="K1113" t="s">
        <v>53</v>
      </c>
      <c r="L1113" t="s">
        <v>27</v>
      </c>
      <c r="M1113">
        <v>9</v>
      </c>
      <c r="N1113" s="2">
        <v>111</v>
      </c>
      <c r="O1113" s="3">
        <v>11141</v>
      </c>
      <c r="P1113">
        <v>0</v>
      </c>
      <c r="Q1113">
        <v>3</v>
      </c>
      <c r="R1113" t="s">
        <v>165</v>
      </c>
      <c r="S1113">
        <v>1</v>
      </c>
    </row>
    <row r="1114" spans="1:19" ht="16.5" x14ac:dyDescent="0.3">
      <c r="A1114" t="s">
        <v>1168</v>
      </c>
      <c r="B1114" s="1">
        <v>45427</v>
      </c>
      <c r="C1114" s="1">
        <v>45429</v>
      </c>
      <c r="D1114">
        <v>2024</v>
      </c>
      <c r="E1114" t="s">
        <v>836</v>
      </c>
      <c r="F1114" t="s">
        <v>1062</v>
      </c>
      <c r="G1114" t="s">
        <v>70</v>
      </c>
      <c r="H1114" t="s">
        <v>23</v>
      </c>
      <c r="I1114" t="s">
        <v>24</v>
      </c>
      <c r="J1114" t="s">
        <v>25</v>
      </c>
      <c r="K1114" t="s">
        <v>53</v>
      </c>
      <c r="L1114" t="s">
        <v>44</v>
      </c>
      <c r="M1114">
        <v>2</v>
      </c>
      <c r="N1114" s="2">
        <v>21</v>
      </c>
      <c r="O1114" s="3">
        <v>2102</v>
      </c>
      <c r="P1114">
        <v>0</v>
      </c>
      <c r="Q1114">
        <v>5</v>
      </c>
      <c r="R1114" t="s">
        <v>33</v>
      </c>
      <c r="S1114">
        <v>1</v>
      </c>
    </row>
    <row r="1115" spans="1:19" ht="16.5" x14ac:dyDescent="0.3">
      <c r="A1115" t="s">
        <v>1169</v>
      </c>
      <c r="B1115" s="1">
        <v>45427</v>
      </c>
      <c r="C1115" s="1">
        <v>45428</v>
      </c>
      <c r="D1115">
        <v>2024</v>
      </c>
      <c r="E1115" t="s">
        <v>836</v>
      </c>
      <c r="F1115" t="s">
        <v>1062</v>
      </c>
      <c r="G1115" t="s">
        <v>70</v>
      </c>
      <c r="H1115" t="s">
        <v>39</v>
      </c>
      <c r="I1115" t="s">
        <v>24</v>
      </c>
      <c r="J1115" t="s">
        <v>25</v>
      </c>
      <c r="K1115" t="s">
        <v>41</v>
      </c>
      <c r="L1115" t="s">
        <v>44</v>
      </c>
      <c r="M1115">
        <v>1</v>
      </c>
      <c r="N1115" s="2">
        <v>42</v>
      </c>
      <c r="O1115" s="3">
        <v>1550</v>
      </c>
      <c r="P1115">
        <v>0</v>
      </c>
      <c r="Q1115">
        <v>4</v>
      </c>
      <c r="R1115" t="s">
        <v>33</v>
      </c>
      <c r="S1115">
        <v>1</v>
      </c>
    </row>
    <row r="1116" spans="1:19" ht="16.5" x14ac:dyDescent="0.3">
      <c r="A1116" t="s">
        <v>1170</v>
      </c>
      <c r="B1116" s="1">
        <v>45427</v>
      </c>
      <c r="C1116" s="1">
        <v>45432</v>
      </c>
      <c r="D1116">
        <v>2024</v>
      </c>
      <c r="E1116" t="s">
        <v>836</v>
      </c>
      <c r="F1116" t="s">
        <v>1062</v>
      </c>
      <c r="G1116" t="s">
        <v>70</v>
      </c>
      <c r="H1116" t="s">
        <v>23</v>
      </c>
      <c r="I1116" t="s">
        <v>40</v>
      </c>
      <c r="J1116" t="s">
        <v>25</v>
      </c>
      <c r="K1116" t="s">
        <v>36</v>
      </c>
      <c r="L1116" t="s">
        <v>44</v>
      </c>
      <c r="M1116">
        <v>5</v>
      </c>
      <c r="N1116" s="2"/>
      <c r="O1116" s="3">
        <v>3667</v>
      </c>
      <c r="P1116">
        <v>0</v>
      </c>
      <c r="Q1116">
        <v>4</v>
      </c>
      <c r="R1116" t="s">
        <v>33</v>
      </c>
      <c r="S1116">
        <v>1</v>
      </c>
    </row>
    <row r="1117" spans="1:19" ht="16.5" x14ac:dyDescent="0.3">
      <c r="A1117" t="s">
        <v>1171</v>
      </c>
      <c r="B1117" s="1">
        <v>45428</v>
      </c>
      <c r="C1117" s="1">
        <v>45438</v>
      </c>
      <c r="D1117">
        <v>2024</v>
      </c>
      <c r="E1117" t="s">
        <v>836</v>
      </c>
      <c r="F1117" t="s">
        <v>1062</v>
      </c>
      <c r="G1117" t="s">
        <v>78</v>
      </c>
      <c r="H1117" t="s">
        <v>23</v>
      </c>
      <c r="I1117" t="s">
        <v>24</v>
      </c>
      <c r="J1117" t="s">
        <v>43</v>
      </c>
      <c r="K1117" t="s">
        <v>26</v>
      </c>
      <c r="L1117" t="s">
        <v>27</v>
      </c>
      <c r="M1117">
        <v>10</v>
      </c>
      <c r="N1117" s="2">
        <v>72</v>
      </c>
      <c r="O1117" s="3">
        <v>5566</v>
      </c>
      <c r="P1117">
        <v>0</v>
      </c>
      <c r="Q1117">
        <v>4</v>
      </c>
      <c r="R1117" t="s">
        <v>59</v>
      </c>
      <c r="S1117">
        <v>1</v>
      </c>
    </row>
    <row r="1118" spans="1:19" ht="16.5" x14ac:dyDescent="0.3">
      <c r="A1118" t="s">
        <v>1172</v>
      </c>
      <c r="B1118" s="1">
        <v>45428</v>
      </c>
      <c r="C1118" s="1">
        <v>45433</v>
      </c>
      <c r="D1118">
        <v>2024</v>
      </c>
      <c r="E1118" t="s">
        <v>836</v>
      </c>
      <c r="F1118" t="s">
        <v>1062</v>
      </c>
      <c r="G1118" t="s">
        <v>78</v>
      </c>
      <c r="H1118" t="s">
        <v>39</v>
      </c>
      <c r="I1118" t="s">
        <v>40</v>
      </c>
      <c r="J1118" t="s">
        <v>25</v>
      </c>
      <c r="K1118" t="s">
        <v>41</v>
      </c>
      <c r="L1118" t="s">
        <v>44</v>
      </c>
      <c r="M1118">
        <v>5</v>
      </c>
      <c r="N1118" s="2"/>
      <c r="O1118" s="3">
        <v>4512</v>
      </c>
      <c r="P1118">
        <v>0</v>
      </c>
      <c r="Q1118">
        <v>4</v>
      </c>
      <c r="R1118" t="s">
        <v>33</v>
      </c>
      <c r="S1118">
        <v>1</v>
      </c>
    </row>
    <row r="1119" spans="1:19" ht="16.5" x14ac:dyDescent="0.3">
      <c r="A1119" t="s">
        <v>1173</v>
      </c>
      <c r="B1119" s="1">
        <v>45428</v>
      </c>
      <c r="C1119" s="1">
        <v>45429</v>
      </c>
      <c r="D1119">
        <v>2024</v>
      </c>
      <c r="E1119" t="s">
        <v>836</v>
      </c>
      <c r="F1119" t="s">
        <v>1062</v>
      </c>
      <c r="G1119" t="s">
        <v>78</v>
      </c>
      <c r="H1119" t="s">
        <v>30</v>
      </c>
      <c r="I1119" t="s">
        <v>40</v>
      </c>
      <c r="J1119" t="s">
        <v>43</v>
      </c>
      <c r="K1119" t="s">
        <v>32</v>
      </c>
      <c r="L1119" t="s">
        <v>37</v>
      </c>
      <c r="M1119">
        <v>1</v>
      </c>
      <c r="N1119" s="2"/>
      <c r="O1119" s="3">
        <v>2098</v>
      </c>
      <c r="P1119">
        <v>0</v>
      </c>
      <c r="Q1119">
        <v>4</v>
      </c>
      <c r="R1119" t="s">
        <v>165</v>
      </c>
      <c r="S1119">
        <v>1</v>
      </c>
    </row>
    <row r="1120" spans="1:19" ht="16.5" x14ac:dyDescent="0.3">
      <c r="A1120" t="s">
        <v>1174</v>
      </c>
      <c r="B1120" s="1">
        <v>45428</v>
      </c>
      <c r="C1120" s="1">
        <v>45432</v>
      </c>
      <c r="D1120">
        <v>2024</v>
      </c>
      <c r="E1120" t="s">
        <v>836</v>
      </c>
      <c r="F1120" t="s">
        <v>1062</v>
      </c>
      <c r="G1120" t="s">
        <v>78</v>
      </c>
      <c r="H1120" t="s">
        <v>23</v>
      </c>
      <c r="I1120" t="s">
        <v>24</v>
      </c>
      <c r="J1120" t="s">
        <v>43</v>
      </c>
      <c r="K1120" t="s">
        <v>26</v>
      </c>
      <c r="L1120" t="s">
        <v>27</v>
      </c>
      <c r="M1120">
        <v>4</v>
      </c>
      <c r="N1120" s="2">
        <v>56</v>
      </c>
      <c r="O1120" s="3">
        <v>3466</v>
      </c>
      <c r="P1120">
        <v>0</v>
      </c>
      <c r="Q1120">
        <v>5</v>
      </c>
      <c r="R1120" t="s">
        <v>33</v>
      </c>
      <c r="S1120">
        <v>1</v>
      </c>
    </row>
    <row r="1121" spans="1:19" ht="16.5" x14ac:dyDescent="0.3">
      <c r="A1121" t="s">
        <v>1175</v>
      </c>
      <c r="B1121" s="1">
        <v>45428</v>
      </c>
      <c r="C1121" s="1">
        <v>45433</v>
      </c>
      <c r="D1121">
        <v>2024</v>
      </c>
      <c r="E1121" t="s">
        <v>836</v>
      </c>
      <c r="F1121" t="s">
        <v>1062</v>
      </c>
      <c r="G1121" t="s">
        <v>78</v>
      </c>
      <c r="H1121" t="s">
        <v>23</v>
      </c>
      <c r="I1121" t="s">
        <v>40</v>
      </c>
      <c r="J1121" t="s">
        <v>25</v>
      </c>
      <c r="K1121" t="s">
        <v>53</v>
      </c>
      <c r="L1121" t="s">
        <v>44</v>
      </c>
      <c r="M1121">
        <v>5</v>
      </c>
      <c r="N1121" s="2"/>
      <c r="O1121" s="3">
        <v>2882</v>
      </c>
      <c r="P1121">
        <v>0</v>
      </c>
      <c r="Q1121">
        <v>5</v>
      </c>
      <c r="R1121" t="s">
        <v>33</v>
      </c>
      <c r="S1121">
        <v>1</v>
      </c>
    </row>
    <row r="1122" spans="1:19" ht="16.5" x14ac:dyDescent="0.3">
      <c r="A1122" t="s">
        <v>1176</v>
      </c>
      <c r="B1122" s="1">
        <v>45429</v>
      </c>
      <c r="C1122" s="1">
        <v>45438</v>
      </c>
      <c r="D1122">
        <v>2024</v>
      </c>
      <c r="E1122" t="s">
        <v>836</v>
      </c>
      <c r="F1122" t="s">
        <v>1062</v>
      </c>
      <c r="G1122" t="s">
        <v>83</v>
      </c>
      <c r="H1122" t="s">
        <v>30</v>
      </c>
      <c r="I1122" t="s">
        <v>24</v>
      </c>
      <c r="J1122" t="s">
        <v>43</v>
      </c>
      <c r="K1122" t="s">
        <v>36</v>
      </c>
      <c r="L1122" t="s">
        <v>44</v>
      </c>
      <c r="M1122">
        <v>9</v>
      </c>
      <c r="N1122" s="2">
        <v>98</v>
      </c>
      <c r="O1122" s="3">
        <v>9117</v>
      </c>
      <c r="P1122">
        <v>0</v>
      </c>
      <c r="Q1122">
        <v>3</v>
      </c>
      <c r="R1122" t="s">
        <v>33</v>
      </c>
      <c r="S1122">
        <v>1</v>
      </c>
    </row>
    <row r="1123" spans="1:19" ht="16.5" x14ac:dyDescent="0.3">
      <c r="A1123" t="s">
        <v>1177</v>
      </c>
      <c r="B1123" s="1">
        <v>45429</v>
      </c>
      <c r="C1123" s="1">
        <v>45439</v>
      </c>
      <c r="D1123">
        <v>2024</v>
      </c>
      <c r="E1123" t="s">
        <v>836</v>
      </c>
      <c r="F1123" t="s">
        <v>1062</v>
      </c>
      <c r="G1123" t="s">
        <v>83</v>
      </c>
      <c r="H1123" t="s">
        <v>50</v>
      </c>
      <c r="I1123" t="s">
        <v>24</v>
      </c>
      <c r="J1123" t="s">
        <v>43</v>
      </c>
      <c r="K1123" t="s">
        <v>53</v>
      </c>
      <c r="L1123" t="s">
        <v>44</v>
      </c>
      <c r="M1123">
        <v>10</v>
      </c>
      <c r="N1123" s="2">
        <v>16</v>
      </c>
      <c r="O1123" s="3">
        <v>13898</v>
      </c>
      <c r="P1123">
        <v>0</v>
      </c>
      <c r="Q1123">
        <v>5</v>
      </c>
      <c r="R1123" t="s">
        <v>59</v>
      </c>
      <c r="S1123">
        <v>1</v>
      </c>
    </row>
    <row r="1124" spans="1:19" ht="16.5" x14ac:dyDescent="0.3">
      <c r="A1124" t="s">
        <v>1178</v>
      </c>
      <c r="B1124" s="1">
        <v>45429</v>
      </c>
      <c r="C1124" s="1">
        <v>45440</v>
      </c>
      <c r="D1124">
        <v>2024</v>
      </c>
      <c r="E1124" t="s">
        <v>836</v>
      </c>
      <c r="F1124" t="s">
        <v>1062</v>
      </c>
      <c r="G1124" t="s">
        <v>83</v>
      </c>
      <c r="H1124" t="s">
        <v>50</v>
      </c>
      <c r="I1124" t="s">
        <v>24</v>
      </c>
      <c r="J1124" t="s">
        <v>43</v>
      </c>
      <c r="K1124" t="s">
        <v>36</v>
      </c>
      <c r="L1124" t="s">
        <v>27</v>
      </c>
      <c r="M1124">
        <v>11</v>
      </c>
      <c r="N1124" s="2">
        <v>91</v>
      </c>
      <c r="O1124" s="3">
        <v>19729</v>
      </c>
      <c r="P1124">
        <v>1</v>
      </c>
      <c r="Q1124">
        <v>3</v>
      </c>
      <c r="R1124" t="s">
        <v>33</v>
      </c>
      <c r="S1124">
        <v>1</v>
      </c>
    </row>
    <row r="1125" spans="1:19" ht="16.5" x14ac:dyDescent="0.3">
      <c r="A1125" t="s">
        <v>1179</v>
      </c>
      <c r="B1125" s="1">
        <v>45429</v>
      </c>
      <c r="C1125" s="1">
        <v>45436</v>
      </c>
      <c r="D1125">
        <v>2024</v>
      </c>
      <c r="E1125" t="s">
        <v>836</v>
      </c>
      <c r="F1125" t="s">
        <v>1062</v>
      </c>
      <c r="G1125" t="s">
        <v>83</v>
      </c>
      <c r="H1125" t="s">
        <v>23</v>
      </c>
      <c r="I1125" t="s">
        <v>40</v>
      </c>
      <c r="J1125" t="s">
        <v>43</v>
      </c>
      <c r="K1125" t="s">
        <v>26</v>
      </c>
      <c r="L1125" t="s">
        <v>37</v>
      </c>
      <c r="M1125">
        <v>7</v>
      </c>
      <c r="N1125" s="2"/>
      <c r="O1125" s="3">
        <v>4052</v>
      </c>
      <c r="P1125">
        <v>0</v>
      </c>
      <c r="Q1125">
        <v>4</v>
      </c>
      <c r="R1125" t="s">
        <v>28</v>
      </c>
      <c r="S1125">
        <v>1</v>
      </c>
    </row>
    <row r="1126" spans="1:19" ht="16.5" x14ac:dyDescent="0.3">
      <c r="A1126" t="s">
        <v>1180</v>
      </c>
      <c r="B1126" s="1">
        <v>45429</v>
      </c>
      <c r="C1126" s="1">
        <v>45434</v>
      </c>
      <c r="D1126">
        <v>2024</v>
      </c>
      <c r="E1126" t="s">
        <v>836</v>
      </c>
      <c r="F1126" t="s">
        <v>1062</v>
      </c>
      <c r="G1126" t="s">
        <v>83</v>
      </c>
      <c r="H1126" t="s">
        <v>52</v>
      </c>
      <c r="I1126" t="s">
        <v>40</v>
      </c>
      <c r="J1126" t="s">
        <v>25</v>
      </c>
      <c r="K1126" t="s">
        <v>53</v>
      </c>
      <c r="L1126" t="s">
        <v>27</v>
      </c>
      <c r="M1126">
        <v>5</v>
      </c>
      <c r="N1126" s="2"/>
      <c r="O1126" s="3">
        <v>7023</v>
      </c>
      <c r="P1126">
        <v>0</v>
      </c>
      <c r="Q1126">
        <v>4</v>
      </c>
      <c r="R1126" t="s">
        <v>33</v>
      </c>
      <c r="S1126">
        <v>1</v>
      </c>
    </row>
    <row r="1127" spans="1:19" ht="16.5" x14ac:dyDescent="0.3">
      <c r="A1127" t="s">
        <v>1181</v>
      </c>
      <c r="B1127" s="1">
        <v>45429</v>
      </c>
      <c r="C1127" s="1">
        <v>45432</v>
      </c>
      <c r="D1127">
        <v>2024</v>
      </c>
      <c r="E1127" t="s">
        <v>836</v>
      </c>
      <c r="F1127" t="s">
        <v>1062</v>
      </c>
      <c r="G1127" t="s">
        <v>83</v>
      </c>
      <c r="H1127" t="s">
        <v>35</v>
      </c>
      <c r="I1127" t="s">
        <v>24</v>
      </c>
      <c r="J1127" t="s">
        <v>25</v>
      </c>
      <c r="K1127" t="s">
        <v>32</v>
      </c>
      <c r="L1127" t="s">
        <v>27</v>
      </c>
      <c r="M1127">
        <v>3</v>
      </c>
      <c r="N1127" s="2">
        <v>70</v>
      </c>
      <c r="O1127" s="3">
        <v>3261</v>
      </c>
      <c r="P1127">
        <v>0</v>
      </c>
      <c r="Q1127">
        <v>5</v>
      </c>
      <c r="R1127" t="s">
        <v>33</v>
      </c>
      <c r="S1127">
        <v>1</v>
      </c>
    </row>
    <row r="1128" spans="1:19" ht="16.5" x14ac:dyDescent="0.3">
      <c r="A1128" t="s">
        <v>1182</v>
      </c>
      <c r="B1128" s="1">
        <v>45429</v>
      </c>
      <c r="C1128" s="1">
        <v>45438</v>
      </c>
      <c r="D1128">
        <v>2024</v>
      </c>
      <c r="E1128" t="s">
        <v>836</v>
      </c>
      <c r="F1128" t="s">
        <v>1062</v>
      </c>
      <c r="G1128" t="s">
        <v>83</v>
      </c>
      <c r="H1128" t="s">
        <v>23</v>
      </c>
      <c r="I1128" t="s">
        <v>24</v>
      </c>
      <c r="J1128" t="s">
        <v>43</v>
      </c>
      <c r="K1128" t="s">
        <v>26</v>
      </c>
      <c r="L1128" t="s">
        <v>27</v>
      </c>
      <c r="M1128">
        <v>9</v>
      </c>
      <c r="N1128" s="2">
        <v>75</v>
      </c>
      <c r="O1128" s="3">
        <v>5349</v>
      </c>
      <c r="P1128">
        <v>0</v>
      </c>
      <c r="Q1128">
        <v>4</v>
      </c>
      <c r="R1128" t="s">
        <v>59</v>
      </c>
      <c r="S1128">
        <v>1</v>
      </c>
    </row>
    <row r="1129" spans="1:19" ht="16.5" x14ac:dyDescent="0.3">
      <c r="A1129" t="s">
        <v>1183</v>
      </c>
      <c r="B1129" s="1">
        <v>45429</v>
      </c>
      <c r="C1129" s="1">
        <v>45430</v>
      </c>
      <c r="D1129">
        <v>2024</v>
      </c>
      <c r="E1129" t="s">
        <v>836</v>
      </c>
      <c r="F1129" t="s">
        <v>1062</v>
      </c>
      <c r="G1129" t="s">
        <v>83</v>
      </c>
      <c r="H1129" t="s">
        <v>35</v>
      </c>
      <c r="I1129" t="s">
        <v>24</v>
      </c>
      <c r="J1129" t="s">
        <v>25</v>
      </c>
      <c r="K1129" t="s">
        <v>36</v>
      </c>
      <c r="L1129" t="s">
        <v>44</v>
      </c>
      <c r="M1129">
        <v>1</v>
      </c>
      <c r="N1129" s="2">
        <v>101</v>
      </c>
      <c r="O1129" s="3">
        <v>1489</v>
      </c>
      <c r="P1129">
        <v>0</v>
      </c>
      <c r="Q1129">
        <v>3</v>
      </c>
      <c r="R1129" t="s">
        <v>33</v>
      </c>
      <c r="S1129">
        <v>1</v>
      </c>
    </row>
    <row r="1130" spans="1:19" ht="16.5" x14ac:dyDescent="0.3">
      <c r="A1130" t="s">
        <v>1184</v>
      </c>
      <c r="B1130" s="1">
        <v>45430</v>
      </c>
      <c r="C1130" s="1">
        <v>45434</v>
      </c>
      <c r="D1130">
        <v>2024</v>
      </c>
      <c r="E1130" t="s">
        <v>836</v>
      </c>
      <c r="F1130" t="s">
        <v>1062</v>
      </c>
      <c r="G1130" t="s">
        <v>102</v>
      </c>
      <c r="H1130" t="s">
        <v>52</v>
      </c>
      <c r="I1130" t="s">
        <v>24</v>
      </c>
      <c r="J1130" t="s">
        <v>43</v>
      </c>
      <c r="K1130" t="s">
        <v>53</v>
      </c>
      <c r="L1130" t="s">
        <v>44</v>
      </c>
      <c r="M1130">
        <v>4</v>
      </c>
      <c r="N1130" s="2">
        <v>26</v>
      </c>
      <c r="O1130" s="3">
        <v>4279</v>
      </c>
      <c r="P1130">
        <v>0</v>
      </c>
      <c r="Q1130">
        <v>5</v>
      </c>
      <c r="R1130" t="s">
        <v>28</v>
      </c>
      <c r="S1130">
        <v>1</v>
      </c>
    </row>
    <row r="1131" spans="1:19" ht="16.5" x14ac:dyDescent="0.3">
      <c r="A1131" t="s">
        <v>1185</v>
      </c>
      <c r="B1131" s="1">
        <v>45430</v>
      </c>
      <c r="C1131" s="1">
        <v>45434</v>
      </c>
      <c r="D1131">
        <v>2024</v>
      </c>
      <c r="E1131" t="s">
        <v>836</v>
      </c>
      <c r="F1131" t="s">
        <v>1062</v>
      </c>
      <c r="G1131" t="s">
        <v>102</v>
      </c>
      <c r="H1131" t="s">
        <v>52</v>
      </c>
      <c r="I1131" t="s">
        <v>40</v>
      </c>
      <c r="J1131" t="s">
        <v>43</v>
      </c>
      <c r="K1131" t="s">
        <v>26</v>
      </c>
      <c r="L1131" t="s">
        <v>27</v>
      </c>
      <c r="M1131">
        <v>4</v>
      </c>
      <c r="N1131" s="2"/>
      <c r="O1131" s="3">
        <v>4938</v>
      </c>
      <c r="P1131">
        <v>0</v>
      </c>
      <c r="Q1131">
        <v>4</v>
      </c>
      <c r="R1131" t="s">
        <v>28</v>
      </c>
      <c r="S1131">
        <v>1</v>
      </c>
    </row>
    <row r="1132" spans="1:19" ht="16.5" x14ac:dyDescent="0.3">
      <c r="A1132" t="s">
        <v>1186</v>
      </c>
      <c r="B1132" s="1">
        <v>45430</v>
      </c>
      <c r="C1132" s="1">
        <v>45431</v>
      </c>
      <c r="D1132">
        <v>2024</v>
      </c>
      <c r="E1132" t="s">
        <v>836</v>
      </c>
      <c r="F1132" t="s">
        <v>1062</v>
      </c>
      <c r="G1132" t="s">
        <v>102</v>
      </c>
      <c r="H1132" t="s">
        <v>35</v>
      </c>
      <c r="I1132" t="s">
        <v>40</v>
      </c>
      <c r="J1132" t="s">
        <v>25</v>
      </c>
      <c r="K1132" t="s">
        <v>32</v>
      </c>
      <c r="L1132" t="s">
        <v>27</v>
      </c>
      <c r="M1132">
        <v>1</v>
      </c>
      <c r="N1132" s="2"/>
      <c r="O1132" s="3">
        <v>1091</v>
      </c>
      <c r="P1132">
        <v>0</v>
      </c>
      <c r="Q1132">
        <v>5</v>
      </c>
      <c r="R1132" t="s">
        <v>33</v>
      </c>
      <c r="S1132">
        <v>1</v>
      </c>
    </row>
    <row r="1133" spans="1:19" ht="16.5" x14ac:dyDescent="0.3">
      <c r="A1133" t="s">
        <v>1187</v>
      </c>
      <c r="B1133" s="1">
        <v>45430</v>
      </c>
      <c r="C1133" s="1">
        <v>45432</v>
      </c>
      <c r="D1133">
        <v>2024</v>
      </c>
      <c r="E1133" t="s">
        <v>836</v>
      </c>
      <c r="F1133" t="s">
        <v>1062</v>
      </c>
      <c r="G1133" t="s">
        <v>102</v>
      </c>
      <c r="H1133" t="s">
        <v>39</v>
      </c>
      <c r="I1133" t="s">
        <v>24</v>
      </c>
      <c r="J1133" t="s">
        <v>25</v>
      </c>
      <c r="K1133" t="s">
        <v>41</v>
      </c>
      <c r="L1133" t="s">
        <v>44</v>
      </c>
      <c r="M1133">
        <v>2</v>
      </c>
      <c r="N1133" s="2">
        <v>124</v>
      </c>
      <c r="O1133" s="3">
        <v>1949</v>
      </c>
      <c r="P1133">
        <v>0</v>
      </c>
      <c r="Q1133">
        <v>4</v>
      </c>
      <c r="R1133" t="s">
        <v>33</v>
      </c>
      <c r="S1133">
        <v>1</v>
      </c>
    </row>
    <row r="1134" spans="1:19" ht="16.5" x14ac:dyDescent="0.3">
      <c r="A1134" t="s">
        <v>1188</v>
      </c>
      <c r="B1134" s="1">
        <v>45430</v>
      </c>
      <c r="C1134" s="1">
        <v>45433</v>
      </c>
      <c r="D1134">
        <v>2024</v>
      </c>
      <c r="E1134" t="s">
        <v>836</v>
      </c>
      <c r="F1134" t="s">
        <v>1062</v>
      </c>
      <c r="G1134" t="s">
        <v>102</v>
      </c>
      <c r="H1134" t="s">
        <v>50</v>
      </c>
      <c r="I1134" t="s">
        <v>24</v>
      </c>
      <c r="J1134" t="s">
        <v>25</v>
      </c>
      <c r="K1134" t="s">
        <v>53</v>
      </c>
      <c r="L1134" t="s">
        <v>27</v>
      </c>
      <c r="M1134">
        <v>3</v>
      </c>
      <c r="N1134" s="2">
        <v>144</v>
      </c>
      <c r="O1134" s="3">
        <v>3110</v>
      </c>
      <c r="P1134">
        <v>0</v>
      </c>
      <c r="Q1134">
        <v>3</v>
      </c>
      <c r="R1134" t="s">
        <v>33</v>
      </c>
      <c r="S1134">
        <v>1</v>
      </c>
    </row>
    <row r="1135" spans="1:19" ht="16.5" x14ac:dyDescent="0.3">
      <c r="A1135" t="s">
        <v>1189</v>
      </c>
      <c r="B1135" s="1">
        <v>45430</v>
      </c>
      <c r="C1135" s="1">
        <v>45433</v>
      </c>
      <c r="D1135">
        <v>2024</v>
      </c>
      <c r="E1135" t="s">
        <v>836</v>
      </c>
      <c r="F1135" t="s">
        <v>1062</v>
      </c>
      <c r="G1135" t="s">
        <v>102</v>
      </c>
      <c r="H1135" t="s">
        <v>30</v>
      </c>
      <c r="I1135" t="s">
        <v>40</v>
      </c>
      <c r="J1135" t="s">
        <v>25</v>
      </c>
      <c r="K1135" t="s">
        <v>32</v>
      </c>
      <c r="L1135" t="s">
        <v>27</v>
      </c>
      <c r="M1135">
        <v>3</v>
      </c>
      <c r="N1135" s="2"/>
      <c r="O1135" s="3">
        <v>3930</v>
      </c>
      <c r="P1135">
        <v>0</v>
      </c>
      <c r="Q1135">
        <v>5</v>
      </c>
      <c r="R1135" t="s">
        <v>28</v>
      </c>
      <c r="S1135">
        <v>1</v>
      </c>
    </row>
    <row r="1136" spans="1:19" ht="16.5" x14ac:dyDescent="0.3">
      <c r="A1136" t="s">
        <v>1190</v>
      </c>
      <c r="B1136" s="1">
        <v>45430</v>
      </c>
      <c r="C1136" s="1">
        <v>45436</v>
      </c>
      <c r="D1136">
        <v>2024</v>
      </c>
      <c r="E1136" t="s">
        <v>836</v>
      </c>
      <c r="F1136" t="s">
        <v>1062</v>
      </c>
      <c r="G1136" t="s">
        <v>102</v>
      </c>
      <c r="H1136" t="s">
        <v>50</v>
      </c>
      <c r="I1136" t="s">
        <v>24</v>
      </c>
      <c r="J1136" t="s">
        <v>43</v>
      </c>
      <c r="K1136" t="s">
        <v>53</v>
      </c>
      <c r="L1136" t="s">
        <v>44</v>
      </c>
      <c r="M1136">
        <v>6</v>
      </c>
      <c r="N1136" s="2">
        <v>61</v>
      </c>
      <c r="O1136" s="3">
        <v>8994</v>
      </c>
      <c r="P1136">
        <v>0</v>
      </c>
      <c r="Q1136">
        <v>4</v>
      </c>
      <c r="R1136" t="s">
        <v>33</v>
      </c>
      <c r="S1136">
        <v>1</v>
      </c>
    </row>
    <row r="1137" spans="1:19" ht="16.5" x14ac:dyDescent="0.3">
      <c r="A1137" t="s">
        <v>1191</v>
      </c>
      <c r="B1137" s="1">
        <v>45430</v>
      </c>
      <c r="C1137" s="1">
        <v>45434</v>
      </c>
      <c r="D1137">
        <v>2024</v>
      </c>
      <c r="E1137" t="s">
        <v>836</v>
      </c>
      <c r="F1137" t="s">
        <v>1062</v>
      </c>
      <c r="G1137" t="s">
        <v>102</v>
      </c>
      <c r="H1137" t="s">
        <v>35</v>
      </c>
      <c r="I1137" t="s">
        <v>24</v>
      </c>
      <c r="J1137" t="s">
        <v>25</v>
      </c>
      <c r="K1137" t="s">
        <v>36</v>
      </c>
      <c r="L1137" t="s">
        <v>27</v>
      </c>
      <c r="M1137">
        <v>4</v>
      </c>
      <c r="N1137" s="2">
        <v>10</v>
      </c>
      <c r="O1137" s="3">
        <v>3374</v>
      </c>
      <c r="P1137">
        <v>0</v>
      </c>
      <c r="Q1137">
        <v>4</v>
      </c>
      <c r="R1137" t="s">
        <v>28</v>
      </c>
      <c r="S1137">
        <v>1</v>
      </c>
    </row>
    <row r="1138" spans="1:19" ht="16.5" x14ac:dyDescent="0.3">
      <c r="A1138" t="s">
        <v>1192</v>
      </c>
      <c r="B1138" s="1">
        <v>45431</v>
      </c>
      <c r="C1138" s="1">
        <v>45434</v>
      </c>
      <c r="D1138">
        <v>2024</v>
      </c>
      <c r="E1138" t="s">
        <v>836</v>
      </c>
      <c r="F1138" t="s">
        <v>1062</v>
      </c>
      <c r="G1138" t="s">
        <v>112</v>
      </c>
      <c r="H1138" t="s">
        <v>52</v>
      </c>
      <c r="I1138" t="s">
        <v>40</v>
      </c>
      <c r="J1138" t="s">
        <v>25</v>
      </c>
      <c r="K1138" t="s">
        <v>53</v>
      </c>
      <c r="L1138" t="s">
        <v>44</v>
      </c>
      <c r="M1138">
        <v>3</v>
      </c>
      <c r="N1138" s="2"/>
      <c r="O1138" s="3">
        <v>3424</v>
      </c>
      <c r="P1138">
        <v>0</v>
      </c>
      <c r="Q1138">
        <v>4</v>
      </c>
      <c r="R1138" t="s">
        <v>28</v>
      </c>
      <c r="S1138">
        <v>1</v>
      </c>
    </row>
    <row r="1139" spans="1:19" ht="16.5" x14ac:dyDescent="0.3">
      <c r="A1139" t="s">
        <v>1193</v>
      </c>
      <c r="B1139" s="1">
        <v>45431</v>
      </c>
      <c r="C1139" s="1">
        <v>45435</v>
      </c>
      <c r="D1139">
        <v>2024</v>
      </c>
      <c r="E1139" t="s">
        <v>836</v>
      </c>
      <c r="F1139" t="s">
        <v>1062</v>
      </c>
      <c r="G1139" t="s">
        <v>112</v>
      </c>
      <c r="H1139" t="s">
        <v>50</v>
      </c>
      <c r="I1139" t="s">
        <v>24</v>
      </c>
      <c r="J1139" t="s">
        <v>25</v>
      </c>
      <c r="K1139" t="s">
        <v>26</v>
      </c>
      <c r="L1139" t="s">
        <v>37</v>
      </c>
      <c r="M1139">
        <v>4</v>
      </c>
      <c r="N1139" s="2">
        <v>61</v>
      </c>
      <c r="O1139" s="3">
        <v>4553</v>
      </c>
      <c r="P1139">
        <v>0</v>
      </c>
      <c r="Q1139">
        <v>4</v>
      </c>
      <c r="R1139" t="s">
        <v>28</v>
      </c>
      <c r="S1139">
        <v>1</v>
      </c>
    </row>
    <row r="1140" spans="1:19" ht="16.5" x14ac:dyDescent="0.3">
      <c r="A1140" t="s">
        <v>1194</v>
      </c>
      <c r="B1140" s="1">
        <v>45431</v>
      </c>
      <c r="C1140" s="1">
        <v>45443</v>
      </c>
      <c r="D1140">
        <v>2024</v>
      </c>
      <c r="E1140" t="s">
        <v>836</v>
      </c>
      <c r="F1140" t="s">
        <v>1062</v>
      </c>
      <c r="G1140" t="s">
        <v>112</v>
      </c>
      <c r="H1140" t="s">
        <v>23</v>
      </c>
      <c r="I1140" t="s">
        <v>24</v>
      </c>
      <c r="J1140" t="s">
        <v>43</v>
      </c>
      <c r="K1140" t="s">
        <v>53</v>
      </c>
      <c r="L1140" t="s">
        <v>44</v>
      </c>
      <c r="M1140">
        <v>12</v>
      </c>
      <c r="N1140" s="2">
        <v>43</v>
      </c>
      <c r="O1140" s="3">
        <v>11662</v>
      </c>
      <c r="P1140">
        <v>0</v>
      </c>
      <c r="Q1140">
        <v>4</v>
      </c>
      <c r="R1140" t="s">
        <v>28</v>
      </c>
      <c r="S1140">
        <v>1</v>
      </c>
    </row>
    <row r="1141" spans="1:19" ht="16.5" x14ac:dyDescent="0.3">
      <c r="A1141" t="s">
        <v>1195</v>
      </c>
      <c r="B1141" s="1">
        <v>45432</v>
      </c>
      <c r="C1141" s="1">
        <v>45437</v>
      </c>
      <c r="D1141">
        <v>2024</v>
      </c>
      <c r="E1141" t="s">
        <v>836</v>
      </c>
      <c r="F1141" t="s">
        <v>1062</v>
      </c>
      <c r="G1141" t="s">
        <v>22</v>
      </c>
      <c r="H1141" t="s">
        <v>30</v>
      </c>
      <c r="I1141" t="s">
        <v>40</v>
      </c>
      <c r="J1141" t="s">
        <v>25</v>
      </c>
      <c r="K1141" t="s">
        <v>26</v>
      </c>
      <c r="L1141" t="s">
        <v>44</v>
      </c>
      <c r="M1141">
        <v>5</v>
      </c>
      <c r="N1141" s="2"/>
      <c r="O1141" s="3">
        <v>5169</v>
      </c>
      <c r="P1141">
        <v>0</v>
      </c>
      <c r="Q1141">
        <v>4</v>
      </c>
      <c r="R1141" t="s">
        <v>28</v>
      </c>
      <c r="S1141">
        <v>1</v>
      </c>
    </row>
    <row r="1142" spans="1:19" ht="16.5" x14ac:dyDescent="0.3">
      <c r="A1142" t="s">
        <v>1196</v>
      </c>
      <c r="B1142" s="1">
        <v>45432</v>
      </c>
      <c r="C1142" s="1">
        <v>45437</v>
      </c>
      <c r="D1142">
        <v>2024</v>
      </c>
      <c r="E1142" t="s">
        <v>836</v>
      </c>
      <c r="F1142" t="s">
        <v>1062</v>
      </c>
      <c r="G1142" t="s">
        <v>22</v>
      </c>
      <c r="H1142" t="s">
        <v>35</v>
      </c>
      <c r="I1142" t="s">
        <v>40</v>
      </c>
      <c r="J1142" t="s">
        <v>25</v>
      </c>
      <c r="K1142" t="s">
        <v>36</v>
      </c>
      <c r="L1142" t="s">
        <v>37</v>
      </c>
      <c r="M1142">
        <v>5</v>
      </c>
      <c r="N1142" s="2"/>
      <c r="O1142" s="3">
        <v>3773</v>
      </c>
      <c r="P1142">
        <v>0</v>
      </c>
      <c r="Q1142">
        <v>5</v>
      </c>
      <c r="R1142" t="s">
        <v>33</v>
      </c>
      <c r="S1142">
        <v>1</v>
      </c>
    </row>
    <row r="1143" spans="1:19" ht="16.5" x14ac:dyDescent="0.3">
      <c r="A1143" t="s">
        <v>1197</v>
      </c>
      <c r="B1143" s="1">
        <v>45432</v>
      </c>
      <c r="C1143" s="1">
        <v>45437</v>
      </c>
      <c r="D1143">
        <v>2024</v>
      </c>
      <c r="E1143" t="s">
        <v>836</v>
      </c>
      <c r="F1143" t="s">
        <v>1062</v>
      </c>
      <c r="G1143" t="s">
        <v>22</v>
      </c>
      <c r="H1143" t="s">
        <v>39</v>
      </c>
      <c r="I1143" t="s">
        <v>24</v>
      </c>
      <c r="J1143" t="s">
        <v>25</v>
      </c>
      <c r="K1143" t="s">
        <v>41</v>
      </c>
      <c r="L1143" t="s">
        <v>37</v>
      </c>
      <c r="M1143">
        <v>5</v>
      </c>
      <c r="N1143" s="2">
        <v>40</v>
      </c>
      <c r="O1143" s="3">
        <v>3029</v>
      </c>
      <c r="P1143">
        <v>0</v>
      </c>
      <c r="Q1143">
        <v>4</v>
      </c>
      <c r="R1143" t="s">
        <v>33</v>
      </c>
      <c r="S1143">
        <v>1</v>
      </c>
    </row>
    <row r="1144" spans="1:19" ht="16.5" x14ac:dyDescent="0.3">
      <c r="A1144" t="s">
        <v>1198</v>
      </c>
      <c r="B1144" s="1">
        <v>45432</v>
      </c>
      <c r="C1144" s="1">
        <v>45442</v>
      </c>
      <c r="D1144">
        <v>2024</v>
      </c>
      <c r="E1144" t="s">
        <v>836</v>
      </c>
      <c r="F1144" t="s">
        <v>1062</v>
      </c>
      <c r="G1144" t="s">
        <v>22</v>
      </c>
      <c r="H1144" t="s">
        <v>23</v>
      </c>
      <c r="I1144" t="s">
        <v>24</v>
      </c>
      <c r="J1144" t="s">
        <v>25</v>
      </c>
      <c r="K1144" t="s">
        <v>53</v>
      </c>
      <c r="L1144" t="s">
        <v>44</v>
      </c>
      <c r="M1144">
        <v>10</v>
      </c>
      <c r="N1144" s="2">
        <v>50</v>
      </c>
      <c r="O1144" s="3">
        <v>7749</v>
      </c>
      <c r="P1144">
        <v>0</v>
      </c>
      <c r="Q1144">
        <v>4</v>
      </c>
      <c r="R1144" t="s">
        <v>33</v>
      </c>
      <c r="S1144">
        <v>1</v>
      </c>
    </row>
    <row r="1145" spans="1:19" ht="16.5" x14ac:dyDescent="0.3">
      <c r="A1145" t="s">
        <v>1199</v>
      </c>
      <c r="B1145" s="1">
        <v>45432</v>
      </c>
      <c r="C1145" s="1">
        <v>45435</v>
      </c>
      <c r="D1145">
        <v>2024</v>
      </c>
      <c r="E1145" t="s">
        <v>836</v>
      </c>
      <c r="F1145" t="s">
        <v>1062</v>
      </c>
      <c r="G1145" t="s">
        <v>22</v>
      </c>
      <c r="H1145" t="s">
        <v>50</v>
      </c>
      <c r="I1145" t="s">
        <v>40</v>
      </c>
      <c r="J1145" t="s">
        <v>25</v>
      </c>
      <c r="K1145" t="s">
        <v>26</v>
      </c>
      <c r="L1145" t="s">
        <v>27</v>
      </c>
      <c r="M1145">
        <v>3</v>
      </c>
      <c r="N1145" s="2"/>
      <c r="O1145" s="3">
        <v>3787</v>
      </c>
      <c r="P1145">
        <v>0</v>
      </c>
      <c r="Q1145">
        <v>4</v>
      </c>
      <c r="R1145" t="s">
        <v>33</v>
      </c>
      <c r="S1145">
        <v>1</v>
      </c>
    </row>
    <row r="1146" spans="1:19" ht="16.5" x14ac:dyDescent="0.3">
      <c r="A1146" t="s">
        <v>1200</v>
      </c>
      <c r="B1146" s="1">
        <v>45432</v>
      </c>
      <c r="C1146" s="1">
        <v>45436</v>
      </c>
      <c r="D1146">
        <v>2024</v>
      </c>
      <c r="E1146" t="s">
        <v>836</v>
      </c>
      <c r="F1146" t="s">
        <v>1062</v>
      </c>
      <c r="G1146" t="s">
        <v>22</v>
      </c>
      <c r="H1146" t="s">
        <v>39</v>
      </c>
      <c r="I1146" t="s">
        <v>24</v>
      </c>
      <c r="J1146" t="s">
        <v>25</v>
      </c>
      <c r="K1146" t="s">
        <v>41</v>
      </c>
      <c r="L1146" t="s">
        <v>44</v>
      </c>
      <c r="M1146">
        <v>4</v>
      </c>
      <c r="N1146" s="2">
        <v>56</v>
      </c>
      <c r="O1146" s="3">
        <v>3488</v>
      </c>
      <c r="P1146">
        <v>0</v>
      </c>
      <c r="Q1146">
        <v>3</v>
      </c>
      <c r="R1146" t="s">
        <v>33</v>
      </c>
      <c r="S1146">
        <v>1</v>
      </c>
    </row>
    <row r="1147" spans="1:19" ht="16.5" x14ac:dyDescent="0.3">
      <c r="A1147" t="s">
        <v>1201</v>
      </c>
      <c r="B1147" s="1">
        <v>45433</v>
      </c>
      <c r="C1147" s="1">
        <v>45448</v>
      </c>
      <c r="D1147">
        <v>2024</v>
      </c>
      <c r="E1147" t="s">
        <v>836</v>
      </c>
      <c r="F1147" t="s">
        <v>1062</v>
      </c>
      <c r="G1147" t="s">
        <v>56</v>
      </c>
      <c r="H1147" t="s">
        <v>30</v>
      </c>
      <c r="I1147" t="s">
        <v>40</v>
      </c>
      <c r="J1147" t="s">
        <v>25</v>
      </c>
      <c r="K1147" t="s">
        <v>26</v>
      </c>
      <c r="L1147" t="s">
        <v>27</v>
      </c>
      <c r="M1147">
        <v>15</v>
      </c>
      <c r="N1147" s="2"/>
      <c r="O1147" s="3">
        <v>15124</v>
      </c>
      <c r="P1147">
        <v>0</v>
      </c>
      <c r="Q1147">
        <v>4</v>
      </c>
      <c r="R1147" t="s">
        <v>28</v>
      </c>
      <c r="S1147">
        <v>1</v>
      </c>
    </row>
    <row r="1148" spans="1:19" ht="16.5" x14ac:dyDescent="0.3">
      <c r="A1148" t="s">
        <v>1202</v>
      </c>
      <c r="B1148" s="1">
        <v>45433</v>
      </c>
      <c r="C1148" s="1">
        <v>45438</v>
      </c>
      <c r="D1148">
        <v>2024</v>
      </c>
      <c r="E1148" t="s">
        <v>836</v>
      </c>
      <c r="F1148" t="s">
        <v>1062</v>
      </c>
      <c r="G1148" t="s">
        <v>56</v>
      </c>
      <c r="H1148" t="s">
        <v>23</v>
      </c>
      <c r="I1148" t="s">
        <v>24</v>
      </c>
      <c r="J1148" t="s">
        <v>43</v>
      </c>
      <c r="K1148" t="s">
        <v>53</v>
      </c>
      <c r="L1148" t="s">
        <v>44</v>
      </c>
      <c r="M1148">
        <v>5</v>
      </c>
      <c r="N1148" s="2">
        <v>80</v>
      </c>
      <c r="O1148" s="3">
        <v>2896</v>
      </c>
      <c r="P1148">
        <v>1</v>
      </c>
      <c r="Q1148">
        <v>4</v>
      </c>
      <c r="R1148" t="s">
        <v>28</v>
      </c>
      <c r="S1148">
        <v>1</v>
      </c>
    </row>
    <row r="1149" spans="1:19" ht="16.5" x14ac:dyDescent="0.3">
      <c r="A1149" t="s">
        <v>1203</v>
      </c>
      <c r="B1149" s="1">
        <v>45433</v>
      </c>
      <c r="C1149" s="1">
        <v>45440</v>
      </c>
      <c r="D1149">
        <v>2024</v>
      </c>
      <c r="E1149" t="s">
        <v>836</v>
      </c>
      <c r="F1149" t="s">
        <v>1062</v>
      </c>
      <c r="G1149" t="s">
        <v>56</v>
      </c>
      <c r="H1149" t="s">
        <v>30</v>
      </c>
      <c r="I1149" t="s">
        <v>24</v>
      </c>
      <c r="J1149" t="s">
        <v>25</v>
      </c>
      <c r="K1149" t="s">
        <v>53</v>
      </c>
      <c r="L1149" t="s">
        <v>27</v>
      </c>
      <c r="M1149">
        <v>7</v>
      </c>
      <c r="N1149" s="2">
        <v>33</v>
      </c>
      <c r="O1149" s="3">
        <v>8103</v>
      </c>
      <c r="P1149">
        <v>0</v>
      </c>
      <c r="Q1149">
        <v>4</v>
      </c>
      <c r="R1149" t="s">
        <v>33</v>
      </c>
      <c r="S1149">
        <v>1</v>
      </c>
    </row>
    <row r="1150" spans="1:19" ht="16.5" x14ac:dyDescent="0.3">
      <c r="A1150" t="s">
        <v>1204</v>
      </c>
      <c r="B1150" s="1">
        <v>45433</v>
      </c>
      <c r="C1150" s="1">
        <v>45437</v>
      </c>
      <c r="D1150">
        <v>2024</v>
      </c>
      <c r="E1150" t="s">
        <v>836</v>
      </c>
      <c r="F1150" t="s">
        <v>1062</v>
      </c>
      <c r="G1150" t="s">
        <v>56</v>
      </c>
      <c r="H1150" t="s">
        <v>30</v>
      </c>
      <c r="I1150" t="s">
        <v>31</v>
      </c>
      <c r="J1150" t="s">
        <v>43</v>
      </c>
      <c r="K1150" t="s">
        <v>36</v>
      </c>
      <c r="L1150" t="s">
        <v>27</v>
      </c>
      <c r="M1150">
        <v>4</v>
      </c>
      <c r="N1150" s="2"/>
      <c r="O1150" s="3">
        <v>4748</v>
      </c>
      <c r="P1150">
        <v>0</v>
      </c>
      <c r="Q1150">
        <v>5</v>
      </c>
      <c r="R1150" t="s">
        <v>165</v>
      </c>
      <c r="S1150">
        <v>1</v>
      </c>
    </row>
    <row r="1151" spans="1:19" ht="16.5" x14ac:dyDescent="0.3">
      <c r="A1151" t="s">
        <v>1205</v>
      </c>
      <c r="B1151" s="1">
        <v>45433</v>
      </c>
      <c r="C1151" s="1">
        <v>45434</v>
      </c>
      <c r="D1151">
        <v>2024</v>
      </c>
      <c r="E1151" t="s">
        <v>836</v>
      </c>
      <c r="F1151" t="s">
        <v>1062</v>
      </c>
      <c r="G1151" t="s">
        <v>56</v>
      </c>
      <c r="H1151" t="s">
        <v>39</v>
      </c>
      <c r="I1151" t="s">
        <v>24</v>
      </c>
      <c r="J1151" t="s">
        <v>25</v>
      </c>
      <c r="K1151" t="s">
        <v>41</v>
      </c>
      <c r="L1151" t="s">
        <v>44</v>
      </c>
      <c r="M1151">
        <v>1</v>
      </c>
      <c r="N1151" s="2">
        <v>74</v>
      </c>
      <c r="O1151" s="3">
        <v>1652</v>
      </c>
      <c r="P1151">
        <v>0</v>
      </c>
      <c r="Q1151">
        <v>4</v>
      </c>
      <c r="R1151" t="s">
        <v>33</v>
      </c>
      <c r="S1151">
        <v>1</v>
      </c>
    </row>
    <row r="1152" spans="1:19" ht="16.5" x14ac:dyDescent="0.3">
      <c r="A1152" t="s">
        <v>1206</v>
      </c>
      <c r="B1152" s="1">
        <v>45433</v>
      </c>
      <c r="C1152" s="1">
        <v>45438</v>
      </c>
      <c r="D1152">
        <v>2024</v>
      </c>
      <c r="E1152" t="s">
        <v>836</v>
      </c>
      <c r="F1152" t="s">
        <v>1062</v>
      </c>
      <c r="G1152" t="s">
        <v>56</v>
      </c>
      <c r="H1152" t="s">
        <v>35</v>
      </c>
      <c r="I1152" t="s">
        <v>24</v>
      </c>
      <c r="J1152" t="s">
        <v>25</v>
      </c>
      <c r="K1152" t="s">
        <v>36</v>
      </c>
      <c r="L1152" t="s">
        <v>44</v>
      </c>
      <c r="M1152">
        <v>5</v>
      </c>
      <c r="N1152" s="2">
        <v>60</v>
      </c>
      <c r="O1152" s="3">
        <v>4358</v>
      </c>
      <c r="P1152">
        <v>0</v>
      </c>
      <c r="Q1152">
        <v>5</v>
      </c>
      <c r="R1152" t="s">
        <v>33</v>
      </c>
      <c r="S1152">
        <v>1</v>
      </c>
    </row>
    <row r="1153" spans="1:19" ht="16.5" x14ac:dyDescent="0.3">
      <c r="A1153" t="s">
        <v>1207</v>
      </c>
      <c r="B1153" s="1">
        <v>45433</v>
      </c>
      <c r="C1153" s="1">
        <v>45435</v>
      </c>
      <c r="D1153">
        <v>2024</v>
      </c>
      <c r="E1153" t="s">
        <v>836</v>
      </c>
      <c r="F1153" t="s">
        <v>1062</v>
      </c>
      <c r="G1153" t="s">
        <v>56</v>
      </c>
      <c r="H1153" t="s">
        <v>35</v>
      </c>
      <c r="I1153" t="s">
        <v>24</v>
      </c>
      <c r="J1153" t="s">
        <v>25</v>
      </c>
      <c r="K1153" t="s">
        <v>36</v>
      </c>
      <c r="L1153" t="s">
        <v>27</v>
      </c>
      <c r="M1153">
        <v>2</v>
      </c>
      <c r="N1153" s="2">
        <v>133</v>
      </c>
      <c r="O1153" s="3">
        <v>2336</v>
      </c>
      <c r="P1153">
        <v>0</v>
      </c>
      <c r="Q1153">
        <v>3</v>
      </c>
      <c r="R1153" t="s">
        <v>33</v>
      </c>
      <c r="S1153">
        <v>1</v>
      </c>
    </row>
    <row r="1154" spans="1:19" ht="16.5" x14ac:dyDescent="0.3">
      <c r="A1154" t="s">
        <v>1208</v>
      </c>
      <c r="B1154" s="1">
        <v>45434</v>
      </c>
      <c r="C1154" s="1">
        <v>45437</v>
      </c>
      <c r="D1154">
        <v>2024</v>
      </c>
      <c r="E1154" t="s">
        <v>836</v>
      </c>
      <c r="F1154" t="s">
        <v>1062</v>
      </c>
      <c r="G1154" t="s">
        <v>70</v>
      </c>
      <c r="H1154" t="s">
        <v>35</v>
      </c>
      <c r="I1154" t="s">
        <v>40</v>
      </c>
      <c r="J1154" t="s">
        <v>25</v>
      </c>
      <c r="K1154" t="s">
        <v>36</v>
      </c>
      <c r="L1154" t="s">
        <v>44</v>
      </c>
      <c r="M1154">
        <v>3</v>
      </c>
      <c r="N1154" s="2"/>
      <c r="O1154" s="3">
        <v>2631</v>
      </c>
      <c r="P1154">
        <v>0</v>
      </c>
      <c r="Q1154">
        <v>4</v>
      </c>
      <c r="R1154" t="s">
        <v>33</v>
      </c>
      <c r="S1154">
        <v>1</v>
      </c>
    </row>
    <row r="1155" spans="1:19" ht="16.5" x14ac:dyDescent="0.3">
      <c r="A1155" t="s">
        <v>1209</v>
      </c>
      <c r="B1155" s="1">
        <v>45434</v>
      </c>
      <c r="C1155" s="1">
        <v>45448</v>
      </c>
      <c r="D1155">
        <v>2024</v>
      </c>
      <c r="E1155" t="s">
        <v>836</v>
      </c>
      <c r="F1155" t="s">
        <v>1062</v>
      </c>
      <c r="G1155" t="s">
        <v>70</v>
      </c>
      <c r="H1155" t="s">
        <v>23</v>
      </c>
      <c r="I1155" t="s">
        <v>24</v>
      </c>
      <c r="J1155" t="s">
        <v>43</v>
      </c>
      <c r="K1155" t="s">
        <v>26</v>
      </c>
      <c r="L1155" t="s">
        <v>44</v>
      </c>
      <c r="M1155">
        <v>14</v>
      </c>
      <c r="N1155" s="2">
        <v>139</v>
      </c>
      <c r="O1155" s="3">
        <v>9146</v>
      </c>
      <c r="P1155">
        <v>0</v>
      </c>
      <c r="Q1155">
        <v>3</v>
      </c>
      <c r="R1155" t="s">
        <v>33</v>
      </c>
      <c r="S1155">
        <v>1</v>
      </c>
    </row>
    <row r="1156" spans="1:19" ht="16.5" x14ac:dyDescent="0.3">
      <c r="A1156" t="s">
        <v>1210</v>
      </c>
      <c r="B1156" s="1">
        <v>45434</v>
      </c>
      <c r="C1156" s="1">
        <v>45437</v>
      </c>
      <c r="D1156">
        <v>2024</v>
      </c>
      <c r="E1156" t="s">
        <v>836</v>
      </c>
      <c r="F1156" t="s">
        <v>1062</v>
      </c>
      <c r="G1156" t="s">
        <v>70</v>
      </c>
      <c r="H1156" t="s">
        <v>23</v>
      </c>
      <c r="I1156" t="s">
        <v>24</v>
      </c>
      <c r="J1156" t="s">
        <v>25</v>
      </c>
      <c r="K1156" t="s">
        <v>26</v>
      </c>
      <c r="L1156" t="s">
        <v>44</v>
      </c>
      <c r="M1156">
        <v>3</v>
      </c>
      <c r="N1156" s="2">
        <v>33</v>
      </c>
      <c r="O1156" s="3">
        <v>2610</v>
      </c>
      <c r="P1156">
        <v>0</v>
      </c>
      <c r="Q1156">
        <v>4</v>
      </c>
      <c r="R1156" t="s">
        <v>28</v>
      </c>
      <c r="S1156">
        <v>1</v>
      </c>
    </row>
    <row r="1157" spans="1:19" ht="16.5" x14ac:dyDescent="0.3">
      <c r="A1157" t="s">
        <v>1211</v>
      </c>
      <c r="B1157" s="1">
        <v>45434</v>
      </c>
      <c r="C1157" s="1">
        <v>45435</v>
      </c>
      <c r="D1157">
        <v>2024</v>
      </c>
      <c r="E1157" t="s">
        <v>836</v>
      </c>
      <c r="F1157" t="s">
        <v>1062</v>
      </c>
      <c r="G1157" t="s">
        <v>70</v>
      </c>
      <c r="H1157" t="s">
        <v>30</v>
      </c>
      <c r="I1157" t="s">
        <v>40</v>
      </c>
      <c r="J1157" t="s">
        <v>43</v>
      </c>
      <c r="K1157" t="s">
        <v>36</v>
      </c>
      <c r="L1157" t="s">
        <v>27</v>
      </c>
      <c r="M1157">
        <v>1</v>
      </c>
      <c r="N1157" s="2"/>
      <c r="O1157" s="3">
        <v>1902</v>
      </c>
      <c r="P1157">
        <v>0</v>
      </c>
      <c r="Q1157">
        <v>4</v>
      </c>
      <c r="R1157" t="s">
        <v>28</v>
      </c>
      <c r="S1157">
        <v>1</v>
      </c>
    </row>
    <row r="1158" spans="1:19" ht="16.5" x14ac:dyDescent="0.3">
      <c r="A1158" t="s">
        <v>1212</v>
      </c>
      <c r="B1158" s="1">
        <v>45434</v>
      </c>
      <c r="C1158" s="1">
        <v>45436</v>
      </c>
      <c r="D1158">
        <v>2024</v>
      </c>
      <c r="E1158" t="s">
        <v>836</v>
      </c>
      <c r="F1158" t="s">
        <v>1062</v>
      </c>
      <c r="G1158" t="s">
        <v>70</v>
      </c>
      <c r="H1158" t="s">
        <v>39</v>
      </c>
      <c r="I1158" t="s">
        <v>24</v>
      </c>
      <c r="J1158" t="s">
        <v>25</v>
      </c>
      <c r="K1158" t="s">
        <v>41</v>
      </c>
      <c r="L1158" t="s">
        <v>27</v>
      </c>
      <c r="M1158">
        <v>2</v>
      </c>
      <c r="N1158" s="2">
        <v>51</v>
      </c>
      <c r="O1158" s="3">
        <v>2088</v>
      </c>
      <c r="P1158">
        <v>0</v>
      </c>
      <c r="Q1158">
        <v>4</v>
      </c>
      <c r="R1158" t="s">
        <v>33</v>
      </c>
      <c r="S1158">
        <v>1</v>
      </c>
    </row>
    <row r="1159" spans="1:19" ht="16.5" x14ac:dyDescent="0.3">
      <c r="A1159" t="s">
        <v>1213</v>
      </c>
      <c r="B1159" s="1">
        <v>45434</v>
      </c>
      <c r="C1159" s="1">
        <v>45437</v>
      </c>
      <c r="D1159">
        <v>2024</v>
      </c>
      <c r="E1159" t="s">
        <v>836</v>
      </c>
      <c r="F1159" t="s">
        <v>1062</v>
      </c>
      <c r="G1159" t="s">
        <v>70</v>
      </c>
      <c r="H1159" t="s">
        <v>39</v>
      </c>
      <c r="I1159" t="s">
        <v>24</v>
      </c>
      <c r="J1159" t="s">
        <v>25</v>
      </c>
      <c r="K1159" t="s">
        <v>41</v>
      </c>
      <c r="L1159" t="s">
        <v>44</v>
      </c>
      <c r="M1159">
        <v>3</v>
      </c>
      <c r="N1159" s="2">
        <v>24</v>
      </c>
      <c r="O1159" s="3">
        <v>2887</v>
      </c>
      <c r="P1159">
        <v>0</v>
      </c>
      <c r="Q1159">
        <v>5</v>
      </c>
      <c r="R1159" t="s">
        <v>28</v>
      </c>
      <c r="S1159">
        <v>1</v>
      </c>
    </row>
    <row r="1160" spans="1:19" ht="16.5" x14ac:dyDescent="0.3">
      <c r="A1160" t="s">
        <v>1214</v>
      </c>
      <c r="B1160" s="1">
        <v>45434</v>
      </c>
      <c r="C1160" s="1">
        <v>45436</v>
      </c>
      <c r="D1160">
        <v>2024</v>
      </c>
      <c r="E1160" t="s">
        <v>836</v>
      </c>
      <c r="F1160" t="s">
        <v>1062</v>
      </c>
      <c r="G1160" t="s">
        <v>70</v>
      </c>
      <c r="H1160" t="s">
        <v>35</v>
      </c>
      <c r="I1160" t="s">
        <v>24</v>
      </c>
      <c r="J1160" t="s">
        <v>25</v>
      </c>
      <c r="K1160" t="s">
        <v>36</v>
      </c>
      <c r="L1160" t="s">
        <v>44</v>
      </c>
      <c r="M1160">
        <v>2</v>
      </c>
      <c r="N1160" s="2">
        <v>103</v>
      </c>
      <c r="O1160" s="3">
        <v>2447</v>
      </c>
      <c r="P1160">
        <v>0</v>
      </c>
      <c r="Q1160">
        <v>5</v>
      </c>
      <c r="R1160" t="s">
        <v>28</v>
      </c>
      <c r="S1160">
        <v>1</v>
      </c>
    </row>
    <row r="1161" spans="1:19" ht="16.5" x14ac:dyDescent="0.3">
      <c r="A1161" t="s">
        <v>1215</v>
      </c>
      <c r="B1161" s="1">
        <v>45435</v>
      </c>
      <c r="C1161" s="1">
        <v>45449</v>
      </c>
      <c r="D1161">
        <v>2024</v>
      </c>
      <c r="E1161" t="s">
        <v>836</v>
      </c>
      <c r="F1161" t="s">
        <v>1062</v>
      </c>
      <c r="G1161" t="s">
        <v>78</v>
      </c>
      <c r="H1161" t="s">
        <v>50</v>
      </c>
      <c r="I1161" t="s">
        <v>24</v>
      </c>
      <c r="J1161" t="s">
        <v>25</v>
      </c>
      <c r="K1161" t="s">
        <v>26</v>
      </c>
      <c r="L1161" t="s">
        <v>27</v>
      </c>
      <c r="M1161">
        <v>14</v>
      </c>
      <c r="N1161" s="2">
        <v>27</v>
      </c>
      <c r="O1161" s="3">
        <v>26049</v>
      </c>
      <c r="P1161">
        <v>1</v>
      </c>
      <c r="Q1161">
        <v>4</v>
      </c>
      <c r="R1161" t="s">
        <v>33</v>
      </c>
      <c r="S1161">
        <v>1</v>
      </c>
    </row>
    <row r="1162" spans="1:19" ht="16.5" x14ac:dyDescent="0.3">
      <c r="A1162" t="s">
        <v>1216</v>
      </c>
      <c r="B1162" s="1">
        <v>45435</v>
      </c>
      <c r="C1162" s="1">
        <v>45441</v>
      </c>
      <c r="D1162">
        <v>2024</v>
      </c>
      <c r="E1162" t="s">
        <v>836</v>
      </c>
      <c r="F1162" t="s">
        <v>1062</v>
      </c>
      <c r="G1162" t="s">
        <v>78</v>
      </c>
      <c r="H1162" t="s">
        <v>39</v>
      </c>
      <c r="I1162" t="s">
        <v>24</v>
      </c>
      <c r="J1162" t="s">
        <v>25</v>
      </c>
      <c r="K1162" t="s">
        <v>41</v>
      </c>
      <c r="L1162" t="s">
        <v>44</v>
      </c>
      <c r="M1162">
        <v>6</v>
      </c>
      <c r="N1162" s="2">
        <v>29</v>
      </c>
      <c r="O1162" s="3">
        <v>4103</v>
      </c>
      <c r="P1162">
        <v>0</v>
      </c>
      <c r="Q1162">
        <v>4</v>
      </c>
      <c r="R1162" t="s">
        <v>28</v>
      </c>
      <c r="S1162">
        <v>1</v>
      </c>
    </row>
    <row r="1163" spans="1:19" ht="16.5" x14ac:dyDescent="0.3">
      <c r="A1163" t="s">
        <v>1217</v>
      </c>
      <c r="B1163" s="1">
        <v>45435</v>
      </c>
      <c r="C1163" s="1">
        <v>45457</v>
      </c>
      <c r="D1163">
        <v>2024</v>
      </c>
      <c r="E1163" t="s">
        <v>836</v>
      </c>
      <c r="F1163" t="s">
        <v>1062</v>
      </c>
      <c r="G1163" t="s">
        <v>78</v>
      </c>
      <c r="H1163" t="s">
        <v>50</v>
      </c>
      <c r="I1163" t="s">
        <v>24</v>
      </c>
      <c r="J1163" t="s">
        <v>25</v>
      </c>
      <c r="K1163" t="s">
        <v>26</v>
      </c>
      <c r="L1163" t="s">
        <v>27</v>
      </c>
      <c r="M1163">
        <v>22</v>
      </c>
      <c r="N1163" s="2">
        <v>60</v>
      </c>
      <c r="O1163" s="3">
        <v>23087</v>
      </c>
      <c r="P1163">
        <v>0</v>
      </c>
      <c r="Q1163">
        <v>5</v>
      </c>
      <c r="R1163" t="s">
        <v>33</v>
      </c>
      <c r="S1163">
        <v>1</v>
      </c>
    </row>
    <row r="1164" spans="1:19" ht="16.5" x14ac:dyDescent="0.3">
      <c r="A1164" t="s">
        <v>1218</v>
      </c>
      <c r="B1164" s="1">
        <v>45436</v>
      </c>
      <c r="C1164" s="1">
        <v>45441</v>
      </c>
      <c r="D1164">
        <v>2024</v>
      </c>
      <c r="E1164" t="s">
        <v>836</v>
      </c>
      <c r="F1164" t="s">
        <v>1062</v>
      </c>
      <c r="G1164" t="s">
        <v>83</v>
      </c>
      <c r="H1164" t="s">
        <v>30</v>
      </c>
      <c r="I1164" t="s">
        <v>40</v>
      </c>
      <c r="J1164" t="s">
        <v>43</v>
      </c>
      <c r="K1164" t="s">
        <v>26</v>
      </c>
      <c r="L1164" t="s">
        <v>44</v>
      </c>
      <c r="M1164">
        <v>5</v>
      </c>
      <c r="N1164" s="2"/>
      <c r="O1164" s="3">
        <v>5269</v>
      </c>
      <c r="P1164">
        <v>0</v>
      </c>
      <c r="Q1164">
        <v>3</v>
      </c>
      <c r="R1164" t="s">
        <v>33</v>
      </c>
      <c r="S1164">
        <v>1</v>
      </c>
    </row>
    <row r="1165" spans="1:19" ht="16.5" x14ac:dyDescent="0.3">
      <c r="A1165" t="s">
        <v>1219</v>
      </c>
      <c r="B1165" s="1">
        <v>45436</v>
      </c>
      <c r="C1165" s="1">
        <v>45438</v>
      </c>
      <c r="D1165">
        <v>2024</v>
      </c>
      <c r="E1165" t="s">
        <v>836</v>
      </c>
      <c r="F1165" t="s">
        <v>1062</v>
      </c>
      <c r="G1165" t="s">
        <v>83</v>
      </c>
      <c r="H1165" t="s">
        <v>39</v>
      </c>
      <c r="I1165" t="s">
        <v>24</v>
      </c>
      <c r="J1165" t="s">
        <v>43</v>
      </c>
      <c r="K1165" t="s">
        <v>41</v>
      </c>
      <c r="L1165" t="s">
        <v>37</v>
      </c>
      <c r="M1165">
        <v>2</v>
      </c>
      <c r="N1165" s="2">
        <v>20</v>
      </c>
      <c r="O1165" s="3">
        <v>1882</v>
      </c>
      <c r="P1165">
        <v>0</v>
      </c>
      <c r="Q1165">
        <v>4</v>
      </c>
      <c r="R1165" t="s">
        <v>33</v>
      </c>
      <c r="S1165">
        <v>1</v>
      </c>
    </row>
    <row r="1166" spans="1:19" ht="16.5" x14ac:dyDescent="0.3">
      <c r="A1166" t="s">
        <v>1220</v>
      </c>
      <c r="B1166" s="1">
        <v>45436</v>
      </c>
      <c r="C1166" s="1">
        <v>45438</v>
      </c>
      <c r="D1166">
        <v>2024</v>
      </c>
      <c r="E1166" t="s">
        <v>836</v>
      </c>
      <c r="F1166" t="s">
        <v>1062</v>
      </c>
      <c r="G1166" t="s">
        <v>83</v>
      </c>
      <c r="H1166" t="s">
        <v>35</v>
      </c>
      <c r="I1166" t="s">
        <v>40</v>
      </c>
      <c r="J1166" t="s">
        <v>25</v>
      </c>
      <c r="K1166" t="s">
        <v>32</v>
      </c>
      <c r="L1166" t="s">
        <v>44</v>
      </c>
      <c r="M1166">
        <v>2</v>
      </c>
      <c r="N1166" s="2"/>
      <c r="O1166" s="3">
        <v>2418</v>
      </c>
      <c r="P1166">
        <v>0</v>
      </c>
      <c r="Q1166">
        <v>3</v>
      </c>
      <c r="R1166" t="s">
        <v>33</v>
      </c>
      <c r="S1166">
        <v>1</v>
      </c>
    </row>
    <row r="1167" spans="1:19" ht="16.5" x14ac:dyDescent="0.3">
      <c r="A1167" t="s">
        <v>1221</v>
      </c>
      <c r="B1167" s="1">
        <v>45436</v>
      </c>
      <c r="C1167" s="1">
        <v>45443</v>
      </c>
      <c r="D1167">
        <v>2024</v>
      </c>
      <c r="E1167" t="s">
        <v>836</v>
      </c>
      <c r="F1167" t="s">
        <v>1062</v>
      </c>
      <c r="G1167" t="s">
        <v>83</v>
      </c>
      <c r="H1167" t="s">
        <v>50</v>
      </c>
      <c r="I1167" t="s">
        <v>24</v>
      </c>
      <c r="J1167" t="s">
        <v>43</v>
      </c>
      <c r="K1167" t="s">
        <v>32</v>
      </c>
      <c r="L1167" t="s">
        <v>44</v>
      </c>
      <c r="M1167">
        <v>7</v>
      </c>
      <c r="N1167" s="2">
        <v>54</v>
      </c>
      <c r="O1167" s="3">
        <v>8395</v>
      </c>
      <c r="P1167">
        <v>0</v>
      </c>
      <c r="Q1167">
        <v>5</v>
      </c>
      <c r="R1167" t="s">
        <v>33</v>
      </c>
      <c r="S1167">
        <v>1</v>
      </c>
    </row>
    <row r="1168" spans="1:19" ht="16.5" x14ac:dyDescent="0.3">
      <c r="A1168" t="s">
        <v>1222</v>
      </c>
      <c r="B1168" s="1">
        <v>45436</v>
      </c>
      <c r="C1168" s="1">
        <v>45438</v>
      </c>
      <c r="D1168">
        <v>2024</v>
      </c>
      <c r="E1168" t="s">
        <v>836</v>
      </c>
      <c r="F1168" t="s">
        <v>1062</v>
      </c>
      <c r="G1168" t="s">
        <v>83</v>
      </c>
      <c r="H1168" t="s">
        <v>35</v>
      </c>
      <c r="I1168" t="s">
        <v>24</v>
      </c>
      <c r="J1168" t="s">
        <v>25</v>
      </c>
      <c r="K1168" t="s">
        <v>36</v>
      </c>
      <c r="L1168" t="s">
        <v>27</v>
      </c>
      <c r="M1168">
        <v>2</v>
      </c>
      <c r="N1168" s="2">
        <v>60</v>
      </c>
      <c r="O1168" s="3">
        <v>2321</v>
      </c>
      <c r="P1168">
        <v>0</v>
      </c>
      <c r="Q1168">
        <v>5</v>
      </c>
      <c r="R1168" t="s">
        <v>33</v>
      </c>
      <c r="S1168">
        <v>1</v>
      </c>
    </row>
    <row r="1169" spans="1:19" ht="16.5" x14ac:dyDescent="0.3">
      <c r="A1169" t="s">
        <v>1223</v>
      </c>
      <c r="B1169" s="1">
        <v>45436</v>
      </c>
      <c r="C1169" s="1">
        <v>45439</v>
      </c>
      <c r="D1169">
        <v>2024</v>
      </c>
      <c r="E1169" t="s">
        <v>836</v>
      </c>
      <c r="F1169" t="s">
        <v>1062</v>
      </c>
      <c r="G1169" t="s">
        <v>83</v>
      </c>
      <c r="H1169" t="s">
        <v>50</v>
      </c>
      <c r="I1169" t="s">
        <v>40</v>
      </c>
      <c r="J1169" t="s">
        <v>43</v>
      </c>
      <c r="K1169" t="s">
        <v>53</v>
      </c>
      <c r="L1169" t="s">
        <v>44</v>
      </c>
      <c r="M1169">
        <v>3</v>
      </c>
      <c r="N1169" s="2"/>
      <c r="O1169" s="3">
        <v>3814</v>
      </c>
      <c r="P1169">
        <v>0</v>
      </c>
      <c r="Q1169">
        <v>3</v>
      </c>
      <c r="R1169" t="s">
        <v>28</v>
      </c>
      <c r="S1169">
        <v>1</v>
      </c>
    </row>
    <row r="1170" spans="1:19" ht="16.5" x14ac:dyDescent="0.3">
      <c r="A1170" t="s">
        <v>1224</v>
      </c>
      <c r="B1170" s="1">
        <v>45437</v>
      </c>
      <c r="C1170" s="1">
        <v>45443</v>
      </c>
      <c r="D1170">
        <v>2024</v>
      </c>
      <c r="E1170" t="s">
        <v>836</v>
      </c>
      <c r="F1170" t="s">
        <v>1062</v>
      </c>
      <c r="G1170" t="s">
        <v>102</v>
      </c>
      <c r="H1170" t="s">
        <v>50</v>
      </c>
      <c r="I1170" t="s">
        <v>24</v>
      </c>
      <c r="J1170" t="s">
        <v>25</v>
      </c>
      <c r="K1170" t="s">
        <v>32</v>
      </c>
      <c r="L1170" t="s">
        <v>27</v>
      </c>
      <c r="M1170">
        <v>6</v>
      </c>
      <c r="N1170" s="2">
        <v>41</v>
      </c>
      <c r="O1170" s="3">
        <v>6454</v>
      </c>
      <c r="P1170">
        <v>0</v>
      </c>
      <c r="Q1170">
        <v>4</v>
      </c>
      <c r="R1170" t="s">
        <v>33</v>
      </c>
      <c r="S1170">
        <v>1</v>
      </c>
    </row>
    <row r="1171" spans="1:19" ht="16.5" x14ac:dyDescent="0.3">
      <c r="A1171" t="s">
        <v>1225</v>
      </c>
      <c r="B1171" s="1">
        <v>45437</v>
      </c>
      <c r="C1171" s="1">
        <v>45442</v>
      </c>
      <c r="D1171">
        <v>2024</v>
      </c>
      <c r="E1171" t="s">
        <v>836</v>
      </c>
      <c r="F1171" t="s">
        <v>1062</v>
      </c>
      <c r="G1171" t="s">
        <v>102</v>
      </c>
      <c r="H1171" t="s">
        <v>52</v>
      </c>
      <c r="I1171" t="s">
        <v>40</v>
      </c>
      <c r="J1171" t="s">
        <v>43</v>
      </c>
      <c r="K1171" t="s">
        <v>26</v>
      </c>
      <c r="L1171" t="s">
        <v>37</v>
      </c>
      <c r="M1171">
        <v>5</v>
      </c>
      <c r="N1171" s="2"/>
      <c r="O1171" s="3">
        <v>5519</v>
      </c>
      <c r="P1171">
        <v>0</v>
      </c>
      <c r="Q1171">
        <v>5</v>
      </c>
      <c r="R1171" t="s">
        <v>28</v>
      </c>
      <c r="S1171">
        <v>1</v>
      </c>
    </row>
    <row r="1172" spans="1:19" ht="16.5" x14ac:dyDescent="0.3">
      <c r="A1172" t="s">
        <v>1226</v>
      </c>
      <c r="B1172" s="1">
        <v>45438</v>
      </c>
      <c r="C1172" s="1">
        <v>45442</v>
      </c>
      <c r="D1172">
        <v>2024</v>
      </c>
      <c r="E1172" t="s">
        <v>836</v>
      </c>
      <c r="F1172" t="s">
        <v>1062</v>
      </c>
      <c r="G1172" t="s">
        <v>112</v>
      </c>
      <c r="H1172" t="s">
        <v>30</v>
      </c>
      <c r="I1172" t="s">
        <v>24</v>
      </c>
      <c r="J1172" t="s">
        <v>43</v>
      </c>
      <c r="K1172" t="s">
        <v>26</v>
      </c>
      <c r="L1172" t="s">
        <v>27</v>
      </c>
      <c r="M1172">
        <v>4</v>
      </c>
      <c r="N1172" s="2">
        <v>43</v>
      </c>
      <c r="O1172" s="3">
        <v>4808</v>
      </c>
      <c r="P1172">
        <v>0</v>
      </c>
      <c r="Q1172">
        <v>5</v>
      </c>
      <c r="R1172" t="s">
        <v>28</v>
      </c>
      <c r="S1172">
        <v>1</v>
      </c>
    </row>
    <row r="1173" spans="1:19" ht="16.5" x14ac:dyDescent="0.3">
      <c r="A1173" t="s">
        <v>1227</v>
      </c>
      <c r="B1173" s="1">
        <v>45438</v>
      </c>
      <c r="C1173" s="1">
        <v>45444</v>
      </c>
      <c r="D1173">
        <v>2024</v>
      </c>
      <c r="E1173" t="s">
        <v>836</v>
      </c>
      <c r="F1173" t="s">
        <v>1062</v>
      </c>
      <c r="G1173" t="s">
        <v>112</v>
      </c>
      <c r="H1173" t="s">
        <v>23</v>
      </c>
      <c r="I1173" t="s">
        <v>31</v>
      </c>
      <c r="J1173" t="s">
        <v>25</v>
      </c>
      <c r="K1173" t="s">
        <v>32</v>
      </c>
      <c r="L1173" t="s">
        <v>37</v>
      </c>
      <c r="M1173">
        <v>6</v>
      </c>
      <c r="N1173" s="2"/>
      <c r="O1173" s="3">
        <v>3931</v>
      </c>
      <c r="P1173">
        <v>0</v>
      </c>
      <c r="Q1173">
        <v>4</v>
      </c>
      <c r="R1173" t="s">
        <v>28</v>
      </c>
      <c r="S1173">
        <v>1</v>
      </c>
    </row>
    <row r="1174" spans="1:19" ht="16.5" x14ac:dyDescent="0.3">
      <c r="A1174" t="s">
        <v>1228</v>
      </c>
      <c r="B1174" s="1">
        <v>45439</v>
      </c>
      <c r="C1174" s="1">
        <v>45440</v>
      </c>
      <c r="D1174">
        <v>2024</v>
      </c>
      <c r="E1174" t="s">
        <v>836</v>
      </c>
      <c r="F1174" t="s">
        <v>1062</v>
      </c>
      <c r="G1174" t="s">
        <v>22</v>
      </c>
      <c r="H1174" t="s">
        <v>52</v>
      </c>
      <c r="I1174" t="s">
        <v>24</v>
      </c>
      <c r="J1174" t="s">
        <v>25</v>
      </c>
      <c r="K1174" t="s">
        <v>32</v>
      </c>
      <c r="L1174" t="s">
        <v>37</v>
      </c>
      <c r="M1174">
        <v>1</v>
      </c>
      <c r="N1174" s="2">
        <v>60</v>
      </c>
      <c r="O1174" s="3">
        <v>2241</v>
      </c>
      <c r="P1174">
        <v>0</v>
      </c>
      <c r="Q1174">
        <v>5</v>
      </c>
      <c r="R1174" t="s">
        <v>33</v>
      </c>
      <c r="S1174">
        <v>1</v>
      </c>
    </row>
    <row r="1175" spans="1:19" ht="16.5" x14ac:dyDescent="0.3">
      <c r="A1175" t="s">
        <v>1229</v>
      </c>
      <c r="B1175" s="1">
        <v>45439</v>
      </c>
      <c r="C1175" s="1">
        <v>45445</v>
      </c>
      <c r="D1175">
        <v>2024</v>
      </c>
      <c r="E1175" t="s">
        <v>836</v>
      </c>
      <c r="F1175" t="s">
        <v>1062</v>
      </c>
      <c r="G1175" t="s">
        <v>22</v>
      </c>
      <c r="H1175" t="s">
        <v>39</v>
      </c>
      <c r="I1175" t="s">
        <v>24</v>
      </c>
      <c r="J1175" t="s">
        <v>43</v>
      </c>
      <c r="K1175" t="s">
        <v>41</v>
      </c>
      <c r="L1175" t="s">
        <v>27</v>
      </c>
      <c r="M1175">
        <v>6</v>
      </c>
      <c r="N1175" s="2">
        <v>27</v>
      </c>
      <c r="O1175" s="3">
        <v>4978</v>
      </c>
      <c r="P1175">
        <v>0</v>
      </c>
      <c r="Q1175">
        <v>5</v>
      </c>
      <c r="R1175" t="s">
        <v>33</v>
      </c>
      <c r="S1175">
        <v>1</v>
      </c>
    </row>
    <row r="1176" spans="1:19" ht="16.5" x14ac:dyDescent="0.3">
      <c r="A1176" t="s">
        <v>1230</v>
      </c>
      <c r="B1176" s="1">
        <v>45439</v>
      </c>
      <c r="C1176" s="1">
        <v>45451</v>
      </c>
      <c r="D1176">
        <v>2024</v>
      </c>
      <c r="E1176" t="s">
        <v>836</v>
      </c>
      <c r="F1176" t="s">
        <v>1062</v>
      </c>
      <c r="G1176" t="s">
        <v>22</v>
      </c>
      <c r="H1176" t="s">
        <v>50</v>
      </c>
      <c r="I1176" t="s">
        <v>24</v>
      </c>
      <c r="J1176" t="s">
        <v>43</v>
      </c>
      <c r="K1176" t="s">
        <v>26</v>
      </c>
      <c r="L1176" t="s">
        <v>27</v>
      </c>
      <c r="M1176">
        <v>12</v>
      </c>
      <c r="N1176" s="2">
        <v>49</v>
      </c>
      <c r="O1176" s="3">
        <v>13436</v>
      </c>
      <c r="P1176">
        <v>1</v>
      </c>
      <c r="Q1176">
        <v>5</v>
      </c>
      <c r="R1176" t="s">
        <v>33</v>
      </c>
      <c r="S1176">
        <v>1</v>
      </c>
    </row>
    <row r="1177" spans="1:19" ht="16.5" x14ac:dyDescent="0.3">
      <c r="A1177" t="s">
        <v>1231</v>
      </c>
      <c r="B1177" s="1">
        <v>45439</v>
      </c>
      <c r="C1177" s="1">
        <v>45443</v>
      </c>
      <c r="D1177">
        <v>2024</v>
      </c>
      <c r="E1177" t="s">
        <v>836</v>
      </c>
      <c r="F1177" t="s">
        <v>1062</v>
      </c>
      <c r="G1177" t="s">
        <v>22</v>
      </c>
      <c r="H1177" t="s">
        <v>35</v>
      </c>
      <c r="I1177" t="s">
        <v>24</v>
      </c>
      <c r="J1177" t="s">
        <v>25</v>
      </c>
      <c r="K1177" t="s">
        <v>32</v>
      </c>
      <c r="L1177" t="s">
        <v>44</v>
      </c>
      <c r="M1177">
        <v>4</v>
      </c>
      <c r="N1177" s="2">
        <v>80</v>
      </c>
      <c r="O1177" s="3">
        <v>3443</v>
      </c>
      <c r="P1177">
        <v>0</v>
      </c>
      <c r="Q1177">
        <v>4</v>
      </c>
      <c r="R1177" t="s">
        <v>33</v>
      </c>
      <c r="S1177">
        <v>1</v>
      </c>
    </row>
    <row r="1178" spans="1:19" ht="16.5" x14ac:dyDescent="0.3">
      <c r="A1178" t="s">
        <v>1232</v>
      </c>
      <c r="B1178" s="1">
        <v>45439</v>
      </c>
      <c r="C1178" s="1">
        <v>45442</v>
      </c>
      <c r="D1178">
        <v>2024</v>
      </c>
      <c r="E1178" t="s">
        <v>836</v>
      </c>
      <c r="F1178" t="s">
        <v>1062</v>
      </c>
      <c r="G1178" t="s">
        <v>22</v>
      </c>
      <c r="H1178" t="s">
        <v>23</v>
      </c>
      <c r="I1178" t="s">
        <v>24</v>
      </c>
      <c r="J1178" t="s">
        <v>43</v>
      </c>
      <c r="K1178" t="s">
        <v>26</v>
      </c>
      <c r="L1178" t="s">
        <v>44</v>
      </c>
      <c r="M1178">
        <v>3</v>
      </c>
      <c r="N1178" s="2">
        <v>119</v>
      </c>
      <c r="O1178" s="3">
        <v>2709</v>
      </c>
      <c r="P1178">
        <v>0</v>
      </c>
      <c r="Q1178">
        <v>4</v>
      </c>
      <c r="R1178" t="s">
        <v>33</v>
      </c>
      <c r="S1178">
        <v>1</v>
      </c>
    </row>
    <row r="1179" spans="1:19" ht="16.5" x14ac:dyDescent="0.3">
      <c r="A1179" t="s">
        <v>1233</v>
      </c>
      <c r="B1179" s="1">
        <v>45439</v>
      </c>
      <c r="C1179" s="1">
        <v>45441</v>
      </c>
      <c r="D1179">
        <v>2024</v>
      </c>
      <c r="E1179" t="s">
        <v>836</v>
      </c>
      <c r="F1179" t="s">
        <v>1062</v>
      </c>
      <c r="G1179" t="s">
        <v>22</v>
      </c>
      <c r="H1179" t="s">
        <v>39</v>
      </c>
      <c r="I1179" t="s">
        <v>24</v>
      </c>
      <c r="J1179" t="s">
        <v>25</v>
      </c>
      <c r="K1179" t="s">
        <v>41</v>
      </c>
      <c r="L1179" t="s">
        <v>44</v>
      </c>
      <c r="M1179">
        <v>2</v>
      </c>
      <c r="N1179" s="2">
        <v>46</v>
      </c>
      <c r="O1179" s="3">
        <v>1954</v>
      </c>
      <c r="P1179">
        <v>0</v>
      </c>
      <c r="Q1179">
        <v>4</v>
      </c>
      <c r="R1179" t="s">
        <v>33</v>
      </c>
      <c r="S1179">
        <v>1</v>
      </c>
    </row>
    <row r="1180" spans="1:19" ht="16.5" x14ac:dyDescent="0.3">
      <c r="A1180" t="s">
        <v>1234</v>
      </c>
      <c r="B1180" s="1">
        <v>45439</v>
      </c>
      <c r="C1180" s="1">
        <v>45446</v>
      </c>
      <c r="D1180">
        <v>2024</v>
      </c>
      <c r="E1180" t="s">
        <v>836</v>
      </c>
      <c r="F1180" t="s">
        <v>1062</v>
      </c>
      <c r="G1180" t="s">
        <v>22</v>
      </c>
      <c r="H1180" t="s">
        <v>23</v>
      </c>
      <c r="I1180" t="s">
        <v>24</v>
      </c>
      <c r="J1180" t="s">
        <v>43</v>
      </c>
      <c r="K1180" t="s">
        <v>26</v>
      </c>
      <c r="L1180" t="s">
        <v>44</v>
      </c>
      <c r="M1180">
        <v>7</v>
      </c>
      <c r="N1180" s="2">
        <v>21</v>
      </c>
      <c r="O1180" s="3">
        <v>6037</v>
      </c>
      <c r="P1180">
        <v>0</v>
      </c>
      <c r="Q1180">
        <v>4</v>
      </c>
      <c r="R1180" t="s">
        <v>33</v>
      </c>
      <c r="S1180">
        <v>1</v>
      </c>
    </row>
    <row r="1181" spans="1:19" ht="16.5" x14ac:dyDescent="0.3">
      <c r="A1181" t="s">
        <v>1235</v>
      </c>
      <c r="B1181" s="1">
        <v>45439</v>
      </c>
      <c r="C1181" s="1">
        <v>45443</v>
      </c>
      <c r="D1181">
        <v>2024</v>
      </c>
      <c r="E1181" t="s">
        <v>836</v>
      </c>
      <c r="F1181" t="s">
        <v>1062</v>
      </c>
      <c r="G1181" t="s">
        <v>22</v>
      </c>
      <c r="H1181" t="s">
        <v>39</v>
      </c>
      <c r="I1181" t="s">
        <v>24</v>
      </c>
      <c r="J1181" t="s">
        <v>43</v>
      </c>
      <c r="K1181" t="s">
        <v>41</v>
      </c>
      <c r="L1181" t="s">
        <v>27</v>
      </c>
      <c r="M1181">
        <v>4</v>
      </c>
      <c r="N1181" s="2">
        <v>68</v>
      </c>
      <c r="O1181" s="3">
        <v>3259</v>
      </c>
      <c r="P1181">
        <v>0</v>
      </c>
      <c r="Q1181">
        <v>5</v>
      </c>
      <c r="R1181" t="s">
        <v>33</v>
      </c>
      <c r="S1181">
        <v>1</v>
      </c>
    </row>
    <row r="1182" spans="1:19" ht="16.5" x14ac:dyDescent="0.3">
      <c r="A1182" t="s">
        <v>1236</v>
      </c>
      <c r="B1182" s="1">
        <v>45439</v>
      </c>
      <c r="C1182" s="1">
        <v>45442</v>
      </c>
      <c r="D1182">
        <v>2024</v>
      </c>
      <c r="E1182" t="s">
        <v>836</v>
      </c>
      <c r="F1182" t="s">
        <v>1062</v>
      </c>
      <c r="G1182" t="s">
        <v>22</v>
      </c>
      <c r="H1182" t="s">
        <v>30</v>
      </c>
      <c r="I1182" t="s">
        <v>24</v>
      </c>
      <c r="J1182" t="s">
        <v>25</v>
      </c>
      <c r="K1182" t="s">
        <v>53</v>
      </c>
      <c r="L1182" t="s">
        <v>27</v>
      </c>
      <c r="M1182">
        <v>3</v>
      </c>
      <c r="N1182" s="2">
        <v>15</v>
      </c>
      <c r="O1182" s="3">
        <v>3274</v>
      </c>
      <c r="P1182">
        <v>0</v>
      </c>
      <c r="Q1182">
        <v>5</v>
      </c>
      <c r="R1182" t="s">
        <v>33</v>
      </c>
      <c r="S1182">
        <v>1</v>
      </c>
    </row>
    <row r="1183" spans="1:19" ht="16.5" x14ac:dyDescent="0.3">
      <c r="A1183" t="s">
        <v>1237</v>
      </c>
      <c r="B1183" s="1">
        <v>45439</v>
      </c>
      <c r="C1183" s="1">
        <v>45443</v>
      </c>
      <c r="D1183">
        <v>2024</v>
      </c>
      <c r="E1183" t="s">
        <v>836</v>
      </c>
      <c r="F1183" t="s">
        <v>1062</v>
      </c>
      <c r="G1183" t="s">
        <v>22</v>
      </c>
      <c r="H1183" t="s">
        <v>39</v>
      </c>
      <c r="I1183" t="s">
        <v>24</v>
      </c>
      <c r="J1183" t="s">
        <v>25</v>
      </c>
      <c r="K1183" t="s">
        <v>41</v>
      </c>
      <c r="L1183" t="s">
        <v>44</v>
      </c>
      <c r="M1183">
        <v>4</v>
      </c>
      <c r="N1183" s="2">
        <v>39</v>
      </c>
      <c r="O1183" s="3">
        <v>4136</v>
      </c>
      <c r="P1183">
        <v>0</v>
      </c>
      <c r="Q1183">
        <v>4</v>
      </c>
      <c r="R1183" t="s">
        <v>28</v>
      </c>
      <c r="S1183">
        <v>1</v>
      </c>
    </row>
    <row r="1184" spans="1:19" ht="16.5" x14ac:dyDescent="0.3">
      <c r="A1184" t="s">
        <v>1238</v>
      </c>
      <c r="B1184" s="1">
        <v>45439</v>
      </c>
      <c r="C1184" s="1">
        <v>45446</v>
      </c>
      <c r="D1184">
        <v>2024</v>
      </c>
      <c r="E1184" t="s">
        <v>836</v>
      </c>
      <c r="F1184" t="s">
        <v>1062</v>
      </c>
      <c r="G1184" t="s">
        <v>22</v>
      </c>
      <c r="H1184" t="s">
        <v>23</v>
      </c>
      <c r="I1184" t="s">
        <v>24</v>
      </c>
      <c r="J1184" t="s">
        <v>43</v>
      </c>
      <c r="K1184" t="s">
        <v>53</v>
      </c>
      <c r="L1184" t="s">
        <v>44</v>
      </c>
      <c r="M1184">
        <v>7</v>
      </c>
      <c r="N1184" s="2">
        <v>13</v>
      </c>
      <c r="O1184" s="3">
        <v>4699</v>
      </c>
      <c r="P1184">
        <v>1</v>
      </c>
      <c r="Q1184">
        <v>5</v>
      </c>
      <c r="R1184" t="s">
        <v>28</v>
      </c>
      <c r="S1184">
        <v>1</v>
      </c>
    </row>
    <row r="1185" spans="1:19" ht="16.5" x14ac:dyDescent="0.3">
      <c r="A1185" t="s">
        <v>1239</v>
      </c>
      <c r="B1185" s="1">
        <v>45439</v>
      </c>
      <c r="C1185" s="1">
        <v>45441</v>
      </c>
      <c r="D1185">
        <v>2024</v>
      </c>
      <c r="E1185" t="s">
        <v>836</v>
      </c>
      <c r="F1185" t="s">
        <v>1062</v>
      </c>
      <c r="G1185" t="s">
        <v>22</v>
      </c>
      <c r="H1185" t="s">
        <v>35</v>
      </c>
      <c r="I1185" t="s">
        <v>24</v>
      </c>
      <c r="J1185" t="s">
        <v>25</v>
      </c>
      <c r="K1185" t="s">
        <v>36</v>
      </c>
      <c r="L1185" t="s">
        <v>27</v>
      </c>
      <c r="M1185">
        <v>2</v>
      </c>
      <c r="N1185" s="2">
        <v>70</v>
      </c>
      <c r="O1185" s="3">
        <v>1571</v>
      </c>
      <c r="P1185">
        <v>0</v>
      </c>
      <c r="Q1185">
        <v>5</v>
      </c>
      <c r="R1185" t="s">
        <v>33</v>
      </c>
      <c r="S1185">
        <v>1</v>
      </c>
    </row>
    <row r="1186" spans="1:19" ht="16.5" x14ac:dyDescent="0.3">
      <c r="A1186" t="s">
        <v>1240</v>
      </c>
      <c r="B1186" s="1">
        <v>45440</v>
      </c>
      <c r="C1186" s="1">
        <v>45445</v>
      </c>
      <c r="D1186">
        <v>2024</v>
      </c>
      <c r="E1186" t="s">
        <v>836</v>
      </c>
      <c r="F1186" t="s">
        <v>1062</v>
      </c>
      <c r="G1186" t="s">
        <v>56</v>
      </c>
      <c r="H1186" t="s">
        <v>52</v>
      </c>
      <c r="I1186" t="s">
        <v>31</v>
      </c>
      <c r="J1186" t="s">
        <v>25</v>
      </c>
      <c r="K1186" t="s">
        <v>36</v>
      </c>
      <c r="L1186" t="s">
        <v>27</v>
      </c>
      <c r="M1186">
        <v>5</v>
      </c>
      <c r="N1186" s="2"/>
      <c r="O1186" s="3">
        <v>4345</v>
      </c>
      <c r="P1186">
        <v>0</v>
      </c>
      <c r="Q1186">
        <v>4</v>
      </c>
      <c r="R1186" t="s">
        <v>33</v>
      </c>
      <c r="S1186">
        <v>1</v>
      </c>
    </row>
    <row r="1187" spans="1:19" ht="16.5" x14ac:dyDescent="0.3">
      <c r="A1187" t="s">
        <v>1241</v>
      </c>
      <c r="B1187" s="1">
        <v>45440</v>
      </c>
      <c r="C1187" s="1">
        <v>45441</v>
      </c>
      <c r="D1187">
        <v>2024</v>
      </c>
      <c r="E1187" t="s">
        <v>836</v>
      </c>
      <c r="F1187" t="s">
        <v>1062</v>
      </c>
      <c r="G1187" t="s">
        <v>56</v>
      </c>
      <c r="H1187" t="s">
        <v>52</v>
      </c>
      <c r="I1187" t="s">
        <v>31</v>
      </c>
      <c r="J1187" t="s">
        <v>43</v>
      </c>
      <c r="K1187" t="s">
        <v>26</v>
      </c>
      <c r="L1187" t="s">
        <v>44</v>
      </c>
      <c r="M1187">
        <v>1</v>
      </c>
      <c r="N1187" s="2"/>
      <c r="O1187" s="3">
        <v>1965</v>
      </c>
      <c r="P1187">
        <v>0</v>
      </c>
      <c r="Q1187">
        <v>5</v>
      </c>
      <c r="R1187" t="s">
        <v>33</v>
      </c>
      <c r="S1187">
        <v>1</v>
      </c>
    </row>
    <row r="1188" spans="1:19" ht="16.5" x14ac:dyDescent="0.3">
      <c r="A1188" t="s">
        <v>1242</v>
      </c>
      <c r="B1188" s="1">
        <v>45440</v>
      </c>
      <c r="C1188" s="1">
        <v>45449</v>
      </c>
      <c r="D1188">
        <v>2024</v>
      </c>
      <c r="E1188" t="s">
        <v>836</v>
      </c>
      <c r="F1188" t="s">
        <v>1062</v>
      </c>
      <c r="G1188" t="s">
        <v>56</v>
      </c>
      <c r="H1188" t="s">
        <v>50</v>
      </c>
      <c r="I1188" t="s">
        <v>24</v>
      </c>
      <c r="J1188" t="s">
        <v>43</v>
      </c>
      <c r="K1188" t="s">
        <v>32</v>
      </c>
      <c r="L1188" t="s">
        <v>44</v>
      </c>
      <c r="M1188">
        <v>9</v>
      </c>
      <c r="N1188" s="2">
        <v>55</v>
      </c>
      <c r="O1188" s="3">
        <v>11251</v>
      </c>
      <c r="P1188">
        <v>0</v>
      </c>
      <c r="Q1188">
        <v>3</v>
      </c>
      <c r="R1188" t="s">
        <v>33</v>
      </c>
      <c r="S1188">
        <v>1</v>
      </c>
    </row>
    <row r="1189" spans="1:19" ht="16.5" x14ac:dyDescent="0.3">
      <c r="A1189" t="s">
        <v>1243</v>
      </c>
      <c r="B1189" s="1">
        <v>45440</v>
      </c>
      <c r="C1189" s="1">
        <v>45441</v>
      </c>
      <c r="D1189">
        <v>2024</v>
      </c>
      <c r="E1189" t="s">
        <v>836</v>
      </c>
      <c r="F1189" t="s">
        <v>1062</v>
      </c>
      <c r="G1189" t="s">
        <v>56</v>
      </c>
      <c r="H1189" t="s">
        <v>35</v>
      </c>
      <c r="I1189" t="s">
        <v>40</v>
      </c>
      <c r="J1189" t="s">
        <v>25</v>
      </c>
      <c r="K1189" t="s">
        <v>36</v>
      </c>
      <c r="L1189" t="s">
        <v>44</v>
      </c>
      <c r="M1189">
        <v>1</v>
      </c>
      <c r="N1189" s="2"/>
      <c r="O1189" s="3">
        <v>1468</v>
      </c>
      <c r="P1189">
        <v>0</v>
      </c>
      <c r="Q1189">
        <v>4</v>
      </c>
      <c r="R1189" t="s">
        <v>33</v>
      </c>
      <c r="S1189">
        <v>1</v>
      </c>
    </row>
    <row r="1190" spans="1:19" ht="16.5" x14ac:dyDescent="0.3">
      <c r="A1190" t="s">
        <v>1244</v>
      </c>
      <c r="B1190" s="1">
        <v>45440</v>
      </c>
      <c r="C1190" s="1">
        <v>45441</v>
      </c>
      <c r="D1190">
        <v>2024</v>
      </c>
      <c r="E1190" t="s">
        <v>836</v>
      </c>
      <c r="F1190" t="s">
        <v>1062</v>
      </c>
      <c r="G1190" t="s">
        <v>56</v>
      </c>
      <c r="H1190" t="s">
        <v>23</v>
      </c>
      <c r="I1190" t="s">
        <v>40</v>
      </c>
      <c r="J1190" t="s">
        <v>25</v>
      </c>
      <c r="K1190" t="s">
        <v>32</v>
      </c>
      <c r="L1190" t="s">
        <v>27</v>
      </c>
      <c r="M1190">
        <v>1</v>
      </c>
      <c r="N1190" s="2"/>
      <c r="O1190" s="3">
        <v>1791</v>
      </c>
      <c r="P1190">
        <v>0</v>
      </c>
      <c r="Q1190">
        <v>5</v>
      </c>
      <c r="R1190" t="s">
        <v>165</v>
      </c>
      <c r="S1190">
        <v>1</v>
      </c>
    </row>
    <row r="1191" spans="1:19" ht="16.5" x14ac:dyDescent="0.3">
      <c r="A1191" t="s">
        <v>1245</v>
      </c>
      <c r="B1191" s="1">
        <v>45441</v>
      </c>
      <c r="C1191" s="1">
        <v>45443</v>
      </c>
      <c r="D1191">
        <v>2024</v>
      </c>
      <c r="E1191" t="s">
        <v>836</v>
      </c>
      <c r="F1191" t="s">
        <v>1062</v>
      </c>
      <c r="G1191" t="s">
        <v>70</v>
      </c>
      <c r="H1191" t="s">
        <v>52</v>
      </c>
      <c r="I1191" t="s">
        <v>40</v>
      </c>
      <c r="J1191" t="s">
        <v>43</v>
      </c>
      <c r="K1191" t="s">
        <v>36</v>
      </c>
      <c r="L1191" t="s">
        <v>44</v>
      </c>
      <c r="M1191">
        <v>2</v>
      </c>
      <c r="N1191" s="2"/>
      <c r="O1191" s="3">
        <v>2309</v>
      </c>
      <c r="P1191">
        <v>0</v>
      </c>
      <c r="Q1191">
        <v>4</v>
      </c>
      <c r="R1191" t="s">
        <v>28</v>
      </c>
      <c r="S1191">
        <v>1</v>
      </c>
    </row>
    <row r="1192" spans="1:19" ht="16.5" x14ac:dyDescent="0.3">
      <c r="A1192" t="s">
        <v>1246</v>
      </c>
      <c r="B1192" s="1">
        <v>45441</v>
      </c>
      <c r="C1192" s="1">
        <v>45451</v>
      </c>
      <c r="D1192">
        <v>2024</v>
      </c>
      <c r="E1192" t="s">
        <v>836</v>
      </c>
      <c r="F1192" t="s">
        <v>1062</v>
      </c>
      <c r="G1192" t="s">
        <v>70</v>
      </c>
      <c r="H1192" t="s">
        <v>39</v>
      </c>
      <c r="I1192" t="s">
        <v>24</v>
      </c>
      <c r="J1192" t="s">
        <v>43</v>
      </c>
      <c r="K1192" t="s">
        <v>41</v>
      </c>
      <c r="L1192" t="s">
        <v>44</v>
      </c>
      <c r="M1192">
        <v>10</v>
      </c>
      <c r="N1192" s="2">
        <v>37</v>
      </c>
      <c r="O1192" s="3">
        <v>7682</v>
      </c>
      <c r="P1192">
        <v>1</v>
      </c>
      <c r="Q1192">
        <v>5</v>
      </c>
      <c r="R1192" t="s">
        <v>33</v>
      </c>
      <c r="S1192">
        <v>1</v>
      </c>
    </row>
    <row r="1193" spans="1:19" ht="16.5" x14ac:dyDescent="0.3">
      <c r="A1193" t="s">
        <v>1247</v>
      </c>
      <c r="B1193" s="1">
        <v>45441</v>
      </c>
      <c r="C1193" s="1">
        <v>45447</v>
      </c>
      <c r="D1193">
        <v>2024</v>
      </c>
      <c r="E1193" t="s">
        <v>836</v>
      </c>
      <c r="F1193" t="s">
        <v>1062</v>
      </c>
      <c r="G1193" t="s">
        <v>70</v>
      </c>
      <c r="H1193" t="s">
        <v>35</v>
      </c>
      <c r="I1193" t="s">
        <v>40</v>
      </c>
      <c r="J1193" t="s">
        <v>25</v>
      </c>
      <c r="K1193" t="s">
        <v>36</v>
      </c>
      <c r="L1193" t="s">
        <v>27</v>
      </c>
      <c r="M1193">
        <v>6</v>
      </c>
      <c r="N1193" s="2"/>
      <c r="O1193" s="3">
        <v>3631</v>
      </c>
      <c r="P1193">
        <v>0</v>
      </c>
      <c r="Q1193">
        <v>4</v>
      </c>
      <c r="R1193" t="s">
        <v>28</v>
      </c>
      <c r="S1193">
        <v>1</v>
      </c>
    </row>
    <row r="1194" spans="1:19" ht="16.5" x14ac:dyDescent="0.3">
      <c r="A1194" t="s">
        <v>1248</v>
      </c>
      <c r="B1194" s="1">
        <v>45441</v>
      </c>
      <c r="C1194" s="1">
        <v>45443</v>
      </c>
      <c r="D1194">
        <v>2024</v>
      </c>
      <c r="E1194" t="s">
        <v>836</v>
      </c>
      <c r="F1194" t="s">
        <v>1062</v>
      </c>
      <c r="G1194" t="s">
        <v>70</v>
      </c>
      <c r="H1194" t="s">
        <v>39</v>
      </c>
      <c r="I1194" t="s">
        <v>40</v>
      </c>
      <c r="J1194" t="s">
        <v>25</v>
      </c>
      <c r="K1194" t="s">
        <v>41</v>
      </c>
      <c r="L1194" t="s">
        <v>37</v>
      </c>
      <c r="M1194">
        <v>2</v>
      </c>
      <c r="N1194" s="2"/>
      <c r="O1194" s="3">
        <v>1969</v>
      </c>
      <c r="P1194">
        <v>0</v>
      </c>
      <c r="Q1194">
        <v>3</v>
      </c>
      <c r="R1194" t="s">
        <v>28</v>
      </c>
      <c r="S1194">
        <v>1</v>
      </c>
    </row>
    <row r="1195" spans="1:19" ht="16.5" x14ac:dyDescent="0.3">
      <c r="A1195" t="s">
        <v>1249</v>
      </c>
      <c r="B1195" s="1">
        <v>45441</v>
      </c>
      <c r="C1195" s="1">
        <v>45449</v>
      </c>
      <c r="D1195">
        <v>2024</v>
      </c>
      <c r="E1195" t="s">
        <v>836</v>
      </c>
      <c r="F1195" t="s">
        <v>1062</v>
      </c>
      <c r="G1195" t="s">
        <v>70</v>
      </c>
      <c r="H1195" t="s">
        <v>23</v>
      </c>
      <c r="I1195" t="s">
        <v>24</v>
      </c>
      <c r="J1195" t="s">
        <v>43</v>
      </c>
      <c r="K1195" t="s">
        <v>26</v>
      </c>
      <c r="L1195" t="s">
        <v>44</v>
      </c>
      <c r="M1195">
        <v>8</v>
      </c>
      <c r="N1195" s="2">
        <v>41</v>
      </c>
      <c r="O1195" s="3">
        <v>4412</v>
      </c>
      <c r="P1195">
        <v>0</v>
      </c>
      <c r="Q1195">
        <v>3</v>
      </c>
      <c r="R1195" t="s">
        <v>28</v>
      </c>
      <c r="S1195">
        <v>1</v>
      </c>
    </row>
    <row r="1196" spans="1:19" ht="16.5" x14ac:dyDescent="0.3">
      <c r="A1196" t="s">
        <v>1250</v>
      </c>
      <c r="B1196" s="1">
        <v>45441</v>
      </c>
      <c r="C1196" s="1">
        <v>45446</v>
      </c>
      <c r="D1196">
        <v>2024</v>
      </c>
      <c r="E1196" t="s">
        <v>836</v>
      </c>
      <c r="F1196" t="s">
        <v>1062</v>
      </c>
      <c r="G1196" t="s">
        <v>70</v>
      </c>
      <c r="H1196" t="s">
        <v>23</v>
      </c>
      <c r="I1196" t="s">
        <v>24</v>
      </c>
      <c r="J1196" t="s">
        <v>25</v>
      </c>
      <c r="K1196" t="s">
        <v>36</v>
      </c>
      <c r="L1196" t="s">
        <v>44</v>
      </c>
      <c r="M1196">
        <v>5</v>
      </c>
      <c r="N1196" s="2">
        <v>78</v>
      </c>
      <c r="O1196" s="3">
        <v>5057</v>
      </c>
      <c r="P1196">
        <v>0</v>
      </c>
      <c r="Q1196">
        <v>5</v>
      </c>
      <c r="R1196" t="s">
        <v>59</v>
      </c>
      <c r="S1196">
        <v>1</v>
      </c>
    </row>
    <row r="1197" spans="1:19" ht="16.5" x14ac:dyDescent="0.3">
      <c r="A1197" t="s">
        <v>1251</v>
      </c>
      <c r="B1197" s="1">
        <v>45441</v>
      </c>
      <c r="C1197" s="1">
        <v>45444</v>
      </c>
      <c r="D1197">
        <v>2024</v>
      </c>
      <c r="E1197" t="s">
        <v>836</v>
      </c>
      <c r="F1197" t="s">
        <v>1062</v>
      </c>
      <c r="G1197" t="s">
        <v>70</v>
      </c>
      <c r="H1197" t="s">
        <v>35</v>
      </c>
      <c r="I1197" t="s">
        <v>24</v>
      </c>
      <c r="J1197" t="s">
        <v>25</v>
      </c>
      <c r="K1197" t="s">
        <v>36</v>
      </c>
      <c r="L1197" t="s">
        <v>37</v>
      </c>
      <c r="M1197">
        <v>3</v>
      </c>
      <c r="N1197" s="2">
        <v>48</v>
      </c>
      <c r="O1197" s="3">
        <v>2286</v>
      </c>
      <c r="P1197">
        <v>0</v>
      </c>
      <c r="Q1197">
        <v>3</v>
      </c>
      <c r="R1197" t="s">
        <v>33</v>
      </c>
      <c r="S1197">
        <v>1</v>
      </c>
    </row>
    <row r="1198" spans="1:19" ht="16.5" x14ac:dyDescent="0.3">
      <c r="A1198" t="s">
        <v>1252</v>
      </c>
      <c r="B1198" s="1">
        <v>45441</v>
      </c>
      <c r="C1198" s="1">
        <v>45442</v>
      </c>
      <c r="D1198">
        <v>2024</v>
      </c>
      <c r="E1198" t="s">
        <v>836</v>
      </c>
      <c r="F1198" t="s">
        <v>1062</v>
      </c>
      <c r="G1198" t="s">
        <v>70</v>
      </c>
      <c r="H1198" t="s">
        <v>30</v>
      </c>
      <c r="I1198" t="s">
        <v>40</v>
      </c>
      <c r="J1198" t="s">
        <v>43</v>
      </c>
      <c r="K1198" t="s">
        <v>32</v>
      </c>
      <c r="L1198" t="s">
        <v>44</v>
      </c>
      <c r="M1198">
        <v>1</v>
      </c>
      <c r="N1198" s="2"/>
      <c r="O1198" s="3">
        <v>1461</v>
      </c>
      <c r="P1198">
        <v>0</v>
      </c>
      <c r="Q1198">
        <v>4</v>
      </c>
      <c r="R1198" t="s">
        <v>33</v>
      </c>
      <c r="S1198">
        <v>1</v>
      </c>
    </row>
    <row r="1199" spans="1:19" ht="16.5" x14ac:dyDescent="0.3">
      <c r="A1199" t="s">
        <v>1253</v>
      </c>
      <c r="B1199" s="1">
        <v>45441</v>
      </c>
      <c r="C1199" s="1">
        <v>45443</v>
      </c>
      <c r="D1199">
        <v>2024</v>
      </c>
      <c r="E1199" t="s">
        <v>836</v>
      </c>
      <c r="F1199" t="s">
        <v>1062</v>
      </c>
      <c r="G1199" t="s">
        <v>70</v>
      </c>
      <c r="H1199" t="s">
        <v>52</v>
      </c>
      <c r="I1199" t="s">
        <v>40</v>
      </c>
      <c r="J1199" t="s">
        <v>43</v>
      </c>
      <c r="K1199" t="s">
        <v>36</v>
      </c>
      <c r="L1199" t="s">
        <v>44</v>
      </c>
      <c r="M1199">
        <v>2</v>
      </c>
      <c r="N1199" s="2"/>
      <c r="O1199" s="3">
        <v>2590</v>
      </c>
      <c r="P1199">
        <v>0</v>
      </c>
      <c r="Q1199">
        <v>4</v>
      </c>
      <c r="R1199" t="s">
        <v>28</v>
      </c>
      <c r="S1199">
        <v>1</v>
      </c>
    </row>
    <row r="1200" spans="1:19" ht="16.5" x14ac:dyDescent="0.3">
      <c r="A1200" t="s">
        <v>1254</v>
      </c>
      <c r="B1200" s="1">
        <v>45442</v>
      </c>
      <c r="C1200" s="1">
        <v>45446</v>
      </c>
      <c r="D1200">
        <v>2024</v>
      </c>
      <c r="E1200" t="s">
        <v>836</v>
      </c>
      <c r="F1200" t="s">
        <v>1062</v>
      </c>
      <c r="G1200" t="s">
        <v>78</v>
      </c>
      <c r="H1200" t="s">
        <v>52</v>
      </c>
      <c r="I1200" t="s">
        <v>40</v>
      </c>
      <c r="J1200" t="s">
        <v>25</v>
      </c>
      <c r="K1200" t="s">
        <v>26</v>
      </c>
      <c r="L1200" t="s">
        <v>27</v>
      </c>
      <c r="M1200">
        <v>4</v>
      </c>
      <c r="N1200" s="2"/>
      <c r="O1200" s="3">
        <v>4450</v>
      </c>
      <c r="P1200">
        <v>0</v>
      </c>
      <c r="Q1200">
        <v>5</v>
      </c>
      <c r="R1200" t="s">
        <v>33</v>
      </c>
      <c r="S1200">
        <v>1</v>
      </c>
    </row>
    <row r="1201" spans="1:19" ht="16.5" x14ac:dyDescent="0.3">
      <c r="A1201" t="s">
        <v>1255</v>
      </c>
      <c r="B1201" s="1">
        <v>45442</v>
      </c>
      <c r="C1201" s="1">
        <v>45448</v>
      </c>
      <c r="D1201">
        <v>2024</v>
      </c>
      <c r="E1201" t="s">
        <v>836</v>
      </c>
      <c r="F1201" t="s">
        <v>1062</v>
      </c>
      <c r="G1201" t="s">
        <v>78</v>
      </c>
      <c r="H1201" t="s">
        <v>23</v>
      </c>
      <c r="I1201" t="s">
        <v>24</v>
      </c>
      <c r="J1201" t="s">
        <v>25</v>
      </c>
      <c r="K1201" t="s">
        <v>26</v>
      </c>
      <c r="L1201" t="s">
        <v>44</v>
      </c>
      <c r="M1201">
        <v>6</v>
      </c>
      <c r="N1201" s="2">
        <v>15</v>
      </c>
      <c r="O1201" s="3">
        <v>4547</v>
      </c>
      <c r="P1201">
        <v>0</v>
      </c>
      <c r="Q1201">
        <v>5</v>
      </c>
      <c r="R1201" t="s">
        <v>33</v>
      </c>
      <c r="S1201">
        <v>1</v>
      </c>
    </row>
    <row r="1202" spans="1:19" ht="16.5" x14ac:dyDescent="0.3">
      <c r="A1202" t="s">
        <v>1256</v>
      </c>
      <c r="B1202" s="1">
        <v>45442</v>
      </c>
      <c r="C1202" s="1">
        <v>45453</v>
      </c>
      <c r="D1202">
        <v>2024</v>
      </c>
      <c r="E1202" t="s">
        <v>836</v>
      </c>
      <c r="F1202" t="s">
        <v>1062</v>
      </c>
      <c r="G1202" t="s">
        <v>78</v>
      </c>
      <c r="H1202" t="s">
        <v>50</v>
      </c>
      <c r="I1202" t="s">
        <v>40</v>
      </c>
      <c r="J1202" t="s">
        <v>25</v>
      </c>
      <c r="K1202" t="s">
        <v>26</v>
      </c>
      <c r="L1202" t="s">
        <v>27</v>
      </c>
      <c r="M1202">
        <v>11</v>
      </c>
      <c r="N1202" s="2"/>
      <c r="O1202" s="3">
        <v>12282</v>
      </c>
      <c r="P1202">
        <v>0</v>
      </c>
      <c r="Q1202">
        <v>4</v>
      </c>
      <c r="R1202" t="s">
        <v>33</v>
      </c>
      <c r="S1202">
        <v>1</v>
      </c>
    </row>
    <row r="1203" spans="1:19" ht="16.5" x14ac:dyDescent="0.3">
      <c r="A1203" t="s">
        <v>1257</v>
      </c>
      <c r="B1203" s="1">
        <v>45442</v>
      </c>
      <c r="C1203" s="1">
        <v>45453</v>
      </c>
      <c r="D1203">
        <v>2024</v>
      </c>
      <c r="E1203" t="s">
        <v>836</v>
      </c>
      <c r="F1203" t="s">
        <v>1062</v>
      </c>
      <c r="G1203" t="s">
        <v>78</v>
      </c>
      <c r="H1203" t="s">
        <v>23</v>
      </c>
      <c r="I1203" t="s">
        <v>40</v>
      </c>
      <c r="J1203" t="s">
        <v>25</v>
      </c>
      <c r="K1203" t="s">
        <v>53</v>
      </c>
      <c r="L1203" t="s">
        <v>44</v>
      </c>
      <c r="M1203">
        <v>11</v>
      </c>
      <c r="N1203" s="2"/>
      <c r="O1203" s="3">
        <v>8719</v>
      </c>
      <c r="P1203">
        <v>0</v>
      </c>
      <c r="Q1203">
        <v>4</v>
      </c>
      <c r="R1203" t="s">
        <v>33</v>
      </c>
      <c r="S1203">
        <v>1</v>
      </c>
    </row>
    <row r="1204" spans="1:19" ht="16.5" x14ac:dyDescent="0.3">
      <c r="A1204" t="s">
        <v>1258</v>
      </c>
      <c r="B1204" s="1">
        <v>45442</v>
      </c>
      <c r="C1204" s="1">
        <v>45443</v>
      </c>
      <c r="D1204">
        <v>2024</v>
      </c>
      <c r="E1204" t="s">
        <v>836</v>
      </c>
      <c r="F1204" t="s">
        <v>1062</v>
      </c>
      <c r="G1204" t="s">
        <v>78</v>
      </c>
      <c r="H1204" t="s">
        <v>52</v>
      </c>
      <c r="I1204" t="s">
        <v>40</v>
      </c>
      <c r="J1204" t="s">
        <v>43</v>
      </c>
      <c r="K1204" t="s">
        <v>32</v>
      </c>
      <c r="L1204" t="s">
        <v>27</v>
      </c>
      <c r="M1204">
        <v>1</v>
      </c>
      <c r="N1204" s="2"/>
      <c r="O1204" s="3">
        <v>2008</v>
      </c>
      <c r="P1204">
        <v>0</v>
      </c>
      <c r="Q1204">
        <v>4</v>
      </c>
      <c r="R1204" t="s">
        <v>28</v>
      </c>
      <c r="S1204">
        <v>1</v>
      </c>
    </row>
    <row r="1205" spans="1:19" ht="16.5" x14ac:dyDescent="0.3">
      <c r="A1205" t="s">
        <v>1259</v>
      </c>
      <c r="B1205" s="1">
        <v>45443</v>
      </c>
      <c r="C1205" s="1">
        <v>45446</v>
      </c>
      <c r="D1205">
        <v>2024</v>
      </c>
      <c r="E1205" t="s">
        <v>836</v>
      </c>
      <c r="F1205" t="s">
        <v>1062</v>
      </c>
      <c r="G1205" t="s">
        <v>83</v>
      </c>
      <c r="H1205" t="s">
        <v>52</v>
      </c>
      <c r="I1205" t="s">
        <v>40</v>
      </c>
      <c r="J1205" t="s">
        <v>43</v>
      </c>
      <c r="K1205" t="s">
        <v>36</v>
      </c>
      <c r="L1205" t="s">
        <v>44</v>
      </c>
      <c r="M1205">
        <v>3</v>
      </c>
      <c r="N1205" s="2"/>
      <c r="O1205" s="3">
        <v>3963</v>
      </c>
      <c r="P1205">
        <v>0</v>
      </c>
      <c r="Q1205">
        <v>3</v>
      </c>
      <c r="R1205" t="s">
        <v>28</v>
      </c>
      <c r="S1205">
        <v>1</v>
      </c>
    </row>
    <row r="1206" spans="1:19" ht="16.5" x14ac:dyDescent="0.3">
      <c r="A1206" t="s">
        <v>1260</v>
      </c>
      <c r="B1206" s="1">
        <v>45443</v>
      </c>
      <c r="C1206" s="1">
        <v>45448</v>
      </c>
      <c r="D1206">
        <v>2024</v>
      </c>
      <c r="E1206" t="s">
        <v>836</v>
      </c>
      <c r="F1206" t="s">
        <v>1062</v>
      </c>
      <c r="G1206" t="s">
        <v>83</v>
      </c>
      <c r="H1206" t="s">
        <v>23</v>
      </c>
      <c r="I1206" t="s">
        <v>24</v>
      </c>
      <c r="J1206" t="s">
        <v>25</v>
      </c>
      <c r="K1206" t="s">
        <v>32</v>
      </c>
      <c r="L1206" t="s">
        <v>44</v>
      </c>
      <c r="M1206">
        <v>5</v>
      </c>
      <c r="N1206" s="2">
        <v>53</v>
      </c>
      <c r="O1206" s="3">
        <v>3735</v>
      </c>
      <c r="P1206">
        <v>0</v>
      </c>
      <c r="Q1206">
        <v>4</v>
      </c>
      <c r="R1206" t="s">
        <v>28</v>
      </c>
      <c r="S1206">
        <v>1</v>
      </c>
    </row>
    <row r="1207" spans="1:19" ht="16.5" x14ac:dyDescent="0.3">
      <c r="A1207" t="s">
        <v>1261</v>
      </c>
      <c r="B1207" s="1">
        <v>45443</v>
      </c>
      <c r="C1207" s="1">
        <v>45447</v>
      </c>
      <c r="D1207">
        <v>2024</v>
      </c>
      <c r="E1207" t="s">
        <v>836</v>
      </c>
      <c r="F1207" t="s">
        <v>1062</v>
      </c>
      <c r="G1207" t="s">
        <v>83</v>
      </c>
      <c r="H1207" t="s">
        <v>35</v>
      </c>
      <c r="I1207" t="s">
        <v>24</v>
      </c>
      <c r="J1207" t="s">
        <v>25</v>
      </c>
      <c r="K1207" t="s">
        <v>36</v>
      </c>
      <c r="L1207" t="s">
        <v>27</v>
      </c>
      <c r="M1207">
        <v>4</v>
      </c>
      <c r="N1207" s="2">
        <v>54</v>
      </c>
      <c r="O1207" s="3">
        <v>4032</v>
      </c>
      <c r="P1207">
        <v>0</v>
      </c>
      <c r="Q1207">
        <v>4</v>
      </c>
      <c r="R1207" t="s">
        <v>28</v>
      </c>
      <c r="S1207">
        <v>1</v>
      </c>
    </row>
    <row r="1208" spans="1:19" ht="16.5" x14ac:dyDescent="0.3">
      <c r="A1208" t="s">
        <v>1262</v>
      </c>
      <c r="B1208" s="1">
        <v>45443</v>
      </c>
      <c r="C1208" s="1">
        <v>45446</v>
      </c>
      <c r="D1208">
        <v>2024</v>
      </c>
      <c r="E1208" t="s">
        <v>836</v>
      </c>
      <c r="F1208" t="s">
        <v>1062</v>
      </c>
      <c r="G1208" t="s">
        <v>83</v>
      </c>
      <c r="H1208" t="s">
        <v>35</v>
      </c>
      <c r="I1208" t="s">
        <v>24</v>
      </c>
      <c r="J1208" t="s">
        <v>25</v>
      </c>
      <c r="K1208" t="s">
        <v>32</v>
      </c>
      <c r="L1208" t="s">
        <v>44</v>
      </c>
      <c r="M1208">
        <v>3</v>
      </c>
      <c r="N1208" s="2">
        <v>77</v>
      </c>
      <c r="O1208" s="3">
        <v>2988</v>
      </c>
      <c r="P1208">
        <v>0</v>
      </c>
      <c r="Q1208">
        <v>4</v>
      </c>
      <c r="R1208" t="s">
        <v>28</v>
      </c>
      <c r="S1208">
        <v>1</v>
      </c>
    </row>
    <row r="1209" spans="1:19" ht="16.5" x14ac:dyDescent="0.3">
      <c r="A1209" t="s">
        <v>1263</v>
      </c>
      <c r="B1209" s="1">
        <v>45444</v>
      </c>
      <c r="C1209" s="1">
        <v>45445</v>
      </c>
      <c r="D1209">
        <v>2024</v>
      </c>
      <c r="E1209" t="s">
        <v>836</v>
      </c>
      <c r="F1209" t="s">
        <v>1264</v>
      </c>
      <c r="G1209" t="s">
        <v>102</v>
      </c>
      <c r="H1209" t="s">
        <v>52</v>
      </c>
      <c r="I1209" t="s">
        <v>24</v>
      </c>
      <c r="J1209" t="s">
        <v>43</v>
      </c>
      <c r="K1209" t="s">
        <v>36</v>
      </c>
      <c r="L1209" t="s">
        <v>44</v>
      </c>
      <c r="M1209">
        <v>1</v>
      </c>
      <c r="N1209" s="2">
        <v>18</v>
      </c>
      <c r="O1209" s="3">
        <v>2356</v>
      </c>
      <c r="P1209">
        <v>0</v>
      </c>
      <c r="Q1209">
        <v>5</v>
      </c>
      <c r="R1209" t="s">
        <v>28</v>
      </c>
      <c r="S1209">
        <v>1</v>
      </c>
    </row>
    <row r="1210" spans="1:19" ht="16.5" x14ac:dyDescent="0.3">
      <c r="A1210" t="s">
        <v>1265</v>
      </c>
      <c r="B1210" s="1">
        <v>45444</v>
      </c>
      <c r="C1210" s="1">
        <v>45450</v>
      </c>
      <c r="D1210">
        <v>2024</v>
      </c>
      <c r="E1210" t="s">
        <v>836</v>
      </c>
      <c r="F1210" t="s">
        <v>1264</v>
      </c>
      <c r="G1210" t="s">
        <v>102</v>
      </c>
      <c r="H1210" t="s">
        <v>30</v>
      </c>
      <c r="I1210" t="s">
        <v>24</v>
      </c>
      <c r="J1210" t="s">
        <v>25</v>
      </c>
      <c r="K1210" t="s">
        <v>36</v>
      </c>
      <c r="L1210" t="s">
        <v>27</v>
      </c>
      <c r="M1210">
        <v>6</v>
      </c>
      <c r="N1210" s="2">
        <v>292</v>
      </c>
      <c r="O1210" s="3">
        <v>4892</v>
      </c>
      <c r="P1210">
        <v>0</v>
      </c>
      <c r="Q1210">
        <v>4</v>
      </c>
      <c r="R1210" t="s">
        <v>33</v>
      </c>
      <c r="S1210">
        <v>1</v>
      </c>
    </row>
    <row r="1211" spans="1:19" ht="16.5" x14ac:dyDescent="0.3">
      <c r="A1211" t="s">
        <v>1266</v>
      </c>
      <c r="B1211" s="1">
        <v>45444</v>
      </c>
      <c r="C1211" s="1">
        <v>45446</v>
      </c>
      <c r="D1211">
        <v>2024</v>
      </c>
      <c r="E1211" t="s">
        <v>836</v>
      </c>
      <c r="F1211" t="s">
        <v>1264</v>
      </c>
      <c r="G1211" t="s">
        <v>102</v>
      </c>
      <c r="H1211" t="s">
        <v>23</v>
      </c>
      <c r="I1211" t="s">
        <v>24</v>
      </c>
      <c r="J1211" t="s">
        <v>43</v>
      </c>
      <c r="K1211" t="s">
        <v>32</v>
      </c>
      <c r="L1211" t="s">
        <v>37</v>
      </c>
      <c r="M1211">
        <v>2</v>
      </c>
      <c r="N1211" s="2">
        <v>84</v>
      </c>
      <c r="O1211" s="3">
        <v>2291</v>
      </c>
      <c r="P1211">
        <v>1</v>
      </c>
      <c r="Q1211">
        <v>5</v>
      </c>
      <c r="R1211" t="s">
        <v>28</v>
      </c>
      <c r="S1211">
        <v>1</v>
      </c>
    </row>
    <row r="1212" spans="1:19" ht="16.5" x14ac:dyDescent="0.3">
      <c r="A1212" t="s">
        <v>1267</v>
      </c>
      <c r="B1212" s="1">
        <v>45444</v>
      </c>
      <c r="C1212" s="1">
        <v>45445</v>
      </c>
      <c r="D1212">
        <v>2024</v>
      </c>
      <c r="E1212" t="s">
        <v>836</v>
      </c>
      <c r="F1212" t="s">
        <v>1264</v>
      </c>
      <c r="G1212" t="s">
        <v>102</v>
      </c>
      <c r="H1212" t="s">
        <v>35</v>
      </c>
      <c r="I1212" t="s">
        <v>24</v>
      </c>
      <c r="J1212" t="s">
        <v>25</v>
      </c>
      <c r="K1212" t="s">
        <v>32</v>
      </c>
      <c r="L1212" t="s">
        <v>44</v>
      </c>
      <c r="M1212">
        <v>1</v>
      </c>
      <c r="N1212" s="2">
        <v>46</v>
      </c>
      <c r="O1212" s="3">
        <v>1465</v>
      </c>
      <c r="P1212">
        <v>0</v>
      </c>
      <c r="Q1212">
        <v>3</v>
      </c>
      <c r="R1212" t="s">
        <v>28</v>
      </c>
      <c r="S1212">
        <v>1</v>
      </c>
    </row>
    <row r="1213" spans="1:19" ht="16.5" x14ac:dyDescent="0.3">
      <c r="A1213" t="s">
        <v>1268</v>
      </c>
      <c r="B1213" s="1">
        <v>45445</v>
      </c>
      <c r="C1213" s="1">
        <v>45450</v>
      </c>
      <c r="D1213">
        <v>2024</v>
      </c>
      <c r="E1213" t="s">
        <v>836</v>
      </c>
      <c r="F1213" t="s">
        <v>1264</v>
      </c>
      <c r="G1213" t="s">
        <v>112</v>
      </c>
      <c r="H1213" t="s">
        <v>50</v>
      </c>
      <c r="I1213" t="s">
        <v>40</v>
      </c>
      <c r="J1213" t="s">
        <v>43</v>
      </c>
      <c r="K1213" t="s">
        <v>26</v>
      </c>
      <c r="L1213" t="s">
        <v>44</v>
      </c>
      <c r="M1213">
        <v>5</v>
      </c>
      <c r="N1213" s="2"/>
      <c r="O1213" s="3">
        <v>7235</v>
      </c>
      <c r="P1213">
        <v>0</v>
      </c>
      <c r="Q1213">
        <v>4</v>
      </c>
      <c r="R1213" t="s">
        <v>165</v>
      </c>
      <c r="S1213">
        <v>1</v>
      </c>
    </row>
    <row r="1214" spans="1:19" ht="16.5" x14ac:dyDescent="0.3">
      <c r="A1214" t="s">
        <v>1269</v>
      </c>
      <c r="B1214" s="1">
        <v>45446</v>
      </c>
      <c r="C1214" s="1">
        <v>45448</v>
      </c>
      <c r="D1214">
        <v>2024</v>
      </c>
      <c r="E1214" t="s">
        <v>836</v>
      </c>
      <c r="F1214" t="s">
        <v>1264</v>
      </c>
      <c r="G1214" t="s">
        <v>22</v>
      </c>
      <c r="H1214" t="s">
        <v>39</v>
      </c>
      <c r="I1214" t="s">
        <v>24</v>
      </c>
      <c r="J1214" t="s">
        <v>25</v>
      </c>
      <c r="K1214" t="s">
        <v>41</v>
      </c>
      <c r="L1214" t="s">
        <v>44</v>
      </c>
      <c r="M1214">
        <v>2</v>
      </c>
      <c r="N1214" s="2">
        <v>20</v>
      </c>
      <c r="O1214" s="3">
        <v>2157</v>
      </c>
      <c r="P1214">
        <v>0</v>
      </c>
      <c r="Q1214">
        <v>5</v>
      </c>
      <c r="R1214" t="s">
        <v>28</v>
      </c>
      <c r="S1214">
        <v>1</v>
      </c>
    </row>
    <row r="1215" spans="1:19" ht="16.5" x14ac:dyDescent="0.3">
      <c r="A1215" t="s">
        <v>1270</v>
      </c>
      <c r="B1215" s="1">
        <v>45446</v>
      </c>
      <c r="C1215" s="1">
        <v>45447</v>
      </c>
      <c r="D1215">
        <v>2024</v>
      </c>
      <c r="E1215" t="s">
        <v>836</v>
      </c>
      <c r="F1215" t="s">
        <v>1264</v>
      </c>
      <c r="G1215" t="s">
        <v>22</v>
      </c>
      <c r="H1215" t="s">
        <v>30</v>
      </c>
      <c r="I1215" t="s">
        <v>40</v>
      </c>
      <c r="J1215" t="s">
        <v>43</v>
      </c>
      <c r="K1215" t="s">
        <v>36</v>
      </c>
      <c r="L1215" t="s">
        <v>44</v>
      </c>
      <c r="M1215">
        <v>1</v>
      </c>
      <c r="N1215" s="2"/>
      <c r="O1215" s="3">
        <v>1535</v>
      </c>
      <c r="P1215">
        <v>0</v>
      </c>
      <c r="Q1215">
        <v>5</v>
      </c>
      <c r="R1215" t="s">
        <v>33</v>
      </c>
      <c r="S1215">
        <v>1</v>
      </c>
    </row>
    <row r="1216" spans="1:19" ht="16.5" x14ac:dyDescent="0.3">
      <c r="A1216" t="s">
        <v>1271</v>
      </c>
      <c r="B1216" s="1">
        <v>45446</v>
      </c>
      <c r="C1216" s="1">
        <v>45449</v>
      </c>
      <c r="D1216">
        <v>2024</v>
      </c>
      <c r="E1216" t="s">
        <v>836</v>
      </c>
      <c r="F1216" t="s">
        <v>1264</v>
      </c>
      <c r="G1216" t="s">
        <v>22</v>
      </c>
      <c r="H1216" t="s">
        <v>30</v>
      </c>
      <c r="I1216" t="s">
        <v>24</v>
      </c>
      <c r="J1216" t="s">
        <v>25</v>
      </c>
      <c r="K1216" t="s">
        <v>32</v>
      </c>
      <c r="L1216" t="s">
        <v>27</v>
      </c>
      <c r="M1216">
        <v>3</v>
      </c>
      <c r="N1216" s="2">
        <v>41</v>
      </c>
      <c r="O1216" s="3">
        <v>3282</v>
      </c>
      <c r="P1216">
        <v>0</v>
      </c>
      <c r="Q1216">
        <v>4</v>
      </c>
      <c r="R1216" t="s">
        <v>33</v>
      </c>
      <c r="S1216">
        <v>1</v>
      </c>
    </row>
    <row r="1217" spans="1:19" ht="16.5" x14ac:dyDescent="0.3">
      <c r="A1217" t="s">
        <v>1272</v>
      </c>
      <c r="B1217" s="1">
        <v>45446</v>
      </c>
      <c r="C1217" s="1">
        <v>45454</v>
      </c>
      <c r="D1217">
        <v>2024</v>
      </c>
      <c r="E1217" t="s">
        <v>836</v>
      </c>
      <c r="F1217" t="s">
        <v>1264</v>
      </c>
      <c r="G1217" t="s">
        <v>22</v>
      </c>
      <c r="H1217" t="s">
        <v>30</v>
      </c>
      <c r="I1217" t="s">
        <v>40</v>
      </c>
      <c r="J1217" t="s">
        <v>25</v>
      </c>
      <c r="K1217" t="s">
        <v>26</v>
      </c>
      <c r="L1217" t="s">
        <v>27</v>
      </c>
      <c r="M1217">
        <v>8</v>
      </c>
      <c r="N1217" s="2"/>
      <c r="O1217" s="3">
        <v>7635</v>
      </c>
      <c r="P1217">
        <v>0</v>
      </c>
      <c r="Q1217">
        <v>4</v>
      </c>
      <c r="R1217" t="s">
        <v>33</v>
      </c>
      <c r="S1217">
        <v>1</v>
      </c>
    </row>
    <row r="1218" spans="1:19" ht="16.5" x14ac:dyDescent="0.3">
      <c r="A1218" t="s">
        <v>1273</v>
      </c>
      <c r="B1218" s="1">
        <v>45446</v>
      </c>
      <c r="C1218" s="1">
        <v>45450</v>
      </c>
      <c r="D1218">
        <v>2024</v>
      </c>
      <c r="E1218" t="s">
        <v>836</v>
      </c>
      <c r="F1218" t="s">
        <v>1264</v>
      </c>
      <c r="G1218" t="s">
        <v>22</v>
      </c>
      <c r="H1218" t="s">
        <v>30</v>
      </c>
      <c r="I1218" t="s">
        <v>40</v>
      </c>
      <c r="J1218" t="s">
        <v>43</v>
      </c>
      <c r="K1218" t="s">
        <v>53</v>
      </c>
      <c r="L1218" t="s">
        <v>27</v>
      </c>
      <c r="M1218">
        <v>4</v>
      </c>
      <c r="N1218" s="2"/>
      <c r="O1218" s="3">
        <v>2674</v>
      </c>
      <c r="P1218">
        <v>0</v>
      </c>
      <c r="Q1218">
        <v>4</v>
      </c>
      <c r="R1218" t="s">
        <v>33</v>
      </c>
      <c r="S1218">
        <v>1</v>
      </c>
    </row>
    <row r="1219" spans="1:19" ht="16.5" x14ac:dyDescent="0.3">
      <c r="A1219" t="s">
        <v>1274</v>
      </c>
      <c r="B1219" s="1">
        <v>45446</v>
      </c>
      <c r="C1219" s="1">
        <v>45448</v>
      </c>
      <c r="D1219">
        <v>2024</v>
      </c>
      <c r="E1219" t="s">
        <v>836</v>
      </c>
      <c r="F1219" t="s">
        <v>1264</v>
      </c>
      <c r="G1219" t="s">
        <v>22</v>
      </c>
      <c r="H1219" t="s">
        <v>30</v>
      </c>
      <c r="I1219" t="s">
        <v>31</v>
      </c>
      <c r="J1219" t="s">
        <v>43</v>
      </c>
      <c r="K1219" t="s">
        <v>53</v>
      </c>
      <c r="L1219" t="s">
        <v>44</v>
      </c>
      <c r="M1219">
        <v>2</v>
      </c>
      <c r="N1219" s="2"/>
      <c r="O1219" s="3">
        <v>3105</v>
      </c>
      <c r="P1219">
        <v>0</v>
      </c>
      <c r="Q1219">
        <v>5</v>
      </c>
      <c r="R1219" t="s">
        <v>33</v>
      </c>
      <c r="S1219">
        <v>1</v>
      </c>
    </row>
    <row r="1220" spans="1:19" ht="16.5" x14ac:dyDescent="0.3">
      <c r="A1220" t="s">
        <v>1275</v>
      </c>
      <c r="B1220" s="1">
        <v>45446</v>
      </c>
      <c r="C1220" s="1">
        <v>45449</v>
      </c>
      <c r="D1220">
        <v>2024</v>
      </c>
      <c r="E1220" t="s">
        <v>836</v>
      </c>
      <c r="F1220" t="s">
        <v>1264</v>
      </c>
      <c r="G1220" t="s">
        <v>22</v>
      </c>
      <c r="H1220" t="s">
        <v>30</v>
      </c>
      <c r="I1220" t="s">
        <v>40</v>
      </c>
      <c r="J1220" t="s">
        <v>43</v>
      </c>
      <c r="K1220" t="s">
        <v>32</v>
      </c>
      <c r="L1220" t="s">
        <v>44</v>
      </c>
      <c r="M1220">
        <v>3</v>
      </c>
      <c r="N1220" s="2"/>
      <c r="O1220" s="3">
        <v>2800</v>
      </c>
      <c r="P1220">
        <v>0</v>
      </c>
      <c r="Q1220">
        <v>5</v>
      </c>
      <c r="R1220" t="s">
        <v>33</v>
      </c>
      <c r="S1220">
        <v>1</v>
      </c>
    </row>
    <row r="1221" spans="1:19" ht="16.5" x14ac:dyDescent="0.3">
      <c r="A1221" t="s">
        <v>1276</v>
      </c>
      <c r="B1221" s="1">
        <v>45446</v>
      </c>
      <c r="C1221" s="1">
        <v>45448</v>
      </c>
      <c r="D1221">
        <v>2024</v>
      </c>
      <c r="E1221" t="s">
        <v>836</v>
      </c>
      <c r="F1221" t="s">
        <v>1264</v>
      </c>
      <c r="G1221" t="s">
        <v>22</v>
      </c>
      <c r="H1221" t="s">
        <v>30</v>
      </c>
      <c r="I1221" t="s">
        <v>24</v>
      </c>
      <c r="J1221" t="s">
        <v>43</v>
      </c>
      <c r="K1221" t="s">
        <v>32</v>
      </c>
      <c r="L1221" t="s">
        <v>37</v>
      </c>
      <c r="M1221">
        <v>2</v>
      </c>
      <c r="N1221" s="2">
        <v>46</v>
      </c>
      <c r="O1221" s="3">
        <v>3021</v>
      </c>
      <c r="P1221">
        <v>0</v>
      </c>
      <c r="Q1221">
        <v>4</v>
      </c>
      <c r="R1221" t="s">
        <v>33</v>
      </c>
      <c r="S1221">
        <v>1</v>
      </c>
    </row>
    <row r="1222" spans="1:19" ht="16.5" x14ac:dyDescent="0.3">
      <c r="A1222" t="s">
        <v>1277</v>
      </c>
      <c r="B1222" s="1">
        <v>45446</v>
      </c>
      <c r="C1222" s="1">
        <v>45448</v>
      </c>
      <c r="D1222">
        <v>2024</v>
      </c>
      <c r="E1222" t="s">
        <v>836</v>
      </c>
      <c r="F1222" t="s">
        <v>1264</v>
      </c>
      <c r="G1222" t="s">
        <v>22</v>
      </c>
      <c r="H1222" t="s">
        <v>39</v>
      </c>
      <c r="I1222" t="s">
        <v>24</v>
      </c>
      <c r="J1222" t="s">
        <v>25</v>
      </c>
      <c r="K1222" t="s">
        <v>41</v>
      </c>
      <c r="L1222" t="s">
        <v>37</v>
      </c>
      <c r="M1222">
        <v>2</v>
      </c>
      <c r="N1222" s="2">
        <v>31</v>
      </c>
      <c r="O1222" s="3">
        <v>2270</v>
      </c>
      <c r="P1222">
        <v>0</v>
      </c>
      <c r="Q1222">
        <v>5</v>
      </c>
      <c r="R1222" t="s">
        <v>28</v>
      </c>
      <c r="S1222">
        <v>1</v>
      </c>
    </row>
    <row r="1223" spans="1:19" ht="16.5" x14ac:dyDescent="0.3">
      <c r="A1223" t="s">
        <v>1278</v>
      </c>
      <c r="B1223" s="1">
        <v>45447</v>
      </c>
      <c r="C1223" s="1">
        <v>45451</v>
      </c>
      <c r="D1223">
        <v>2024</v>
      </c>
      <c r="E1223" t="s">
        <v>836</v>
      </c>
      <c r="F1223" t="s">
        <v>1264</v>
      </c>
      <c r="G1223" t="s">
        <v>56</v>
      </c>
      <c r="H1223" t="s">
        <v>39</v>
      </c>
      <c r="I1223" t="s">
        <v>24</v>
      </c>
      <c r="J1223" t="s">
        <v>25</v>
      </c>
      <c r="K1223" t="s">
        <v>41</v>
      </c>
      <c r="L1223" t="s">
        <v>27</v>
      </c>
      <c r="M1223">
        <v>4</v>
      </c>
      <c r="N1223" s="2">
        <v>52</v>
      </c>
      <c r="O1223" s="3">
        <v>2803</v>
      </c>
      <c r="P1223">
        <v>0</v>
      </c>
      <c r="Q1223">
        <v>4</v>
      </c>
      <c r="R1223" t="s">
        <v>33</v>
      </c>
      <c r="S1223">
        <v>1</v>
      </c>
    </row>
    <row r="1224" spans="1:19" ht="16.5" x14ac:dyDescent="0.3">
      <c r="A1224" t="s">
        <v>1279</v>
      </c>
      <c r="B1224" s="1">
        <v>45447</v>
      </c>
      <c r="C1224" s="1">
        <v>45454</v>
      </c>
      <c r="D1224">
        <v>2024</v>
      </c>
      <c r="E1224" t="s">
        <v>836</v>
      </c>
      <c r="F1224" t="s">
        <v>1264</v>
      </c>
      <c r="G1224" t="s">
        <v>56</v>
      </c>
      <c r="H1224" t="s">
        <v>23</v>
      </c>
      <c r="I1224" t="s">
        <v>24</v>
      </c>
      <c r="J1224" t="s">
        <v>43</v>
      </c>
      <c r="K1224" t="s">
        <v>32</v>
      </c>
      <c r="L1224" t="s">
        <v>44</v>
      </c>
      <c r="M1224">
        <v>7</v>
      </c>
      <c r="N1224" s="2">
        <v>35</v>
      </c>
      <c r="O1224" s="3">
        <v>6926</v>
      </c>
      <c r="P1224">
        <v>0</v>
      </c>
      <c r="Q1224">
        <v>5</v>
      </c>
      <c r="R1224" t="s">
        <v>28</v>
      </c>
      <c r="S1224">
        <v>1</v>
      </c>
    </row>
    <row r="1225" spans="1:19" ht="16.5" x14ac:dyDescent="0.3">
      <c r="A1225" t="s">
        <v>1280</v>
      </c>
      <c r="B1225" s="1">
        <v>45447</v>
      </c>
      <c r="C1225" s="1">
        <v>45454</v>
      </c>
      <c r="D1225">
        <v>2024</v>
      </c>
      <c r="E1225" t="s">
        <v>836</v>
      </c>
      <c r="F1225" t="s">
        <v>1264</v>
      </c>
      <c r="G1225" t="s">
        <v>56</v>
      </c>
      <c r="H1225" t="s">
        <v>23</v>
      </c>
      <c r="I1225" t="s">
        <v>24</v>
      </c>
      <c r="J1225" t="s">
        <v>43</v>
      </c>
      <c r="K1225" t="s">
        <v>26</v>
      </c>
      <c r="L1225" t="s">
        <v>27</v>
      </c>
      <c r="M1225">
        <v>7</v>
      </c>
      <c r="N1225" s="2">
        <v>34</v>
      </c>
      <c r="O1225" s="3">
        <v>6017</v>
      </c>
      <c r="P1225">
        <v>0</v>
      </c>
      <c r="Q1225">
        <v>5</v>
      </c>
      <c r="R1225" t="s">
        <v>33</v>
      </c>
      <c r="S1225">
        <v>1</v>
      </c>
    </row>
    <row r="1226" spans="1:19" ht="16.5" x14ac:dyDescent="0.3">
      <c r="A1226" t="s">
        <v>1281</v>
      </c>
      <c r="B1226" s="1">
        <v>45447</v>
      </c>
      <c r="C1226" s="1">
        <v>45450</v>
      </c>
      <c r="D1226">
        <v>2024</v>
      </c>
      <c r="E1226" t="s">
        <v>836</v>
      </c>
      <c r="F1226" t="s">
        <v>1264</v>
      </c>
      <c r="G1226" t="s">
        <v>56</v>
      </c>
      <c r="H1226" t="s">
        <v>23</v>
      </c>
      <c r="I1226" t="s">
        <v>24</v>
      </c>
      <c r="J1226" t="s">
        <v>43</v>
      </c>
      <c r="K1226" t="s">
        <v>32</v>
      </c>
      <c r="L1226" t="s">
        <v>27</v>
      </c>
      <c r="M1226">
        <v>3</v>
      </c>
      <c r="N1226" s="2">
        <v>100</v>
      </c>
      <c r="O1226" s="3">
        <v>3809</v>
      </c>
      <c r="P1226">
        <v>1</v>
      </c>
      <c r="Q1226">
        <v>3</v>
      </c>
      <c r="R1226" t="s">
        <v>33</v>
      </c>
      <c r="S1226">
        <v>1</v>
      </c>
    </row>
    <row r="1227" spans="1:19" ht="16.5" x14ac:dyDescent="0.3">
      <c r="A1227" t="s">
        <v>1282</v>
      </c>
      <c r="B1227" s="1">
        <v>45447</v>
      </c>
      <c r="C1227" s="1">
        <v>45451</v>
      </c>
      <c r="D1227">
        <v>2024</v>
      </c>
      <c r="E1227" t="s">
        <v>836</v>
      </c>
      <c r="F1227" t="s">
        <v>1264</v>
      </c>
      <c r="G1227" t="s">
        <v>56</v>
      </c>
      <c r="H1227" t="s">
        <v>39</v>
      </c>
      <c r="I1227" t="s">
        <v>24</v>
      </c>
      <c r="J1227" t="s">
        <v>43</v>
      </c>
      <c r="K1227" t="s">
        <v>41</v>
      </c>
      <c r="L1227" t="s">
        <v>44</v>
      </c>
      <c r="M1227">
        <v>4</v>
      </c>
      <c r="N1227" s="2">
        <v>48</v>
      </c>
      <c r="O1227" s="3">
        <v>3038</v>
      </c>
      <c r="P1227">
        <v>0</v>
      </c>
      <c r="Q1227">
        <v>3</v>
      </c>
      <c r="R1227" t="s">
        <v>33</v>
      </c>
      <c r="S1227">
        <v>1</v>
      </c>
    </row>
    <row r="1228" spans="1:19" ht="16.5" x14ac:dyDescent="0.3">
      <c r="A1228" t="s">
        <v>1283</v>
      </c>
      <c r="B1228" s="1">
        <v>45448</v>
      </c>
      <c r="C1228" s="1">
        <v>45455</v>
      </c>
      <c r="D1228">
        <v>2024</v>
      </c>
      <c r="E1228" t="s">
        <v>836</v>
      </c>
      <c r="F1228" t="s">
        <v>1264</v>
      </c>
      <c r="G1228" t="s">
        <v>70</v>
      </c>
      <c r="H1228" t="s">
        <v>23</v>
      </c>
      <c r="I1228" t="s">
        <v>24</v>
      </c>
      <c r="J1228" t="s">
        <v>43</v>
      </c>
      <c r="K1228" t="s">
        <v>36</v>
      </c>
      <c r="L1228" t="s">
        <v>44</v>
      </c>
      <c r="M1228">
        <v>7</v>
      </c>
      <c r="N1228" s="2">
        <v>53</v>
      </c>
      <c r="O1228" s="3">
        <v>5425</v>
      </c>
      <c r="P1228">
        <v>0</v>
      </c>
      <c r="Q1228">
        <v>5</v>
      </c>
      <c r="R1228" t="s">
        <v>33</v>
      </c>
      <c r="S1228">
        <v>1</v>
      </c>
    </row>
    <row r="1229" spans="1:19" ht="16.5" x14ac:dyDescent="0.3">
      <c r="A1229" t="s">
        <v>1284</v>
      </c>
      <c r="B1229" s="1">
        <v>45448</v>
      </c>
      <c r="C1229" s="1">
        <v>45454</v>
      </c>
      <c r="D1229">
        <v>2024</v>
      </c>
      <c r="E1229" t="s">
        <v>836</v>
      </c>
      <c r="F1229" t="s">
        <v>1264</v>
      </c>
      <c r="G1229" t="s">
        <v>70</v>
      </c>
      <c r="H1229" t="s">
        <v>35</v>
      </c>
      <c r="I1229" t="s">
        <v>24</v>
      </c>
      <c r="J1229" t="s">
        <v>25</v>
      </c>
      <c r="K1229" t="s">
        <v>36</v>
      </c>
      <c r="L1229" t="s">
        <v>44</v>
      </c>
      <c r="M1229">
        <v>6</v>
      </c>
      <c r="N1229" s="2">
        <v>15</v>
      </c>
      <c r="O1229" s="3">
        <v>4029</v>
      </c>
      <c r="P1229">
        <v>0</v>
      </c>
      <c r="Q1229">
        <v>4</v>
      </c>
      <c r="R1229" t="s">
        <v>28</v>
      </c>
      <c r="S1229">
        <v>1</v>
      </c>
    </row>
    <row r="1230" spans="1:19" ht="16.5" x14ac:dyDescent="0.3">
      <c r="A1230" t="s">
        <v>1285</v>
      </c>
      <c r="B1230" s="1">
        <v>45448</v>
      </c>
      <c r="C1230" s="1">
        <v>45452</v>
      </c>
      <c r="D1230">
        <v>2024</v>
      </c>
      <c r="E1230" t="s">
        <v>836</v>
      </c>
      <c r="F1230" t="s">
        <v>1264</v>
      </c>
      <c r="G1230" t="s">
        <v>70</v>
      </c>
      <c r="H1230" t="s">
        <v>23</v>
      </c>
      <c r="I1230" t="s">
        <v>24</v>
      </c>
      <c r="J1230" t="s">
        <v>43</v>
      </c>
      <c r="K1230" t="s">
        <v>26</v>
      </c>
      <c r="L1230" t="s">
        <v>27</v>
      </c>
      <c r="M1230">
        <v>4</v>
      </c>
      <c r="N1230" s="2">
        <v>111</v>
      </c>
      <c r="O1230" s="3">
        <v>3968</v>
      </c>
      <c r="P1230">
        <v>0</v>
      </c>
      <c r="Q1230">
        <v>4</v>
      </c>
      <c r="R1230" t="s">
        <v>33</v>
      </c>
      <c r="S1230">
        <v>1</v>
      </c>
    </row>
    <row r="1231" spans="1:19" ht="16.5" x14ac:dyDescent="0.3">
      <c r="A1231" t="s">
        <v>1286</v>
      </c>
      <c r="B1231" s="1">
        <v>45448</v>
      </c>
      <c r="C1231" s="1">
        <v>45451</v>
      </c>
      <c r="D1231">
        <v>2024</v>
      </c>
      <c r="E1231" t="s">
        <v>836</v>
      </c>
      <c r="F1231" t="s">
        <v>1264</v>
      </c>
      <c r="G1231" t="s">
        <v>70</v>
      </c>
      <c r="H1231" t="s">
        <v>35</v>
      </c>
      <c r="I1231" t="s">
        <v>24</v>
      </c>
      <c r="J1231" t="s">
        <v>25</v>
      </c>
      <c r="K1231" t="s">
        <v>32</v>
      </c>
      <c r="L1231" t="s">
        <v>27</v>
      </c>
      <c r="M1231">
        <v>3</v>
      </c>
      <c r="N1231" s="2">
        <v>84</v>
      </c>
      <c r="O1231" s="3">
        <v>3045</v>
      </c>
      <c r="P1231">
        <v>0</v>
      </c>
      <c r="Q1231">
        <v>3</v>
      </c>
      <c r="R1231" t="s">
        <v>33</v>
      </c>
      <c r="S1231">
        <v>1</v>
      </c>
    </row>
    <row r="1232" spans="1:19" ht="16.5" x14ac:dyDescent="0.3">
      <c r="A1232" t="s">
        <v>1287</v>
      </c>
      <c r="B1232" s="1">
        <v>45448</v>
      </c>
      <c r="C1232" s="1">
        <v>45450</v>
      </c>
      <c r="D1232">
        <v>2024</v>
      </c>
      <c r="E1232" t="s">
        <v>836</v>
      </c>
      <c r="F1232" t="s">
        <v>1264</v>
      </c>
      <c r="G1232" t="s">
        <v>70</v>
      </c>
      <c r="H1232" t="s">
        <v>39</v>
      </c>
      <c r="I1232" t="s">
        <v>24</v>
      </c>
      <c r="J1232" t="s">
        <v>43</v>
      </c>
      <c r="K1232" t="s">
        <v>41</v>
      </c>
      <c r="L1232" t="s">
        <v>37</v>
      </c>
      <c r="M1232">
        <v>2</v>
      </c>
      <c r="N1232" s="2">
        <v>65</v>
      </c>
      <c r="O1232" s="3">
        <v>2328</v>
      </c>
      <c r="P1232">
        <v>1</v>
      </c>
      <c r="Q1232">
        <v>3</v>
      </c>
      <c r="R1232" t="s">
        <v>28</v>
      </c>
      <c r="S1232">
        <v>1</v>
      </c>
    </row>
    <row r="1233" spans="1:19" ht="16.5" x14ac:dyDescent="0.3">
      <c r="A1233" t="s">
        <v>1288</v>
      </c>
      <c r="B1233" s="1">
        <v>45449</v>
      </c>
      <c r="C1233" s="1">
        <v>45452</v>
      </c>
      <c r="D1233">
        <v>2024</v>
      </c>
      <c r="E1233" t="s">
        <v>836</v>
      </c>
      <c r="F1233" t="s">
        <v>1264</v>
      </c>
      <c r="G1233" t="s">
        <v>78</v>
      </c>
      <c r="H1233" t="s">
        <v>39</v>
      </c>
      <c r="I1233" t="s">
        <v>24</v>
      </c>
      <c r="J1233" t="s">
        <v>25</v>
      </c>
      <c r="K1233" t="s">
        <v>41</v>
      </c>
      <c r="L1233" t="s">
        <v>27</v>
      </c>
      <c r="M1233">
        <v>3</v>
      </c>
      <c r="N1233" s="2">
        <v>27</v>
      </c>
      <c r="O1233" s="3">
        <v>2645</v>
      </c>
      <c r="P1233">
        <v>0</v>
      </c>
      <c r="Q1233">
        <v>3</v>
      </c>
      <c r="R1233" t="s">
        <v>33</v>
      </c>
      <c r="S1233">
        <v>1</v>
      </c>
    </row>
    <row r="1234" spans="1:19" ht="16.5" x14ac:dyDescent="0.3">
      <c r="A1234" t="s">
        <v>1289</v>
      </c>
      <c r="B1234" s="1">
        <v>45449</v>
      </c>
      <c r="C1234" s="1">
        <v>45458</v>
      </c>
      <c r="D1234">
        <v>2024</v>
      </c>
      <c r="E1234" t="s">
        <v>836</v>
      </c>
      <c r="F1234" t="s">
        <v>1264</v>
      </c>
      <c r="G1234" t="s">
        <v>78</v>
      </c>
      <c r="H1234" t="s">
        <v>30</v>
      </c>
      <c r="I1234" t="s">
        <v>24</v>
      </c>
      <c r="J1234" t="s">
        <v>25</v>
      </c>
      <c r="K1234" t="s">
        <v>26</v>
      </c>
      <c r="L1234" t="s">
        <v>44</v>
      </c>
      <c r="M1234">
        <v>9</v>
      </c>
      <c r="N1234" s="2">
        <v>119</v>
      </c>
      <c r="O1234" s="3">
        <v>10065</v>
      </c>
      <c r="P1234">
        <v>0</v>
      </c>
      <c r="Q1234">
        <v>3</v>
      </c>
      <c r="R1234" t="s">
        <v>33</v>
      </c>
      <c r="S1234">
        <v>1</v>
      </c>
    </row>
    <row r="1235" spans="1:19" ht="16.5" x14ac:dyDescent="0.3">
      <c r="A1235" t="s">
        <v>1290</v>
      </c>
      <c r="B1235" s="1">
        <v>45449</v>
      </c>
      <c r="C1235" s="1">
        <v>45456</v>
      </c>
      <c r="D1235">
        <v>2024</v>
      </c>
      <c r="E1235" t="s">
        <v>836</v>
      </c>
      <c r="F1235" t="s">
        <v>1264</v>
      </c>
      <c r="G1235" t="s">
        <v>78</v>
      </c>
      <c r="H1235" t="s">
        <v>23</v>
      </c>
      <c r="I1235" t="s">
        <v>24</v>
      </c>
      <c r="J1235" t="s">
        <v>25</v>
      </c>
      <c r="K1235" t="s">
        <v>26</v>
      </c>
      <c r="L1235" t="s">
        <v>27</v>
      </c>
      <c r="M1235">
        <v>7</v>
      </c>
      <c r="N1235" s="2">
        <v>56</v>
      </c>
      <c r="O1235" s="3">
        <v>4342</v>
      </c>
      <c r="P1235">
        <v>0</v>
      </c>
      <c r="Q1235">
        <v>4</v>
      </c>
      <c r="R1235" t="s">
        <v>33</v>
      </c>
      <c r="S1235">
        <v>1</v>
      </c>
    </row>
    <row r="1236" spans="1:19" ht="16.5" x14ac:dyDescent="0.3">
      <c r="A1236" t="s">
        <v>1291</v>
      </c>
      <c r="B1236" s="1">
        <v>45449</v>
      </c>
      <c r="C1236" s="1">
        <v>45450</v>
      </c>
      <c r="D1236">
        <v>2024</v>
      </c>
      <c r="E1236" t="s">
        <v>836</v>
      </c>
      <c r="F1236" t="s">
        <v>1264</v>
      </c>
      <c r="G1236" t="s">
        <v>78</v>
      </c>
      <c r="H1236" t="s">
        <v>30</v>
      </c>
      <c r="I1236" t="s">
        <v>40</v>
      </c>
      <c r="J1236" t="s">
        <v>43</v>
      </c>
      <c r="K1236" t="s">
        <v>36</v>
      </c>
      <c r="L1236" t="s">
        <v>44</v>
      </c>
      <c r="M1236">
        <v>1</v>
      </c>
      <c r="N1236" s="2"/>
      <c r="O1236" s="3">
        <v>2338</v>
      </c>
      <c r="P1236">
        <v>0</v>
      </c>
      <c r="Q1236">
        <v>4</v>
      </c>
      <c r="R1236" t="s">
        <v>33</v>
      </c>
      <c r="S1236">
        <v>1</v>
      </c>
    </row>
    <row r="1237" spans="1:19" ht="16.5" x14ac:dyDescent="0.3">
      <c r="A1237" t="s">
        <v>1292</v>
      </c>
      <c r="B1237" s="1">
        <v>45449</v>
      </c>
      <c r="C1237" s="1">
        <v>45453</v>
      </c>
      <c r="D1237">
        <v>2024</v>
      </c>
      <c r="E1237" t="s">
        <v>836</v>
      </c>
      <c r="F1237" t="s">
        <v>1264</v>
      </c>
      <c r="G1237" t="s">
        <v>78</v>
      </c>
      <c r="H1237" t="s">
        <v>23</v>
      </c>
      <c r="I1237" t="s">
        <v>24</v>
      </c>
      <c r="J1237" t="s">
        <v>43</v>
      </c>
      <c r="K1237" t="s">
        <v>53</v>
      </c>
      <c r="L1237" t="s">
        <v>44</v>
      </c>
      <c r="M1237">
        <v>4</v>
      </c>
      <c r="N1237" s="2">
        <v>25</v>
      </c>
      <c r="O1237" s="3">
        <v>2580</v>
      </c>
      <c r="P1237">
        <v>0</v>
      </c>
      <c r="Q1237">
        <v>3</v>
      </c>
      <c r="R1237" t="s">
        <v>28</v>
      </c>
      <c r="S1237">
        <v>1</v>
      </c>
    </row>
    <row r="1238" spans="1:19" ht="16.5" x14ac:dyDescent="0.3">
      <c r="A1238" t="s">
        <v>1293</v>
      </c>
      <c r="B1238" s="1">
        <v>45449</v>
      </c>
      <c r="C1238" s="1">
        <v>45455</v>
      </c>
      <c r="D1238">
        <v>2024</v>
      </c>
      <c r="E1238" t="s">
        <v>836</v>
      </c>
      <c r="F1238" t="s">
        <v>1264</v>
      </c>
      <c r="G1238" t="s">
        <v>78</v>
      </c>
      <c r="H1238" t="s">
        <v>50</v>
      </c>
      <c r="I1238" t="s">
        <v>40</v>
      </c>
      <c r="J1238" t="s">
        <v>43</v>
      </c>
      <c r="K1238" t="s">
        <v>26</v>
      </c>
      <c r="L1238" t="s">
        <v>37</v>
      </c>
      <c r="M1238">
        <v>6</v>
      </c>
      <c r="N1238" s="2"/>
      <c r="O1238" s="3">
        <v>8600</v>
      </c>
      <c r="P1238">
        <v>0</v>
      </c>
      <c r="Q1238">
        <v>3</v>
      </c>
      <c r="R1238" t="s">
        <v>33</v>
      </c>
      <c r="S1238">
        <v>1</v>
      </c>
    </row>
    <row r="1239" spans="1:19" ht="16.5" x14ac:dyDescent="0.3">
      <c r="A1239" t="s">
        <v>1294</v>
      </c>
      <c r="B1239" s="1">
        <v>45450</v>
      </c>
      <c r="C1239" s="1">
        <v>45451</v>
      </c>
      <c r="D1239">
        <v>2024</v>
      </c>
      <c r="E1239" t="s">
        <v>836</v>
      </c>
      <c r="F1239" t="s">
        <v>1264</v>
      </c>
      <c r="G1239" t="s">
        <v>83</v>
      </c>
      <c r="H1239" t="s">
        <v>39</v>
      </c>
      <c r="I1239" t="s">
        <v>24</v>
      </c>
      <c r="J1239" t="s">
        <v>43</v>
      </c>
      <c r="K1239" t="s">
        <v>41</v>
      </c>
      <c r="L1239" t="s">
        <v>44</v>
      </c>
      <c r="M1239">
        <v>1</v>
      </c>
      <c r="N1239" s="2">
        <v>130</v>
      </c>
      <c r="O1239" s="3">
        <v>1787</v>
      </c>
      <c r="P1239">
        <v>0</v>
      </c>
      <c r="Q1239">
        <v>3</v>
      </c>
      <c r="R1239" t="s">
        <v>28</v>
      </c>
      <c r="S1239">
        <v>1</v>
      </c>
    </row>
    <row r="1240" spans="1:19" ht="16.5" x14ac:dyDescent="0.3">
      <c r="A1240" t="s">
        <v>1295</v>
      </c>
      <c r="B1240" s="1">
        <v>45450</v>
      </c>
      <c r="C1240" s="1">
        <v>45455</v>
      </c>
      <c r="D1240">
        <v>2024</v>
      </c>
      <c r="E1240" t="s">
        <v>836</v>
      </c>
      <c r="F1240" t="s">
        <v>1264</v>
      </c>
      <c r="G1240" t="s">
        <v>83</v>
      </c>
      <c r="H1240" t="s">
        <v>23</v>
      </c>
      <c r="I1240" t="s">
        <v>24</v>
      </c>
      <c r="J1240" t="s">
        <v>25</v>
      </c>
      <c r="K1240" t="s">
        <v>26</v>
      </c>
      <c r="L1240" t="s">
        <v>44</v>
      </c>
      <c r="M1240">
        <v>5</v>
      </c>
      <c r="N1240" s="2">
        <v>49</v>
      </c>
      <c r="O1240" s="3">
        <v>3071</v>
      </c>
      <c r="P1240">
        <v>0</v>
      </c>
      <c r="Q1240">
        <v>5</v>
      </c>
      <c r="R1240" t="s">
        <v>33</v>
      </c>
      <c r="S1240">
        <v>1</v>
      </c>
    </row>
    <row r="1241" spans="1:19" ht="16.5" x14ac:dyDescent="0.3">
      <c r="A1241" t="s">
        <v>1296</v>
      </c>
      <c r="B1241" s="1">
        <v>45450</v>
      </c>
      <c r="C1241" s="1">
        <v>45457</v>
      </c>
      <c r="D1241">
        <v>2024</v>
      </c>
      <c r="E1241" t="s">
        <v>836</v>
      </c>
      <c r="F1241" t="s">
        <v>1264</v>
      </c>
      <c r="G1241" t="s">
        <v>83</v>
      </c>
      <c r="H1241" t="s">
        <v>23</v>
      </c>
      <c r="I1241" t="s">
        <v>24</v>
      </c>
      <c r="J1241" t="s">
        <v>25</v>
      </c>
      <c r="K1241" t="s">
        <v>26</v>
      </c>
      <c r="L1241" t="s">
        <v>27</v>
      </c>
      <c r="M1241">
        <v>7</v>
      </c>
      <c r="N1241" s="2">
        <v>84</v>
      </c>
      <c r="O1241" s="3">
        <v>6512</v>
      </c>
      <c r="P1241">
        <v>1</v>
      </c>
      <c r="Q1241">
        <v>5</v>
      </c>
      <c r="R1241" t="s">
        <v>28</v>
      </c>
      <c r="S1241">
        <v>1</v>
      </c>
    </row>
    <row r="1242" spans="1:19" ht="16.5" x14ac:dyDescent="0.3">
      <c r="A1242" t="s">
        <v>1297</v>
      </c>
      <c r="B1242" s="1">
        <v>45450</v>
      </c>
      <c r="C1242" s="1">
        <v>45455</v>
      </c>
      <c r="D1242">
        <v>2024</v>
      </c>
      <c r="E1242" t="s">
        <v>836</v>
      </c>
      <c r="F1242" t="s">
        <v>1264</v>
      </c>
      <c r="G1242" t="s">
        <v>83</v>
      </c>
      <c r="H1242" t="s">
        <v>50</v>
      </c>
      <c r="I1242" t="s">
        <v>24</v>
      </c>
      <c r="J1242" t="s">
        <v>43</v>
      </c>
      <c r="K1242" t="s">
        <v>26</v>
      </c>
      <c r="L1242" t="s">
        <v>44</v>
      </c>
      <c r="M1242">
        <v>5</v>
      </c>
      <c r="N1242" s="2">
        <v>69</v>
      </c>
      <c r="O1242" s="3">
        <v>5816</v>
      </c>
      <c r="P1242">
        <v>0</v>
      </c>
      <c r="Q1242">
        <v>5</v>
      </c>
      <c r="R1242" t="s">
        <v>28</v>
      </c>
      <c r="S1242">
        <v>1</v>
      </c>
    </row>
    <row r="1243" spans="1:19" ht="16.5" x14ac:dyDescent="0.3">
      <c r="A1243" t="s">
        <v>1298</v>
      </c>
      <c r="B1243" s="1">
        <v>45450</v>
      </c>
      <c r="C1243" s="1">
        <v>45453</v>
      </c>
      <c r="D1243">
        <v>2024</v>
      </c>
      <c r="E1243" t="s">
        <v>836</v>
      </c>
      <c r="F1243" t="s">
        <v>1264</v>
      </c>
      <c r="G1243" t="s">
        <v>83</v>
      </c>
      <c r="H1243" t="s">
        <v>50</v>
      </c>
      <c r="I1243" t="s">
        <v>40</v>
      </c>
      <c r="J1243" t="s">
        <v>43</v>
      </c>
      <c r="K1243" t="s">
        <v>26</v>
      </c>
      <c r="L1243" t="s">
        <v>27</v>
      </c>
      <c r="M1243">
        <v>3</v>
      </c>
      <c r="N1243" s="2"/>
      <c r="O1243" s="3">
        <v>4715</v>
      </c>
      <c r="P1243">
        <v>0</v>
      </c>
      <c r="Q1243">
        <v>4</v>
      </c>
      <c r="R1243" t="s">
        <v>33</v>
      </c>
      <c r="S1243">
        <v>1</v>
      </c>
    </row>
    <row r="1244" spans="1:19" ht="16.5" x14ac:dyDescent="0.3">
      <c r="A1244" t="s">
        <v>1299</v>
      </c>
      <c r="B1244" s="1">
        <v>45450</v>
      </c>
      <c r="C1244" s="1">
        <v>45453</v>
      </c>
      <c r="D1244">
        <v>2024</v>
      </c>
      <c r="E1244" t="s">
        <v>836</v>
      </c>
      <c r="F1244" t="s">
        <v>1264</v>
      </c>
      <c r="G1244" t="s">
        <v>83</v>
      </c>
      <c r="H1244" t="s">
        <v>39</v>
      </c>
      <c r="I1244" t="s">
        <v>40</v>
      </c>
      <c r="J1244" t="s">
        <v>25</v>
      </c>
      <c r="K1244" t="s">
        <v>41</v>
      </c>
      <c r="L1244" t="s">
        <v>44</v>
      </c>
      <c r="M1244">
        <v>3</v>
      </c>
      <c r="N1244" s="2"/>
      <c r="O1244" s="3">
        <v>2922</v>
      </c>
      <c r="P1244">
        <v>0</v>
      </c>
      <c r="Q1244">
        <v>4</v>
      </c>
      <c r="R1244" t="s">
        <v>28</v>
      </c>
      <c r="S1244">
        <v>1</v>
      </c>
    </row>
    <row r="1245" spans="1:19" ht="16.5" x14ac:dyDescent="0.3">
      <c r="A1245" t="s">
        <v>1300</v>
      </c>
      <c r="B1245" s="1">
        <v>45451</v>
      </c>
      <c r="C1245" s="1">
        <v>45456</v>
      </c>
      <c r="D1245">
        <v>2024</v>
      </c>
      <c r="E1245" t="s">
        <v>836</v>
      </c>
      <c r="F1245" t="s">
        <v>1264</v>
      </c>
      <c r="G1245" t="s">
        <v>102</v>
      </c>
      <c r="H1245" t="s">
        <v>52</v>
      </c>
      <c r="I1245" t="s">
        <v>24</v>
      </c>
      <c r="J1245" t="s">
        <v>43</v>
      </c>
      <c r="K1245" t="s">
        <v>36</v>
      </c>
      <c r="L1245" t="s">
        <v>44</v>
      </c>
      <c r="M1245">
        <v>5</v>
      </c>
      <c r="N1245" s="2">
        <v>41</v>
      </c>
      <c r="O1245" s="3">
        <v>4927</v>
      </c>
      <c r="P1245">
        <v>0</v>
      </c>
      <c r="Q1245">
        <v>3</v>
      </c>
      <c r="R1245" t="s">
        <v>33</v>
      </c>
      <c r="S1245">
        <v>1</v>
      </c>
    </row>
    <row r="1246" spans="1:19" ht="16.5" x14ac:dyDescent="0.3">
      <c r="A1246" t="s">
        <v>1301</v>
      </c>
      <c r="B1246" s="1">
        <v>45451</v>
      </c>
      <c r="C1246" s="1">
        <v>45454</v>
      </c>
      <c r="D1246">
        <v>2024</v>
      </c>
      <c r="E1246" t="s">
        <v>836</v>
      </c>
      <c r="F1246" t="s">
        <v>1264</v>
      </c>
      <c r="G1246" t="s">
        <v>102</v>
      </c>
      <c r="H1246" t="s">
        <v>23</v>
      </c>
      <c r="I1246" t="s">
        <v>24</v>
      </c>
      <c r="J1246" t="s">
        <v>25</v>
      </c>
      <c r="K1246" t="s">
        <v>26</v>
      </c>
      <c r="L1246" t="s">
        <v>27</v>
      </c>
      <c r="M1246">
        <v>3</v>
      </c>
      <c r="N1246" s="2">
        <v>75</v>
      </c>
      <c r="O1246" s="3">
        <v>2146</v>
      </c>
      <c r="P1246">
        <v>0</v>
      </c>
      <c r="Q1246">
        <v>3</v>
      </c>
      <c r="R1246" t="s">
        <v>33</v>
      </c>
      <c r="S1246">
        <v>1</v>
      </c>
    </row>
    <row r="1247" spans="1:19" ht="16.5" x14ac:dyDescent="0.3">
      <c r="A1247" t="s">
        <v>1302</v>
      </c>
      <c r="B1247" s="1">
        <v>45451</v>
      </c>
      <c r="C1247" s="1">
        <v>45454</v>
      </c>
      <c r="D1247">
        <v>2024</v>
      </c>
      <c r="E1247" t="s">
        <v>836</v>
      </c>
      <c r="F1247" t="s">
        <v>1264</v>
      </c>
      <c r="G1247" t="s">
        <v>102</v>
      </c>
      <c r="H1247" t="s">
        <v>39</v>
      </c>
      <c r="I1247" t="s">
        <v>40</v>
      </c>
      <c r="J1247" t="s">
        <v>25</v>
      </c>
      <c r="K1247" t="s">
        <v>41</v>
      </c>
      <c r="L1247" t="s">
        <v>27</v>
      </c>
      <c r="M1247">
        <v>3</v>
      </c>
      <c r="N1247" s="2"/>
      <c r="O1247" s="3">
        <v>2141</v>
      </c>
      <c r="P1247">
        <v>0</v>
      </c>
      <c r="Q1247">
        <v>5</v>
      </c>
      <c r="R1247" t="s">
        <v>165</v>
      </c>
      <c r="S1247">
        <v>1</v>
      </c>
    </row>
    <row r="1248" spans="1:19" ht="16.5" x14ac:dyDescent="0.3">
      <c r="A1248" t="s">
        <v>1303</v>
      </c>
      <c r="B1248" s="1">
        <v>45451</v>
      </c>
      <c r="C1248" s="1">
        <v>45454</v>
      </c>
      <c r="D1248">
        <v>2024</v>
      </c>
      <c r="E1248" t="s">
        <v>836</v>
      </c>
      <c r="F1248" t="s">
        <v>1264</v>
      </c>
      <c r="G1248" t="s">
        <v>102</v>
      </c>
      <c r="H1248" t="s">
        <v>30</v>
      </c>
      <c r="I1248" t="s">
        <v>24</v>
      </c>
      <c r="J1248" t="s">
        <v>43</v>
      </c>
      <c r="K1248" t="s">
        <v>26</v>
      </c>
      <c r="L1248" t="s">
        <v>27</v>
      </c>
      <c r="M1248">
        <v>3</v>
      </c>
      <c r="N1248" s="2">
        <v>131</v>
      </c>
      <c r="O1248" s="3">
        <v>3412</v>
      </c>
      <c r="P1248">
        <v>1</v>
      </c>
      <c r="Q1248">
        <v>2</v>
      </c>
      <c r="R1248" t="s">
        <v>33</v>
      </c>
      <c r="S1248">
        <v>1</v>
      </c>
    </row>
    <row r="1249" spans="1:19" ht="16.5" x14ac:dyDescent="0.3">
      <c r="A1249" t="s">
        <v>1304</v>
      </c>
      <c r="B1249" s="1">
        <v>45452</v>
      </c>
      <c r="C1249" s="1">
        <v>45454</v>
      </c>
      <c r="D1249">
        <v>2024</v>
      </c>
      <c r="E1249" t="s">
        <v>836</v>
      </c>
      <c r="F1249" t="s">
        <v>1264</v>
      </c>
      <c r="G1249" t="s">
        <v>112</v>
      </c>
      <c r="H1249" t="s">
        <v>50</v>
      </c>
      <c r="I1249" t="s">
        <v>24</v>
      </c>
      <c r="J1249" t="s">
        <v>25</v>
      </c>
      <c r="K1249" t="s">
        <v>36</v>
      </c>
      <c r="L1249" t="s">
        <v>44</v>
      </c>
      <c r="M1249">
        <v>2</v>
      </c>
      <c r="N1249" s="2">
        <v>61</v>
      </c>
      <c r="O1249" s="3">
        <v>2975</v>
      </c>
      <c r="P1249">
        <v>0</v>
      </c>
      <c r="Q1249">
        <v>4</v>
      </c>
      <c r="R1249" t="s">
        <v>33</v>
      </c>
      <c r="S1249">
        <v>1</v>
      </c>
    </row>
    <row r="1250" spans="1:19" ht="16.5" x14ac:dyDescent="0.3">
      <c r="A1250" t="s">
        <v>1305</v>
      </c>
      <c r="B1250" s="1">
        <v>45452</v>
      </c>
      <c r="C1250" s="1">
        <v>45455</v>
      </c>
      <c r="D1250">
        <v>2024</v>
      </c>
      <c r="E1250" t="s">
        <v>836</v>
      </c>
      <c r="F1250" t="s">
        <v>1264</v>
      </c>
      <c r="G1250" t="s">
        <v>112</v>
      </c>
      <c r="H1250" t="s">
        <v>39</v>
      </c>
      <c r="I1250" t="s">
        <v>24</v>
      </c>
      <c r="J1250" t="s">
        <v>43</v>
      </c>
      <c r="K1250" t="s">
        <v>41</v>
      </c>
      <c r="L1250" t="s">
        <v>44</v>
      </c>
      <c r="M1250">
        <v>3</v>
      </c>
      <c r="N1250" s="2">
        <v>56</v>
      </c>
      <c r="O1250" s="3">
        <v>2613</v>
      </c>
      <c r="P1250">
        <v>0</v>
      </c>
      <c r="Q1250">
        <v>5</v>
      </c>
      <c r="R1250" t="s">
        <v>28</v>
      </c>
      <c r="S1250">
        <v>1</v>
      </c>
    </row>
    <row r="1251" spans="1:19" ht="16.5" x14ac:dyDescent="0.3">
      <c r="A1251" t="s">
        <v>1306</v>
      </c>
      <c r="B1251" s="1">
        <v>45452</v>
      </c>
      <c r="C1251" s="1">
        <v>45453</v>
      </c>
      <c r="D1251">
        <v>2024</v>
      </c>
      <c r="E1251" t="s">
        <v>836</v>
      </c>
      <c r="F1251" t="s">
        <v>1264</v>
      </c>
      <c r="G1251" t="s">
        <v>112</v>
      </c>
      <c r="H1251" t="s">
        <v>52</v>
      </c>
      <c r="I1251" t="s">
        <v>24</v>
      </c>
      <c r="J1251" t="s">
        <v>43</v>
      </c>
      <c r="K1251" t="s">
        <v>32</v>
      </c>
      <c r="L1251" t="s">
        <v>44</v>
      </c>
      <c r="M1251">
        <v>1</v>
      </c>
      <c r="N1251" s="2">
        <v>51</v>
      </c>
      <c r="O1251" s="3">
        <v>1768</v>
      </c>
      <c r="P1251">
        <v>0</v>
      </c>
      <c r="Q1251">
        <v>5</v>
      </c>
      <c r="R1251" t="s">
        <v>33</v>
      </c>
      <c r="S1251">
        <v>1</v>
      </c>
    </row>
    <row r="1252" spans="1:19" ht="16.5" x14ac:dyDescent="0.3">
      <c r="A1252" t="s">
        <v>1307</v>
      </c>
      <c r="B1252" s="1">
        <v>45452</v>
      </c>
      <c r="C1252" s="1">
        <v>45453</v>
      </c>
      <c r="D1252">
        <v>2024</v>
      </c>
      <c r="E1252" t="s">
        <v>836</v>
      </c>
      <c r="F1252" t="s">
        <v>1264</v>
      </c>
      <c r="G1252" t="s">
        <v>112</v>
      </c>
      <c r="H1252" t="s">
        <v>30</v>
      </c>
      <c r="I1252" t="s">
        <v>40</v>
      </c>
      <c r="J1252" t="s">
        <v>43</v>
      </c>
      <c r="K1252" t="s">
        <v>32</v>
      </c>
      <c r="L1252" t="s">
        <v>37</v>
      </c>
      <c r="M1252">
        <v>1</v>
      </c>
      <c r="N1252" s="2"/>
      <c r="O1252" s="3">
        <v>1581</v>
      </c>
      <c r="P1252">
        <v>0</v>
      </c>
      <c r="Q1252">
        <v>5</v>
      </c>
      <c r="R1252" t="s">
        <v>33</v>
      </c>
      <c r="S1252">
        <v>1</v>
      </c>
    </row>
    <row r="1253" spans="1:19" ht="16.5" x14ac:dyDescent="0.3">
      <c r="A1253" t="s">
        <v>1308</v>
      </c>
      <c r="B1253" s="1">
        <v>45452</v>
      </c>
      <c r="C1253" s="1">
        <v>45460</v>
      </c>
      <c r="D1253">
        <v>2024</v>
      </c>
      <c r="E1253" t="s">
        <v>836</v>
      </c>
      <c r="F1253" t="s">
        <v>1264</v>
      </c>
      <c r="G1253" t="s">
        <v>112</v>
      </c>
      <c r="H1253" t="s">
        <v>39</v>
      </c>
      <c r="I1253" t="s">
        <v>24</v>
      </c>
      <c r="J1253" t="s">
        <v>43</v>
      </c>
      <c r="K1253" t="s">
        <v>41</v>
      </c>
      <c r="L1253" t="s">
        <v>27</v>
      </c>
      <c r="M1253">
        <v>8</v>
      </c>
      <c r="N1253" s="2">
        <v>29</v>
      </c>
      <c r="O1253" s="3">
        <v>5137</v>
      </c>
      <c r="P1253">
        <v>0</v>
      </c>
      <c r="Q1253">
        <v>5</v>
      </c>
      <c r="R1253" t="s">
        <v>33</v>
      </c>
      <c r="S1253">
        <v>1</v>
      </c>
    </row>
    <row r="1254" spans="1:19" ht="16.5" x14ac:dyDescent="0.3">
      <c r="A1254" t="s">
        <v>1309</v>
      </c>
      <c r="B1254" s="1">
        <v>45452</v>
      </c>
      <c r="C1254" s="1">
        <v>45454</v>
      </c>
      <c r="D1254">
        <v>2024</v>
      </c>
      <c r="E1254" t="s">
        <v>836</v>
      </c>
      <c r="F1254" t="s">
        <v>1264</v>
      </c>
      <c r="G1254" t="s">
        <v>112</v>
      </c>
      <c r="H1254" t="s">
        <v>35</v>
      </c>
      <c r="I1254" t="s">
        <v>40</v>
      </c>
      <c r="J1254" t="s">
        <v>25</v>
      </c>
      <c r="K1254" t="s">
        <v>32</v>
      </c>
      <c r="L1254" t="s">
        <v>27</v>
      </c>
      <c r="M1254">
        <v>2</v>
      </c>
      <c r="N1254" s="2"/>
      <c r="O1254" s="3">
        <v>1627</v>
      </c>
      <c r="P1254">
        <v>0</v>
      </c>
      <c r="Q1254">
        <v>4</v>
      </c>
      <c r="R1254" t="s">
        <v>33</v>
      </c>
      <c r="S1254">
        <v>1</v>
      </c>
    </row>
    <row r="1255" spans="1:19" ht="16.5" x14ac:dyDescent="0.3">
      <c r="A1255" t="s">
        <v>1310</v>
      </c>
      <c r="B1255" s="1">
        <v>45453</v>
      </c>
      <c r="C1255" s="1">
        <v>45456</v>
      </c>
      <c r="D1255">
        <v>2024</v>
      </c>
      <c r="E1255" t="s">
        <v>836</v>
      </c>
      <c r="F1255" t="s">
        <v>1264</v>
      </c>
      <c r="G1255" t="s">
        <v>22</v>
      </c>
      <c r="H1255" t="s">
        <v>30</v>
      </c>
      <c r="I1255" t="s">
        <v>40</v>
      </c>
      <c r="J1255" t="s">
        <v>25</v>
      </c>
      <c r="K1255" t="s">
        <v>36</v>
      </c>
      <c r="L1255" t="s">
        <v>37</v>
      </c>
      <c r="M1255">
        <v>3</v>
      </c>
      <c r="N1255" s="2"/>
      <c r="O1255" s="3">
        <v>3776</v>
      </c>
      <c r="P1255">
        <v>0</v>
      </c>
      <c r="Q1255">
        <v>5</v>
      </c>
      <c r="R1255" t="s">
        <v>28</v>
      </c>
      <c r="S1255">
        <v>1</v>
      </c>
    </row>
    <row r="1256" spans="1:19" ht="16.5" x14ac:dyDescent="0.3">
      <c r="A1256" t="s">
        <v>1311</v>
      </c>
      <c r="B1256" s="1">
        <v>45453</v>
      </c>
      <c r="C1256" s="1">
        <v>45459</v>
      </c>
      <c r="D1256">
        <v>2024</v>
      </c>
      <c r="E1256" t="s">
        <v>836</v>
      </c>
      <c r="F1256" t="s">
        <v>1264</v>
      </c>
      <c r="G1256" t="s">
        <v>22</v>
      </c>
      <c r="H1256" t="s">
        <v>23</v>
      </c>
      <c r="I1256" t="s">
        <v>40</v>
      </c>
      <c r="J1256" t="s">
        <v>25</v>
      </c>
      <c r="K1256" t="s">
        <v>36</v>
      </c>
      <c r="L1256" t="s">
        <v>27</v>
      </c>
      <c r="M1256">
        <v>6</v>
      </c>
      <c r="N1256" s="2"/>
      <c r="O1256" s="3">
        <v>5038</v>
      </c>
      <c r="P1256">
        <v>0</v>
      </c>
      <c r="Q1256">
        <v>4</v>
      </c>
      <c r="R1256" t="s">
        <v>33</v>
      </c>
      <c r="S1256">
        <v>1</v>
      </c>
    </row>
    <row r="1257" spans="1:19" ht="16.5" x14ac:dyDescent="0.3">
      <c r="A1257" t="s">
        <v>1312</v>
      </c>
      <c r="B1257" s="1">
        <v>45453</v>
      </c>
      <c r="C1257" s="1">
        <v>45456</v>
      </c>
      <c r="D1257">
        <v>2024</v>
      </c>
      <c r="E1257" t="s">
        <v>836</v>
      </c>
      <c r="F1257" t="s">
        <v>1264</v>
      </c>
      <c r="G1257" t="s">
        <v>22</v>
      </c>
      <c r="H1257" t="s">
        <v>39</v>
      </c>
      <c r="I1257" t="s">
        <v>40</v>
      </c>
      <c r="J1257" t="s">
        <v>43</v>
      </c>
      <c r="K1257" t="s">
        <v>41</v>
      </c>
      <c r="L1257" t="s">
        <v>44</v>
      </c>
      <c r="M1257">
        <v>3</v>
      </c>
      <c r="N1257" s="2"/>
      <c r="O1257" s="3">
        <v>3281</v>
      </c>
      <c r="P1257">
        <v>0</v>
      </c>
      <c r="Q1257">
        <v>3</v>
      </c>
      <c r="R1257" t="s">
        <v>33</v>
      </c>
      <c r="S1257">
        <v>1</v>
      </c>
    </row>
    <row r="1258" spans="1:19" ht="16.5" x14ac:dyDescent="0.3">
      <c r="A1258" t="s">
        <v>1313</v>
      </c>
      <c r="B1258" s="1">
        <v>45454</v>
      </c>
      <c r="C1258" s="1">
        <v>45463</v>
      </c>
      <c r="D1258">
        <v>2024</v>
      </c>
      <c r="E1258" t="s">
        <v>836</v>
      </c>
      <c r="F1258" t="s">
        <v>1264</v>
      </c>
      <c r="G1258" t="s">
        <v>56</v>
      </c>
      <c r="H1258" t="s">
        <v>52</v>
      </c>
      <c r="I1258" t="s">
        <v>24</v>
      </c>
      <c r="J1258" t="s">
        <v>43</v>
      </c>
      <c r="K1258" t="s">
        <v>26</v>
      </c>
      <c r="L1258" t="s">
        <v>27</v>
      </c>
      <c r="M1258">
        <v>9</v>
      </c>
      <c r="N1258" s="2">
        <v>37</v>
      </c>
      <c r="O1258" s="3">
        <v>8464</v>
      </c>
      <c r="P1258">
        <v>0</v>
      </c>
      <c r="Q1258">
        <v>3</v>
      </c>
      <c r="R1258" t="s">
        <v>33</v>
      </c>
      <c r="S1258">
        <v>1</v>
      </c>
    </row>
    <row r="1259" spans="1:19" ht="16.5" x14ac:dyDescent="0.3">
      <c r="A1259" t="s">
        <v>1314</v>
      </c>
      <c r="B1259" s="1">
        <v>45454</v>
      </c>
      <c r="C1259" s="1">
        <v>45458</v>
      </c>
      <c r="D1259">
        <v>2024</v>
      </c>
      <c r="E1259" t="s">
        <v>836</v>
      </c>
      <c r="F1259" t="s">
        <v>1264</v>
      </c>
      <c r="G1259" t="s">
        <v>56</v>
      </c>
      <c r="H1259" t="s">
        <v>30</v>
      </c>
      <c r="I1259" t="s">
        <v>40</v>
      </c>
      <c r="J1259" t="s">
        <v>25</v>
      </c>
      <c r="K1259" t="s">
        <v>26</v>
      </c>
      <c r="L1259" t="s">
        <v>44</v>
      </c>
      <c r="M1259">
        <v>4</v>
      </c>
      <c r="N1259" s="2"/>
      <c r="O1259" s="3">
        <v>5083</v>
      </c>
      <c r="P1259">
        <v>0</v>
      </c>
      <c r="Q1259">
        <v>4</v>
      </c>
      <c r="R1259" t="s">
        <v>33</v>
      </c>
      <c r="S1259">
        <v>1</v>
      </c>
    </row>
    <row r="1260" spans="1:19" ht="16.5" x14ac:dyDescent="0.3">
      <c r="A1260" t="s">
        <v>1315</v>
      </c>
      <c r="B1260" s="1">
        <v>45454</v>
      </c>
      <c r="C1260" s="1">
        <v>45459</v>
      </c>
      <c r="D1260">
        <v>2024</v>
      </c>
      <c r="E1260" t="s">
        <v>836</v>
      </c>
      <c r="F1260" t="s">
        <v>1264</v>
      </c>
      <c r="G1260" t="s">
        <v>56</v>
      </c>
      <c r="H1260" t="s">
        <v>23</v>
      </c>
      <c r="I1260" t="s">
        <v>24</v>
      </c>
      <c r="J1260" t="s">
        <v>25</v>
      </c>
      <c r="K1260" t="s">
        <v>53</v>
      </c>
      <c r="L1260" t="s">
        <v>44</v>
      </c>
      <c r="M1260">
        <v>5</v>
      </c>
      <c r="N1260" s="2">
        <v>49</v>
      </c>
      <c r="O1260" s="3">
        <v>3636</v>
      </c>
      <c r="P1260">
        <v>0</v>
      </c>
      <c r="Q1260">
        <v>4</v>
      </c>
      <c r="R1260" t="s">
        <v>33</v>
      </c>
      <c r="S1260">
        <v>1</v>
      </c>
    </row>
    <row r="1261" spans="1:19" ht="16.5" x14ac:dyDescent="0.3">
      <c r="A1261" t="s">
        <v>1316</v>
      </c>
      <c r="B1261" s="1">
        <v>45454</v>
      </c>
      <c r="C1261" s="1">
        <v>45465</v>
      </c>
      <c r="D1261">
        <v>2024</v>
      </c>
      <c r="E1261" t="s">
        <v>836</v>
      </c>
      <c r="F1261" t="s">
        <v>1264</v>
      </c>
      <c r="G1261" t="s">
        <v>56</v>
      </c>
      <c r="H1261" t="s">
        <v>52</v>
      </c>
      <c r="I1261" t="s">
        <v>40</v>
      </c>
      <c r="J1261" t="s">
        <v>43</v>
      </c>
      <c r="K1261" t="s">
        <v>26</v>
      </c>
      <c r="L1261" t="s">
        <v>44</v>
      </c>
      <c r="M1261">
        <v>11</v>
      </c>
      <c r="N1261" s="2"/>
      <c r="O1261" s="3">
        <v>10716</v>
      </c>
      <c r="P1261">
        <v>0</v>
      </c>
      <c r="Q1261">
        <v>3</v>
      </c>
      <c r="R1261" t="s">
        <v>33</v>
      </c>
      <c r="S1261">
        <v>1</v>
      </c>
    </row>
    <row r="1262" spans="1:19" ht="16.5" x14ac:dyDescent="0.3">
      <c r="A1262" t="s">
        <v>1317</v>
      </c>
      <c r="B1262" s="1">
        <v>45454</v>
      </c>
      <c r="C1262" s="1">
        <v>45457</v>
      </c>
      <c r="D1262">
        <v>2024</v>
      </c>
      <c r="E1262" t="s">
        <v>836</v>
      </c>
      <c r="F1262" t="s">
        <v>1264</v>
      </c>
      <c r="G1262" t="s">
        <v>56</v>
      </c>
      <c r="H1262" t="s">
        <v>52</v>
      </c>
      <c r="I1262" t="s">
        <v>40</v>
      </c>
      <c r="J1262" t="s">
        <v>43</v>
      </c>
      <c r="K1262" t="s">
        <v>26</v>
      </c>
      <c r="L1262" t="s">
        <v>27</v>
      </c>
      <c r="M1262">
        <v>3</v>
      </c>
      <c r="N1262" s="2"/>
      <c r="O1262" s="3">
        <v>4019</v>
      </c>
      <c r="P1262">
        <v>0</v>
      </c>
      <c r="Q1262">
        <v>4</v>
      </c>
      <c r="R1262" t="s">
        <v>59</v>
      </c>
      <c r="S1262">
        <v>1</v>
      </c>
    </row>
    <row r="1263" spans="1:19" ht="16.5" x14ac:dyDescent="0.3">
      <c r="A1263" t="s">
        <v>1318</v>
      </c>
      <c r="B1263" s="1">
        <v>45454</v>
      </c>
      <c r="C1263" s="1">
        <v>45460</v>
      </c>
      <c r="D1263">
        <v>2024</v>
      </c>
      <c r="E1263" t="s">
        <v>836</v>
      </c>
      <c r="F1263" t="s">
        <v>1264</v>
      </c>
      <c r="G1263" t="s">
        <v>56</v>
      </c>
      <c r="H1263" t="s">
        <v>23</v>
      </c>
      <c r="I1263" t="s">
        <v>40</v>
      </c>
      <c r="J1263" t="s">
        <v>43</v>
      </c>
      <c r="K1263" t="s">
        <v>53</v>
      </c>
      <c r="L1263" t="s">
        <v>27</v>
      </c>
      <c r="M1263">
        <v>6</v>
      </c>
      <c r="N1263" s="2"/>
      <c r="O1263" s="3">
        <v>4737</v>
      </c>
      <c r="P1263">
        <v>0</v>
      </c>
      <c r="Q1263">
        <v>4</v>
      </c>
      <c r="R1263" t="s">
        <v>33</v>
      </c>
      <c r="S1263">
        <v>1</v>
      </c>
    </row>
    <row r="1264" spans="1:19" ht="16.5" x14ac:dyDescent="0.3">
      <c r="A1264" t="s">
        <v>1319</v>
      </c>
      <c r="B1264" s="1">
        <v>45454</v>
      </c>
      <c r="C1264" s="1">
        <v>45456</v>
      </c>
      <c r="D1264">
        <v>2024</v>
      </c>
      <c r="E1264" t="s">
        <v>836</v>
      </c>
      <c r="F1264" t="s">
        <v>1264</v>
      </c>
      <c r="G1264" t="s">
        <v>56</v>
      </c>
      <c r="H1264" t="s">
        <v>23</v>
      </c>
      <c r="I1264" t="s">
        <v>31</v>
      </c>
      <c r="J1264" t="s">
        <v>43</v>
      </c>
      <c r="K1264" t="s">
        <v>32</v>
      </c>
      <c r="L1264" t="s">
        <v>27</v>
      </c>
      <c r="M1264">
        <v>2</v>
      </c>
      <c r="N1264" s="2"/>
      <c r="O1264" s="3">
        <v>2239</v>
      </c>
      <c r="P1264">
        <v>0</v>
      </c>
      <c r="Q1264">
        <v>4</v>
      </c>
      <c r="R1264" t="s">
        <v>33</v>
      </c>
      <c r="S1264">
        <v>1</v>
      </c>
    </row>
    <row r="1265" spans="1:19" ht="16.5" x14ac:dyDescent="0.3">
      <c r="A1265" t="s">
        <v>1320</v>
      </c>
      <c r="B1265" s="1">
        <v>45454</v>
      </c>
      <c r="C1265" s="1">
        <v>45455</v>
      </c>
      <c r="D1265">
        <v>2024</v>
      </c>
      <c r="E1265" t="s">
        <v>836</v>
      </c>
      <c r="F1265" t="s">
        <v>1264</v>
      </c>
      <c r="G1265" t="s">
        <v>56</v>
      </c>
      <c r="H1265" t="s">
        <v>30</v>
      </c>
      <c r="I1265" t="s">
        <v>40</v>
      </c>
      <c r="J1265" t="s">
        <v>43</v>
      </c>
      <c r="K1265" t="s">
        <v>53</v>
      </c>
      <c r="L1265" t="s">
        <v>27</v>
      </c>
      <c r="M1265">
        <v>1</v>
      </c>
      <c r="N1265" s="2"/>
      <c r="O1265" s="3">
        <v>2792</v>
      </c>
      <c r="P1265">
        <v>0</v>
      </c>
      <c r="Q1265">
        <v>4</v>
      </c>
      <c r="R1265" t="s">
        <v>33</v>
      </c>
      <c r="S1265">
        <v>1</v>
      </c>
    </row>
    <row r="1266" spans="1:19" ht="16.5" x14ac:dyDescent="0.3">
      <c r="A1266" t="s">
        <v>1321</v>
      </c>
      <c r="B1266" s="1">
        <v>45454</v>
      </c>
      <c r="C1266" s="1">
        <v>45458</v>
      </c>
      <c r="D1266">
        <v>2024</v>
      </c>
      <c r="E1266" t="s">
        <v>836</v>
      </c>
      <c r="F1266" t="s">
        <v>1264</v>
      </c>
      <c r="G1266" t="s">
        <v>56</v>
      </c>
      <c r="H1266" t="s">
        <v>35</v>
      </c>
      <c r="I1266" t="s">
        <v>40</v>
      </c>
      <c r="J1266" t="s">
        <v>25</v>
      </c>
      <c r="K1266" t="s">
        <v>32</v>
      </c>
      <c r="L1266" t="s">
        <v>44</v>
      </c>
      <c r="M1266">
        <v>4</v>
      </c>
      <c r="N1266" s="2"/>
      <c r="O1266" s="3">
        <v>3466</v>
      </c>
      <c r="P1266">
        <v>0</v>
      </c>
      <c r="Q1266">
        <v>4</v>
      </c>
      <c r="R1266" t="s">
        <v>33</v>
      </c>
      <c r="S1266">
        <v>1</v>
      </c>
    </row>
    <row r="1267" spans="1:19" ht="16.5" x14ac:dyDescent="0.3">
      <c r="A1267" t="s">
        <v>1322</v>
      </c>
      <c r="B1267" s="1">
        <v>45454</v>
      </c>
      <c r="C1267" s="1">
        <v>45457</v>
      </c>
      <c r="D1267">
        <v>2024</v>
      </c>
      <c r="E1267" t="s">
        <v>836</v>
      </c>
      <c r="F1267" t="s">
        <v>1264</v>
      </c>
      <c r="G1267" t="s">
        <v>56</v>
      </c>
      <c r="H1267" t="s">
        <v>23</v>
      </c>
      <c r="I1267" t="s">
        <v>24</v>
      </c>
      <c r="J1267" t="s">
        <v>25</v>
      </c>
      <c r="K1267" t="s">
        <v>53</v>
      </c>
      <c r="L1267" t="s">
        <v>44</v>
      </c>
      <c r="M1267">
        <v>3</v>
      </c>
      <c r="N1267" s="2">
        <v>29</v>
      </c>
      <c r="O1267" s="3">
        <v>2601</v>
      </c>
      <c r="P1267">
        <v>0</v>
      </c>
      <c r="Q1267">
        <v>5</v>
      </c>
      <c r="R1267" t="s">
        <v>28</v>
      </c>
      <c r="S1267">
        <v>1</v>
      </c>
    </row>
    <row r="1268" spans="1:19" ht="16.5" x14ac:dyDescent="0.3">
      <c r="A1268" t="s">
        <v>1323</v>
      </c>
      <c r="B1268" s="1">
        <v>45455</v>
      </c>
      <c r="C1268" s="1">
        <v>45459</v>
      </c>
      <c r="D1268">
        <v>2024</v>
      </c>
      <c r="E1268" t="s">
        <v>836</v>
      </c>
      <c r="F1268" t="s">
        <v>1264</v>
      </c>
      <c r="G1268" t="s">
        <v>70</v>
      </c>
      <c r="H1268" t="s">
        <v>52</v>
      </c>
      <c r="I1268" t="s">
        <v>40</v>
      </c>
      <c r="J1268" t="s">
        <v>43</v>
      </c>
      <c r="K1268" t="s">
        <v>26</v>
      </c>
      <c r="L1268" t="s">
        <v>27</v>
      </c>
      <c r="M1268">
        <v>4</v>
      </c>
      <c r="N1268" s="2"/>
      <c r="O1268" s="3">
        <v>4640</v>
      </c>
      <c r="P1268">
        <v>0</v>
      </c>
      <c r="Q1268">
        <v>4</v>
      </c>
      <c r="R1268" t="s">
        <v>33</v>
      </c>
      <c r="S1268">
        <v>1</v>
      </c>
    </row>
    <row r="1269" spans="1:19" ht="16.5" x14ac:dyDescent="0.3">
      <c r="A1269" t="s">
        <v>1324</v>
      </c>
      <c r="B1269" s="1">
        <v>45455</v>
      </c>
      <c r="C1269" s="1">
        <v>45464</v>
      </c>
      <c r="D1269">
        <v>2024</v>
      </c>
      <c r="E1269" t="s">
        <v>836</v>
      </c>
      <c r="F1269" t="s">
        <v>1264</v>
      </c>
      <c r="G1269" t="s">
        <v>70</v>
      </c>
      <c r="H1269" t="s">
        <v>52</v>
      </c>
      <c r="I1269" t="s">
        <v>24</v>
      </c>
      <c r="J1269" t="s">
        <v>25</v>
      </c>
      <c r="K1269" t="s">
        <v>26</v>
      </c>
      <c r="L1269" t="s">
        <v>37</v>
      </c>
      <c r="M1269">
        <v>9</v>
      </c>
      <c r="N1269" s="2">
        <v>16</v>
      </c>
      <c r="O1269" s="3">
        <v>6211</v>
      </c>
      <c r="P1269">
        <v>0</v>
      </c>
      <c r="Q1269">
        <v>3</v>
      </c>
      <c r="R1269" t="s">
        <v>33</v>
      </c>
      <c r="S1269">
        <v>1</v>
      </c>
    </row>
    <row r="1270" spans="1:19" ht="16.5" x14ac:dyDescent="0.3">
      <c r="A1270" t="s">
        <v>1325</v>
      </c>
      <c r="B1270" s="1">
        <v>45455</v>
      </c>
      <c r="C1270" s="1">
        <v>45457</v>
      </c>
      <c r="D1270">
        <v>2024</v>
      </c>
      <c r="E1270" t="s">
        <v>836</v>
      </c>
      <c r="F1270" t="s">
        <v>1264</v>
      </c>
      <c r="G1270" t="s">
        <v>70</v>
      </c>
      <c r="H1270" t="s">
        <v>39</v>
      </c>
      <c r="I1270" t="s">
        <v>40</v>
      </c>
      <c r="J1270" t="s">
        <v>25</v>
      </c>
      <c r="K1270" t="s">
        <v>41</v>
      </c>
      <c r="L1270" t="s">
        <v>27</v>
      </c>
      <c r="M1270">
        <v>2</v>
      </c>
      <c r="N1270" s="2"/>
      <c r="O1270" s="3">
        <v>2145</v>
      </c>
      <c r="P1270">
        <v>0</v>
      </c>
      <c r="Q1270">
        <v>3</v>
      </c>
      <c r="R1270" t="s">
        <v>33</v>
      </c>
      <c r="S1270">
        <v>1</v>
      </c>
    </row>
    <row r="1271" spans="1:19" ht="16.5" x14ac:dyDescent="0.3">
      <c r="A1271" t="s">
        <v>1326</v>
      </c>
      <c r="B1271" s="1">
        <v>45455</v>
      </c>
      <c r="C1271" s="1">
        <v>45456</v>
      </c>
      <c r="D1271">
        <v>2024</v>
      </c>
      <c r="E1271" t="s">
        <v>836</v>
      </c>
      <c r="F1271" t="s">
        <v>1264</v>
      </c>
      <c r="G1271" t="s">
        <v>70</v>
      </c>
      <c r="H1271" t="s">
        <v>23</v>
      </c>
      <c r="I1271" t="s">
        <v>24</v>
      </c>
      <c r="J1271" t="s">
        <v>25</v>
      </c>
      <c r="K1271" t="s">
        <v>53</v>
      </c>
      <c r="L1271" t="s">
        <v>44</v>
      </c>
      <c r="M1271">
        <v>1</v>
      </c>
      <c r="N1271" s="2">
        <v>40</v>
      </c>
      <c r="O1271" s="3">
        <v>2148</v>
      </c>
      <c r="P1271">
        <v>0</v>
      </c>
      <c r="Q1271">
        <v>5</v>
      </c>
      <c r="R1271" t="s">
        <v>33</v>
      </c>
      <c r="S1271">
        <v>1</v>
      </c>
    </row>
    <row r="1272" spans="1:19" ht="16.5" x14ac:dyDescent="0.3">
      <c r="A1272" t="s">
        <v>1327</v>
      </c>
      <c r="B1272" s="1">
        <v>45455</v>
      </c>
      <c r="C1272" s="1">
        <v>45460</v>
      </c>
      <c r="D1272">
        <v>2024</v>
      </c>
      <c r="E1272" t="s">
        <v>836</v>
      </c>
      <c r="F1272" t="s">
        <v>1264</v>
      </c>
      <c r="G1272" t="s">
        <v>70</v>
      </c>
      <c r="H1272" t="s">
        <v>52</v>
      </c>
      <c r="I1272" t="s">
        <v>24</v>
      </c>
      <c r="J1272" t="s">
        <v>25</v>
      </c>
      <c r="K1272" t="s">
        <v>32</v>
      </c>
      <c r="L1272" t="s">
        <v>27</v>
      </c>
      <c r="M1272">
        <v>5</v>
      </c>
      <c r="N1272" s="2">
        <v>67</v>
      </c>
      <c r="O1272" s="3">
        <v>6595</v>
      </c>
      <c r="P1272">
        <v>0</v>
      </c>
      <c r="Q1272">
        <v>5</v>
      </c>
      <c r="R1272" t="s">
        <v>28</v>
      </c>
      <c r="S1272">
        <v>1</v>
      </c>
    </row>
    <row r="1273" spans="1:19" ht="16.5" x14ac:dyDescent="0.3">
      <c r="A1273" t="s">
        <v>1328</v>
      </c>
      <c r="B1273" s="1">
        <v>45455</v>
      </c>
      <c r="C1273" s="1">
        <v>45457</v>
      </c>
      <c r="D1273">
        <v>2024</v>
      </c>
      <c r="E1273" t="s">
        <v>836</v>
      </c>
      <c r="F1273" t="s">
        <v>1264</v>
      </c>
      <c r="G1273" t="s">
        <v>70</v>
      </c>
      <c r="H1273" t="s">
        <v>39</v>
      </c>
      <c r="I1273" t="s">
        <v>24</v>
      </c>
      <c r="J1273" t="s">
        <v>43</v>
      </c>
      <c r="K1273" t="s">
        <v>41</v>
      </c>
      <c r="L1273" t="s">
        <v>27</v>
      </c>
      <c r="M1273">
        <v>2</v>
      </c>
      <c r="N1273" s="2">
        <v>60</v>
      </c>
      <c r="O1273" s="3">
        <v>2075</v>
      </c>
      <c r="P1273">
        <v>0</v>
      </c>
      <c r="Q1273">
        <v>4</v>
      </c>
      <c r="R1273" t="s">
        <v>28</v>
      </c>
      <c r="S1273">
        <v>1</v>
      </c>
    </row>
    <row r="1274" spans="1:19" ht="16.5" x14ac:dyDescent="0.3">
      <c r="A1274" t="s">
        <v>1329</v>
      </c>
      <c r="B1274" s="1">
        <v>45456</v>
      </c>
      <c r="C1274" s="1">
        <v>45457</v>
      </c>
      <c r="D1274">
        <v>2024</v>
      </c>
      <c r="E1274" t="s">
        <v>836</v>
      </c>
      <c r="F1274" t="s">
        <v>1264</v>
      </c>
      <c r="G1274" t="s">
        <v>78</v>
      </c>
      <c r="H1274" t="s">
        <v>35</v>
      </c>
      <c r="I1274" t="s">
        <v>31</v>
      </c>
      <c r="J1274" t="s">
        <v>25</v>
      </c>
      <c r="K1274" t="s">
        <v>32</v>
      </c>
      <c r="L1274" t="s">
        <v>44</v>
      </c>
      <c r="M1274">
        <v>1</v>
      </c>
      <c r="N1274" s="2"/>
      <c r="O1274" s="3">
        <v>1601</v>
      </c>
      <c r="P1274">
        <v>0</v>
      </c>
      <c r="Q1274">
        <v>4</v>
      </c>
      <c r="R1274" t="s">
        <v>33</v>
      </c>
      <c r="S1274">
        <v>1</v>
      </c>
    </row>
    <row r="1275" spans="1:19" ht="16.5" x14ac:dyDescent="0.3">
      <c r="A1275" t="s">
        <v>1330</v>
      </c>
      <c r="B1275" s="1">
        <v>45456</v>
      </c>
      <c r="C1275" s="1">
        <v>45473</v>
      </c>
      <c r="D1275">
        <v>2024</v>
      </c>
      <c r="E1275" t="s">
        <v>836</v>
      </c>
      <c r="F1275" t="s">
        <v>1264</v>
      </c>
      <c r="G1275" t="s">
        <v>78</v>
      </c>
      <c r="H1275" t="s">
        <v>50</v>
      </c>
      <c r="I1275" t="s">
        <v>31</v>
      </c>
      <c r="J1275" t="s">
        <v>43</v>
      </c>
      <c r="K1275" t="s">
        <v>53</v>
      </c>
      <c r="L1275" t="s">
        <v>27</v>
      </c>
      <c r="M1275">
        <v>17</v>
      </c>
      <c r="N1275" s="2"/>
      <c r="O1275" s="3">
        <v>21150</v>
      </c>
      <c r="P1275">
        <v>0</v>
      </c>
      <c r="Q1275">
        <v>4</v>
      </c>
      <c r="R1275" t="s">
        <v>28</v>
      </c>
      <c r="S1275">
        <v>1</v>
      </c>
    </row>
    <row r="1276" spans="1:19" ht="16.5" x14ac:dyDescent="0.3">
      <c r="A1276" t="s">
        <v>1331</v>
      </c>
      <c r="B1276" s="1">
        <v>45456</v>
      </c>
      <c r="C1276" s="1">
        <v>45458</v>
      </c>
      <c r="D1276">
        <v>2024</v>
      </c>
      <c r="E1276" t="s">
        <v>836</v>
      </c>
      <c r="F1276" t="s">
        <v>1264</v>
      </c>
      <c r="G1276" t="s">
        <v>78</v>
      </c>
      <c r="H1276" t="s">
        <v>35</v>
      </c>
      <c r="I1276" t="s">
        <v>40</v>
      </c>
      <c r="J1276" t="s">
        <v>25</v>
      </c>
      <c r="K1276" t="s">
        <v>36</v>
      </c>
      <c r="L1276" t="s">
        <v>44</v>
      </c>
      <c r="M1276">
        <v>2</v>
      </c>
      <c r="N1276" s="2"/>
      <c r="O1276" s="3">
        <v>1935</v>
      </c>
      <c r="P1276">
        <v>0</v>
      </c>
      <c r="Q1276">
        <v>4</v>
      </c>
      <c r="R1276" t="s">
        <v>33</v>
      </c>
      <c r="S1276">
        <v>1</v>
      </c>
    </row>
    <row r="1277" spans="1:19" ht="16.5" x14ac:dyDescent="0.3">
      <c r="A1277" t="s">
        <v>1332</v>
      </c>
      <c r="B1277" s="1">
        <v>45456</v>
      </c>
      <c r="C1277" s="1">
        <v>45467</v>
      </c>
      <c r="D1277">
        <v>2024</v>
      </c>
      <c r="E1277" t="s">
        <v>836</v>
      </c>
      <c r="F1277" t="s">
        <v>1264</v>
      </c>
      <c r="G1277" t="s">
        <v>78</v>
      </c>
      <c r="H1277" t="s">
        <v>39</v>
      </c>
      <c r="I1277" t="s">
        <v>24</v>
      </c>
      <c r="J1277" t="s">
        <v>43</v>
      </c>
      <c r="K1277" t="s">
        <v>41</v>
      </c>
      <c r="L1277" t="s">
        <v>44</v>
      </c>
      <c r="M1277">
        <v>11</v>
      </c>
      <c r="N1277" s="2">
        <v>63</v>
      </c>
      <c r="O1277" s="3">
        <v>6999</v>
      </c>
      <c r="P1277">
        <v>0</v>
      </c>
      <c r="Q1277">
        <v>3</v>
      </c>
      <c r="R1277" t="s">
        <v>33</v>
      </c>
      <c r="S1277">
        <v>1</v>
      </c>
    </row>
    <row r="1278" spans="1:19" ht="16.5" x14ac:dyDescent="0.3">
      <c r="A1278" t="s">
        <v>1333</v>
      </c>
      <c r="B1278" s="1">
        <v>45456</v>
      </c>
      <c r="C1278" s="1">
        <v>45463</v>
      </c>
      <c r="D1278">
        <v>2024</v>
      </c>
      <c r="E1278" t="s">
        <v>836</v>
      </c>
      <c r="F1278" t="s">
        <v>1264</v>
      </c>
      <c r="G1278" t="s">
        <v>78</v>
      </c>
      <c r="H1278" t="s">
        <v>23</v>
      </c>
      <c r="I1278" t="s">
        <v>24</v>
      </c>
      <c r="J1278" t="s">
        <v>43</v>
      </c>
      <c r="K1278" t="s">
        <v>53</v>
      </c>
      <c r="L1278" t="s">
        <v>27</v>
      </c>
      <c r="M1278">
        <v>7</v>
      </c>
      <c r="N1278" s="2">
        <v>37</v>
      </c>
      <c r="O1278" s="3">
        <v>4401</v>
      </c>
      <c r="P1278">
        <v>0</v>
      </c>
      <c r="Q1278">
        <v>4</v>
      </c>
      <c r="R1278" t="s">
        <v>28</v>
      </c>
      <c r="S1278">
        <v>1</v>
      </c>
    </row>
    <row r="1279" spans="1:19" ht="16.5" x14ac:dyDescent="0.3">
      <c r="A1279" t="s">
        <v>1334</v>
      </c>
      <c r="B1279" s="1">
        <v>45456</v>
      </c>
      <c r="C1279" s="1">
        <v>45463</v>
      </c>
      <c r="D1279">
        <v>2024</v>
      </c>
      <c r="E1279" t="s">
        <v>836</v>
      </c>
      <c r="F1279" t="s">
        <v>1264</v>
      </c>
      <c r="G1279" t="s">
        <v>78</v>
      </c>
      <c r="H1279" t="s">
        <v>50</v>
      </c>
      <c r="I1279" t="s">
        <v>24</v>
      </c>
      <c r="J1279" t="s">
        <v>25</v>
      </c>
      <c r="K1279" t="s">
        <v>53</v>
      </c>
      <c r="L1279" t="s">
        <v>37</v>
      </c>
      <c r="M1279">
        <v>7</v>
      </c>
      <c r="N1279" s="2">
        <v>19</v>
      </c>
      <c r="O1279" s="3">
        <v>9028</v>
      </c>
      <c r="P1279">
        <v>0</v>
      </c>
      <c r="Q1279">
        <v>5</v>
      </c>
      <c r="R1279" t="s">
        <v>28</v>
      </c>
      <c r="S1279">
        <v>1</v>
      </c>
    </row>
    <row r="1280" spans="1:19" ht="16.5" x14ac:dyDescent="0.3">
      <c r="A1280" t="s">
        <v>1335</v>
      </c>
      <c r="B1280" s="1">
        <v>45457</v>
      </c>
      <c r="C1280" s="1">
        <v>45458</v>
      </c>
      <c r="D1280">
        <v>2024</v>
      </c>
      <c r="E1280" t="s">
        <v>836</v>
      </c>
      <c r="F1280" t="s">
        <v>1264</v>
      </c>
      <c r="G1280" t="s">
        <v>83</v>
      </c>
      <c r="H1280" t="s">
        <v>35</v>
      </c>
      <c r="I1280" t="s">
        <v>31</v>
      </c>
      <c r="J1280" t="s">
        <v>25</v>
      </c>
      <c r="K1280" t="s">
        <v>32</v>
      </c>
      <c r="L1280" t="s">
        <v>44</v>
      </c>
      <c r="M1280">
        <v>1</v>
      </c>
      <c r="N1280" s="2"/>
      <c r="O1280" s="3">
        <v>1996</v>
      </c>
      <c r="P1280">
        <v>0</v>
      </c>
      <c r="Q1280">
        <v>5</v>
      </c>
      <c r="R1280" t="s">
        <v>28</v>
      </c>
      <c r="S1280">
        <v>1</v>
      </c>
    </row>
    <row r="1281" spans="1:19" ht="16.5" x14ac:dyDescent="0.3">
      <c r="A1281" t="s">
        <v>1336</v>
      </c>
      <c r="B1281" s="1">
        <v>45457</v>
      </c>
      <c r="C1281" s="1">
        <v>45458</v>
      </c>
      <c r="D1281">
        <v>2024</v>
      </c>
      <c r="E1281" t="s">
        <v>836</v>
      </c>
      <c r="F1281" t="s">
        <v>1264</v>
      </c>
      <c r="G1281" t="s">
        <v>83</v>
      </c>
      <c r="H1281" t="s">
        <v>35</v>
      </c>
      <c r="I1281" t="s">
        <v>40</v>
      </c>
      <c r="J1281" t="s">
        <v>25</v>
      </c>
      <c r="K1281" t="s">
        <v>36</v>
      </c>
      <c r="L1281" t="s">
        <v>27</v>
      </c>
      <c r="M1281">
        <v>1</v>
      </c>
      <c r="N1281" s="2"/>
      <c r="O1281" s="3">
        <v>1471</v>
      </c>
      <c r="P1281">
        <v>0</v>
      </c>
      <c r="Q1281">
        <v>5</v>
      </c>
      <c r="R1281" t="s">
        <v>33</v>
      </c>
      <c r="S1281">
        <v>1</v>
      </c>
    </row>
    <row r="1282" spans="1:19" ht="16.5" x14ac:dyDescent="0.3">
      <c r="A1282" t="s">
        <v>1337</v>
      </c>
      <c r="B1282" s="1">
        <v>45457</v>
      </c>
      <c r="C1282" s="1">
        <v>45460</v>
      </c>
      <c r="D1282">
        <v>2024</v>
      </c>
      <c r="E1282" t="s">
        <v>836</v>
      </c>
      <c r="F1282" t="s">
        <v>1264</v>
      </c>
      <c r="G1282" t="s">
        <v>83</v>
      </c>
      <c r="H1282" t="s">
        <v>39</v>
      </c>
      <c r="I1282" t="s">
        <v>40</v>
      </c>
      <c r="J1282" t="s">
        <v>25</v>
      </c>
      <c r="K1282" t="s">
        <v>41</v>
      </c>
      <c r="L1282" t="s">
        <v>27</v>
      </c>
      <c r="M1282">
        <v>3</v>
      </c>
      <c r="N1282" s="2"/>
      <c r="O1282" s="3">
        <v>2926</v>
      </c>
      <c r="P1282">
        <v>0</v>
      </c>
      <c r="Q1282">
        <v>5</v>
      </c>
      <c r="R1282" t="s">
        <v>59</v>
      </c>
      <c r="S1282">
        <v>1</v>
      </c>
    </row>
    <row r="1283" spans="1:19" ht="16.5" x14ac:dyDescent="0.3">
      <c r="A1283" t="s">
        <v>1338</v>
      </c>
      <c r="B1283" s="1">
        <v>45457</v>
      </c>
      <c r="C1283" s="1">
        <v>45461</v>
      </c>
      <c r="D1283">
        <v>2024</v>
      </c>
      <c r="E1283" t="s">
        <v>836</v>
      </c>
      <c r="F1283" t="s">
        <v>1264</v>
      </c>
      <c r="G1283" t="s">
        <v>83</v>
      </c>
      <c r="H1283" t="s">
        <v>39</v>
      </c>
      <c r="I1283" t="s">
        <v>24</v>
      </c>
      <c r="J1283" t="s">
        <v>43</v>
      </c>
      <c r="K1283" t="s">
        <v>41</v>
      </c>
      <c r="L1283" t="s">
        <v>27</v>
      </c>
      <c r="M1283">
        <v>4</v>
      </c>
      <c r="N1283" s="2">
        <v>12</v>
      </c>
      <c r="O1283" s="3">
        <v>3585</v>
      </c>
      <c r="P1283">
        <v>0</v>
      </c>
      <c r="Q1283">
        <v>5</v>
      </c>
      <c r="R1283" t="s">
        <v>28</v>
      </c>
      <c r="S1283">
        <v>1</v>
      </c>
    </row>
    <row r="1284" spans="1:19" ht="16.5" x14ac:dyDescent="0.3">
      <c r="A1284" t="s">
        <v>1339</v>
      </c>
      <c r="B1284" s="1">
        <v>45457</v>
      </c>
      <c r="C1284" s="1">
        <v>45459</v>
      </c>
      <c r="D1284">
        <v>2024</v>
      </c>
      <c r="E1284" t="s">
        <v>836</v>
      </c>
      <c r="F1284" t="s">
        <v>1264</v>
      </c>
      <c r="G1284" t="s">
        <v>83</v>
      </c>
      <c r="H1284" t="s">
        <v>23</v>
      </c>
      <c r="I1284" t="s">
        <v>24</v>
      </c>
      <c r="J1284" t="s">
        <v>43</v>
      </c>
      <c r="K1284" t="s">
        <v>26</v>
      </c>
      <c r="L1284" t="s">
        <v>37</v>
      </c>
      <c r="M1284">
        <v>2</v>
      </c>
      <c r="N1284" s="2">
        <v>76</v>
      </c>
      <c r="O1284" s="3">
        <v>2187</v>
      </c>
      <c r="P1284">
        <v>0</v>
      </c>
      <c r="Q1284">
        <v>4</v>
      </c>
      <c r="R1284" t="s">
        <v>33</v>
      </c>
      <c r="S1284">
        <v>1</v>
      </c>
    </row>
    <row r="1285" spans="1:19" ht="16.5" x14ac:dyDescent="0.3">
      <c r="A1285" t="s">
        <v>1340</v>
      </c>
      <c r="B1285" s="1">
        <v>45457</v>
      </c>
      <c r="C1285" s="1">
        <v>45460</v>
      </c>
      <c r="D1285">
        <v>2024</v>
      </c>
      <c r="E1285" t="s">
        <v>836</v>
      </c>
      <c r="F1285" t="s">
        <v>1264</v>
      </c>
      <c r="G1285" t="s">
        <v>83</v>
      </c>
      <c r="H1285" t="s">
        <v>23</v>
      </c>
      <c r="I1285" t="s">
        <v>40</v>
      </c>
      <c r="J1285" t="s">
        <v>25</v>
      </c>
      <c r="K1285" t="s">
        <v>26</v>
      </c>
      <c r="L1285" t="s">
        <v>37</v>
      </c>
      <c r="M1285">
        <v>3</v>
      </c>
      <c r="N1285" s="2"/>
      <c r="O1285" s="3">
        <v>3416</v>
      </c>
      <c r="P1285">
        <v>0</v>
      </c>
      <c r="Q1285">
        <v>4</v>
      </c>
      <c r="R1285" t="s">
        <v>33</v>
      </c>
      <c r="S1285">
        <v>1</v>
      </c>
    </row>
    <row r="1286" spans="1:19" ht="16.5" x14ac:dyDescent="0.3">
      <c r="A1286" t="s">
        <v>1341</v>
      </c>
      <c r="B1286" s="1">
        <v>45457</v>
      </c>
      <c r="C1286" s="1">
        <v>45460</v>
      </c>
      <c r="D1286">
        <v>2024</v>
      </c>
      <c r="E1286" t="s">
        <v>836</v>
      </c>
      <c r="F1286" t="s">
        <v>1264</v>
      </c>
      <c r="G1286" t="s">
        <v>83</v>
      </c>
      <c r="H1286" t="s">
        <v>23</v>
      </c>
      <c r="I1286" t="s">
        <v>24</v>
      </c>
      <c r="J1286" t="s">
        <v>43</v>
      </c>
      <c r="K1286" t="s">
        <v>36</v>
      </c>
      <c r="L1286" t="s">
        <v>37</v>
      </c>
      <c r="M1286">
        <v>3</v>
      </c>
      <c r="N1286" s="2">
        <v>25</v>
      </c>
      <c r="O1286" s="3">
        <v>2769</v>
      </c>
      <c r="P1286">
        <v>0</v>
      </c>
      <c r="Q1286">
        <v>4</v>
      </c>
      <c r="R1286" t="s">
        <v>33</v>
      </c>
      <c r="S1286">
        <v>1</v>
      </c>
    </row>
    <row r="1287" spans="1:19" ht="16.5" x14ac:dyDescent="0.3">
      <c r="A1287" t="s">
        <v>1342</v>
      </c>
      <c r="B1287" s="1">
        <v>45457</v>
      </c>
      <c r="C1287" s="1">
        <v>45460</v>
      </c>
      <c r="D1287">
        <v>2024</v>
      </c>
      <c r="E1287" t="s">
        <v>836</v>
      </c>
      <c r="F1287" t="s">
        <v>1264</v>
      </c>
      <c r="G1287" t="s">
        <v>83</v>
      </c>
      <c r="H1287" t="s">
        <v>39</v>
      </c>
      <c r="I1287" t="s">
        <v>24</v>
      </c>
      <c r="J1287" t="s">
        <v>25</v>
      </c>
      <c r="K1287" t="s">
        <v>41</v>
      </c>
      <c r="L1287" t="s">
        <v>44</v>
      </c>
      <c r="M1287">
        <v>3</v>
      </c>
      <c r="N1287" s="2">
        <v>28</v>
      </c>
      <c r="O1287" s="3">
        <v>2530</v>
      </c>
      <c r="P1287">
        <v>0</v>
      </c>
      <c r="Q1287">
        <v>5</v>
      </c>
      <c r="R1287" t="s">
        <v>33</v>
      </c>
      <c r="S1287">
        <v>1</v>
      </c>
    </row>
    <row r="1288" spans="1:19" ht="16.5" x14ac:dyDescent="0.3">
      <c r="A1288" t="s">
        <v>1343</v>
      </c>
      <c r="B1288" s="1">
        <v>45457</v>
      </c>
      <c r="C1288" s="1">
        <v>45462</v>
      </c>
      <c r="D1288">
        <v>2024</v>
      </c>
      <c r="E1288" t="s">
        <v>836</v>
      </c>
      <c r="F1288" t="s">
        <v>1264</v>
      </c>
      <c r="G1288" t="s">
        <v>83</v>
      </c>
      <c r="H1288" t="s">
        <v>52</v>
      </c>
      <c r="I1288" t="s">
        <v>40</v>
      </c>
      <c r="J1288" t="s">
        <v>43</v>
      </c>
      <c r="K1288" t="s">
        <v>32</v>
      </c>
      <c r="L1288" t="s">
        <v>37</v>
      </c>
      <c r="M1288">
        <v>5</v>
      </c>
      <c r="N1288" s="2"/>
      <c r="O1288" s="3">
        <v>5196</v>
      </c>
      <c r="P1288">
        <v>0</v>
      </c>
      <c r="Q1288">
        <v>5</v>
      </c>
      <c r="R1288" t="s">
        <v>33</v>
      </c>
      <c r="S1288">
        <v>1</v>
      </c>
    </row>
    <row r="1289" spans="1:19" ht="16.5" x14ac:dyDescent="0.3">
      <c r="A1289" t="s">
        <v>1344</v>
      </c>
      <c r="B1289" s="1">
        <v>45457</v>
      </c>
      <c r="C1289" s="1">
        <v>45458</v>
      </c>
      <c r="D1289">
        <v>2024</v>
      </c>
      <c r="E1289" t="s">
        <v>836</v>
      </c>
      <c r="F1289" t="s">
        <v>1264</v>
      </c>
      <c r="G1289" t="s">
        <v>83</v>
      </c>
      <c r="H1289" t="s">
        <v>52</v>
      </c>
      <c r="I1289" t="s">
        <v>40</v>
      </c>
      <c r="J1289" t="s">
        <v>43</v>
      </c>
      <c r="K1289" t="s">
        <v>32</v>
      </c>
      <c r="L1289" t="s">
        <v>44</v>
      </c>
      <c r="M1289">
        <v>1</v>
      </c>
      <c r="N1289" s="2"/>
      <c r="O1289" s="3">
        <v>2267</v>
      </c>
      <c r="P1289">
        <v>0</v>
      </c>
      <c r="Q1289">
        <v>4</v>
      </c>
      <c r="R1289" t="s">
        <v>33</v>
      </c>
      <c r="S1289">
        <v>1</v>
      </c>
    </row>
    <row r="1290" spans="1:19" ht="16.5" x14ac:dyDescent="0.3">
      <c r="A1290" t="s">
        <v>1345</v>
      </c>
      <c r="B1290" s="1">
        <v>45457</v>
      </c>
      <c r="C1290" s="1">
        <v>45458</v>
      </c>
      <c r="D1290">
        <v>2024</v>
      </c>
      <c r="E1290" t="s">
        <v>836</v>
      </c>
      <c r="F1290" t="s">
        <v>1264</v>
      </c>
      <c r="G1290" t="s">
        <v>83</v>
      </c>
      <c r="H1290" t="s">
        <v>52</v>
      </c>
      <c r="I1290" t="s">
        <v>40</v>
      </c>
      <c r="J1290" t="s">
        <v>43</v>
      </c>
      <c r="K1290" t="s">
        <v>32</v>
      </c>
      <c r="L1290" t="s">
        <v>44</v>
      </c>
      <c r="M1290">
        <v>1</v>
      </c>
      <c r="N1290" s="2"/>
      <c r="O1290" s="3">
        <v>1783</v>
      </c>
      <c r="P1290">
        <v>0</v>
      </c>
      <c r="Q1290">
        <v>4</v>
      </c>
      <c r="R1290" t="s">
        <v>33</v>
      </c>
      <c r="S1290">
        <v>1</v>
      </c>
    </row>
    <row r="1291" spans="1:19" ht="16.5" x14ac:dyDescent="0.3">
      <c r="A1291" t="s">
        <v>1346</v>
      </c>
      <c r="B1291" s="1">
        <v>45458</v>
      </c>
      <c r="C1291" s="1">
        <v>45459</v>
      </c>
      <c r="D1291">
        <v>2024</v>
      </c>
      <c r="E1291" t="s">
        <v>836</v>
      </c>
      <c r="F1291" t="s">
        <v>1264</v>
      </c>
      <c r="G1291" t="s">
        <v>102</v>
      </c>
      <c r="H1291" t="s">
        <v>23</v>
      </c>
      <c r="I1291" t="s">
        <v>24</v>
      </c>
      <c r="J1291" t="s">
        <v>25</v>
      </c>
      <c r="K1291" t="s">
        <v>26</v>
      </c>
      <c r="L1291" t="s">
        <v>44</v>
      </c>
      <c r="M1291">
        <v>1</v>
      </c>
      <c r="N1291" s="2">
        <v>16</v>
      </c>
      <c r="O1291" s="3">
        <v>1499</v>
      </c>
      <c r="P1291">
        <v>0</v>
      </c>
      <c r="Q1291">
        <v>5</v>
      </c>
      <c r="R1291" t="s">
        <v>33</v>
      </c>
      <c r="S1291">
        <v>1</v>
      </c>
    </row>
    <row r="1292" spans="1:19" ht="16.5" x14ac:dyDescent="0.3">
      <c r="A1292" t="s">
        <v>1347</v>
      </c>
      <c r="B1292" s="1">
        <v>45458</v>
      </c>
      <c r="C1292" s="1">
        <v>45460</v>
      </c>
      <c r="D1292">
        <v>2024</v>
      </c>
      <c r="E1292" t="s">
        <v>836</v>
      </c>
      <c r="F1292" t="s">
        <v>1264</v>
      </c>
      <c r="G1292" t="s">
        <v>102</v>
      </c>
      <c r="H1292" t="s">
        <v>52</v>
      </c>
      <c r="I1292" t="s">
        <v>24</v>
      </c>
      <c r="J1292" t="s">
        <v>43</v>
      </c>
      <c r="K1292" t="s">
        <v>36</v>
      </c>
      <c r="L1292" t="s">
        <v>37</v>
      </c>
      <c r="M1292">
        <v>2</v>
      </c>
      <c r="N1292" s="2">
        <v>66</v>
      </c>
      <c r="O1292" s="3">
        <v>3032</v>
      </c>
      <c r="P1292">
        <v>0</v>
      </c>
      <c r="Q1292">
        <v>5</v>
      </c>
      <c r="R1292" t="s">
        <v>33</v>
      </c>
      <c r="S1292">
        <v>1</v>
      </c>
    </row>
    <row r="1293" spans="1:19" ht="16.5" x14ac:dyDescent="0.3">
      <c r="A1293" t="s">
        <v>1348</v>
      </c>
      <c r="B1293" s="1">
        <v>45458</v>
      </c>
      <c r="C1293" s="1">
        <v>45468</v>
      </c>
      <c r="D1293">
        <v>2024</v>
      </c>
      <c r="E1293" t="s">
        <v>836</v>
      </c>
      <c r="F1293" t="s">
        <v>1264</v>
      </c>
      <c r="G1293" t="s">
        <v>102</v>
      </c>
      <c r="H1293" t="s">
        <v>23</v>
      </c>
      <c r="I1293" t="s">
        <v>40</v>
      </c>
      <c r="J1293" t="s">
        <v>25</v>
      </c>
      <c r="K1293" t="s">
        <v>53</v>
      </c>
      <c r="L1293" t="s">
        <v>27</v>
      </c>
      <c r="M1293">
        <v>10</v>
      </c>
      <c r="N1293" s="2"/>
      <c r="O1293" s="3">
        <v>5893</v>
      </c>
      <c r="P1293">
        <v>0</v>
      </c>
      <c r="Q1293">
        <v>5</v>
      </c>
      <c r="R1293" t="s">
        <v>59</v>
      </c>
      <c r="S1293">
        <v>1</v>
      </c>
    </row>
    <row r="1294" spans="1:19" ht="16.5" x14ac:dyDescent="0.3">
      <c r="A1294" t="s">
        <v>1349</v>
      </c>
      <c r="B1294" s="1">
        <v>45458</v>
      </c>
      <c r="C1294" s="1">
        <v>45465</v>
      </c>
      <c r="D1294">
        <v>2024</v>
      </c>
      <c r="E1294" t="s">
        <v>836</v>
      </c>
      <c r="F1294" t="s">
        <v>1264</v>
      </c>
      <c r="G1294" t="s">
        <v>102</v>
      </c>
      <c r="H1294" t="s">
        <v>39</v>
      </c>
      <c r="I1294" t="s">
        <v>40</v>
      </c>
      <c r="J1294" t="s">
        <v>25</v>
      </c>
      <c r="K1294" t="s">
        <v>41</v>
      </c>
      <c r="L1294" t="s">
        <v>44</v>
      </c>
      <c r="M1294">
        <v>7</v>
      </c>
      <c r="N1294" s="2"/>
      <c r="O1294" s="3">
        <v>6315</v>
      </c>
      <c r="P1294">
        <v>0</v>
      </c>
      <c r="Q1294">
        <v>4</v>
      </c>
      <c r="R1294" t="s">
        <v>28</v>
      </c>
      <c r="S1294">
        <v>1</v>
      </c>
    </row>
    <row r="1295" spans="1:19" ht="16.5" x14ac:dyDescent="0.3">
      <c r="A1295" t="s">
        <v>1350</v>
      </c>
      <c r="B1295" s="1">
        <v>45458</v>
      </c>
      <c r="C1295" s="1">
        <v>45463</v>
      </c>
      <c r="D1295">
        <v>2024</v>
      </c>
      <c r="E1295" t="s">
        <v>836</v>
      </c>
      <c r="F1295" t="s">
        <v>1264</v>
      </c>
      <c r="G1295" t="s">
        <v>102</v>
      </c>
      <c r="H1295" t="s">
        <v>30</v>
      </c>
      <c r="I1295" t="s">
        <v>24</v>
      </c>
      <c r="J1295" t="s">
        <v>43</v>
      </c>
      <c r="K1295" t="s">
        <v>36</v>
      </c>
      <c r="L1295" t="s">
        <v>44</v>
      </c>
      <c r="M1295">
        <v>5</v>
      </c>
      <c r="N1295" s="2">
        <v>58</v>
      </c>
      <c r="O1295" s="3">
        <v>5765</v>
      </c>
      <c r="P1295">
        <v>0</v>
      </c>
      <c r="Q1295">
        <v>5</v>
      </c>
      <c r="R1295" t="s">
        <v>33</v>
      </c>
      <c r="S1295">
        <v>1</v>
      </c>
    </row>
    <row r="1296" spans="1:19" ht="16.5" x14ac:dyDescent="0.3">
      <c r="A1296" t="s">
        <v>1351</v>
      </c>
      <c r="B1296" s="1">
        <v>45458</v>
      </c>
      <c r="C1296" s="1">
        <v>45459</v>
      </c>
      <c r="D1296">
        <v>2024</v>
      </c>
      <c r="E1296" t="s">
        <v>836</v>
      </c>
      <c r="F1296" t="s">
        <v>1264</v>
      </c>
      <c r="G1296" t="s">
        <v>102</v>
      </c>
      <c r="H1296" t="s">
        <v>35</v>
      </c>
      <c r="I1296" t="s">
        <v>24</v>
      </c>
      <c r="J1296" t="s">
        <v>25</v>
      </c>
      <c r="K1296" t="s">
        <v>32</v>
      </c>
      <c r="L1296" t="s">
        <v>37</v>
      </c>
      <c r="M1296">
        <v>1</v>
      </c>
      <c r="N1296" s="2">
        <v>23</v>
      </c>
      <c r="O1296" s="3">
        <v>1418</v>
      </c>
      <c r="P1296">
        <v>0</v>
      </c>
      <c r="Q1296">
        <v>4</v>
      </c>
      <c r="R1296" t="s">
        <v>28</v>
      </c>
      <c r="S1296">
        <v>1</v>
      </c>
    </row>
    <row r="1297" spans="1:19" ht="16.5" x14ac:dyDescent="0.3">
      <c r="A1297" t="s">
        <v>1352</v>
      </c>
      <c r="B1297" s="1">
        <v>45458</v>
      </c>
      <c r="C1297" s="1">
        <v>45462</v>
      </c>
      <c r="D1297">
        <v>2024</v>
      </c>
      <c r="E1297" t="s">
        <v>836</v>
      </c>
      <c r="F1297" t="s">
        <v>1264</v>
      </c>
      <c r="G1297" t="s">
        <v>102</v>
      </c>
      <c r="H1297" t="s">
        <v>23</v>
      </c>
      <c r="I1297" t="s">
        <v>31</v>
      </c>
      <c r="J1297" t="s">
        <v>25</v>
      </c>
      <c r="K1297" t="s">
        <v>26</v>
      </c>
      <c r="L1297" t="s">
        <v>37</v>
      </c>
      <c r="M1297">
        <v>4</v>
      </c>
      <c r="N1297" s="2"/>
      <c r="O1297" s="3">
        <v>3576</v>
      </c>
      <c r="P1297">
        <v>0</v>
      </c>
      <c r="Q1297">
        <v>4</v>
      </c>
      <c r="R1297" t="s">
        <v>33</v>
      </c>
      <c r="S1297">
        <v>1</v>
      </c>
    </row>
    <row r="1298" spans="1:19" ht="16.5" x14ac:dyDescent="0.3">
      <c r="A1298" t="s">
        <v>1353</v>
      </c>
      <c r="B1298" s="1">
        <v>45458</v>
      </c>
      <c r="C1298" s="1">
        <v>45460</v>
      </c>
      <c r="D1298">
        <v>2024</v>
      </c>
      <c r="E1298" t="s">
        <v>836</v>
      </c>
      <c r="F1298" t="s">
        <v>1264</v>
      </c>
      <c r="G1298" t="s">
        <v>102</v>
      </c>
      <c r="H1298" t="s">
        <v>23</v>
      </c>
      <c r="I1298" t="s">
        <v>31</v>
      </c>
      <c r="J1298" t="s">
        <v>25</v>
      </c>
      <c r="K1298" t="s">
        <v>26</v>
      </c>
      <c r="L1298" t="s">
        <v>44</v>
      </c>
      <c r="M1298">
        <v>2</v>
      </c>
      <c r="N1298" s="2"/>
      <c r="O1298" s="3">
        <v>2194</v>
      </c>
      <c r="P1298">
        <v>0</v>
      </c>
      <c r="Q1298">
        <v>5</v>
      </c>
      <c r="R1298" t="s">
        <v>33</v>
      </c>
      <c r="S1298">
        <v>1</v>
      </c>
    </row>
    <row r="1299" spans="1:19" ht="16.5" x14ac:dyDescent="0.3">
      <c r="A1299" t="s">
        <v>1354</v>
      </c>
      <c r="B1299" s="1">
        <v>45458</v>
      </c>
      <c r="C1299" s="1">
        <v>45459</v>
      </c>
      <c r="D1299">
        <v>2024</v>
      </c>
      <c r="E1299" t="s">
        <v>836</v>
      </c>
      <c r="F1299" t="s">
        <v>1264</v>
      </c>
      <c r="G1299" t="s">
        <v>102</v>
      </c>
      <c r="H1299" t="s">
        <v>30</v>
      </c>
      <c r="I1299" t="s">
        <v>31</v>
      </c>
      <c r="J1299" t="s">
        <v>25</v>
      </c>
      <c r="K1299" t="s">
        <v>36</v>
      </c>
      <c r="L1299" t="s">
        <v>27</v>
      </c>
      <c r="M1299">
        <v>1</v>
      </c>
      <c r="N1299" s="2"/>
      <c r="O1299" s="3">
        <v>1986</v>
      </c>
      <c r="P1299">
        <v>0</v>
      </c>
      <c r="Q1299">
        <v>4</v>
      </c>
      <c r="R1299" t="s">
        <v>28</v>
      </c>
      <c r="S1299">
        <v>1</v>
      </c>
    </row>
    <row r="1300" spans="1:19" ht="16.5" x14ac:dyDescent="0.3">
      <c r="A1300" t="s">
        <v>1355</v>
      </c>
      <c r="B1300" s="1">
        <v>45459</v>
      </c>
      <c r="C1300" s="1">
        <v>45466</v>
      </c>
      <c r="D1300">
        <v>2024</v>
      </c>
      <c r="E1300" t="s">
        <v>836</v>
      </c>
      <c r="F1300" t="s">
        <v>1264</v>
      </c>
      <c r="G1300" t="s">
        <v>112</v>
      </c>
      <c r="H1300" t="s">
        <v>23</v>
      </c>
      <c r="I1300" t="s">
        <v>24</v>
      </c>
      <c r="J1300" t="s">
        <v>43</v>
      </c>
      <c r="K1300" t="s">
        <v>53</v>
      </c>
      <c r="L1300" t="s">
        <v>27</v>
      </c>
      <c r="M1300">
        <v>7</v>
      </c>
      <c r="N1300" s="2">
        <v>78</v>
      </c>
      <c r="O1300" s="3">
        <v>5525</v>
      </c>
      <c r="P1300">
        <v>0</v>
      </c>
      <c r="Q1300">
        <v>4</v>
      </c>
      <c r="R1300" t="s">
        <v>28</v>
      </c>
      <c r="S1300">
        <v>1</v>
      </c>
    </row>
    <row r="1301" spans="1:19" ht="16.5" x14ac:dyDescent="0.3">
      <c r="A1301" t="s">
        <v>1356</v>
      </c>
      <c r="B1301" s="1">
        <v>45459</v>
      </c>
      <c r="C1301" s="1">
        <v>45467</v>
      </c>
      <c r="D1301">
        <v>2024</v>
      </c>
      <c r="E1301" t="s">
        <v>836</v>
      </c>
      <c r="F1301" t="s">
        <v>1264</v>
      </c>
      <c r="G1301" t="s">
        <v>112</v>
      </c>
      <c r="H1301" t="s">
        <v>23</v>
      </c>
      <c r="I1301" t="s">
        <v>40</v>
      </c>
      <c r="J1301" t="s">
        <v>43</v>
      </c>
      <c r="K1301" t="s">
        <v>53</v>
      </c>
      <c r="L1301" t="s">
        <v>44</v>
      </c>
      <c r="M1301">
        <v>8</v>
      </c>
      <c r="N1301" s="2"/>
      <c r="O1301" s="3">
        <v>6559</v>
      </c>
      <c r="P1301">
        <v>0</v>
      </c>
      <c r="Q1301">
        <v>4</v>
      </c>
      <c r="R1301" t="s">
        <v>28</v>
      </c>
      <c r="S1301">
        <v>1</v>
      </c>
    </row>
    <row r="1302" spans="1:19" ht="16.5" x14ac:dyDescent="0.3">
      <c r="A1302" t="s">
        <v>1357</v>
      </c>
      <c r="B1302" s="1">
        <v>45459</v>
      </c>
      <c r="C1302" s="1">
        <v>45475</v>
      </c>
      <c r="D1302">
        <v>2024</v>
      </c>
      <c r="E1302" t="s">
        <v>836</v>
      </c>
      <c r="F1302" t="s">
        <v>1264</v>
      </c>
      <c r="G1302" t="s">
        <v>112</v>
      </c>
      <c r="H1302" t="s">
        <v>23</v>
      </c>
      <c r="I1302" t="s">
        <v>24</v>
      </c>
      <c r="J1302" t="s">
        <v>43</v>
      </c>
      <c r="K1302" t="s">
        <v>26</v>
      </c>
      <c r="L1302" t="s">
        <v>44</v>
      </c>
      <c r="M1302">
        <v>16</v>
      </c>
      <c r="N1302" s="2">
        <v>25</v>
      </c>
      <c r="O1302" s="3">
        <v>7631</v>
      </c>
      <c r="P1302">
        <v>1</v>
      </c>
      <c r="Q1302">
        <v>5</v>
      </c>
      <c r="R1302" t="s">
        <v>28</v>
      </c>
      <c r="S1302">
        <v>1</v>
      </c>
    </row>
    <row r="1303" spans="1:19" ht="16.5" x14ac:dyDescent="0.3">
      <c r="A1303" t="s">
        <v>1358</v>
      </c>
      <c r="B1303" s="1">
        <v>45459</v>
      </c>
      <c r="C1303" s="1">
        <v>45463</v>
      </c>
      <c r="D1303">
        <v>2024</v>
      </c>
      <c r="E1303" t="s">
        <v>836</v>
      </c>
      <c r="F1303" t="s">
        <v>1264</v>
      </c>
      <c r="G1303" t="s">
        <v>112</v>
      </c>
      <c r="H1303" t="s">
        <v>23</v>
      </c>
      <c r="I1303" t="s">
        <v>24</v>
      </c>
      <c r="J1303" t="s">
        <v>25</v>
      </c>
      <c r="K1303" t="s">
        <v>26</v>
      </c>
      <c r="L1303" t="s">
        <v>27</v>
      </c>
      <c r="M1303">
        <v>4</v>
      </c>
      <c r="N1303" s="2">
        <v>74</v>
      </c>
      <c r="O1303" s="3">
        <v>3551</v>
      </c>
      <c r="P1303">
        <v>0</v>
      </c>
      <c r="Q1303">
        <v>4</v>
      </c>
      <c r="R1303" t="s">
        <v>28</v>
      </c>
      <c r="S1303">
        <v>1</v>
      </c>
    </row>
    <row r="1304" spans="1:19" ht="16.5" x14ac:dyDescent="0.3">
      <c r="A1304" t="s">
        <v>1359</v>
      </c>
      <c r="B1304" s="1">
        <v>45459</v>
      </c>
      <c r="C1304" s="1">
        <v>45462</v>
      </c>
      <c r="D1304">
        <v>2024</v>
      </c>
      <c r="E1304" t="s">
        <v>836</v>
      </c>
      <c r="F1304" t="s">
        <v>1264</v>
      </c>
      <c r="G1304" t="s">
        <v>112</v>
      </c>
      <c r="H1304" t="s">
        <v>52</v>
      </c>
      <c r="I1304" t="s">
        <v>40</v>
      </c>
      <c r="J1304" t="s">
        <v>43</v>
      </c>
      <c r="K1304" t="s">
        <v>36</v>
      </c>
      <c r="L1304" t="s">
        <v>27</v>
      </c>
      <c r="M1304">
        <v>3</v>
      </c>
      <c r="N1304" s="2"/>
      <c r="O1304" s="3">
        <v>3980</v>
      </c>
      <c r="P1304">
        <v>0</v>
      </c>
      <c r="Q1304">
        <v>4</v>
      </c>
      <c r="R1304" t="s">
        <v>33</v>
      </c>
      <c r="S1304">
        <v>1</v>
      </c>
    </row>
    <row r="1305" spans="1:19" ht="16.5" x14ac:dyDescent="0.3">
      <c r="A1305" t="s">
        <v>1360</v>
      </c>
      <c r="B1305" s="1">
        <v>45459</v>
      </c>
      <c r="C1305" s="1">
        <v>45465</v>
      </c>
      <c r="D1305">
        <v>2024</v>
      </c>
      <c r="E1305" t="s">
        <v>836</v>
      </c>
      <c r="F1305" t="s">
        <v>1264</v>
      </c>
      <c r="G1305" t="s">
        <v>112</v>
      </c>
      <c r="H1305" t="s">
        <v>52</v>
      </c>
      <c r="I1305" t="s">
        <v>40</v>
      </c>
      <c r="J1305" t="s">
        <v>43</v>
      </c>
      <c r="K1305" t="s">
        <v>53</v>
      </c>
      <c r="L1305" t="s">
        <v>27</v>
      </c>
      <c r="M1305">
        <v>6</v>
      </c>
      <c r="N1305" s="2"/>
      <c r="O1305" s="3">
        <v>7314</v>
      </c>
      <c r="P1305">
        <v>0</v>
      </c>
      <c r="Q1305">
        <v>4</v>
      </c>
      <c r="R1305" t="s">
        <v>33</v>
      </c>
      <c r="S1305">
        <v>1</v>
      </c>
    </row>
    <row r="1306" spans="1:19" ht="16.5" x14ac:dyDescent="0.3">
      <c r="A1306" t="s">
        <v>1361</v>
      </c>
      <c r="B1306" s="1">
        <v>45459</v>
      </c>
      <c r="C1306" s="1">
        <v>45465</v>
      </c>
      <c r="D1306">
        <v>2024</v>
      </c>
      <c r="E1306" t="s">
        <v>836</v>
      </c>
      <c r="F1306" t="s">
        <v>1264</v>
      </c>
      <c r="G1306" t="s">
        <v>112</v>
      </c>
      <c r="H1306" t="s">
        <v>39</v>
      </c>
      <c r="I1306" t="s">
        <v>40</v>
      </c>
      <c r="J1306" t="s">
        <v>25</v>
      </c>
      <c r="K1306" t="s">
        <v>41</v>
      </c>
      <c r="L1306" t="s">
        <v>44</v>
      </c>
      <c r="M1306">
        <v>6</v>
      </c>
      <c r="N1306" s="2"/>
      <c r="O1306" s="3">
        <v>4185</v>
      </c>
      <c r="P1306">
        <v>0</v>
      </c>
      <c r="Q1306">
        <v>5</v>
      </c>
      <c r="R1306" t="s">
        <v>33</v>
      </c>
      <c r="S1306">
        <v>1</v>
      </c>
    </row>
    <row r="1307" spans="1:19" ht="16.5" x14ac:dyDescent="0.3">
      <c r="A1307" t="s">
        <v>1362</v>
      </c>
      <c r="B1307" s="1">
        <v>45460</v>
      </c>
      <c r="C1307" s="1">
        <v>45464</v>
      </c>
      <c r="D1307">
        <v>2024</v>
      </c>
      <c r="E1307" t="s">
        <v>836</v>
      </c>
      <c r="F1307" t="s">
        <v>1264</v>
      </c>
      <c r="G1307" t="s">
        <v>22</v>
      </c>
      <c r="H1307" t="s">
        <v>50</v>
      </c>
      <c r="I1307" t="s">
        <v>40</v>
      </c>
      <c r="J1307" t="s">
        <v>43</v>
      </c>
      <c r="K1307" t="s">
        <v>53</v>
      </c>
      <c r="L1307" t="s">
        <v>44</v>
      </c>
      <c r="M1307">
        <v>4</v>
      </c>
      <c r="N1307" s="2"/>
      <c r="O1307" s="3">
        <v>5260</v>
      </c>
      <c r="P1307">
        <v>0</v>
      </c>
      <c r="Q1307">
        <v>4</v>
      </c>
      <c r="R1307" t="s">
        <v>28</v>
      </c>
      <c r="S1307">
        <v>1</v>
      </c>
    </row>
    <row r="1308" spans="1:19" ht="16.5" x14ac:dyDescent="0.3">
      <c r="A1308" t="s">
        <v>1363</v>
      </c>
      <c r="B1308" s="1">
        <v>45460</v>
      </c>
      <c r="C1308" s="1">
        <v>45462</v>
      </c>
      <c r="D1308">
        <v>2024</v>
      </c>
      <c r="E1308" t="s">
        <v>836</v>
      </c>
      <c r="F1308" t="s">
        <v>1264</v>
      </c>
      <c r="G1308" t="s">
        <v>22</v>
      </c>
      <c r="H1308" t="s">
        <v>39</v>
      </c>
      <c r="I1308" t="s">
        <v>40</v>
      </c>
      <c r="J1308" t="s">
        <v>43</v>
      </c>
      <c r="K1308" t="s">
        <v>41</v>
      </c>
      <c r="L1308" t="s">
        <v>44</v>
      </c>
      <c r="M1308">
        <v>2</v>
      </c>
      <c r="N1308" s="2"/>
      <c r="O1308" s="3">
        <v>1561</v>
      </c>
      <c r="P1308">
        <v>0</v>
      </c>
      <c r="Q1308">
        <v>3</v>
      </c>
      <c r="R1308" t="s">
        <v>28</v>
      </c>
      <c r="S1308">
        <v>1</v>
      </c>
    </row>
    <row r="1309" spans="1:19" ht="16.5" x14ac:dyDescent="0.3">
      <c r="A1309" t="s">
        <v>1364</v>
      </c>
      <c r="B1309" s="1">
        <v>45460</v>
      </c>
      <c r="C1309" s="1">
        <v>45464</v>
      </c>
      <c r="D1309">
        <v>2024</v>
      </c>
      <c r="E1309" t="s">
        <v>836</v>
      </c>
      <c r="F1309" t="s">
        <v>1264</v>
      </c>
      <c r="G1309" t="s">
        <v>22</v>
      </c>
      <c r="H1309" t="s">
        <v>39</v>
      </c>
      <c r="I1309" t="s">
        <v>24</v>
      </c>
      <c r="J1309" t="s">
        <v>43</v>
      </c>
      <c r="K1309" t="s">
        <v>41</v>
      </c>
      <c r="L1309" t="s">
        <v>44</v>
      </c>
      <c r="M1309">
        <v>4</v>
      </c>
      <c r="N1309" s="2">
        <v>50</v>
      </c>
      <c r="O1309" s="3">
        <v>2810</v>
      </c>
      <c r="P1309">
        <v>0</v>
      </c>
      <c r="Q1309">
        <v>4</v>
      </c>
      <c r="R1309" t="s">
        <v>28</v>
      </c>
      <c r="S1309">
        <v>1</v>
      </c>
    </row>
    <row r="1310" spans="1:19" ht="16.5" x14ac:dyDescent="0.3">
      <c r="A1310" t="s">
        <v>1365</v>
      </c>
      <c r="B1310" s="1">
        <v>45461</v>
      </c>
      <c r="C1310" s="1">
        <v>45464</v>
      </c>
      <c r="D1310">
        <v>2024</v>
      </c>
      <c r="E1310" t="s">
        <v>836</v>
      </c>
      <c r="F1310" t="s">
        <v>1264</v>
      </c>
      <c r="G1310" t="s">
        <v>56</v>
      </c>
      <c r="H1310" t="s">
        <v>23</v>
      </c>
      <c r="I1310" t="s">
        <v>31</v>
      </c>
      <c r="J1310" t="s">
        <v>43</v>
      </c>
      <c r="K1310" t="s">
        <v>32</v>
      </c>
      <c r="L1310" t="s">
        <v>27</v>
      </c>
      <c r="M1310">
        <v>3</v>
      </c>
      <c r="N1310" s="2"/>
      <c r="O1310" s="3">
        <v>1811</v>
      </c>
      <c r="P1310">
        <v>0</v>
      </c>
      <c r="Q1310">
        <v>4</v>
      </c>
      <c r="R1310" t="s">
        <v>28</v>
      </c>
      <c r="S1310">
        <v>1</v>
      </c>
    </row>
    <row r="1311" spans="1:19" ht="16.5" x14ac:dyDescent="0.3">
      <c r="A1311" t="s">
        <v>1366</v>
      </c>
      <c r="B1311" s="1">
        <v>45461</v>
      </c>
      <c r="C1311" s="1">
        <v>45466</v>
      </c>
      <c r="D1311">
        <v>2024</v>
      </c>
      <c r="E1311" t="s">
        <v>836</v>
      </c>
      <c r="F1311" t="s">
        <v>1264</v>
      </c>
      <c r="G1311" t="s">
        <v>56</v>
      </c>
      <c r="H1311" t="s">
        <v>52</v>
      </c>
      <c r="I1311" t="s">
        <v>40</v>
      </c>
      <c r="J1311" t="s">
        <v>43</v>
      </c>
      <c r="K1311" t="s">
        <v>32</v>
      </c>
      <c r="L1311" t="s">
        <v>44</v>
      </c>
      <c r="M1311">
        <v>5</v>
      </c>
      <c r="N1311" s="2"/>
      <c r="O1311" s="3">
        <v>6683</v>
      </c>
      <c r="P1311">
        <v>0</v>
      </c>
      <c r="Q1311">
        <v>4</v>
      </c>
      <c r="R1311" t="s">
        <v>33</v>
      </c>
      <c r="S1311">
        <v>1</v>
      </c>
    </row>
    <row r="1312" spans="1:19" ht="16.5" x14ac:dyDescent="0.3">
      <c r="A1312" t="s">
        <v>1367</v>
      </c>
      <c r="B1312" s="1">
        <v>45461</v>
      </c>
      <c r="C1312" s="1">
        <v>45466</v>
      </c>
      <c r="D1312">
        <v>2024</v>
      </c>
      <c r="E1312" t="s">
        <v>836</v>
      </c>
      <c r="F1312" t="s">
        <v>1264</v>
      </c>
      <c r="G1312" t="s">
        <v>56</v>
      </c>
      <c r="H1312" t="s">
        <v>30</v>
      </c>
      <c r="I1312" t="s">
        <v>40</v>
      </c>
      <c r="J1312" t="s">
        <v>43</v>
      </c>
      <c r="K1312" t="s">
        <v>26</v>
      </c>
      <c r="L1312" t="s">
        <v>27</v>
      </c>
      <c r="M1312">
        <v>5</v>
      </c>
      <c r="N1312" s="2"/>
      <c r="O1312" s="3">
        <v>6464</v>
      </c>
      <c r="P1312">
        <v>0</v>
      </c>
      <c r="Q1312">
        <v>5</v>
      </c>
      <c r="R1312" t="s">
        <v>33</v>
      </c>
      <c r="S1312">
        <v>1</v>
      </c>
    </row>
    <row r="1313" spans="1:19" ht="16.5" x14ac:dyDescent="0.3">
      <c r="A1313" t="s">
        <v>1368</v>
      </c>
      <c r="B1313" s="1">
        <v>45461</v>
      </c>
      <c r="C1313" s="1">
        <v>45463</v>
      </c>
      <c r="D1313">
        <v>2024</v>
      </c>
      <c r="E1313" t="s">
        <v>836</v>
      </c>
      <c r="F1313" t="s">
        <v>1264</v>
      </c>
      <c r="G1313" t="s">
        <v>56</v>
      </c>
      <c r="H1313" t="s">
        <v>39</v>
      </c>
      <c r="I1313" t="s">
        <v>24</v>
      </c>
      <c r="J1313" t="s">
        <v>43</v>
      </c>
      <c r="K1313" t="s">
        <v>41</v>
      </c>
      <c r="L1313" t="s">
        <v>44</v>
      </c>
      <c r="M1313">
        <v>2</v>
      </c>
      <c r="N1313" s="2">
        <v>51</v>
      </c>
      <c r="O1313" s="3">
        <v>2280</v>
      </c>
      <c r="P1313">
        <v>0</v>
      </c>
      <c r="Q1313">
        <v>4</v>
      </c>
      <c r="R1313" t="s">
        <v>33</v>
      </c>
      <c r="S1313">
        <v>1</v>
      </c>
    </row>
    <row r="1314" spans="1:19" ht="16.5" x14ac:dyDescent="0.3">
      <c r="A1314" t="s">
        <v>1369</v>
      </c>
      <c r="B1314" s="1">
        <v>45461</v>
      </c>
      <c r="C1314" s="1">
        <v>45465</v>
      </c>
      <c r="D1314">
        <v>2024</v>
      </c>
      <c r="E1314" t="s">
        <v>836</v>
      </c>
      <c r="F1314" t="s">
        <v>1264</v>
      </c>
      <c r="G1314" t="s">
        <v>56</v>
      </c>
      <c r="H1314" t="s">
        <v>39</v>
      </c>
      <c r="I1314" t="s">
        <v>31</v>
      </c>
      <c r="J1314" t="s">
        <v>43</v>
      </c>
      <c r="K1314" t="s">
        <v>41</v>
      </c>
      <c r="L1314" t="s">
        <v>27</v>
      </c>
      <c r="M1314">
        <v>4</v>
      </c>
      <c r="N1314" s="2"/>
      <c r="O1314" s="3">
        <v>4285</v>
      </c>
      <c r="P1314">
        <v>0</v>
      </c>
      <c r="Q1314">
        <v>4</v>
      </c>
      <c r="R1314" t="s">
        <v>33</v>
      </c>
      <c r="S1314">
        <v>1</v>
      </c>
    </row>
    <row r="1315" spans="1:19" ht="16.5" x14ac:dyDescent="0.3">
      <c r="A1315" t="s">
        <v>1370</v>
      </c>
      <c r="B1315" s="1">
        <v>45461</v>
      </c>
      <c r="C1315" s="1">
        <v>45465</v>
      </c>
      <c r="D1315">
        <v>2024</v>
      </c>
      <c r="E1315" t="s">
        <v>836</v>
      </c>
      <c r="F1315" t="s">
        <v>1264</v>
      </c>
      <c r="G1315" t="s">
        <v>56</v>
      </c>
      <c r="H1315" t="s">
        <v>39</v>
      </c>
      <c r="I1315" t="s">
        <v>31</v>
      </c>
      <c r="J1315" t="s">
        <v>43</v>
      </c>
      <c r="K1315" t="s">
        <v>41</v>
      </c>
      <c r="L1315" t="s">
        <v>44</v>
      </c>
      <c r="M1315">
        <v>4</v>
      </c>
      <c r="N1315" s="2"/>
      <c r="O1315" s="3">
        <v>2895</v>
      </c>
      <c r="P1315">
        <v>0</v>
      </c>
      <c r="Q1315">
        <v>5</v>
      </c>
      <c r="R1315" t="s">
        <v>28</v>
      </c>
      <c r="S1315">
        <v>1</v>
      </c>
    </row>
    <row r="1316" spans="1:19" ht="16.5" x14ac:dyDescent="0.3">
      <c r="A1316" t="s">
        <v>1371</v>
      </c>
      <c r="B1316" s="1">
        <v>45462</v>
      </c>
      <c r="C1316" s="1">
        <v>45466</v>
      </c>
      <c r="D1316">
        <v>2024</v>
      </c>
      <c r="E1316" t="s">
        <v>836</v>
      </c>
      <c r="F1316" t="s">
        <v>1264</v>
      </c>
      <c r="G1316" t="s">
        <v>70</v>
      </c>
      <c r="H1316" t="s">
        <v>30</v>
      </c>
      <c r="I1316" t="s">
        <v>40</v>
      </c>
      <c r="J1316" t="s">
        <v>43</v>
      </c>
      <c r="K1316" t="s">
        <v>36</v>
      </c>
      <c r="L1316" t="s">
        <v>27</v>
      </c>
      <c r="M1316">
        <v>4</v>
      </c>
      <c r="N1316" s="2"/>
      <c r="O1316" s="3">
        <v>6072</v>
      </c>
      <c r="P1316">
        <v>0</v>
      </c>
      <c r="Q1316">
        <v>5</v>
      </c>
      <c r="R1316" t="s">
        <v>33</v>
      </c>
      <c r="S1316">
        <v>1</v>
      </c>
    </row>
    <row r="1317" spans="1:19" ht="16.5" x14ac:dyDescent="0.3">
      <c r="A1317" t="s">
        <v>1372</v>
      </c>
      <c r="B1317" s="1">
        <v>45462</v>
      </c>
      <c r="C1317" s="1">
        <v>45469</v>
      </c>
      <c r="D1317">
        <v>2024</v>
      </c>
      <c r="E1317" t="s">
        <v>836</v>
      </c>
      <c r="F1317" t="s">
        <v>1264</v>
      </c>
      <c r="G1317" t="s">
        <v>70</v>
      </c>
      <c r="H1317" t="s">
        <v>23</v>
      </c>
      <c r="I1317" t="s">
        <v>24</v>
      </c>
      <c r="J1317" t="s">
        <v>25</v>
      </c>
      <c r="K1317" t="s">
        <v>26</v>
      </c>
      <c r="L1317" t="s">
        <v>27</v>
      </c>
      <c r="M1317">
        <v>7</v>
      </c>
      <c r="N1317" s="2">
        <v>46</v>
      </c>
      <c r="O1317" s="3">
        <v>5491</v>
      </c>
      <c r="P1317">
        <v>0</v>
      </c>
      <c r="Q1317">
        <v>4</v>
      </c>
      <c r="R1317" t="s">
        <v>33</v>
      </c>
      <c r="S1317">
        <v>1</v>
      </c>
    </row>
    <row r="1318" spans="1:19" ht="16.5" x14ac:dyDescent="0.3">
      <c r="A1318" t="s">
        <v>1373</v>
      </c>
      <c r="B1318" s="1">
        <v>45462</v>
      </c>
      <c r="C1318" s="1">
        <v>45465</v>
      </c>
      <c r="D1318">
        <v>2024</v>
      </c>
      <c r="E1318" t="s">
        <v>836</v>
      </c>
      <c r="F1318" t="s">
        <v>1264</v>
      </c>
      <c r="G1318" t="s">
        <v>70</v>
      </c>
      <c r="H1318" t="s">
        <v>30</v>
      </c>
      <c r="I1318" t="s">
        <v>24</v>
      </c>
      <c r="J1318" t="s">
        <v>25</v>
      </c>
      <c r="K1318" t="s">
        <v>53</v>
      </c>
      <c r="L1318" t="s">
        <v>27</v>
      </c>
      <c r="M1318">
        <v>3</v>
      </c>
      <c r="N1318" s="2">
        <v>230</v>
      </c>
      <c r="O1318" s="3">
        <v>3559</v>
      </c>
      <c r="P1318">
        <v>0</v>
      </c>
      <c r="Q1318">
        <v>4</v>
      </c>
      <c r="R1318" t="s">
        <v>33</v>
      </c>
      <c r="S1318">
        <v>1</v>
      </c>
    </row>
    <row r="1319" spans="1:19" ht="16.5" x14ac:dyDescent="0.3">
      <c r="A1319" t="s">
        <v>1374</v>
      </c>
      <c r="B1319" s="1">
        <v>45462</v>
      </c>
      <c r="C1319" s="1">
        <v>45464</v>
      </c>
      <c r="D1319">
        <v>2024</v>
      </c>
      <c r="E1319" t="s">
        <v>836</v>
      </c>
      <c r="F1319" t="s">
        <v>1264</v>
      </c>
      <c r="G1319" t="s">
        <v>70</v>
      </c>
      <c r="H1319" t="s">
        <v>23</v>
      </c>
      <c r="I1319" t="s">
        <v>24</v>
      </c>
      <c r="J1319" t="s">
        <v>25</v>
      </c>
      <c r="K1319" t="s">
        <v>32</v>
      </c>
      <c r="L1319" t="s">
        <v>44</v>
      </c>
      <c r="M1319">
        <v>2</v>
      </c>
      <c r="N1319" s="2">
        <v>17</v>
      </c>
      <c r="O1319" s="3">
        <v>2167</v>
      </c>
      <c r="P1319">
        <v>0</v>
      </c>
      <c r="Q1319">
        <v>5</v>
      </c>
      <c r="R1319" t="s">
        <v>33</v>
      </c>
      <c r="S1319">
        <v>1</v>
      </c>
    </row>
    <row r="1320" spans="1:19" ht="16.5" x14ac:dyDescent="0.3">
      <c r="A1320" t="s">
        <v>1375</v>
      </c>
      <c r="B1320" s="1">
        <v>45462</v>
      </c>
      <c r="C1320" s="1">
        <v>45464</v>
      </c>
      <c r="D1320">
        <v>2024</v>
      </c>
      <c r="E1320" t="s">
        <v>836</v>
      </c>
      <c r="F1320" t="s">
        <v>1264</v>
      </c>
      <c r="G1320" t="s">
        <v>70</v>
      </c>
      <c r="H1320" t="s">
        <v>39</v>
      </c>
      <c r="I1320" t="s">
        <v>24</v>
      </c>
      <c r="J1320" t="s">
        <v>25</v>
      </c>
      <c r="K1320" t="s">
        <v>41</v>
      </c>
      <c r="L1320" t="s">
        <v>44</v>
      </c>
      <c r="M1320">
        <v>2</v>
      </c>
      <c r="N1320" s="2">
        <v>66</v>
      </c>
      <c r="O1320" s="3">
        <v>1680</v>
      </c>
      <c r="P1320">
        <v>0</v>
      </c>
      <c r="Q1320">
        <v>3</v>
      </c>
      <c r="R1320" t="s">
        <v>33</v>
      </c>
      <c r="S1320">
        <v>1</v>
      </c>
    </row>
    <row r="1321" spans="1:19" ht="16.5" x14ac:dyDescent="0.3">
      <c r="A1321" t="s">
        <v>1376</v>
      </c>
      <c r="B1321" s="1">
        <v>45462</v>
      </c>
      <c r="C1321" s="1">
        <v>45467</v>
      </c>
      <c r="D1321">
        <v>2024</v>
      </c>
      <c r="E1321" t="s">
        <v>836</v>
      </c>
      <c r="F1321" t="s">
        <v>1264</v>
      </c>
      <c r="G1321" t="s">
        <v>70</v>
      </c>
      <c r="H1321" t="s">
        <v>30</v>
      </c>
      <c r="I1321" t="s">
        <v>40</v>
      </c>
      <c r="J1321" t="s">
        <v>43</v>
      </c>
      <c r="K1321" t="s">
        <v>36</v>
      </c>
      <c r="L1321" t="s">
        <v>44</v>
      </c>
      <c r="M1321">
        <v>5</v>
      </c>
      <c r="N1321" s="2"/>
      <c r="O1321" s="3">
        <v>3486</v>
      </c>
      <c r="P1321">
        <v>0</v>
      </c>
      <c r="Q1321">
        <v>4</v>
      </c>
      <c r="R1321" t="s">
        <v>33</v>
      </c>
      <c r="S1321">
        <v>1</v>
      </c>
    </row>
    <row r="1322" spans="1:19" ht="16.5" x14ac:dyDescent="0.3">
      <c r="A1322" t="s">
        <v>1377</v>
      </c>
      <c r="B1322" s="1">
        <v>45462</v>
      </c>
      <c r="C1322" s="1">
        <v>45464</v>
      </c>
      <c r="D1322">
        <v>2024</v>
      </c>
      <c r="E1322" t="s">
        <v>836</v>
      </c>
      <c r="F1322" t="s">
        <v>1264</v>
      </c>
      <c r="G1322" t="s">
        <v>70</v>
      </c>
      <c r="H1322" t="s">
        <v>39</v>
      </c>
      <c r="I1322" t="s">
        <v>24</v>
      </c>
      <c r="J1322" t="s">
        <v>43</v>
      </c>
      <c r="K1322" t="s">
        <v>41</v>
      </c>
      <c r="L1322" t="s">
        <v>44</v>
      </c>
      <c r="M1322">
        <v>2</v>
      </c>
      <c r="N1322" s="2">
        <v>108</v>
      </c>
      <c r="O1322" s="3">
        <v>1828</v>
      </c>
      <c r="P1322">
        <v>0</v>
      </c>
      <c r="Q1322">
        <v>4</v>
      </c>
      <c r="R1322" t="s">
        <v>28</v>
      </c>
      <c r="S1322">
        <v>1</v>
      </c>
    </row>
    <row r="1323" spans="1:19" ht="16.5" x14ac:dyDescent="0.3">
      <c r="A1323" t="s">
        <v>1378</v>
      </c>
      <c r="B1323" s="1">
        <v>45462</v>
      </c>
      <c r="C1323" s="1">
        <v>45466</v>
      </c>
      <c r="D1323">
        <v>2024</v>
      </c>
      <c r="E1323" t="s">
        <v>836</v>
      </c>
      <c r="F1323" t="s">
        <v>1264</v>
      </c>
      <c r="G1323" t="s">
        <v>70</v>
      </c>
      <c r="H1323" t="s">
        <v>39</v>
      </c>
      <c r="I1323" t="s">
        <v>24</v>
      </c>
      <c r="J1323" t="s">
        <v>43</v>
      </c>
      <c r="K1323" t="s">
        <v>41</v>
      </c>
      <c r="L1323" t="s">
        <v>44</v>
      </c>
      <c r="M1323">
        <v>4</v>
      </c>
      <c r="N1323" s="2">
        <v>26</v>
      </c>
      <c r="O1323" s="3">
        <v>3218</v>
      </c>
      <c r="P1323">
        <v>0</v>
      </c>
      <c r="Q1323">
        <v>4</v>
      </c>
      <c r="R1323" t="s">
        <v>28</v>
      </c>
      <c r="S1323">
        <v>1</v>
      </c>
    </row>
    <row r="1324" spans="1:19" ht="16.5" x14ac:dyDescent="0.3">
      <c r="A1324" t="s">
        <v>1379</v>
      </c>
      <c r="B1324" s="1">
        <v>45462</v>
      </c>
      <c r="C1324" s="1">
        <v>45464</v>
      </c>
      <c r="D1324">
        <v>2024</v>
      </c>
      <c r="E1324" t="s">
        <v>836</v>
      </c>
      <c r="F1324" t="s">
        <v>1264</v>
      </c>
      <c r="G1324" t="s">
        <v>70</v>
      </c>
      <c r="H1324" t="s">
        <v>39</v>
      </c>
      <c r="I1324" t="s">
        <v>24</v>
      </c>
      <c r="J1324" t="s">
        <v>43</v>
      </c>
      <c r="K1324" t="s">
        <v>41</v>
      </c>
      <c r="L1324" t="s">
        <v>44</v>
      </c>
      <c r="M1324">
        <v>2</v>
      </c>
      <c r="N1324" s="2">
        <v>75</v>
      </c>
      <c r="O1324" s="3">
        <v>1781</v>
      </c>
      <c r="P1324">
        <v>0</v>
      </c>
      <c r="Q1324">
        <v>4</v>
      </c>
      <c r="R1324" t="s">
        <v>28</v>
      </c>
      <c r="S1324">
        <v>1</v>
      </c>
    </row>
    <row r="1325" spans="1:19" ht="16.5" x14ac:dyDescent="0.3">
      <c r="A1325" t="s">
        <v>1380</v>
      </c>
      <c r="B1325" s="1">
        <v>45463</v>
      </c>
      <c r="C1325" s="1">
        <v>45466</v>
      </c>
      <c r="D1325">
        <v>2024</v>
      </c>
      <c r="E1325" t="s">
        <v>836</v>
      </c>
      <c r="F1325" t="s">
        <v>1264</v>
      </c>
      <c r="G1325" t="s">
        <v>78</v>
      </c>
      <c r="H1325" t="s">
        <v>50</v>
      </c>
      <c r="I1325" t="s">
        <v>24</v>
      </c>
      <c r="J1325" t="s">
        <v>43</v>
      </c>
      <c r="K1325" t="s">
        <v>53</v>
      </c>
      <c r="L1325" t="s">
        <v>37</v>
      </c>
      <c r="M1325">
        <v>3</v>
      </c>
      <c r="N1325" s="2">
        <v>56</v>
      </c>
      <c r="O1325" s="3">
        <v>5236</v>
      </c>
      <c r="P1325">
        <v>0</v>
      </c>
      <c r="Q1325">
        <v>4</v>
      </c>
      <c r="R1325" t="s">
        <v>28</v>
      </c>
      <c r="S1325">
        <v>1</v>
      </c>
    </row>
    <row r="1326" spans="1:19" ht="16.5" x14ac:dyDescent="0.3">
      <c r="A1326" t="s">
        <v>1381</v>
      </c>
      <c r="B1326" s="1">
        <v>45463</v>
      </c>
      <c r="C1326" s="1">
        <v>45464</v>
      </c>
      <c r="D1326">
        <v>2024</v>
      </c>
      <c r="E1326" t="s">
        <v>836</v>
      </c>
      <c r="F1326" t="s">
        <v>1264</v>
      </c>
      <c r="G1326" t="s">
        <v>78</v>
      </c>
      <c r="H1326" t="s">
        <v>30</v>
      </c>
      <c r="I1326" t="s">
        <v>40</v>
      </c>
      <c r="J1326" t="s">
        <v>43</v>
      </c>
      <c r="K1326" t="s">
        <v>36</v>
      </c>
      <c r="L1326" t="s">
        <v>27</v>
      </c>
      <c r="M1326">
        <v>1</v>
      </c>
      <c r="N1326" s="2"/>
      <c r="O1326" s="3">
        <v>1443</v>
      </c>
      <c r="P1326">
        <v>0</v>
      </c>
      <c r="Q1326">
        <v>4</v>
      </c>
      <c r="R1326" t="s">
        <v>28</v>
      </c>
      <c r="S1326">
        <v>1</v>
      </c>
    </row>
    <row r="1327" spans="1:19" ht="16.5" x14ac:dyDescent="0.3">
      <c r="A1327" t="s">
        <v>1382</v>
      </c>
      <c r="B1327" s="1">
        <v>45463</v>
      </c>
      <c r="C1327" s="1">
        <v>45468</v>
      </c>
      <c r="D1327">
        <v>2024</v>
      </c>
      <c r="E1327" t="s">
        <v>836</v>
      </c>
      <c r="F1327" t="s">
        <v>1264</v>
      </c>
      <c r="G1327" t="s">
        <v>78</v>
      </c>
      <c r="H1327" t="s">
        <v>23</v>
      </c>
      <c r="I1327" t="s">
        <v>24</v>
      </c>
      <c r="J1327" t="s">
        <v>25</v>
      </c>
      <c r="K1327" t="s">
        <v>53</v>
      </c>
      <c r="L1327" t="s">
        <v>27</v>
      </c>
      <c r="M1327">
        <v>5</v>
      </c>
      <c r="N1327" s="2">
        <v>70</v>
      </c>
      <c r="O1327" s="3">
        <v>2950</v>
      </c>
      <c r="P1327">
        <v>0</v>
      </c>
      <c r="Q1327">
        <v>4</v>
      </c>
      <c r="R1327" t="s">
        <v>33</v>
      </c>
      <c r="S1327">
        <v>1</v>
      </c>
    </row>
    <row r="1328" spans="1:19" ht="16.5" x14ac:dyDescent="0.3">
      <c r="A1328" t="s">
        <v>1383</v>
      </c>
      <c r="B1328" s="1">
        <v>45463</v>
      </c>
      <c r="C1328" s="1">
        <v>45465</v>
      </c>
      <c r="D1328">
        <v>2024</v>
      </c>
      <c r="E1328" t="s">
        <v>836</v>
      </c>
      <c r="F1328" t="s">
        <v>1264</v>
      </c>
      <c r="G1328" t="s">
        <v>78</v>
      </c>
      <c r="H1328" t="s">
        <v>52</v>
      </c>
      <c r="I1328" t="s">
        <v>40</v>
      </c>
      <c r="J1328" t="s">
        <v>43</v>
      </c>
      <c r="K1328" t="s">
        <v>32</v>
      </c>
      <c r="L1328" t="s">
        <v>37</v>
      </c>
      <c r="M1328">
        <v>2</v>
      </c>
      <c r="N1328" s="2"/>
      <c r="O1328" s="3">
        <v>2938</v>
      </c>
      <c r="P1328">
        <v>0</v>
      </c>
      <c r="Q1328">
        <v>3</v>
      </c>
      <c r="R1328" t="s">
        <v>28</v>
      </c>
      <c r="S1328">
        <v>1</v>
      </c>
    </row>
    <row r="1329" spans="1:19" ht="16.5" x14ac:dyDescent="0.3">
      <c r="A1329" t="s">
        <v>1384</v>
      </c>
      <c r="B1329" s="1">
        <v>45464</v>
      </c>
      <c r="C1329" s="1">
        <v>45472</v>
      </c>
      <c r="D1329">
        <v>2024</v>
      </c>
      <c r="E1329" t="s">
        <v>836</v>
      </c>
      <c r="F1329" t="s">
        <v>1264</v>
      </c>
      <c r="G1329" t="s">
        <v>83</v>
      </c>
      <c r="H1329" t="s">
        <v>30</v>
      </c>
      <c r="I1329" t="s">
        <v>24</v>
      </c>
      <c r="J1329" t="s">
        <v>25</v>
      </c>
      <c r="K1329" t="s">
        <v>26</v>
      </c>
      <c r="L1329" t="s">
        <v>44</v>
      </c>
      <c r="M1329">
        <v>8</v>
      </c>
      <c r="N1329" s="2">
        <v>63</v>
      </c>
      <c r="O1329" s="3">
        <v>6202</v>
      </c>
      <c r="P1329">
        <v>0</v>
      </c>
      <c r="Q1329">
        <v>5</v>
      </c>
      <c r="R1329" t="s">
        <v>33</v>
      </c>
      <c r="S1329">
        <v>1</v>
      </c>
    </row>
    <row r="1330" spans="1:19" ht="16.5" x14ac:dyDescent="0.3">
      <c r="A1330" t="s">
        <v>1385</v>
      </c>
      <c r="B1330" s="1">
        <v>45464</v>
      </c>
      <c r="C1330" s="1">
        <v>45472</v>
      </c>
      <c r="D1330">
        <v>2024</v>
      </c>
      <c r="E1330" t="s">
        <v>836</v>
      </c>
      <c r="F1330" t="s">
        <v>1264</v>
      </c>
      <c r="G1330" t="s">
        <v>83</v>
      </c>
      <c r="H1330" t="s">
        <v>23</v>
      </c>
      <c r="I1330" t="s">
        <v>24</v>
      </c>
      <c r="J1330" t="s">
        <v>25</v>
      </c>
      <c r="K1330" t="s">
        <v>53</v>
      </c>
      <c r="L1330" t="s">
        <v>27</v>
      </c>
      <c r="M1330">
        <v>8</v>
      </c>
      <c r="N1330" s="2">
        <v>22</v>
      </c>
      <c r="O1330" s="3">
        <v>6730</v>
      </c>
      <c r="P1330">
        <v>0</v>
      </c>
      <c r="Q1330">
        <v>4</v>
      </c>
      <c r="R1330" t="s">
        <v>33</v>
      </c>
      <c r="S1330">
        <v>1</v>
      </c>
    </row>
    <row r="1331" spans="1:19" ht="16.5" x14ac:dyDescent="0.3">
      <c r="A1331" t="s">
        <v>1386</v>
      </c>
      <c r="B1331" s="1">
        <v>45464</v>
      </c>
      <c r="C1331" s="1">
        <v>45466</v>
      </c>
      <c r="D1331">
        <v>2024</v>
      </c>
      <c r="E1331" t="s">
        <v>836</v>
      </c>
      <c r="F1331" t="s">
        <v>1264</v>
      </c>
      <c r="G1331" t="s">
        <v>83</v>
      </c>
      <c r="H1331" t="s">
        <v>35</v>
      </c>
      <c r="I1331" t="s">
        <v>24</v>
      </c>
      <c r="J1331" t="s">
        <v>25</v>
      </c>
      <c r="K1331" t="s">
        <v>36</v>
      </c>
      <c r="L1331" t="s">
        <v>27</v>
      </c>
      <c r="M1331">
        <v>2</v>
      </c>
      <c r="N1331" s="2">
        <v>68</v>
      </c>
      <c r="O1331" s="3">
        <v>2517</v>
      </c>
      <c r="P1331">
        <v>0</v>
      </c>
      <c r="Q1331">
        <v>5</v>
      </c>
      <c r="R1331" t="s">
        <v>33</v>
      </c>
      <c r="S1331">
        <v>1</v>
      </c>
    </row>
    <row r="1332" spans="1:19" ht="16.5" x14ac:dyDescent="0.3">
      <c r="A1332" t="s">
        <v>1387</v>
      </c>
      <c r="B1332" s="1">
        <v>45464</v>
      </c>
      <c r="C1332" s="1">
        <v>45467</v>
      </c>
      <c r="D1332">
        <v>2024</v>
      </c>
      <c r="E1332" t="s">
        <v>836</v>
      </c>
      <c r="F1332" t="s">
        <v>1264</v>
      </c>
      <c r="G1332" t="s">
        <v>83</v>
      </c>
      <c r="H1332" t="s">
        <v>23</v>
      </c>
      <c r="I1332" t="s">
        <v>40</v>
      </c>
      <c r="J1332" t="s">
        <v>43</v>
      </c>
      <c r="K1332" t="s">
        <v>26</v>
      </c>
      <c r="L1332" t="s">
        <v>37</v>
      </c>
      <c r="M1332">
        <v>3</v>
      </c>
      <c r="N1332" s="2"/>
      <c r="O1332" s="3">
        <v>2748</v>
      </c>
      <c r="P1332">
        <v>0</v>
      </c>
      <c r="Q1332">
        <v>5</v>
      </c>
      <c r="R1332" t="s">
        <v>33</v>
      </c>
      <c r="S1332">
        <v>1</v>
      </c>
    </row>
    <row r="1333" spans="1:19" ht="16.5" x14ac:dyDescent="0.3">
      <c r="A1333" t="s">
        <v>1388</v>
      </c>
      <c r="B1333" s="1">
        <v>45464</v>
      </c>
      <c r="C1333" s="1">
        <v>45466</v>
      </c>
      <c r="D1333">
        <v>2024</v>
      </c>
      <c r="E1333" t="s">
        <v>836</v>
      </c>
      <c r="F1333" t="s">
        <v>1264</v>
      </c>
      <c r="G1333" t="s">
        <v>83</v>
      </c>
      <c r="H1333" t="s">
        <v>52</v>
      </c>
      <c r="I1333" t="s">
        <v>40</v>
      </c>
      <c r="J1333" t="s">
        <v>25</v>
      </c>
      <c r="K1333" t="s">
        <v>26</v>
      </c>
      <c r="L1333" t="s">
        <v>44</v>
      </c>
      <c r="M1333">
        <v>2</v>
      </c>
      <c r="N1333" s="2"/>
      <c r="O1333" s="3">
        <v>2303</v>
      </c>
      <c r="P1333">
        <v>0</v>
      </c>
      <c r="Q1333">
        <v>4</v>
      </c>
      <c r="R1333" t="s">
        <v>28</v>
      </c>
      <c r="S1333">
        <v>1</v>
      </c>
    </row>
    <row r="1334" spans="1:19" ht="16.5" x14ac:dyDescent="0.3">
      <c r="A1334" t="s">
        <v>1389</v>
      </c>
      <c r="B1334" s="1">
        <v>45464</v>
      </c>
      <c r="C1334" s="1">
        <v>45466</v>
      </c>
      <c r="D1334">
        <v>2024</v>
      </c>
      <c r="E1334" t="s">
        <v>836</v>
      </c>
      <c r="F1334" t="s">
        <v>1264</v>
      </c>
      <c r="G1334" t="s">
        <v>83</v>
      </c>
      <c r="H1334" t="s">
        <v>50</v>
      </c>
      <c r="I1334" t="s">
        <v>40</v>
      </c>
      <c r="J1334" t="s">
        <v>43</v>
      </c>
      <c r="K1334" t="s">
        <v>26</v>
      </c>
      <c r="L1334" t="s">
        <v>27</v>
      </c>
      <c r="M1334">
        <v>2</v>
      </c>
      <c r="N1334" s="2"/>
      <c r="O1334" s="3">
        <v>2748</v>
      </c>
      <c r="P1334">
        <v>1</v>
      </c>
      <c r="Q1334">
        <v>4</v>
      </c>
      <c r="R1334" t="s">
        <v>33</v>
      </c>
      <c r="S1334">
        <v>1</v>
      </c>
    </row>
    <row r="1335" spans="1:19" ht="16.5" x14ac:dyDescent="0.3">
      <c r="A1335" t="s">
        <v>1390</v>
      </c>
      <c r="B1335" s="1">
        <v>45464</v>
      </c>
      <c r="C1335" s="1">
        <v>45465</v>
      </c>
      <c r="D1335">
        <v>2024</v>
      </c>
      <c r="E1335" t="s">
        <v>836</v>
      </c>
      <c r="F1335" t="s">
        <v>1264</v>
      </c>
      <c r="G1335" t="s">
        <v>83</v>
      </c>
      <c r="H1335" t="s">
        <v>35</v>
      </c>
      <c r="I1335" t="s">
        <v>24</v>
      </c>
      <c r="J1335" t="s">
        <v>25</v>
      </c>
      <c r="K1335" t="s">
        <v>36</v>
      </c>
      <c r="L1335" t="s">
        <v>37</v>
      </c>
      <c r="M1335">
        <v>1</v>
      </c>
      <c r="N1335" s="2">
        <v>47</v>
      </c>
      <c r="O1335" s="3">
        <v>814</v>
      </c>
      <c r="P1335">
        <v>0</v>
      </c>
      <c r="Q1335">
        <v>4</v>
      </c>
      <c r="R1335" t="s">
        <v>33</v>
      </c>
      <c r="S1335">
        <v>1</v>
      </c>
    </row>
    <row r="1336" spans="1:19" ht="16.5" x14ac:dyDescent="0.3">
      <c r="A1336" t="s">
        <v>1391</v>
      </c>
      <c r="B1336" s="1">
        <v>45465</v>
      </c>
      <c r="C1336" s="1">
        <v>45468</v>
      </c>
      <c r="D1336">
        <v>2024</v>
      </c>
      <c r="E1336" t="s">
        <v>836</v>
      </c>
      <c r="F1336" t="s">
        <v>1264</v>
      </c>
      <c r="G1336" t="s">
        <v>102</v>
      </c>
      <c r="H1336" t="s">
        <v>30</v>
      </c>
      <c r="I1336" t="s">
        <v>31</v>
      </c>
      <c r="J1336" t="s">
        <v>43</v>
      </c>
      <c r="K1336" t="s">
        <v>36</v>
      </c>
      <c r="L1336" t="s">
        <v>44</v>
      </c>
      <c r="M1336">
        <v>3</v>
      </c>
      <c r="N1336" s="2"/>
      <c r="O1336" s="3">
        <v>4203</v>
      </c>
      <c r="P1336">
        <v>0</v>
      </c>
      <c r="Q1336">
        <v>5</v>
      </c>
      <c r="R1336" t="s">
        <v>33</v>
      </c>
      <c r="S1336">
        <v>1</v>
      </c>
    </row>
    <row r="1337" spans="1:19" ht="16.5" x14ac:dyDescent="0.3">
      <c r="A1337" t="s">
        <v>1392</v>
      </c>
      <c r="B1337" s="1">
        <v>45465</v>
      </c>
      <c r="C1337" s="1">
        <v>45477</v>
      </c>
      <c r="D1337">
        <v>2024</v>
      </c>
      <c r="E1337" t="s">
        <v>836</v>
      </c>
      <c r="F1337" t="s">
        <v>1264</v>
      </c>
      <c r="G1337" t="s">
        <v>102</v>
      </c>
      <c r="H1337" t="s">
        <v>23</v>
      </c>
      <c r="I1337" t="s">
        <v>24</v>
      </c>
      <c r="J1337" t="s">
        <v>25</v>
      </c>
      <c r="K1337" t="s">
        <v>26</v>
      </c>
      <c r="L1337" t="s">
        <v>44</v>
      </c>
      <c r="M1337">
        <v>12</v>
      </c>
      <c r="N1337" s="2">
        <v>44</v>
      </c>
      <c r="O1337" s="3">
        <v>8467</v>
      </c>
      <c r="P1337">
        <v>1</v>
      </c>
      <c r="Q1337">
        <v>5</v>
      </c>
      <c r="R1337" t="s">
        <v>33</v>
      </c>
      <c r="S1337">
        <v>1</v>
      </c>
    </row>
    <row r="1338" spans="1:19" ht="16.5" x14ac:dyDescent="0.3">
      <c r="A1338" t="s">
        <v>1393</v>
      </c>
      <c r="B1338" s="1">
        <v>45465</v>
      </c>
      <c r="C1338" s="1">
        <v>45485</v>
      </c>
      <c r="D1338">
        <v>2024</v>
      </c>
      <c r="E1338" t="s">
        <v>836</v>
      </c>
      <c r="F1338" t="s">
        <v>1264</v>
      </c>
      <c r="G1338" t="s">
        <v>102</v>
      </c>
      <c r="H1338" t="s">
        <v>52</v>
      </c>
      <c r="I1338" t="s">
        <v>24</v>
      </c>
      <c r="J1338" t="s">
        <v>25</v>
      </c>
      <c r="K1338" t="s">
        <v>36</v>
      </c>
      <c r="L1338" t="s">
        <v>44</v>
      </c>
      <c r="M1338">
        <v>20</v>
      </c>
      <c r="N1338" s="2">
        <v>80</v>
      </c>
      <c r="O1338" s="3">
        <v>23978</v>
      </c>
      <c r="P1338">
        <v>0</v>
      </c>
      <c r="Q1338">
        <v>5</v>
      </c>
      <c r="R1338" t="s">
        <v>33</v>
      </c>
      <c r="S1338">
        <v>1</v>
      </c>
    </row>
    <row r="1339" spans="1:19" ht="16.5" x14ac:dyDescent="0.3">
      <c r="A1339" t="s">
        <v>1394</v>
      </c>
      <c r="B1339" s="1">
        <v>45465</v>
      </c>
      <c r="C1339" s="1">
        <v>45469</v>
      </c>
      <c r="D1339">
        <v>2024</v>
      </c>
      <c r="E1339" t="s">
        <v>836</v>
      </c>
      <c r="F1339" t="s">
        <v>1264</v>
      </c>
      <c r="G1339" t="s">
        <v>102</v>
      </c>
      <c r="H1339" t="s">
        <v>50</v>
      </c>
      <c r="I1339" t="s">
        <v>40</v>
      </c>
      <c r="J1339" t="s">
        <v>43</v>
      </c>
      <c r="K1339" t="s">
        <v>26</v>
      </c>
      <c r="L1339" t="s">
        <v>44</v>
      </c>
      <c r="M1339">
        <v>4</v>
      </c>
      <c r="N1339" s="2"/>
      <c r="O1339" s="3">
        <v>6122</v>
      </c>
      <c r="P1339">
        <v>0</v>
      </c>
      <c r="Q1339">
        <v>4</v>
      </c>
      <c r="R1339" t="s">
        <v>33</v>
      </c>
      <c r="S1339">
        <v>1</v>
      </c>
    </row>
    <row r="1340" spans="1:19" ht="16.5" x14ac:dyDescent="0.3">
      <c r="A1340" t="s">
        <v>1395</v>
      </c>
      <c r="B1340" s="1">
        <v>45465</v>
      </c>
      <c r="C1340" s="1">
        <v>45480</v>
      </c>
      <c r="D1340">
        <v>2024</v>
      </c>
      <c r="E1340" t="s">
        <v>836</v>
      </c>
      <c r="F1340" t="s">
        <v>1264</v>
      </c>
      <c r="G1340" t="s">
        <v>102</v>
      </c>
      <c r="H1340" t="s">
        <v>23</v>
      </c>
      <c r="I1340" t="s">
        <v>24</v>
      </c>
      <c r="J1340" t="s">
        <v>25</v>
      </c>
      <c r="K1340" t="s">
        <v>26</v>
      </c>
      <c r="L1340" t="s">
        <v>27</v>
      </c>
      <c r="M1340">
        <v>15</v>
      </c>
      <c r="N1340" s="2">
        <v>41</v>
      </c>
      <c r="O1340" s="3">
        <v>8477</v>
      </c>
      <c r="P1340">
        <v>0</v>
      </c>
      <c r="Q1340">
        <v>5</v>
      </c>
      <c r="R1340" t="s">
        <v>33</v>
      </c>
      <c r="S1340">
        <v>1</v>
      </c>
    </row>
    <row r="1341" spans="1:19" ht="16.5" x14ac:dyDescent="0.3">
      <c r="A1341" t="s">
        <v>1396</v>
      </c>
      <c r="B1341" s="1">
        <v>45466</v>
      </c>
      <c r="C1341" s="1">
        <v>45468</v>
      </c>
      <c r="D1341">
        <v>2024</v>
      </c>
      <c r="E1341" t="s">
        <v>836</v>
      </c>
      <c r="F1341" t="s">
        <v>1264</v>
      </c>
      <c r="G1341" t="s">
        <v>112</v>
      </c>
      <c r="H1341" t="s">
        <v>50</v>
      </c>
      <c r="I1341" t="s">
        <v>31</v>
      </c>
      <c r="J1341" t="s">
        <v>43</v>
      </c>
      <c r="K1341" t="s">
        <v>32</v>
      </c>
      <c r="L1341" t="s">
        <v>44</v>
      </c>
      <c r="M1341">
        <v>2</v>
      </c>
      <c r="N1341" s="2"/>
      <c r="O1341" s="3">
        <v>3133</v>
      </c>
      <c r="P1341">
        <v>0</v>
      </c>
      <c r="Q1341">
        <v>4</v>
      </c>
      <c r="R1341" t="s">
        <v>33</v>
      </c>
      <c r="S1341">
        <v>1</v>
      </c>
    </row>
    <row r="1342" spans="1:19" ht="16.5" x14ac:dyDescent="0.3">
      <c r="A1342" t="s">
        <v>1397</v>
      </c>
      <c r="B1342" s="1">
        <v>45466</v>
      </c>
      <c r="C1342" s="1">
        <v>45471</v>
      </c>
      <c r="D1342">
        <v>2024</v>
      </c>
      <c r="E1342" t="s">
        <v>836</v>
      </c>
      <c r="F1342" t="s">
        <v>1264</v>
      </c>
      <c r="G1342" t="s">
        <v>112</v>
      </c>
      <c r="H1342" t="s">
        <v>35</v>
      </c>
      <c r="I1342" t="s">
        <v>24</v>
      </c>
      <c r="J1342" t="s">
        <v>25</v>
      </c>
      <c r="K1342" t="s">
        <v>32</v>
      </c>
      <c r="L1342" t="s">
        <v>27</v>
      </c>
      <c r="M1342">
        <v>5</v>
      </c>
      <c r="N1342" s="2">
        <v>87</v>
      </c>
      <c r="O1342" s="3">
        <v>4095</v>
      </c>
      <c r="P1342">
        <v>0</v>
      </c>
      <c r="Q1342">
        <v>4</v>
      </c>
      <c r="R1342" t="s">
        <v>33</v>
      </c>
      <c r="S1342">
        <v>1</v>
      </c>
    </row>
    <row r="1343" spans="1:19" ht="16.5" x14ac:dyDescent="0.3">
      <c r="A1343" t="s">
        <v>1398</v>
      </c>
      <c r="B1343" s="1">
        <v>45466</v>
      </c>
      <c r="C1343" s="1">
        <v>45474</v>
      </c>
      <c r="D1343">
        <v>2024</v>
      </c>
      <c r="E1343" t="s">
        <v>836</v>
      </c>
      <c r="F1343" t="s">
        <v>1264</v>
      </c>
      <c r="G1343" t="s">
        <v>112</v>
      </c>
      <c r="H1343" t="s">
        <v>50</v>
      </c>
      <c r="I1343" t="s">
        <v>24</v>
      </c>
      <c r="J1343" t="s">
        <v>25</v>
      </c>
      <c r="K1343" t="s">
        <v>36</v>
      </c>
      <c r="L1343" t="s">
        <v>44</v>
      </c>
      <c r="M1343">
        <v>8</v>
      </c>
      <c r="N1343" s="2">
        <v>12</v>
      </c>
      <c r="O1343" s="3">
        <v>10640</v>
      </c>
      <c r="P1343">
        <v>0</v>
      </c>
      <c r="Q1343">
        <v>4</v>
      </c>
      <c r="R1343" t="s">
        <v>33</v>
      </c>
      <c r="S1343">
        <v>1</v>
      </c>
    </row>
    <row r="1344" spans="1:19" ht="16.5" x14ac:dyDescent="0.3">
      <c r="A1344" t="s">
        <v>1399</v>
      </c>
      <c r="B1344" s="1">
        <v>45466</v>
      </c>
      <c r="C1344" s="1">
        <v>45468</v>
      </c>
      <c r="D1344">
        <v>2024</v>
      </c>
      <c r="E1344" t="s">
        <v>836</v>
      </c>
      <c r="F1344" t="s">
        <v>1264</v>
      </c>
      <c r="G1344" t="s">
        <v>112</v>
      </c>
      <c r="H1344" t="s">
        <v>23</v>
      </c>
      <c r="I1344" t="s">
        <v>24</v>
      </c>
      <c r="J1344" t="s">
        <v>25</v>
      </c>
      <c r="K1344" t="s">
        <v>53</v>
      </c>
      <c r="L1344" t="s">
        <v>44</v>
      </c>
      <c r="M1344">
        <v>2</v>
      </c>
      <c r="N1344" s="2">
        <v>37</v>
      </c>
      <c r="O1344" s="3">
        <v>1953</v>
      </c>
      <c r="P1344">
        <v>0</v>
      </c>
      <c r="Q1344">
        <v>4</v>
      </c>
      <c r="R1344" t="s">
        <v>33</v>
      </c>
      <c r="S1344">
        <v>1</v>
      </c>
    </row>
    <row r="1345" spans="1:19" ht="16.5" x14ac:dyDescent="0.3">
      <c r="A1345" t="s">
        <v>1400</v>
      </c>
      <c r="B1345" s="1">
        <v>45467</v>
      </c>
      <c r="C1345" s="1">
        <v>45479</v>
      </c>
      <c r="D1345">
        <v>2024</v>
      </c>
      <c r="E1345" t="s">
        <v>836</v>
      </c>
      <c r="F1345" t="s">
        <v>1264</v>
      </c>
      <c r="G1345" t="s">
        <v>22</v>
      </c>
      <c r="H1345" t="s">
        <v>30</v>
      </c>
      <c r="I1345" t="s">
        <v>40</v>
      </c>
      <c r="J1345" t="s">
        <v>25</v>
      </c>
      <c r="K1345" t="s">
        <v>36</v>
      </c>
      <c r="L1345" t="s">
        <v>44</v>
      </c>
      <c r="M1345">
        <v>12</v>
      </c>
      <c r="N1345" s="2"/>
      <c r="O1345" s="3">
        <v>11651</v>
      </c>
      <c r="P1345">
        <v>0</v>
      </c>
      <c r="Q1345">
        <v>5</v>
      </c>
      <c r="R1345" t="s">
        <v>33</v>
      </c>
      <c r="S1345">
        <v>1</v>
      </c>
    </row>
    <row r="1346" spans="1:19" ht="16.5" x14ac:dyDescent="0.3">
      <c r="A1346" t="s">
        <v>1401</v>
      </c>
      <c r="B1346" s="1">
        <v>45467</v>
      </c>
      <c r="C1346" s="1">
        <v>45468</v>
      </c>
      <c r="D1346">
        <v>2024</v>
      </c>
      <c r="E1346" t="s">
        <v>836</v>
      </c>
      <c r="F1346" t="s">
        <v>1264</v>
      </c>
      <c r="G1346" t="s">
        <v>22</v>
      </c>
      <c r="H1346" t="s">
        <v>35</v>
      </c>
      <c r="I1346" t="s">
        <v>24</v>
      </c>
      <c r="J1346" t="s">
        <v>25</v>
      </c>
      <c r="K1346" t="s">
        <v>36</v>
      </c>
      <c r="L1346" t="s">
        <v>27</v>
      </c>
      <c r="M1346">
        <v>1</v>
      </c>
      <c r="N1346" s="2">
        <v>27</v>
      </c>
      <c r="O1346" s="3">
        <v>1536</v>
      </c>
      <c r="P1346">
        <v>0</v>
      </c>
      <c r="Q1346">
        <v>5</v>
      </c>
      <c r="R1346" t="s">
        <v>33</v>
      </c>
      <c r="S1346">
        <v>1</v>
      </c>
    </row>
    <row r="1347" spans="1:19" ht="16.5" x14ac:dyDescent="0.3">
      <c r="A1347" t="s">
        <v>1402</v>
      </c>
      <c r="B1347" s="1">
        <v>45468</v>
      </c>
      <c r="C1347" s="1">
        <v>45475</v>
      </c>
      <c r="D1347">
        <v>2024</v>
      </c>
      <c r="E1347" t="s">
        <v>836</v>
      </c>
      <c r="F1347" t="s">
        <v>1264</v>
      </c>
      <c r="G1347" t="s">
        <v>56</v>
      </c>
      <c r="H1347" t="s">
        <v>30</v>
      </c>
      <c r="I1347" t="s">
        <v>40</v>
      </c>
      <c r="J1347" t="s">
        <v>43</v>
      </c>
      <c r="K1347" t="s">
        <v>26</v>
      </c>
      <c r="L1347" t="s">
        <v>27</v>
      </c>
      <c r="M1347">
        <v>7</v>
      </c>
      <c r="N1347" s="2"/>
      <c r="O1347" s="3">
        <v>6932</v>
      </c>
      <c r="P1347">
        <v>0</v>
      </c>
      <c r="Q1347">
        <v>4</v>
      </c>
      <c r="R1347" t="s">
        <v>28</v>
      </c>
      <c r="S1347">
        <v>1</v>
      </c>
    </row>
    <row r="1348" spans="1:19" ht="16.5" x14ac:dyDescent="0.3">
      <c r="A1348" t="s">
        <v>1403</v>
      </c>
      <c r="B1348" s="1">
        <v>45468</v>
      </c>
      <c r="C1348" s="1">
        <v>45491</v>
      </c>
      <c r="D1348">
        <v>2024</v>
      </c>
      <c r="E1348" t="s">
        <v>836</v>
      </c>
      <c r="F1348" t="s">
        <v>1264</v>
      </c>
      <c r="G1348" t="s">
        <v>56</v>
      </c>
      <c r="H1348" t="s">
        <v>23</v>
      </c>
      <c r="I1348" t="s">
        <v>24</v>
      </c>
      <c r="J1348" t="s">
        <v>25</v>
      </c>
      <c r="K1348" t="s">
        <v>26</v>
      </c>
      <c r="L1348" t="s">
        <v>27</v>
      </c>
      <c r="M1348">
        <v>23</v>
      </c>
      <c r="N1348" s="2">
        <v>59</v>
      </c>
      <c r="O1348" s="3">
        <v>16215</v>
      </c>
      <c r="P1348">
        <v>1</v>
      </c>
      <c r="Q1348">
        <v>4</v>
      </c>
      <c r="R1348" t="s">
        <v>28</v>
      </c>
      <c r="S1348">
        <v>1</v>
      </c>
    </row>
    <row r="1349" spans="1:19" ht="16.5" x14ac:dyDescent="0.3">
      <c r="A1349" t="s">
        <v>1404</v>
      </c>
      <c r="B1349" s="1">
        <v>45468</v>
      </c>
      <c r="C1349" s="1">
        <v>45473</v>
      </c>
      <c r="D1349">
        <v>2024</v>
      </c>
      <c r="E1349" t="s">
        <v>836</v>
      </c>
      <c r="F1349" t="s">
        <v>1264</v>
      </c>
      <c r="G1349" t="s">
        <v>56</v>
      </c>
      <c r="H1349" t="s">
        <v>39</v>
      </c>
      <c r="I1349" t="s">
        <v>24</v>
      </c>
      <c r="J1349" t="s">
        <v>25</v>
      </c>
      <c r="K1349" t="s">
        <v>41</v>
      </c>
      <c r="L1349" t="s">
        <v>44</v>
      </c>
      <c r="M1349">
        <v>5</v>
      </c>
      <c r="N1349" s="2">
        <v>56</v>
      </c>
      <c r="O1349" s="3">
        <v>3555</v>
      </c>
      <c r="P1349">
        <v>0</v>
      </c>
      <c r="Q1349">
        <v>4</v>
      </c>
      <c r="R1349" t="s">
        <v>28</v>
      </c>
      <c r="S1349">
        <v>1</v>
      </c>
    </row>
    <row r="1350" spans="1:19" ht="16.5" x14ac:dyDescent="0.3">
      <c r="A1350" t="s">
        <v>1405</v>
      </c>
      <c r="B1350" s="1">
        <v>45468</v>
      </c>
      <c r="C1350" s="1">
        <v>45482</v>
      </c>
      <c r="D1350">
        <v>2024</v>
      </c>
      <c r="E1350" t="s">
        <v>836</v>
      </c>
      <c r="F1350" t="s">
        <v>1264</v>
      </c>
      <c r="G1350" t="s">
        <v>56</v>
      </c>
      <c r="H1350" t="s">
        <v>23</v>
      </c>
      <c r="I1350" t="s">
        <v>24</v>
      </c>
      <c r="J1350" t="s">
        <v>25</v>
      </c>
      <c r="K1350" t="s">
        <v>26</v>
      </c>
      <c r="L1350" t="s">
        <v>44</v>
      </c>
      <c r="M1350">
        <v>14</v>
      </c>
      <c r="N1350" s="2">
        <v>23</v>
      </c>
      <c r="O1350" s="3">
        <v>8953</v>
      </c>
      <c r="P1350">
        <v>0</v>
      </c>
      <c r="Q1350">
        <v>5</v>
      </c>
      <c r="R1350" t="s">
        <v>33</v>
      </c>
      <c r="S1350">
        <v>1</v>
      </c>
    </row>
    <row r="1351" spans="1:19" ht="16.5" x14ac:dyDescent="0.3">
      <c r="A1351" t="s">
        <v>1406</v>
      </c>
      <c r="B1351" s="1">
        <v>45468</v>
      </c>
      <c r="C1351" s="1">
        <v>45473</v>
      </c>
      <c r="D1351">
        <v>2024</v>
      </c>
      <c r="E1351" t="s">
        <v>836</v>
      </c>
      <c r="F1351" t="s">
        <v>1264</v>
      </c>
      <c r="G1351" t="s">
        <v>56</v>
      </c>
      <c r="H1351" t="s">
        <v>30</v>
      </c>
      <c r="I1351" t="s">
        <v>24</v>
      </c>
      <c r="J1351" t="s">
        <v>43</v>
      </c>
      <c r="K1351" t="s">
        <v>36</v>
      </c>
      <c r="L1351" t="s">
        <v>44</v>
      </c>
      <c r="M1351">
        <v>5</v>
      </c>
      <c r="N1351" s="2">
        <v>67</v>
      </c>
      <c r="O1351" s="3">
        <v>3557</v>
      </c>
      <c r="P1351">
        <v>0</v>
      </c>
      <c r="Q1351">
        <v>4</v>
      </c>
      <c r="R1351" t="s">
        <v>33</v>
      </c>
      <c r="S1351">
        <v>1</v>
      </c>
    </row>
    <row r="1352" spans="1:19" ht="16.5" x14ac:dyDescent="0.3">
      <c r="A1352" t="s">
        <v>1407</v>
      </c>
      <c r="B1352" s="1">
        <v>45468</v>
      </c>
      <c r="C1352" s="1">
        <v>45471</v>
      </c>
      <c r="D1352">
        <v>2024</v>
      </c>
      <c r="E1352" t="s">
        <v>836</v>
      </c>
      <c r="F1352" t="s">
        <v>1264</v>
      </c>
      <c r="G1352" t="s">
        <v>56</v>
      </c>
      <c r="H1352" t="s">
        <v>30</v>
      </c>
      <c r="I1352" t="s">
        <v>24</v>
      </c>
      <c r="J1352" t="s">
        <v>43</v>
      </c>
      <c r="K1352" t="s">
        <v>53</v>
      </c>
      <c r="L1352" t="s">
        <v>44</v>
      </c>
      <c r="M1352">
        <v>3</v>
      </c>
      <c r="N1352" s="2">
        <v>16</v>
      </c>
      <c r="O1352" s="3">
        <v>3479</v>
      </c>
      <c r="P1352">
        <v>0</v>
      </c>
      <c r="Q1352">
        <v>5</v>
      </c>
      <c r="R1352" t="s">
        <v>33</v>
      </c>
      <c r="S1352">
        <v>1</v>
      </c>
    </row>
    <row r="1353" spans="1:19" ht="16.5" x14ac:dyDescent="0.3">
      <c r="A1353" t="s">
        <v>1408</v>
      </c>
      <c r="B1353" s="1">
        <v>45468</v>
      </c>
      <c r="C1353" s="1">
        <v>45470</v>
      </c>
      <c r="D1353">
        <v>2024</v>
      </c>
      <c r="E1353" t="s">
        <v>836</v>
      </c>
      <c r="F1353" t="s">
        <v>1264</v>
      </c>
      <c r="G1353" t="s">
        <v>56</v>
      </c>
      <c r="H1353" t="s">
        <v>50</v>
      </c>
      <c r="I1353" t="s">
        <v>40</v>
      </c>
      <c r="J1353" t="s">
        <v>25</v>
      </c>
      <c r="K1353" t="s">
        <v>32</v>
      </c>
      <c r="L1353" t="s">
        <v>27</v>
      </c>
      <c r="M1353">
        <v>2</v>
      </c>
      <c r="N1353" s="2"/>
      <c r="O1353" s="3">
        <v>3088</v>
      </c>
      <c r="P1353">
        <v>0</v>
      </c>
      <c r="Q1353">
        <v>4</v>
      </c>
      <c r="R1353" t="s">
        <v>33</v>
      </c>
      <c r="S1353">
        <v>1</v>
      </c>
    </row>
    <row r="1354" spans="1:19" ht="16.5" x14ac:dyDescent="0.3">
      <c r="A1354" t="s">
        <v>1409</v>
      </c>
      <c r="B1354" s="1">
        <v>45468</v>
      </c>
      <c r="C1354" s="1">
        <v>45470</v>
      </c>
      <c r="D1354">
        <v>2024</v>
      </c>
      <c r="E1354" t="s">
        <v>836</v>
      </c>
      <c r="F1354" t="s">
        <v>1264</v>
      </c>
      <c r="G1354" t="s">
        <v>56</v>
      </c>
      <c r="H1354" t="s">
        <v>52</v>
      </c>
      <c r="I1354" t="s">
        <v>40</v>
      </c>
      <c r="J1354" t="s">
        <v>25</v>
      </c>
      <c r="K1354" t="s">
        <v>26</v>
      </c>
      <c r="L1354" t="s">
        <v>27</v>
      </c>
      <c r="M1354">
        <v>2</v>
      </c>
      <c r="N1354" s="2"/>
      <c r="O1354" s="3">
        <v>2669</v>
      </c>
      <c r="P1354">
        <v>0</v>
      </c>
      <c r="Q1354">
        <v>4</v>
      </c>
      <c r="R1354" t="s">
        <v>59</v>
      </c>
      <c r="S1354">
        <v>1</v>
      </c>
    </row>
    <row r="1355" spans="1:19" ht="16.5" x14ac:dyDescent="0.3">
      <c r="A1355" t="s">
        <v>1410</v>
      </c>
      <c r="B1355" s="1">
        <v>45468</v>
      </c>
      <c r="C1355" s="1">
        <v>45470</v>
      </c>
      <c r="D1355">
        <v>2024</v>
      </c>
      <c r="E1355" t="s">
        <v>836</v>
      </c>
      <c r="F1355" t="s">
        <v>1264</v>
      </c>
      <c r="G1355" t="s">
        <v>56</v>
      </c>
      <c r="H1355" t="s">
        <v>35</v>
      </c>
      <c r="I1355" t="s">
        <v>40</v>
      </c>
      <c r="J1355" t="s">
        <v>25</v>
      </c>
      <c r="K1355" t="s">
        <v>36</v>
      </c>
      <c r="L1355" t="s">
        <v>27</v>
      </c>
      <c r="M1355">
        <v>2</v>
      </c>
      <c r="N1355" s="2"/>
      <c r="O1355" s="3">
        <v>2043</v>
      </c>
      <c r="P1355">
        <v>0</v>
      </c>
      <c r="Q1355">
        <v>5</v>
      </c>
      <c r="R1355" t="s">
        <v>33</v>
      </c>
      <c r="S1355">
        <v>1</v>
      </c>
    </row>
    <row r="1356" spans="1:19" ht="16.5" x14ac:dyDescent="0.3">
      <c r="A1356" t="s">
        <v>1411</v>
      </c>
      <c r="B1356" s="1">
        <v>45468</v>
      </c>
      <c r="C1356" s="1">
        <v>45471</v>
      </c>
      <c r="D1356">
        <v>2024</v>
      </c>
      <c r="E1356" t="s">
        <v>836</v>
      </c>
      <c r="F1356" t="s">
        <v>1264</v>
      </c>
      <c r="G1356" t="s">
        <v>56</v>
      </c>
      <c r="H1356" t="s">
        <v>52</v>
      </c>
      <c r="I1356" t="s">
        <v>24</v>
      </c>
      <c r="J1356" t="s">
        <v>25</v>
      </c>
      <c r="K1356" t="s">
        <v>26</v>
      </c>
      <c r="L1356" t="s">
        <v>27</v>
      </c>
      <c r="M1356">
        <v>3</v>
      </c>
      <c r="N1356" s="2">
        <v>46</v>
      </c>
      <c r="O1356" s="3">
        <v>3573</v>
      </c>
      <c r="P1356">
        <v>0</v>
      </c>
      <c r="Q1356">
        <v>5</v>
      </c>
      <c r="R1356" t="s">
        <v>28</v>
      </c>
      <c r="S1356">
        <v>1</v>
      </c>
    </row>
    <row r="1357" spans="1:19" ht="16.5" x14ac:dyDescent="0.3">
      <c r="A1357" t="s">
        <v>1412</v>
      </c>
      <c r="B1357" s="1">
        <v>45468</v>
      </c>
      <c r="C1357" s="1">
        <v>45472</v>
      </c>
      <c r="D1357">
        <v>2024</v>
      </c>
      <c r="E1357" t="s">
        <v>836</v>
      </c>
      <c r="F1357" t="s">
        <v>1264</v>
      </c>
      <c r="G1357" t="s">
        <v>56</v>
      </c>
      <c r="H1357" t="s">
        <v>35</v>
      </c>
      <c r="I1357" t="s">
        <v>31</v>
      </c>
      <c r="J1357" t="s">
        <v>25</v>
      </c>
      <c r="K1357" t="s">
        <v>32</v>
      </c>
      <c r="L1357" t="s">
        <v>27</v>
      </c>
      <c r="M1357">
        <v>4</v>
      </c>
      <c r="N1357" s="2"/>
      <c r="O1357" s="3">
        <v>4198</v>
      </c>
      <c r="P1357">
        <v>0</v>
      </c>
      <c r="Q1357">
        <v>5</v>
      </c>
      <c r="R1357" t="s">
        <v>33</v>
      </c>
      <c r="S1357">
        <v>1</v>
      </c>
    </row>
    <row r="1358" spans="1:19" ht="16.5" x14ac:dyDescent="0.3">
      <c r="A1358" t="s">
        <v>1413</v>
      </c>
      <c r="B1358" s="1">
        <v>45469</v>
      </c>
      <c r="C1358" s="1">
        <v>45472</v>
      </c>
      <c r="D1358">
        <v>2024</v>
      </c>
      <c r="E1358" t="s">
        <v>836</v>
      </c>
      <c r="F1358" t="s">
        <v>1264</v>
      </c>
      <c r="G1358" t="s">
        <v>70</v>
      </c>
      <c r="H1358" t="s">
        <v>30</v>
      </c>
      <c r="I1358" t="s">
        <v>40</v>
      </c>
      <c r="J1358" t="s">
        <v>25</v>
      </c>
      <c r="K1358" t="s">
        <v>53</v>
      </c>
      <c r="L1358" t="s">
        <v>27</v>
      </c>
      <c r="M1358">
        <v>3</v>
      </c>
      <c r="N1358" s="2"/>
      <c r="O1358" s="3">
        <v>3286</v>
      </c>
      <c r="P1358">
        <v>0</v>
      </c>
      <c r="Q1358">
        <v>4</v>
      </c>
      <c r="R1358" t="s">
        <v>33</v>
      </c>
      <c r="S1358">
        <v>1</v>
      </c>
    </row>
    <row r="1359" spans="1:19" ht="16.5" x14ac:dyDescent="0.3">
      <c r="A1359" t="s">
        <v>1414</v>
      </c>
      <c r="B1359" s="1">
        <v>45469</v>
      </c>
      <c r="C1359" s="1">
        <v>45470</v>
      </c>
      <c r="D1359">
        <v>2024</v>
      </c>
      <c r="E1359" t="s">
        <v>836</v>
      </c>
      <c r="F1359" t="s">
        <v>1264</v>
      </c>
      <c r="G1359" t="s">
        <v>70</v>
      </c>
      <c r="H1359" t="s">
        <v>23</v>
      </c>
      <c r="I1359" t="s">
        <v>24</v>
      </c>
      <c r="J1359" t="s">
        <v>43</v>
      </c>
      <c r="K1359" t="s">
        <v>36</v>
      </c>
      <c r="L1359" t="s">
        <v>37</v>
      </c>
      <c r="M1359">
        <v>1</v>
      </c>
      <c r="N1359" s="2">
        <v>51</v>
      </c>
      <c r="O1359" s="3">
        <v>1661</v>
      </c>
      <c r="P1359">
        <v>0</v>
      </c>
      <c r="Q1359">
        <v>5</v>
      </c>
      <c r="R1359" t="s">
        <v>33</v>
      </c>
      <c r="S1359">
        <v>1</v>
      </c>
    </row>
    <row r="1360" spans="1:19" ht="16.5" x14ac:dyDescent="0.3">
      <c r="A1360" t="s">
        <v>1415</v>
      </c>
      <c r="B1360" s="1">
        <v>45469</v>
      </c>
      <c r="C1360" s="1">
        <v>45472</v>
      </c>
      <c r="D1360">
        <v>2024</v>
      </c>
      <c r="E1360" t="s">
        <v>836</v>
      </c>
      <c r="F1360" t="s">
        <v>1264</v>
      </c>
      <c r="G1360" t="s">
        <v>70</v>
      </c>
      <c r="H1360" t="s">
        <v>30</v>
      </c>
      <c r="I1360" t="s">
        <v>40</v>
      </c>
      <c r="J1360" t="s">
        <v>43</v>
      </c>
      <c r="K1360" t="s">
        <v>53</v>
      </c>
      <c r="L1360" t="s">
        <v>27</v>
      </c>
      <c r="M1360">
        <v>3</v>
      </c>
      <c r="N1360" s="2"/>
      <c r="O1360" s="3">
        <v>3902</v>
      </c>
      <c r="P1360">
        <v>0</v>
      </c>
      <c r="Q1360">
        <v>4</v>
      </c>
      <c r="R1360" t="s">
        <v>33</v>
      </c>
      <c r="S1360">
        <v>1</v>
      </c>
    </row>
    <row r="1361" spans="1:19" ht="16.5" x14ac:dyDescent="0.3">
      <c r="A1361" t="s">
        <v>1416</v>
      </c>
      <c r="B1361" s="1">
        <v>45469</v>
      </c>
      <c r="C1361" s="1">
        <v>45472</v>
      </c>
      <c r="D1361">
        <v>2024</v>
      </c>
      <c r="E1361" t="s">
        <v>836</v>
      </c>
      <c r="F1361" t="s">
        <v>1264</v>
      </c>
      <c r="G1361" t="s">
        <v>70</v>
      </c>
      <c r="H1361" t="s">
        <v>23</v>
      </c>
      <c r="I1361" t="s">
        <v>24</v>
      </c>
      <c r="J1361" t="s">
        <v>25</v>
      </c>
      <c r="K1361" t="s">
        <v>32</v>
      </c>
      <c r="L1361" t="s">
        <v>44</v>
      </c>
      <c r="M1361">
        <v>3</v>
      </c>
      <c r="N1361" s="2">
        <v>66</v>
      </c>
      <c r="O1361" s="3">
        <v>2153</v>
      </c>
      <c r="P1361">
        <v>0</v>
      </c>
      <c r="Q1361">
        <v>4</v>
      </c>
      <c r="R1361" t="s">
        <v>165</v>
      </c>
      <c r="S1361">
        <v>1</v>
      </c>
    </row>
    <row r="1362" spans="1:19" ht="16.5" x14ac:dyDescent="0.3">
      <c r="A1362" t="s">
        <v>1417</v>
      </c>
      <c r="B1362" s="1">
        <v>45469</v>
      </c>
      <c r="C1362" s="1">
        <v>45475</v>
      </c>
      <c r="D1362">
        <v>2024</v>
      </c>
      <c r="E1362" t="s">
        <v>836</v>
      </c>
      <c r="F1362" t="s">
        <v>1264</v>
      </c>
      <c r="G1362" t="s">
        <v>70</v>
      </c>
      <c r="H1362" t="s">
        <v>50</v>
      </c>
      <c r="I1362" t="s">
        <v>40</v>
      </c>
      <c r="J1362" t="s">
        <v>25</v>
      </c>
      <c r="K1362" t="s">
        <v>26</v>
      </c>
      <c r="L1362" t="s">
        <v>44</v>
      </c>
      <c r="M1362">
        <v>6</v>
      </c>
      <c r="N1362" s="2"/>
      <c r="O1362" s="3">
        <v>7178</v>
      </c>
      <c r="P1362">
        <v>0</v>
      </c>
      <c r="Q1362">
        <v>5</v>
      </c>
      <c r="R1362" t="s">
        <v>33</v>
      </c>
      <c r="S1362">
        <v>1</v>
      </c>
    </row>
    <row r="1363" spans="1:19" ht="16.5" x14ac:dyDescent="0.3">
      <c r="A1363" t="s">
        <v>1418</v>
      </c>
      <c r="B1363" s="1">
        <v>45469</v>
      </c>
      <c r="C1363" s="1">
        <v>45471</v>
      </c>
      <c r="D1363">
        <v>2024</v>
      </c>
      <c r="E1363" t="s">
        <v>836</v>
      </c>
      <c r="F1363" t="s">
        <v>1264</v>
      </c>
      <c r="G1363" t="s">
        <v>70</v>
      </c>
      <c r="H1363" t="s">
        <v>35</v>
      </c>
      <c r="I1363" t="s">
        <v>24</v>
      </c>
      <c r="J1363" t="s">
        <v>25</v>
      </c>
      <c r="K1363" t="s">
        <v>32</v>
      </c>
      <c r="L1363" t="s">
        <v>44</v>
      </c>
      <c r="M1363">
        <v>2</v>
      </c>
      <c r="N1363" s="2">
        <v>57</v>
      </c>
      <c r="O1363" s="3">
        <v>2073</v>
      </c>
      <c r="P1363">
        <v>0</v>
      </c>
      <c r="Q1363">
        <v>4</v>
      </c>
      <c r="R1363" t="s">
        <v>28</v>
      </c>
      <c r="S1363">
        <v>1</v>
      </c>
    </row>
    <row r="1364" spans="1:19" ht="16.5" x14ac:dyDescent="0.3">
      <c r="A1364" t="s">
        <v>1419</v>
      </c>
      <c r="B1364" s="1">
        <v>45470</v>
      </c>
      <c r="C1364" s="1">
        <v>45484</v>
      </c>
      <c r="D1364">
        <v>2024</v>
      </c>
      <c r="E1364" t="s">
        <v>836</v>
      </c>
      <c r="F1364" t="s">
        <v>1264</v>
      </c>
      <c r="G1364" t="s">
        <v>78</v>
      </c>
      <c r="H1364" t="s">
        <v>50</v>
      </c>
      <c r="I1364" t="s">
        <v>24</v>
      </c>
      <c r="J1364" t="s">
        <v>25</v>
      </c>
      <c r="K1364" t="s">
        <v>32</v>
      </c>
      <c r="L1364" t="s">
        <v>44</v>
      </c>
      <c r="M1364">
        <v>14</v>
      </c>
      <c r="N1364" s="2">
        <v>37</v>
      </c>
      <c r="O1364" s="3">
        <v>17242</v>
      </c>
      <c r="P1364">
        <v>0</v>
      </c>
      <c r="Q1364">
        <v>5</v>
      </c>
      <c r="R1364" t="s">
        <v>33</v>
      </c>
      <c r="S1364">
        <v>1</v>
      </c>
    </row>
    <row r="1365" spans="1:19" ht="16.5" x14ac:dyDescent="0.3">
      <c r="A1365" t="s">
        <v>1420</v>
      </c>
      <c r="B1365" s="1">
        <v>45470</v>
      </c>
      <c r="C1365" s="1">
        <v>45483</v>
      </c>
      <c r="D1365">
        <v>2024</v>
      </c>
      <c r="E1365" t="s">
        <v>836</v>
      </c>
      <c r="F1365" t="s">
        <v>1264</v>
      </c>
      <c r="G1365" t="s">
        <v>78</v>
      </c>
      <c r="H1365" t="s">
        <v>23</v>
      </c>
      <c r="I1365" t="s">
        <v>24</v>
      </c>
      <c r="J1365" t="s">
        <v>43</v>
      </c>
      <c r="K1365" t="s">
        <v>32</v>
      </c>
      <c r="L1365" t="s">
        <v>27</v>
      </c>
      <c r="M1365">
        <v>13</v>
      </c>
      <c r="N1365" s="2">
        <v>47</v>
      </c>
      <c r="O1365" s="3">
        <v>9004</v>
      </c>
      <c r="P1365">
        <v>0</v>
      </c>
      <c r="Q1365">
        <v>5</v>
      </c>
      <c r="R1365" t="s">
        <v>33</v>
      </c>
      <c r="S1365">
        <v>1</v>
      </c>
    </row>
    <row r="1366" spans="1:19" ht="16.5" x14ac:dyDescent="0.3">
      <c r="A1366" t="s">
        <v>1421</v>
      </c>
      <c r="B1366" s="1">
        <v>45470</v>
      </c>
      <c r="C1366" s="1">
        <v>45474</v>
      </c>
      <c r="D1366">
        <v>2024</v>
      </c>
      <c r="E1366" t="s">
        <v>836</v>
      </c>
      <c r="F1366" t="s">
        <v>1264</v>
      </c>
      <c r="G1366" t="s">
        <v>78</v>
      </c>
      <c r="H1366" t="s">
        <v>39</v>
      </c>
      <c r="I1366" t="s">
        <v>40</v>
      </c>
      <c r="J1366" t="s">
        <v>25</v>
      </c>
      <c r="K1366" t="s">
        <v>41</v>
      </c>
      <c r="L1366" t="s">
        <v>44</v>
      </c>
      <c r="M1366">
        <v>4</v>
      </c>
      <c r="N1366" s="2"/>
      <c r="O1366" s="3">
        <v>2912</v>
      </c>
      <c r="P1366">
        <v>0</v>
      </c>
      <c r="Q1366">
        <v>5</v>
      </c>
      <c r="R1366" t="s">
        <v>33</v>
      </c>
      <c r="S1366">
        <v>1</v>
      </c>
    </row>
    <row r="1367" spans="1:19" ht="16.5" x14ac:dyDescent="0.3">
      <c r="A1367" t="s">
        <v>1422</v>
      </c>
      <c r="B1367" s="1">
        <v>45471</v>
      </c>
      <c r="C1367" s="1">
        <v>45473</v>
      </c>
      <c r="D1367">
        <v>2024</v>
      </c>
      <c r="E1367" t="s">
        <v>836</v>
      </c>
      <c r="F1367" t="s">
        <v>1264</v>
      </c>
      <c r="G1367" t="s">
        <v>83</v>
      </c>
      <c r="H1367" t="s">
        <v>23</v>
      </c>
      <c r="I1367" t="s">
        <v>40</v>
      </c>
      <c r="J1367" t="s">
        <v>25</v>
      </c>
      <c r="K1367" t="s">
        <v>26</v>
      </c>
      <c r="L1367" t="s">
        <v>27</v>
      </c>
      <c r="M1367">
        <v>2</v>
      </c>
      <c r="N1367" s="2"/>
      <c r="O1367" s="3">
        <v>2322</v>
      </c>
      <c r="P1367">
        <v>0</v>
      </c>
      <c r="Q1367">
        <v>3</v>
      </c>
      <c r="R1367" t="s">
        <v>33</v>
      </c>
      <c r="S1367">
        <v>1</v>
      </c>
    </row>
    <row r="1368" spans="1:19" ht="16.5" x14ac:dyDescent="0.3">
      <c r="A1368" t="s">
        <v>1423</v>
      </c>
      <c r="B1368" s="1">
        <v>45471</v>
      </c>
      <c r="C1368" s="1">
        <v>45493</v>
      </c>
      <c r="D1368">
        <v>2024</v>
      </c>
      <c r="E1368" t="s">
        <v>836</v>
      </c>
      <c r="F1368" t="s">
        <v>1264</v>
      </c>
      <c r="G1368" t="s">
        <v>83</v>
      </c>
      <c r="H1368" t="s">
        <v>23</v>
      </c>
      <c r="I1368" t="s">
        <v>24</v>
      </c>
      <c r="J1368" t="s">
        <v>43</v>
      </c>
      <c r="K1368" t="s">
        <v>32</v>
      </c>
      <c r="L1368" t="s">
        <v>27</v>
      </c>
      <c r="M1368">
        <v>22</v>
      </c>
      <c r="N1368" s="2">
        <v>94</v>
      </c>
      <c r="O1368" s="3">
        <v>18116</v>
      </c>
      <c r="P1368">
        <v>0</v>
      </c>
      <c r="Q1368">
        <v>4</v>
      </c>
      <c r="R1368" t="s">
        <v>33</v>
      </c>
      <c r="S1368">
        <v>1</v>
      </c>
    </row>
    <row r="1369" spans="1:19" ht="16.5" x14ac:dyDescent="0.3">
      <c r="A1369" t="s">
        <v>1424</v>
      </c>
      <c r="B1369" s="1">
        <v>45471</v>
      </c>
      <c r="C1369" s="1">
        <v>45482</v>
      </c>
      <c r="D1369">
        <v>2024</v>
      </c>
      <c r="E1369" t="s">
        <v>836</v>
      </c>
      <c r="F1369" t="s">
        <v>1264</v>
      </c>
      <c r="G1369" t="s">
        <v>83</v>
      </c>
      <c r="H1369" t="s">
        <v>50</v>
      </c>
      <c r="I1369" t="s">
        <v>40</v>
      </c>
      <c r="J1369" t="s">
        <v>25</v>
      </c>
      <c r="K1369" t="s">
        <v>26</v>
      </c>
      <c r="L1369" t="s">
        <v>27</v>
      </c>
      <c r="M1369">
        <v>11</v>
      </c>
      <c r="N1369" s="2"/>
      <c r="O1369" s="3">
        <v>11913</v>
      </c>
      <c r="P1369">
        <v>0</v>
      </c>
      <c r="Q1369">
        <v>4</v>
      </c>
      <c r="R1369" t="s">
        <v>33</v>
      </c>
      <c r="S1369">
        <v>1</v>
      </c>
    </row>
    <row r="1370" spans="1:19" ht="16.5" x14ac:dyDescent="0.3">
      <c r="A1370" t="s">
        <v>1425</v>
      </c>
      <c r="B1370" s="1">
        <v>45471</v>
      </c>
      <c r="C1370" s="1">
        <v>45472</v>
      </c>
      <c r="D1370">
        <v>2024</v>
      </c>
      <c r="E1370" t="s">
        <v>836</v>
      </c>
      <c r="F1370" t="s">
        <v>1264</v>
      </c>
      <c r="G1370" t="s">
        <v>83</v>
      </c>
      <c r="H1370" t="s">
        <v>35</v>
      </c>
      <c r="I1370" t="s">
        <v>24</v>
      </c>
      <c r="J1370" t="s">
        <v>25</v>
      </c>
      <c r="K1370" t="s">
        <v>36</v>
      </c>
      <c r="L1370" t="s">
        <v>27</v>
      </c>
      <c r="M1370">
        <v>1</v>
      </c>
      <c r="N1370" s="2">
        <v>99</v>
      </c>
      <c r="O1370" s="3">
        <v>1366</v>
      </c>
      <c r="P1370">
        <v>0</v>
      </c>
      <c r="Q1370">
        <v>3</v>
      </c>
      <c r="R1370" t="s">
        <v>33</v>
      </c>
      <c r="S1370">
        <v>1</v>
      </c>
    </row>
    <row r="1371" spans="1:19" ht="16.5" x14ac:dyDescent="0.3">
      <c r="A1371" t="s">
        <v>1426</v>
      </c>
      <c r="B1371" s="1">
        <v>45471</v>
      </c>
      <c r="C1371" s="1">
        <v>45475</v>
      </c>
      <c r="D1371">
        <v>2024</v>
      </c>
      <c r="E1371" t="s">
        <v>836</v>
      </c>
      <c r="F1371" t="s">
        <v>1264</v>
      </c>
      <c r="G1371" t="s">
        <v>83</v>
      </c>
      <c r="H1371" t="s">
        <v>52</v>
      </c>
      <c r="I1371" t="s">
        <v>40</v>
      </c>
      <c r="J1371" t="s">
        <v>25</v>
      </c>
      <c r="K1371" t="s">
        <v>36</v>
      </c>
      <c r="L1371" t="s">
        <v>27</v>
      </c>
      <c r="M1371">
        <v>4</v>
      </c>
      <c r="N1371" s="2"/>
      <c r="O1371" s="3">
        <v>4287</v>
      </c>
      <c r="P1371">
        <v>0</v>
      </c>
      <c r="Q1371">
        <v>5</v>
      </c>
      <c r="R1371" t="s">
        <v>33</v>
      </c>
      <c r="S1371">
        <v>1</v>
      </c>
    </row>
    <row r="1372" spans="1:19" ht="16.5" x14ac:dyDescent="0.3">
      <c r="A1372" t="s">
        <v>1427</v>
      </c>
      <c r="B1372" s="1">
        <v>45471</v>
      </c>
      <c r="C1372" s="1">
        <v>45474</v>
      </c>
      <c r="D1372">
        <v>2024</v>
      </c>
      <c r="E1372" t="s">
        <v>836</v>
      </c>
      <c r="F1372" t="s">
        <v>1264</v>
      </c>
      <c r="G1372" t="s">
        <v>83</v>
      </c>
      <c r="H1372" t="s">
        <v>23</v>
      </c>
      <c r="I1372" t="s">
        <v>24</v>
      </c>
      <c r="J1372" t="s">
        <v>25</v>
      </c>
      <c r="K1372" t="s">
        <v>26</v>
      </c>
      <c r="L1372" t="s">
        <v>44</v>
      </c>
      <c r="M1372">
        <v>3</v>
      </c>
      <c r="N1372" s="2">
        <v>59</v>
      </c>
      <c r="O1372" s="3">
        <v>2047</v>
      </c>
      <c r="P1372">
        <v>1</v>
      </c>
      <c r="Q1372">
        <v>4</v>
      </c>
      <c r="R1372" t="s">
        <v>28</v>
      </c>
      <c r="S1372">
        <v>1</v>
      </c>
    </row>
    <row r="1373" spans="1:19" ht="16.5" x14ac:dyDescent="0.3">
      <c r="A1373" t="s">
        <v>1428</v>
      </c>
      <c r="B1373" s="1">
        <v>45471</v>
      </c>
      <c r="C1373" s="1">
        <v>45473</v>
      </c>
      <c r="D1373">
        <v>2024</v>
      </c>
      <c r="E1373" t="s">
        <v>836</v>
      </c>
      <c r="F1373" t="s">
        <v>1264</v>
      </c>
      <c r="G1373" t="s">
        <v>83</v>
      </c>
      <c r="H1373" t="s">
        <v>35</v>
      </c>
      <c r="I1373" t="s">
        <v>40</v>
      </c>
      <c r="J1373" t="s">
        <v>25</v>
      </c>
      <c r="K1373" t="s">
        <v>32</v>
      </c>
      <c r="L1373" t="s">
        <v>27</v>
      </c>
      <c r="M1373">
        <v>2</v>
      </c>
      <c r="N1373" s="2"/>
      <c r="O1373" s="3">
        <v>2519</v>
      </c>
      <c r="P1373">
        <v>0</v>
      </c>
      <c r="Q1373">
        <v>4</v>
      </c>
      <c r="R1373" t="s">
        <v>59</v>
      </c>
      <c r="S1373">
        <v>1</v>
      </c>
    </row>
    <row r="1374" spans="1:19" ht="16.5" x14ac:dyDescent="0.3">
      <c r="A1374" t="s">
        <v>1429</v>
      </c>
      <c r="B1374" s="1">
        <v>45471</v>
      </c>
      <c r="C1374" s="1">
        <v>45474</v>
      </c>
      <c r="D1374">
        <v>2024</v>
      </c>
      <c r="E1374" t="s">
        <v>836</v>
      </c>
      <c r="F1374" t="s">
        <v>1264</v>
      </c>
      <c r="G1374" t="s">
        <v>83</v>
      </c>
      <c r="H1374" t="s">
        <v>30</v>
      </c>
      <c r="I1374" t="s">
        <v>40</v>
      </c>
      <c r="J1374" t="s">
        <v>25</v>
      </c>
      <c r="K1374" t="s">
        <v>26</v>
      </c>
      <c r="L1374" t="s">
        <v>44</v>
      </c>
      <c r="M1374">
        <v>3</v>
      </c>
      <c r="N1374" s="2"/>
      <c r="O1374" s="3">
        <v>4175</v>
      </c>
      <c r="P1374">
        <v>0</v>
      </c>
      <c r="Q1374">
        <v>5</v>
      </c>
      <c r="R1374" t="s">
        <v>59</v>
      </c>
      <c r="S1374">
        <v>1</v>
      </c>
    </row>
    <row r="1375" spans="1:19" ht="16.5" x14ac:dyDescent="0.3">
      <c r="A1375" t="s">
        <v>1430</v>
      </c>
      <c r="B1375" s="1">
        <v>45471</v>
      </c>
      <c r="C1375" s="1">
        <v>45475</v>
      </c>
      <c r="D1375">
        <v>2024</v>
      </c>
      <c r="E1375" t="s">
        <v>836</v>
      </c>
      <c r="F1375" t="s">
        <v>1264</v>
      </c>
      <c r="G1375" t="s">
        <v>83</v>
      </c>
      <c r="H1375" t="s">
        <v>30</v>
      </c>
      <c r="I1375" t="s">
        <v>24</v>
      </c>
      <c r="J1375" t="s">
        <v>25</v>
      </c>
      <c r="K1375" t="s">
        <v>36</v>
      </c>
      <c r="L1375" t="s">
        <v>27</v>
      </c>
      <c r="M1375">
        <v>4</v>
      </c>
      <c r="N1375" s="2">
        <v>53</v>
      </c>
      <c r="O1375" s="3">
        <v>5159</v>
      </c>
      <c r="P1375">
        <v>0</v>
      </c>
      <c r="Q1375">
        <v>3</v>
      </c>
      <c r="R1375" t="s">
        <v>33</v>
      </c>
      <c r="S1375">
        <v>1</v>
      </c>
    </row>
    <row r="1376" spans="1:19" ht="16.5" x14ac:dyDescent="0.3">
      <c r="A1376" t="s">
        <v>1431</v>
      </c>
      <c r="B1376" s="1">
        <v>45472</v>
      </c>
      <c r="C1376" s="1">
        <v>45477</v>
      </c>
      <c r="D1376">
        <v>2024</v>
      </c>
      <c r="E1376" t="s">
        <v>836</v>
      </c>
      <c r="F1376" t="s">
        <v>1264</v>
      </c>
      <c r="G1376" t="s">
        <v>102</v>
      </c>
      <c r="H1376" t="s">
        <v>23</v>
      </c>
      <c r="I1376" t="s">
        <v>40</v>
      </c>
      <c r="J1376" t="s">
        <v>43</v>
      </c>
      <c r="K1376" t="s">
        <v>53</v>
      </c>
      <c r="L1376" t="s">
        <v>44</v>
      </c>
      <c r="M1376">
        <v>5</v>
      </c>
      <c r="N1376" s="2"/>
      <c r="O1376" s="3">
        <v>4065</v>
      </c>
      <c r="P1376">
        <v>1</v>
      </c>
      <c r="Q1376">
        <v>3</v>
      </c>
      <c r="R1376" t="s">
        <v>33</v>
      </c>
      <c r="S1376">
        <v>1</v>
      </c>
    </row>
    <row r="1377" spans="1:19" ht="16.5" x14ac:dyDescent="0.3">
      <c r="A1377" t="s">
        <v>1432</v>
      </c>
      <c r="B1377" s="1">
        <v>45472</v>
      </c>
      <c r="C1377" s="1">
        <v>45475</v>
      </c>
      <c r="D1377">
        <v>2024</v>
      </c>
      <c r="E1377" t="s">
        <v>836</v>
      </c>
      <c r="F1377" t="s">
        <v>1264</v>
      </c>
      <c r="G1377" t="s">
        <v>102</v>
      </c>
      <c r="H1377" t="s">
        <v>35</v>
      </c>
      <c r="I1377" t="s">
        <v>24</v>
      </c>
      <c r="J1377" t="s">
        <v>25</v>
      </c>
      <c r="K1377" t="s">
        <v>36</v>
      </c>
      <c r="L1377" t="s">
        <v>44</v>
      </c>
      <c r="M1377">
        <v>3</v>
      </c>
      <c r="N1377" s="2">
        <v>42</v>
      </c>
      <c r="O1377" s="3">
        <v>3150</v>
      </c>
      <c r="P1377">
        <v>0</v>
      </c>
      <c r="Q1377">
        <v>3</v>
      </c>
      <c r="R1377" t="s">
        <v>33</v>
      </c>
      <c r="S1377">
        <v>1</v>
      </c>
    </row>
    <row r="1378" spans="1:19" ht="16.5" x14ac:dyDescent="0.3">
      <c r="A1378" t="s">
        <v>1433</v>
      </c>
      <c r="B1378" s="1">
        <v>45472</v>
      </c>
      <c r="C1378" s="1">
        <v>45487</v>
      </c>
      <c r="D1378">
        <v>2024</v>
      </c>
      <c r="E1378" t="s">
        <v>836</v>
      </c>
      <c r="F1378" t="s">
        <v>1264</v>
      </c>
      <c r="G1378" t="s">
        <v>102</v>
      </c>
      <c r="H1378" t="s">
        <v>23</v>
      </c>
      <c r="I1378" t="s">
        <v>40</v>
      </c>
      <c r="J1378" t="s">
        <v>43</v>
      </c>
      <c r="K1378" t="s">
        <v>26</v>
      </c>
      <c r="L1378" t="s">
        <v>44</v>
      </c>
      <c r="M1378">
        <v>15</v>
      </c>
      <c r="N1378" s="2"/>
      <c r="O1378" s="3">
        <v>10738</v>
      </c>
      <c r="P1378">
        <v>1</v>
      </c>
      <c r="Q1378">
        <v>3</v>
      </c>
      <c r="R1378" t="s">
        <v>33</v>
      </c>
      <c r="S1378">
        <v>1</v>
      </c>
    </row>
    <row r="1379" spans="1:19" ht="16.5" x14ac:dyDescent="0.3">
      <c r="A1379" t="s">
        <v>1434</v>
      </c>
      <c r="B1379" s="1">
        <v>45472</v>
      </c>
      <c r="C1379" s="1">
        <v>45474</v>
      </c>
      <c r="D1379">
        <v>2024</v>
      </c>
      <c r="E1379" t="s">
        <v>836</v>
      </c>
      <c r="F1379" t="s">
        <v>1264</v>
      </c>
      <c r="G1379" t="s">
        <v>102</v>
      </c>
      <c r="H1379" t="s">
        <v>30</v>
      </c>
      <c r="I1379" t="s">
        <v>40</v>
      </c>
      <c r="J1379" t="s">
        <v>43</v>
      </c>
      <c r="K1379" t="s">
        <v>32</v>
      </c>
      <c r="L1379" t="s">
        <v>27</v>
      </c>
      <c r="M1379">
        <v>2</v>
      </c>
      <c r="N1379" s="2"/>
      <c r="O1379" s="3">
        <v>2131</v>
      </c>
      <c r="P1379">
        <v>0</v>
      </c>
      <c r="Q1379">
        <v>3</v>
      </c>
      <c r="R1379" t="s">
        <v>33</v>
      </c>
      <c r="S1379">
        <v>1</v>
      </c>
    </row>
    <row r="1380" spans="1:19" ht="16.5" x14ac:dyDescent="0.3">
      <c r="A1380" t="s">
        <v>1435</v>
      </c>
      <c r="B1380" s="1">
        <v>45472</v>
      </c>
      <c r="C1380" s="1">
        <v>45477</v>
      </c>
      <c r="D1380">
        <v>2024</v>
      </c>
      <c r="E1380" t="s">
        <v>836</v>
      </c>
      <c r="F1380" t="s">
        <v>1264</v>
      </c>
      <c r="G1380" t="s">
        <v>102</v>
      </c>
      <c r="H1380" t="s">
        <v>39</v>
      </c>
      <c r="I1380" t="s">
        <v>24</v>
      </c>
      <c r="J1380" t="s">
        <v>43</v>
      </c>
      <c r="K1380" t="s">
        <v>41</v>
      </c>
      <c r="L1380" t="s">
        <v>27</v>
      </c>
      <c r="M1380">
        <v>5</v>
      </c>
      <c r="N1380" s="2">
        <v>78</v>
      </c>
      <c r="O1380" s="3">
        <v>3110</v>
      </c>
      <c r="P1380">
        <v>0</v>
      </c>
      <c r="Q1380">
        <v>3</v>
      </c>
      <c r="R1380" t="s">
        <v>33</v>
      </c>
      <c r="S1380">
        <v>1</v>
      </c>
    </row>
    <row r="1381" spans="1:19" ht="16.5" x14ac:dyDescent="0.3">
      <c r="A1381" t="s">
        <v>1436</v>
      </c>
      <c r="B1381" s="1">
        <v>45472</v>
      </c>
      <c r="C1381" s="1">
        <v>45476</v>
      </c>
      <c r="D1381">
        <v>2024</v>
      </c>
      <c r="E1381" t="s">
        <v>836</v>
      </c>
      <c r="F1381" t="s">
        <v>1264</v>
      </c>
      <c r="G1381" t="s">
        <v>102</v>
      </c>
      <c r="H1381" t="s">
        <v>50</v>
      </c>
      <c r="I1381" t="s">
        <v>24</v>
      </c>
      <c r="J1381" t="s">
        <v>25</v>
      </c>
      <c r="K1381" t="s">
        <v>36</v>
      </c>
      <c r="L1381" t="s">
        <v>44</v>
      </c>
      <c r="M1381">
        <v>4</v>
      </c>
      <c r="N1381" s="2">
        <v>31</v>
      </c>
      <c r="O1381" s="3">
        <v>5299</v>
      </c>
      <c r="P1381">
        <v>0</v>
      </c>
      <c r="Q1381">
        <v>4</v>
      </c>
      <c r="R1381" t="s">
        <v>33</v>
      </c>
      <c r="S1381">
        <v>1</v>
      </c>
    </row>
    <row r="1382" spans="1:19" ht="16.5" x14ac:dyDescent="0.3">
      <c r="A1382" t="s">
        <v>1437</v>
      </c>
      <c r="B1382" s="1">
        <v>45472</v>
      </c>
      <c r="C1382" s="1">
        <v>45479</v>
      </c>
      <c r="D1382">
        <v>2024</v>
      </c>
      <c r="E1382" t="s">
        <v>836</v>
      </c>
      <c r="F1382" t="s">
        <v>1264</v>
      </c>
      <c r="G1382" t="s">
        <v>102</v>
      </c>
      <c r="H1382" t="s">
        <v>52</v>
      </c>
      <c r="I1382" t="s">
        <v>40</v>
      </c>
      <c r="J1382" t="s">
        <v>43</v>
      </c>
      <c r="K1382" t="s">
        <v>26</v>
      </c>
      <c r="L1382" t="s">
        <v>44</v>
      </c>
      <c r="M1382">
        <v>7</v>
      </c>
      <c r="N1382" s="2"/>
      <c r="O1382" s="3">
        <v>6294</v>
      </c>
      <c r="P1382">
        <v>0</v>
      </c>
      <c r="Q1382">
        <v>4</v>
      </c>
      <c r="R1382" t="s">
        <v>33</v>
      </c>
      <c r="S1382">
        <v>1</v>
      </c>
    </row>
    <row r="1383" spans="1:19" ht="16.5" x14ac:dyDescent="0.3">
      <c r="A1383" t="s">
        <v>1438</v>
      </c>
      <c r="B1383" s="1">
        <v>45473</v>
      </c>
      <c r="C1383" s="1">
        <v>45479</v>
      </c>
      <c r="D1383">
        <v>2024</v>
      </c>
      <c r="E1383" t="s">
        <v>836</v>
      </c>
      <c r="F1383" t="s">
        <v>1264</v>
      </c>
      <c r="G1383" t="s">
        <v>112</v>
      </c>
      <c r="H1383" t="s">
        <v>52</v>
      </c>
      <c r="I1383" t="s">
        <v>40</v>
      </c>
      <c r="J1383" t="s">
        <v>43</v>
      </c>
      <c r="K1383" t="s">
        <v>32</v>
      </c>
      <c r="L1383" t="s">
        <v>44</v>
      </c>
      <c r="M1383">
        <v>6</v>
      </c>
      <c r="N1383" s="2"/>
      <c r="O1383" s="3">
        <v>7505</v>
      </c>
      <c r="P1383">
        <v>0</v>
      </c>
      <c r="Q1383">
        <v>4</v>
      </c>
      <c r="R1383" t="s">
        <v>33</v>
      </c>
      <c r="S1383">
        <v>1</v>
      </c>
    </row>
    <row r="1384" spans="1:19" ht="16.5" x14ac:dyDescent="0.3">
      <c r="A1384" t="s">
        <v>1439</v>
      </c>
      <c r="B1384" s="1">
        <v>45473</v>
      </c>
      <c r="C1384" s="1">
        <v>45477</v>
      </c>
      <c r="D1384">
        <v>2024</v>
      </c>
      <c r="E1384" t="s">
        <v>836</v>
      </c>
      <c r="F1384" t="s">
        <v>1264</v>
      </c>
      <c r="G1384" t="s">
        <v>112</v>
      </c>
      <c r="H1384" t="s">
        <v>23</v>
      </c>
      <c r="I1384" t="s">
        <v>40</v>
      </c>
      <c r="J1384" t="s">
        <v>25</v>
      </c>
      <c r="K1384" t="s">
        <v>32</v>
      </c>
      <c r="L1384" t="s">
        <v>27</v>
      </c>
      <c r="M1384">
        <v>4</v>
      </c>
      <c r="N1384" s="2"/>
      <c r="O1384" s="3">
        <v>3024</v>
      </c>
      <c r="P1384">
        <v>0</v>
      </c>
      <c r="Q1384">
        <v>4</v>
      </c>
      <c r="R1384" t="s">
        <v>165</v>
      </c>
      <c r="S1384">
        <v>1</v>
      </c>
    </row>
    <row r="1385" spans="1:19" ht="16.5" x14ac:dyDescent="0.3">
      <c r="A1385" t="s">
        <v>1440</v>
      </c>
      <c r="B1385" s="1">
        <v>45473</v>
      </c>
      <c r="C1385" s="1">
        <v>45478</v>
      </c>
      <c r="D1385">
        <v>2024</v>
      </c>
      <c r="E1385" t="s">
        <v>836</v>
      </c>
      <c r="F1385" t="s">
        <v>1264</v>
      </c>
      <c r="G1385" t="s">
        <v>112</v>
      </c>
      <c r="H1385" t="s">
        <v>23</v>
      </c>
      <c r="I1385" t="s">
        <v>31</v>
      </c>
      <c r="J1385" t="s">
        <v>43</v>
      </c>
      <c r="K1385" t="s">
        <v>32</v>
      </c>
      <c r="L1385" t="s">
        <v>44</v>
      </c>
      <c r="M1385">
        <v>5</v>
      </c>
      <c r="N1385" s="2"/>
      <c r="O1385" s="3">
        <v>4042</v>
      </c>
      <c r="P1385">
        <v>0</v>
      </c>
      <c r="Q1385">
        <v>4</v>
      </c>
      <c r="R1385" t="s">
        <v>28</v>
      </c>
      <c r="S1385">
        <v>1</v>
      </c>
    </row>
    <row r="1386" spans="1:19" ht="16.5" x14ac:dyDescent="0.3">
      <c r="A1386" t="s">
        <v>1441</v>
      </c>
      <c r="B1386" s="1">
        <v>45473</v>
      </c>
      <c r="C1386" s="1">
        <v>45474</v>
      </c>
      <c r="D1386">
        <v>2024</v>
      </c>
      <c r="E1386" t="s">
        <v>836</v>
      </c>
      <c r="F1386" t="s">
        <v>1264</v>
      </c>
      <c r="G1386" t="s">
        <v>112</v>
      </c>
      <c r="H1386" t="s">
        <v>23</v>
      </c>
      <c r="I1386" t="s">
        <v>24</v>
      </c>
      <c r="J1386" t="s">
        <v>43</v>
      </c>
      <c r="K1386" t="s">
        <v>36</v>
      </c>
      <c r="L1386" t="s">
        <v>37</v>
      </c>
      <c r="M1386">
        <v>1</v>
      </c>
      <c r="N1386" s="2">
        <v>23</v>
      </c>
      <c r="O1386" s="3">
        <v>1517</v>
      </c>
      <c r="P1386">
        <v>0</v>
      </c>
      <c r="Q1386">
        <v>5</v>
      </c>
      <c r="R1386" t="s">
        <v>28</v>
      </c>
      <c r="S1386">
        <v>1</v>
      </c>
    </row>
    <row r="1387" spans="1:19" ht="16.5" x14ac:dyDescent="0.3">
      <c r="A1387" t="s">
        <v>1442</v>
      </c>
      <c r="B1387" s="1">
        <v>45473</v>
      </c>
      <c r="C1387" s="1">
        <v>45477</v>
      </c>
      <c r="D1387">
        <v>2024</v>
      </c>
      <c r="E1387" t="s">
        <v>836</v>
      </c>
      <c r="F1387" t="s">
        <v>1264</v>
      </c>
      <c r="G1387" t="s">
        <v>112</v>
      </c>
      <c r="H1387" t="s">
        <v>50</v>
      </c>
      <c r="I1387" t="s">
        <v>24</v>
      </c>
      <c r="J1387" t="s">
        <v>25</v>
      </c>
      <c r="K1387" t="s">
        <v>53</v>
      </c>
      <c r="L1387" t="s">
        <v>44</v>
      </c>
      <c r="M1387">
        <v>4</v>
      </c>
      <c r="N1387" s="2">
        <v>48</v>
      </c>
      <c r="O1387" s="3">
        <v>4762</v>
      </c>
      <c r="P1387">
        <v>0</v>
      </c>
      <c r="Q1387">
        <v>4</v>
      </c>
      <c r="R1387" t="s">
        <v>33</v>
      </c>
      <c r="S1387">
        <v>1</v>
      </c>
    </row>
    <row r="1388" spans="1:19" ht="16.5" x14ac:dyDescent="0.3">
      <c r="A1388" t="s">
        <v>1443</v>
      </c>
      <c r="B1388" s="1">
        <v>45473</v>
      </c>
      <c r="C1388" s="1">
        <v>45481</v>
      </c>
      <c r="D1388">
        <v>2024</v>
      </c>
      <c r="E1388" t="s">
        <v>836</v>
      </c>
      <c r="F1388" t="s">
        <v>1264</v>
      </c>
      <c r="G1388" t="s">
        <v>112</v>
      </c>
      <c r="H1388" t="s">
        <v>30</v>
      </c>
      <c r="I1388" t="s">
        <v>40</v>
      </c>
      <c r="J1388" t="s">
        <v>43</v>
      </c>
      <c r="K1388" t="s">
        <v>53</v>
      </c>
      <c r="L1388" t="s">
        <v>27</v>
      </c>
      <c r="M1388">
        <v>8</v>
      </c>
      <c r="N1388" s="2"/>
      <c r="O1388" s="3">
        <v>10256</v>
      </c>
      <c r="P1388">
        <v>0</v>
      </c>
      <c r="Q1388">
        <v>4</v>
      </c>
      <c r="R1388" t="s">
        <v>33</v>
      </c>
      <c r="S1388">
        <v>1</v>
      </c>
    </row>
    <row r="1389" spans="1:19" ht="16.5" x14ac:dyDescent="0.3">
      <c r="A1389" t="s">
        <v>1444</v>
      </c>
      <c r="B1389" s="1">
        <v>45474</v>
      </c>
      <c r="C1389" s="1">
        <v>45489</v>
      </c>
      <c r="D1389">
        <v>2024</v>
      </c>
      <c r="E1389" t="s">
        <v>1445</v>
      </c>
      <c r="F1389" t="s">
        <v>1446</v>
      </c>
      <c r="G1389" t="s">
        <v>22</v>
      </c>
      <c r="H1389" t="s">
        <v>50</v>
      </c>
      <c r="I1389" t="s">
        <v>24</v>
      </c>
      <c r="J1389" t="s">
        <v>43</v>
      </c>
      <c r="K1389" t="s">
        <v>26</v>
      </c>
      <c r="L1389" t="s">
        <v>27</v>
      </c>
      <c r="M1389">
        <v>15</v>
      </c>
      <c r="N1389" s="2">
        <v>131</v>
      </c>
      <c r="O1389" s="3">
        <v>17654</v>
      </c>
      <c r="P1389">
        <v>0</v>
      </c>
      <c r="Q1389">
        <v>3</v>
      </c>
      <c r="R1389" t="s">
        <v>33</v>
      </c>
      <c r="S1389">
        <v>1</v>
      </c>
    </row>
    <row r="1390" spans="1:19" ht="16.5" x14ac:dyDescent="0.3">
      <c r="A1390" t="s">
        <v>1447</v>
      </c>
      <c r="B1390" s="1">
        <v>45474</v>
      </c>
      <c r="C1390" s="1">
        <v>45479</v>
      </c>
      <c r="D1390">
        <v>2024</v>
      </c>
      <c r="E1390" t="s">
        <v>1445</v>
      </c>
      <c r="F1390" t="s">
        <v>1446</v>
      </c>
      <c r="G1390" t="s">
        <v>22</v>
      </c>
      <c r="H1390" t="s">
        <v>30</v>
      </c>
      <c r="I1390" t="s">
        <v>40</v>
      </c>
      <c r="J1390" t="s">
        <v>25</v>
      </c>
      <c r="K1390" t="s">
        <v>26</v>
      </c>
      <c r="L1390" t="s">
        <v>27</v>
      </c>
      <c r="M1390">
        <v>5</v>
      </c>
      <c r="N1390" s="2"/>
      <c r="O1390" s="3">
        <v>4037</v>
      </c>
      <c r="P1390">
        <v>0</v>
      </c>
      <c r="Q1390">
        <v>3</v>
      </c>
      <c r="R1390" t="s">
        <v>165</v>
      </c>
      <c r="S1390">
        <v>1</v>
      </c>
    </row>
    <row r="1391" spans="1:19" ht="16.5" x14ac:dyDescent="0.3">
      <c r="A1391" t="s">
        <v>1448</v>
      </c>
      <c r="B1391" s="1">
        <v>45474</v>
      </c>
      <c r="C1391" s="1">
        <v>45476</v>
      </c>
      <c r="D1391">
        <v>2024</v>
      </c>
      <c r="E1391" t="s">
        <v>1445</v>
      </c>
      <c r="F1391" t="s">
        <v>1446</v>
      </c>
      <c r="G1391" t="s">
        <v>22</v>
      </c>
      <c r="H1391" t="s">
        <v>52</v>
      </c>
      <c r="I1391" t="s">
        <v>31</v>
      </c>
      <c r="J1391" t="s">
        <v>43</v>
      </c>
      <c r="K1391" t="s">
        <v>53</v>
      </c>
      <c r="L1391" t="s">
        <v>27</v>
      </c>
      <c r="M1391">
        <v>2</v>
      </c>
      <c r="N1391" s="2"/>
      <c r="O1391" s="3">
        <v>2889</v>
      </c>
      <c r="P1391">
        <v>0</v>
      </c>
      <c r="Q1391">
        <v>5</v>
      </c>
      <c r="R1391" t="s">
        <v>33</v>
      </c>
      <c r="S1391">
        <v>1</v>
      </c>
    </row>
    <row r="1392" spans="1:19" ht="16.5" x14ac:dyDescent="0.3">
      <c r="A1392" t="s">
        <v>1449</v>
      </c>
      <c r="B1392" s="1">
        <v>45474</v>
      </c>
      <c r="C1392" s="1">
        <v>45476</v>
      </c>
      <c r="D1392">
        <v>2024</v>
      </c>
      <c r="E1392" t="s">
        <v>1445</v>
      </c>
      <c r="F1392" t="s">
        <v>1446</v>
      </c>
      <c r="G1392" t="s">
        <v>22</v>
      </c>
      <c r="H1392" t="s">
        <v>39</v>
      </c>
      <c r="I1392" t="s">
        <v>40</v>
      </c>
      <c r="J1392" t="s">
        <v>25</v>
      </c>
      <c r="K1392" t="s">
        <v>41</v>
      </c>
      <c r="L1392" t="s">
        <v>27</v>
      </c>
      <c r="M1392">
        <v>2</v>
      </c>
      <c r="N1392" s="2"/>
      <c r="O1392" s="3">
        <v>2230</v>
      </c>
      <c r="P1392">
        <v>0</v>
      </c>
      <c r="Q1392">
        <v>3</v>
      </c>
      <c r="R1392" t="s">
        <v>33</v>
      </c>
      <c r="S1392">
        <v>1</v>
      </c>
    </row>
    <row r="1393" spans="1:19" ht="16.5" x14ac:dyDescent="0.3">
      <c r="A1393" t="s">
        <v>1450</v>
      </c>
      <c r="B1393" s="1">
        <v>45474</v>
      </c>
      <c r="C1393" s="1">
        <v>45475</v>
      </c>
      <c r="D1393">
        <v>2024</v>
      </c>
      <c r="E1393" t="s">
        <v>1445</v>
      </c>
      <c r="F1393" t="s">
        <v>1446</v>
      </c>
      <c r="G1393" t="s">
        <v>22</v>
      </c>
      <c r="H1393" t="s">
        <v>39</v>
      </c>
      <c r="I1393" t="s">
        <v>24</v>
      </c>
      <c r="J1393" t="s">
        <v>25</v>
      </c>
      <c r="K1393" t="s">
        <v>41</v>
      </c>
      <c r="L1393" t="s">
        <v>27</v>
      </c>
      <c r="M1393">
        <v>1</v>
      </c>
      <c r="N1393" s="2">
        <v>48</v>
      </c>
      <c r="O1393" s="3">
        <v>1997</v>
      </c>
      <c r="P1393">
        <v>0</v>
      </c>
      <c r="Q1393">
        <v>4</v>
      </c>
      <c r="R1393" t="s">
        <v>33</v>
      </c>
      <c r="S1393">
        <v>1</v>
      </c>
    </row>
    <row r="1394" spans="1:19" ht="16.5" x14ac:dyDescent="0.3">
      <c r="A1394" t="s">
        <v>1451</v>
      </c>
      <c r="B1394" s="1">
        <v>45474</v>
      </c>
      <c r="C1394" s="1">
        <v>45476</v>
      </c>
      <c r="D1394">
        <v>2024</v>
      </c>
      <c r="E1394" t="s">
        <v>1445</v>
      </c>
      <c r="F1394" t="s">
        <v>1446</v>
      </c>
      <c r="G1394" t="s">
        <v>22</v>
      </c>
      <c r="H1394" t="s">
        <v>35</v>
      </c>
      <c r="I1394" t="s">
        <v>24</v>
      </c>
      <c r="J1394" t="s">
        <v>25</v>
      </c>
      <c r="K1394" t="s">
        <v>32</v>
      </c>
      <c r="L1394" t="s">
        <v>27</v>
      </c>
      <c r="M1394">
        <v>2</v>
      </c>
      <c r="N1394" s="2">
        <v>20</v>
      </c>
      <c r="O1394" s="3">
        <v>2237</v>
      </c>
      <c r="P1394">
        <v>0</v>
      </c>
      <c r="Q1394">
        <v>5</v>
      </c>
      <c r="R1394" t="s">
        <v>33</v>
      </c>
      <c r="S1394">
        <v>1</v>
      </c>
    </row>
    <row r="1395" spans="1:19" ht="16.5" x14ac:dyDescent="0.3">
      <c r="A1395" t="s">
        <v>1452</v>
      </c>
      <c r="B1395" s="1">
        <v>45474</v>
      </c>
      <c r="C1395" s="1">
        <v>45476</v>
      </c>
      <c r="D1395">
        <v>2024</v>
      </c>
      <c r="E1395" t="s">
        <v>1445</v>
      </c>
      <c r="F1395" t="s">
        <v>1446</v>
      </c>
      <c r="G1395" t="s">
        <v>22</v>
      </c>
      <c r="H1395" t="s">
        <v>23</v>
      </c>
      <c r="I1395" t="s">
        <v>24</v>
      </c>
      <c r="J1395" t="s">
        <v>43</v>
      </c>
      <c r="K1395" t="s">
        <v>36</v>
      </c>
      <c r="L1395" t="s">
        <v>27</v>
      </c>
      <c r="M1395">
        <v>2</v>
      </c>
      <c r="N1395" s="2">
        <v>25</v>
      </c>
      <c r="O1395" s="3">
        <v>2349</v>
      </c>
      <c r="P1395">
        <v>0</v>
      </c>
      <c r="Q1395">
        <v>3</v>
      </c>
      <c r="R1395" t="s">
        <v>33</v>
      </c>
      <c r="S1395">
        <v>1</v>
      </c>
    </row>
    <row r="1396" spans="1:19" ht="16.5" x14ac:dyDescent="0.3">
      <c r="A1396" t="s">
        <v>1453</v>
      </c>
      <c r="B1396" s="1">
        <v>45474</v>
      </c>
      <c r="C1396" s="1">
        <v>45476</v>
      </c>
      <c r="D1396">
        <v>2024</v>
      </c>
      <c r="E1396" t="s">
        <v>1445</v>
      </c>
      <c r="F1396" t="s">
        <v>1446</v>
      </c>
      <c r="G1396" t="s">
        <v>22</v>
      </c>
      <c r="H1396" t="s">
        <v>50</v>
      </c>
      <c r="I1396" t="s">
        <v>24</v>
      </c>
      <c r="J1396" t="s">
        <v>43</v>
      </c>
      <c r="K1396" t="s">
        <v>32</v>
      </c>
      <c r="L1396" t="s">
        <v>44</v>
      </c>
      <c r="M1396">
        <v>2</v>
      </c>
      <c r="N1396" s="2">
        <v>22</v>
      </c>
      <c r="O1396" s="3">
        <v>3602</v>
      </c>
      <c r="P1396">
        <v>1</v>
      </c>
      <c r="Q1396">
        <v>3</v>
      </c>
      <c r="R1396" t="s">
        <v>33</v>
      </c>
      <c r="S1396">
        <v>1</v>
      </c>
    </row>
    <row r="1397" spans="1:19" ht="16.5" x14ac:dyDescent="0.3">
      <c r="A1397" t="s">
        <v>1454</v>
      </c>
      <c r="B1397" s="1">
        <v>45475</v>
      </c>
      <c r="C1397" s="1">
        <v>45478</v>
      </c>
      <c r="D1397">
        <v>2024</v>
      </c>
      <c r="E1397" t="s">
        <v>1445</v>
      </c>
      <c r="F1397" t="s">
        <v>1446</v>
      </c>
      <c r="G1397" t="s">
        <v>56</v>
      </c>
      <c r="H1397" t="s">
        <v>50</v>
      </c>
      <c r="I1397" t="s">
        <v>24</v>
      </c>
      <c r="J1397" t="s">
        <v>43</v>
      </c>
      <c r="K1397" t="s">
        <v>26</v>
      </c>
      <c r="L1397" t="s">
        <v>27</v>
      </c>
      <c r="M1397">
        <v>3</v>
      </c>
      <c r="N1397" s="2">
        <v>28</v>
      </c>
      <c r="O1397" s="3">
        <v>3192</v>
      </c>
      <c r="P1397">
        <v>0</v>
      </c>
      <c r="Q1397">
        <v>4</v>
      </c>
      <c r="R1397" t="s">
        <v>28</v>
      </c>
      <c r="S1397">
        <v>1</v>
      </c>
    </row>
    <row r="1398" spans="1:19" ht="16.5" x14ac:dyDescent="0.3">
      <c r="A1398" t="s">
        <v>1455</v>
      </c>
      <c r="B1398" s="1">
        <v>45475</v>
      </c>
      <c r="C1398" s="1">
        <v>45479</v>
      </c>
      <c r="D1398">
        <v>2024</v>
      </c>
      <c r="E1398" t="s">
        <v>1445</v>
      </c>
      <c r="F1398" t="s">
        <v>1446</v>
      </c>
      <c r="G1398" t="s">
        <v>56</v>
      </c>
      <c r="H1398" t="s">
        <v>35</v>
      </c>
      <c r="I1398" t="s">
        <v>24</v>
      </c>
      <c r="J1398" t="s">
        <v>25</v>
      </c>
      <c r="K1398" t="s">
        <v>32</v>
      </c>
      <c r="L1398" t="s">
        <v>27</v>
      </c>
      <c r="M1398">
        <v>4</v>
      </c>
      <c r="N1398" s="2">
        <v>45</v>
      </c>
      <c r="O1398" s="3">
        <v>3122</v>
      </c>
      <c r="P1398">
        <v>0</v>
      </c>
      <c r="Q1398">
        <v>5</v>
      </c>
      <c r="R1398" t="s">
        <v>28</v>
      </c>
      <c r="S1398">
        <v>1</v>
      </c>
    </row>
    <row r="1399" spans="1:19" ht="16.5" x14ac:dyDescent="0.3">
      <c r="A1399" t="s">
        <v>1456</v>
      </c>
      <c r="B1399" s="1">
        <v>45475</v>
      </c>
      <c r="C1399" s="1">
        <v>45480</v>
      </c>
      <c r="D1399">
        <v>2024</v>
      </c>
      <c r="E1399" t="s">
        <v>1445</v>
      </c>
      <c r="F1399" t="s">
        <v>1446</v>
      </c>
      <c r="G1399" t="s">
        <v>56</v>
      </c>
      <c r="H1399" t="s">
        <v>23</v>
      </c>
      <c r="I1399" t="s">
        <v>24</v>
      </c>
      <c r="J1399" t="s">
        <v>43</v>
      </c>
      <c r="K1399" t="s">
        <v>53</v>
      </c>
      <c r="L1399" t="s">
        <v>44</v>
      </c>
      <c r="M1399">
        <v>5</v>
      </c>
      <c r="N1399" s="2">
        <v>90</v>
      </c>
      <c r="O1399" s="3">
        <v>3894</v>
      </c>
      <c r="P1399">
        <v>0</v>
      </c>
      <c r="Q1399">
        <v>5</v>
      </c>
      <c r="R1399" t="s">
        <v>28</v>
      </c>
      <c r="S1399">
        <v>1</v>
      </c>
    </row>
    <row r="1400" spans="1:19" ht="16.5" x14ac:dyDescent="0.3">
      <c r="A1400" t="s">
        <v>1457</v>
      </c>
      <c r="B1400" s="1">
        <v>45475</v>
      </c>
      <c r="C1400" s="1">
        <v>45482</v>
      </c>
      <c r="D1400">
        <v>2024</v>
      </c>
      <c r="E1400" t="s">
        <v>1445</v>
      </c>
      <c r="F1400" t="s">
        <v>1446</v>
      </c>
      <c r="G1400" t="s">
        <v>56</v>
      </c>
      <c r="H1400" t="s">
        <v>52</v>
      </c>
      <c r="I1400" t="s">
        <v>40</v>
      </c>
      <c r="J1400" t="s">
        <v>25</v>
      </c>
      <c r="K1400" t="s">
        <v>26</v>
      </c>
      <c r="L1400" t="s">
        <v>27</v>
      </c>
      <c r="M1400">
        <v>7</v>
      </c>
      <c r="N1400" s="2"/>
      <c r="O1400" s="3">
        <v>5508</v>
      </c>
      <c r="P1400">
        <v>1</v>
      </c>
      <c r="Q1400">
        <v>4</v>
      </c>
      <c r="R1400" t="s">
        <v>33</v>
      </c>
      <c r="S1400">
        <v>1</v>
      </c>
    </row>
    <row r="1401" spans="1:19" ht="16.5" x14ac:dyDescent="0.3">
      <c r="A1401" t="s">
        <v>1458</v>
      </c>
      <c r="B1401" s="1">
        <v>45476</v>
      </c>
      <c r="C1401" s="1">
        <v>45477</v>
      </c>
      <c r="D1401">
        <v>2024</v>
      </c>
      <c r="E1401" t="s">
        <v>1445</v>
      </c>
      <c r="F1401" t="s">
        <v>1446</v>
      </c>
      <c r="G1401" t="s">
        <v>70</v>
      </c>
      <c r="H1401" t="s">
        <v>35</v>
      </c>
      <c r="I1401" t="s">
        <v>24</v>
      </c>
      <c r="J1401" t="s">
        <v>25</v>
      </c>
      <c r="K1401" t="s">
        <v>36</v>
      </c>
      <c r="L1401" t="s">
        <v>44</v>
      </c>
      <c r="M1401">
        <v>1</v>
      </c>
      <c r="N1401" s="2">
        <v>52</v>
      </c>
      <c r="O1401" s="3">
        <v>1564</v>
      </c>
      <c r="P1401">
        <v>0</v>
      </c>
      <c r="Q1401">
        <v>5</v>
      </c>
      <c r="R1401" t="s">
        <v>28</v>
      </c>
      <c r="S1401">
        <v>1</v>
      </c>
    </row>
    <row r="1402" spans="1:19" ht="16.5" x14ac:dyDescent="0.3">
      <c r="A1402" t="s">
        <v>1459</v>
      </c>
      <c r="B1402" s="1">
        <v>45476</v>
      </c>
      <c r="C1402" s="1">
        <v>45477</v>
      </c>
      <c r="D1402">
        <v>2024</v>
      </c>
      <c r="E1402" t="s">
        <v>1445</v>
      </c>
      <c r="F1402" t="s">
        <v>1446</v>
      </c>
      <c r="G1402" t="s">
        <v>70</v>
      </c>
      <c r="H1402" t="s">
        <v>39</v>
      </c>
      <c r="I1402" t="s">
        <v>24</v>
      </c>
      <c r="J1402" t="s">
        <v>43</v>
      </c>
      <c r="K1402" t="s">
        <v>41</v>
      </c>
      <c r="L1402" t="s">
        <v>44</v>
      </c>
      <c r="M1402">
        <v>1</v>
      </c>
      <c r="N1402" s="2">
        <v>22</v>
      </c>
      <c r="O1402" s="3">
        <v>1490</v>
      </c>
      <c r="P1402">
        <v>0</v>
      </c>
      <c r="Q1402">
        <v>5</v>
      </c>
      <c r="R1402" t="s">
        <v>33</v>
      </c>
      <c r="S1402">
        <v>1</v>
      </c>
    </row>
    <row r="1403" spans="1:19" ht="16.5" x14ac:dyDescent="0.3">
      <c r="A1403" t="s">
        <v>1460</v>
      </c>
      <c r="B1403" s="1">
        <v>45476</v>
      </c>
      <c r="C1403" s="1">
        <v>45485</v>
      </c>
      <c r="D1403">
        <v>2024</v>
      </c>
      <c r="E1403" t="s">
        <v>1445</v>
      </c>
      <c r="F1403" t="s">
        <v>1446</v>
      </c>
      <c r="G1403" t="s">
        <v>70</v>
      </c>
      <c r="H1403" t="s">
        <v>52</v>
      </c>
      <c r="I1403" t="s">
        <v>40</v>
      </c>
      <c r="J1403" t="s">
        <v>43</v>
      </c>
      <c r="K1403" t="s">
        <v>36</v>
      </c>
      <c r="L1403" t="s">
        <v>27</v>
      </c>
      <c r="M1403">
        <v>9</v>
      </c>
      <c r="N1403" s="2"/>
      <c r="O1403" s="3">
        <v>9587</v>
      </c>
      <c r="P1403">
        <v>0</v>
      </c>
      <c r="Q1403">
        <v>4</v>
      </c>
      <c r="R1403" t="s">
        <v>33</v>
      </c>
      <c r="S1403">
        <v>1</v>
      </c>
    </row>
    <row r="1404" spans="1:19" ht="16.5" x14ac:dyDescent="0.3">
      <c r="A1404" t="s">
        <v>1461</v>
      </c>
      <c r="B1404" s="1">
        <v>45476</v>
      </c>
      <c r="C1404" s="1">
        <v>45482</v>
      </c>
      <c r="D1404">
        <v>2024</v>
      </c>
      <c r="E1404" t="s">
        <v>1445</v>
      </c>
      <c r="F1404" t="s">
        <v>1446</v>
      </c>
      <c r="G1404" t="s">
        <v>70</v>
      </c>
      <c r="H1404" t="s">
        <v>35</v>
      </c>
      <c r="I1404" t="s">
        <v>24</v>
      </c>
      <c r="J1404" t="s">
        <v>25</v>
      </c>
      <c r="K1404" t="s">
        <v>36</v>
      </c>
      <c r="L1404" t="s">
        <v>27</v>
      </c>
      <c r="M1404">
        <v>6</v>
      </c>
      <c r="N1404" s="2">
        <v>40</v>
      </c>
      <c r="O1404" s="3">
        <v>3658</v>
      </c>
      <c r="P1404">
        <v>0</v>
      </c>
      <c r="Q1404">
        <v>4</v>
      </c>
      <c r="R1404" t="s">
        <v>33</v>
      </c>
      <c r="S1404">
        <v>1</v>
      </c>
    </row>
    <row r="1405" spans="1:19" ht="16.5" x14ac:dyDescent="0.3">
      <c r="A1405" t="s">
        <v>1462</v>
      </c>
      <c r="B1405" s="1">
        <v>45476</v>
      </c>
      <c r="C1405" s="1">
        <v>45478</v>
      </c>
      <c r="D1405">
        <v>2024</v>
      </c>
      <c r="E1405" t="s">
        <v>1445</v>
      </c>
      <c r="F1405" t="s">
        <v>1446</v>
      </c>
      <c r="G1405" t="s">
        <v>70</v>
      </c>
      <c r="H1405" t="s">
        <v>50</v>
      </c>
      <c r="I1405" t="s">
        <v>31</v>
      </c>
      <c r="J1405" t="s">
        <v>43</v>
      </c>
      <c r="K1405" t="s">
        <v>53</v>
      </c>
      <c r="L1405" t="s">
        <v>44</v>
      </c>
      <c r="M1405">
        <v>2</v>
      </c>
      <c r="N1405" s="2"/>
      <c r="O1405" s="3">
        <v>2190</v>
      </c>
      <c r="P1405">
        <v>0</v>
      </c>
      <c r="Q1405">
        <v>5</v>
      </c>
      <c r="R1405" t="s">
        <v>28</v>
      </c>
      <c r="S1405">
        <v>1</v>
      </c>
    </row>
    <row r="1406" spans="1:19" ht="16.5" x14ac:dyDescent="0.3">
      <c r="A1406" t="s">
        <v>1463</v>
      </c>
      <c r="B1406" s="1">
        <v>45476</v>
      </c>
      <c r="C1406" s="1">
        <v>45478</v>
      </c>
      <c r="D1406">
        <v>2024</v>
      </c>
      <c r="E1406" t="s">
        <v>1445</v>
      </c>
      <c r="F1406" t="s">
        <v>1446</v>
      </c>
      <c r="G1406" t="s">
        <v>70</v>
      </c>
      <c r="H1406" t="s">
        <v>52</v>
      </c>
      <c r="I1406" t="s">
        <v>24</v>
      </c>
      <c r="J1406" t="s">
        <v>25</v>
      </c>
      <c r="K1406" t="s">
        <v>53</v>
      </c>
      <c r="L1406" t="s">
        <v>44</v>
      </c>
      <c r="M1406">
        <v>2</v>
      </c>
      <c r="N1406" s="2">
        <v>30</v>
      </c>
      <c r="O1406" s="3">
        <v>3581</v>
      </c>
      <c r="P1406">
        <v>0</v>
      </c>
      <c r="Q1406">
        <v>4</v>
      </c>
      <c r="R1406" t="s">
        <v>33</v>
      </c>
      <c r="S1406">
        <v>1</v>
      </c>
    </row>
    <row r="1407" spans="1:19" ht="16.5" x14ac:dyDescent="0.3">
      <c r="A1407" t="s">
        <v>1464</v>
      </c>
      <c r="B1407" s="1">
        <v>45476</v>
      </c>
      <c r="C1407" s="1">
        <v>45483</v>
      </c>
      <c r="D1407">
        <v>2024</v>
      </c>
      <c r="E1407" t="s">
        <v>1445</v>
      </c>
      <c r="F1407" t="s">
        <v>1446</v>
      </c>
      <c r="G1407" t="s">
        <v>70</v>
      </c>
      <c r="H1407" t="s">
        <v>52</v>
      </c>
      <c r="I1407" t="s">
        <v>40</v>
      </c>
      <c r="J1407" t="s">
        <v>25</v>
      </c>
      <c r="K1407" t="s">
        <v>36</v>
      </c>
      <c r="L1407" t="s">
        <v>44</v>
      </c>
      <c r="M1407">
        <v>7</v>
      </c>
      <c r="N1407" s="2"/>
      <c r="O1407" s="3">
        <v>8291</v>
      </c>
      <c r="P1407">
        <v>0</v>
      </c>
      <c r="Q1407">
        <v>4</v>
      </c>
      <c r="R1407" t="s">
        <v>33</v>
      </c>
      <c r="S1407">
        <v>1</v>
      </c>
    </row>
    <row r="1408" spans="1:19" ht="16.5" x14ac:dyDescent="0.3">
      <c r="A1408" t="s">
        <v>1465</v>
      </c>
      <c r="B1408" s="1">
        <v>45476</v>
      </c>
      <c r="C1408" s="1">
        <v>45479</v>
      </c>
      <c r="D1408">
        <v>2024</v>
      </c>
      <c r="E1408" t="s">
        <v>1445</v>
      </c>
      <c r="F1408" t="s">
        <v>1446</v>
      </c>
      <c r="G1408" t="s">
        <v>70</v>
      </c>
      <c r="H1408" t="s">
        <v>52</v>
      </c>
      <c r="I1408" t="s">
        <v>24</v>
      </c>
      <c r="J1408" t="s">
        <v>25</v>
      </c>
      <c r="K1408" t="s">
        <v>53</v>
      </c>
      <c r="L1408" t="s">
        <v>27</v>
      </c>
      <c r="M1408">
        <v>3</v>
      </c>
      <c r="N1408" s="2">
        <v>42</v>
      </c>
      <c r="O1408" s="3">
        <v>2684</v>
      </c>
      <c r="P1408">
        <v>0</v>
      </c>
      <c r="Q1408">
        <v>5</v>
      </c>
      <c r="R1408" t="s">
        <v>33</v>
      </c>
      <c r="S1408">
        <v>1</v>
      </c>
    </row>
    <row r="1409" spans="1:19" ht="16.5" x14ac:dyDescent="0.3">
      <c r="A1409" t="s">
        <v>1466</v>
      </c>
      <c r="B1409" s="1">
        <v>45477</v>
      </c>
      <c r="C1409" s="1">
        <v>45487</v>
      </c>
      <c r="D1409">
        <v>2024</v>
      </c>
      <c r="E1409" t="s">
        <v>1445</v>
      </c>
      <c r="F1409" t="s">
        <v>1446</v>
      </c>
      <c r="G1409" t="s">
        <v>78</v>
      </c>
      <c r="H1409" t="s">
        <v>30</v>
      </c>
      <c r="I1409" t="s">
        <v>40</v>
      </c>
      <c r="J1409" t="s">
        <v>43</v>
      </c>
      <c r="K1409" t="s">
        <v>53</v>
      </c>
      <c r="L1409" t="s">
        <v>27</v>
      </c>
      <c r="M1409">
        <v>10</v>
      </c>
      <c r="N1409" s="2"/>
      <c r="O1409" s="3">
        <v>7642</v>
      </c>
      <c r="P1409">
        <v>0</v>
      </c>
      <c r="Q1409">
        <v>4</v>
      </c>
      <c r="R1409" t="s">
        <v>28</v>
      </c>
      <c r="S1409">
        <v>1</v>
      </c>
    </row>
    <row r="1410" spans="1:19" ht="16.5" x14ac:dyDescent="0.3">
      <c r="A1410" t="s">
        <v>1467</v>
      </c>
      <c r="B1410" s="1">
        <v>45477</v>
      </c>
      <c r="C1410" s="1">
        <v>45478</v>
      </c>
      <c r="D1410">
        <v>2024</v>
      </c>
      <c r="E1410" t="s">
        <v>1445</v>
      </c>
      <c r="F1410" t="s">
        <v>1446</v>
      </c>
      <c r="G1410" t="s">
        <v>78</v>
      </c>
      <c r="H1410" t="s">
        <v>39</v>
      </c>
      <c r="I1410" t="s">
        <v>40</v>
      </c>
      <c r="J1410" t="s">
        <v>25</v>
      </c>
      <c r="K1410" t="s">
        <v>41</v>
      </c>
      <c r="L1410" t="s">
        <v>27</v>
      </c>
      <c r="M1410">
        <v>1</v>
      </c>
      <c r="N1410" s="2"/>
      <c r="O1410" s="3">
        <v>1596</v>
      </c>
      <c r="P1410">
        <v>0</v>
      </c>
      <c r="Q1410">
        <v>4</v>
      </c>
      <c r="R1410" t="s">
        <v>28</v>
      </c>
      <c r="S1410">
        <v>1</v>
      </c>
    </row>
    <row r="1411" spans="1:19" ht="16.5" x14ac:dyDescent="0.3">
      <c r="A1411" t="s">
        <v>1468</v>
      </c>
      <c r="B1411" s="1">
        <v>45477</v>
      </c>
      <c r="C1411" s="1">
        <v>45485</v>
      </c>
      <c r="D1411">
        <v>2024</v>
      </c>
      <c r="E1411" t="s">
        <v>1445</v>
      </c>
      <c r="F1411" t="s">
        <v>1446</v>
      </c>
      <c r="G1411" t="s">
        <v>78</v>
      </c>
      <c r="H1411" t="s">
        <v>23</v>
      </c>
      <c r="I1411" t="s">
        <v>24</v>
      </c>
      <c r="J1411" t="s">
        <v>25</v>
      </c>
      <c r="K1411" t="s">
        <v>36</v>
      </c>
      <c r="L1411" t="s">
        <v>44</v>
      </c>
      <c r="M1411">
        <v>8</v>
      </c>
      <c r="N1411" s="2">
        <v>17</v>
      </c>
      <c r="O1411" s="3">
        <v>5366</v>
      </c>
      <c r="P1411">
        <v>0</v>
      </c>
      <c r="Q1411">
        <v>5</v>
      </c>
      <c r="R1411" t="s">
        <v>33</v>
      </c>
      <c r="S1411">
        <v>1</v>
      </c>
    </row>
    <row r="1412" spans="1:19" ht="16.5" x14ac:dyDescent="0.3">
      <c r="A1412" t="s">
        <v>1469</v>
      </c>
      <c r="B1412" s="1">
        <v>45477</v>
      </c>
      <c r="C1412" s="1">
        <v>45495</v>
      </c>
      <c r="D1412">
        <v>2024</v>
      </c>
      <c r="E1412" t="s">
        <v>1445</v>
      </c>
      <c r="F1412" t="s">
        <v>1446</v>
      </c>
      <c r="G1412" t="s">
        <v>78</v>
      </c>
      <c r="H1412" t="s">
        <v>52</v>
      </c>
      <c r="I1412" t="s">
        <v>24</v>
      </c>
      <c r="J1412" t="s">
        <v>43</v>
      </c>
      <c r="K1412" t="s">
        <v>26</v>
      </c>
      <c r="L1412" t="s">
        <v>44</v>
      </c>
      <c r="M1412">
        <v>18</v>
      </c>
      <c r="N1412" s="2">
        <v>17</v>
      </c>
      <c r="O1412" s="3">
        <v>15857</v>
      </c>
      <c r="P1412">
        <v>0</v>
      </c>
      <c r="Q1412">
        <v>4</v>
      </c>
      <c r="R1412" t="s">
        <v>33</v>
      </c>
      <c r="S1412">
        <v>1</v>
      </c>
    </row>
    <row r="1413" spans="1:19" ht="16.5" x14ac:dyDescent="0.3">
      <c r="A1413" t="s">
        <v>1470</v>
      </c>
      <c r="B1413" s="1">
        <v>45477</v>
      </c>
      <c r="C1413" s="1">
        <v>45479</v>
      </c>
      <c r="D1413">
        <v>2024</v>
      </c>
      <c r="E1413" t="s">
        <v>1445</v>
      </c>
      <c r="F1413" t="s">
        <v>1446</v>
      </c>
      <c r="G1413" t="s">
        <v>78</v>
      </c>
      <c r="H1413" t="s">
        <v>39</v>
      </c>
      <c r="I1413" t="s">
        <v>24</v>
      </c>
      <c r="J1413" t="s">
        <v>43</v>
      </c>
      <c r="K1413" t="s">
        <v>41</v>
      </c>
      <c r="L1413" t="s">
        <v>27</v>
      </c>
      <c r="M1413">
        <v>2</v>
      </c>
      <c r="N1413" s="2">
        <v>36</v>
      </c>
      <c r="O1413" s="3">
        <v>1950</v>
      </c>
      <c r="P1413">
        <v>0</v>
      </c>
      <c r="Q1413">
        <v>4</v>
      </c>
      <c r="R1413" t="s">
        <v>33</v>
      </c>
      <c r="S1413">
        <v>1</v>
      </c>
    </row>
    <row r="1414" spans="1:19" ht="16.5" x14ac:dyDescent="0.3">
      <c r="A1414" t="s">
        <v>1471</v>
      </c>
      <c r="B1414" s="1">
        <v>45477</v>
      </c>
      <c r="C1414" s="1">
        <v>45483</v>
      </c>
      <c r="D1414">
        <v>2024</v>
      </c>
      <c r="E1414" t="s">
        <v>1445</v>
      </c>
      <c r="F1414" t="s">
        <v>1446</v>
      </c>
      <c r="G1414" t="s">
        <v>78</v>
      </c>
      <c r="H1414" t="s">
        <v>23</v>
      </c>
      <c r="I1414" t="s">
        <v>24</v>
      </c>
      <c r="J1414" t="s">
        <v>43</v>
      </c>
      <c r="K1414" t="s">
        <v>26</v>
      </c>
      <c r="L1414" t="s">
        <v>44</v>
      </c>
      <c r="M1414">
        <v>6</v>
      </c>
      <c r="N1414" s="2">
        <v>32</v>
      </c>
      <c r="O1414" s="3">
        <v>3163</v>
      </c>
      <c r="P1414">
        <v>0</v>
      </c>
      <c r="Q1414">
        <v>5</v>
      </c>
      <c r="R1414" t="s">
        <v>28</v>
      </c>
      <c r="S1414">
        <v>1</v>
      </c>
    </row>
    <row r="1415" spans="1:19" ht="16.5" x14ac:dyDescent="0.3">
      <c r="A1415" t="s">
        <v>1472</v>
      </c>
      <c r="B1415" s="1">
        <v>45478</v>
      </c>
      <c r="C1415" s="1">
        <v>45493</v>
      </c>
      <c r="D1415">
        <v>2024</v>
      </c>
      <c r="E1415" t="s">
        <v>1445</v>
      </c>
      <c r="F1415" t="s">
        <v>1446</v>
      </c>
      <c r="G1415" t="s">
        <v>83</v>
      </c>
      <c r="H1415" t="s">
        <v>23</v>
      </c>
      <c r="I1415" t="s">
        <v>24</v>
      </c>
      <c r="J1415" t="s">
        <v>43</v>
      </c>
      <c r="K1415" t="s">
        <v>53</v>
      </c>
      <c r="L1415" t="s">
        <v>44</v>
      </c>
      <c r="M1415">
        <v>15</v>
      </c>
      <c r="N1415" s="2">
        <v>38</v>
      </c>
      <c r="O1415" s="3">
        <v>9701</v>
      </c>
      <c r="P1415">
        <v>1</v>
      </c>
      <c r="Q1415">
        <v>5</v>
      </c>
      <c r="R1415" t="s">
        <v>33</v>
      </c>
      <c r="S1415">
        <v>1</v>
      </c>
    </row>
    <row r="1416" spans="1:19" ht="16.5" x14ac:dyDescent="0.3">
      <c r="A1416" t="s">
        <v>1473</v>
      </c>
      <c r="B1416" s="1">
        <v>45478</v>
      </c>
      <c r="C1416" s="1">
        <v>45484</v>
      </c>
      <c r="D1416">
        <v>2024</v>
      </c>
      <c r="E1416" t="s">
        <v>1445</v>
      </c>
      <c r="F1416" t="s">
        <v>1446</v>
      </c>
      <c r="G1416" t="s">
        <v>83</v>
      </c>
      <c r="H1416" t="s">
        <v>30</v>
      </c>
      <c r="I1416" t="s">
        <v>40</v>
      </c>
      <c r="J1416" t="s">
        <v>43</v>
      </c>
      <c r="K1416" t="s">
        <v>32</v>
      </c>
      <c r="L1416" t="s">
        <v>27</v>
      </c>
      <c r="M1416">
        <v>6</v>
      </c>
      <c r="N1416" s="2"/>
      <c r="O1416" s="3">
        <v>5691</v>
      </c>
      <c r="P1416">
        <v>1</v>
      </c>
      <c r="Q1416">
        <v>4</v>
      </c>
      <c r="R1416" t="s">
        <v>28</v>
      </c>
      <c r="S1416">
        <v>1</v>
      </c>
    </row>
    <row r="1417" spans="1:19" ht="16.5" x14ac:dyDescent="0.3">
      <c r="A1417" t="s">
        <v>1474</v>
      </c>
      <c r="B1417" s="1">
        <v>45478</v>
      </c>
      <c r="C1417" s="1">
        <v>45480</v>
      </c>
      <c r="D1417">
        <v>2024</v>
      </c>
      <c r="E1417" t="s">
        <v>1445</v>
      </c>
      <c r="F1417" t="s">
        <v>1446</v>
      </c>
      <c r="G1417" t="s">
        <v>83</v>
      </c>
      <c r="H1417" t="s">
        <v>35</v>
      </c>
      <c r="I1417" t="s">
        <v>40</v>
      </c>
      <c r="J1417" t="s">
        <v>25</v>
      </c>
      <c r="K1417" t="s">
        <v>32</v>
      </c>
      <c r="L1417" t="s">
        <v>44</v>
      </c>
      <c r="M1417">
        <v>2</v>
      </c>
      <c r="N1417" s="2"/>
      <c r="O1417" s="3">
        <v>1875</v>
      </c>
      <c r="P1417">
        <v>0</v>
      </c>
      <c r="Q1417">
        <v>3</v>
      </c>
      <c r="R1417" t="s">
        <v>33</v>
      </c>
      <c r="S1417">
        <v>1</v>
      </c>
    </row>
    <row r="1418" spans="1:19" ht="16.5" x14ac:dyDescent="0.3">
      <c r="A1418" t="s">
        <v>1475</v>
      </c>
      <c r="B1418" s="1">
        <v>45478</v>
      </c>
      <c r="C1418" s="1">
        <v>45483</v>
      </c>
      <c r="D1418">
        <v>2024</v>
      </c>
      <c r="E1418" t="s">
        <v>1445</v>
      </c>
      <c r="F1418" t="s">
        <v>1446</v>
      </c>
      <c r="G1418" t="s">
        <v>83</v>
      </c>
      <c r="H1418" t="s">
        <v>23</v>
      </c>
      <c r="I1418" t="s">
        <v>24</v>
      </c>
      <c r="J1418" t="s">
        <v>43</v>
      </c>
      <c r="K1418" t="s">
        <v>26</v>
      </c>
      <c r="L1418" t="s">
        <v>27</v>
      </c>
      <c r="M1418">
        <v>5</v>
      </c>
      <c r="N1418" s="2">
        <v>67</v>
      </c>
      <c r="O1418" s="3">
        <v>3397</v>
      </c>
      <c r="P1418">
        <v>0</v>
      </c>
      <c r="Q1418">
        <v>5</v>
      </c>
      <c r="R1418" t="s">
        <v>33</v>
      </c>
      <c r="S1418">
        <v>1</v>
      </c>
    </row>
    <row r="1419" spans="1:19" ht="16.5" x14ac:dyDescent="0.3">
      <c r="A1419" t="s">
        <v>1476</v>
      </c>
      <c r="B1419" s="1">
        <v>45478</v>
      </c>
      <c r="C1419" s="1">
        <v>45487</v>
      </c>
      <c r="D1419">
        <v>2024</v>
      </c>
      <c r="E1419" t="s">
        <v>1445</v>
      </c>
      <c r="F1419" t="s">
        <v>1446</v>
      </c>
      <c r="G1419" t="s">
        <v>83</v>
      </c>
      <c r="H1419" t="s">
        <v>23</v>
      </c>
      <c r="I1419" t="s">
        <v>24</v>
      </c>
      <c r="J1419" t="s">
        <v>43</v>
      </c>
      <c r="K1419" t="s">
        <v>32</v>
      </c>
      <c r="L1419" t="s">
        <v>27</v>
      </c>
      <c r="M1419">
        <v>9</v>
      </c>
      <c r="N1419" s="2">
        <v>27</v>
      </c>
      <c r="O1419" s="3">
        <v>6092</v>
      </c>
      <c r="P1419">
        <v>0</v>
      </c>
      <c r="Q1419">
        <v>5</v>
      </c>
      <c r="R1419" t="s">
        <v>33</v>
      </c>
      <c r="S1419">
        <v>1</v>
      </c>
    </row>
    <row r="1420" spans="1:19" ht="16.5" x14ac:dyDescent="0.3">
      <c r="A1420" t="s">
        <v>1477</v>
      </c>
      <c r="B1420" s="1">
        <v>45478</v>
      </c>
      <c r="C1420" s="1">
        <v>45480</v>
      </c>
      <c r="D1420">
        <v>2024</v>
      </c>
      <c r="E1420" t="s">
        <v>1445</v>
      </c>
      <c r="F1420" t="s">
        <v>1446</v>
      </c>
      <c r="G1420" t="s">
        <v>83</v>
      </c>
      <c r="H1420" t="s">
        <v>52</v>
      </c>
      <c r="I1420" t="s">
        <v>40</v>
      </c>
      <c r="J1420" t="s">
        <v>25</v>
      </c>
      <c r="K1420" t="s">
        <v>36</v>
      </c>
      <c r="L1420" t="s">
        <v>27</v>
      </c>
      <c r="M1420">
        <v>2</v>
      </c>
      <c r="N1420" s="2"/>
      <c r="O1420" s="3">
        <v>1754</v>
      </c>
      <c r="P1420">
        <v>0</v>
      </c>
      <c r="Q1420">
        <v>4</v>
      </c>
      <c r="R1420" t="s">
        <v>33</v>
      </c>
      <c r="S1420">
        <v>1</v>
      </c>
    </row>
    <row r="1421" spans="1:19" ht="16.5" x14ac:dyDescent="0.3">
      <c r="A1421" t="s">
        <v>1478</v>
      </c>
      <c r="B1421" s="1">
        <v>45479</v>
      </c>
      <c r="C1421" s="1">
        <v>45484</v>
      </c>
      <c r="D1421">
        <v>2024</v>
      </c>
      <c r="E1421" t="s">
        <v>1445</v>
      </c>
      <c r="F1421" t="s">
        <v>1446</v>
      </c>
      <c r="G1421" t="s">
        <v>102</v>
      </c>
      <c r="H1421" t="s">
        <v>23</v>
      </c>
      <c r="I1421" t="s">
        <v>24</v>
      </c>
      <c r="J1421" t="s">
        <v>25</v>
      </c>
      <c r="K1421" t="s">
        <v>32</v>
      </c>
      <c r="L1421" t="s">
        <v>27</v>
      </c>
      <c r="M1421">
        <v>5</v>
      </c>
      <c r="N1421" s="2">
        <v>24</v>
      </c>
      <c r="O1421" s="3">
        <v>4896</v>
      </c>
      <c r="P1421">
        <v>0</v>
      </c>
      <c r="Q1421">
        <v>4</v>
      </c>
      <c r="R1421" t="s">
        <v>28</v>
      </c>
      <c r="S1421">
        <v>1</v>
      </c>
    </row>
    <row r="1422" spans="1:19" ht="16.5" x14ac:dyDescent="0.3">
      <c r="A1422" t="s">
        <v>1479</v>
      </c>
      <c r="B1422" s="1">
        <v>45479</v>
      </c>
      <c r="C1422" s="1">
        <v>45481</v>
      </c>
      <c r="D1422">
        <v>2024</v>
      </c>
      <c r="E1422" t="s">
        <v>1445</v>
      </c>
      <c r="F1422" t="s">
        <v>1446</v>
      </c>
      <c r="G1422" t="s">
        <v>102</v>
      </c>
      <c r="H1422" t="s">
        <v>52</v>
      </c>
      <c r="I1422" t="s">
        <v>40</v>
      </c>
      <c r="J1422" t="s">
        <v>25</v>
      </c>
      <c r="K1422" t="s">
        <v>53</v>
      </c>
      <c r="L1422" t="s">
        <v>27</v>
      </c>
      <c r="M1422">
        <v>2</v>
      </c>
      <c r="N1422" s="2"/>
      <c r="O1422" s="3">
        <v>3012</v>
      </c>
      <c r="P1422">
        <v>0</v>
      </c>
      <c r="Q1422">
        <v>4</v>
      </c>
      <c r="R1422" t="s">
        <v>28</v>
      </c>
      <c r="S1422">
        <v>1</v>
      </c>
    </row>
    <row r="1423" spans="1:19" ht="16.5" x14ac:dyDescent="0.3">
      <c r="A1423" t="s">
        <v>1480</v>
      </c>
      <c r="B1423" s="1">
        <v>45479</v>
      </c>
      <c r="C1423" s="1">
        <v>45481</v>
      </c>
      <c r="D1423">
        <v>2024</v>
      </c>
      <c r="E1423" t="s">
        <v>1445</v>
      </c>
      <c r="F1423" t="s">
        <v>1446</v>
      </c>
      <c r="G1423" t="s">
        <v>102</v>
      </c>
      <c r="H1423" t="s">
        <v>50</v>
      </c>
      <c r="I1423" t="s">
        <v>31</v>
      </c>
      <c r="J1423" t="s">
        <v>43</v>
      </c>
      <c r="K1423" t="s">
        <v>53</v>
      </c>
      <c r="L1423" t="s">
        <v>44</v>
      </c>
      <c r="M1423">
        <v>2</v>
      </c>
      <c r="N1423" s="2"/>
      <c r="O1423" s="3">
        <v>2868</v>
      </c>
      <c r="P1423">
        <v>1</v>
      </c>
      <c r="Q1423">
        <v>4</v>
      </c>
      <c r="R1423" t="s">
        <v>33</v>
      </c>
      <c r="S1423">
        <v>1</v>
      </c>
    </row>
    <row r="1424" spans="1:19" ht="16.5" x14ac:dyDescent="0.3">
      <c r="A1424" t="s">
        <v>1481</v>
      </c>
      <c r="B1424" s="1">
        <v>45479</v>
      </c>
      <c r="C1424" s="1">
        <v>45484</v>
      </c>
      <c r="D1424">
        <v>2024</v>
      </c>
      <c r="E1424" t="s">
        <v>1445</v>
      </c>
      <c r="F1424" t="s">
        <v>1446</v>
      </c>
      <c r="G1424" t="s">
        <v>102</v>
      </c>
      <c r="H1424" t="s">
        <v>39</v>
      </c>
      <c r="I1424" t="s">
        <v>24</v>
      </c>
      <c r="J1424" t="s">
        <v>25</v>
      </c>
      <c r="K1424" t="s">
        <v>41</v>
      </c>
      <c r="L1424" t="s">
        <v>27</v>
      </c>
      <c r="M1424">
        <v>5</v>
      </c>
      <c r="N1424" s="2">
        <v>20</v>
      </c>
      <c r="O1424" s="3">
        <v>3104</v>
      </c>
      <c r="P1424">
        <v>0</v>
      </c>
      <c r="Q1424">
        <v>5</v>
      </c>
      <c r="R1424" t="s">
        <v>33</v>
      </c>
      <c r="S1424">
        <v>1</v>
      </c>
    </row>
    <row r="1425" spans="1:19" ht="16.5" x14ac:dyDescent="0.3">
      <c r="A1425" t="s">
        <v>1482</v>
      </c>
      <c r="B1425" s="1">
        <v>45479</v>
      </c>
      <c r="C1425" s="1">
        <v>45482</v>
      </c>
      <c r="D1425">
        <v>2024</v>
      </c>
      <c r="E1425" t="s">
        <v>1445</v>
      </c>
      <c r="F1425" t="s">
        <v>1446</v>
      </c>
      <c r="G1425" t="s">
        <v>102</v>
      </c>
      <c r="H1425" t="s">
        <v>52</v>
      </c>
      <c r="I1425" t="s">
        <v>24</v>
      </c>
      <c r="J1425" t="s">
        <v>25</v>
      </c>
      <c r="K1425" t="s">
        <v>32</v>
      </c>
      <c r="L1425" t="s">
        <v>37</v>
      </c>
      <c r="M1425">
        <v>3</v>
      </c>
      <c r="N1425" s="2">
        <v>37</v>
      </c>
      <c r="O1425" s="3">
        <v>3049</v>
      </c>
      <c r="P1425">
        <v>0</v>
      </c>
      <c r="Q1425">
        <v>4</v>
      </c>
      <c r="R1425" t="s">
        <v>28</v>
      </c>
      <c r="S1425">
        <v>1</v>
      </c>
    </row>
    <row r="1426" spans="1:19" ht="16.5" x14ac:dyDescent="0.3">
      <c r="A1426" t="s">
        <v>1483</v>
      </c>
      <c r="B1426" s="1">
        <v>45479</v>
      </c>
      <c r="C1426" s="1">
        <v>45480</v>
      </c>
      <c r="D1426">
        <v>2024</v>
      </c>
      <c r="E1426" t="s">
        <v>1445</v>
      </c>
      <c r="F1426" t="s">
        <v>1446</v>
      </c>
      <c r="G1426" t="s">
        <v>102</v>
      </c>
      <c r="H1426" t="s">
        <v>35</v>
      </c>
      <c r="I1426" t="s">
        <v>24</v>
      </c>
      <c r="J1426" t="s">
        <v>25</v>
      </c>
      <c r="K1426" t="s">
        <v>32</v>
      </c>
      <c r="L1426" t="s">
        <v>37</v>
      </c>
      <c r="M1426">
        <v>1</v>
      </c>
      <c r="N1426" s="2">
        <v>57</v>
      </c>
      <c r="O1426" s="3">
        <v>1966</v>
      </c>
      <c r="P1426">
        <v>0</v>
      </c>
      <c r="Q1426">
        <v>5</v>
      </c>
      <c r="R1426" t="s">
        <v>33</v>
      </c>
      <c r="S1426">
        <v>1</v>
      </c>
    </row>
    <row r="1427" spans="1:19" ht="16.5" x14ac:dyDescent="0.3">
      <c r="A1427" t="s">
        <v>1484</v>
      </c>
      <c r="B1427" s="1">
        <v>45479</v>
      </c>
      <c r="C1427" s="1">
        <v>45481</v>
      </c>
      <c r="D1427">
        <v>2024</v>
      </c>
      <c r="E1427" t="s">
        <v>1445</v>
      </c>
      <c r="F1427" t="s">
        <v>1446</v>
      </c>
      <c r="G1427" t="s">
        <v>102</v>
      </c>
      <c r="H1427" t="s">
        <v>39</v>
      </c>
      <c r="I1427" t="s">
        <v>24</v>
      </c>
      <c r="J1427" t="s">
        <v>25</v>
      </c>
      <c r="K1427" t="s">
        <v>41</v>
      </c>
      <c r="L1427" t="s">
        <v>27</v>
      </c>
      <c r="M1427">
        <v>2</v>
      </c>
      <c r="N1427" s="2">
        <v>46</v>
      </c>
      <c r="O1427" s="3">
        <v>1639</v>
      </c>
      <c r="P1427">
        <v>0</v>
      </c>
      <c r="Q1427">
        <v>3</v>
      </c>
      <c r="R1427" t="s">
        <v>33</v>
      </c>
      <c r="S1427">
        <v>1</v>
      </c>
    </row>
    <row r="1428" spans="1:19" ht="16.5" x14ac:dyDescent="0.3">
      <c r="A1428" t="s">
        <v>1485</v>
      </c>
      <c r="B1428" s="1">
        <v>45480</v>
      </c>
      <c r="C1428" s="1">
        <v>45482</v>
      </c>
      <c r="D1428">
        <v>2024</v>
      </c>
      <c r="E1428" t="s">
        <v>1445</v>
      </c>
      <c r="F1428" t="s">
        <v>1446</v>
      </c>
      <c r="G1428" t="s">
        <v>112</v>
      </c>
      <c r="H1428" t="s">
        <v>23</v>
      </c>
      <c r="I1428" t="s">
        <v>24</v>
      </c>
      <c r="J1428" t="s">
        <v>25</v>
      </c>
      <c r="K1428" t="s">
        <v>53</v>
      </c>
      <c r="L1428" t="s">
        <v>27</v>
      </c>
      <c r="M1428">
        <v>2</v>
      </c>
      <c r="N1428" s="2">
        <v>145</v>
      </c>
      <c r="O1428" s="3">
        <v>2036</v>
      </c>
      <c r="P1428">
        <v>1</v>
      </c>
      <c r="Q1428">
        <v>3</v>
      </c>
      <c r="R1428" t="s">
        <v>33</v>
      </c>
      <c r="S1428">
        <v>1</v>
      </c>
    </row>
    <row r="1429" spans="1:19" ht="16.5" x14ac:dyDescent="0.3">
      <c r="A1429" t="s">
        <v>1486</v>
      </c>
      <c r="B1429" s="1">
        <v>45480</v>
      </c>
      <c r="C1429" s="1">
        <v>45484</v>
      </c>
      <c r="D1429">
        <v>2024</v>
      </c>
      <c r="E1429" t="s">
        <v>1445</v>
      </c>
      <c r="F1429" t="s">
        <v>1446</v>
      </c>
      <c r="G1429" t="s">
        <v>112</v>
      </c>
      <c r="H1429" t="s">
        <v>23</v>
      </c>
      <c r="I1429" t="s">
        <v>40</v>
      </c>
      <c r="J1429" t="s">
        <v>43</v>
      </c>
      <c r="K1429" t="s">
        <v>36</v>
      </c>
      <c r="L1429" t="s">
        <v>37</v>
      </c>
      <c r="M1429">
        <v>4</v>
      </c>
      <c r="N1429" s="2"/>
      <c r="O1429" s="3">
        <v>3518</v>
      </c>
      <c r="P1429">
        <v>1</v>
      </c>
      <c r="Q1429">
        <v>4</v>
      </c>
      <c r="R1429" t="s">
        <v>28</v>
      </c>
      <c r="S1429">
        <v>1</v>
      </c>
    </row>
    <row r="1430" spans="1:19" ht="16.5" x14ac:dyDescent="0.3">
      <c r="A1430" t="s">
        <v>1487</v>
      </c>
      <c r="B1430" s="1">
        <v>45480</v>
      </c>
      <c r="C1430" s="1">
        <v>45488</v>
      </c>
      <c r="D1430">
        <v>2024</v>
      </c>
      <c r="E1430" t="s">
        <v>1445</v>
      </c>
      <c r="F1430" t="s">
        <v>1446</v>
      </c>
      <c r="G1430" t="s">
        <v>112</v>
      </c>
      <c r="H1430" t="s">
        <v>50</v>
      </c>
      <c r="I1430" t="s">
        <v>24</v>
      </c>
      <c r="J1430" t="s">
        <v>43</v>
      </c>
      <c r="K1430" t="s">
        <v>53</v>
      </c>
      <c r="L1430" t="s">
        <v>44</v>
      </c>
      <c r="M1430">
        <v>8</v>
      </c>
      <c r="N1430" s="2">
        <v>24</v>
      </c>
      <c r="O1430" s="3">
        <v>9610</v>
      </c>
      <c r="P1430">
        <v>0</v>
      </c>
      <c r="Q1430">
        <v>4</v>
      </c>
      <c r="R1430" t="s">
        <v>33</v>
      </c>
      <c r="S1430">
        <v>1</v>
      </c>
    </row>
    <row r="1431" spans="1:19" ht="16.5" x14ac:dyDescent="0.3">
      <c r="A1431" t="s">
        <v>1488</v>
      </c>
      <c r="B1431" s="1">
        <v>45480</v>
      </c>
      <c r="C1431" s="1">
        <v>45484</v>
      </c>
      <c r="D1431">
        <v>2024</v>
      </c>
      <c r="E1431" t="s">
        <v>1445</v>
      </c>
      <c r="F1431" t="s">
        <v>1446</v>
      </c>
      <c r="G1431" t="s">
        <v>112</v>
      </c>
      <c r="H1431" t="s">
        <v>35</v>
      </c>
      <c r="I1431" t="s">
        <v>31</v>
      </c>
      <c r="J1431" t="s">
        <v>25</v>
      </c>
      <c r="K1431" t="s">
        <v>32</v>
      </c>
      <c r="L1431" t="s">
        <v>27</v>
      </c>
      <c r="M1431">
        <v>4</v>
      </c>
      <c r="N1431" s="2"/>
      <c r="O1431" s="3">
        <v>2836</v>
      </c>
      <c r="P1431">
        <v>0</v>
      </c>
      <c r="Q1431">
        <v>4</v>
      </c>
      <c r="R1431" t="s">
        <v>28</v>
      </c>
      <c r="S1431">
        <v>1</v>
      </c>
    </row>
    <row r="1432" spans="1:19" ht="16.5" x14ac:dyDescent="0.3">
      <c r="A1432" t="s">
        <v>1489</v>
      </c>
      <c r="B1432" s="1">
        <v>45480</v>
      </c>
      <c r="C1432" s="1">
        <v>45483</v>
      </c>
      <c r="D1432">
        <v>2024</v>
      </c>
      <c r="E1432" t="s">
        <v>1445</v>
      </c>
      <c r="F1432" t="s">
        <v>1446</v>
      </c>
      <c r="G1432" t="s">
        <v>112</v>
      </c>
      <c r="H1432" t="s">
        <v>39</v>
      </c>
      <c r="I1432" t="s">
        <v>24</v>
      </c>
      <c r="J1432" t="s">
        <v>25</v>
      </c>
      <c r="K1432" t="s">
        <v>41</v>
      </c>
      <c r="L1432" t="s">
        <v>27</v>
      </c>
      <c r="M1432">
        <v>3</v>
      </c>
      <c r="N1432" s="2">
        <v>125</v>
      </c>
      <c r="O1432" s="3">
        <v>2102</v>
      </c>
      <c r="P1432">
        <v>0</v>
      </c>
      <c r="Q1432">
        <v>3</v>
      </c>
      <c r="R1432" t="s">
        <v>33</v>
      </c>
      <c r="S1432">
        <v>1</v>
      </c>
    </row>
    <row r="1433" spans="1:19" ht="16.5" x14ac:dyDescent="0.3">
      <c r="A1433" t="s">
        <v>1490</v>
      </c>
      <c r="B1433" s="1">
        <v>45480</v>
      </c>
      <c r="C1433" s="1">
        <v>45486</v>
      </c>
      <c r="D1433">
        <v>2024</v>
      </c>
      <c r="E1433" t="s">
        <v>1445</v>
      </c>
      <c r="F1433" t="s">
        <v>1446</v>
      </c>
      <c r="G1433" t="s">
        <v>112</v>
      </c>
      <c r="H1433" t="s">
        <v>52</v>
      </c>
      <c r="I1433" t="s">
        <v>24</v>
      </c>
      <c r="J1433" t="s">
        <v>25</v>
      </c>
      <c r="K1433" t="s">
        <v>32</v>
      </c>
      <c r="L1433" t="s">
        <v>44</v>
      </c>
      <c r="M1433">
        <v>6</v>
      </c>
      <c r="N1433" s="2">
        <v>42</v>
      </c>
      <c r="O1433" s="3">
        <v>6368</v>
      </c>
      <c r="P1433">
        <v>0</v>
      </c>
      <c r="Q1433">
        <v>5</v>
      </c>
      <c r="R1433" t="s">
        <v>33</v>
      </c>
      <c r="S1433">
        <v>1</v>
      </c>
    </row>
    <row r="1434" spans="1:19" ht="16.5" x14ac:dyDescent="0.3">
      <c r="A1434" t="s">
        <v>1491</v>
      </c>
      <c r="B1434" s="1">
        <v>45480</v>
      </c>
      <c r="C1434" s="1">
        <v>45481</v>
      </c>
      <c r="D1434">
        <v>2024</v>
      </c>
      <c r="E1434" t="s">
        <v>1445</v>
      </c>
      <c r="F1434" t="s">
        <v>1446</v>
      </c>
      <c r="G1434" t="s">
        <v>112</v>
      </c>
      <c r="H1434" t="s">
        <v>50</v>
      </c>
      <c r="I1434" t="s">
        <v>24</v>
      </c>
      <c r="J1434" t="s">
        <v>43</v>
      </c>
      <c r="K1434" t="s">
        <v>32</v>
      </c>
      <c r="L1434" t="s">
        <v>44</v>
      </c>
      <c r="M1434">
        <v>1</v>
      </c>
      <c r="N1434" s="2">
        <v>36</v>
      </c>
      <c r="O1434" s="3">
        <v>2241</v>
      </c>
      <c r="P1434">
        <v>0</v>
      </c>
      <c r="Q1434">
        <v>3</v>
      </c>
      <c r="R1434" t="s">
        <v>33</v>
      </c>
      <c r="S1434">
        <v>1</v>
      </c>
    </row>
    <row r="1435" spans="1:19" ht="16.5" x14ac:dyDescent="0.3">
      <c r="A1435" t="s">
        <v>1492</v>
      </c>
      <c r="B1435" s="1">
        <v>45481</v>
      </c>
      <c r="C1435" s="1">
        <v>45482</v>
      </c>
      <c r="D1435">
        <v>2024</v>
      </c>
      <c r="E1435" t="s">
        <v>1445</v>
      </c>
      <c r="F1435" t="s">
        <v>1446</v>
      </c>
      <c r="G1435" t="s">
        <v>22</v>
      </c>
      <c r="H1435" t="s">
        <v>39</v>
      </c>
      <c r="I1435" t="s">
        <v>40</v>
      </c>
      <c r="J1435" t="s">
        <v>25</v>
      </c>
      <c r="K1435" t="s">
        <v>41</v>
      </c>
      <c r="L1435" t="s">
        <v>44</v>
      </c>
      <c r="M1435">
        <v>1</v>
      </c>
      <c r="N1435" s="2"/>
      <c r="O1435" s="3">
        <v>1429</v>
      </c>
      <c r="P1435">
        <v>0</v>
      </c>
      <c r="Q1435">
        <v>5</v>
      </c>
      <c r="R1435" t="s">
        <v>33</v>
      </c>
      <c r="S1435">
        <v>1</v>
      </c>
    </row>
    <row r="1436" spans="1:19" ht="16.5" x14ac:dyDescent="0.3">
      <c r="A1436" t="s">
        <v>1493</v>
      </c>
      <c r="B1436" s="1">
        <v>45481</v>
      </c>
      <c r="C1436" s="1">
        <v>45496</v>
      </c>
      <c r="D1436">
        <v>2024</v>
      </c>
      <c r="E1436" t="s">
        <v>1445</v>
      </c>
      <c r="F1436" t="s">
        <v>1446</v>
      </c>
      <c r="G1436" t="s">
        <v>22</v>
      </c>
      <c r="H1436" t="s">
        <v>39</v>
      </c>
      <c r="I1436" t="s">
        <v>24</v>
      </c>
      <c r="J1436" t="s">
        <v>25</v>
      </c>
      <c r="K1436" t="s">
        <v>41</v>
      </c>
      <c r="L1436" t="s">
        <v>44</v>
      </c>
      <c r="M1436">
        <v>15</v>
      </c>
      <c r="N1436" s="2">
        <v>37</v>
      </c>
      <c r="O1436" s="3">
        <v>10330</v>
      </c>
      <c r="P1436">
        <v>1</v>
      </c>
      <c r="Q1436">
        <v>4</v>
      </c>
      <c r="R1436" t="s">
        <v>59</v>
      </c>
      <c r="S1436">
        <v>1</v>
      </c>
    </row>
    <row r="1437" spans="1:19" ht="16.5" x14ac:dyDescent="0.3">
      <c r="A1437" t="s">
        <v>1494</v>
      </c>
      <c r="B1437" s="1">
        <v>45481</v>
      </c>
      <c r="C1437" s="1">
        <v>45485</v>
      </c>
      <c r="D1437">
        <v>2024</v>
      </c>
      <c r="E1437" t="s">
        <v>1445</v>
      </c>
      <c r="F1437" t="s">
        <v>1446</v>
      </c>
      <c r="G1437" t="s">
        <v>22</v>
      </c>
      <c r="H1437" t="s">
        <v>30</v>
      </c>
      <c r="I1437" t="s">
        <v>24</v>
      </c>
      <c r="J1437" t="s">
        <v>25</v>
      </c>
      <c r="K1437" t="s">
        <v>26</v>
      </c>
      <c r="L1437" t="s">
        <v>44</v>
      </c>
      <c r="M1437">
        <v>4</v>
      </c>
      <c r="N1437" s="2">
        <v>33</v>
      </c>
      <c r="O1437" s="3">
        <v>4349</v>
      </c>
      <c r="P1437">
        <v>0</v>
      </c>
      <c r="Q1437">
        <v>5</v>
      </c>
      <c r="R1437" t="s">
        <v>33</v>
      </c>
      <c r="S1437">
        <v>1</v>
      </c>
    </row>
    <row r="1438" spans="1:19" ht="16.5" x14ac:dyDescent="0.3">
      <c r="A1438" t="s">
        <v>1495</v>
      </c>
      <c r="B1438" s="1">
        <v>45481</v>
      </c>
      <c r="C1438" s="1">
        <v>45483</v>
      </c>
      <c r="D1438">
        <v>2024</v>
      </c>
      <c r="E1438" t="s">
        <v>1445</v>
      </c>
      <c r="F1438" t="s">
        <v>1446</v>
      </c>
      <c r="G1438" t="s">
        <v>22</v>
      </c>
      <c r="H1438" t="s">
        <v>52</v>
      </c>
      <c r="I1438" t="s">
        <v>24</v>
      </c>
      <c r="J1438" t="s">
        <v>25</v>
      </c>
      <c r="K1438" t="s">
        <v>53</v>
      </c>
      <c r="L1438" t="s">
        <v>27</v>
      </c>
      <c r="M1438">
        <v>2</v>
      </c>
      <c r="N1438" s="2">
        <v>40</v>
      </c>
      <c r="O1438" s="3">
        <v>3069</v>
      </c>
      <c r="P1438">
        <v>0</v>
      </c>
      <c r="Q1438">
        <v>4</v>
      </c>
      <c r="R1438" t="s">
        <v>28</v>
      </c>
      <c r="S1438">
        <v>1</v>
      </c>
    </row>
    <row r="1439" spans="1:19" ht="16.5" x14ac:dyDescent="0.3">
      <c r="A1439" t="s">
        <v>1496</v>
      </c>
      <c r="B1439" s="1">
        <v>45481</v>
      </c>
      <c r="C1439" s="1">
        <v>45482</v>
      </c>
      <c r="D1439">
        <v>2024</v>
      </c>
      <c r="E1439" t="s">
        <v>1445</v>
      </c>
      <c r="F1439" t="s">
        <v>1446</v>
      </c>
      <c r="G1439" t="s">
        <v>22</v>
      </c>
      <c r="H1439" t="s">
        <v>50</v>
      </c>
      <c r="I1439" t="s">
        <v>40</v>
      </c>
      <c r="J1439" t="s">
        <v>43</v>
      </c>
      <c r="K1439" t="s">
        <v>32</v>
      </c>
      <c r="L1439" t="s">
        <v>44</v>
      </c>
      <c r="M1439">
        <v>1</v>
      </c>
      <c r="N1439" s="2"/>
      <c r="O1439" s="3">
        <v>2059</v>
      </c>
      <c r="P1439">
        <v>0</v>
      </c>
      <c r="Q1439">
        <v>4</v>
      </c>
      <c r="R1439" t="s">
        <v>33</v>
      </c>
      <c r="S1439">
        <v>1</v>
      </c>
    </row>
    <row r="1440" spans="1:19" ht="16.5" x14ac:dyDescent="0.3">
      <c r="A1440" t="s">
        <v>1497</v>
      </c>
      <c r="B1440" s="1">
        <v>45481</v>
      </c>
      <c r="C1440" s="1">
        <v>45489</v>
      </c>
      <c r="D1440">
        <v>2024</v>
      </c>
      <c r="E1440" t="s">
        <v>1445</v>
      </c>
      <c r="F1440" t="s">
        <v>1446</v>
      </c>
      <c r="G1440" t="s">
        <v>22</v>
      </c>
      <c r="H1440" t="s">
        <v>30</v>
      </c>
      <c r="I1440" t="s">
        <v>40</v>
      </c>
      <c r="J1440" t="s">
        <v>25</v>
      </c>
      <c r="K1440" t="s">
        <v>26</v>
      </c>
      <c r="L1440" t="s">
        <v>44</v>
      </c>
      <c r="M1440">
        <v>8</v>
      </c>
      <c r="N1440" s="2"/>
      <c r="O1440" s="3">
        <v>8755</v>
      </c>
      <c r="P1440">
        <v>0</v>
      </c>
      <c r="Q1440">
        <v>4</v>
      </c>
      <c r="R1440" t="s">
        <v>28</v>
      </c>
      <c r="S1440">
        <v>1</v>
      </c>
    </row>
    <row r="1441" spans="1:19" ht="16.5" x14ac:dyDescent="0.3">
      <c r="A1441" t="s">
        <v>1498</v>
      </c>
      <c r="B1441" s="1">
        <v>45481</v>
      </c>
      <c r="C1441" s="1">
        <v>45484</v>
      </c>
      <c r="D1441">
        <v>2024</v>
      </c>
      <c r="E1441" t="s">
        <v>1445</v>
      </c>
      <c r="F1441" t="s">
        <v>1446</v>
      </c>
      <c r="G1441" t="s">
        <v>22</v>
      </c>
      <c r="H1441" t="s">
        <v>52</v>
      </c>
      <c r="I1441" t="s">
        <v>40</v>
      </c>
      <c r="J1441" t="s">
        <v>25</v>
      </c>
      <c r="K1441" t="s">
        <v>32</v>
      </c>
      <c r="L1441" t="s">
        <v>27</v>
      </c>
      <c r="M1441">
        <v>3</v>
      </c>
      <c r="N1441" s="2"/>
      <c r="O1441" s="3">
        <v>3255</v>
      </c>
      <c r="P1441">
        <v>1</v>
      </c>
      <c r="Q1441">
        <v>3</v>
      </c>
      <c r="R1441" t="s">
        <v>33</v>
      </c>
      <c r="S1441">
        <v>1</v>
      </c>
    </row>
    <row r="1442" spans="1:19" ht="16.5" x14ac:dyDescent="0.3">
      <c r="A1442" t="s">
        <v>1499</v>
      </c>
      <c r="B1442" s="1">
        <v>45481</v>
      </c>
      <c r="C1442" s="1">
        <v>45492</v>
      </c>
      <c r="D1442">
        <v>2024</v>
      </c>
      <c r="E1442" t="s">
        <v>1445</v>
      </c>
      <c r="F1442" t="s">
        <v>1446</v>
      </c>
      <c r="G1442" t="s">
        <v>22</v>
      </c>
      <c r="H1442" t="s">
        <v>23</v>
      </c>
      <c r="I1442" t="s">
        <v>24</v>
      </c>
      <c r="J1442" t="s">
        <v>25</v>
      </c>
      <c r="K1442" t="s">
        <v>53</v>
      </c>
      <c r="L1442" t="s">
        <v>27</v>
      </c>
      <c r="M1442">
        <v>11</v>
      </c>
      <c r="N1442" s="2">
        <v>49</v>
      </c>
      <c r="O1442" s="3">
        <v>7521</v>
      </c>
      <c r="P1442">
        <v>0</v>
      </c>
      <c r="Q1442">
        <v>3</v>
      </c>
      <c r="R1442" t="s">
        <v>33</v>
      </c>
      <c r="S1442">
        <v>1</v>
      </c>
    </row>
    <row r="1443" spans="1:19" ht="16.5" x14ac:dyDescent="0.3">
      <c r="A1443" t="s">
        <v>1500</v>
      </c>
      <c r="B1443" s="1">
        <v>45481</v>
      </c>
      <c r="C1443" s="1">
        <v>45486</v>
      </c>
      <c r="D1443">
        <v>2024</v>
      </c>
      <c r="E1443" t="s">
        <v>1445</v>
      </c>
      <c r="F1443" t="s">
        <v>1446</v>
      </c>
      <c r="G1443" t="s">
        <v>22</v>
      </c>
      <c r="H1443" t="s">
        <v>35</v>
      </c>
      <c r="I1443" t="s">
        <v>31</v>
      </c>
      <c r="J1443" t="s">
        <v>25</v>
      </c>
      <c r="K1443" t="s">
        <v>36</v>
      </c>
      <c r="L1443" t="s">
        <v>44</v>
      </c>
      <c r="M1443">
        <v>5</v>
      </c>
      <c r="N1443" s="2"/>
      <c r="O1443" s="3">
        <v>3748</v>
      </c>
      <c r="P1443">
        <v>0</v>
      </c>
      <c r="Q1443">
        <v>4</v>
      </c>
      <c r="R1443" t="s">
        <v>33</v>
      </c>
      <c r="S1443">
        <v>1</v>
      </c>
    </row>
    <row r="1444" spans="1:19" ht="16.5" x14ac:dyDescent="0.3">
      <c r="A1444" t="s">
        <v>1501</v>
      </c>
      <c r="B1444" s="1">
        <v>45482</v>
      </c>
      <c r="C1444" s="1">
        <v>45504</v>
      </c>
      <c r="D1444">
        <v>2024</v>
      </c>
      <c r="E1444" t="s">
        <v>1445</v>
      </c>
      <c r="F1444" t="s">
        <v>1446</v>
      </c>
      <c r="G1444" t="s">
        <v>56</v>
      </c>
      <c r="H1444" t="s">
        <v>23</v>
      </c>
      <c r="I1444" t="s">
        <v>31</v>
      </c>
      <c r="J1444" t="s">
        <v>43</v>
      </c>
      <c r="K1444" t="s">
        <v>26</v>
      </c>
      <c r="L1444" t="s">
        <v>44</v>
      </c>
      <c r="M1444">
        <v>22</v>
      </c>
      <c r="N1444" s="2"/>
      <c r="O1444" s="3">
        <v>13993</v>
      </c>
      <c r="P1444">
        <v>0</v>
      </c>
      <c r="Q1444">
        <v>3</v>
      </c>
      <c r="R1444" t="s">
        <v>33</v>
      </c>
      <c r="S1444">
        <v>1</v>
      </c>
    </row>
    <row r="1445" spans="1:19" ht="16.5" x14ac:dyDescent="0.3">
      <c r="A1445" t="s">
        <v>1502</v>
      </c>
      <c r="B1445" s="1">
        <v>45482</v>
      </c>
      <c r="C1445" s="1">
        <v>45490</v>
      </c>
      <c r="D1445">
        <v>2024</v>
      </c>
      <c r="E1445" t="s">
        <v>1445</v>
      </c>
      <c r="F1445" t="s">
        <v>1446</v>
      </c>
      <c r="G1445" t="s">
        <v>56</v>
      </c>
      <c r="H1445" t="s">
        <v>23</v>
      </c>
      <c r="I1445" t="s">
        <v>24</v>
      </c>
      <c r="J1445" t="s">
        <v>25</v>
      </c>
      <c r="K1445" t="s">
        <v>36</v>
      </c>
      <c r="L1445" t="s">
        <v>44</v>
      </c>
      <c r="M1445">
        <v>8</v>
      </c>
      <c r="N1445" s="2">
        <v>60</v>
      </c>
      <c r="O1445" s="3">
        <v>5786</v>
      </c>
      <c r="P1445">
        <v>0</v>
      </c>
      <c r="Q1445">
        <v>3</v>
      </c>
      <c r="R1445" t="s">
        <v>33</v>
      </c>
      <c r="S1445">
        <v>1</v>
      </c>
    </row>
    <row r="1446" spans="1:19" ht="16.5" x14ac:dyDescent="0.3">
      <c r="A1446" t="s">
        <v>1503</v>
      </c>
      <c r="B1446" s="1">
        <v>45482</v>
      </c>
      <c r="C1446" s="1">
        <v>45485</v>
      </c>
      <c r="D1446">
        <v>2024</v>
      </c>
      <c r="E1446" t="s">
        <v>1445</v>
      </c>
      <c r="F1446" t="s">
        <v>1446</v>
      </c>
      <c r="G1446" t="s">
        <v>56</v>
      </c>
      <c r="H1446" t="s">
        <v>23</v>
      </c>
      <c r="I1446" t="s">
        <v>40</v>
      </c>
      <c r="J1446" t="s">
        <v>43</v>
      </c>
      <c r="K1446" t="s">
        <v>32</v>
      </c>
      <c r="L1446" t="s">
        <v>27</v>
      </c>
      <c r="M1446">
        <v>3</v>
      </c>
      <c r="N1446" s="2"/>
      <c r="O1446" s="3">
        <v>2813</v>
      </c>
      <c r="P1446">
        <v>0</v>
      </c>
      <c r="Q1446">
        <v>5</v>
      </c>
      <c r="R1446" t="s">
        <v>28</v>
      </c>
      <c r="S1446">
        <v>1</v>
      </c>
    </row>
    <row r="1447" spans="1:19" ht="16.5" x14ac:dyDescent="0.3">
      <c r="A1447" t="s">
        <v>1504</v>
      </c>
      <c r="B1447" s="1">
        <v>45482</v>
      </c>
      <c r="C1447" s="1">
        <v>45486</v>
      </c>
      <c r="D1447">
        <v>2024</v>
      </c>
      <c r="E1447" t="s">
        <v>1445</v>
      </c>
      <c r="F1447" t="s">
        <v>1446</v>
      </c>
      <c r="G1447" t="s">
        <v>56</v>
      </c>
      <c r="H1447" t="s">
        <v>50</v>
      </c>
      <c r="I1447" t="s">
        <v>24</v>
      </c>
      <c r="J1447" t="s">
        <v>25</v>
      </c>
      <c r="K1447" t="s">
        <v>32</v>
      </c>
      <c r="L1447" t="s">
        <v>27</v>
      </c>
      <c r="M1447">
        <v>4</v>
      </c>
      <c r="N1447" s="2">
        <v>26</v>
      </c>
      <c r="O1447" s="3">
        <v>4836</v>
      </c>
      <c r="P1447">
        <v>0</v>
      </c>
      <c r="Q1447">
        <v>4</v>
      </c>
      <c r="R1447" t="s">
        <v>33</v>
      </c>
      <c r="S1447">
        <v>1</v>
      </c>
    </row>
    <row r="1448" spans="1:19" ht="16.5" x14ac:dyDescent="0.3">
      <c r="A1448" t="s">
        <v>1505</v>
      </c>
      <c r="B1448" s="1">
        <v>45482</v>
      </c>
      <c r="C1448" s="1">
        <v>45483</v>
      </c>
      <c r="D1448">
        <v>2024</v>
      </c>
      <c r="E1448" t="s">
        <v>1445</v>
      </c>
      <c r="F1448" t="s">
        <v>1446</v>
      </c>
      <c r="G1448" t="s">
        <v>56</v>
      </c>
      <c r="H1448" t="s">
        <v>30</v>
      </c>
      <c r="I1448" t="s">
        <v>40</v>
      </c>
      <c r="J1448" t="s">
        <v>43</v>
      </c>
      <c r="K1448" t="s">
        <v>36</v>
      </c>
      <c r="L1448" t="s">
        <v>44</v>
      </c>
      <c r="M1448">
        <v>1</v>
      </c>
      <c r="N1448" s="2"/>
      <c r="O1448" s="3">
        <v>1569</v>
      </c>
      <c r="P1448">
        <v>0</v>
      </c>
      <c r="Q1448">
        <v>5</v>
      </c>
      <c r="R1448" t="s">
        <v>28</v>
      </c>
      <c r="S1448">
        <v>1</v>
      </c>
    </row>
    <row r="1449" spans="1:19" ht="16.5" x14ac:dyDescent="0.3">
      <c r="A1449" t="s">
        <v>1506</v>
      </c>
      <c r="B1449" s="1">
        <v>45483</v>
      </c>
      <c r="C1449" s="1">
        <v>45486</v>
      </c>
      <c r="D1449">
        <v>2024</v>
      </c>
      <c r="E1449" t="s">
        <v>1445</v>
      </c>
      <c r="F1449" t="s">
        <v>1446</v>
      </c>
      <c r="G1449" t="s">
        <v>70</v>
      </c>
      <c r="H1449" t="s">
        <v>35</v>
      </c>
      <c r="I1449" t="s">
        <v>24</v>
      </c>
      <c r="J1449" t="s">
        <v>25</v>
      </c>
      <c r="K1449" t="s">
        <v>36</v>
      </c>
      <c r="L1449" t="s">
        <v>27</v>
      </c>
      <c r="M1449">
        <v>3</v>
      </c>
      <c r="N1449" s="2">
        <v>80</v>
      </c>
      <c r="O1449" s="3">
        <v>2628</v>
      </c>
      <c r="P1449">
        <v>0</v>
      </c>
      <c r="Q1449">
        <v>3</v>
      </c>
      <c r="R1449" t="s">
        <v>28</v>
      </c>
      <c r="S1449">
        <v>1</v>
      </c>
    </row>
    <row r="1450" spans="1:19" ht="16.5" x14ac:dyDescent="0.3">
      <c r="A1450" t="s">
        <v>1507</v>
      </c>
      <c r="B1450" s="1">
        <v>45484</v>
      </c>
      <c r="C1450" s="1">
        <v>45495</v>
      </c>
      <c r="D1450">
        <v>2024</v>
      </c>
      <c r="E1450" t="s">
        <v>1445</v>
      </c>
      <c r="F1450" t="s">
        <v>1446</v>
      </c>
      <c r="G1450" t="s">
        <v>78</v>
      </c>
      <c r="H1450" t="s">
        <v>30</v>
      </c>
      <c r="I1450" t="s">
        <v>40</v>
      </c>
      <c r="J1450" t="s">
        <v>25</v>
      </c>
      <c r="K1450" t="s">
        <v>26</v>
      </c>
      <c r="L1450" t="s">
        <v>27</v>
      </c>
      <c r="M1450">
        <v>11</v>
      </c>
      <c r="N1450" s="2"/>
      <c r="O1450" s="3">
        <v>11694</v>
      </c>
      <c r="P1450">
        <v>0</v>
      </c>
      <c r="Q1450">
        <v>4</v>
      </c>
      <c r="R1450" t="s">
        <v>33</v>
      </c>
      <c r="S1450">
        <v>1</v>
      </c>
    </row>
    <row r="1451" spans="1:19" ht="16.5" x14ac:dyDescent="0.3">
      <c r="A1451" t="s">
        <v>1508</v>
      </c>
      <c r="B1451" s="1">
        <v>45484</v>
      </c>
      <c r="C1451" s="1">
        <v>45485</v>
      </c>
      <c r="D1451">
        <v>2024</v>
      </c>
      <c r="E1451" t="s">
        <v>1445</v>
      </c>
      <c r="F1451" t="s">
        <v>1446</v>
      </c>
      <c r="G1451" t="s">
        <v>78</v>
      </c>
      <c r="H1451" t="s">
        <v>35</v>
      </c>
      <c r="I1451" t="s">
        <v>24</v>
      </c>
      <c r="J1451" t="s">
        <v>25</v>
      </c>
      <c r="K1451" t="s">
        <v>32</v>
      </c>
      <c r="L1451" t="s">
        <v>44</v>
      </c>
      <c r="M1451">
        <v>1</v>
      </c>
      <c r="N1451" s="2">
        <v>58</v>
      </c>
      <c r="O1451" s="3">
        <v>1837</v>
      </c>
      <c r="P1451">
        <v>0</v>
      </c>
      <c r="Q1451">
        <v>5</v>
      </c>
      <c r="R1451" t="s">
        <v>33</v>
      </c>
      <c r="S1451">
        <v>1</v>
      </c>
    </row>
    <row r="1452" spans="1:19" ht="16.5" x14ac:dyDescent="0.3">
      <c r="A1452" t="s">
        <v>1509</v>
      </c>
      <c r="B1452" s="1">
        <v>45484</v>
      </c>
      <c r="C1452" s="1">
        <v>45497</v>
      </c>
      <c r="D1452">
        <v>2024</v>
      </c>
      <c r="E1452" t="s">
        <v>1445</v>
      </c>
      <c r="F1452" t="s">
        <v>1446</v>
      </c>
      <c r="G1452" t="s">
        <v>78</v>
      </c>
      <c r="H1452" t="s">
        <v>23</v>
      </c>
      <c r="I1452" t="s">
        <v>24</v>
      </c>
      <c r="J1452" t="s">
        <v>43</v>
      </c>
      <c r="K1452" t="s">
        <v>26</v>
      </c>
      <c r="L1452" t="s">
        <v>44</v>
      </c>
      <c r="M1452">
        <v>13</v>
      </c>
      <c r="N1452" s="2">
        <v>73</v>
      </c>
      <c r="O1452" s="3">
        <v>8387</v>
      </c>
      <c r="P1452">
        <v>0</v>
      </c>
      <c r="Q1452">
        <v>4</v>
      </c>
      <c r="R1452" t="s">
        <v>33</v>
      </c>
      <c r="S1452">
        <v>1</v>
      </c>
    </row>
    <row r="1453" spans="1:19" ht="16.5" x14ac:dyDescent="0.3">
      <c r="A1453" t="s">
        <v>1510</v>
      </c>
      <c r="B1453" s="1">
        <v>45484</v>
      </c>
      <c r="C1453" s="1">
        <v>45505</v>
      </c>
      <c r="D1453">
        <v>2024</v>
      </c>
      <c r="E1453" t="s">
        <v>1445</v>
      </c>
      <c r="F1453" t="s">
        <v>1446</v>
      </c>
      <c r="G1453" t="s">
        <v>78</v>
      </c>
      <c r="H1453" t="s">
        <v>23</v>
      </c>
      <c r="I1453" t="s">
        <v>24</v>
      </c>
      <c r="J1453" t="s">
        <v>43</v>
      </c>
      <c r="K1453" t="s">
        <v>26</v>
      </c>
      <c r="L1453" t="s">
        <v>44</v>
      </c>
      <c r="M1453">
        <v>21</v>
      </c>
      <c r="N1453" s="2">
        <v>37</v>
      </c>
      <c r="O1453" s="3">
        <v>15180</v>
      </c>
      <c r="P1453">
        <v>0</v>
      </c>
      <c r="Q1453">
        <v>5</v>
      </c>
      <c r="R1453" t="s">
        <v>33</v>
      </c>
      <c r="S1453">
        <v>1</v>
      </c>
    </row>
    <row r="1454" spans="1:19" ht="16.5" x14ac:dyDescent="0.3">
      <c r="A1454" t="s">
        <v>1511</v>
      </c>
      <c r="B1454" s="1">
        <v>45484</v>
      </c>
      <c r="C1454" s="1">
        <v>45490</v>
      </c>
      <c r="D1454">
        <v>2024</v>
      </c>
      <c r="E1454" t="s">
        <v>1445</v>
      </c>
      <c r="F1454" t="s">
        <v>1446</v>
      </c>
      <c r="G1454" t="s">
        <v>78</v>
      </c>
      <c r="H1454" t="s">
        <v>50</v>
      </c>
      <c r="I1454" t="s">
        <v>31</v>
      </c>
      <c r="J1454" t="s">
        <v>43</v>
      </c>
      <c r="K1454" t="s">
        <v>32</v>
      </c>
      <c r="L1454" t="s">
        <v>27</v>
      </c>
      <c r="M1454">
        <v>6</v>
      </c>
      <c r="N1454" s="2"/>
      <c r="O1454" s="3">
        <v>6419</v>
      </c>
      <c r="P1454">
        <v>0</v>
      </c>
      <c r="Q1454">
        <v>4</v>
      </c>
      <c r="R1454" t="s">
        <v>33</v>
      </c>
      <c r="S1454">
        <v>1</v>
      </c>
    </row>
    <row r="1455" spans="1:19" ht="16.5" x14ac:dyDescent="0.3">
      <c r="A1455" t="s">
        <v>1512</v>
      </c>
      <c r="B1455" s="1">
        <v>45484</v>
      </c>
      <c r="C1455" s="1">
        <v>45498</v>
      </c>
      <c r="D1455">
        <v>2024</v>
      </c>
      <c r="E1455" t="s">
        <v>1445</v>
      </c>
      <c r="F1455" t="s">
        <v>1446</v>
      </c>
      <c r="G1455" t="s">
        <v>78</v>
      </c>
      <c r="H1455" t="s">
        <v>23</v>
      </c>
      <c r="I1455" t="s">
        <v>24</v>
      </c>
      <c r="J1455" t="s">
        <v>25</v>
      </c>
      <c r="K1455" t="s">
        <v>36</v>
      </c>
      <c r="L1455" t="s">
        <v>27</v>
      </c>
      <c r="M1455">
        <v>14</v>
      </c>
      <c r="N1455" s="2">
        <v>41</v>
      </c>
      <c r="O1455" s="3">
        <v>10762</v>
      </c>
      <c r="P1455">
        <v>0</v>
      </c>
      <c r="Q1455">
        <v>4</v>
      </c>
      <c r="R1455" t="s">
        <v>33</v>
      </c>
      <c r="S1455">
        <v>1</v>
      </c>
    </row>
    <row r="1456" spans="1:19" ht="16.5" x14ac:dyDescent="0.3">
      <c r="A1456" t="s">
        <v>1513</v>
      </c>
      <c r="B1456" s="1">
        <v>45484</v>
      </c>
      <c r="C1456" s="1">
        <v>45486</v>
      </c>
      <c r="D1456">
        <v>2024</v>
      </c>
      <c r="E1456" t="s">
        <v>1445</v>
      </c>
      <c r="F1456" t="s">
        <v>1446</v>
      </c>
      <c r="G1456" t="s">
        <v>78</v>
      </c>
      <c r="H1456" t="s">
        <v>30</v>
      </c>
      <c r="I1456" t="s">
        <v>40</v>
      </c>
      <c r="J1456" t="s">
        <v>25</v>
      </c>
      <c r="K1456" t="s">
        <v>26</v>
      </c>
      <c r="L1456" t="s">
        <v>27</v>
      </c>
      <c r="M1456">
        <v>2</v>
      </c>
      <c r="N1456" s="2"/>
      <c r="O1456" s="3">
        <v>2208</v>
      </c>
      <c r="P1456">
        <v>0</v>
      </c>
      <c r="Q1456">
        <v>4</v>
      </c>
      <c r="R1456" t="s">
        <v>33</v>
      </c>
      <c r="S1456">
        <v>1</v>
      </c>
    </row>
    <row r="1457" spans="1:19" ht="16.5" x14ac:dyDescent="0.3">
      <c r="A1457" t="s">
        <v>1514</v>
      </c>
      <c r="B1457" s="1">
        <v>45485</v>
      </c>
      <c r="C1457" s="1">
        <v>45488</v>
      </c>
      <c r="D1457">
        <v>2024</v>
      </c>
      <c r="E1457" t="s">
        <v>1445</v>
      </c>
      <c r="F1457" t="s">
        <v>1446</v>
      </c>
      <c r="G1457" t="s">
        <v>83</v>
      </c>
      <c r="H1457" t="s">
        <v>50</v>
      </c>
      <c r="I1457" t="s">
        <v>40</v>
      </c>
      <c r="J1457" t="s">
        <v>25</v>
      </c>
      <c r="K1457" t="s">
        <v>53</v>
      </c>
      <c r="L1457" t="s">
        <v>44</v>
      </c>
      <c r="M1457">
        <v>3</v>
      </c>
      <c r="N1457" s="2"/>
      <c r="O1457" s="3">
        <v>4343</v>
      </c>
      <c r="P1457">
        <v>0</v>
      </c>
      <c r="Q1457">
        <v>5</v>
      </c>
      <c r="R1457" t="s">
        <v>28</v>
      </c>
      <c r="S1457">
        <v>1</v>
      </c>
    </row>
    <row r="1458" spans="1:19" ht="16.5" x14ac:dyDescent="0.3">
      <c r="A1458" t="s">
        <v>1515</v>
      </c>
      <c r="B1458" s="1">
        <v>45485</v>
      </c>
      <c r="C1458" s="1">
        <v>45490</v>
      </c>
      <c r="D1458">
        <v>2024</v>
      </c>
      <c r="E1458" t="s">
        <v>1445</v>
      </c>
      <c r="F1458" t="s">
        <v>1446</v>
      </c>
      <c r="G1458" t="s">
        <v>83</v>
      </c>
      <c r="H1458" t="s">
        <v>50</v>
      </c>
      <c r="I1458" t="s">
        <v>24</v>
      </c>
      <c r="J1458" t="s">
        <v>25</v>
      </c>
      <c r="K1458" t="s">
        <v>53</v>
      </c>
      <c r="L1458" t="s">
        <v>27</v>
      </c>
      <c r="M1458">
        <v>5</v>
      </c>
      <c r="N1458" s="2">
        <v>36</v>
      </c>
      <c r="O1458" s="3">
        <v>6688</v>
      </c>
      <c r="P1458">
        <v>0</v>
      </c>
      <c r="Q1458">
        <v>4</v>
      </c>
      <c r="R1458" t="s">
        <v>28</v>
      </c>
      <c r="S1458">
        <v>1</v>
      </c>
    </row>
    <row r="1459" spans="1:19" ht="16.5" x14ac:dyDescent="0.3">
      <c r="A1459" t="s">
        <v>1516</v>
      </c>
      <c r="B1459" s="1">
        <v>45485</v>
      </c>
      <c r="C1459" s="1">
        <v>45486</v>
      </c>
      <c r="D1459">
        <v>2024</v>
      </c>
      <c r="E1459" t="s">
        <v>1445</v>
      </c>
      <c r="F1459" t="s">
        <v>1446</v>
      </c>
      <c r="G1459" t="s">
        <v>83</v>
      </c>
      <c r="H1459" t="s">
        <v>35</v>
      </c>
      <c r="I1459" t="s">
        <v>40</v>
      </c>
      <c r="J1459" t="s">
        <v>25</v>
      </c>
      <c r="K1459" t="s">
        <v>36</v>
      </c>
      <c r="L1459" t="s">
        <v>44</v>
      </c>
      <c r="M1459">
        <v>1</v>
      </c>
      <c r="N1459" s="2"/>
      <c r="O1459" s="3">
        <v>1777</v>
      </c>
      <c r="P1459">
        <v>0</v>
      </c>
      <c r="Q1459">
        <v>2</v>
      </c>
      <c r="R1459" t="s">
        <v>33</v>
      </c>
      <c r="S1459">
        <v>1</v>
      </c>
    </row>
    <row r="1460" spans="1:19" ht="16.5" x14ac:dyDescent="0.3">
      <c r="A1460" t="s">
        <v>1517</v>
      </c>
      <c r="B1460" s="1">
        <v>45485</v>
      </c>
      <c r="C1460" s="1">
        <v>45489</v>
      </c>
      <c r="D1460">
        <v>2024</v>
      </c>
      <c r="E1460" t="s">
        <v>1445</v>
      </c>
      <c r="F1460" t="s">
        <v>1446</v>
      </c>
      <c r="G1460" t="s">
        <v>83</v>
      </c>
      <c r="H1460" t="s">
        <v>52</v>
      </c>
      <c r="I1460" t="s">
        <v>40</v>
      </c>
      <c r="J1460" t="s">
        <v>43</v>
      </c>
      <c r="K1460" t="s">
        <v>26</v>
      </c>
      <c r="L1460" t="s">
        <v>44</v>
      </c>
      <c r="M1460">
        <v>4</v>
      </c>
      <c r="N1460" s="2"/>
      <c r="O1460" s="3">
        <v>6699</v>
      </c>
      <c r="P1460">
        <v>0</v>
      </c>
      <c r="Q1460">
        <v>5</v>
      </c>
      <c r="R1460" t="s">
        <v>28</v>
      </c>
      <c r="S1460">
        <v>1</v>
      </c>
    </row>
    <row r="1461" spans="1:19" ht="16.5" x14ac:dyDescent="0.3">
      <c r="A1461" t="s">
        <v>1518</v>
      </c>
      <c r="B1461" s="1">
        <v>45485</v>
      </c>
      <c r="C1461" s="1">
        <v>45491</v>
      </c>
      <c r="D1461">
        <v>2024</v>
      </c>
      <c r="E1461" t="s">
        <v>1445</v>
      </c>
      <c r="F1461" t="s">
        <v>1446</v>
      </c>
      <c r="G1461" t="s">
        <v>83</v>
      </c>
      <c r="H1461" t="s">
        <v>30</v>
      </c>
      <c r="I1461" t="s">
        <v>40</v>
      </c>
      <c r="J1461" t="s">
        <v>43</v>
      </c>
      <c r="K1461" t="s">
        <v>53</v>
      </c>
      <c r="L1461" t="s">
        <v>27</v>
      </c>
      <c r="M1461">
        <v>6</v>
      </c>
      <c r="N1461" s="2"/>
      <c r="O1461" s="3">
        <v>6829</v>
      </c>
      <c r="P1461">
        <v>1</v>
      </c>
      <c r="Q1461">
        <v>3</v>
      </c>
      <c r="R1461" t="s">
        <v>33</v>
      </c>
      <c r="S1461">
        <v>1</v>
      </c>
    </row>
    <row r="1462" spans="1:19" ht="16.5" x14ac:dyDescent="0.3">
      <c r="A1462" t="s">
        <v>1519</v>
      </c>
      <c r="B1462" s="1">
        <v>45485</v>
      </c>
      <c r="C1462" s="1">
        <v>45487</v>
      </c>
      <c r="D1462">
        <v>2024</v>
      </c>
      <c r="E1462" t="s">
        <v>1445</v>
      </c>
      <c r="F1462" t="s">
        <v>1446</v>
      </c>
      <c r="G1462" t="s">
        <v>83</v>
      </c>
      <c r="H1462" t="s">
        <v>39</v>
      </c>
      <c r="I1462" t="s">
        <v>24</v>
      </c>
      <c r="J1462" t="s">
        <v>43</v>
      </c>
      <c r="K1462" t="s">
        <v>41</v>
      </c>
      <c r="L1462" t="s">
        <v>27</v>
      </c>
      <c r="M1462">
        <v>2</v>
      </c>
      <c r="N1462" s="2">
        <v>54</v>
      </c>
      <c r="O1462" s="3">
        <v>2153</v>
      </c>
      <c r="P1462">
        <v>0</v>
      </c>
      <c r="Q1462">
        <v>5</v>
      </c>
      <c r="R1462" t="s">
        <v>33</v>
      </c>
      <c r="S1462">
        <v>1</v>
      </c>
    </row>
    <row r="1463" spans="1:19" ht="16.5" x14ac:dyDescent="0.3">
      <c r="A1463" t="s">
        <v>1520</v>
      </c>
      <c r="B1463" s="1">
        <v>45486</v>
      </c>
      <c r="C1463" s="1">
        <v>45490</v>
      </c>
      <c r="D1463">
        <v>2024</v>
      </c>
      <c r="E1463" t="s">
        <v>1445</v>
      </c>
      <c r="F1463" t="s">
        <v>1446</v>
      </c>
      <c r="G1463" t="s">
        <v>102</v>
      </c>
      <c r="H1463" t="s">
        <v>23</v>
      </c>
      <c r="I1463" t="s">
        <v>40</v>
      </c>
      <c r="J1463" t="s">
        <v>43</v>
      </c>
      <c r="K1463" t="s">
        <v>26</v>
      </c>
      <c r="L1463" t="s">
        <v>27</v>
      </c>
      <c r="M1463">
        <v>4</v>
      </c>
      <c r="N1463" s="2"/>
      <c r="O1463" s="3">
        <v>3877</v>
      </c>
      <c r="P1463">
        <v>0</v>
      </c>
      <c r="Q1463">
        <v>5</v>
      </c>
      <c r="R1463" t="s">
        <v>33</v>
      </c>
      <c r="S1463">
        <v>1</v>
      </c>
    </row>
    <row r="1464" spans="1:19" ht="16.5" x14ac:dyDescent="0.3">
      <c r="A1464" t="s">
        <v>1521</v>
      </c>
      <c r="B1464" s="1">
        <v>45486</v>
      </c>
      <c r="C1464" s="1">
        <v>45498</v>
      </c>
      <c r="D1464">
        <v>2024</v>
      </c>
      <c r="E1464" t="s">
        <v>1445</v>
      </c>
      <c r="F1464" t="s">
        <v>1446</v>
      </c>
      <c r="G1464" t="s">
        <v>102</v>
      </c>
      <c r="H1464" t="s">
        <v>23</v>
      </c>
      <c r="I1464" t="s">
        <v>24</v>
      </c>
      <c r="J1464" t="s">
        <v>43</v>
      </c>
      <c r="K1464" t="s">
        <v>53</v>
      </c>
      <c r="L1464" t="s">
        <v>44</v>
      </c>
      <c r="M1464">
        <v>12</v>
      </c>
      <c r="N1464" s="2">
        <v>38</v>
      </c>
      <c r="O1464" s="3">
        <v>7371</v>
      </c>
      <c r="P1464">
        <v>0</v>
      </c>
      <c r="Q1464">
        <v>4</v>
      </c>
      <c r="R1464" t="s">
        <v>33</v>
      </c>
      <c r="S1464">
        <v>1</v>
      </c>
    </row>
    <row r="1465" spans="1:19" ht="16.5" x14ac:dyDescent="0.3">
      <c r="A1465" t="s">
        <v>1522</v>
      </c>
      <c r="B1465" s="1">
        <v>45486</v>
      </c>
      <c r="C1465" s="1">
        <v>45500</v>
      </c>
      <c r="D1465">
        <v>2024</v>
      </c>
      <c r="E1465" t="s">
        <v>1445</v>
      </c>
      <c r="F1465" t="s">
        <v>1446</v>
      </c>
      <c r="G1465" t="s">
        <v>102</v>
      </c>
      <c r="H1465" t="s">
        <v>23</v>
      </c>
      <c r="I1465" t="s">
        <v>40</v>
      </c>
      <c r="J1465" t="s">
        <v>25</v>
      </c>
      <c r="K1465" t="s">
        <v>32</v>
      </c>
      <c r="L1465" t="s">
        <v>44</v>
      </c>
      <c r="M1465">
        <v>14</v>
      </c>
      <c r="N1465" s="2"/>
      <c r="O1465" s="3">
        <v>10977</v>
      </c>
      <c r="P1465">
        <v>0</v>
      </c>
      <c r="Q1465">
        <v>4</v>
      </c>
      <c r="R1465" t="s">
        <v>28</v>
      </c>
      <c r="S1465">
        <v>1</v>
      </c>
    </row>
    <row r="1466" spans="1:19" ht="16.5" x14ac:dyDescent="0.3">
      <c r="A1466" t="s">
        <v>1523</v>
      </c>
      <c r="B1466" s="1">
        <v>45486</v>
      </c>
      <c r="C1466" s="1">
        <v>45498</v>
      </c>
      <c r="D1466">
        <v>2024</v>
      </c>
      <c r="E1466" t="s">
        <v>1445</v>
      </c>
      <c r="F1466" t="s">
        <v>1446</v>
      </c>
      <c r="G1466" t="s">
        <v>102</v>
      </c>
      <c r="H1466" t="s">
        <v>23</v>
      </c>
      <c r="I1466" t="s">
        <v>24</v>
      </c>
      <c r="J1466" t="s">
        <v>25</v>
      </c>
      <c r="K1466" t="s">
        <v>53</v>
      </c>
      <c r="L1466" t="s">
        <v>27</v>
      </c>
      <c r="M1466">
        <v>12</v>
      </c>
      <c r="N1466" s="2">
        <v>127</v>
      </c>
      <c r="O1466" s="3">
        <v>8689</v>
      </c>
      <c r="P1466">
        <v>0</v>
      </c>
      <c r="Q1466">
        <v>3</v>
      </c>
      <c r="R1466" t="s">
        <v>28</v>
      </c>
      <c r="S1466">
        <v>1</v>
      </c>
    </row>
    <row r="1467" spans="1:19" ht="16.5" x14ac:dyDescent="0.3">
      <c r="A1467" t="s">
        <v>1524</v>
      </c>
      <c r="B1467" s="1">
        <v>45486</v>
      </c>
      <c r="C1467" s="1">
        <v>45498</v>
      </c>
      <c r="D1467">
        <v>2024</v>
      </c>
      <c r="E1467" t="s">
        <v>1445</v>
      </c>
      <c r="F1467" t="s">
        <v>1446</v>
      </c>
      <c r="G1467" t="s">
        <v>102</v>
      </c>
      <c r="H1467" t="s">
        <v>23</v>
      </c>
      <c r="I1467" t="s">
        <v>31</v>
      </c>
      <c r="J1467" t="s">
        <v>43</v>
      </c>
      <c r="K1467" t="s">
        <v>26</v>
      </c>
      <c r="L1467" t="s">
        <v>27</v>
      </c>
      <c r="M1467">
        <v>12</v>
      </c>
      <c r="N1467" s="2"/>
      <c r="O1467" s="3">
        <v>11015</v>
      </c>
      <c r="P1467">
        <v>0</v>
      </c>
      <c r="Q1467">
        <v>5</v>
      </c>
      <c r="R1467" t="s">
        <v>28</v>
      </c>
      <c r="S1467">
        <v>1</v>
      </c>
    </row>
    <row r="1468" spans="1:19" ht="16.5" x14ac:dyDescent="0.3">
      <c r="A1468" t="s">
        <v>1525</v>
      </c>
      <c r="B1468" s="1">
        <v>45486</v>
      </c>
      <c r="C1468" s="1">
        <v>45494</v>
      </c>
      <c r="D1468">
        <v>2024</v>
      </c>
      <c r="E1468" t="s">
        <v>1445</v>
      </c>
      <c r="F1468" t="s">
        <v>1446</v>
      </c>
      <c r="G1468" t="s">
        <v>102</v>
      </c>
      <c r="H1468" t="s">
        <v>23</v>
      </c>
      <c r="I1468" t="s">
        <v>24</v>
      </c>
      <c r="J1468" t="s">
        <v>25</v>
      </c>
      <c r="K1468" t="s">
        <v>32</v>
      </c>
      <c r="L1468" t="s">
        <v>37</v>
      </c>
      <c r="M1468">
        <v>8</v>
      </c>
      <c r="N1468" s="2">
        <v>10</v>
      </c>
      <c r="O1468" s="3">
        <v>6171</v>
      </c>
      <c r="P1468">
        <v>0</v>
      </c>
      <c r="Q1468">
        <v>5</v>
      </c>
      <c r="R1468" t="s">
        <v>28</v>
      </c>
      <c r="S1468">
        <v>1</v>
      </c>
    </row>
    <row r="1469" spans="1:19" ht="16.5" x14ac:dyDescent="0.3">
      <c r="A1469" t="s">
        <v>1526</v>
      </c>
      <c r="B1469" s="1">
        <v>45486</v>
      </c>
      <c r="C1469" s="1">
        <v>45494</v>
      </c>
      <c r="D1469">
        <v>2024</v>
      </c>
      <c r="E1469" t="s">
        <v>1445</v>
      </c>
      <c r="F1469" t="s">
        <v>1446</v>
      </c>
      <c r="G1469" t="s">
        <v>102</v>
      </c>
      <c r="H1469" t="s">
        <v>23</v>
      </c>
      <c r="I1469" t="s">
        <v>40</v>
      </c>
      <c r="J1469" t="s">
        <v>25</v>
      </c>
      <c r="K1469" t="s">
        <v>53</v>
      </c>
      <c r="L1469" t="s">
        <v>44</v>
      </c>
      <c r="M1469">
        <v>8</v>
      </c>
      <c r="N1469" s="2"/>
      <c r="O1469" s="3">
        <v>6089</v>
      </c>
      <c r="P1469">
        <v>0</v>
      </c>
      <c r="Q1469">
        <v>4</v>
      </c>
      <c r="R1469" t="s">
        <v>33</v>
      </c>
      <c r="S1469">
        <v>1</v>
      </c>
    </row>
    <row r="1470" spans="1:19" ht="16.5" x14ac:dyDescent="0.3">
      <c r="A1470" t="s">
        <v>1527</v>
      </c>
      <c r="B1470" s="1">
        <v>45486</v>
      </c>
      <c r="C1470" s="1">
        <v>45495</v>
      </c>
      <c r="D1470">
        <v>2024</v>
      </c>
      <c r="E1470" t="s">
        <v>1445</v>
      </c>
      <c r="F1470" t="s">
        <v>1446</v>
      </c>
      <c r="G1470" t="s">
        <v>102</v>
      </c>
      <c r="H1470" t="s">
        <v>30</v>
      </c>
      <c r="I1470" t="s">
        <v>24</v>
      </c>
      <c r="J1470" t="s">
        <v>25</v>
      </c>
      <c r="K1470" t="s">
        <v>53</v>
      </c>
      <c r="L1470" t="s">
        <v>27</v>
      </c>
      <c r="M1470">
        <v>9</v>
      </c>
      <c r="N1470" s="2">
        <v>79</v>
      </c>
      <c r="O1470" s="3">
        <v>11314</v>
      </c>
      <c r="P1470">
        <v>0</v>
      </c>
      <c r="Q1470">
        <v>4</v>
      </c>
      <c r="R1470" t="s">
        <v>33</v>
      </c>
      <c r="S1470">
        <v>1</v>
      </c>
    </row>
    <row r="1471" spans="1:19" ht="16.5" x14ac:dyDescent="0.3">
      <c r="A1471" t="s">
        <v>1528</v>
      </c>
      <c r="B1471" s="1">
        <v>45486</v>
      </c>
      <c r="C1471" s="1">
        <v>45487</v>
      </c>
      <c r="D1471">
        <v>2024</v>
      </c>
      <c r="E1471" t="s">
        <v>1445</v>
      </c>
      <c r="F1471" t="s">
        <v>1446</v>
      </c>
      <c r="G1471" t="s">
        <v>102</v>
      </c>
      <c r="H1471" t="s">
        <v>35</v>
      </c>
      <c r="I1471" t="s">
        <v>40</v>
      </c>
      <c r="J1471" t="s">
        <v>25</v>
      </c>
      <c r="K1471" t="s">
        <v>32</v>
      </c>
      <c r="L1471" t="s">
        <v>27</v>
      </c>
      <c r="M1471">
        <v>1</v>
      </c>
      <c r="N1471" s="2"/>
      <c r="O1471" s="3">
        <v>1359</v>
      </c>
      <c r="P1471">
        <v>0</v>
      </c>
      <c r="Q1471">
        <v>5</v>
      </c>
      <c r="R1471" t="s">
        <v>33</v>
      </c>
      <c r="S1471">
        <v>1</v>
      </c>
    </row>
    <row r="1472" spans="1:19" ht="16.5" x14ac:dyDescent="0.3">
      <c r="A1472" t="s">
        <v>1529</v>
      </c>
      <c r="B1472" s="1">
        <v>45486</v>
      </c>
      <c r="C1472" s="1">
        <v>45490</v>
      </c>
      <c r="D1472">
        <v>2024</v>
      </c>
      <c r="E1472" t="s">
        <v>1445</v>
      </c>
      <c r="F1472" t="s">
        <v>1446</v>
      </c>
      <c r="G1472" t="s">
        <v>102</v>
      </c>
      <c r="H1472" t="s">
        <v>23</v>
      </c>
      <c r="I1472" t="s">
        <v>40</v>
      </c>
      <c r="J1472" t="s">
        <v>43</v>
      </c>
      <c r="K1472" t="s">
        <v>53</v>
      </c>
      <c r="L1472" t="s">
        <v>37</v>
      </c>
      <c r="M1472">
        <v>4</v>
      </c>
      <c r="N1472" s="2"/>
      <c r="O1472" s="3">
        <v>3108</v>
      </c>
      <c r="P1472">
        <v>0</v>
      </c>
      <c r="Q1472">
        <v>5</v>
      </c>
      <c r="R1472" t="s">
        <v>33</v>
      </c>
      <c r="S1472">
        <v>1</v>
      </c>
    </row>
    <row r="1473" spans="1:19" ht="16.5" x14ac:dyDescent="0.3">
      <c r="A1473" t="s">
        <v>1530</v>
      </c>
      <c r="B1473" s="1">
        <v>45486</v>
      </c>
      <c r="C1473" s="1">
        <v>45495</v>
      </c>
      <c r="D1473">
        <v>2024</v>
      </c>
      <c r="E1473" t="s">
        <v>1445</v>
      </c>
      <c r="F1473" t="s">
        <v>1446</v>
      </c>
      <c r="G1473" t="s">
        <v>102</v>
      </c>
      <c r="H1473" t="s">
        <v>50</v>
      </c>
      <c r="I1473" t="s">
        <v>24</v>
      </c>
      <c r="J1473" t="s">
        <v>43</v>
      </c>
      <c r="K1473" t="s">
        <v>26</v>
      </c>
      <c r="L1473" t="s">
        <v>37</v>
      </c>
      <c r="M1473">
        <v>9</v>
      </c>
      <c r="N1473" s="2">
        <v>64</v>
      </c>
      <c r="O1473" s="3">
        <v>10542</v>
      </c>
      <c r="P1473">
        <v>0</v>
      </c>
      <c r="Q1473">
        <v>4</v>
      </c>
      <c r="R1473" t="s">
        <v>28</v>
      </c>
      <c r="S1473">
        <v>1</v>
      </c>
    </row>
    <row r="1474" spans="1:19" ht="16.5" x14ac:dyDescent="0.3">
      <c r="A1474" t="s">
        <v>1531</v>
      </c>
      <c r="B1474" s="1">
        <v>45487</v>
      </c>
      <c r="C1474" s="1">
        <v>45490</v>
      </c>
      <c r="D1474">
        <v>2024</v>
      </c>
      <c r="E1474" t="s">
        <v>1445</v>
      </c>
      <c r="F1474" t="s">
        <v>1446</v>
      </c>
      <c r="G1474" t="s">
        <v>112</v>
      </c>
      <c r="H1474" t="s">
        <v>39</v>
      </c>
      <c r="I1474" t="s">
        <v>24</v>
      </c>
      <c r="J1474" t="s">
        <v>25</v>
      </c>
      <c r="K1474" t="s">
        <v>41</v>
      </c>
      <c r="L1474" t="s">
        <v>27</v>
      </c>
      <c r="M1474">
        <v>3</v>
      </c>
      <c r="N1474" s="2">
        <v>46</v>
      </c>
      <c r="O1474" s="3">
        <v>2662</v>
      </c>
      <c r="P1474">
        <v>0</v>
      </c>
      <c r="Q1474">
        <v>4</v>
      </c>
      <c r="R1474" t="s">
        <v>28</v>
      </c>
      <c r="S1474">
        <v>1</v>
      </c>
    </row>
    <row r="1475" spans="1:19" ht="16.5" x14ac:dyDescent="0.3">
      <c r="A1475" t="s">
        <v>1532</v>
      </c>
      <c r="B1475" s="1">
        <v>45487</v>
      </c>
      <c r="C1475" s="1">
        <v>45502</v>
      </c>
      <c r="D1475">
        <v>2024</v>
      </c>
      <c r="E1475" t="s">
        <v>1445</v>
      </c>
      <c r="F1475" t="s">
        <v>1446</v>
      </c>
      <c r="G1475" t="s">
        <v>112</v>
      </c>
      <c r="H1475" t="s">
        <v>23</v>
      </c>
      <c r="I1475" t="s">
        <v>24</v>
      </c>
      <c r="J1475" t="s">
        <v>25</v>
      </c>
      <c r="K1475" t="s">
        <v>26</v>
      </c>
      <c r="L1475" t="s">
        <v>27</v>
      </c>
      <c r="M1475">
        <v>15</v>
      </c>
      <c r="N1475" s="2">
        <v>22</v>
      </c>
      <c r="O1475" s="3">
        <v>10036</v>
      </c>
      <c r="P1475">
        <v>1</v>
      </c>
      <c r="Q1475">
        <v>4</v>
      </c>
      <c r="R1475" t="s">
        <v>33</v>
      </c>
      <c r="S1475">
        <v>1</v>
      </c>
    </row>
    <row r="1476" spans="1:19" ht="16.5" x14ac:dyDescent="0.3">
      <c r="A1476" t="s">
        <v>1533</v>
      </c>
      <c r="B1476" s="1">
        <v>45487</v>
      </c>
      <c r="C1476" s="1">
        <v>45491</v>
      </c>
      <c r="D1476">
        <v>2024</v>
      </c>
      <c r="E1476" t="s">
        <v>1445</v>
      </c>
      <c r="F1476" t="s">
        <v>1446</v>
      </c>
      <c r="G1476" t="s">
        <v>112</v>
      </c>
      <c r="H1476" t="s">
        <v>52</v>
      </c>
      <c r="I1476" t="s">
        <v>40</v>
      </c>
      <c r="J1476" t="s">
        <v>43</v>
      </c>
      <c r="K1476" t="s">
        <v>26</v>
      </c>
      <c r="L1476" t="s">
        <v>44</v>
      </c>
      <c r="M1476">
        <v>4</v>
      </c>
      <c r="N1476" s="2"/>
      <c r="O1476" s="3">
        <v>4742</v>
      </c>
      <c r="P1476">
        <v>0</v>
      </c>
      <c r="Q1476">
        <v>4</v>
      </c>
      <c r="R1476" t="s">
        <v>33</v>
      </c>
      <c r="S1476">
        <v>1</v>
      </c>
    </row>
    <row r="1477" spans="1:19" ht="16.5" x14ac:dyDescent="0.3">
      <c r="A1477" t="s">
        <v>1534</v>
      </c>
      <c r="B1477" s="1">
        <v>45487</v>
      </c>
      <c r="C1477" s="1">
        <v>45492</v>
      </c>
      <c r="D1477">
        <v>2024</v>
      </c>
      <c r="E1477" t="s">
        <v>1445</v>
      </c>
      <c r="F1477" t="s">
        <v>1446</v>
      </c>
      <c r="G1477" t="s">
        <v>112</v>
      </c>
      <c r="H1477" t="s">
        <v>23</v>
      </c>
      <c r="I1477" t="s">
        <v>40</v>
      </c>
      <c r="J1477" t="s">
        <v>25</v>
      </c>
      <c r="K1477" t="s">
        <v>36</v>
      </c>
      <c r="L1477" t="s">
        <v>27</v>
      </c>
      <c r="M1477">
        <v>5</v>
      </c>
      <c r="N1477" s="2"/>
      <c r="O1477" s="3">
        <v>4207</v>
      </c>
      <c r="P1477">
        <v>0</v>
      </c>
      <c r="Q1477">
        <v>4</v>
      </c>
      <c r="R1477" t="s">
        <v>28</v>
      </c>
      <c r="S1477">
        <v>1</v>
      </c>
    </row>
    <row r="1478" spans="1:19" ht="16.5" x14ac:dyDescent="0.3">
      <c r="A1478" t="s">
        <v>1535</v>
      </c>
      <c r="B1478" s="1">
        <v>45487</v>
      </c>
      <c r="C1478" s="1">
        <v>45488</v>
      </c>
      <c r="D1478">
        <v>2024</v>
      </c>
      <c r="E1478" t="s">
        <v>1445</v>
      </c>
      <c r="F1478" t="s">
        <v>1446</v>
      </c>
      <c r="G1478" t="s">
        <v>112</v>
      </c>
      <c r="H1478" t="s">
        <v>39</v>
      </c>
      <c r="I1478" t="s">
        <v>40</v>
      </c>
      <c r="J1478" t="s">
        <v>43</v>
      </c>
      <c r="K1478" t="s">
        <v>41</v>
      </c>
      <c r="L1478" t="s">
        <v>44</v>
      </c>
      <c r="M1478">
        <v>1</v>
      </c>
      <c r="N1478" s="2"/>
      <c r="O1478" s="3">
        <v>1925</v>
      </c>
      <c r="P1478">
        <v>0</v>
      </c>
      <c r="Q1478">
        <v>5</v>
      </c>
      <c r="R1478" t="s">
        <v>33</v>
      </c>
      <c r="S1478">
        <v>1</v>
      </c>
    </row>
    <row r="1479" spans="1:19" ht="16.5" x14ac:dyDescent="0.3">
      <c r="A1479" t="s">
        <v>1536</v>
      </c>
      <c r="B1479" s="1">
        <v>45487</v>
      </c>
      <c r="C1479" s="1">
        <v>45488</v>
      </c>
      <c r="D1479">
        <v>2024</v>
      </c>
      <c r="E1479" t="s">
        <v>1445</v>
      </c>
      <c r="F1479" t="s">
        <v>1446</v>
      </c>
      <c r="G1479" t="s">
        <v>112</v>
      </c>
      <c r="H1479" t="s">
        <v>35</v>
      </c>
      <c r="I1479" t="s">
        <v>24</v>
      </c>
      <c r="J1479" t="s">
        <v>25</v>
      </c>
      <c r="K1479" t="s">
        <v>32</v>
      </c>
      <c r="L1479" t="s">
        <v>27</v>
      </c>
      <c r="M1479">
        <v>1</v>
      </c>
      <c r="N1479" s="2">
        <v>74</v>
      </c>
      <c r="O1479" s="3">
        <v>1155</v>
      </c>
      <c r="P1479">
        <v>0</v>
      </c>
      <c r="Q1479">
        <v>4</v>
      </c>
      <c r="R1479" t="s">
        <v>33</v>
      </c>
      <c r="S1479">
        <v>1</v>
      </c>
    </row>
    <row r="1480" spans="1:19" ht="16.5" x14ac:dyDescent="0.3">
      <c r="A1480" t="s">
        <v>1537</v>
      </c>
      <c r="B1480" s="1">
        <v>45488</v>
      </c>
      <c r="C1480" s="1">
        <v>45493</v>
      </c>
      <c r="D1480">
        <v>2024</v>
      </c>
      <c r="E1480" t="s">
        <v>1445</v>
      </c>
      <c r="F1480" t="s">
        <v>1446</v>
      </c>
      <c r="G1480" t="s">
        <v>22</v>
      </c>
      <c r="H1480" t="s">
        <v>23</v>
      </c>
      <c r="I1480" t="s">
        <v>40</v>
      </c>
      <c r="J1480" t="s">
        <v>43</v>
      </c>
      <c r="K1480" t="s">
        <v>32</v>
      </c>
      <c r="L1480" t="s">
        <v>44</v>
      </c>
      <c r="M1480">
        <v>5</v>
      </c>
      <c r="N1480" s="2"/>
      <c r="O1480" s="3">
        <v>4374</v>
      </c>
      <c r="P1480">
        <v>0</v>
      </c>
      <c r="Q1480">
        <v>4</v>
      </c>
      <c r="R1480" t="s">
        <v>33</v>
      </c>
      <c r="S1480">
        <v>1</v>
      </c>
    </row>
    <row r="1481" spans="1:19" ht="16.5" x14ac:dyDescent="0.3">
      <c r="A1481" t="s">
        <v>1538</v>
      </c>
      <c r="B1481" s="1">
        <v>45488</v>
      </c>
      <c r="C1481" s="1">
        <v>45489</v>
      </c>
      <c r="D1481">
        <v>2024</v>
      </c>
      <c r="E1481" t="s">
        <v>1445</v>
      </c>
      <c r="F1481" t="s">
        <v>1446</v>
      </c>
      <c r="G1481" t="s">
        <v>22</v>
      </c>
      <c r="H1481" t="s">
        <v>30</v>
      </c>
      <c r="I1481" t="s">
        <v>24</v>
      </c>
      <c r="J1481" t="s">
        <v>43</v>
      </c>
      <c r="K1481" t="s">
        <v>32</v>
      </c>
      <c r="L1481" t="s">
        <v>27</v>
      </c>
      <c r="M1481">
        <v>1</v>
      </c>
      <c r="N1481" s="2">
        <v>14</v>
      </c>
      <c r="O1481" s="3">
        <v>1418</v>
      </c>
      <c r="P1481">
        <v>0</v>
      </c>
      <c r="Q1481">
        <v>4</v>
      </c>
      <c r="R1481" t="s">
        <v>33</v>
      </c>
      <c r="S1481">
        <v>1</v>
      </c>
    </row>
    <row r="1482" spans="1:19" ht="16.5" x14ac:dyDescent="0.3">
      <c r="A1482" t="s">
        <v>1539</v>
      </c>
      <c r="B1482" s="1">
        <v>45488</v>
      </c>
      <c r="C1482" s="1">
        <v>45490</v>
      </c>
      <c r="D1482">
        <v>2024</v>
      </c>
      <c r="E1482" t="s">
        <v>1445</v>
      </c>
      <c r="F1482" t="s">
        <v>1446</v>
      </c>
      <c r="G1482" t="s">
        <v>22</v>
      </c>
      <c r="H1482" t="s">
        <v>23</v>
      </c>
      <c r="I1482" t="s">
        <v>40</v>
      </c>
      <c r="J1482" t="s">
        <v>25</v>
      </c>
      <c r="K1482" t="s">
        <v>53</v>
      </c>
      <c r="L1482" t="s">
        <v>27</v>
      </c>
      <c r="M1482">
        <v>2</v>
      </c>
      <c r="N1482" s="2"/>
      <c r="O1482" s="3">
        <v>2539</v>
      </c>
      <c r="P1482">
        <v>0</v>
      </c>
      <c r="Q1482">
        <v>4</v>
      </c>
      <c r="R1482" t="s">
        <v>33</v>
      </c>
      <c r="S1482">
        <v>1</v>
      </c>
    </row>
    <row r="1483" spans="1:19" ht="16.5" x14ac:dyDescent="0.3">
      <c r="A1483" t="s">
        <v>1540</v>
      </c>
      <c r="B1483" s="1">
        <v>45488</v>
      </c>
      <c r="C1483" s="1">
        <v>45496</v>
      </c>
      <c r="D1483">
        <v>2024</v>
      </c>
      <c r="E1483" t="s">
        <v>1445</v>
      </c>
      <c r="F1483" t="s">
        <v>1446</v>
      </c>
      <c r="G1483" t="s">
        <v>22</v>
      </c>
      <c r="H1483" t="s">
        <v>35</v>
      </c>
      <c r="I1483" t="s">
        <v>24</v>
      </c>
      <c r="J1483" t="s">
        <v>25</v>
      </c>
      <c r="K1483" t="s">
        <v>32</v>
      </c>
      <c r="L1483" t="s">
        <v>27</v>
      </c>
      <c r="M1483">
        <v>8</v>
      </c>
      <c r="N1483" s="2">
        <v>37</v>
      </c>
      <c r="O1483" s="3">
        <v>6020</v>
      </c>
      <c r="P1483">
        <v>0</v>
      </c>
      <c r="Q1483">
        <v>5</v>
      </c>
      <c r="R1483" t="s">
        <v>59</v>
      </c>
      <c r="S1483">
        <v>1</v>
      </c>
    </row>
    <row r="1484" spans="1:19" ht="16.5" x14ac:dyDescent="0.3">
      <c r="A1484" t="s">
        <v>1541</v>
      </c>
      <c r="B1484" s="1">
        <v>45488</v>
      </c>
      <c r="C1484" s="1">
        <v>45491</v>
      </c>
      <c r="D1484">
        <v>2024</v>
      </c>
      <c r="E1484" t="s">
        <v>1445</v>
      </c>
      <c r="F1484" t="s">
        <v>1446</v>
      </c>
      <c r="G1484" t="s">
        <v>22</v>
      </c>
      <c r="H1484" t="s">
        <v>39</v>
      </c>
      <c r="I1484" t="s">
        <v>24</v>
      </c>
      <c r="J1484" t="s">
        <v>25</v>
      </c>
      <c r="K1484" t="s">
        <v>41</v>
      </c>
      <c r="L1484" t="s">
        <v>44</v>
      </c>
      <c r="M1484">
        <v>3</v>
      </c>
      <c r="N1484" s="2">
        <v>127</v>
      </c>
      <c r="O1484" s="3">
        <v>2740</v>
      </c>
      <c r="P1484">
        <v>0</v>
      </c>
      <c r="Q1484">
        <v>3</v>
      </c>
      <c r="R1484" t="s">
        <v>33</v>
      </c>
      <c r="S1484">
        <v>1</v>
      </c>
    </row>
    <row r="1485" spans="1:19" ht="16.5" x14ac:dyDescent="0.3">
      <c r="A1485" t="s">
        <v>1542</v>
      </c>
      <c r="B1485" s="1">
        <v>45488</v>
      </c>
      <c r="C1485" s="1">
        <v>45496</v>
      </c>
      <c r="D1485">
        <v>2024</v>
      </c>
      <c r="E1485" t="s">
        <v>1445</v>
      </c>
      <c r="F1485" t="s">
        <v>1446</v>
      </c>
      <c r="G1485" t="s">
        <v>22</v>
      </c>
      <c r="H1485" t="s">
        <v>30</v>
      </c>
      <c r="I1485" t="s">
        <v>24</v>
      </c>
      <c r="J1485" t="s">
        <v>43</v>
      </c>
      <c r="K1485" t="s">
        <v>26</v>
      </c>
      <c r="L1485" t="s">
        <v>27</v>
      </c>
      <c r="M1485">
        <v>8</v>
      </c>
      <c r="N1485" s="2">
        <v>43</v>
      </c>
      <c r="O1485" s="3">
        <v>8498</v>
      </c>
      <c r="P1485">
        <v>0</v>
      </c>
      <c r="Q1485">
        <v>3</v>
      </c>
      <c r="R1485" t="s">
        <v>33</v>
      </c>
      <c r="S1485">
        <v>1</v>
      </c>
    </row>
    <row r="1486" spans="1:19" ht="16.5" x14ac:dyDescent="0.3">
      <c r="A1486" t="s">
        <v>1543</v>
      </c>
      <c r="B1486" s="1">
        <v>45488</v>
      </c>
      <c r="C1486" s="1">
        <v>45490</v>
      </c>
      <c r="D1486">
        <v>2024</v>
      </c>
      <c r="E1486" t="s">
        <v>1445</v>
      </c>
      <c r="F1486" t="s">
        <v>1446</v>
      </c>
      <c r="G1486" t="s">
        <v>22</v>
      </c>
      <c r="H1486" t="s">
        <v>35</v>
      </c>
      <c r="I1486" t="s">
        <v>24</v>
      </c>
      <c r="J1486" t="s">
        <v>25</v>
      </c>
      <c r="K1486" t="s">
        <v>36</v>
      </c>
      <c r="L1486" t="s">
        <v>44</v>
      </c>
      <c r="M1486">
        <v>2</v>
      </c>
      <c r="N1486" s="2">
        <v>12</v>
      </c>
      <c r="O1486" s="3">
        <v>2519</v>
      </c>
      <c r="P1486">
        <v>0</v>
      </c>
      <c r="Q1486">
        <v>4</v>
      </c>
      <c r="R1486" t="s">
        <v>28</v>
      </c>
      <c r="S1486">
        <v>1</v>
      </c>
    </row>
    <row r="1487" spans="1:19" ht="16.5" x14ac:dyDescent="0.3">
      <c r="A1487" t="s">
        <v>1544</v>
      </c>
      <c r="B1487" s="1">
        <v>45488</v>
      </c>
      <c r="C1487" s="1">
        <v>45492</v>
      </c>
      <c r="D1487">
        <v>2024</v>
      </c>
      <c r="E1487" t="s">
        <v>1445</v>
      </c>
      <c r="F1487" t="s">
        <v>1446</v>
      </c>
      <c r="G1487" t="s">
        <v>22</v>
      </c>
      <c r="H1487" t="s">
        <v>35</v>
      </c>
      <c r="I1487" t="s">
        <v>24</v>
      </c>
      <c r="J1487" t="s">
        <v>25</v>
      </c>
      <c r="K1487" t="s">
        <v>32</v>
      </c>
      <c r="L1487" t="s">
        <v>27</v>
      </c>
      <c r="M1487">
        <v>4</v>
      </c>
      <c r="N1487" s="2">
        <v>64</v>
      </c>
      <c r="O1487" s="3">
        <v>3498</v>
      </c>
      <c r="P1487">
        <v>0</v>
      </c>
      <c r="Q1487">
        <v>5</v>
      </c>
      <c r="R1487" t="s">
        <v>33</v>
      </c>
      <c r="S1487">
        <v>1</v>
      </c>
    </row>
    <row r="1488" spans="1:19" ht="16.5" x14ac:dyDescent="0.3">
      <c r="A1488" t="s">
        <v>1545</v>
      </c>
      <c r="B1488" s="1">
        <v>45488</v>
      </c>
      <c r="C1488" s="1">
        <v>45495</v>
      </c>
      <c r="D1488">
        <v>2024</v>
      </c>
      <c r="E1488" t="s">
        <v>1445</v>
      </c>
      <c r="F1488" t="s">
        <v>1446</v>
      </c>
      <c r="G1488" t="s">
        <v>22</v>
      </c>
      <c r="H1488" t="s">
        <v>30</v>
      </c>
      <c r="I1488" t="s">
        <v>24</v>
      </c>
      <c r="J1488" t="s">
        <v>25</v>
      </c>
      <c r="K1488" t="s">
        <v>26</v>
      </c>
      <c r="L1488" t="s">
        <v>37</v>
      </c>
      <c r="M1488">
        <v>7</v>
      </c>
      <c r="N1488" s="2">
        <v>35</v>
      </c>
      <c r="O1488" s="3">
        <v>6995</v>
      </c>
      <c r="P1488">
        <v>0</v>
      </c>
      <c r="Q1488">
        <v>5</v>
      </c>
      <c r="R1488" t="s">
        <v>33</v>
      </c>
      <c r="S1488">
        <v>1</v>
      </c>
    </row>
    <row r="1489" spans="1:19" ht="16.5" x14ac:dyDescent="0.3">
      <c r="A1489" t="s">
        <v>1546</v>
      </c>
      <c r="B1489" s="1">
        <v>45488</v>
      </c>
      <c r="C1489" s="1">
        <v>45492</v>
      </c>
      <c r="D1489">
        <v>2024</v>
      </c>
      <c r="E1489" t="s">
        <v>1445</v>
      </c>
      <c r="F1489" t="s">
        <v>1446</v>
      </c>
      <c r="G1489" t="s">
        <v>22</v>
      </c>
      <c r="H1489" t="s">
        <v>39</v>
      </c>
      <c r="I1489" t="s">
        <v>24</v>
      </c>
      <c r="J1489" t="s">
        <v>43</v>
      </c>
      <c r="K1489" t="s">
        <v>41</v>
      </c>
      <c r="L1489" t="s">
        <v>37</v>
      </c>
      <c r="M1489">
        <v>4</v>
      </c>
      <c r="N1489" s="2">
        <v>21</v>
      </c>
      <c r="O1489" s="3">
        <v>2822</v>
      </c>
      <c r="P1489">
        <v>0</v>
      </c>
      <c r="Q1489">
        <v>5</v>
      </c>
      <c r="R1489" t="s">
        <v>28</v>
      </c>
      <c r="S1489">
        <v>1</v>
      </c>
    </row>
    <row r="1490" spans="1:19" ht="16.5" x14ac:dyDescent="0.3">
      <c r="A1490" t="s">
        <v>1547</v>
      </c>
      <c r="B1490" s="1">
        <v>45489</v>
      </c>
      <c r="C1490" s="1">
        <v>45493</v>
      </c>
      <c r="D1490">
        <v>2024</v>
      </c>
      <c r="E1490" t="s">
        <v>1445</v>
      </c>
      <c r="F1490" t="s">
        <v>1446</v>
      </c>
      <c r="G1490" t="s">
        <v>56</v>
      </c>
      <c r="H1490" t="s">
        <v>39</v>
      </c>
      <c r="I1490" t="s">
        <v>24</v>
      </c>
      <c r="J1490" t="s">
        <v>25</v>
      </c>
      <c r="K1490" t="s">
        <v>41</v>
      </c>
      <c r="L1490" t="s">
        <v>44</v>
      </c>
      <c r="M1490">
        <v>4</v>
      </c>
      <c r="N1490" s="2">
        <v>68</v>
      </c>
      <c r="O1490" s="3">
        <v>2689</v>
      </c>
      <c r="P1490">
        <v>0</v>
      </c>
      <c r="Q1490">
        <v>4</v>
      </c>
      <c r="R1490" t="s">
        <v>33</v>
      </c>
      <c r="S1490">
        <v>1</v>
      </c>
    </row>
    <row r="1491" spans="1:19" ht="16.5" x14ac:dyDescent="0.3">
      <c r="A1491" t="s">
        <v>1548</v>
      </c>
      <c r="B1491" s="1">
        <v>45489</v>
      </c>
      <c r="C1491" s="1">
        <v>45490</v>
      </c>
      <c r="D1491">
        <v>2024</v>
      </c>
      <c r="E1491" t="s">
        <v>1445</v>
      </c>
      <c r="F1491" t="s">
        <v>1446</v>
      </c>
      <c r="G1491" t="s">
        <v>56</v>
      </c>
      <c r="H1491" t="s">
        <v>50</v>
      </c>
      <c r="I1491" t="s">
        <v>40</v>
      </c>
      <c r="J1491" t="s">
        <v>25</v>
      </c>
      <c r="K1491" t="s">
        <v>36</v>
      </c>
      <c r="L1491" t="s">
        <v>27</v>
      </c>
      <c r="M1491">
        <v>1</v>
      </c>
      <c r="N1491" s="2"/>
      <c r="O1491" s="3">
        <v>2187</v>
      </c>
      <c r="P1491">
        <v>0</v>
      </c>
      <c r="Q1491">
        <v>4</v>
      </c>
      <c r="R1491" t="s">
        <v>33</v>
      </c>
      <c r="S1491">
        <v>1</v>
      </c>
    </row>
    <row r="1492" spans="1:19" ht="16.5" x14ac:dyDescent="0.3">
      <c r="A1492" t="s">
        <v>1549</v>
      </c>
      <c r="B1492" s="1">
        <v>45489</v>
      </c>
      <c r="C1492" s="1">
        <v>45490</v>
      </c>
      <c r="D1492">
        <v>2024</v>
      </c>
      <c r="E1492" t="s">
        <v>1445</v>
      </c>
      <c r="F1492" t="s">
        <v>1446</v>
      </c>
      <c r="G1492" t="s">
        <v>56</v>
      </c>
      <c r="H1492" t="s">
        <v>52</v>
      </c>
      <c r="I1492" t="s">
        <v>40</v>
      </c>
      <c r="J1492" t="s">
        <v>25</v>
      </c>
      <c r="K1492" t="s">
        <v>36</v>
      </c>
      <c r="L1492" t="s">
        <v>44</v>
      </c>
      <c r="M1492">
        <v>1</v>
      </c>
      <c r="N1492" s="2"/>
      <c r="O1492" s="3">
        <v>2200</v>
      </c>
      <c r="P1492">
        <v>0</v>
      </c>
      <c r="Q1492">
        <v>4</v>
      </c>
      <c r="R1492" t="s">
        <v>33</v>
      </c>
      <c r="S1492">
        <v>1</v>
      </c>
    </row>
    <row r="1493" spans="1:19" ht="16.5" x14ac:dyDescent="0.3">
      <c r="A1493" t="s">
        <v>1550</v>
      </c>
      <c r="B1493" s="1">
        <v>45489</v>
      </c>
      <c r="C1493" s="1">
        <v>45494</v>
      </c>
      <c r="D1493">
        <v>2024</v>
      </c>
      <c r="E1493" t="s">
        <v>1445</v>
      </c>
      <c r="F1493" t="s">
        <v>1446</v>
      </c>
      <c r="G1493" t="s">
        <v>56</v>
      </c>
      <c r="H1493" t="s">
        <v>35</v>
      </c>
      <c r="I1493" t="s">
        <v>24</v>
      </c>
      <c r="J1493" t="s">
        <v>25</v>
      </c>
      <c r="K1493" t="s">
        <v>36</v>
      </c>
      <c r="L1493" t="s">
        <v>44</v>
      </c>
      <c r="M1493">
        <v>5</v>
      </c>
      <c r="N1493" s="2">
        <v>71</v>
      </c>
      <c r="O1493" s="3">
        <v>3709</v>
      </c>
      <c r="P1493">
        <v>0</v>
      </c>
      <c r="Q1493">
        <v>5</v>
      </c>
      <c r="R1493" t="s">
        <v>28</v>
      </c>
      <c r="S1493">
        <v>1</v>
      </c>
    </row>
    <row r="1494" spans="1:19" ht="16.5" x14ac:dyDescent="0.3">
      <c r="A1494" t="s">
        <v>1551</v>
      </c>
      <c r="B1494" s="1">
        <v>45489</v>
      </c>
      <c r="C1494" s="1">
        <v>45493</v>
      </c>
      <c r="D1494">
        <v>2024</v>
      </c>
      <c r="E1494" t="s">
        <v>1445</v>
      </c>
      <c r="F1494" t="s">
        <v>1446</v>
      </c>
      <c r="G1494" t="s">
        <v>56</v>
      </c>
      <c r="H1494" t="s">
        <v>35</v>
      </c>
      <c r="I1494" t="s">
        <v>24</v>
      </c>
      <c r="J1494" t="s">
        <v>25</v>
      </c>
      <c r="K1494" t="s">
        <v>32</v>
      </c>
      <c r="L1494" t="s">
        <v>37</v>
      </c>
      <c r="M1494">
        <v>4</v>
      </c>
      <c r="N1494" s="2">
        <v>19</v>
      </c>
      <c r="O1494" s="3">
        <v>3592</v>
      </c>
      <c r="P1494">
        <v>0</v>
      </c>
      <c r="Q1494">
        <v>5</v>
      </c>
      <c r="R1494" t="s">
        <v>33</v>
      </c>
      <c r="S1494">
        <v>1</v>
      </c>
    </row>
    <row r="1495" spans="1:19" ht="16.5" x14ac:dyDescent="0.3">
      <c r="A1495" t="s">
        <v>1552</v>
      </c>
      <c r="B1495" s="1">
        <v>45490</v>
      </c>
      <c r="C1495" s="1">
        <v>45496</v>
      </c>
      <c r="D1495">
        <v>2024</v>
      </c>
      <c r="E1495" t="s">
        <v>1445</v>
      </c>
      <c r="F1495" t="s">
        <v>1446</v>
      </c>
      <c r="G1495" t="s">
        <v>70</v>
      </c>
      <c r="H1495" t="s">
        <v>23</v>
      </c>
      <c r="I1495" t="s">
        <v>24</v>
      </c>
      <c r="J1495" t="s">
        <v>25</v>
      </c>
      <c r="K1495" t="s">
        <v>53</v>
      </c>
      <c r="L1495" t="s">
        <v>27</v>
      </c>
      <c r="M1495">
        <v>6</v>
      </c>
      <c r="N1495" s="2">
        <v>58</v>
      </c>
      <c r="O1495" s="3">
        <v>3429</v>
      </c>
      <c r="P1495">
        <v>0</v>
      </c>
      <c r="Q1495">
        <v>4</v>
      </c>
      <c r="R1495" t="s">
        <v>33</v>
      </c>
      <c r="S1495">
        <v>1</v>
      </c>
    </row>
    <row r="1496" spans="1:19" ht="16.5" x14ac:dyDescent="0.3">
      <c r="A1496" t="s">
        <v>1553</v>
      </c>
      <c r="B1496" s="1">
        <v>45490</v>
      </c>
      <c r="C1496" s="1">
        <v>45496</v>
      </c>
      <c r="D1496">
        <v>2024</v>
      </c>
      <c r="E1496" t="s">
        <v>1445</v>
      </c>
      <c r="F1496" t="s">
        <v>1446</v>
      </c>
      <c r="G1496" t="s">
        <v>70</v>
      </c>
      <c r="H1496" t="s">
        <v>39</v>
      </c>
      <c r="I1496" t="s">
        <v>24</v>
      </c>
      <c r="J1496" t="s">
        <v>25</v>
      </c>
      <c r="K1496" t="s">
        <v>41</v>
      </c>
      <c r="L1496" t="s">
        <v>44</v>
      </c>
      <c r="M1496">
        <v>6</v>
      </c>
      <c r="N1496" s="2">
        <v>70</v>
      </c>
      <c r="O1496" s="3">
        <v>3274</v>
      </c>
      <c r="P1496">
        <v>0</v>
      </c>
      <c r="Q1496">
        <v>4</v>
      </c>
      <c r="R1496" t="s">
        <v>33</v>
      </c>
      <c r="S1496">
        <v>1</v>
      </c>
    </row>
    <row r="1497" spans="1:19" ht="16.5" x14ac:dyDescent="0.3">
      <c r="A1497" t="s">
        <v>1554</v>
      </c>
      <c r="B1497" s="1">
        <v>45490</v>
      </c>
      <c r="C1497" s="1">
        <v>45494</v>
      </c>
      <c r="D1497">
        <v>2024</v>
      </c>
      <c r="E1497" t="s">
        <v>1445</v>
      </c>
      <c r="F1497" t="s">
        <v>1446</v>
      </c>
      <c r="G1497" t="s">
        <v>70</v>
      </c>
      <c r="H1497" t="s">
        <v>30</v>
      </c>
      <c r="I1497" t="s">
        <v>40</v>
      </c>
      <c r="J1497" t="s">
        <v>43</v>
      </c>
      <c r="K1497" t="s">
        <v>53</v>
      </c>
      <c r="L1497" t="s">
        <v>37</v>
      </c>
      <c r="M1497">
        <v>4</v>
      </c>
      <c r="N1497" s="2"/>
      <c r="O1497" s="3">
        <v>5063</v>
      </c>
      <c r="P1497">
        <v>0</v>
      </c>
      <c r="Q1497">
        <v>5</v>
      </c>
      <c r="R1497" t="s">
        <v>33</v>
      </c>
      <c r="S1497">
        <v>1</v>
      </c>
    </row>
    <row r="1498" spans="1:19" ht="16.5" x14ac:dyDescent="0.3">
      <c r="A1498" t="s">
        <v>1555</v>
      </c>
      <c r="B1498" s="1">
        <v>45490</v>
      </c>
      <c r="C1498" s="1">
        <v>45492</v>
      </c>
      <c r="D1498">
        <v>2024</v>
      </c>
      <c r="E1498" t="s">
        <v>1445</v>
      </c>
      <c r="F1498" t="s">
        <v>1446</v>
      </c>
      <c r="G1498" t="s">
        <v>70</v>
      </c>
      <c r="H1498" t="s">
        <v>50</v>
      </c>
      <c r="I1498" t="s">
        <v>40</v>
      </c>
      <c r="J1498" t="s">
        <v>43</v>
      </c>
      <c r="K1498" t="s">
        <v>26</v>
      </c>
      <c r="L1498" t="s">
        <v>44</v>
      </c>
      <c r="M1498">
        <v>2</v>
      </c>
      <c r="N1498" s="2"/>
      <c r="O1498" s="3">
        <v>3761</v>
      </c>
      <c r="P1498">
        <v>1</v>
      </c>
      <c r="Q1498">
        <v>4</v>
      </c>
      <c r="R1498" t="s">
        <v>28</v>
      </c>
      <c r="S1498">
        <v>1</v>
      </c>
    </row>
    <row r="1499" spans="1:19" ht="16.5" x14ac:dyDescent="0.3">
      <c r="A1499" t="s">
        <v>1556</v>
      </c>
      <c r="B1499" s="1">
        <v>45490</v>
      </c>
      <c r="C1499" s="1">
        <v>45491</v>
      </c>
      <c r="D1499">
        <v>2024</v>
      </c>
      <c r="E1499" t="s">
        <v>1445</v>
      </c>
      <c r="F1499" t="s">
        <v>1446</v>
      </c>
      <c r="G1499" t="s">
        <v>70</v>
      </c>
      <c r="H1499" t="s">
        <v>30</v>
      </c>
      <c r="I1499" t="s">
        <v>40</v>
      </c>
      <c r="J1499" t="s">
        <v>25</v>
      </c>
      <c r="K1499" t="s">
        <v>32</v>
      </c>
      <c r="L1499" t="s">
        <v>27</v>
      </c>
      <c r="M1499">
        <v>1</v>
      </c>
      <c r="N1499" s="2"/>
      <c r="O1499" s="3">
        <v>1378</v>
      </c>
      <c r="P1499">
        <v>0</v>
      </c>
      <c r="Q1499">
        <v>5</v>
      </c>
      <c r="R1499" t="s">
        <v>33</v>
      </c>
      <c r="S1499">
        <v>1</v>
      </c>
    </row>
    <row r="1500" spans="1:19" ht="16.5" x14ac:dyDescent="0.3">
      <c r="A1500" t="s">
        <v>1557</v>
      </c>
      <c r="B1500" s="1">
        <v>45490</v>
      </c>
      <c r="C1500" s="1">
        <v>45493</v>
      </c>
      <c r="D1500">
        <v>2024</v>
      </c>
      <c r="E1500" t="s">
        <v>1445</v>
      </c>
      <c r="F1500" t="s">
        <v>1446</v>
      </c>
      <c r="G1500" t="s">
        <v>70</v>
      </c>
      <c r="H1500" t="s">
        <v>30</v>
      </c>
      <c r="I1500" t="s">
        <v>40</v>
      </c>
      <c r="J1500" t="s">
        <v>43</v>
      </c>
      <c r="K1500" t="s">
        <v>53</v>
      </c>
      <c r="L1500" t="s">
        <v>44</v>
      </c>
      <c r="M1500">
        <v>3</v>
      </c>
      <c r="N1500" s="2"/>
      <c r="O1500" s="3">
        <v>3029</v>
      </c>
      <c r="P1500">
        <v>0</v>
      </c>
      <c r="Q1500">
        <v>4</v>
      </c>
      <c r="R1500" t="s">
        <v>33</v>
      </c>
      <c r="S1500">
        <v>1</v>
      </c>
    </row>
    <row r="1501" spans="1:19" ht="16.5" x14ac:dyDescent="0.3">
      <c r="A1501" t="s">
        <v>1558</v>
      </c>
      <c r="B1501" s="1">
        <v>45490</v>
      </c>
      <c r="C1501" s="1">
        <v>45493</v>
      </c>
      <c r="D1501">
        <v>2024</v>
      </c>
      <c r="E1501" t="s">
        <v>1445</v>
      </c>
      <c r="F1501" t="s">
        <v>1446</v>
      </c>
      <c r="G1501" t="s">
        <v>70</v>
      </c>
      <c r="H1501" t="s">
        <v>39</v>
      </c>
      <c r="I1501" t="s">
        <v>24</v>
      </c>
      <c r="J1501" t="s">
        <v>43</v>
      </c>
      <c r="K1501" t="s">
        <v>41</v>
      </c>
      <c r="L1501" t="s">
        <v>44</v>
      </c>
      <c r="M1501">
        <v>3</v>
      </c>
      <c r="N1501" s="2">
        <v>42</v>
      </c>
      <c r="O1501" s="3">
        <v>1883</v>
      </c>
      <c r="P1501">
        <v>0</v>
      </c>
      <c r="Q1501">
        <v>5</v>
      </c>
      <c r="R1501" t="s">
        <v>28</v>
      </c>
      <c r="S1501">
        <v>1</v>
      </c>
    </row>
    <row r="1502" spans="1:19" ht="16.5" x14ac:dyDescent="0.3">
      <c r="A1502" t="s">
        <v>1559</v>
      </c>
      <c r="B1502" s="1">
        <v>45490</v>
      </c>
      <c r="C1502" s="1">
        <v>45492</v>
      </c>
      <c r="D1502">
        <v>2024</v>
      </c>
      <c r="E1502" t="s">
        <v>1445</v>
      </c>
      <c r="F1502" t="s">
        <v>1446</v>
      </c>
      <c r="G1502" t="s">
        <v>70</v>
      </c>
      <c r="H1502" t="s">
        <v>39</v>
      </c>
      <c r="I1502" t="s">
        <v>31</v>
      </c>
      <c r="J1502" t="s">
        <v>43</v>
      </c>
      <c r="K1502" t="s">
        <v>41</v>
      </c>
      <c r="L1502" t="s">
        <v>44</v>
      </c>
      <c r="M1502">
        <v>2</v>
      </c>
      <c r="N1502" s="2"/>
      <c r="O1502" s="3">
        <v>1707</v>
      </c>
      <c r="P1502">
        <v>0</v>
      </c>
      <c r="Q1502">
        <v>4</v>
      </c>
      <c r="R1502" t="s">
        <v>33</v>
      </c>
      <c r="S1502">
        <v>1</v>
      </c>
    </row>
    <row r="1503" spans="1:19" ht="16.5" x14ac:dyDescent="0.3">
      <c r="A1503" t="s">
        <v>1560</v>
      </c>
      <c r="B1503" s="1">
        <v>45490</v>
      </c>
      <c r="C1503" s="1">
        <v>45491</v>
      </c>
      <c r="D1503">
        <v>2024</v>
      </c>
      <c r="E1503" t="s">
        <v>1445</v>
      </c>
      <c r="F1503" t="s">
        <v>1446</v>
      </c>
      <c r="G1503" t="s">
        <v>70</v>
      </c>
      <c r="H1503" t="s">
        <v>39</v>
      </c>
      <c r="I1503" t="s">
        <v>40</v>
      </c>
      <c r="J1503" t="s">
        <v>25</v>
      </c>
      <c r="K1503" t="s">
        <v>41</v>
      </c>
      <c r="L1503" t="s">
        <v>37</v>
      </c>
      <c r="M1503">
        <v>1</v>
      </c>
      <c r="N1503" s="2"/>
      <c r="O1503" s="3">
        <v>1710</v>
      </c>
      <c r="P1503">
        <v>0</v>
      </c>
      <c r="Q1503">
        <v>4</v>
      </c>
      <c r="R1503" t="s">
        <v>33</v>
      </c>
      <c r="S1503">
        <v>1</v>
      </c>
    </row>
    <row r="1504" spans="1:19" ht="16.5" x14ac:dyDescent="0.3">
      <c r="A1504" t="s">
        <v>1561</v>
      </c>
      <c r="B1504" s="1">
        <v>45490</v>
      </c>
      <c r="C1504" s="1">
        <v>45496</v>
      </c>
      <c r="D1504">
        <v>2024</v>
      </c>
      <c r="E1504" t="s">
        <v>1445</v>
      </c>
      <c r="F1504" t="s">
        <v>1446</v>
      </c>
      <c r="G1504" t="s">
        <v>70</v>
      </c>
      <c r="H1504" t="s">
        <v>35</v>
      </c>
      <c r="I1504" t="s">
        <v>24</v>
      </c>
      <c r="J1504" t="s">
        <v>25</v>
      </c>
      <c r="K1504" t="s">
        <v>36</v>
      </c>
      <c r="L1504" t="s">
        <v>44</v>
      </c>
      <c r="M1504">
        <v>6</v>
      </c>
      <c r="N1504" s="2">
        <v>13</v>
      </c>
      <c r="O1504" s="3">
        <v>3894</v>
      </c>
      <c r="P1504">
        <v>0</v>
      </c>
      <c r="Q1504">
        <v>3</v>
      </c>
      <c r="R1504" t="s">
        <v>33</v>
      </c>
      <c r="S1504">
        <v>1</v>
      </c>
    </row>
    <row r="1505" spans="1:19" ht="16.5" x14ac:dyDescent="0.3">
      <c r="A1505" t="s">
        <v>1562</v>
      </c>
      <c r="B1505" s="1">
        <v>45490</v>
      </c>
      <c r="C1505" s="1">
        <v>45491</v>
      </c>
      <c r="D1505">
        <v>2024</v>
      </c>
      <c r="E1505" t="s">
        <v>1445</v>
      </c>
      <c r="F1505" t="s">
        <v>1446</v>
      </c>
      <c r="G1505" t="s">
        <v>70</v>
      </c>
      <c r="H1505" t="s">
        <v>35</v>
      </c>
      <c r="I1505" t="s">
        <v>24</v>
      </c>
      <c r="J1505" t="s">
        <v>25</v>
      </c>
      <c r="K1505" t="s">
        <v>36</v>
      </c>
      <c r="L1505" t="s">
        <v>37</v>
      </c>
      <c r="M1505">
        <v>1</v>
      </c>
      <c r="N1505" s="2">
        <v>66</v>
      </c>
      <c r="O1505" s="3">
        <v>1513</v>
      </c>
      <c r="P1505">
        <v>0</v>
      </c>
      <c r="Q1505">
        <v>5</v>
      </c>
      <c r="R1505" t="s">
        <v>33</v>
      </c>
      <c r="S1505">
        <v>1</v>
      </c>
    </row>
    <row r="1506" spans="1:19" ht="16.5" x14ac:dyDescent="0.3">
      <c r="A1506" t="s">
        <v>1563</v>
      </c>
      <c r="B1506" s="1">
        <v>45491</v>
      </c>
      <c r="C1506" s="1">
        <v>45495</v>
      </c>
      <c r="D1506">
        <v>2024</v>
      </c>
      <c r="E1506" t="s">
        <v>1445</v>
      </c>
      <c r="F1506" t="s">
        <v>1446</v>
      </c>
      <c r="G1506" t="s">
        <v>78</v>
      </c>
      <c r="H1506" t="s">
        <v>39</v>
      </c>
      <c r="I1506" t="s">
        <v>24</v>
      </c>
      <c r="J1506" t="s">
        <v>25</v>
      </c>
      <c r="K1506" t="s">
        <v>41</v>
      </c>
      <c r="L1506" t="s">
        <v>27</v>
      </c>
      <c r="M1506">
        <v>4</v>
      </c>
      <c r="N1506" s="2">
        <v>54</v>
      </c>
      <c r="O1506" s="3">
        <v>2481</v>
      </c>
      <c r="P1506">
        <v>0</v>
      </c>
      <c r="Q1506">
        <v>4</v>
      </c>
      <c r="R1506" t="s">
        <v>33</v>
      </c>
      <c r="S1506">
        <v>1</v>
      </c>
    </row>
    <row r="1507" spans="1:19" ht="16.5" x14ac:dyDescent="0.3">
      <c r="A1507" t="s">
        <v>1564</v>
      </c>
      <c r="B1507" s="1">
        <v>45491</v>
      </c>
      <c r="C1507" s="1">
        <v>45497</v>
      </c>
      <c r="D1507">
        <v>2024</v>
      </c>
      <c r="E1507" t="s">
        <v>1445</v>
      </c>
      <c r="F1507" t="s">
        <v>1446</v>
      </c>
      <c r="G1507" t="s">
        <v>78</v>
      </c>
      <c r="H1507" t="s">
        <v>23</v>
      </c>
      <c r="I1507" t="s">
        <v>24</v>
      </c>
      <c r="J1507" t="s">
        <v>25</v>
      </c>
      <c r="K1507" t="s">
        <v>36</v>
      </c>
      <c r="L1507" t="s">
        <v>27</v>
      </c>
      <c r="M1507">
        <v>6</v>
      </c>
      <c r="N1507" s="2">
        <v>64</v>
      </c>
      <c r="O1507" s="3">
        <v>4176</v>
      </c>
      <c r="P1507">
        <v>0</v>
      </c>
      <c r="Q1507">
        <v>5</v>
      </c>
      <c r="R1507" t="s">
        <v>33</v>
      </c>
      <c r="S1507">
        <v>1</v>
      </c>
    </row>
    <row r="1508" spans="1:19" ht="16.5" x14ac:dyDescent="0.3">
      <c r="A1508" t="s">
        <v>1565</v>
      </c>
      <c r="B1508" s="1">
        <v>45491</v>
      </c>
      <c r="C1508" s="1">
        <v>45497</v>
      </c>
      <c r="D1508">
        <v>2024</v>
      </c>
      <c r="E1508" t="s">
        <v>1445</v>
      </c>
      <c r="F1508" t="s">
        <v>1446</v>
      </c>
      <c r="G1508" t="s">
        <v>78</v>
      </c>
      <c r="H1508" t="s">
        <v>35</v>
      </c>
      <c r="I1508" t="s">
        <v>40</v>
      </c>
      <c r="J1508" t="s">
        <v>25</v>
      </c>
      <c r="K1508" t="s">
        <v>32</v>
      </c>
      <c r="L1508" t="s">
        <v>44</v>
      </c>
      <c r="M1508">
        <v>6</v>
      </c>
      <c r="N1508" s="2"/>
      <c r="O1508" s="3">
        <v>4462</v>
      </c>
      <c r="P1508">
        <v>0</v>
      </c>
      <c r="Q1508">
        <v>5</v>
      </c>
      <c r="R1508" t="s">
        <v>33</v>
      </c>
      <c r="S1508">
        <v>1</v>
      </c>
    </row>
    <row r="1509" spans="1:19" ht="16.5" x14ac:dyDescent="0.3">
      <c r="A1509" t="s">
        <v>1566</v>
      </c>
      <c r="B1509" s="1">
        <v>45491</v>
      </c>
      <c r="C1509" s="1">
        <v>45499</v>
      </c>
      <c r="D1509">
        <v>2024</v>
      </c>
      <c r="E1509" t="s">
        <v>1445</v>
      </c>
      <c r="F1509" t="s">
        <v>1446</v>
      </c>
      <c r="G1509" t="s">
        <v>78</v>
      </c>
      <c r="H1509" t="s">
        <v>35</v>
      </c>
      <c r="I1509" t="s">
        <v>24</v>
      </c>
      <c r="J1509" t="s">
        <v>25</v>
      </c>
      <c r="K1509" t="s">
        <v>32</v>
      </c>
      <c r="L1509" t="s">
        <v>44</v>
      </c>
      <c r="M1509">
        <v>8</v>
      </c>
      <c r="N1509" s="2">
        <v>94</v>
      </c>
      <c r="O1509" s="3">
        <v>7296</v>
      </c>
      <c r="P1509">
        <v>0</v>
      </c>
      <c r="Q1509">
        <v>3</v>
      </c>
      <c r="R1509" t="s">
        <v>33</v>
      </c>
      <c r="S1509">
        <v>1</v>
      </c>
    </row>
    <row r="1510" spans="1:19" ht="16.5" x14ac:dyDescent="0.3">
      <c r="A1510" t="s">
        <v>1567</v>
      </c>
      <c r="B1510" s="1">
        <v>45491</v>
      </c>
      <c r="C1510" s="1">
        <v>45492</v>
      </c>
      <c r="D1510">
        <v>2024</v>
      </c>
      <c r="E1510" t="s">
        <v>1445</v>
      </c>
      <c r="F1510" t="s">
        <v>1446</v>
      </c>
      <c r="G1510" t="s">
        <v>78</v>
      </c>
      <c r="H1510" t="s">
        <v>30</v>
      </c>
      <c r="I1510" t="s">
        <v>40</v>
      </c>
      <c r="J1510" t="s">
        <v>43</v>
      </c>
      <c r="K1510" t="s">
        <v>32</v>
      </c>
      <c r="L1510" t="s">
        <v>37</v>
      </c>
      <c r="M1510">
        <v>1</v>
      </c>
      <c r="N1510" s="2"/>
      <c r="O1510" s="3">
        <v>2313</v>
      </c>
      <c r="P1510">
        <v>0</v>
      </c>
      <c r="Q1510">
        <v>5</v>
      </c>
      <c r="R1510" t="s">
        <v>33</v>
      </c>
      <c r="S1510">
        <v>1</v>
      </c>
    </row>
    <row r="1511" spans="1:19" ht="16.5" x14ac:dyDescent="0.3">
      <c r="A1511" t="s">
        <v>1568</v>
      </c>
      <c r="B1511" s="1">
        <v>45491</v>
      </c>
      <c r="C1511" s="1">
        <v>45498</v>
      </c>
      <c r="D1511">
        <v>2024</v>
      </c>
      <c r="E1511" t="s">
        <v>1445</v>
      </c>
      <c r="F1511" t="s">
        <v>1446</v>
      </c>
      <c r="G1511" t="s">
        <v>78</v>
      </c>
      <c r="H1511" t="s">
        <v>23</v>
      </c>
      <c r="I1511" t="s">
        <v>31</v>
      </c>
      <c r="J1511" t="s">
        <v>25</v>
      </c>
      <c r="K1511" t="s">
        <v>32</v>
      </c>
      <c r="L1511" t="s">
        <v>27</v>
      </c>
      <c r="M1511">
        <v>7</v>
      </c>
      <c r="N1511" s="2"/>
      <c r="O1511" s="3">
        <v>5152</v>
      </c>
      <c r="P1511">
        <v>0</v>
      </c>
      <c r="Q1511">
        <v>4</v>
      </c>
      <c r="R1511" t="s">
        <v>28</v>
      </c>
      <c r="S1511">
        <v>1</v>
      </c>
    </row>
    <row r="1512" spans="1:19" ht="16.5" x14ac:dyDescent="0.3">
      <c r="A1512" t="s">
        <v>1569</v>
      </c>
      <c r="B1512" s="1">
        <v>45491</v>
      </c>
      <c r="C1512" s="1">
        <v>45494</v>
      </c>
      <c r="D1512">
        <v>2024</v>
      </c>
      <c r="E1512" t="s">
        <v>1445</v>
      </c>
      <c r="F1512" t="s">
        <v>1446</v>
      </c>
      <c r="G1512" t="s">
        <v>78</v>
      </c>
      <c r="H1512" t="s">
        <v>30</v>
      </c>
      <c r="I1512" t="s">
        <v>40</v>
      </c>
      <c r="J1512" t="s">
        <v>25</v>
      </c>
      <c r="K1512" t="s">
        <v>26</v>
      </c>
      <c r="L1512" t="s">
        <v>37</v>
      </c>
      <c r="M1512">
        <v>3</v>
      </c>
      <c r="N1512" s="2"/>
      <c r="O1512" s="3">
        <v>3205</v>
      </c>
      <c r="P1512">
        <v>0</v>
      </c>
      <c r="Q1512">
        <v>4</v>
      </c>
      <c r="R1512" t="s">
        <v>28</v>
      </c>
      <c r="S1512">
        <v>1</v>
      </c>
    </row>
    <row r="1513" spans="1:19" ht="16.5" x14ac:dyDescent="0.3">
      <c r="A1513" t="s">
        <v>1570</v>
      </c>
      <c r="B1513" s="1">
        <v>45491</v>
      </c>
      <c r="C1513" s="1">
        <v>45492</v>
      </c>
      <c r="D1513">
        <v>2024</v>
      </c>
      <c r="E1513" t="s">
        <v>1445</v>
      </c>
      <c r="F1513" t="s">
        <v>1446</v>
      </c>
      <c r="G1513" t="s">
        <v>78</v>
      </c>
      <c r="H1513" t="s">
        <v>35</v>
      </c>
      <c r="I1513" t="s">
        <v>24</v>
      </c>
      <c r="J1513" t="s">
        <v>25</v>
      </c>
      <c r="K1513" t="s">
        <v>36</v>
      </c>
      <c r="L1513" t="s">
        <v>27</v>
      </c>
      <c r="M1513">
        <v>1</v>
      </c>
      <c r="N1513" s="2">
        <v>45</v>
      </c>
      <c r="O1513" s="3">
        <v>1530</v>
      </c>
      <c r="P1513">
        <v>0</v>
      </c>
      <c r="Q1513">
        <v>5</v>
      </c>
      <c r="R1513" t="s">
        <v>33</v>
      </c>
      <c r="S1513">
        <v>1</v>
      </c>
    </row>
    <row r="1514" spans="1:19" ht="16.5" x14ac:dyDescent="0.3">
      <c r="A1514" t="s">
        <v>1571</v>
      </c>
      <c r="B1514" s="1">
        <v>45491</v>
      </c>
      <c r="C1514" s="1">
        <v>45497</v>
      </c>
      <c r="D1514">
        <v>2024</v>
      </c>
      <c r="E1514" t="s">
        <v>1445</v>
      </c>
      <c r="F1514" t="s">
        <v>1446</v>
      </c>
      <c r="G1514" t="s">
        <v>78</v>
      </c>
      <c r="H1514" t="s">
        <v>50</v>
      </c>
      <c r="I1514" t="s">
        <v>40</v>
      </c>
      <c r="J1514" t="s">
        <v>43</v>
      </c>
      <c r="K1514" t="s">
        <v>53</v>
      </c>
      <c r="L1514" t="s">
        <v>27</v>
      </c>
      <c r="M1514">
        <v>6</v>
      </c>
      <c r="N1514" s="2"/>
      <c r="O1514" s="3">
        <v>8485</v>
      </c>
      <c r="P1514">
        <v>0</v>
      </c>
      <c r="Q1514">
        <v>4</v>
      </c>
      <c r="R1514" t="s">
        <v>28</v>
      </c>
      <c r="S1514">
        <v>1</v>
      </c>
    </row>
    <row r="1515" spans="1:19" ht="16.5" x14ac:dyDescent="0.3">
      <c r="A1515" t="s">
        <v>1572</v>
      </c>
      <c r="B1515" s="1">
        <v>45491</v>
      </c>
      <c r="C1515" s="1">
        <v>45500</v>
      </c>
      <c r="D1515">
        <v>2024</v>
      </c>
      <c r="E1515" t="s">
        <v>1445</v>
      </c>
      <c r="F1515" t="s">
        <v>1446</v>
      </c>
      <c r="G1515" t="s">
        <v>78</v>
      </c>
      <c r="H1515" t="s">
        <v>30</v>
      </c>
      <c r="I1515" t="s">
        <v>40</v>
      </c>
      <c r="J1515" t="s">
        <v>43</v>
      </c>
      <c r="K1515" t="s">
        <v>26</v>
      </c>
      <c r="L1515" t="s">
        <v>44</v>
      </c>
      <c r="M1515">
        <v>9</v>
      </c>
      <c r="N1515" s="2"/>
      <c r="O1515" s="3">
        <v>10849</v>
      </c>
      <c r="P1515">
        <v>0</v>
      </c>
      <c r="Q1515">
        <v>4</v>
      </c>
      <c r="R1515" t="s">
        <v>28</v>
      </c>
      <c r="S1515">
        <v>1</v>
      </c>
    </row>
    <row r="1516" spans="1:19" ht="16.5" x14ac:dyDescent="0.3">
      <c r="A1516" t="s">
        <v>1573</v>
      </c>
      <c r="B1516" s="1">
        <v>45492</v>
      </c>
      <c r="C1516" s="1">
        <v>45494</v>
      </c>
      <c r="D1516">
        <v>2024</v>
      </c>
      <c r="E1516" t="s">
        <v>1445</v>
      </c>
      <c r="F1516" t="s">
        <v>1446</v>
      </c>
      <c r="G1516" t="s">
        <v>83</v>
      </c>
      <c r="H1516" t="s">
        <v>52</v>
      </c>
      <c r="I1516" t="s">
        <v>40</v>
      </c>
      <c r="J1516" t="s">
        <v>25</v>
      </c>
      <c r="K1516" t="s">
        <v>26</v>
      </c>
      <c r="L1516" t="s">
        <v>27</v>
      </c>
      <c r="M1516">
        <v>2</v>
      </c>
      <c r="N1516" s="2"/>
      <c r="O1516" s="3">
        <v>2854</v>
      </c>
      <c r="P1516">
        <v>0</v>
      </c>
      <c r="Q1516">
        <v>4</v>
      </c>
      <c r="R1516" t="s">
        <v>33</v>
      </c>
      <c r="S1516">
        <v>1</v>
      </c>
    </row>
    <row r="1517" spans="1:19" ht="16.5" x14ac:dyDescent="0.3">
      <c r="A1517" t="s">
        <v>1574</v>
      </c>
      <c r="B1517" s="1">
        <v>45492</v>
      </c>
      <c r="C1517" s="1">
        <v>45493</v>
      </c>
      <c r="D1517">
        <v>2024</v>
      </c>
      <c r="E1517" t="s">
        <v>1445</v>
      </c>
      <c r="F1517" t="s">
        <v>1446</v>
      </c>
      <c r="G1517" t="s">
        <v>83</v>
      </c>
      <c r="H1517" t="s">
        <v>23</v>
      </c>
      <c r="I1517" t="s">
        <v>24</v>
      </c>
      <c r="J1517" t="s">
        <v>25</v>
      </c>
      <c r="K1517" t="s">
        <v>32</v>
      </c>
      <c r="L1517" t="s">
        <v>44</v>
      </c>
      <c r="M1517">
        <v>1</v>
      </c>
      <c r="N1517" s="2">
        <v>47</v>
      </c>
      <c r="O1517" s="3">
        <v>1663</v>
      </c>
      <c r="P1517">
        <v>0</v>
      </c>
      <c r="Q1517">
        <v>5</v>
      </c>
      <c r="R1517" t="s">
        <v>28</v>
      </c>
      <c r="S1517">
        <v>1</v>
      </c>
    </row>
    <row r="1518" spans="1:19" ht="16.5" x14ac:dyDescent="0.3">
      <c r="A1518" t="s">
        <v>1575</v>
      </c>
      <c r="B1518" s="1">
        <v>45492</v>
      </c>
      <c r="C1518" s="1">
        <v>45494</v>
      </c>
      <c r="D1518">
        <v>2024</v>
      </c>
      <c r="E1518" t="s">
        <v>1445</v>
      </c>
      <c r="F1518" t="s">
        <v>1446</v>
      </c>
      <c r="G1518" t="s">
        <v>83</v>
      </c>
      <c r="H1518" t="s">
        <v>23</v>
      </c>
      <c r="I1518" t="s">
        <v>24</v>
      </c>
      <c r="J1518" t="s">
        <v>43</v>
      </c>
      <c r="K1518" t="s">
        <v>26</v>
      </c>
      <c r="L1518" t="s">
        <v>27</v>
      </c>
      <c r="M1518">
        <v>2</v>
      </c>
      <c r="N1518" s="2">
        <v>16</v>
      </c>
      <c r="O1518" s="3">
        <v>2242</v>
      </c>
      <c r="P1518">
        <v>1</v>
      </c>
      <c r="Q1518">
        <v>5</v>
      </c>
      <c r="R1518" t="s">
        <v>33</v>
      </c>
      <c r="S1518">
        <v>1</v>
      </c>
    </row>
    <row r="1519" spans="1:19" ht="16.5" x14ac:dyDescent="0.3">
      <c r="A1519" t="s">
        <v>1576</v>
      </c>
      <c r="B1519" s="1">
        <v>45492</v>
      </c>
      <c r="C1519" s="1">
        <v>45496</v>
      </c>
      <c r="D1519">
        <v>2024</v>
      </c>
      <c r="E1519" t="s">
        <v>1445</v>
      </c>
      <c r="F1519" t="s">
        <v>1446</v>
      </c>
      <c r="G1519" t="s">
        <v>83</v>
      </c>
      <c r="H1519" t="s">
        <v>23</v>
      </c>
      <c r="I1519" t="s">
        <v>24</v>
      </c>
      <c r="J1519" t="s">
        <v>43</v>
      </c>
      <c r="K1519" t="s">
        <v>36</v>
      </c>
      <c r="L1519" t="s">
        <v>44</v>
      </c>
      <c r="M1519">
        <v>4</v>
      </c>
      <c r="N1519" s="2">
        <v>18</v>
      </c>
      <c r="O1519" s="3">
        <v>3733</v>
      </c>
      <c r="P1519">
        <v>0</v>
      </c>
      <c r="Q1519">
        <v>4</v>
      </c>
      <c r="R1519" t="s">
        <v>33</v>
      </c>
      <c r="S1519">
        <v>1</v>
      </c>
    </row>
    <row r="1520" spans="1:19" ht="16.5" x14ac:dyDescent="0.3">
      <c r="A1520" t="s">
        <v>1577</v>
      </c>
      <c r="B1520" s="1">
        <v>45492</v>
      </c>
      <c r="C1520" s="1">
        <v>45495</v>
      </c>
      <c r="D1520">
        <v>2024</v>
      </c>
      <c r="E1520" t="s">
        <v>1445</v>
      </c>
      <c r="F1520" t="s">
        <v>1446</v>
      </c>
      <c r="G1520" t="s">
        <v>83</v>
      </c>
      <c r="H1520" t="s">
        <v>23</v>
      </c>
      <c r="I1520" t="s">
        <v>24</v>
      </c>
      <c r="J1520" t="s">
        <v>25</v>
      </c>
      <c r="K1520" t="s">
        <v>53</v>
      </c>
      <c r="L1520" t="s">
        <v>44</v>
      </c>
      <c r="M1520">
        <v>3</v>
      </c>
      <c r="N1520" s="2">
        <v>42</v>
      </c>
      <c r="O1520" s="3">
        <v>3275</v>
      </c>
      <c r="P1520">
        <v>0</v>
      </c>
      <c r="Q1520">
        <v>4</v>
      </c>
      <c r="R1520" t="s">
        <v>33</v>
      </c>
      <c r="S1520">
        <v>1</v>
      </c>
    </row>
    <row r="1521" spans="1:19" ht="16.5" x14ac:dyDescent="0.3">
      <c r="A1521" t="s">
        <v>1578</v>
      </c>
      <c r="B1521" s="1">
        <v>45492</v>
      </c>
      <c r="C1521" s="1">
        <v>45495</v>
      </c>
      <c r="D1521">
        <v>2024</v>
      </c>
      <c r="E1521" t="s">
        <v>1445</v>
      </c>
      <c r="F1521" t="s">
        <v>1446</v>
      </c>
      <c r="G1521" t="s">
        <v>83</v>
      </c>
      <c r="H1521" t="s">
        <v>50</v>
      </c>
      <c r="I1521" t="s">
        <v>24</v>
      </c>
      <c r="J1521" t="s">
        <v>43</v>
      </c>
      <c r="K1521" t="s">
        <v>36</v>
      </c>
      <c r="L1521" t="s">
        <v>44</v>
      </c>
      <c r="M1521">
        <v>3</v>
      </c>
      <c r="N1521" s="2">
        <v>141</v>
      </c>
      <c r="O1521" s="3">
        <v>4913</v>
      </c>
      <c r="P1521">
        <v>0</v>
      </c>
      <c r="Q1521">
        <v>5</v>
      </c>
      <c r="R1521" t="s">
        <v>33</v>
      </c>
      <c r="S1521">
        <v>1</v>
      </c>
    </row>
    <row r="1522" spans="1:19" ht="16.5" x14ac:dyDescent="0.3">
      <c r="A1522" t="s">
        <v>1579</v>
      </c>
      <c r="B1522" s="1">
        <v>45492</v>
      </c>
      <c r="C1522" s="1">
        <v>45495</v>
      </c>
      <c r="D1522">
        <v>2024</v>
      </c>
      <c r="E1522" t="s">
        <v>1445</v>
      </c>
      <c r="F1522" t="s">
        <v>1446</v>
      </c>
      <c r="G1522" t="s">
        <v>83</v>
      </c>
      <c r="H1522" t="s">
        <v>35</v>
      </c>
      <c r="I1522" t="s">
        <v>24</v>
      </c>
      <c r="J1522" t="s">
        <v>25</v>
      </c>
      <c r="K1522" t="s">
        <v>32</v>
      </c>
      <c r="L1522" t="s">
        <v>44</v>
      </c>
      <c r="M1522">
        <v>3</v>
      </c>
      <c r="N1522" s="2">
        <v>80</v>
      </c>
      <c r="O1522" s="3">
        <v>2594</v>
      </c>
      <c r="P1522">
        <v>0</v>
      </c>
      <c r="Q1522">
        <v>4</v>
      </c>
      <c r="R1522" t="s">
        <v>33</v>
      </c>
      <c r="S1522">
        <v>1</v>
      </c>
    </row>
    <row r="1523" spans="1:19" ht="16.5" x14ac:dyDescent="0.3">
      <c r="A1523" t="s">
        <v>1580</v>
      </c>
      <c r="B1523" s="1">
        <v>45492</v>
      </c>
      <c r="C1523" s="1">
        <v>45493</v>
      </c>
      <c r="D1523">
        <v>2024</v>
      </c>
      <c r="E1523" t="s">
        <v>1445</v>
      </c>
      <c r="F1523" t="s">
        <v>1446</v>
      </c>
      <c r="G1523" t="s">
        <v>83</v>
      </c>
      <c r="H1523" t="s">
        <v>39</v>
      </c>
      <c r="I1523" t="s">
        <v>24</v>
      </c>
      <c r="J1523" t="s">
        <v>25</v>
      </c>
      <c r="K1523" t="s">
        <v>41</v>
      </c>
      <c r="L1523" t="s">
        <v>27</v>
      </c>
      <c r="M1523">
        <v>1</v>
      </c>
      <c r="N1523" s="2">
        <v>11</v>
      </c>
      <c r="O1523" s="3">
        <v>1055</v>
      </c>
      <c r="P1523">
        <v>0</v>
      </c>
      <c r="Q1523">
        <v>5</v>
      </c>
      <c r="R1523" t="s">
        <v>28</v>
      </c>
      <c r="S1523">
        <v>1</v>
      </c>
    </row>
    <row r="1524" spans="1:19" ht="16.5" x14ac:dyDescent="0.3">
      <c r="A1524" t="s">
        <v>1581</v>
      </c>
      <c r="B1524" s="1">
        <v>45493</v>
      </c>
      <c r="C1524" s="1">
        <v>45494</v>
      </c>
      <c r="D1524">
        <v>2024</v>
      </c>
      <c r="E1524" t="s">
        <v>1445</v>
      </c>
      <c r="F1524" t="s">
        <v>1446</v>
      </c>
      <c r="G1524" t="s">
        <v>102</v>
      </c>
      <c r="H1524" t="s">
        <v>52</v>
      </c>
      <c r="I1524" t="s">
        <v>24</v>
      </c>
      <c r="J1524" t="s">
        <v>43</v>
      </c>
      <c r="K1524" t="s">
        <v>26</v>
      </c>
      <c r="L1524" t="s">
        <v>27</v>
      </c>
      <c r="M1524">
        <v>1</v>
      </c>
      <c r="N1524" s="2">
        <v>74</v>
      </c>
      <c r="O1524" s="3">
        <v>1945</v>
      </c>
      <c r="P1524">
        <v>0</v>
      </c>
      <c r="Q1524">
        <v>4</v>
      </c>
      <c r="R1524" t="s">
        <v>33</v>
      </c>
      <c r="S1524">
        <v>1</v>
      </c>
    </row>
    <row r="1525" spans="1:19" ht="16.5" x14ac:dyDescent="0.3">
      <c r="A1525" t="s">
        <v>1582</v>
      </c>
      <c r="B1525" s="1">
        <v>45493</v>
      </c>
      <c r="C1525" s="1">
        <v>45498</v>
      </c>
      <c r="D1525">
        <v>2024</v>
      </c>
      <c r="E1525" t="s">
        <v>1445</v>
      </c>
      <c r="F1525" t="s">
        <v>1446</v>
      </c>
      <c r="G1525" t="s">
        <v>102</v>
      </c>
      <c r="H1525" t="s">
        <v>30</v>
      </c>
      <c r="I1525" t="s">
        <v>40</v>
      </c>
      <c r="J1525" t="s">
        <v>43</v>
      </c>
      <c r="K1525" t="s">
        <v>53</v>
      </c>
      <c r="L1525" t="s">
        <v>44</v>
      </c>
      <c r="M1525">
        <v>5</v>
      </c>
      <c r="N1525" s="2"/>
      <c r="O1525" s="3">
        <v>5455</v>
      </c>
      <c r="P1525">
        <v>0</v>
      </c>
      <c r="Q1525">
        <v>5</v>
      </c>
      <c r="R1525" t="s">
        <v>28</v>
      </c>
      <c r="S1525">
        <v>1</v>
      </c>
    </row>
    <row r="1526" spans="1:19" ht="16.5" x14ac:dyDescent="0.3">
      <c r="A1526" t="s">
        <v>1583</v>
      </c>
      <c r="B1526" s="1">
        <v>45493</v>
      </c>
      <c r="C1526" s="1">
        <v>45495</v>
      </c>
      <c r="D1526">
        <v>2024</v>
      </c>
      <c r="E1526" t="s">
        <v>1445</v>
      </c>
      <c r="F1526" t="s">
        <v>1446</v>
      </c>
      <c r="G1526" t="s">
        <v>102</v>
      </c>
      <c r="H1526" t="s">
        <v>30</v>
      </c>
      <c r="I1526" t="s">
        <v>24</v>
      </c>
      <c r="J1526" t="s">
        <v>43</v>
      </c>
      <c r="K1526" t="s">
        <v>53</v>
      </c>
      <c r="L1526" t="s">
        <v>44</v>
      </c>
      <c r="M1526">
        <v>2</v>
      </c>
      <c r="N1526" s="2">
        <v>178</v>
      </c>
      <c r="O1526" s="3">
        <v>2133</v>
      </c>
      <c r="P1526">
        <v>1</v>
      </c>
      <c r="Q1526">
        <v>3</v>
      </c>
      <c r="R1526" t="s">
        <v>28</v>
      </c>
      <c r="S1526">
        <v>1</v>
      </c>
    </row>
    <row r="1527" spans="1:19" ht="16.5" x14ac:dyDescent="0.3">
      <c r="A1527" t="s">
        <v>1584</v>
      </c>
      <c r="B1527" s="1">
        <v>45494</v>
      </c>
      <c r="C1527" s="1">
        <v>45498</v>
      </c>
      <c r="D1527">
        <v>2024</v>
      </c>
      <c r="E1527" t="s">
        <v>1445</v>
      </c>
      <c r="F1527" t="s">
        <v>1446</v>
      </c>
      <c r="G1527" t="s">
        <v>112</v>
      </c>
      <c r="H1527" t="s">
        <v>52</v>
      </c>
      <c r="I1527" t="s">
        <v>24</v>
      </c>
      <c r="J1527" t="s">
        <v>25</v>
      </c>
      <c r="K1527" t="s">
        <v>26</v>
      </c>
      <c r="L1527" t="s">
        <v>27</v>
      </c>
      <c r="M1527">
        <v>4</v>
      </c>
      <c r="N1527" s="2">
        <v>85</v>
      </c>
      <c r="O1527" s="3">
        <v>5368</v>
      </c>
      <c r="P1527">
        <v>0</v>
      </c>
      <c r="Q1527">
        <v>4</v>
      </c>
      <c r="R1527" t="s">
        <v>33</v>
      </c>
      <c r="S1527">
        <v>1</v>
      </c>
    </row>
    <row r="1528" spans="1:19" ht="16.5" x14ac:dyDescent="0.3">
      <c r="A1528" t="s">
        <v>1585</v>
      </c>
      <c r="B1528" s="1">
        <v>45494</v>
      </c>
      <c r="C1528" s="1">
        <v>45498</v>
      </c>
      <c r="D1528">
        <v>2024</v>
      </c>
      <c r="E1528" t="s">
        <v>1445</v>
      </c>
      <c r="F1528" t="s">
        <v>1446</v>
      </c>
      <c r="G1528" t="s">
        <v>112</v>
      </c>
      <c r="H1528" t="s">
        <v>30</v>
      </c>
      <c r="I1528" t="s">
        <v>40</v>
      </c>
      <c r="J1528" t="s">
        <v>25</v>
      </c>
      <c r="K1528" t="s">
        <v>53</v>
      </c>
      <c r="L1528" t="s">
        <v>27</v>
      </c>
      <c r="M1528">
        <v>4</v>
      </c>
      <c r="N1528" s="2"/>
      <c r="O1528" s="3">
        <v>5451</v>
      </c>
      <c r="P1528">
        <v>0</v>
      </c>
      <c r="Q1528">
        <v>5</v>
      </c>
      <c r="R1528" t="s">
        <v>33</v>
      </c>
      <c r="S1528">
        <v>1</v>
      </c>
    </row>
    <row r="1529" spans="1:19" ht="16.5" x14ac:dyDescent="0.3">
      <c r="A1529" t="s">
        <v>1586</v>
      </c>
      <c r="B1529" s="1">
        <v>45494</v>
      </c>
      <c r="C1529" s="1">
        <v>45496</v>
      </c>
      <c r="D1529">
        <v>2024</v>
      </c>
      <c r="E1529" t="s">
        <v>1445</v>
      </c>
      <c r="F1529" t="s">
        <v>1446</v>
      </c>
      <c r="G1529" t="s">
        <v>112</v>
      </c>
      <c r="H1529" t="s">
        <v>50</v>
      </c>
      <c r="I1529" t="s">
        <v>40</v>
      </c>
      <c r="J1529" t="s">
        <v>43</v>
      </c>
      <c r="K1529" t="s">
        <v>26</v>
      </c>
      <c r="L1529" t="s">
        <v>44</v>
      </c>
      <c r="M1529">
        <v>2</v>
      </c>
      <c r="N1529" s="2"/>
      <c r="O1529" s="3">
        <v>3474</v>
      </c>
      <c r="P1529">
        <v>1</v>
      </c>
      <c r="Q1529">
        <v>3</v>
      </c>
      <c r="R1529" t="s">
        <v>33</v>
      </c>
      <c r="S1529">
        <v>1</v>
      </c>
    </row>
    <row r="1530" spans="1:19" ht="16.5" x14ac:dyDescent="0.3">
      <c r="A1530" t="s">
        <v>1587</v>
      </c>
      <c r="B1530" s="1">
        <v>45494</v>
      </c>
      <c r="C1530" s="1">
        <v>45505</v>
      </c>
      <c r="D1530">
        <v>2024</v>
      </c>
      <c r="E1530" t="s">
        <v>1445</v>
      </c>
      <c r="F1530" t="s">
        <v>1446</v>
      </c>
      <c r="G1530" t="s">
        <v>112</v>
      </c>
      <c r="H1530" t="s">
        <v>50</v>
      </c>
      <c r="I1530" t="s">
        <v>24</v>
      </c>
      <c r="J1530" t="s">
        <v>43</v>
      </c>
      <c r="K1530" t="s">
        <v>26</v>
      </c>
      <c r="L1530" t="s">
        <v>44</v>
      </c>
      <c r="M1530">
        <v>11</v>
      </c>
      <c r="N1530" s="2">
        <v>127</v>
      </c>
      <c r="O1530" s="3">
        <v>11008</v>
      </c>
      <c r="P1530">
        <v>0</v>
      </c>
      <c r="Q1530">
        <v>3</v>
      </c>
      <c r="R1530" t="s">
        <v>28</v>
      </c>
      <c r="S1530">
        <v>1</v>
      </c>
    </row>
    <row r="1531" spans="1:19" ht="16.5" x14ac:dyDescent="0.3">
      <c r="A1531" t="s">
        <v>1588</v>
      </c>
      <c r="B1531" s="1">
        <v>45494</v>
      </c>
      <c r="C1531" s="1">
        <v>45497</v>
      </c>
      <c r="D1531">
        <v>2024</v>
      </c>
      <c r="E1531" t="s">
        <v>1445</v>
      </c>
      <c r="F1531" t="s">
        <v>1446</v>
      </c>
      <c r="G1531" t="s">
        <v>112</v>
      </c>
      <c r="H1531" t="s">
        <v>30</v>
      </c>
      <c r="I1531" t="s">
        <v>40</v>
      </c>
      <c r="J1531" t="s">
        <v>25</v>
      </c>
      <c r="K1531" t="s">
        <v>26</v>
      </c>
      <c r="L1531" t="s">
        <v>27</v>
      </c>
      <c r="M1531">
        <v>3</v>
      </c>
      <c r="N1531" s="2"/>
      <c r="O1531" s="3">
        <v>3607</v>
      </c>
      <c r="P1531">
        <v>0</v>
      </c>
      <c r="Q1531">
        <v>4</v>
      </c>
      <c r="R1531" t="s">
        <v>33</v>
      </c>
      <c r="S1531">
        <v>1</v>
      </c>
    </row>
    <row r="1532" spans="1:19" ht="16.5" x14ac:dyDescent="0.3">
      <c r="A1532" t="s">
        <v>1589</v>
      </c>
      <c r="B1532" s="1">
        <v>45494</v>
      </c>
      <c r="C1532" s="1">
        <v>45496</v>
      </c>
      <c r="D1532">
        <v>2024</v>
      </c>
      <c r="E1532" t="s">
        <v>1445</v>
      </c>
      <c r="F1532" t="s">
        <v>1446</v>
      </c>
      <c r="G1532" t="s">
        <v>112</v>
      </c>
      <c r="H1532" t="s">
        <v>23</v>
      </c>
      <c r="I1532" t="s">
        <v>24</v>
      </c>
      <c r="J1532" t="s">
        <v>25</v>
      </c>
      <c r="K1532" t="s">
        <v>26</v>
      </c>
      <c r="L1532" t="s">
        <v>27</v>
      </c>
      <c r="M1532">
        <v>2</v>
      </c>
      <c r="N1532" s="2">
        <v>67</v>
      </c>
      <c r="O1532" s="3">
        <v>2581</v>
      </c>
      <c r="P1532">
        <v>0</v>
      </c>
      <c r="Q1532">
        <v>5</v>
      </c>
      <c r="R1532" t="s">
        <v>28</v>
      </c>
      <c r="S1532">
        <v>1</v>
      </c>
    </row>
    <row r="1533" spans="1:19" ht="16.5" x14ac:dyDescent="0.3">
      <c r="A1533" t="s">
        <v>1590</v>
      </c>
      <c r="B1533" s="1">
        <v>45494</v>
      </c>
      <c r="C1533" s="1">
        <v>45495</v>
      </c>
      <c r="D1533">
        <v>2024</v>
      </c>
      <c r="E1533" t="s">
        <v>1445</v>
      </c>
      <c r="F1533" t="s">
        <v>1446</v>
      </c>
      <c r="G1533" t="s">
        <v>112</v>
      </c>
      <c r="H1533" t="s">
        <v>23</v>
      </c>
      <c r="I1533" t="s">
        <v>31</v>
      </c>
      <c r="J1533" t="s">
        <v>43</v>
      </c>
      <c r="K1533" t="s">
        <v>53</v>
      </c>
      <c r="L1533" t="s">
        <v>37</v>
      </c>
      <c r="M1533">
        <v>1</v>
      </c>
      <c r="N1533" s="2"/>
      <c r="O1533" s="3">
        <v>1260</v>
      </c>
      <c r="P1533">
        <v>1</v>
      </c>
      <c r="Q1533">
        <v>4</v>
      </c>
      <c r="R1533" t="s">
        <v>28</v>
      </c>
      <c r="S1533">
        <v>1</v>
      </c>
    </row>
    <row r="1534" spans="1:19" ht="16.5" x14ac:dyDescent="0.3">
      <c r="A1534" t="s">
        <v>1591</v>
      </c>
      <c r="B1534" s="1">
        <v>45495</v>
      </c>
      <c r="C1534" s="1">
        <v>45496</v>
      </c>
      <c r="D1534">
        <v>2024</v>
      </c>
      <c r="E1534" t="s">
        <v>1445</v>
      </c>
      <c r="F1534" t="s">
        <v>1446</v>
      </c>
      <c r="G1534" t="s">
        <v>22</v>
      </c>
      <c r="H1534" t="s">
        <v>39</v>
      </c>
      <c r="I1534" t="s">
        <v>40</v>
      </c>
      <c r="J1534" t="s">
        <v>43</v>
      </c>
      <c r="K1534" t="s">
        <v>41</v>
      </c>
      <c r="L1534" t="s">
        <v>44</v>
      </c>
      <c r="M1534">
        <v>1</v>
      </c>
      <c r="N1534" s="2"/>
      <c r="O1534" s="3">
        <v>1428</v>
      </c>
      <c r="P1534">
        <v>0</v>
      </c>
      <c r="Q1534">
        <v>4</v>
      </c>
      <c r="R1534" t="s">
        <v>28</v>
      </c>
      <c r="S1534">
        <v>1</v>
      </c>
    </row>
    <row r="1535" spans="1:19" ht="16.5" x14ac:dyDescent="0.3">
      <c r="A1535" t="s">
        <v>1592</v>
      </c>
      <c r="B1535" s="1">
        <v>45495</v>
      </c>
      <c r="C1535" s="1">
        <v>45500</v>
      </c>
      <c r="D1535">
        <v>2024</v>
      </c>
      <c r="E1535" t="s">
        <v>1445</v>
      </c>
      <c r="F1535" t="s">
        <v>1446</v>
      </c>
      <c r="G1535" t="s">
        <v>22</v>
      </c>
      <c r="H1535" t="s">
        <v>39</v>
      </c>
      <c r="I1535" t="s">
        <v>24</v>
      </c>
      <c r="J1535" t="s">
        <v>43</v>
      </c>
      <c r="K1535" t="s">
        <v>41</v>
      </c>
      <c r="L1535" t="s">
        <v>44</v>
      </c>
      <c r="M1535">
        <v>5</v>
      </c>
      <c r="N1535" s="2">
        <v>41</v>
      </c>
      <c r="O1535" s="3">
        <v>3159</v>
      </c>
      <c r="P1535">
        <v>0</v>
      </c>
      <c r="Q1535">
        <v>4</v>
      </c>
      <c r="R1535" t="s">
        <v>28</v>
      </c>
      <c r="S1535">
        <v>1</v>
      </c>
    </row>
    <row r="1536" spans="1:19" ht="16.5" x14ac:dyDescent="0.3">
      <c r="A1536" t="s">
        <v>1593</v>
      </c>
      <c r="B1536" s="1">
        <v>45495</v>
      </c>
      <c r="C1536" s="1">
        <v>45507</v>
      </c>
      <c r="D1536">
        <v>2024</v>
      </c>
      <c r="E1536" t="s">
        <v>1445</v>
      </c>
      <c r="F1536" t="s">
        <v>1446</v>
      </c>
      <c r="G1536" t="s">
        <v>22</v>
      </c>
      <c r="H1536" t="s">
        <v>50</v>
      </c>
      <c r="I1536" t="s">
        <v>24</v>
      </c>
      <c r="J1536" t="s">
        <v>43</v>
      </c>
      <c r="K1536" t="s">
        <v>26</v>
      </c>
      <c r="L1536" t="s">
        <v>27</v>
      </c>
      <c r="M1536">
        <v>12</v>
      </c>
      <c r="N1536" s="2">
        <v>89</v>
      </c>
      <c r="O1536" s="3">
        <v>17861</v>
      </c>
      <c r="P1536">
        <v>0</v>
      </c>
      <c r="Q1536">
        <v>5</v>
      </c>
      <c r="R1536" t="s">
        <v>59</v>
      </c>
      <c r="S1536">
        <v>1</v>
      </c>
    </row>
    <row r="1537" spans="1:19" ht="16.5" x14ac:dyDescent="0.3">
      <c r="A1537" t="s">
        <v>1594</v>
      </c>
      <c r="B1537" s="1">
        <v>45495</v>
      </c>
      <c r="C1537" s="1">
        <v>45497</v>
      </c>
      <c r="D1537">
        <v>2024</v>
      </c>
      <c r="E1537" t="s">
        <v>1445</v>
      </c>
      <c r="F1537" t="s">
        <v>1446</v>
      </c>
      <c r="G1537" t="s">
        <v>22</v>
      </c>
      <c r="H1537" t="s">
        <v>39</v>
      </c>
      <c r="I1537" t="s">
        <v>40</v>
      </c>
      <c r="J1537" t="s">
        <v>43</v>
      </c>
      <c r="K1537" t="s">
        <v>41</v>
      </c>
      <c r="L1537" t="s">
        <v>44</v>
      </c>
      <c r="M1537">
        <v>2</v>
      </c>
      <c r="N1537" s="2"/>
      <c r="O1537" s="3">
        <v>1914</v>
      </c>
      <c r="P1537">
        <v>0</v>
      </c>
      <c r="Q1537">
        <v>5</v>
      </c>
      <c r="R1537" t="s">
        <v>33</v>
      </c>
      <c r="S1537">
        <v>1</v>
      </c>
    </row>
    <row r="1538" spans="1:19" ht="16.5" x14ac:dyDescent="0.3">
      <c r="A1538" t="s">
        <v>1595</v>
      </c>
      <c r="B1538" s="1">
        <v>45495</v>
      </c>
      <c r="C1538" s="1">
        <v>45499</v>
      </c>
      <c r="D1538">
        <v>2024</v>
      </c>
      <c r="E1538" t="s">
        <v>1445</v>
      </c>
      <c r="F1538" t="s">
        <v>1446</v>
      </c>
      <c r="G1538" t="s">
        <v>22</v>
      </c>
      <c r="H1538" t="s">
        <v>30</v>
      </c>
      <c r="I1538" t="s">
        <v>40</v>
      </c>
      <c r="J1538" t="s">
        <v>43</v>
      </c>
      <c r="K1538" t="s">
        <v>32</v>
      </c>
      <c r="L1538" t="s">
        <v>44</v>
      </c>
      <c r="M1538">
        <v>4</v>
      </c>
      <c r="N1538" s="2"/>
      <c r="O1538" s="3">
        <v>4423</v>
      </c>
      <c r="P1538">
        <v>0</v>
      </c>
      <c r="Q1538">
        <v>4</v>
      </c>
      <c r="R1538" t="s">
        <v>28</v>
      </c>
      <c r="S1538">
        <v>1</v>
      </c>
    </row>
    <row r="1539" spans="1:19" ht="16.5" x14ac:dyDescent="0.3">
      <c r="A1539" t="s">
        <v>1596</v>
      </c>
      <c r="B1539" s="1">
        <v>45495</v>
      </c>
      <c r="C1539" s="1">
        <v>45496</v>
      </c>
      <c r="D1539">
        <v>2024</v>
      </c>
      <c r="E1539" t="s">
        <v>1445</v>
      </c>
      <c r="F1539" t="s">
        <v>1446</v>
      </c>
      <c r="G1539" t="s">
        <v>22</v>
      </c>
      <c r="H1539" t="s">
        <v>50</v>
      </c>
      <c r="I1539" t="s">
        <v>24</v>
      </c>
      <c r="J1539" t="s">
        <v>25</v>
      </c>
      <c r="K1539" t="s">
        <v>32</v>
      </c>
      <c r="L1539" t="s">
        <v>44</v>
      </c>
      <c r="M1539">
        <v>1</v>
      </c>
      <c r="N1539" s="2">
        <v>120</v>
      </c>
      <c r="O1539" s="3">
        <v>1849</v>
      </c>
      <c r="P1539">
        <v>0</v>
      </c>
      <c r="Q1539">
        <v>3</v>
      </c>
      <c r="R1539" t="s">
        <v>165</v>
      </c>
      <c r="S1539">
        <v>1</v>
      </c>
    </row>
    <row r="1540" spans="1:19" ht="16.5" x14ac:dyDescent="0.3">
      <c r="A1540" t="s">
        <v>1597</v>
      </c>
      <c r="B1540" s="1">
        <v>45495</v>
      </c>
      <c r="C1540" s="1">
        <v>45500</v>
      </c>
      <c r="D1540">
        <v>2024</v>
      </c>
      <c r="E1540" t="s">
        <v>1445</v>
      </c>
      <c r="F1540" t="s">
        <v>1446</v>
      </c>
      <c r="G1540" t="s">
        <v>22</v>
      </c>
      <c r="H1540" t="s">
        <v>23</v>
      </c>
      <c r="I1540" t="s">
        <v>24</v>
      </c>
      <c r="J1540" t="s">
        <v>43</v>
      </c>
      <c r="K1540" t="s">
        <v>36</v>
      </c>
      <c r="L1540" t="s">
        <v>44</v>
      </c>
      <c r="M1540">
        <v>5</v>
      </c>
      <c r="N1540" s="2">
        <v>105</v>
      </c>
      <c r="O1540" s="3">
        <v>3412</v>
      </c>
      <c r="P1540">
        <v>1</v>
      </c>
      <c r="Q1540">
        <v>3</v>
      </c>
      <c r="R1540" t="s">
        <v>33</v>
      </c>
      <c r="S1540">
        <v>1</v>
      </c>
    </row>
    <row r="1541" spans="1:19" ht="16.5" x14ac:dyDescent="0.3">
      <c r="A1541" t="s">
        <v>1598</v>
      </c>
      <c r="B1541" s="1">
        <v>45495</v>
      </c>
      <c r="C1541" s="1">
        <v>45509</v>
      </c>
      <c r="D1541">
        <v>2024</v>
      </c>
      <c r="E1541" t="s">
        <v>1445</v>
      </c>
      <c r="F1541" t="s">
        <v>1446</v>
      </c>
      <c r="G1541" t="s">
        <v>22</v>
      </c>
      <c r="H1541" t="s">
        <v>50</v>
      </c>
      <c r="I1541" t="s">
        <v>24</v>
      </c>
      <c r="J1541" t="s">
        <v>25</v>
      </c>
      <c r="K1541" t="s">
        <v>26</v>
      </c>
      <c r="L1541" t="s">
        <v>44</v>
      </c>
      <c r="M1541">
        <v>14</v>
      </c>
      <c r="N1541" s="2">
        <v>89</v>
      </c>
      <c r="O1541" s="3">
        <v>12700</v>
      </c>
      <c r="P1541">
        <v>1</v>
      </c>
      <c r="Q1541">
        <v>4</v>
      </c>
      <c r="R1541" t="s">
        <v>28</v>
      </c>
      <c r="S1541">
        <v>1</v>
      </c>
    </row>
    <row r="1542" spans="1:19" ht="16.5" x14ac:dyDescent="0.3">
      <c r="A1542" t="s">
        <v>1599</v>
      </c>
      <c r="B1542" s="1">
        <v>45495</v>
      </c>
      <c r="C1542" s="1">
        <v>45499</v>
      </c>
      <c r="D1542">
        <v>2024</v>
      </c>
      <c r="E1542" t="s">
        <v>1445</v>
      </c>
      <c r="F1542" t="s">
        <v>1446</v>
      </c>
      <c r="G1542" t="s">
        <v>22</v>
      </c>
      <c r="H1542" t="s">
        <v>30</v>
      </c>
      <c r="I1542" t="s">
        <v>24</v>
      </c>
      <c r="J1542" t="s">
        <v>43</v>
      </c>
      <c r="K1542" t="s">
        <v>53</v>
      </c>
      <c r="L1542" t="s">
        <v>27</v>
      </c>
      <c r="M1542">
        <v>4</v>
      </c>
      <c r="N1542" s="2">
        <v>66</v>
      </c>
      <c r="O1542" s="3">
        <v>4357</v>
      </c>
      <c r="P1542">
        <v>0</v>
      </c>
      <c r="Q1542">
        <v>3</v>
      </c>
      <c r="R1542" t="s">
        <v>33</v>
      </c>
      <c r="S1542">
        <v>1</v>
      </c>
    </row>
    <row r="1543" spans="1:19" ht="16.5" x14ac:dyDescent="0.3">
      <c r="A1543" t="s">
        <v>1600</v>
      </c>
      <c r="B1543" s="1">
        <v>45496</v>
      </c>
      <c r="C1543" s="1">
        <v>45500</v>
      </c>
      <c r="D1543">
        <v>2024</v>
      </c>
      <c r="E1543" t="s">
        <v>1445</v>
      </c>
      <c r="F1543" t="s">
        <v>1446</v>
      </c>
      <c r="G1543" t="s">
        <v>56</v>
      </c>
      <c r="H1543" t="s">
        <v>23</v>
      </c>
      <c r="I1543" t="s">
        <v>40</v>
      </c>
      <c r="J1543" t="s">
        <v>43</v>
      </c>
      <c r="K1543" t="s">
        <v>53</v>
      </c>
      <c r="L1543" t="s">
        <v>27</v>
      </c>
      <c r="M1543">
        <v>4</v>
      </c>
      <c r="N1543" s="2"/>
      <c r="O1543" s="3">
        <v>2895</v>
      </c>
      <c r="P1543">
        <v>0</v>
      </c>
      <c r="Q1543">
        <v>4</v>
      </c>
      <c r="R1543" t="s">
        <v>33</v>
      </c>
      <c r="S1543">
        <v>1</v>
      </c>
    </row>
    <row r="1544" spans="1:19" ht="16.5" x14ac:dyDescent="0.3">
      <c r="A1544" t="s">
        <v>1601</v>
      </c>
      <c r="B1544" s="1">
        <v>45496</v>
      </c>
      <c r="C1544" s="1">
        <v>45500</v>
      </c>
      <c r="D1544">
        <v>2024</v>
      </c>
      <c r="E1544" t="s">
        <v>1445</v>
      </c>
      <c r="F1544" t="s">
        <v>1446</v>
      </c>
      <c r="G1544" t="s">
        <v>56</v>
      </c>
      <c r="H1544" t="s">
        <v>23</v>
      </c>
      <c r="I1544" t="s">
        <v>40</v>
      </c>
      <c r="J1544" t="s">
        <v>25</v>
      </c>
      <c r="K1544" t="s">
        <v>26</v>
      </c>
      <c r="L1544" t="s">
        <v>44</v>
      </c>
      <c r="M1544">
        <v>4</v>
      </c>
      <c r="N1544" s="2"/>
      <c r="O1544" s="3">
        <v>3109</v>
      </c>
      <c r="P1544">
        <v>0</v>
      </c>
      <c r="Q1544">
        <v>4</v>
      </c>
      <c r="R1544" t="s">
        <v>28</v>
      </c>
      <c r="S1544">
        <v>1</v>
      </c>
    </row>
    <row r="1545" spans="1:19" ht="16.5" x14ac:dyDescent="0.3">
      <c r="A1545" t="s">
        <v>1602</v>
      </c>
      <c r="B1545" s="1">
        <v>45496</v>
      </c>
      <c r="C1545" s="1">
        <v>45506</v>
      </c>
      <c r="D1545">
        <v>2024</v>
      </c>
      <c r="E1545" t="s">
        <v>1445</v>
      </c>
      <c r="F1545" t="s">
        <v>1446</v>
      </c>
      <c r="G1545" t="s">
        <v>56</v>
      </c>
      <c r="H1545" t="s">
        <v>50</v>
      </c>
      <c r="I1545" t="s">
        <v>31</v>
      </c>
      <c r="J1545" t="s">
        <v>25</v>
      </c>
      <c r="K1545" t="s">
        <v>53</v>
      </c>
      <c r="L1545" t="s">
        <v>44</v>
      </c>
      <c r="M1545">
        <v>10</v>
      </c>
      <c r="N1545" s="2"/>
      <c r="O1545" s="3">
        <v>9214</v>
      </c>
      <c r="P1545">
        <v>0</v>
      </c>
      <c r="Q1545">
        <v>5</v>
      </c>
      <c r="R1545" t="s">
        <v>28</v>
      </c>
      <c r="S1545">
        <v>1</v>
      </c>
    </row>
    <row r="1546" spans="1:19" ht="16.5" x14ac:dyDescent="0.3">
      <c r="A1546" t="s">
        <v>1603</v>
      </c>
      <c r="B1546" s="1">
        <v>45497</v>
      </c>
      <c r="C1546" s="1">
        <v>45499</v>
      </c>
      <c r="D1546">
        <v>2024</v>
      </c>
      <c r="E1546" t="s">
        <v>1445</v>
      </c>
      <c r="F1546" t="s">
        <v>1446</v>
      </c>
      <c r="G1546" t="s">
        <v>70</v>
      </c>
      <c r="H1546" t="s">
        <v>50</v>
      </c>
      <c r="I1546" t="s">
        <v>24</v>
      </c>
      <c r="J1546" t="s">
        <v>25</v>
      </c>
      <c r="K1546" t="s">
        <v>53</v>
      </c>
      <c r="L1546" t="s">
        <v>27</v>
      </c>
      <c r="M1546">
        <v>2</v>
      </c>
      <c r="N1546" s="2">
        <v>82</v>
      </c>
      <c r="O1546" s="3">
        <v>3041</v>
      </c>
      <c r="P1546">
        <v>0</v>
      </c>
      <c r="Q1546">
        <v>5</v>
      </c>
      <c r="R1546" t="s">
        <v>33</v>
      </c>
      <c r="S1546">
        <v>1</v>
      </c>
    </row>
    <row r="1547" spans="1:19" ht="16.5" x14ac:dyDescent="0.3">
      <c r="A1547" t="s">
        <v>1604</v>
      </c>
      <c r="B1547" s="1">
        <v>45497</v>
      </c>
      <c r="C1547" s="1">
        <v>45502</v>
      </c>
      <c r="D1547">
        <v>2024</v>
      </c>
      <c r="E1547" t="s">
        <v>1445</v>
      </c>
      <c r="F1547" t="s">
        <v>1446</v>
      </c>
      <c r="G1547" t="s">
        <v>70</v>
      </c>
      <c r="H1547" t="s">
        <v>23</v>
      </c>
      <c r="I1547" t="s">
        <v>31</v>
      </c>
      <c r="J1547" t="s">
        <v>43</v>
      </c>
      <c r="K1547" t="s">
        <v>36</v>
      </c>
      <c r="L1547" t="s">
        <v>44</v>
      </c>
      <c r="M1547">
        <v>5</v>
      </c>
      <c r="N1547" s="2"/>
      <c r="O1547" s="3">
        <v>4142</v>
      </c>
      <c r="P1547">
        <v>1</v>
      </c>
      <c r="Q1547">
        <v>3</v>
      </c>
      <c r="R1547" t="s">
        <v>33</v>
      </c>
      <c r="S1547">
        <v>1</v>
      </c>
    </row>
    <row r="1548" spans="1:19" ht="16.5" x14ac:dyDescent="0.3">
      <c r="A1548" t="s">
        <v>1605</v>
      </c>
      <c r="B1548" s="1">
        <v>45497</v>
      </c>
      <c r="C1548" s="1">
        <v>45498</v>
      </c>
      <c r="D1548">
        <v>2024</v>
      </c>
      <c r="E1548" t="s">
        <v>1445</v>
      </c>
      <c r="F1548" t="s">
        <v>1446</v>
      </c>
      <c r="G1548" t="s">
        <v>70</v>
      </c>
      <c r="H1548" t="s">
        <v>39</v>
      </c>
      <c r="I1548" t="s">
        <v>40</v>
      </c>
      <c r="J1548" t="s">
        <v>43</v>
      </c>
      <c r="K1548" t="s">
        <v>41</v>
      </c>
      <c r="L1548" t="s">
        <v>44</v>
      </c>
      <c r="M1548">
        <v>1</v>
      </c>
      <c r="N1548" s="2"/>
      <c r="O1548" s="3">
        <v>1474</v>
      </c>
      <c r="P1548">
        <v>0</v>
      </c>
      <c r="Q1548">
        <v>3</v>
      </c>
      <c r="R1548" t="s">
        <v>59</v>
      </c>
      <c r="S1548">
        <v>1</v>
      </c>
    </row>
    <row r="1549" spans="1:19" ht="16.5" x14ac:dyDescent="0.3">
      <c r="A1549" t="s">
        <v>1606</v>
      </c>
      <c r="B1549" s="1">
        <v>45498</v>
      </c>
      <c r="C1549" s="1">
        <v>45499</v>
      </c>
      <c r="D1549">
        <v>2024</v>
      </c>
      <c r="E1549" t="s">
        <v>1445</v>
      </c>
      <c r="F1549" t="s">
        <v>1446</v>
      </c>
      <c r="G1549" t="s">
        <v>78</v>
      </c>
      <c r="H1549" t="s">
        <v>30</v>
      </c>
      <c r="I1549" t="s">
        <v>40</v>
      </c>
      <c r="J1549" t="s">
        <v>25</v>
      </c>
      <c r="K1549" t="s">
        <v>26</v>
      </c>
      <c r="L1549" t="s">
        <v>44</v>
      </c>
      <c r="M1549">
        <v>1</v>
      </c>
      <c r="N1549" s="2"/>
      <c r="O1549" s="3">
        <v>2197</v>
      </c>
      <c r="P1549">
        <v>0</v>
      </c>
      <c r="Q1549">
        <v>5</v>
      </c>
      <c r="R1549" t="s">
        <v>33</v>
      </c>
      <c r="S1549">
        <v>1</v>
      </c>
    </row>
    <row r="1550" spans="1:19" ht="16.5" x14ac:dyDescent="0.3">
      <c r="A1550" t="s">
        <v>1607</v>
      </c>
      <c r="B1550" s="1">
        <v>45498</v>
      </c>
      <c r="C1550" s="1">
        <v>45507</v>
      </c>
      <c r="D1550">
        <v>2024</v>
      </c>
      <c r="E1550" t="s">
        <v>1445</v>
      </c>
      <c r="F1550" t="s">
        <v>1446</v>
      </c>
      <c r="G1550" t="s">
        <v>78</v>
      </c>
      <c r="H1550" t="s">
        <v>50</v>
      </c>
      <c r="I1550" t="s">
        <v>40</v>
      </c>
      <c r="J1550" t="s">
        <v>43</v>
      </c>
      <c r="K1550" t="s">
        <v>36</v>
      </c>
      <c r="L1550" t="s">
        <v>37</v>
      </c>
      <c r="M1550">
        <v>9</v>
      </c>
      <c r="N1550" s="2"/>
      <c r="O1550" s="3">
        <v>9671</v>
      </c>
      <c r="P1550">
        <v>1</v>
      </c>
      <c r="Q1550">
        <v>4</v>
      </c>
      <c r="R1550" t="s">
        <v>33</v>
      </c>
      <c r="S1550">
        <v>1</v>
      </c>
    </row>
    <row r="1551" spans="1:19" ht="16.5" x14ac:dyDescent="0.3">
      <c r="A1551" t="s">
        <v>1608</v>
      </c>
      <c r="B1551" s="1">
        <v>45498</v>
      </c>
      <c r="C1551" s="1">
        <v>45504</v>
      </c>
      <c r="D1551">
        <v>2024</v>
      </c>
      <c r="E1551" t="s">
        <v>1445</v>
      </c>
      <c r="F1551" t="s">
        <v>1446</v>
      </c>
      <c r="G1551" t="s">
        <v>78</v>
      </c>
      <c r="H1551" t="s">
        <v>35</v>
      </c>
      <c r="I1551" t="s">
        <v>40</v>
      </c>
      <c r="J1551" t="s">
        <v>25</v>
      </c>
      <c r="K1551" t="s">
        <v>32</v>
      </c>
      <c r="L1551" t="s">
        <v>27</v>
      </c>
      <c r="M1551">
        <v>6</v>
      </c>
      <c r="N1551" s="2"/>
      <c r="O1551" s="3">
        <v>4277</v>
      </c>
      <c r="P1551">
        <v>0</v>
      </c>
      <c r="Q1551">
        <v>5</v>
      </c>
      <c r="R1551" t="s">
        <v>33</v>
      </c>
      <c r="S1551">
        <v>1</v>
      </c>
    </row>
    <row r="1552" spans="1:19" ht="16.5" x14ac:dyDescent="0.3">
      <c r="A1552" t="s">
        <v>1609</v>
      </c>
      <c r="B1552" s="1">
        <v>45498</v>
      </c>
      <c r="C1552" s="1">
        <v>45501</v>
      </c>
      <c r="D1552">
        <v>2024</v>
      </c>
      <c r="E1552" t="s">
        <v>1445</v>
      </c>
      <c r="F1552" t="s">
        <v>1446</v>
      </c>
      <c r="G1552" t="s">
        <v>78</v>
      </c>
      <c r="H1552" t="s">
        <v>23</v>
      </c>
      <c r="I1552" t="s">
        <v>24</v>
      </c>
      <c r="J1552" t="s">
        <v>25</v>
      </c>
      <c r="K1552" t="s">
        <v>53</v>
      </c>
      <c r="L1552" t="s">
        <v>27</v>
      </c>
      <c r="M1552">
        <v>3</v>
      </c>
      <c r="N1552" s="2">
        <v>77</v>
      </c>
      <c r="O1552" s="3">
        <v>3327</v>
      </c>
      <c r="P1552">
        <v>1</v>
      </c>
      <c r="Q1552">
        <v>4</v>
      </c>
      <c r="R1552" t="s">
        <v>28</v>
      </c>
      <c r="S1552">
        <v>1</v>
      </c>
    </row>
    <row r="1553" spans="1:19" ht="16.5" x14ac:dyDescent="0.3">
      <c r="A1553" t="s">
        <v>1610</v>
      </c>
      <c r="B1553" s="1">
        <v>45499</v>
      </c>
      <c r="C1553" s="1">
        <v>45508</v>
      </c>
      <c r="D1553">
        <v>2024</v>
      </c>
      <c r="E1553" t="s">
        <v>1445</v>
      </c>
      <c r="F1553" t="s">
        <v>1446</v>
      </c>
      <c r="G1553" t="s">
        <v>83</v>
      </c>
      <c r="H1553" t="s">
        <v>52</v>
      </c>
      <c r="I1553" t="s">
        <v>24</v>
      </c>
      <c r="J1553" t="s">
        <v>25</v>
      </c>
      <c r="K1553" t="s">
        <v>32</v>
      </c>
      <c r="L1553" t="s">
        <v>44</v>
      </c>
      <c r="M1553">
        <v>9</v>
      </c>
      <c r="N1553" s="2">
        <v>61</v>
      </c>
      <c r="O1553" s="3">
        <v>8007</v>
      </c>
      <c r="P1553">
        <v>0</v>
      </c>
      <c r="Q1553">
        <v>5</v>
      </c>
      <c r="R1553" t="s">
        <v>33</v>
      </c>
      <c r="S1553">
        <v>1</v>
      </c>
    </row>
    <row r="1554" spans="1:19" ht="16.5" x14ac:dyDescent="0.3">
      <c r="A1554" t="s">
        <v>1611</v>
      </c>
      <c r="B1554" s="1">
        <v>45499</v>
      </c>
      <c r="C1554" s="1">
        <v>45502</v>
      </c>
      <c r="D1554">
        <v>2024</v>
      </c>
      <c r="E1554" t="s">
        <v>1445</v>
      </c>
      <c r="F1554" t="s">
        <v>1446</v>
      </c>
      <c r="G1554" t="s">
        <v>83</v>
      </c>
      <c r="H1554" t="s">
        <v>35</v>
      </c>
      <c r="I1554" t="s">
        <v>24</v>
      </c>
      <c r="J1554" t="s">
        <v>25</v>
      </c>
      <c r="K1554" t="s">
        <v>32</v>
      </c>
      <c r="L1554" t="s">
        <v>44</v>
      </c>
      <c r="M1554">
        <v>3</v>
      </c>
      <c r="N1554" s="2">
        <v>44</v>
      </c>
      <c r="O1554" s="3">
        <v>2179</v>
      </c>
      <c r="P1554">
        <v>0</v>
      </c>
      <c r="Q1554">
        <v>4</v>
      </c>
      <c r="R1554" t="s">
        <v>33</v>
      </c>
      <c r="S1554">
        <v>1</v>
      </c>
    </row>
    <row r="1555" spans="1:19" ht="16.5" x14ac:dyDescent="0.3">
      <c r="A1555" t="s">
        <v>1612</v>
      </c>
      <c r="B1555" s="1">
        <v>45499</v>
      </c>
      <c r="C1555" s="1">
        <v>45502</v>
      </c>
      <c r="D1555">
        <v>2024</v>
      </c>
      <c r="E1555" t="s">
        <v>1445</v>
      </c>
      <c r="F1555" t="s">
        <v>1446</v>
      </c>
      <c r="G1555" t="s">
        <v>83</v>
      </c>
      <c r="H1555" t="s">
        <v>35</v>
      </c>
      <c r="I1555" t="s">
        <v>31</v>
      </c>
      <c r="J1555" t="s">
        <v>25</v>
      </c>
      <c r="K1555" t="s">
        <v>32</v>
      </c>
      <c r="L1555" t="s">
        <v>27</v>
      </c>
      <c r="M1555">
        <v>3</v>
      </c>
      <c r="N1555" s="2"/>
      <c r="O1555" s="3">
        <v>3299</v>
      </c>
      <c r="P1555">
        <v>0</v>
      </c>
      <c r="Q1555">
        <v>3</v>
      </c>
      <c r="R1555" t="s">
        <v>33</v>
      </c>
      <c r="S1555">
        <v>1</v>
      </c>
    </row>
    <row r="1556" spans="1:19" ht="16.5" x14ac:dyDescent="0.3">
      <c r="A1556" t="s">
        <v>1613</v>
      </c>
      <c r="B1556" s="1">
        <v>45499</v>
      </c>
      <c r="C1556" s="1">
        <v>45500</v>
      </c>
      <c r="D1556">
        <v>2024</v>
      </c>
      <c r="E1556" t="s">
        <v>1445</v>
      </c>
      <c r="F1556" t="s">
        <v>1446</v>
      </c>
      <c r="G1556" t="s">
        <v>83</v>
      </c>
      <c r="H1556" t="s">
        <v>30</v>
      </c>
      <c r="I1556" t="s">
        <v>40</v>
      </c>
      <c r="J1556" t="s">
        <v>25</v>
      </c>
      <c r="K1556" t="s">
        <v>36</v>
      </c>
      <c r="L1556" t="s">
        <v>44</v>
      </c>
      <c r="M1556">
        <v>1</v>
      </c>
      <c r="N1556" s="2"/>
      <c r="O1556" s="3">
        <v>2358</v>
      </c>
      <c r="P1556">
        <v>0</v>
      </c>
      <c r="Q1556">
        <v>5</v>
      </c>
      <c r="R1556" t="s">
        <v>33</v>
      </c>
      <c r="S1556">
        <v>1</v>
      </c>
    </row>
    <row r="1557" spans="1:19" ht="16.5" x14ac:dyDescent="0.3">
      <c r="A1557" t="s">
        <v>1614</v>
      </c>
      <c r="B1557" s="1">
        <v>45499</v>
      </c>
      <c r="C1557" s="1">
        <v>45505</v>
      </c>
      <c r="D1557">
        <v>2024</v>
      </c>
      <c r="E1557" t="s">
        <v>1445</v>
      </c>
      <c r="F1557" t="s">
        <v>1446</v>
      </c>
      <c r="G1557" t="s">
        <v>83</v>
      </c>
      <c r="H1557" t="s">
        <v>23</v>
      </c>
      <c r="I1557" t="s">
        <v>24</v>
      </c>
      <c r="J1557" t="s">
        <v>43</v>
      </c>
      <c r="K1557" t="s">
        <v>53</v>
      </c>
      <c r="L1557" t="s">
        <v>27</v>
      </c>
      <c r="M1557">
        <v>6</v>
      </c>
      <c r="N1557" s="2">
        <v>20</v>
      </c>
      <c r="O1557" s="3">
        <v>5324</v>
      </c>
      <c r="P1557">
        <v>0</v>
      </c>
      <c r="Q1557">
        <v>4</v>
      </c>
      <c r="R1557" t="s">
        <v>33</v>
      </c>
      <c r="S1557">
        <v>1</v>
      </c>
    </row>
    <row r="1558" spans="1:19" ht="16.5" x14ac:dyDescent="0.3">
      <c r="A1558" t="s">
        <v>1615</v>
      </c>
      <c r="B1558" s="1">
        <v>45499</v>
      </c>
      <c r="C1558" s="1">
        <v>45503</v>
      </c>
      <c r="D1558">
        <v>2024</v>
      </c>
      <c r="E1558" t="s">
        <v>1445</v>
      </c>
      <c r="F1558" t="s">
        <v>1446</v>
      </c>
      <c r="G1558" t="s">
        <v>83</v>
      </c>
      <c r="H1558" t="s">
        <v>52</v>
      </c>
      <c r="I1558" t="s">
        <v>24</v>
      </c>
      <c r="J1558" t="s">
        <v>43</v>
      </c>
      <c r="K1558" t="s">
        <v>32</v>
      </c>
      <c r="L1558" t="s">
        <v>44</v>
      </c>
      <c r="M1558">
        <v>4</v>
      </c>
      <c r="N1558" s="2">
        <v>136</v>
      </c>
      <c r="O1558" s="3">
        <v>3342</v>
      </c>
      <c r="P1558">
        <v>0</v>
      </c>
      <c r="Q1558">
        <v>4</v>
      </c>
      <c r="R1558" t="s">
        <v>33</v>
      </c>
      <c r="S1558">
        <v>1</v>
      </c>
    </row>
    <row r="1559" spans="1:19" ht="16.5" x14ac:dyDescent="0.3">
      <c r="A1559" t="s">
        <v>1616</v>
      </c>
      <c r="B1559" s="1">
        <v>45499</v>
      </c>
      <c r="C1559" s="1">
        <v>45500</v>
      </c>
      <c r="D1559">
        <v>2024</v>
      </c>
      <c r="E1559" t="s">
        <v>1445</v>
      </c>
      <c r="F1559" t="s">
        <v>1446</v>
      </c>
      <c r="G1559" t="s">
        <v>83</v>
      </c>
      <c r="H1559" t="s">
        <v>39</v>
      </c>
      <c r="I1559" t="s">
        <v>24</v>
      </c>
      <c r="J1559" t="s">
        <v>43</v>
      </c>
      <c r="K1559" t="s">
        <v>41</v>
      </c>
      <c r="L1559" t="s">
        <v>44</v>
      </c>
      <c r="M1559">
        <v>1</v>
      </c>
      <c r="N1559" s="2">
        <v>25</v>
      </c>
      <c r="O1559" s="3">
        <v>899</v>
      </c>
      <c r="P1559">
        <v>0</v>
      </c>
      <c r="Q1559">
        <v>5</v>
      </c>
      <c r="R1559" t="s">
        <v>28</v>
      </c>
      <c r="S1559">
        <v>1</v>
      </c>
    </row>
    <row r="1560" spans="1:19" ht="16.5" x14ac:dyDescent="0.3">
      <c r="A1560" t="s">
        <v>1617</v>
      </c>
      <c r="B1560" s="1">
        <v>45499</v>
      </c>
      <c r="C1560" s="1">
        <v>45502</v>
      </c>
      <c r="D1560">
        <v>2024</v>
      </c>
      <c r="E1560" t="s">
        <v>1445</v>
      </c>
      <c r="F1560" t="s">
        <v>1446</v>
      </c>
      <c r="G1560" t="s">
        <v>83</v>
      </c>
      <c r="H1560" t="s">
        <v>35</v>
      </c>
      <c r="I1560" t="s">
        <v>24</v>
      </c>
      <c r="J1560" t="s">
        <v>25</v>
      </c>
      <c r="K1560" t="s">
        <v>36</v>
      </c>
      <c r="L1560" t="s">
        <v>27</v>
      </c>
      <c r="M1560">
        <v>3</v>
      </c>
      <c r="N1560" s="2">
        <v>103</v>
      </c>
      <c r="O1560" s="3">
        <v>2728</v>
      </c>
      <c r="P1560">
        <v>1</v>
      </c>
      <c r="Q1560">
        <v>4</v>
      </c>
      <c r="R1560" t="s">
        <v>28</v>
      </c>
      <c r="S1560">
        <v>1</v>
      </c>
    </row>
    <row r="1561" spans="1:19" ht="16.5" x14ac:dyDescent="0.3">
      <c r="A1561" t="s">
        <v>1618</v>
      </c>
      <c r="B1561" s="1">
        <v>45499</v>
      </c>
      <c r="C1561" s="1">
        <v>45503</v>
      </c>
      <c r="D1561">
        <v>2024</v>
      </c>
      <c r="E1561" t="s">
        <v>1445</v>
      </c>
      <c r="F1561" t="s">
        <v>1446</v>
      </c>
      <c r="G1561" t="s">
        <v>83</v>
      </c>
      <c r="H1561" t="s">
        <v>39</v>
      </c>
      <c r="I1561" t="s">
        <v>24</v>
      </c>
      <c r="J1561" t="s">
        <v>25</v>
      </c>
      <c r="K1561" t="s">
        <v>41</v>
      </c>
      <c r="L1561" t="s">
        <v>44</v>
      </c>
      <c r="M1561">
        <v>4</v>
      </c>
      <c r="N1561" s="2">
        <v>84</v>
      </c>
      <c r="O1561" s="3">
        <v>3084</v>
      </c>
      <c r="P1561">
        <v>0</v>
      </c>
      <c r="Q1561">
        <v>3</v>
      </c>
      <c r="R1561" t="s">
        <v>33</v>
      </c>
      <c r="S1561">
        <v>1</v>
      </c>
    </row>
    <row r="1562" spans="1:19" ht="16.5" x14ac:dyDescent="0.3">
      <c r="A1562" t="s">
        <v>1619</v>
      </c>
      <c r="B1562" s="1">
        <v>45499</v>
      </c>
      <c r="C1562" s="1">
        <v>45502</v>
      </c>
      <c r="D1562">
        <v>2024</v>
      </c>
      <c r="E1562" t="s">
        <v>1445</v>
      </c>
      <c r="F1562" t="s">
        <v>1446</v>
      </c>
      <c r="G1562" t="s">
        <v>83</v>
      </c>
      <c r="H1562" t="s">
        <v>30</v>
      </c>
      <c r="I1562" t="s">
        <v>40</v>
      </c>
      <c r="J1562" t="s">
        <v>25</v>
      </c>
      <c r="K1562" t="s">
        <v>26</v>
      </c>
      <c r="L1562" t="s">
        <v>37</v>
      </c>
      <c r="M1562">
        <v>3</v>
      </c>
      <c r="N1562" s="2"/>
      <c r="O1562" s="3">
        <v>3529</v>
      </c>
      <c r="P1562">
        <v>0</v>
      </c>
      <c r="Q1562">
        <v>4</v>
      </c>
      <c r="R1562" t="s">
        <v>28</v>
      </c>
      <c r="S1562">
        <v>1</v>
      </c>
    </row>
    <row r="1563" spans="1:19" ht="16.5" x14ac:dyDescent="0.3">
      <c r="A1563" t="s">
        <v>1620</v>
      </c>
      <c r="B1563" s="1">
        <v>45499</v>
      </c>
      <c r="C1563" s="1">
        <v>45511</v>
      </c>
      <c r="D1563">
        <v>2024</v>
      </c>
      <c r="E1563" t="s">
        <v>1445</v>
      </c>
      <c r="F1563" t="s">
        <v>1446</v>
      </c>
      <c r="G1563" t="s">
        <v>83</v>
      </c>
      <c r="H1563" t="s">
        <v>50</v>
      </c>
      <c r="I1563" t="s">
        <v>24</v>
      </c>
      <c r="J1563" t="s">
        <v>25</v>
      </c>
      <c r="K1563" t="s">
        <v>26</v>
      </c>
      <c r="L1563" t="s">
        <v>44</v>
      </c>
      <c r="M1563">
        <v>12</v>
      </c>
      <c r="N1563" s="2">
        <v>38</v>
      </c>
      <c r="O1563" s="3">
        <v>14689</v>
      </c>
      <c r="P1563">
        <v>0</v>
      </c>
      <c r="Q1563">
        <v>3</v>
      </c>
      <c r="R1563" t="s">
        <v>33</v>
      </c>
      <c r="S1563">
        <v>1</v>
      </c>
    </row>
    <row r="1564" spans="1:19" ht="16.5" x14ac:dyDescent="0.3">
      <c r="A1564" t="s">
        <v>1621</v>
      </c>
      <c r="B1564" s="1">
        <v>45499</v>
      </c>
      <c r="C1564" s="1">
        <v>45510</v>
      </c>
      <c r="D1564">
        <v>2024</v>
      </c>
      <c r="E1564" t="s">
        <v>1445</v>
      </c>
      <c r="F1564" t="s">
        <v>1446</v>
      </c>
      <c r="G1564" t="s">
        <v>83</v>
      </c>
      <c r="H1564" t="s">
        <v>50</v>
      </c>
      <c r="I1564" t="s">
        <v>24</v>
      </c>
      <c r="J1564" t="s">
        <v>43</v>
      </c>
      <c r="K1564" t="s">
        <v>32</v>
      </c>
      <c r="L1564" t="s">
        <v>44</v>
      </c>
      <c r="M1564">
        <v>11</v>
      </c>
      <c r="N1564" s="2">
        <v>48</v>
      </c>
      <c r="O1564" s="3">
        <v>14826</v>
      </c>
      <c r="P1564">
        <v>0</v>
      </c>
      <c r="Q1564">
        <v>5</v>
      </c>
      <c r="R1564" t="s">
        <v>33</v>
      </c>
      <c r="S1564">
        <v>1</v>
      </c>
    </row>
    <row r="1565" spans="1:19" ht="16.5" x14ac:dyDescent="0.3">
      <c r="A1565" t="s">
        <v>1622</v>
      </c>
      <c r="B1565" s="1">
        <v>45499</v>
      </c>
      <c r="C1565" s="1">
        <v>45502</v>
      </c>
      <c r="D1565">
        <v>2024</v>
      </c>
      <c r="E1565" t="s">
        <v>1445</v>
      </c>
      <c r="F1565" t="s">
        <v>1446</v>
      </c>
      <c r="G1565" t="s">
        <v>83</v>
      </c>
      <c r="H1565" t="s">
        <v>30</v>
      </c>
      <c r="I1565" t="s">
        <v>40</v>
      </c>
      <c r="J1565" t="s">
        <v>43</v>
      </c>
      <c r="K1565" t="s">
        <v>36</v>
      </c>
      <c r="L1565" t="s">
        <v>44</v>
      </c>
      <c r="M1565">
        <v>3</v>
      </c>
      <c r="N1565" s="2"/>
      <c r="O1565" s="3">
        <v>3454</v>
      </c>
      <c r="P1565">
        <v>0</v>
      </c>
      <c r="Q1565">
        <v>4</v>
      </c>
      <c r="R1565" t="s">
        <v>33</v>
      </c>
      <c r="S1565">
        <v>1</v>
      </c>
    </row>
    <row r="1566" spans="1:19" ht="16.5" x14ac:dyDescent="0.3">
      <c r="A1566" t="s">
        <v>1623</v>
      </c>
      <c r="B1566" s="1">
        <v>45499</v>
      </c>
      <c r="C1566" s="1">
        <v>45503</v>
      </c>
      <c r="D1566">
        <v>2024</v>
      </c>
      <c r="E1566" t="s">
        <v>1445</v>
      </c>
      <c r="F1566" t="s">
        <v>1446</v>
      </c>
      <c r="G1566" t="s">
        <v>83</v>
      </c>
      <c r="H1566" t="s">
        <v>39</v>
      </c>
      <c r="I1566" t="s">
        <v>40</v>
      </c>
      <c r="J1566" t="s">
        <v>25</v>
      </c>
      <c r="K1566" t="s">
        <v>41</v>
      </c>
      <c r="L1566" t="s">
        <v>44</v>
      </c>
      <c r="M1566">
        <v>4</v>
      </c>
      <c r="N1566" s="2"/>
      <c r="O1566" s="3">
        <v>2548</v>
      </c>
      <c r="P1566">
        <v>0</v>
      </c>
      <c r="Q1566">
        <v>5</v>
      </c>
      <c r="R1566" t="s">
        <v>33</v>
      </c>
      <c r="S1566">
        <v>1</v>
      </c>
    </row>
    <row r="1567" spans="1:19" ht="16.5" x14ac:dyDescent="0.3">
      <c r="A1567" t="s">
        <v>1624</v>
      </c>
      <c r="B1567" s="1">
        <v>45499</v>
      </c>
      <c r="C1567" s="1">
        <v>45502</v>
      </c>
      <c r="D1567">
        <v>2024</v>
      </c>
      <c r="E1567" t="s">
        <v>1445</v>
      </c>
      <c r="F1567" t="s">
        <v>1446</v>
      </c>
      <c r="G1567" t="s">
        <v>83</v>
      </c>
      <c r="H1567" t="s">
        <v>52</v>
      </c>
      <c r="I1567" t="s">
        <v>40</v>
      </c>
      <c r="J1567" t="s">
        <v>25</v>
      </c>
      <c r="K1567" t="s">
        <v>53</v>
      </c>
      <c r="L1567" t="s">
        <v>27</v>
      </c>
      <c r="M1567">
        <v>3</v>
      </c>
      <c r="N1567" s="2"/>
      <c r="O1567" s="3">
        <v>4473</v>
      </c>
      <c r="P1567">
        <v>0</v>
      </c>
      <c r="Q1567">
        <v>3</v>
      </c>
      <c r="R1567" t="s">
        <v>28</v>
      </c>
      <c r="S1567">
        <v>1</v>
      </c>
    </row>
    <row r="1568" spans="1:19" ht="16.5" x14ac:dyDescent="0.3">
      <c r="A1568" t="s">
        <v>1625</v>
      </c>
      <c r="B1568" s="1">
        <v>45500</v>
      </c>
      <c r="C1568" s="1">
        <v>45501</v>
      </c>
      <c r="D1568">
        <v>2024</v>
      </c>
      <c r="E1568" t="s">
        <v>1445</v>
      </c>
      <c r="F1568" t="s">
        <v>1446</v>
      </c>
      <c r="G1568" t="s">
        <v>102</v>
      </c>
      <c r="H1568" t="s">
        <v>39</v>
      </c>
      <c r="I1568" t="s">
        <v>40</v>
      </c>
      <c r="J1568" t="s">
        <v>43</v>
      </c>
      <c r="K1568" t="s">
        <v>41</v>
      </c>
      <c r="L1568" t="s">
        <v>27</v>
      </c>
      <c r="M1568">
        <v>1</v>
      </c>
      <c r="N1568" s="2"/>
      <c r="O1568" s="3">
        <v>1460</v>
      </c>
      <c r="P1568">
        <v>0</v>
      </c>
      <c r="Q1568">
        <v>3</v>
      </c>
      <c r="R1568" t="s">
        <v>59</v>
      </c>
      <c r="S1568">
        <v>1</v>
      </c>
    </row>
    <row r="1569" spans="1:19" ht="16.5" x14ac:dyDescent="0.3">
      <c r="A1569" t="s">
        <v>1626</v>
      </c>
      <c r="B1569" s="1">
        <v>45500</v>
      </c>
      <c r="C1569" s="1">
        <v>45501</v>
      </c>
      <c r="D1569">
        <v>2024</v>
      </c>
      <c r="E1569" t="s">
        <v>1445</v>
      </c>
      <c r="F1569" t="s">
        <v>1446</v>
      </c>
      <c r="G1569" t="s">
        <v>102</v>
      </c>
      <c r="H1569" t="s">
        <v>30</v>
      </c>
      <c r="I1569" t="s">
        <v>40</v>
      </c>
      <c r="J1569" t="s">
        <v>43</v>
      </c>
      <c r="K1569" t="s">
        <v>36</v>
      </c>
      <c r="L1569" t="s">
        <v>27</v>
      </c>
      <c r="M1569">
        <v>1</v>
      </c>
      <c r="N1569" s="2"/>
      <c r="O1569" s="3">
        <v>2190</v>
      </c>
      <c r="P1569">
        <v>0</v>
      </c>
      <c r="Q1569">
        <v>5</v>
      </c>
      <c r="R1569" t="s">
        <v>33</v>
      </c>
      <c r="S1569">
        <v>1</v>
      </c>
    </row>
    <row r="1570" spans="1:19" ht="16.5" x14ac:dyDescent="0.3">
      <c r="A1570" t="s">
        <v>1627</v>
      </c>
      <c r="B1570" s="1">
        <v>45500</v>
      </c>
      <c r="C1570" s="1">
        <v>45508</v>
      </c>
      <c r="D1570">
        <v>2024</v>
      </c>
      <c r="E1570" t="s">
        <v>1445</v>
      </c>
      <c r="F1570" t="s">
        <v>1446</v>
      </c>
      <c r="G1570" t="s">
        <v>102</v>
      </c>
      <c r="H1570" t="s">
        <v>23</v>
      </c>
      <c r="I1570" t="s">
        <v>31</v>
      </c>
      <c r="J1570" t="s">
        <v>43</v>
      </c>
      <c r="K1570" t="s">
        <v>26</v>
      </c>
      <c r="L1570" t="s">
        <v>27</v>
      </c>
      <c r="M1570">
        <v>8</v>
      </c>
      <c r="N1570" s="2"/>
      <c r="O1570" s="3">
        <v>6347</v>
      </c>
      <c r="P1570">
        <v>0</v>
      </c>
      <c r="Q1570">
        <v>4</v>
      </c>
      <c r="R1570" t="s">
        <v>33</v>
      </c>
      <c r="S1570">
        <v>1</v>
      </c>
    </row>
    <row r="1571" spans="1:19" ht="16.5" x14ac:dyDescent="0.3">
      <c r="A1571" t="s">
        <v>1628</v>
      </c>
      <c r="B1571" s="1">
        <v>45500</v>
      </c>
      <c r="C1571" s="1">
        <v>45501</v>
      </c>
      <c r="D1571">
        <v>2024</v>
      </c>
      <c r="E1571" t="s">
        <v>1445</v>
      </c>
      <c r="F1571" t="s">
        <v>1446</v>
      </c>
      <c r="G1571" t="s">
        <v>102</v>
      </c>
      <c r="H1571" t="s">
        <v>52</v>
      </c>
      <c r="I1571" t="s">
        <v>24</v>
      </c>
      <c r="J1571" t="s">
        <v>43</v>
      </c>
      <c r="K1571" t="s">
        <v>53</v>
      </c>
      <c r="L1571" t="s">
        <v>27</v>
      </c>
      <c r="M1571">
        <v>1</v>
      </c>
      <c r="N1571" s="2">
        <v>33</v>
      </c>
      <c r="O1571" s="3">
        <v>1573</v>
      </c>
      <c r="P1571">
        <v>0</v>
      </c>
      <c r="Q1571">
        <v>2</v>
      </c>
      <c r="R1571" t="s">
        <v>33</v>
      </c>
      <c r="S1571">
        <v>1</v>
      </c>
    </row>
    <row r="1572" spans="1:19" ht="16.5" x14ac:dyDescent="0.3">
      <c r="A1572" t="s">
        <v>1629</v>
      </c>
      <c r="B1572" s="1">
        <v>45500</v>
      </c>
      <c r="C1572" s="1">
        <v>45506</v>
      </c>
      <c r="D1572">
        <v>2024</v>
      </c>
      <c r="E1572" t="s">
        <v>1445</v>
      </c>
      <c r="F1572" t="s">
        <v>1446</v>
      </c>
      <c r="G1572" t="s">
        <v>102</v>
      </c>
      <c r="H1572" t="s">
        <v>23</v>
      </c>
      <c r="I1572" t="s">
        <v>40</v>
      </c>
      <c r="J1572" t="s">
        <v>43</v>
      </c>
      <c r="K1572" t="s">
        <v>53</v>
      </c>
      <c r="L1572" t="s">
        <v>27</v>
      </c>
      <c r="M1572">
        <v>6</v>
      </c>
      <c r="N1572" s="2"/>
      <c r="O1572" s="3">
        <v>4238</v>
      </c>
      <c r="P1572">
        <v>0</v>
      </c>
      <c r="Q1572">
        <v>4</v>
      </c>
      <c r="R1572" t="s">
        <v>33</v>
      </c>
      <c r="S1572">
        <v>1</v>
      </c>
    </row>
    <row r="1573" spans="1:19" ht="16.5" x14ac:dyDescent="0.3">
      <c r="A1573" t="s">
        <v>1630</v>
      </c>
      <c r="B1573" s="1">
        <v>45500</v>
      </c>
      <c r="C1573" s="1">
        <v>45503</v>
      </c>
      <c r="D1573">
        <v>2024</v>
      </c>
      <c r="E1573" t="s">
        <v>1445</v>
      </c>
      <c r="F1573" t="s">
        <v>1446</v>
      </c>
      <c r="G1573" t="s">
        <v>102</v>
      </c>
      <c r="H1573" t="s">
        <v>50</v>
      </c>
      <c r="I1573" t="s">
        <v>24</v>
      </c>
      <c r="J1573" t="s">
        <v>25</v>
      </c>
      <c r="K1573" t="s">
        <v>32</v>
      </c>
      <c r="L1573" t="s">
        <v>27</v>
      </c>
      <c r="M1573">
        <v>3</v>
      </c>
      <c r="N1573" s="2">
        <v>20</v>
      </c>
      <c r="O1573" s="3">
        <v>5111</v>
      </c>
      <c r="P1573">
        <v>0</v>
      </c>
      <c r="Q1573">
        <v>5</v>
      </c>
      <c r="R1573" t="s">
        <v>33</v>
      </c>
      <c r="S1573">
        <v>1</v>
      </c>
    </row>
    <row r="1574" spans="1:19" ht="16.5" x14ac:dyDescent="0.3">
      <c r="A1574" t="s">
        <v>1631</v>
      </c>
      <c r="B1574" s="1">
        <v>45500</v>
      </c>
      <c r="C1574" s="1">
        <v>45503</v>
      </c>
      <c r="D1574">
        <v>2024</v>
      </c>
      <c r="E1574" t="s">
        <v>1445</v>
      </c>
      <c r="F1574" t="s">
        <v>1446</v>
      </c>
      <c r="G1574" t="s">
        <v>102</v>
      </c>
      <c r="H1574" t="s">
        <v>23</v>
      </c>
      <c r="I1574" t="s">
        <v>40</v>
      </c>
      <c r="J1574" t="s">
        <v>25</v>
      </c>
      <c r="K1574" t="s">
        <v>32</v>
      </c>
      <c r="L1574" t="s">
        <v>44</v>
      </c>
      <c r="M1574">
        <v>3</v>
      </c>
      <c r="N1574" s="2"/>
      <c r="O1574" s="3">
        <v>2880</v>
      </c>
      <c r="P1574">
        <v>0</v>
      </c>
      <c r="Q1574">
        <v>4</v>
      </c>
      <c r="R1574" t="s">
        <v>59</v>
      </c>
      <c r="S1574">
        <v>1</v>
      </c>
    </row>
    <row r="1575" spans="1:19" ht="16.5" x14ac:dyDescent="0.3">
      <c r="A1575" t="s">
        <v>1632</v>
      </c>
      <c r="B1575" s="1">
        <v>45501</v>
      </c>
      <c r="C1575" s="1">
        <v>45504</v>
      </c>
      <c r="D1575">
        <v>2024</v>
      </c>
      <c r="E1575" t="s">
        <v>1445</v>
      </c>
      <c r="F1575" t="s">
        <v>1446</v>
      </c>
      <c r="G1575" t="s">
        <v>112</v>
      </c>
      <c r="H1575" t="s">
        <v>23</v>
      </c>
      <c r="I1575" t="s">
        <v>24</v>
      </c>
      <c r="J1575" t="s">
        <v>43</v>
      </c>
      <c r="K1575" t="s">
        <v>36</v>
      </c>
      <c r="L1575" t="s">
        <v>44</v>
      </c>
      <c r="M1575">
        <v>3</v>
      </c>
      <c r="N1575" s="2">
        <v>26</v>
      </c>
      <c r="O1575" s="3">
        <v>3369</v>
      </c>
      <c r="P1575">
        <v>0</v>
      </c>
      <c r="Q1575">
        <v>4</v>
      </c>
      <c r="R1575" t="s">
        <v>33</v>
      </c>
      <c r="S1575">
        <v>1</v>
      </c>
    </row>
    <row r="1576" spans="1:19" ht="16.5" x14ac:dyDescent="0.3">
      <c r="A1576" t="s">
        <v>1633</v>
      </c>
      <c r="B1576" s="1">
        <v>45501</v>
      </c>
      <c r="C1576" s="1">
        <v>45502</v>
      </c>
      <c r="D1576">
        <v>2024</v>
      </c>
      <c r="E1576" t="s">
        <v>1445</v>
      </c>
      <c r="F1576" t="s">
        <v>1446</v>
      </c>
      <c r="G1576" t="s">
        <v>112</v>
      </c>
      <c r="H1576" t="s">
        <v>35</v>
      </c>
      <c r="I1576" t="s">
        <v>24</v>
      </c>
      <c r="J1576" t="s">
        <v>25</v>
      </c>
      <c r="K1576" t="s">
        <v>32</v>
      </c>
      <c r="L1576" t="s">
        <v>44</v>
      </c>
      <c r="M1576">
        <v>1</v>
      </c>
      <c r="N1576" s="2">
        <v>26</v>
      </c>
      <c r="O1576" s="3">
        <v>1841</v>
      </c>
      <c r="P1576">
        <v>0</v>
      </c>
      <c r="Q1576">
        <v>5</v>
      </c>
      <c r="R1576" t="s">
        <v>33</v>
      </c>
      <c r="S1576">
        <v>1</v>
      </c>
    </row>
    <row r="1577" spans="1:19" ht="16.5" x14ac:dyDescent="0.3">
      <c r="A1577" t="s">
        <v>1634</v>
      </c>
      <c r="B1577" s="1">
        <v>45501</v>
      </c>
      <c r="C1577" s="1">
        <v>45516</v>
      </c>
      <c r="D1577">
        <v>2024</v>
      </c>
      <c r="E1577" t="s">
        <v>1445</v>
      </c>
      <c r="F1577" t="s">
        <v>1446</v>
      </c>
      <c r="G1577" t="s">
        <v>112</v>
      </c>
      <c r="H1577" t="s">
        <v>23</v>
      </c>
      <c r="I1577" t="s">
        <v>24</v>
      </c>
      <c r="J1577" t="s">
        <v>43</v>
      </c>
      <c r="K1577" t="s">
        <v>36</v>
      </c>
      <c r="L1577" t="s">
        <v>44</v>
      </c>
      <c r="M1577">
        <v>15</v>
      </c>
      <c r="N1577" s="2">
        <v>76</v>
      </c>
      <c r="O1577" s="3">
        <v>8082</v>
      </c>
      <c r="P1577">
        <v>0</v>
      </c>
      <c r="Q1577">
        <v>5</v>
      </c>
      <c r="R1577" t="s">
        <v>33</v>
      </c>
      <c r="S1577">
        <v>1</v>
      </c>
    </row>
    <row r="1578" spans="1:19" ht="16.5" x14ac:dyDescent="0.3">
      <c r="A1578" t="s">
        <v>1635</v>
      </c>
      <c r="B1578" s="1">
        <v>45501</v>
      </c>
      <c r="C1578" s="1">
        <v>45504</v>
      </c>
      <c r="D1578">
        <v>2024</v>
      </c>
      <c r="E1578" t="s">
        <v>1445</v>
      </c>
      <c r="F1578" t="s">
        <v>1446</v>
      </c>
      <c r="G1578" t="s">
        <v>112</v>
      </c>
      <c r="H1578" t="s">
        <v>39</v>
      </c>
      <c r="I1578" t="s">
        <v>24</v>
      </c>
      <c r="J1578" t="s">
        <v>43</v>
      </c>
      <c r="K1578" t="s">
        <v>41</v>
      </c>
      <c r="L1578" t="s">
        <v>44</v>
      </c>
      <c r="M1578">
        <v>3</v>
      </c>
      <c r="N1578" s="2">
        <v>16</v>
      </c>
      <c r="O1578" s="3">
        <v>2653</v>
      </c>
      <c r="P1578">
        <v>0</v>
      </c>
      <c r="Q1578">
        <v>5</v>
      </c>
      <c r="R1578" t="s">
        <v>33</v>
      </c>
      <c r="S1578">
        <v>1</v>
      </c>
    </row>
    <row r="1579" spans="1:19" ht="16.5" x14ac:dyDescent="0.3">
      <c r="A1579" t="s">
        <v>1636</v>
      </c>
      <c r="B1579" s="1">
        <v>45501</v>
      </c>
      <c r="C1579" s="1">
        <v>45505</v>
      </c>
      <c r="D1579">
        <v>2024</v>
      </c>
      <c r="E1579" t="s">
        <v>1445</v>
      </c>
      <c r="F1579" t="s">
        <v>1446</v>
      </c>
      <c r="G1579" t="s">
        <v>112</v>
      </c>
      <c r="H1579" t="s">
        <v>23</v>
      </c>
      <c r="I1579" t="s">
        <v>24</v>
      </c>
      <c r="J1579" t="s">
        <v>43</v>
      </c>
      <c r="K1579" t="s">
        <v>53</v>
      </c>
      <c r="L1579" t="s">
        <v>44</v>
      </c>
      <c r="M1579">
        <v>4</v>
      </c>
      <c r="N1579" s="2">
        <v>60</v>
      </c>
      <c r="O1579" s="3">
        <v>3332</v>
      </c>
      <c r="P1579">
        <v>0</v>
      </c>
      <c r="Q1579">
        <v>4</v>
      </c>
      <c r="R1579" t="s">
        <v>33</v>
      </c>
      <c r="S1579">
        <v>1</v>
      </c>
    </row>
    <row r="1580" spans="1:19" ht="16.5" x14ac:dyDescent="0.3">
      <c r="A1580" t="s">
        <v>1637</v>
      </c>
      <c r="B1580" s="1">
        <v>45502</v>
      </c>
      <c r="C1580" s="1">
        <v>45505</v>
      </c>
      <c r="D1580">
        <v>2024</v>
      </c>
      <c r="E1580" t="s">
        <v>1445</v>
      </c>
      <c r="F1580" t="s">
        <v>1446</v>
      </c>
      <c r="G1580" t="s">
        <v>22</v>
      </c>
      <c r="H1580" t="s">
        <v>39</v>
      </c>
      <c r="I1580" t="s">
        <v>24</v>
      </c>
      <c r="J1580" t="s">
        <v>43</v>
      </c>
      <c r="K1580" t="s">
        <v>41</v>
      </c>
      <c r="L1580" t="s">
        <v>27</v>
      </c>
      <c r="M1580">
        <v>3</v>
      </c>
      <c r="N1580" s="2">
        <v>50</v>
      </c>
      <c r="O1580" s="3">
        <v>3044</v>
      </c>
      <c r="P1580">
        <v>0</v>
      </c>
      <c r="Q1580">
        <v>4</v>
      </c>
      <c r="R1580" t="s">
        <v>33</v>
      </c>
      <c r="S1580">
        <v>1</v>
      </c>
    </row>
    <row r="1581" spans="1:19" ht="16.5" x14ac:dyDescent="0.3">
      <c r="A1581" t="s">
        <v>1638</v>
      </c>
      <c r="B1581" s="1">
        <v>45502</v>
      </c>
      <c r="C1581" s="1">
        <v>45511</v>
      </c>
      <c r="D1581">
        <v>2024</v>
      </c>
      <c r="E1581" t="s">
        <v>1445</v>
      </c>
      <c r="F1581" t="s">
        <v>1446</v>
      </c>
      <c r="G1581" t="s">
        <v>22</v>
      </c>
      <c r="H1581" t="s">
        <v>23</v>
      </c>
      <c r="I1581" t="s">
        <v>24</v>
      </c>
      <c r="J1581" t="s">
        <v>43</v>
      </c>
      <c r="K1581" t="s">
        <v>53</v>
      </c>
      <c r="L1581" t="s">
        <v>27</v>
      </c>
      <c r="M1581">
        <v>9</v>
      </c>
      <c r="N1581" s="2">
        <v>32</v>
      </c>
      <c r="O1581" s="3">
        <v>6778</v>
      </c>
      <c r="P1581">
        <v>0</v>
      </c>
      <c r="Q1581">
        <v>4</v>
      </c>
      <c r="R1581" t="s">
        <v>28</v>
      </c>
      <c r="S1581">
        <v>1</v>
      </c>
    </row>
    <row r="1582" spans="1:19" ht="16.5" x14ac:dyDescent="0.3">
      <c r="A1582" t="s">
        <v>1639</v>
      </c>
      <c r="B1582" s="1">
        <v>45502</v>
      </c>
      <c r="C1582" s="1">
        <v>45513</v>
      </c>
      <c r="D1582">
        <v>2024</v>
      </c>
      <c r="E1582" t="s">
        <v>1445</v>
      </c>
      <c r="F1582" t="s">
        <v>1446</v>
      </c>
      <c r="G1582" t="s">
        <v>22</v>
      </c>
      <c r="H1582" t="s">
        <v>30</v>
      </c>
      <c r="I1582" t="s">
        <v>24</v>
      </c>
      <c r="J1582" t="s">
        <v>25</v>
      </c>
      <c r="K1582" t="s">
        <v>53</v>
      </c>
      <c r="L1582" t="s">
        <v>37</v>
      </c>
      <c r="M1582">
        <v>11</v>
      </c>
      <c r="N1582" s="2">
        <v>64</v>
      </c>
      <c r="O1582" s="3">
        <v>14245</v>
      </c>
      <c r="P1582">
        <v>0</v>
      </c>
      <c r="Q1582">
        <v>3</v>
      </c>
      <c r="R1582" t="s">
        <v>28</v>
      </c>
      <c r="S1582">
        <v>1</v>
      </c>
    </row>
    <row r="1583" spans="1:19" ht="16.5" x14ac:dyDescent="0.3">
      <c r="A1583" t="s">
        <v>1640</v>
      </c>
      <c r="B1583" s="1">
        <v>45502</v>
      </c>
      <c r="C1583" s="1">
        <v>45508</v>
      </c>
      <c r="D1583">
        <v>2024</v>
      </c>
      <c r="E1583" t="s">
        <v>1445</v>
      </c>
      <c r="F1583" t="s">
        <v>1446</v>
      </c>
      <c r="G1583" t="s">
        <v>22</v>
      </c>
      <c r="H1583" t="s">
        <v>30</v>
      </c>
      <c r="I1583" t="s">
        <v>40</v>
      </c>
      <c r="J1583" t="s">
        <v>43</v>
      </c>
      <c r="K1583" t="s">
        <v>36</v>
      </c>
      <c r="L1583" t="s">
        <v>37</v>
      </c>
      <c r="M1583">
        <v>6</v>
      </c>
      <c r="N1583" s="2"/>
      <c r="O1583" s="3">
        <v>7391</v>
      </c>
      <c r="P1583">
        <v>0</v>
      </c>
      <c r="Q1583">
        <v>4</v>
      </c>
      <c r="R1583" t="s">
        <v>33</v>
      </c>
      <c r="S1583">
        <v>1</v>
      </c>
    </row>
    <row r="1584" spans="1:19" ht="16.5" x14ac:dyDescent="0.3">
      <c r="A1584" t="s">
        <v>1641</v>
      </c>
      <c r="B1584" s="1">
        <v>45502</v>
      </c>
      <c r="C1584" s="1">
        <v>45508</v>
      </c>
      <c r="D1584">
        <v>2024</v>
      </c>
      <c r="E1584" t="s">
        <v>1445</v>
      </c>
      <c r="F1584" t="s">
        <v>1446</v>
      </c>
      <c r="G1584" t="s">
        <v>22</v>
      </c>
      <c r="H1584" t="s">
        <v>23</v>
      </c>
      <c r="I1584" t="s">
        <v>24</v>
      </c>
      <c r="J1584" t="s">
        <v>25</v>
      </c>
      <c r="K1584" t="s">
        <v>26</v>
      </c>
      <c r="L1584" t="s">
        <v>44</v>
      </c>
      <c r="M1584">
        <v>6</v>
      </c>
      <c r="N1584" s="2">
        <v>15</v>
      </c>
      <c r="O1584" s="3">
        <v>6043</v>
      </c>
      <c r="P1584">
        <v>0</v>
      </c>
      <c r="Q1584">
        <v>4</v>
      </c>
      <c r="R1584" t="s">
        <v>33</v>
      </c>
      <c r="S1584">
        <v>1</v>
      </c>
    </row>
    <row r="1585" spans="1:19" ht="16.5" x14ac:dyDescent="0.3">
      <c r="A1585" t="s">
        <v>1642</v>
      </c>
      <c r="B1585" s="1">
        <v>45502</v>
      </c>
      <c r="C1585" s="1">
        <v>45506</v>
      </c>
      <c r="D1585">
        <v>2024</v>
      </c>
      <c r="E1585" t="s">
        <v>1445</v>
      </c>
      <c r="F1585" t="s">
        <v>1446</v>
      </c>
      <c r="G1585" t="s">
        <v>22</v>
      </c>
      <c r="H1585" t="s">
        <v>23</v>
      </c>
      <c r="I1585" t="s">
        <v>40</v>
      </c>
      <c r="J1585" t="s">
        <v>25</v>
      </c>
      <c r="K1585" t="s">
        <v>26</v>
      </c>
      <c r="L1585" t="s">
        <v>27</v>
      </c>
      <c r="M1585">
        <v>4</v>
      </c>
      <c r="N1585" s="2"/>
      <c r="O1585" s="3">
        <v>2943</v>
      </c>
      <c r="P1585">
        <v>0</v>
      </c>
      <c r="Q1585">
        <v>5</v>
      </c>
      <c r="R1585" t="s">
        <v>33</v>
      </c>
      <c r="S1585">
        <v>1</v>
      </c>
    </row>
    <row r="1586" spans="1:19" ht="16.5" x14ac:dyDescent="0.3">
      <c r="A1586" t="s">
        <v>1643</v>
      </c>
      <c r="B1586" s="1">
        <v>45503</v>
      </c>
      <c r="C1586" s="1">
        <v>45504</v>
      </c>
      <c r="D1586">
        <v>2024</v>
      </c>
      <c r="E1586" t="s">
        <v>1445</v>
      </c>
      <c r="F1586" t="s">
        <v>1446</v>
      </c>
      <c r="G1586" t="s">
        <v>56</v>
      </c>
      <c r="H1586" t="s">
        <v>39</v>
      </c>
      <c r="I1586" t="s">
        <v>24</v>
      </c>
      <c r="J1586" t="s">
        <v>43</v>
      </c>
      <c r="K1586" t="s">
        <v>41</v>
      </c>
      <c r="L1586" t="s">
        <v>44</v>
      </c>
      <c r="M1586">
        <v>1</v>
      </c>
      <c r="N1586" s="2">
        <v>32</v>
      </c>
      <c r="O1586" s="3">
        <v>1837</v>
      </c>
      <c r="P1586">
        <v>0</v>
      </c>
      <c r="Q1586">
        <v>5</v>
      </c>
      <c r="R1586" t="s">
        <v>28</v>
      </c>
      <c r="S1586">
        <v>1</v>
      </c>
    </row>
    <row r="1587" spans="1:19" ht="16.5" x14ac:dyDescent="0.3">
      <c r="A1587" t="s">
        <v>1644</v>
      </c>
      <c r="B1587" s="1">
        <v>45503</v>
      </c>
      <c r="C1587" s="1">
        <v>45512</v>
      </c>
      <c r="D1587">
        <v>2024</v>
      </c>
      <c r="E1587" t="s">
        <v>1445</v>
      </c>
      <c r="F1587" t="s">
        <v>1446</v>
      </c>
      <c r="G1587" t="s">
        <v>56</v>
      </c>
      <c r="H1587" t="s">
        <v>50</v>
      </c>
      <c r="I1587" t="s">
        <v>31</v>
      </c>
      <c r="J1587" t="s">
        <v>25</v>
      </c>
      <c r="K1587" t="s">
        <v>53</v>
      </c>
      <c r="L1587" t="s">
        <v>37</v>
      </c>
      <c r="M1587">
        <v>9</v>
      </c>
      <c r="N1587" s="2"/>
      <c r="O1587" s="3">
        <v>13539</v>
      </c>
      <c r="P1587">
        <v>0</v>
      </c>
      <c r="Q1587">
        <v>5</v>
      </c>
      <c r="R1587" t="s">
        <v>33</v>
      </c>
      <c r="S1587">
        <v>1</v>
      </c>
    </row>
    <row r="1588" spans="1:19" ht="16.5" x14ac:dyDescent="0.3">
      <c r="A1588" t="s">
        <v>1645</v>
      </c>
      <c r="B1588" s="1">
        <v>45503</v>
      </c>
      <c r="C1588" s="1">
        <v>45510</v>
      </c>
      <c r="D1588">
        <v>2024</v>
      </c>
      <c r="E1588" t="s">
        <v>1445</v>
      </c>
      <c r="F1588" t="s">
        <v>1446</v>
      </c>
      <c r="G1588" t="s">
        <v>56</v>
      </c>
      <c r="H1588" t="s">
        <v>30</v>
      </c>
      <c r="I1588" t="s">
        <v>40</v>
      </c>
      <c r="J1588" t="s">
        <v>43</v>
      </c>
      <c r="K1588" t="s">
        <v>53</v>
      </c>
      <c r="L1588" t="s">
        <v>44</v>
      </c>
      <c r="M1588">
        <v>7</v>
      </c>
      <c r="N1588" s="2"/>
      <c r="O1588" s="3">
        <v>8323</v>
      </c>
      <c r="P1588">
        <v>0</v>
      </c>
      <c r="Q1588">
        <v>4</v>
      </c>
      <c r="R1588" t="s">
        <v>33</v>
      </c>
      <c r="S1588">
        <v>1</v>
      </c>
    </row>
    <row r="1589" spans="1:19" ht="16.5" x14ac:dyDescent="0.3">
      <c r="A1589" t="s">
        <v>1646</v>
      </c>
      <c r="B1589" s="1">
        <v>45503</v>
      </c>
      <c r="C1589" s="1">
        <v>45508</v>
      </c>
      <c r="D1589">
        <v>2024</v>
      </c>
      <c r="E1589" t="s">
        <v>1445</v>
      </c>
      <c r="F1589" t="s">
        <v>1446</v>
      </c>
      <c r="G1589" t="s">
        <v>56</v>
      </c>
      <c r="H1589" t="s">
        <v>35</v>
      </c>
      <c r="I1589" t="s">
        <v>24</v>
      </c>
      <c r="J1589" t="s">
        <v>25</v>
      </c>
      <c r="K1589" t="s">
        <v>36</v>
      </c>
      <c r="L1589" t="s">
        <v>44</v>
      </c>
      <c r="M1589">
        <v>5</v>
      </c>
      <c r="N1589" s="2">
        <v>40</v>
      </c>
      <c r="O1589" s="3">
        <v>3627</v>
      </c>
      <c r="P1589">
        <v>1</v>
      </c>
      <c r="Q1589">
        <v>4</v>
      </c>
      <c r="R1589" t="s">
        <v>33</v>
      </c>
      <c r="S1589">
        <v>1</v>
      </c>
    </row>
    <row r="1590" spans="1:19" ht="16.5" x14ac:dyDescent="0.3">
      <c r="A1590" t="s">
        <v>1647</v>
      </c>
      <c r="B1590" s="1">
        <v>45504</v>
      </c>
      <c r="C1590" s="1">
        <v>45505</v>
      </c>
      <c r="D1590">
        <v>2024</v>
      </c>
      <c r="E1590" t="s">
        <v>1445</v>
      </c>
      <c r="F1590" t="s">
        <v>1446</v>
      </c>
      <c r="G1590" t="s">
        <v>70</v>
      </c>
      <c r="H1590" t="s">
        <v>35</v>
      </c>
      <c r="I1590" t="s">
        <v>40</v>
      </c>
      <c r="J1590" t="s">
        <v>25</v>
      </c>
      <c r="K1590" t="s">
        <v>36</v>
      </c>
      <c r="L1590" t="s">
        <v>37</v>
      </c>
      <c r="M1590">
        <v>1</v>
      </c>
      <c r="N1590" s="2"/>
      <c r="O1590" s="3">
        <v>1592</v>
      </c>
      <c r="P1590">
        <v>0</v>
      </c>
      <c r="Q1590">
        <v>4</v>
      </c>
      <c r="R1590" t="s">
        <v>33</v>
      </c>
      <c r="S1590">
        <v>1</v>
      </c>
    </row>
    <row r="1591" spans="1:19" ht="16.5" x14ac:dyDescent="0.3">
      <c r="A1591" t="s">
        <v>1648</v>
      </c>
      <c r="B1591" s="1">
        <v>45504</v>
      </c>
      <c r="C1591" s="1">
        <v>45513</v>
      </c>
      <c r="D1591">
        <v>2024</v>
      </c>
      <c r="E1591" t="s">
        <v>1445</v>
      </c>
      <c r="F1591" t="s">
        <v>1446</v>
      </c>
      <c r="G1591" t="s">
        <v>70</v>
      </c>
      <c r="H1591" t="s">
        <v>30</v>
      </c>
      <c r="I1591" t="s">
        <v>40</v>
      </c>
      <c r="J1591" t="s">
        <v>43</v>
      </c>
      <c r="K1591" t="s">
        <v>26</v>
      </c>
      <c r="L1591" t="s">
        <v>44</v>
      </c>
      <c r="M1591">
        <v>9</v>
      </c>
      <c r="N1591" s="2"/>
      <c r="O1591" s="3">
        <v>11317</v>
      </c>
      <c r="P1591">
        <v>1</v>
      </c>
      <c r="Q1591">
        <v>4</v>
      </c>
      <c r="R1591" t="s">
        <v>33</v>
      </c>
      <c r="S1591">
        <v>1</v>
      </c>
    </row>
    <row r="1592" spans="1:19" ht="16.5" x14ac:dyDescent="0.3">
      <c r="A1592" t="s">
        <v>1649</v>
      </c>
      <c r="B1592" s="1">
        <v>45504</v>
      </c>
      <c r="C1592" s="1">
        <v>45508</v>
      </c>
      <c r="D1592">
        <v>2024</v>
      </c>
      <c r="E1592" t="s">
        <v>1445</v>
      </c>
      <c r="F1592" t="s">
        <v>1446</v>
      </c>
      <c r="G1592" t="s">
        <v>70</v>
      </c>
      <c r="H1592" t="s">
        <v>50</v>
      </c>
      <c r="I1592" t="s">
        <v>24</v>
      </c>
      <c r="J1592" t="s">
        <v>43</v>
      </c>
      <c r="K1592" t="s">
        <v>53</v>
      </c>
      <c r="L1592" t="s">
        <v>27</v>
      </c>
      <c r="M1592">
        <v>4</v>
      </c>
      <c r="N1592" s="2">
        <v>61</v>
      </c>
      <c r="O1592" s="3">
        <v>6163</v>
      </c>
      <c r="P1592">
        <v>0</v>
      </c>
      <c r="Q1592">
        <v>4</v>
      </c>
      <c r="R1592" t="s">
        <v>33</v>
      </c>
      <c r="S1592">
        <v>1</v>
      </c>
    </row>
    <row r="1593" spans="1:19" ht="16.5" x14ac:dyDescent="0.3">
      <c r="A1593" t="s">
        <v>1650</v>
      </c>
      <c r="B1593" s="1">
        <v>45505</v>
      </c>
      <c r="C1593" s="1">
        <v>45512</v>
      </c>
      <c r="D1593">
        <v>2024</v>
      </c>
      <c r="E1593" t="s">
        <v>1445</v>
      </c>
      <c r="F1593" t="s">
        <v>1651</v>
      </c>
      <c r="G1593" t="s">
        <v>78</v>
      </c>
      <c r="H1593" t="s">
        <v>30</v>
      </c>
      <c r="I1593" t="s">
        <v>40</v>
      </c>
      <c r="J1593" t="s">
        <v>43</v>
      </c>
      <c r="K1593" t="s">
        <v>26</v>
      </c>
      <c r="L1593" t="s">
        <v>27</v>
      </c>
      <c r="M1593">
        <v>7</v>
      </c>
      <c r="N1593" s="2"/>
      <c r="O1593" s="3">
        <v>8810</v>
      </c>
      <c r="P1593">
        <v>0</v>
      </c>
      <c r="Q1593">
        <v>3</v>
      </c>
      <c r="R1593" t="s">
        <v>33</v>
      </c>
      <c r="S1593">
        <v>1</v>
      </c>
    </row>
    <row r="1594" spans="1:19" ht="16.5" x14ac:dyDescent="0.3">
      <c r="A1594" t="s">
        <v>1652</v>
      </c>
      <c r="B1594" s="1">
        <v>45505</v>
      </c>
      <c r="C1594" s="1">
        <v>45509</v>
      </c>
      <c r="D1594">
        <v>2024</v>
      </c>
      <c r="E1594" t="s">
        <v>1445</v>
      </c>
      <c r="F1594" t="s">
        <v>1651</v>
      </c>
      <c r="G1594" t="s">
        <v>78</v>
      </c>
      <c r="H1594" t="s">
        <v>39</v>
      </c>
      <c r="I1594" t="s">
        <v>24</v>
      </c>
      <c r="J1594" t="s">
        <v>25</v>
      </c>
      <c r="K1594" t="s">
        <v>41</v>
      </c>
      <c r="L1594" t="s">
        <v>27</v>
      </c>
      <c r="M1594">
        <v>4</v>
      </c>
      <c r="N1594" s="2">
        <v>69</v>
      </c>
      <c r="O1594" s="3">
        <v>3170</v>
      </c>
      <c r="P1594">
        <v>0</v>
      </c>
      <c r="Q1594">
        <v>5</v>
      </c>
      <c r="R1594" t="s">
        <v>33</v>
      </c>
      <c r="S1594">
        <v>1</v>
      </c>
    </row>
    <row r="1595" spans="1:19" ht="16.5" x14ac:dyDescent="0.3">
      <c r="A1595" t="s">
        <v>1653</v>
      </c>
      <c r="B1595" s="1">
        <v>45505</v>
      </c>
      <c r="C1595" s="1">
        <v>45512</v>
      </c>
      <c r="D1595">
        <v>2024</v>
      </c>
      <c r="E1595" t="s">
        <v>1445</v>
      </c>
      <c r="F1595" t="s">
        <v>1651</v>
      </c>
      <c r="G1595" t="s">
        <v>78</v>
      </c>
      <c r="H1595" t="s">
        <v>30</v>
      </c>
      <c r="I1595" t="s">
        <v>24</v>
      </c>
      <c r="J1595" t="s">
        <v>43</v>
      </c>
      <c r="K1595" t="s">
        <v>32</v>
      </c>
      <c r="L1595" t="s">
        <v>44</v>
      </c>
      <c r="M1595">
        <v>7</v>
      </c>
      <c r="N1595" s="2">
        <v>115</v>
      </c>
      <c r="O1595" s="3">
        <v>7147</v>
      </c>
      <c r="P1595">
        <v>0</v>
      </c>
      <c r="Q1595">
        <v>5</v>
      </c>
      <c r="R1595" t="s">
        <v>28</v>
      </c>
      <c r="S1595">
        <v>1</v>
      </c>
    </row>
    <row r="1596" spans="1:19" ht="16.5" x14ac:dyDescent="0.3">
      <c r="A1596" t="s">
        <v>1654</v>
      </c>
      <c r="B1596" s="1">
        <v>45505</v>
      </c>
      <c r="C1596" s="1">
        <v>45511</v>
      </c>
      <c r="D1596">
        <v>2024</v>
      </c>
      <c r="E1596" t="s">
        <v>1445</v>
      </c>
      <c r="F1596" t="s">
        <v>1651</v>
      </c>
      <c r="G1596" t="s">
        <v>78</v>
      </c>
      <c r="H1596" t="s">
        <v>52</v>
      </c>
      <c r="I1596" t="s">
        <v>40</v>
      </c>
      <c r="J1596" t="s">
        <v>25</v>
      </c>
      <c r="K1596" t="s">
        <v>32</v>
      </c>
      <c r="L1596" t="s">
        <v>27</v>
      </c>
      <c r="M1596">
        <v>6</v>
      </c>
      <c r="N1596" s="2"/>
      <c r="O1596" s="3">
        <v>5072</v>
      </c>
      <c r="P1596">
        <v>0</v>
      </c>
      <c r="Q1596">
        <v>4</v>
      </c>
      <c r="R1596" t="s">
        <v>28</v>
      </c>
      <c r="S1596">
        <v>1</v>
      </c>
    </row>
    <row r="1597" spans="1:19" ht="16.5" x14ac:dyDescent="0.3">
      <c r="A1597" t="s">
        <v>1655</v>
      </c>
      <c r="B1597" s="1">
        <v>45505</v>
      </c>
      <c r="C1597" s="1">
        <v>45508</v>
      </c>
      <c r="D1597">
        <v>2024</v>
      </c>
      <c r="E1597" t="s">
        <v>1445</v>
      </c>
      <c r="F1597" t="s">
        <v>1651</v>
      </c>
      <c r="G1597" t="s">
        <v>78</v>
      </c>
      <c r="H1597" t="s">
        <v>35</v>
      </c>
      <c r="I1597" t="s">
        <v>40</v>
      </c>
      <c r="J1597" t="s">
        <v>25</v>
      </c>
      <c r="K1597" t="s">
        <v>32</v>
      </c>
      <c r="L1597" t="s">
        <v>44</v>
      </c>
      <c r="M1597">
        <v>3</v>
      </c>
      <c r="N1597" s="2"/>
      <c r="O1597" s="3">
        <v>2616</v>
      </c>
      <c r="P1597">
        <v>0</v>
      </c>
      <c r="Q1597">
        <v>4</v>
      </c>
      <c r="R1597" t="s">
        <v>33</v>
      </c>
      <c r="S1597">
        <v>1</v>
      </c>
    </row>
    <row r="1598" spans="1:19" ht="16.5" x14ac:dyDescent="0.3">
      <c r="A1598" t="s">
        <v>1656</v>
      </c>
      <c r="B1598" s="1">
        <v>45506</v>
      </c>
      <c r="C1598" s="1">
        <v>45522</v>
      </c>
      <c r="D1598">
        <v>2024</v>
      </c>
      <c r="E1598" t="s">
        <v>1445</v>
      </c>
      <c r="F1598" t="s">
        <v>1651</v>
      </c>
      <c r="G1598" t="s">
        <v>83</v>
      </c>
      <c r="H1598" t="s">
        <v>30</v>
      </c>
      <c r="I1598" t="s">
        <v>24</v>
      </c>
      <c r="J1598" t="s">
        <v>43</v>
      </c>
      <c r="K1598" t="s">
        <v>26</v>
      </c>
      <c r="L1598" t="s">
        <v>44</v>
      </c>
      <c r="M1598">
        <v>16</v>
      </c>
      <c r="N1598" s="2">
        <v>149</v>
      </c>
      <c r="O1598" s="3">
        <v>16352</v>
      </c>
      <c r="P1598">
        <v>0</v>
      </c>
      <c r="Q1598">
        <v>4</v>
      </c>
      <c r="R1598" t="s">
        <v>33</v>
      </c>
      <c r="S1598">
        <v>1</v>
      </c>
    </row>
    <row r="1599" spans="1:19" ht="16.5" x14ac:dyDescent="0.3">
      <c r="A1599" t="s">
        <v>1657</v>
      </c>
      <c r="B1599" s="1">
        <v>45506</v>
      </c>
      <c r="C1599" s="1">
        <v>45509</v>
      </c>
      <c r="D1599">
        <v>2024</v>
      </c>
      <c r="E1599" t="s">
        <v>1445</v>
      </c>
      <c r="F1599" t="s">
        <v>1651</v>
      </c>
      <c r="G1599" t="s">
        <v>83</v>
      </c>
      <c r="H1599" t="s">
        <v>39</v>
      </c>
      <c r="I1599" t="s">
        <v>24</v>
      </c>
      <c r="J1599" t="s">
        <v>43</v>
      </c>
      <c r="K1599" t="s">
        <v>41</v>
      </c>
      <c r="L1599" t="s">
        <v>27</v>
      </c>
      <c r="M1599">
        <v>3</v>
      </c>
      <c r="N1599" s="2">
        <v>38</v>
      </c>
      <c r="O1599" s="3">
        <v>2361</v>
      </c>
      <c r="P1599">
        <v>0</v>
      </c>
      <c r="Q1599">
        <v>4</v>
      </c>
      <c r="R1599" t="s">
        <v>28</v>
      </c>
      <c r="S1599">
        <v>1</v>
      </c>
    </row>
    <row r="1600" spans="1:19" ht="16.5" x14ac:dyDescent="0.3">
      <c r="A1600" t="s">
        <v>1658</v>
      </c>
      <c r="B1600" s="1">
        <v>45506</v>
      </c>
      <c r="C1600" s="1">
        <v>45509</v>
      </c>
      <c r="D1600">
        <v>2024</v>
      </c>
      <c r="E1600" t="s">
        <v>1445</v>
      </c>
      <c r="F1600" t="s">
        <v>1651</v>
      </c>
      <c r="G1600" t="s">
        <v>83</v>
      </c>
      <c r="H1600" t="s">
        <v>35</v>
      </c>
      <c r="I1600" t="s">
        <v>24</v>
      </c>
      <c r="J1600" t="s">
        <v>25</v>
      </c>
      <c r="K1600" t="s">
        <v>32</v>
      </c>
      <c r="L1600" t="s">
        <v>44</v>
      </c>
      <c r="M1600">
        <v>3</v>
      </c>
      <c r="N1600" s="2">
        <v>78</v>
      </c>
      <c r="O1600" s="3">
        <v>3506</v>
      </c>
      <c r="P1600">
        <v>0</v>
      </c>
      <c r="Q1600">
        <v>5</v>
      </c>
      <c r="R1600" t="s">
        <v>165</v>
      </c>
      <c r="S1600">
        <v>1</v>
      </c>
    </row>
    <row r="1601" spans="1:19" ht="16.5" x14ac:dyDescent="0.3">
      <c r="A1601" t="s">
        <v>1659</v>
      </c>
      <c r="B1601" s="1">
        <v>45506</v>
      </c>
      <c r="C1601" s="1">
        <v>45516</v>
      </c>
      <c r="D1601">
        <v>2024</v>
      </c>
      <c r="E1601" t="s">
        <v>1445</v>
      </c>
      <c r="F1601" t="s">
        <v>1651</v>
      </c>
      <c r="G1601" t="s">
        <v>83</v>
      </c>
      <c r="H1601" t="s">
        <v>50</v>
      </c>
      <c r="I1601" t="s">
        <v>24</v>
      </c>
      <c r="J1601" t="s">
        <v>25</v>
      </c>
      <c r="K1601" t="s">
        <v>36</v>
      </c>
      <c r="L1601" t="s">
        <v>44</v>
      </c>
      <c r="M1601">
        <v>10</v>
      </c>
      <c r="N1601" s="2">
        <v>81</v>
      </c>
      <c r="O1601" s="3">
        <v>11671</v>
      </c>
      <c r="P1601">
        <v>0</v>
      </c>
      <c r="Q1601">
        <v>4</v>
      </c>
      <c r="R1601" t="s">
        <v>33</v>
      </c>
      <c r="S1601">
        <v>1</v>
      </c>
    </row>
    <row r="1602" spans="1:19" ht="16.5" x14ac:dyDescent="0.3">
      <c r="A1602" t="s">
        <v>1660</v>
      </c>
      <c r="B1602" s="1">
        <v>45507</v>
      </c>
      <c r="C1602" s="1">
        <v>45510</v>
      </c>
      <c r="D1602">
        <v>2024</v>
      </c>
      <c r="E1602" t="s">
        <v>1445</v>
      </c>
      <c r="F1602" t="s">
        <v>1651</v>
      </c>
      <c r="G1602" t="s">
        <v>102</v>
      </c>
      <c r="H1602" t="s">
        <v>23</v>
      </c>
      <c r="I1602" t="s">
        <v>40</v>
      </c>
      <c r="J1602" t="s">
        <v>25</v>
      </c>
      <c r="K1602" t="s">
        <v>36</v>
      </c>
      <c r="L1602" t="s">
        <v>44</v>
      </c>
      <c r="M1602">
        <v>3</v>
      </c>
      <c r="N1602" s="2"/>
      <c r="O1602" s="3">
        <v>3675</v>
      </c>
      <c r="P1602">
        <v>0</v>
      </c>
      <c r="Q1602">
        <v>4</v>
      </c>
      <c r="R1602" t="s">
        <v>33</v>
      </c>
      <c r="S1602">
        <v>1</v>
      </c>
    </row>
    <row r="1603" spans="1:19" ht="16.5" x14ac:dyDescent="0.3">
      <c r="A1603" t="s">
        <v>1661</v>
      </c>
      <c r="B1603" s="1">
        <v>45507</v>
      </c>
      <c r="C1603" s="1">
        <v>45508</v>
      </c>
      <c r="D1603">
        <v>2024</v>
      </c>
      <c r="E1603" t="s">
        <v>1445</v>
      </c>
      <c r="F1603" t="s">
        <v>1651</v>
      </c>
      <c r="G1603" t="s">
        <v>102</v>
      </c>
      <c r="H1603" t="s">
        <v>35</v>
      </c>
      <c r="I1603" t="s">
        <v>24</v>
      </c>
      <c r="J1603" t="s">
        <v>25</v>
      </c>
      <c r="K1603" t="s">
        <v>36</v>
      </c>
      <c r="L1603" t="s">
        <v>27</v>
      </c>
      <c r="M1603">
        <v>1</v>
      </c>
      <c r="N1603" s="2">
        <v>45</v>
      </c>
      <c r="O1603" s="3">
        <v>1374</v>
      </c>
      <c r="P1603">
        <v>1</v>
      </c>
      <c r="Q1603">
        <v>3</v>
      </c>
      <c r="R1603" t="s">
        <v>33</v>
      </c>
      <c r="S1603">
        <v>1</v>
      </c>
    </row>
    <row r="1604" spans="1:19" ht="16.5" x14ac:dyDescent="0.3">
      <c r="A1604" t="s">
        <v>1662</v>
      </c>
      <c r="B1604" s="1">
        <v>45508</v>
      </c>
      <c r="C1604" s="1">
        <v>45509</v>
      </c>
      <c r="D1604">
        <v>2024</v>
      </c>
      <c r="E1604" t="s">
        <v>1445</v>
      </c>
      <c r="F1604" t="s">
        <v>1651</v>
      </c>
      <c r="G1604" t="s">
        <v>112</v>
      </c>
      <c r="H1604" t="s">
        <v>35</v>
      </c>
      <c r="I1604" t="s">
        <v>40</v>
      </c>
      <c r="J1604" t="s">
        <v>25</v>
      </c>
      <c r="K1604" t="s">
        <v>36</v>
      </c>
      <c r="L1604" t="s">
        <v>37</v>
      </c>
      <c r="M1604">
        <v>1</v>
      </c>
      <c r="N1604" s="2"/>
      <c r="O1604" s="3">
        <v>1391</v>
      </c>
      <c r="P1604">
        <v>1</v>
      </c>
      <c r="Q1604">
        <v>3</v>
      </c>
      <c r="R1604" t="s">
        <v>33</v>
      </c>
      <c r="S1604">
        <v>1</v>
      </c>
    </row>
    <row r="1605" spans="1:19" ht="16.5" x14ac:dyDescent="0.3">
      <c r="A1605" t="s">
        <v>1663</v>
      </c>
      <c r="B1605" s="1">
        <v>45508</v>
      </c>
      <c r="C1605" s="1">
        <v>45514</v>
      </c>
      <c r="D1605">
        <v>2024</v>
      </c>
      <c r="E1605" t="s">
        <v>1445</v>
      </c>
      <c r="F1605" t="s">
        <v>1651</v>
      </c>
      <c r="G1605" t="s">
        <v>112</v>
      </c>
      <c r="H1605" t="s">
        <v>30</v>
      </c>
      <c r="I1605" t="s">
        <v>40</v>
      </c>
      <c r="J1605" t="s">
        <v>43</v>
      </c>
      <c r="K1605" t="s">
        <v>36</v>
      </c>
      <c r="L1605" t="s">
        <v>44</v>
      </c>
      <c r="M1605">
        <v>6</v>
      </c>
      <c r="N1605" s="2"/>
      <c r="O1605" s="3">
        <v>6768</v>
      </c>
      <c r="P1605">
        <v>0</v>
      </c>
      <c r="Q1605">
        <v>4</v>
      </c>
      <c r="R1605" t="s">
        <v>33</v>
      </c>
      <c r="S1605">
        <v>1</v>
      </c>
    </row>
    <row r="1606" spans="1:19" ht="16.5" x14ac:dyDescent="0.3">
      <c r="A1606" t="s">
        <v>1664</v>
      </c>
      <c r="B1606" s="1">
        <v>45508</v>
      </c>
      <c r="C1606" s="1">
        <v>45510</v>
      </c>
      <c r="D1606">
        <v>2024</v>
      </c>
      <c r="E1606" t="s">
        <v>1445</v>
      </c>
      <c r="F1606" t="s">
        <v>1651</v>
      </c>
      <c r="G1606" t="s">
        <v>112</v>
      </c>
      <c r="H1606" t="s">
        <v>50</v>
      </c>
      <c r="I1606" t="s">
        <v>24</v>
      </c>
      <c r="J1606" t="s">
        <v>43</v>
      </c>
      <c r="K1606" t="s">
        <v>26</v>
      </c>
      <c r="L1606" t="s">
        <v>44</v>
      </c>
      <c r="M1606">
        <v>2</v>
      </c>
      <c r="N1606" s="2">
        <v>48</v>
      </c>
      <c r="O1606" s="3">
        <v>3761</v>
      </c>
      <c r="P1606">
        <v>0</v>
      </c>
      <c r="Q1606">
        <v>4</v>
      </c>
      <c r="R1606" t="s">
        <v>33</v>
      </c>
      <c r="S1606">
        <v>1</v>
      </c>
    </row>
    <row r="1607" spans="1:19" ht="16.5" x14ac:dyDescent="0.3">
      <c r="A1607" t="s">
        <v>1665</v>
      </c>
      <c r="B1607" s="1">
        <v>45508</v>
      </c>
      <c r="C1607" s="1">
        <v>45510</v>
      </c>
      <c r="D1607">
        <v>2024</v>
      </c>
      <c r="E1607" t="s">
        <v>1445</v>
      </c>
      <c r="F1607" t="s">
        <v>1651</v>
      </c>
      <c r="G1607" t="s">
        <v>112</v>
      </c>
      <c r="H1607" t="s">
        <v>39</v>
      </c>
      <c r="I1607" t="s">
        <v>24</v>
      </c>
      <c r="J1607" t="s">
        <v>25</v>
      </c>
      <c r="K1607" t="s">
        <v>41</v>
      </c>
      <c r="L1607" t="s">
        <v>27</v>
      </c>
      <c r="M1607">
        <v>2</v>
      </c>
      <c r="N1607" s="2">
        <v>48</v>
      </c>
      <c r="O1607" s="3">
        <v>1928</v>
      </c>
      <c r="P1607">
        <v>0</v>
      </c>
      <c r="Q1607">
        <v>4</v>
      </c>
      <c r="R1607" t="s">
        <v>33</v>
      </c>
      <c r="S1607">
        <v>1</v>
      </c>
    </row>
    <row r="1608" spans="1:19" ht="16.5" x14ac:dyDescent="0.3">
      <c r="A1608" t="s">
        <v>1666</v>
      </c>
      <c r="B1608" s="1">
        <v>45508</v>
      </c>
      <c r="C1608" s="1">
        <v>45511</v>
      </c>
      <c r="D1608">
        <v>2024</v>
      </c>
      <c r="E1608" t="s">
        <v>1445</v>
      </c>
      <c r="F1608" t="s">
        <v>1651</v>
      </c>
      <c r="G1608" t="s">
        <v>112</v>
      </c>
      <c r="H1608" t="s">
        <v>35</v>
      </c>
      <c r="I1608" t="s">
        <v>24</v>
      </c>
      <c r="J1608" t="s">
        <v>25</v>
      </c>
      <c r="K1608" t="s">
        <v>32</v>
      </c>
      <c r="L1608" t="s">
        <v>44</v>
      </c>
      <c r="M1608">
        <v>3</v>
      </c>
      <c r="N1608" s="2">
        <v>34</v>
      </c>
      <c r="O1608" s="3">
        <v>3334</v>
      </c>
      <c r="P1608">
        <v>0</v>
      </c>
      <c r="Q1608">
        <v>4</v>
      </c>
      <c r="R1608" t="s">
        <v>28</v>
      </c>
      <c r="S1608">
        <v>1</v>
      </c>
    </row>
    <row r="1609" spans="1:19" ht="16.5" x14ac:dyDescent="0.3">
      <c r="A1609" t="s">
        <v>1667</v>
      </c>
      <c r="B1609" s="1">
        <v>45509</v>
      </c>
      <c r="C1609" s="1">
        <v>45516</v>
      </c>
      <c r="D1609">
        <v>2024</v>
      </c>
      <c r="E1609" t="s">
        <v>1445</v>
      </c>
      <c r="F1609" t="s">
        <v>1651</v>
      </c>
      <c r="G1609" t="s">
        <v>22</v>
      </c>
      <c r="H1609" t="s">
        <v>23</v>
      </c>
      <c r="I1609" t="s">
        <v>24</v>
      </c>
      <c r="J1609" t="s">
        <v>43</v>
      </c>
      <c r="K1609" t="s">
        <v>53</v>
      </c>
      <c r="L1609" t="s">
        <v>44</v>
      </c>
      <c r="M1609">
        <v>7</v>
      </c>
      <c r="N1609" s="2">
        <v>38</v>
      </c>
      <c r="O1609" s="3">
        <v>5601</v>
      </c>
      <c r="P1609">
        <v>0</v>
      </c>
      <c r="Q1609">
        <v>5</v>
      </c>
      <c r="R1609" t="s">
        <v>33</v>
      </c>
      <c r="S1609">
        <v>1</v>
      </c>
    </row>
    <row r="1610" spans="1:19" ht="16.5" x14ac:dyDescent="0.3">
      <c r="A1610" t="s">
        <v>1668</v>
      </c>
      <c r="B1610" s="1">
        <v>45509</v>
      </c>
      <c r="C1610" s="1">
        <v>45511</v>
      </c>
      <c r="D1610">
        <v>2024</v>
      </c>
      <c r="E1610" t="s">
        <v>1445</v>
      </c>
      <c r="F1610" t="s">
        <v>1651</v>
      </c>
      <c r="G1610" t="s">
        <v>22</v>
      </c>
      <c r="H1610" t="s">
        <v>35</v>
      </c>
      <c r="I1610" t="s">
        <v>24</v>
      </c>
      <c r="J1610" t="s">
        <v>25</v>
      </c>
      <c r="K1610" t="s">
        <v>36</v>
      </c>
      <c r="L1610" t="s">
        <v>27</v>
      </c>
      <c r="M1610">
        <v>2</v>
      </c>
      <c r="N1610" s="2">
        <v>170</v>
      </c>
      <c r="O1610" s="3">
        <v>1888</v>
      </c>
      <c r="P1610">
        <v>0</v>
      </c>
      <c r="Q1610">
        <v>4</v>
      </c>
      <c r="R1610" t="s">
        <v>33</v>
      </c>
      <c r="S1610">
        <v>1</v>
      </c>
    </row>
    <row r="1611" spans="1:19" ht="16.5" x14ac:dyDescent="0.3">
      <c r="A1611" t="s">
        <v>1669</v>
      </c>
      <c r="B1611" s="1">
        <v>45509</v>
      </c>
      <c r="C1611" s="1">
        <v>45515</v>
      </c>
      <c r="D1611">
        <v>2024</v>
      </c>
      <c r="E1611" t="s">
        <v>1445</v>
      </c>
      <c r="F1611" t="s">
        <v>1651</v>
      </c>
      <c r="G1611" t="s">
        <v>22</v>
      </c>
      <c r="H1611" t="s">
        <v>39</v>
      </c>
      <c r="I1611" t="s">
        <v>24</v>
      </c>
      <c r="J1611" t="s">
        <v>25</v>
      </c>
      <c r="K1611" t="s">
        <v>41</v>
      </c>
      <c r="L1611" t="s">
        <v>27</v>
      </c>
      <c r="M1611">
        <v>6</v>
      </c>
      <c r="N1611" s="2">
        <v>32</v>
      </c>
      <c r="O1611" s="3">
        <v>4306</v>
      </c>
      <c r="P1611">
        <v>0</v>
      </c>
      <c r="Q1611">
        <v>3</v>
      </c>
      <c r="R1611" t="s">
        <v>33</v>
      </c>
      <c r="S1611">
        <v>1</v>
      </c>
    </row>
    <row r="1612" spans="1:19" ht="16.5" x14ac:dyDescent="0.3">
      <c r="A1612" t="s">
        <v>1670</v>
      </c>
      <c r="B1612" s="1">
        <v>45509</v>
      </c>
      <c r="C1612" s="1">
        <v>45515</v>
      </c>
      <c r="D1612">
        <v>2024</v>
      </c>
      <c r="E1612" t="s">
        <v>1445</v>
      </c>
      <c r="F1612" t="s">
        <v>1651</v>
      </c>
      <c r="G1612" t="s">
        <v>22</v>
      </c>
      <c r="H1612" t="s">
        <v>23</v>
      </c>
      <c r="I1612" t="s">
        <v>31</v>
      </c>
      <c r="J1612" t="s">
        <v>43</v>
      </c>
      <c r="K1612" t="s">
        <v>26</v>
      </c>
      <c r="L1612" t="s">
        <v>44</v>
      </c>
      <c r="M1612">
        <v>6</v>
      </c>
      <c r="N1612" s="2"/>
      <c r="O1612" s="3">
        <v>4855</v>
      </c>
      <c r="P1612">
        <v>0</v>
      </c>
      <c r="Q1612">
        <v>4</v>
      </c>
      <c r="R1612" t="s">
        <v>28</v>
      </c>
      <c r="S1612">
        <v>1</v>
      </c>
    </row>
    <row r="1613" spans="1:19" ht="16.5" x14ac:dyDescent="0.3">
      <c r="A1613" t="s">
        <v>1671</v>
      </c>
      <c r="B1613" s="1">
        <v>45509</v>
      </c>
      <c r="C1613" s="1">
        <v>45515</v>
      </c>
      <c r="D1613">
        <v>2024</v>
      </c>
      <c r="E1613" t="s">
        <v>1445</v>
      </c>
      <c r="F1613" t="s">
        <v>1651</v>
      </c>
      <c r="G1613" t="s">
        <v>22</v>
      </c>
      <c r="H1613" t="s">
        <v>30</v>
      </c>
      <c r="I1613" t="s">
        <v>40</v>
      </c>
      <c r="J1613" t="s">
        <v>43</v>
      </c>
      <c r="K1613" t="s">
        <v>32</v>
      </c>
      <c r="L1613" t="s">
        <v>44</v>
      </c>
      <c r="M1613">
        <v>6</v>
      </c>
      <c r="N1613" s="2"/>
      <c r="O1613" s="3">
        <v>3975</v>
      </c>
      <c r="P1613">
        <v>0</v>
      </c>
      <c r="Q1613">
        <v>4</v>
      </c>
      <c r="R1613" t="s">
        <v>28</v>
      </c>
      <c r="S1613">
        <v>1</v>
      </c>
    </row>
    <row r="1614" spans="1:19" ht="16.5" x14ac:dyDescent="0.3">
      <c r="A1614" t="s">
        <v>1672</v>
      </c>
      <c r="B1614" s="1">
        <v>45509</v>
      </c>
      <c r="C1614" s="1">
        <v>45516</v>
      </c>
      <c r="D1614">
        <v>2024</v>
      </c>
      <c r="E1614" t="s">
        <v>1445</v>
      </c>
      <c r="F1614" t="s">
        <v>1651</v>
      </c>
      <c r="G1614" t="s">
        <v>22</v>
      </c>
      <c r="H1614" t="s">
        <v>23</v>
      </c>
      <c r="I1614" t="s">
        <v>24</v>
      </c>
      <c r="J1614" t="s">
        <v>25</v>
      </c>
      <c r="K1614" t="s">
        <v>32</v>
      </c>
      <c r="L1614" t="s">
        <v>27</v>
      </c>
      <c r="M1614">
        <v>7</v>
      </c>
      <c r="N1614" s="2">
        <v>132</v>
      </c>
      <c r="O1614" s="3">
        <v>6019</v>
      </c>
      <c r="P1614">
        <v>0</v>
      </c>
      <c r="Q1614">
        <v>3</v>
      </c>
      <c r="R1614" t="s">
        <v>59</v>
      </c>
      <c r="S1614">
        <v>1</v>
      </c>
    </row>
    <row r="1615" spans="1:19" ht="16.5" x14ac:dyDescent="0.3">
      <c r="A1615" t="s">
        <v>1673</v>
      </c>
      <c r="B1615" s="1">
        <v>45510</v>
      </c>
      <c r="C1615" s="1">
        <v>45513</v>
      </c>
      <c r="D1615">
        <v>2024</v>
      </c>
      <c r="E1615" t="s">
        <v>1445</v>
      </c>
      <c r="F1615" t="s">
        <v>1651</v>
      </c>
      <c r="G1615" t="s">
        <v>56</v>
      </c>
      <c r="H1615" t="s">
        <v>50</v>
      </c>
      <c r="I1615" t="s">
        <v>24</v>
      </c>
      <c r="J1615" t="s">
        <v>25</v>
      </c>
      <c r="K1615" t="s">
        <v>53</v>
      </c>
      <c r="L1615" t="s">
        <v>37</v>
      </c>
      <c r="M1615">
        <v>3</v>
      </c>
      <c r="N1615" s="2">
        <v>40</v>
      </c>
      <c r="O1615" s="3">
        <v>5135</v>
      </c>
      <c r="P1615">
        <v>0</v>
      </c>
      <c r="Q1615">
        <v>4</v>
      </c>
      <c r="R1615" t="s">
        <v>165</v>
      </c>
      <c r="S1615">
        <v>1</v>
      </c>
    </row>
    <row r="1616" spans="1:19" ht="16.5" x14ac:dyDescent="0.3">
      <c r="A1616" t="s">
        <v>1674</v>
      </c>
      <c r="B1616" s="1">
        <v>45510</v>
      </c>
      <c r="C1616" s="1">
        <v>45512</v>
      </c>
      <c r="D1616">
        <v>2024</v>
      </c>
      <c r="E1616" t="s">
        <v>1445</v>
      </c>
      <c r="F1616" t="s">
        <v>1651</v>
      </c>
      <c r="G1616" t="s">
        <v>56</v>
      </c>
      <c r="H1616" t="s">
        <v>52</v>
      </c>
      <c r="I1616" t="s">
        <v>40</v>
      </c>
      <c r="J1616" t="s">
        <v>43</v>
      </c>
      <c r="K1616" t="s">
        <v>53</v>
      </c>
      <c r="L1616" t="s">
        <v>27</v>
      </c>
      <c r="M1616">
        <v>2</v>
      </c>
      <c r="N1616" s="2"/>
      <c r="O1616" s="3">
        <v>2734</v>
      </c>
      <c r="P1616">
        <v>0</v>
      </c>
      <c r="Q1616">
        <v>5</v>
      </c>
      <c r="R1616" t="s">
        <v>28</v>
      </c>
      <c r="S1616">
        <v>1</v>
      </c>
    </row>
    <row r="1617" spans="1:19" ht="16.5" x14ac:dyDescent="0.3">
      <c r="A1617" t="s">
        <v>1675</v>
      </c>
      <c r="B1617" s="1">
        <v>45510</v>
      </c>
      <c r="C1617" s="1">
        <v>45513</v>
      </c>
      <c r="D1617">
        <v>2024</v>
      </c>
      <c r="E1617" t="s">
        <v>1445</v>
      </c>
      <c r="F1617" t="s">
        <v>1651</v>
      </c>
      <c r="G1617" t="s">
        <v>56</v>
      </c>
      <c r="H1617" t="s">
        <v>23</v>
      </c>
      <c r="I1617" t="s">
        <v>24</v>
      </c>
      <c r="J1617" t="s">
        <v>43</v>
      </c>
      <c r="K1617" t="s">
        <v>36</v>
      </c>
      <c r="L1617" t="s">
        <v>37</v>
      </c>
      <c r="M1617">
        <v>3</v>
      </c>
      <c r="N1617" s="2">
        <v>43</v>
      </c>
      <c r="O1617" s="3">
        <v>2469</v>
      </c>
      <c r="P1617">
        <v>0</v>
      </c>
      <c r="Q1617">
        <v>5</v>
      </c>
      <c r="R1617" t="s">
        <v>28</v>
      </c>
      <c r="S1617">
        <v>1</v>
      </c>
    </row>
    <row r="1618" spans="1:19" ht="16.5" x14ac:dyDescent="0.3">
      <c r="A1618" t="s">
        <v>1676</v>
      </c>
      <c r="B1618" s="1">
        <v>45510</v>
      </c>
      <c r="C1618" s="1">
        <v>45512</v>
      </c>
      <c r="D1618">
        <v>2024</v>
      </c>
      <c r="E1618" t="s">
        <v>1445</v>
      </c>
      <c r="F1618" t="s">
        <v>1651</v>
      </c>
      <c r="G1618" t="s">
        <v>56</v>
      </c>
      <c r="H1618" t="s">
        <v>52</v>
      </c>
      <c r="I1618" t="s">
        <v>40</v>
      </c>
      <c r="J1618" t="s">
        <v>43</v>
      </c>
      <c r="K1618" t="s">
        <v>53</v>
      </c>
      <c r="L1618" t="s">
        <v>44</v>
      </c>
      <c r="M1618">
        <v>2</v>
      </c>
      <c r="N1618" s="2"/>
      <c r="O1618" s="3">
        <v>2984</v>
      </c>
      <c r="P1618">
        <v>0</v>
      </c>
      <c r="Q1618">
        <v>5</v>
      </c>
      <c r="R1618" t="s">
        <v>59</v>
      </c>
      <c r="S1618">
        <v>1</v>
      </c>
    </row>
    <row r="1619" spans="1:19" ht="16.5" x14ac:dyDescent="0.3">
      <c r="A1619" t="s">
        <v>1677</v>
      </c>
      <c r="B1619" s="1">
        <v>45510</v>
      </c>
      <c r="C1619" s="1">
        <v>45513</v>
      </c>
      <c r="D1619">
        <v>2024</v>
      </c>
      <c r="E1619" t="s">
        <v>1445</v>
      </c>
      <c r="F1619" t="s">
        <v>1651</v>
      </c>
      <c r="G1619" t="s">
        <v>56</v>
      </c>
      <c r="H1619" t="s">
        <v>52</v>
      </c>
      <c r="I1619" t="s">
        <v>40</v>
      </c>
      <c r="J1619" t="s">
        <v>43</v>
      </c>
      <c r="K1619" t="s">
        <v>32</v>
      </c>
      <c r="L1619" t="s">
        <v>44</v>
      </c>
      <c r="M1619">
        <v>3</v>
      </c>
      <c r="N1619" s="2"/>
      <c r="O1619" s="3">
        <v>3902</v>
      </c>
      <c r="P1619">
        <v>0</v>
      </c>
      <c r="Q1619">
        <v>5</v>
      </c>
      <c r="R1619" t="s">
        <v>28</v>
      </c>
      <c r="S1619">
        <v>1</v>
      </c>
    </row>
    <row r="1620" spans="1:19" ht="16.5" x14ac:dyDescent="0.3">
      <c r="A1620" t="s">
        <v>1678</v>
      </c>
      <c r="B1620" s="1">
        <v>45510</v>
      </c>
      <c r="C1620" s="1">
        <v>45514</v>
      </c>
      <c r="D1620">
        <v>2024</v>
      </c>
      <c r="E1620" t="s">
        <v>1445</v>
      </c>
      <c r="F1620" t="s">
        <v>1651</v>
      </c>
      <c r="G1620" t="s">
        <v>56</v>
      </c>
      <c r="H1620" t="s">
        <v>30</v>
      </c>
      <c r="I1620" t="s">
        <v>40</v>
      </c>
      <c r="J1620" t="s">
        <v>43</v>
      </c>
      <c r="K1620" t="s">
        <v>53</v>
      </c>
      <c r="L1620" t="s">
        <v>27</v>
      </c>
      <c r="M1620">
        <v>4</v>
      </c>
      <c r="N1620" s="2"/>
      <c r="O1620" s="3">
        <v>4276</v>
      </c>
      <c r="P1620">
        <v>0</v>
      </c>
      <c r="Q1620">
        <v>4</v>
      </c>
      <c r="R1620" t="s">
        <v>33</v>
      </c>
      <c r="S1620">
        <v>1</v>
      </c>
    </row>
    <row r="1621" spans="1:19" ht="16.5" x14ac:dyDescent="0.3">
      <c r="A1621" t="s">
        <v>1679</v>
      </c>
      <c r="B1621" s="1">
        <v>45511</v>
      </c>
      <c r="C1621" s="1">
        <v>45512</v>
      </c>
      <c r="D1621">
        <v>2024</v>
      </c>
      <c r="E1621" t="s">
        <v>1445</v>
      </c>
      <c r="F1621" t="s">
        <v>1651</v>
      </c>
      <c r="G1621" t="s">
        <v>70</v>
      </c>
      <c r="H1621" t="s">
        <v>50</v>
      </c>
      <c r="I1621" t="s">
        <v>40</v>
      </c>
      <c r="J1621" t="s">
        <v>43</v>
      </c>
      <c r="K1621" t="s">
        <v>36</v>
      </c>
      <c r="L1621" t="s">
        <v>44</v>
      </c>
      <c r="M1621">
        <v>1</v>
      </c>
      <c r="N1621" s="2"/>
      <c r="O1621" s="3">
        <v>2744</v>
      </c>
      <c r="P1621">
        <v>0</v>
      </c>
      <c r="Q1621">
        <v>5</v>
      </c>
      <c r="R1621" t="s">
        <v>33</v>
      </c>
      <c r="S1621">
        <v>1</v>
      </c>
    </row>
    <row r="1622" spans="1:19" ht="16.5" x14ac:dyDescent="0.3">
      <c r="A1622" t="s">
        <v>1680</v>
      </c>
      <c r="B1622" s="1">
        <v>45511</v>
      </c>
      <c r="C1622" s="1">
        <v>45514</v>
      </c>
      <c r="D1622">
        <v>2024</v>
      </c>
      <c r="E1622" t="s">
        <v>1445</v>
      </c>
      <c r="F1622" t="s">
        <v>1651</v>
      </c>
      <c r="G1622" t="s">
        <v>70</v>
      </c>
      <c r="H1622" t="s">
        <v>50</v>
      </c>
      <c r="I1622" t="s">
        <v>24</v>
      </c>
      <c r="J1622" t="s">
        <v>43</v>
      </c>
      <c r="K1622" t="s">
        <v>32</v>
      </c>
      <c r="L1622" t="s">
        <v>44</v>
      </c>
      <c r="M1622">
        <v>3</v>
      </c>
      <c r="N1622" s="2">
        <v>59</v>
      </c>
      <c r="O1622" s="3">
        <v>3849</v>
      </c>
      <c r="P1622">
        <v>0</v>
      </c>
      <c r="Q1622">
        <v>4</v>
      </c>
      <c r="R1622" t="s">
        <v>28</v>
      </c>
      <c r="S1622">
        <v>1</v>
      </c>
    </row>
    <row r="1623" spans="1:19" ht="16.5" x14ac:dyDescent="0.3">
      <c r="A1623" t="s">
        <v>1681</v>
      </c>
      <c r="B1623" s="1">
        <v>45511</v>
      </c>
      <c r="C1623" s="1">
        <v>45524</v>
      </c>
      <c r="D1623">
        <v>2024</v>
      </c>
      <c r="E1623" t="s">
        <v>1445</v>
      </c>
      <c r="F1623" t="s">
        <v>1651</v>
      </c>
      <c r="G1623" t="s">
        <v>70</v>
      </c>
      <c r="H1623" t="s">
        <v>23</v>
      </c>
      <c r="I1623" t="s">
        <v>24</v>
      </c>
      <c r="J1623" t="s">
        <v>25</v>
      </c>
      <c r="K1623" t="s">
        <v>53</v>
      </c>
      <c r="L1623" t="s">
        <v>44</v>
      </c>
      <c r="M1623">
        <v>13</v>
      </c>
      <c r="N1623" s="2">
        <v>38</v>
      </c>
      <c r="O1623" s="3">
        <v>8302</v>
      </c>
      <c r="P1623">
        <v>0</v>
      </c>
      <c r="Q1623">
        <v>4</v>
      </c>
      <c r="R1623" t="s">
        <v>59</v>
      </c>
      <c r="S1623">
        <v>1</v>
      </c>
    </row>
    <row r="1624" spans="1:19" ht="16.5" x14ac:dyDescent="0.3">
      <c r="A1624" t="s">
        <v>1682</v>
      </c>
      <c r="B1624" s="1">
        <v>45511</v>
      </c>
      <c r="C1624" s="1">
        <v>45512</v>
      </c>
      <c r="D1624">
        <v>2024</v>
      </c>
      <c r="E1624" t="s">
        <v>1445</v>
      </c>
      <c r="F1624" t="s">
        <v>1651</v>
      </c>
      <c r="G1624" t="s">
        <v>70</v>
      </c>
      <c r="H1624" t="s">
        <v>35</v>
      </c>
      <c r="I1624" t="s">
        <v>24</v>
      </c>
      <c r="J1624" t="s">
        <v>25</v>
      </c>
      <c r="K1624" t="s">
        <v>32</v>
      </c>
      <c r="L1624" t="s">
        <v>27</v>
      </c>
      <c r="M1624">
        <v>1</v>
      </c>
      <c r="N1624" s="2">
        <v>105</v>
      </c>
      <c r="O1624" s="3">
        <v>1554</v>
      </c>
      <c r="P1624">
        <v>0</v>
      </c>
      <c r="Q1624">
        <v>4</v>
      </c>
      <c r="R1624" t="s">
        <v>33</v>
      </c>
      <c r="S1624">
        <v>1</v>
      </c>
    </row>
    <row r="1625" spans="1:19" ht="16.5" x14ac:dyDescent="0.3">
      <c r="A1625" t="s">
        <v>1683</v>
      </c>
      <c r="B1625" s="1">
        <v>45511</v>
      </c>
      <c r="C1625" s="1">
        <v>45515</v>
      </c>
      <c r="D1625">
        <v>2024</v>
      </c>
      <c r="E1625" t="s">
        <v>1445</v>
      </c>
      <c r="F1625" t="s">
        <v>1651</v>
      </c>
      <c r="G1625" t="s">
        <v>70</v>
      </c>
      <c r="H1625" t="s">
        <v>50</v>
      </c>
      <c r="I1625" t="s">
        <v>40</v>
      </c>
      <c r="J1625" t="s">
        <v>25</v>
      </c>
      <c r="K1625" t="s">
        <v>32</v>
      </c>
      <c r="L1625" t="s">
        <v>37</v>
      </c>
      <c r="M1625">
        <v>4</v>
      </c>
      <c r="N1625" s="2"/>
      <c r="O1625" s="3">
        <v>7106</v>
      </c>
      <c r="P1625">
        <v>0</v>
      </c>
      <c r="Q1625">
        <v>3</v>
      </c>
      <c r="R1625" t="s">
        <v>33</v>
      </c>
      <c r="S1625">
        <v>1</v>
      </c>
    </row>
    <row r="1626" spans="1:19" ht="16.5" x14ac:dyDescent="0.3">
      <c r="A1626" t="s">
        <v>1684</v>
      </c>
      <c r="B1626" s="1">
        <v>45511</v>
      </c>
      <c r="C1626" s="1">
        <v>45517</v>
      </c>
      <c r="D1626">
        <v>2024</v>
      </c>
      <c r="E1626" t="s">
        <v>1445</v>
      </c>
      <c r="F1626" t="s">
        <v>1651</v>
      </c>
      <c r="G1626" t="s">
        <v>70</v>
      </c>
      <c r="H1626" t="s">
        <v>50</v>
      </c>
      <c r="I1626" t="s">
        <v>24</v>
      </c>
      <c r="J1626" t="s">
        <v>25</v>
      </c>
      <c r="K1626" t="s">
        <v>26</v>
      </c>
      <c r="L1626" t="s">
        <v>37</v>
      </c>
      <c r="M1626">
        <v>6</v>
      </c>
      <c r="N1626" s="2">
        <v>28</v>
      </c>
      <c r="O1626" s="3">
        <v>7168</v>
      </c>
      <c r="P1626">
        <v>0</v>
      </c>
      <c r="Q1626">
        <v>3</v>
      </c>
      <c r="R1626" t="s">
        <v>28</v>
      </c>
      <c r="S1626">
        <v>1</v>
      </c>
    </row>
    <row r="1627" spans="1:19" ht="16.5" x14ac:dyDescent="0.3">
      <c r="A1627" t="s">
        <v>1685</v>
      </c>
      <c r="B1627" s="1">
        <v>45511</v>
      </c>
      <c r="C1627" s="1">
        <v>45516</v>
      </c>
      <c r="D1627">
        <v>2024</v>
      </c>
      <c r="E1627" t="s">
        <v>1445</v>
      </c>
      <c r="F1627" t="s">
        <v>1651</v>
      </c>
      <c r="G1627" t="s">
        <v>70</v>
      </c>
      <c r="H1627" t="s">
        <v>30</v>
      </c>
      <c r="I1627" t="s">
        <v>40</v>
      </c>
      <c r="J1627" t="s">
        <v>25</v>
      </c>
      <c r="K1627" t="s">
        <v>26</v>
      </c>
      <c r="L1627" t="s">
        <v>44</v>
      </c>
      <c r="M1627">
        <v>5</v>
      </c>
      <c r="N1627" s="2"/>
      <c r="O1627" s="3">
        <v>6985</v>
      </c>
      <c r="P1627">
        <v>0</v>
      </c>
      <c r="Q1627">
        <v>4</v>
      </c>
      <c r="R1627" t="s">
        <v>28</v>
      </c>
      <c r="S1627">
        <v>1</v>
      </c>
    </row>
    <row r="1628" spans="1:19" ht="16.5" x14ac:dyDescent="0.3">
      <c r="A1628" t="s">
        <v>1686</v>
      </c>
      <c r="B1628" s="1">
        <v>45511</v>
      </c>
      <c r="C1628" s="1">
        <v>45514</v>
      </c>
      <c r="D1628">
        <v>2024</v>
      </c>
      <c r="E1628" t="s">
        <v>1445</v>
      </c>
      <c r="F1628" t="s">
        <v>1651</v>
      </c>
      <c r="G1628" t="s">
        <v>70</v>
      </c>
      <c r="H1628" t="s">
        <v>39</v>
      </c>
      <c r="I1628" t="s">
        <v>24</v>
      </c>
      <c r="J1628" t="s">
        <v>43</v>
      </c>
      <c r="K1628" t="s">
        <v>41</v>
      </c>
      <c r="L1628" t="s">
        <v>27</v>
      </c>
      <c r="M1628">
        <v>3</v>
      </c>
      <c r="N1628" s="2">
        <v>48</v>
      </c>
      <c r="O1628" s="3">
        <v>2605</v>
      </c>
      <c r="P1628">
        <v>0</v>
      </c>
      <c r="Q1628">
        <v>5</v>
      </c>
      <c r="R1628" t="s">
        <v>28</v>
      </c>
      <c r="S1628">
        <v>1</v>
      </c>
    </row>
    <row r="1629" spans="1:19" ht="16.5" x14ac:dyDescent="0.3">
      <c r="A1629" t="s">
        <v>1687</v>
      </c>
      <c r="B1629" s="1">
        <v>45511</v>
      </c>
      <c r="C1629" s="1">
        <v>45515</v>
      </c>
      <c r="D1629">
        <v>2024</v>
      </c>
      <c r="E1629" t="s">
        <v>1445</v>
      </c>
      <c r="F1629" t="s">
        <v>1651</v>
      </c>
      <c r="G1629" t="s">
        <v>70</v>
      </c>
      <c r="H1629" t="s">
        <v>23</v>
      </c>
      <c r="I1629" t="s">
        <v>24</v>
      </c>
      <c r="J1629" t="s">
        <v>43</v>
      </c>
      <c r="K1629" t="s">
        <v>53</v>
      </c>
      <c r="L1629" t="s">
        <v>27</v>
      </c>
      <c r="M1629">
        <v>4</v>
      </c>
      <c r="N1629" s="2">
        <v>90</v>
      </c>
      <c r="O1629" s="3">
        <v>3379</v>
      </c>
      <c r="P1629">
        <v>0</v>
      </c>
      <c r="Q1629">
        <v>4</v>
      </c>
      <c r="R1629" t="s">
        <v>33</v>
      </c>
      <c r="S1629">
        <v>1</v>
      </c>
    </row>
    <row r="1630" spans="1:19" ht="16.5" x14ac:dyDescent="0.3">
      <c r="A1630" t="s">
        <v>1688</v>
      </c>
      <c r="B1630" s="1">
        <v>45512</v>
      </c>
      <c r="C1630" s="1">
        <v>45518</v>
      </c>
      <c r="D1630">
        <v>2024</v>
      </c>
      <c r="E1630" t="s">
        <v>1445</v>
      </c>
      <c r="F1630" t="s">
        <v>1651</v>
      </c>
      <c r="G1630" t="s">
        <v>78</v>
      </c>
      <c r="H1630" t="s">
        <v>23</v>
      </c>
      <c r="I1630" t="s">
        <v>24</v>
      </c>
      <c r="J1630" t="s">
        <v>25</v>
      </c>
      <c r="K1630" t="s">
        <v>36</v>
      </c>
      <c r="L1630" t="s">
        <v>44</v>
      </c>
      <c r="M1630">
        <v>6</v>
      </c>
      <c r="N1630" s="2">
        <v>53</v>
      </c>
      <c r="O1630" s="3">
        <v>4497</v>
      </c>
      <c r="P1630">
        <v>0</v>
      </c>
      <c r="Q1630">
        <v>4</v>
      </c>
      <c r="R1630" t="s">
        <v>33</v>
      </c>
      <c r="S1630">
        <v>1</v>
      </c>
    </row>
    <row r="1631" spans="1:19" ht="16.5" x14ac:dyDescent="0.3">
      <c r="A1631" t="s">
        <v>1689</v>
      </c>
      <c r="B1631" s="1">
        <v>45512</v>
      </c>
      <c r="C1631" s="1">
        <v>45522</v>
      </c>
      <c r="D1631">
        <v>2024</v>
      </c>
      <c r="E1631" t="s">
        <v>1445</v>
      </c>
      <c r="F1631" t="s">
        <v>1651</v>
      </c>
      <c r="G1631" t="s">
        <v>78</v>
      </c>
      <c r="H1631" t="s">
        <v>50</v>
      </c>
      <c r="I1631" t="s">
        <v>24</v>
      </c>
      <c r="J1631" t="s">
        <v>25</v>
      </c>
      <c r="K1631" t="s">
        <v>26</v>
      </c>
      <c r="L1631" t="s">
        <v>44</v>
      </c>
      <c r="M1631">
        <v>10</v>
      </c>
      <c r="N1631" s="2">
        <v>31</v>
      </c>
      <c r="O1631" s="3">
        <v>14122</v>
      </c>
      <c r="P1631">
        <v>0</v>
      </c>
      <c r="Q1631">
        <v>4</v>
      </c>
      <c r="R1631" t="s">
        <v>28</v>
      </c>
      <c r="S1631">
        <v>1</v>
      </c>
    </row>
    <row r="1632" spans="1:19" ht="16.5" x14ac:dyDescent="0.3">
      <c r="A1632" t="s">
        <v>1690</v>
      </c>
      <c r="B1632" s="1">
        <v>45513</v>
      </c>
      <c r="C1632" s="1">
        <v>45519</v>
      </c>
      <c r="D1632">
        <v>2024</v>
      </c>
      <c r="E1632" t="s">
        <v>1445</v>
      </c>
      <c r="F1632" t="s">
        <v>1651</v>
      </c>
      <c r="G1632" t="s">
        <v>83</v>
      </c>
      <c r="H1632" t="s">
        <v>52</v>
      </c>
      <c r="I1632" t="s">
        <v>24</v>
      </c>
      <c r="J1632" t="s">
        <v>43</v>
      </c>
      <c r="K1632" t="s">
        <v>32</v>
      </c>
      <c r="L1632" t="s">
        <v>44</v>
      </c>
      <c r="M1632">
        <v>6</v>
      </c>
      <c r="N1632" s="2">
        <v>72</v>
      </c>
      <c r="O1632" s="3">
        <v>6608</v>
      </c>
      <c r="P1632">
        <v>0</v>
      </c>
      <c r="Q1632">
        <v>4</v>
      </c>
      <c r="R1632" t="s">
        <v>28</v>
      </c>
      <c r="S1632">
        <v>1</v>
      </c>
    </row>
    <row r="1633" spans="1:19" ht="16.5" x14ac:dyDescent="0.3">
      <c r="A1633" t="s">
        <v>1691</v>
      </c>
      <c r="B1633" s="1">
        <v>45513</v>
      </c>
      <c r="C1633" s="1">
        <v>45515</v>
      </c>
      <c r="D1633">
        <v>2024</v>
      </c>
      <c r="E1633" t="s">
        <v>1445</v>
      </c>
      <c r="F1633" t="s">
        <v>1651</v>
      </c>
      <c r="G1633" t="s">
        <v>83</v>
      </c>
      <c r="H1633" t="s">
        <v>30</v>
      </c>
      <c r="I1633" t="s">
        <v>40</v>
      </c>
      <c r="J1633" t="s">
        <v>43</v>
      </c>
      <c r="K1633" t="s">
        <v>36</v>
      </c>
      <c r="L1633" t="s">
        <v>27</v>
      </c>
      <c r="M1633">
        <v>2</v>
      </c>
      <c r="N1633" s="2"/>
      <c r="O1633" s="3">
        <v>2574</v>
      </c>
      <c r="P1633">
        <v>0</v>
      </c>
      <c r="Q1633">
        <v>5</v>
      </c>
      <c r="R1633" t="s">
        <v>33</v>
      </c>
      <c r="S1633">
        <v>1</v>
      </c>
    </row>
    <row r="1634" spans="1:19" ht="16.5" x14ac:dyDescent="0.3">
      <c r="A1634" t="s">
        <v>1692</v>
      </c>
      <c r="B1634" s="1">
        <v>45513</v>
      </c>
      <c r="C1634" s="1">
        <v>45525</v>
      </c>
      <c r="D1634">
        <v>2024</v>
      </c>
      <c r="E1634" t="s">
        <v>1445</v>
      </c>
      <c r="F1634" t="s">
        <v>1651</v>
      </c>
      <c r="G1634" t="s">
        <v>83</v>
      </c>
      <c r="H1634" t="s">
        <v>23</v>
      </c>
      <c r="I1634" t="s">
        <v>24</v>
      </c>
      <c r="J1634" t="s">
        <v>25</v>
      </c>
      <c r="K1634" t="s">
        <v>26</v>
      </c>
      <c r="L1634" t="s">
        <v>44</v>
      </c>
      <c r="M1634">
        <v>12</v>
      </c>
      <c r="N1634" s="2">
        <v>59</v>
      </c>
      <c r="O1634" s="3">
        <v>7735</v>
      </c>
      <c r="P1634">
        <v>0</v>
      </c>
      <c r="Q1634">
        <v>5</v>
      </c>
      <c r="R1634" t="s">
        <v>165</v>
      </c>
      <c r="S1634">
        <v>1</v>
      </c>
    </row>
    <row r="1635" spans="1:19" ht="16.5" x14ac:dyDescent="0.3">
      <c r="A1635" t="s">
        <v>1693</v>
      </c>
      <c r="B1635" s="1">
        <v>45513</v>
      </c>
      <c r="C1635" s="1">
        <v>45516</v>
      </c>
      <c r="D1635">
        <v>2024</v>
      </c>
      <c r="E1635" t="s">
        <v>1445</v>
      </c>
      <c r="F1635" t="s">
        <v>1651</v>
      </c>
      <c r="G1635" t="s">
        <v>83</v>
      </c>
      <c r="H1635" t="s">
        <v>50</v>
      </c>
      <c r="I1635" t="s">
        <v>40</v>
      </c>
      <c r="J1635" t="s">
        <v>25</v>
      </c>
      <c r="K1635" t="s">
        <v>53</v>
      </c>
      <c r="L1635" t="s">
        <v>27</v>
      </c>
      <c r="M1635">
        <v>3</v>
      </c>
      <c r="N1635" s="2"/>
      <c r="O1635" s="3">
        <v>4356</v>
      </c>
      <c r="P1635">
        <v>1</v>
      </c>
      <c r="Q1635">
        <v>3</v>
      </c>
      <c r="R1635" t="s">
        <v>33</v>
      </c>
      <c r="S1635">
        <v>1</v>
      </c>
    </row>
    <row r="1636" spans="1:19" ht="16.5" x14ac:dyDescent="0.3">
      <c r="A1636" t="s">
        <v>1694</v>
      </c>
      <c r="B1636" s="1">
        <v>45513</v>
      </c>
      <c r="C1636" s="1">
        <v>45520</v>
      </c>
      <c r="D1636">
        <v>2024</v>
      </c>
      <c r="E1636" t="s">
        <v>1445</v>
      </c>
      <c r="F1636" t="s">
        <v>1651</v>
      </c>
      <c r="G1636" t="s">
        <v>83</v>
      </c>
      <c r="H1636" t="s">
        <v>52</v>
      </c>
      <c r="I1636" t="s">
        <v>24</v>
      </c>
      <c r="J1636" t="s">
        <v>25</v>
      </c>
      <c r="K1636" t="s">
        <v>26</v>
      </c>
      <c r="L1636" t="s">
        <v>27</v>
      </c>
      <c r="M1636">
        <v>7</v>
      </c>
      <c r="N1636" s="2">
        <v>36</v>
      </c>
      <c r="O1636" s="3">
        <v>6419</v>
      </c>
      <c r="P1636">
        <v>0</v>
      </c>
      <c r="Q1636">
        <v>4</v>
      </c>
      <c r="R1636" t="s">
        <v>33</v>
      </c>
      <c r="S1636">
        <v>1</v>
      </c>
    </row>
    <row r="1637" spans="1:19" ht="16.5" x14ac:dyDescent="0.3">
      <c r="A1637" t="s">
        <v>1695</v>
      </c>
      <c r="B1637" s="1">
        <v>45513</v>
      </c>
      <c r="C1637" s="1">
        <v>45517</v>
      </c>
      <c r="D1637">
        <v>2024</v>
      </c>
      <c r="E1637" t="s">
        <v>1445</v>
      </c>
      <c r="F1637" t="s">
        <v>1651</v>
      </c>
      <c r="G1637" t="s">
        <v>83</v>
      </c>
      <c r="H1637" t="s">
        <v>39</v>
      </c>
      <c r="I1637" t="s">
        <v>40</v>
      </c>
      <c r="J1637" t="s">
        <v>43</v>
      </c>
      <c r="K1637" t="s">
        <v>41</v>
      </c>
      <c r="L1637" t="s">
        <v>44</v>
      </c>
      <c r="M1637">
        <v>4</v>
      </c>
      <c r="N1637" s="2"/>
      <c r="O1637" s="3">
        <v>3587</v>
      </c>
      <c r="P1637">
        <v>0</v>
      </c>
      <c r="Q1637">
        <v>3</v>
      </c>
      <c r="R1637" t="s">
        <v>59</v>
      </c>
      <c r="S1637">
        <v>1</v>
      </c>
    </row>
    <row r="1638" spans="1:19" ht="16.5" x14ac:dyDescent="0.3">
      <c r="A1638" t="s">
        <v>1696</v>
      </c>
      <c r="B1638" s="1">
        <v>45513</v>
      </c>
      <c r="C1638" s="1">
        <v>45516</v>
      </c>
      <c r="D1638">
        <v>2024</v>
      </c>
      <c r="E1638" t="s">
        <v>1445</v>
      </c>
      <c r="F1638" t="s">
        <v>1651</v>
      </c>
      <c r="G1638" t="s">
        <v>83</v>
      </c>
      <c r="H1638" t="s">
        <v>30</v>
      </c>
      <c r="I1638" t="s">
        <v>40</v>
      </c>
      <c r="J1638" t="s">
        <v>43</v>
      </c>
      <c r="K1638" t="s">
        <v>32</v>
      </c>
      <c r="L1638" t="s">
        <v>44</v>
      </c>
      <c r="M1638">
        <v>3</v>
      </c>
      <c r="N1638" s="2"/>
      <c r="O1638" s="3">
        <v>3452</v>
      </c>
      <c r="P1638">
        <v>0</v>
      </c>
      <c r="Q1638">
        <v>4</v>
      </c>
      <c r="R1638" t="s">
        <v>33</v>
      </c>
      <c r="S1638">
        <v>1</v>
      </c>
    </row>
    <row r="1639" spans="1:19" ht="16.5" x14ac:dyDescent="0.3">
      <c r="A1639" t="s">
        <v>1697</v>
      </c>
      <c r="B1639" s="1">
        <v>45513</v>
      </c>
      <c r="C1639" s="1">
        <v>45515</v>
      </c>
      <c r="D1639">
        <v>2024</v>
      </c>
      <c r="E1639" t="s">
        <v>1445</v>
      </c>
      <c r="F1639" t="s">
        <v>1651</v>
      </c>
      <c r="G1639" t="s">
        <v>83</v>
      </c>
      <c r="H1639" t="s">
        <v>30</v>
      </c>
      <c r="I1639" t="s">
        <v>40</v>
      </c>
      <c r="J1639" t="s">
        <v>25</v>
      </c>
      <c r="K1639" t="s">
        <v>53</v>
      </c>
      <c r="L1639" t="s">
        <v>44</v>
      </c>
      <c r="M1639">
        <v>2</v>
      </c>
      <c r="N1639" s="2"/>
      <c r="O1639" s="3">
        <v>2186</v>
      </c>
      <c r="P1639">
        <v>1</v>
      </c>
      <c r="Q1639">
        <v>4</v>
      </c>
      <c r="R1639" t="s">
        <v>33</v>
      </c>
      <c r="S1639">
        <v>1</v>
      </c>
    </row>
    <row r="1640" spans="1:19" ht="16.5" x14ac:dyDescent="0.3">
      <c r="A1640" t="s">
        <v>1698</v>
      </c>
      <c r="B1640" s="1">
        <v>45513</v>
      </c>
      <c r="C1640" s="1">
        <v>45516</v>
      </c>
      <c r="D1640">
        <v>2024</v>
      </c>
      <c r="E1640" t="s">
        <v>1445</v>
      </c>
      <c r="F1640" t="s">
        <v>1651</v>
      </c>
      <c r="G1640" t="s">
        <v>83</v>
      </c>
      <c r="H1640" t="s">
        <v>35</v>
      </c>
      <c r="I1640" t="s">
        <v>24</v>
      </c>
      <c r="J1640" t="s">
        <v>25</v>
      </c>
      <c r="K1640" t="s">
        <v>36</v>
      </c>
      <c r="L1640" t="s">
        <v>27</v>
      </c>
      <c r="M1640">
        <v>3</v>
      </c>
      <c r="N1640" s="2">
        <v>39</v>
      </c>
      <c r="O1640" s="3">
        <v>3268</v>
      </c>
      <c r="P1640">
        <v>0</v>
      </c>
      <c r="Q1640">
        <v>5</v>
      </c>
      <c r="R1640" t="s">
        <v>28</v>
      </c>
      <c r="S1640">
        <v>1</v>
      </c>
    </row>
    <row r="1641" spans="1:19" ht="16.5" x14ac:dyDescent="0.3">
      <c r="A1641" t="s">
        <v>1699</v>
      </c>
      <c r="B1641" s="1">
        <v>45514</v>
      </c>
      <c r="C1641" s="1">
        <v>45516</v>
      </c>
      <c r="D1641">
        <v>2024</v>
      </c>
      <c r="E1641" t="s">
        <v>1445</v>
      </c>
      <c r="F1641" t="s">
        <v>1651</v>
      </c>
      <c r="G1641" t="s">
        <v>102</v>
      </c>
      <c r="H1641" t="s">
        <v>23</v>
      </c>
      <c r="I1641" t="s">
        <v>40</v>
      </c>
      <c r="J1641" t="s">
        <v>25</v>
      </c>
      <c r="K1641" t="s">
        <v>26</v>
      </c>
      <c r="L1641" t="s">
        <v>27</v>
      </c>
      <c r="M1641">
        <v>2</v>
      </c>
      <c r="N1641" s="2"/>
      <c r="O1641" s="3">
        <v>2415</v>
      </c>
      <c r="P1641">
        <v>0</v>
      </c>
      <c r="Q1641">
        <v>5</v>
      </c>
      <c r="R1641" t="s">
        <v>33</v>
      </c>
      <c r="S1641">
        <v>1</v>
      </c>
    </row>
    <row r="1642" spans="1:19" ht="16.5" x14ac:dyDescent="0.3">
      <c r="A1642" t="s">
        <v>1700</v>
      </c>
      <c r="B1642" s="1">
        <v>45514</v>
      </c>
      <c r="C1642" s="1">
        <v>45516</v>
      </c>
      <c r="D1642">
        <v>2024</v>
      </c>
      <c r="E1642" t="s">
        <v>1445</v>
      </c>
      <c r="F1642" t="s">
        <v>1651</v>
      </c>
      <c r="G1642" t="s">
        <v>102</v>
      </c>
      <c r="H1642" t="s">
        <v>35</v>
      </c>
      <c r="I1642" t="s">
        <v>40</v>
      </c>
      <c r="J1642" t="s">
        <v>25</v>
      </c>
      <c r="K1642" t="s">
        <v>36</v>
      </c>
      <c r="L1642" t="s">
        <v>44</v>
      </c>
      <c r="M1642">
        <v>2</v>
      </c>
      <c r="N1642" s="2"/>
      <c r="O1642" s="3">
        <v>1404</v>
      </c>
      <c r="P1642">
        <v>0</v>
      </c>
      <c r="Q1642">
        <v>5</v>
      </c>
      <c r="R1642" t="s">
        <v>33</v>
      </c>
      <c r="S1642">
        <v>1</v>
      </c>
    </row>
    <row r="1643" spans="1:19" ht="16.5" x14ac:dyDescent="0.3">
      <c r="A1643" t="s">
        <v>1701</v>
      </c>
      <c r="B1643" s="1">
        <v>45514</v>
      </c>
      <c r="C1643" s="1">
        <v>45520</v>
      </c>
      <c r="D1643">
        <v>2024</v>
      </c>
      <c r="E1643" t="s">
        <v>1445</v>
      </c>
      <c r="F1643" t="s">
        <v>1651</v>
      </c>
      <c r="G1643" t="s">
        <v>102</v>
      </c>
      <c r="H1643" t="s">
        <v>30</v>
      </c>
      <c r="I1643" t="s">
        <v>24</v>
      </c>
      <c r="J1643" t="s">
        <v>43</v>
      </c>
      <c r="K1643" t="s">
        <v>26</v>
      </c>
      <c r="L1643" t="s">
        <v>27</v>
      </c>
      <c r="M1643">
        <v>6</v>
      </c>
      <c r="N1643" s="2">
        <v>103</v>
      </c>
      <c r="O1643" s="3">
        <v>7275</v>
      </c>
      <c r="P1643">
        <v>0</v>
      </c>
      <c r="Q1643">
        <v>3</v>
      </c>
      <c r="R1643" t="s">
        <v>33</v>
      </c>
      <c r="S1643">
        <v>1</v>
      </c>
    </row>
    <row r="1644" spans="1:19" ht="16.5" x14ac:dyDescent="0.3">
      <c r="A1644" t="s">
        <v>1702</v>
      </c>
      <c r="B1644" s="1">
        <v>45514</v>
      </c>
      <c r="C1644" s="1">
        <v>45537</v>
      </c>
      <c r="D1644">
        <v>2024</v>
      </c>
      <c r="E1644" t="s">
        <v>1445</v>
      </c>
      <c r="F1644" t="s">
        <v>1651</v>
      </c>
      <c r="G1644" t="s">
        <v>102</v>
      </c>
      <c r="H1644" t="s">
        <v>50</v>
      </c>
      <c r="I1644" t="s">
        <v>24</v>
      </c>
      <c r="J1644" t="s">
        <v>43</v>
      </c>
      <c r="K1644" t="s">
        <v>26</v>
      </c>
      <c r="L1644" t="s">
        <v>44</v>
      </c>
      <c r="M1644">
        <v>23</v>
      </c>
      <c r="N1644" s="2">
        <v>124</v>
      </c>
      <c r="O1644" s="3">
        <v>25856</v>
      </c>
      <c r="P1644">
        <v>1</v>
      </c>
      <c r="Q1644">
        <v>3</v>
      </c>
      <c r="R1644" t="s">
        <v>28</v>
      </c>
      <c r="S1644">
        <v>1</v>
      </c>
    </row>
    <row r="1645" spans="1:19" ht="16.5" x14ac:dyDescent="0.3">
      <c r="A1645" t="s">
        <v>1703</v>
      </c>
      <c r="B1645" s="1">
        <v>45514</v>
      </c>
      <c r="C1645" s="1">
        <v>45516</v>
      </c>
      <c r="D1645">
        <v>2024</v>
      </c>
      <c r="E1645" t="s">
        <v>1445</v>
      </c>
      <c r="F1645" t="s">
        <v>1651</v>
      </c>
      <c r="G1645" t="s">
        <v>102</v>
      </c>
      <c r="H1645" t="s">
        <v>35</v>
      </c>
      <c r="I1645" t="s">
        <v>24</v>
      </c>
      <c r="J1645" t="s">
        <v>25</v>
      </c>
      <c r="K1645" t="s">
        <v>36</v>
      </c>
      <c r="L1645" t="s">
        <v>44</v>
      </c>
      <c r="M1645">
        <v>2</v>
      </c>
      <c r="N1645" s="2">
        <v>122</v>
      </c>
      <c r="O1645" s="3">
        <v>2313</v>
      </c>
      <c r="P1645">
        <v>0</v>
      </c>
      <c r="Q1645">
        <v>4</v>
      </c>
      <c r="R1645" t="s">
        <v>33</v>
      </c>
      <c r="S1645">
        <v>1</v>
      </c>
    </row>
    <row r="1646" spans="1:19" ht="16.5" x14ac:dyDescent="0.3">
      <c r="A1646" t="s">
        <v>1704</v>
      </c>
      <c r="B1646" s="1">
        <v>45514</v>
      </c>
      <c r="C1646" s="1">
        <v>45519</v>
      </c>
      <c r="D1646">
        <v>2024</v>
      </c>
      <c r="E1646" t="s">
        <v>1445</v>
      </c>
      <c r="F1646" t="s">
        <v>1651</v>
      </c>
      <c r="G1646" t="s">
        <v>102</v>
      </c>
      <c r="H1646" t="s">
        <v>35</v>
      </c>
      <c r="I1646" t="s">
        <v>24</v>
      </c>
      <c r="J1646" t="s">
        <v>25</v>
      </c>
      <c r="K1646" t="s">
        <v>36</v>
      </c>
      <c r="L1646" t="s">
        <v>37</v>
      </c>
      <c r="M1646">
        <v>5</v>
      </c>
      <c r="N1646" s="2">
        <v>138</v>
      </c>
      <c r="O1646" s="3">
        <v>4813</v>
      </c>
      <c r="P1646">
        <v>0</v>
      </c>
      <c r="Q1646">
        <v>3</v>
      </c>
      <c r="R1646" t="s">
        <v>33</v>
      </c>
      <c r="S1646">
        <v>1</v>
      </c>
    </row>
    <row r="1647" spans="1:19" ht="16.5" x14ac:dyDescent="0.3">
      <c r="A1647" t="s">
        <v>1705</v>
      </c>
      <c r="B1647" s="1">
        <v>45514</v>
      </c>
      <c r="C1647" s="1">
        <v>45522</v>
      </c>
      <c r="D1647">
        <v>2024</v>
      </c>
      <c r="E1647" t="s">
        <v>1445</v>
      </c>
      <c r="F1647" t="s">
        <v>1651</v>
      </c>
      <c r="G1647" t="s">
        <v>102</v>
      </c>
      <c r="H1647" t="s">
        <v>30</v>
      </c>
      <c r="I1647" t="s">
        <v>40</v>
      </c>
      <c r="J1647" t="s">
        <v>43</v>
      </c>
      <c r="K1647" t="s">
        <v>53</v>
      </c>
      <c r="L1647" t="s">
        <v>27</v>
      </c>
      <c r="M1647">
        <v>8</v>
      </c>
      <c r="N1647" s="2"/>
      <c r="O1647" s="3">
        <v>7395</v>
      </c>
      <c r="P1647">
        <v>0</v>
      </c>
      <c r="Q1647">
        <v>5</v>
      </c>
      <c r="R1647" t="s">
        <v>165</v>
      </c>
      <c r="S1647">
        <v>1</v>
      </c>
    </row>
    <row r="1648" spans="1:19" ht="16.5" x14ac:dyDescent="0.3">
      <c r="A1648" t="s">
        <v>1706</v>
      </c>
      <c r="B1648" s="1">
        <v>45514</v>
      </c>
      <c r="C1648" s="1">
        <v>45518</v>
      </c>
      <c r="D1648">
        <v>2024</v>
      </c>
      <c r="E1648" t="s">
        <v>1445</v>
      </c>
      <c r="F1648" t="s">
        <v>1651</v>
      </c>
      <c r="G1648" t="s">
        <v>102</v>
      </c>
      <c r="H1648" t="s">
        <v>30</v>
      </c>
      <c r="I1648" t="s">
        <v>40</v>
      </c>
      <c r="J1648" t="s">
        <v>25</v>
      </c>
      <c r="K1648" t="s">
        <v>36</v>
      </c>
      <c r="L1648" t="s">
        <v>44</v>
      </c>
      <c r="M1648">
        <v>4</v>
      </c>
      <c r="N1648" s="2"/>
      <c r="O1648" s="3">
        <v>5175</v>
      </c>
      <c r="P1648">
        <v>0</v>
      </c>
      <c r="Q1648">
        <v>4</v>
      </c>
      <c r="R1648" t="s">
        <v>33</v>
      </c>
      <c r="S1648">
        <v>1</v>
      </c>
    </row>
    <row r="1649" spans="1:19" ht="16.5" x14ac:dyDescent="0.3">
      <c r="A1649" t="s">
        <v>1707</v>
      </c>
      <c r="B1649" s="1">
        <v>45515</v>
      </c>
      <c r="C1649" s="1">
        <v>45520</v>
      </c>
      <c r="D1649">
        <v>2024</v>
      </c>
      <c r="E1649" t="s">
        <v>1445</v>
      </c>
      <c r="F1649" t="s">
        <v>1651</v>
      </c>
      <c r="G1649" t="s">
        <v>112</v>
      </c>
      <c r="H1649" t="s">
        <v>23</v>
      </c>
      <c r="I1649" t="s">
        <v>24</v>
      </c>
      <c r="J1649" t="s">
        <v>43</v>
      </c>
      <c r="K1649" t="s">
        <v>53</v>
      </c>
      <c r="L1649" t="s">
        <v>27</v>
      </c>
      <c r="M1649">
        <v>5</v>
      </c>
      <c r="N1649" s="2">
        <v>23</v>
      </c>
      <c r="O1649" s="3">
        <v>3593</v>
      </c>
      <c r="P1649">
        <v>0</v>
      </c>
      <c r="Q1649">
        <v>5</v>
      </c>
      <c r="R1649" t="s">
        <v>28</v>
      </c>
      <c r="S1649">
        <v>1</v>
      </c>
    </row>
    <row r="1650" spans="1:19" ht="16.5" x14ac:dyDescent="0.3">
      <c r="A1650" t="s">
        <v>1708</v>
      </c>
      <c r="B1650" s="1">
        <v>45515</v>
      </c>
      <c r="C1650" s="1">
        <v>45516</v>
      </c>
      <c r="D1650">
        <v>2024</v>
      </c>
      <c r="E1650" t="s">
        <v>1445</v>
      </c>
      <c r="F1650" t="s">
        <v>1651</v>
      </c>
      <c r="G1650" t="s">
        <v>112</v>
      </c>
      <c r="H1650" t="s">
        <v>35</v>
      </c>
      <c r="I1650" t="s">
        <v>24</v>
      </c>
      <c r="J1650" t="s">
        <v>25</v>
      </c>
      <c r="K1650" t="s">
        <v>36</v>
      </c>
      <c r="L1650" t="s">
        <v>44</v>
      </c>
      <c r="M1650">
        <v>1</v>
      </c>
      <c r="N1650" s="2">
        <v>43</v>
      </c>
      <c r="O1650" s="3">
        <v>1885</v>
      </c>
      <c r="P1650">
        <v>0</v>
      </c>
      <c r="Q1650">
        <v>4</v>
      </c>
      <c r="R1650" t="s">
        <v>33</v>
      </c>
      <c r="S1650">
        <v>1</v>
      </c>
    </row>
    <row r="1651" spans="1:19" ht="16.5" x14ac:dyDescent="0.3">
      <c r="A1651" t="s">
        <v>1709</v>
      </c>
      <c r="B1651" s="1">
        <v>45515</v>
      </c>
      <c r="C1651" s="1">
        <v>45518</v>
      </c>
      <c r="D1651">
        <v>2024</v>
      </c>
      <c r="E1651" t="s">
        <v>1445</v>
      </c>
      <c r="F1651" t="s">
        <v>1651</v>
      </c>
      <c r="G1651" t="s">
        <v>112</v>
      </c>
      <c r="H1651" t="s">
        <v>35</v>
      </c>
      <c r="I1651" t="s">
        <v>24</v>
      </c>
      <c r="J1651" t="s">
        <v>25</v>
      </c>
      <c r="K1651" t="s">
        <v>32</v>
      </c>
      <c r="L1651" t="s">
        <v>37</v>
      </c>
      <c r="M1651">
        <v>3</v>
      </c>
      <c r="N1651" s="2">
        <v>62</v>
      </c>
      <c r="O1651" s="3">
        <v>3312</v>
      </c>
      <c r="P1651">
        <v>0</v>
      </c>
      <c r="Q1651">
        <v>4</v>
      </c>
      <c r="R1651" t="s">
        <v>28</v>
      </c>
      <c r="S1651">
        <v>1</v>
      </c>
    </row>
    <row r="1652" spans="1:19" ht="16.5" x14ac:dyDescent="0.3">
      <c r="A1652" t="s">
        <v>1710</v>
      </c>
      <c r="B1652" s="1">
        <v>45515</v>
      </c>
      <c r="C1652" s="1">
        <v>45529</v>
      </c>
      <c r="D1652">
        <v>2024</v>
      </c>
      <c r="E1652" t="s">
        <v>1445</v>
      </c>
      <c r="F1652" t="s">
        <v>1651</v>
      </c>
      <c r="G1652" t="s">
        <v>112</v>
      </c>
      <c r="H1652" t="s">
        <v>52</v>
      </c>
      <c r="I1652" t="s">
        <v>24</v>
      </c>
      <c r="J1652" t="s">
        <v>43</v>
      </c>
      <c r="K1652" t="s">
        <v>26</v>
      </c>
      <c r="L1652" t="s">
        <v>27</v>
      </c>
      <c r="M1652">
        <v>14</v>
      </c>
      <c r="N1652" s="2">
        <v>110</v>
      </c>
      <c r="O1652" s="3">
        <v>13261</v>
      </c>
      <c r="P1652">
        <v>0</v>
      </c>
      <c r="Q1652">
        <v>4</v>
      </c>
      <c r="R1652" t="s">
        <v>33</v>
      </c>
      <c r="S1652">
        <v>1</v>
      </c>
    </row>
    <row r="1653" spans="1:19" ht="16.5" x14ac:dyDescent="0.3">
      <c r="A1653" t="s">
        <v>1711</v>
      </c>
      <c r="B1653" s="1">
        <v>45515</v>
      </c>
      <c r="C1653" s="1">
        <v>45517</v>
      </c>
      <c r="D1653">
        <v>2024</v>
      </c>
      <c r="E1653" t="s">
        <v>1445</v>
      </c>
      <c r="F1653" t="s">
        <v>1651</v>
      </c>
      <c r="G1653" t="s">
        <v>112</v>
      </c>
      <c r="H1653" t="s">
        <v>23</v>
      </c>
      <c r="I1653" t="s">
        <v>40</v>
      </c>
      <c r="J1653" t="s">
        <v>25</v>
      </c>
      <c r="K1653" t="s">
        <v>26</v>
      </c>
      <c r="L1653" t="s">
        <v>44</v>
      </c>
      <c r="M1653">
        <v>2</v>
      </c>
      <c r="N1653" s="2"/>
      <c r="O1653" s="3">
        <v>1973</v>
      </c>
      <c r="P1653">
        <v>0</v>
      </c>
      <c r="Q1653">
        <v>5</v>
      </c>
      <c r="R1653" t="s">
        <v>33</v>
      </c>
      <c r="S1653">
        <v>1</v>
      </c>
    </row>
    <row r="1654" spans="1:19" ht="16.5" x14ac:dyDescent="0.3">
      <c r="A1654" t="s">
        <v>1712</v>
      </c>
      <c r="B1654" s="1">
        <v>45516</v>
      </c>
      <c r="C1654" s="1">
        <v>45522</v>
      </c>
      <c r="D1654">
        <v>2024</v>
      </c>
      <c r="E1654" t="s">
        <v>1445</v>
      </c>
      <c r="F1654" t="s">
        <v>1651</v>
      </c>
      <c r="G1654" t="s">
        <v>22</v>
      </c>
      <c r="H1654" t="s">
        <v>30</v>
      </c>
      <c r="I1654" t="s">
        <v>24</v>
      </c>
      <c r="J1654" t="s">
        <v>43</v>
      </c>
      <c r="K1654" t="s">
        <v>26</v>
      </c>
      <c r="L1654" t="s">
        <v>44</v>
      </c>
      <c r="M1654">
        <v>6</v>
      </c>
      <c r="N1654" s="2">
        <v>14</v>
      </c>
      <c r="O1654" s="3">
        <v>7572</v>
      </c>
      <c r="P1654">
        <v>0</v>
      </c>
      <c r="Q1654">
        <v>5</v>
      </c>
      <c r="R1654" t="s">
        <v>33</v>
      </c>
      <c r="S1654">
        <v>1</v>
      </c>
    </row>
    <row r="1655" spans="1:19" ht="16.5" x14ac:dyDescent="0.3">
      <c r="A1655" t="s">
        <v>1713</v>
      </c>
      <c r="B1655" s="1">
        <v>45516</v>
      </c>
      <c r="C1655" s="1">
        <v>45530</v>
      </c>
      <c r="D1655">
        <v>2024</v>
      </c>
      <c r="E1655" t="s">
        <v>1445</v>
      </c>
      <c r="F1655" t="s">
        <v>1651</v>
      </c>
      <c r="G1655" t="s">
        <v>22</v>
      </c>
      <c r="H1655" t="s">
        <v>23</v>
      </c>
      <c r="I1655" t="s">
        <v>24</v>
      </c>
      <c r="J1655" t="s">
        <v>25</v>
      </c>
      <c r="K1655" t="s">
        <v>26</v>
      </c>
      <c r="L1655" t="s">
        <v>44</v>
      </c>
      <c r="M1655">
        <v>14</v>
      </c>
      <c r="N1655" s="2">
        <v>49</v>
      </c>
      <c r="O1655" s="3">
        <v>6833</v>
      </c>
      <c r="P1655">
        <v>0</v>
      </c>
      <c r="Q1655">
        <v>4</v>
      </c>
      <c r="R1655" t="s">
        <v>28</v>
      </c>
      <c r="S1655">
        <v>1</v>
      </c>
    </row>
    <row r="1656" spans="1:19" ht="16.5" x14ac:dyDescent="0.3">
      <c r="A1656" t="s">
        <v>1714</v>
      </c>
      <c r="B1656" s="1">
        <v>45516</v>
      </c>
      <c r="C1656" s="1">
        <v>45520</v>
      </c>
      <c r="D1656">
        <v>2024</v>
      </c>
      <c r="E1656" t="s">
        <v>1445</v>
      </c>
      <c r="F1656" t="s">
        <v>1651</v>
      </c>
      <c r="G1656" t="s">
        <v>22</v>
      </c>
      <c r="H1656" t="s">
        <v>50</v>
      </c>
      <c r="I1656" t="s">
        <v>40</v>
      </c>
      <c r="J1656" t="s">
        <v>43</v>
      </c>
      <c r="K1656" t="s">
        <v>32</v>
      </c>
      <c r="L1656" t="s">
        <v>27</v>
      </c>
      <c r="M1656">
        <v>4</v>
      </c>
      <c r="N1656" s="2"/>
      <c r="O1656" s="3">
        <v>5404</v>
      </c>
      <c r="P1656">
        <v>0</v>
      </c>
      <c r="Q1656">
        <v>5</v>
      </c>
      <c r="R1656" t="s">
        <v>33</v>
      </c>
      <c r="S1656">
        <v>1</v>
      </c>
    </row>
    <row r="1657" spans="1:19" ht="16.5" x14ac:dyDescent="0.3">
      <c r="A1657" t="s">
        <v>1715</v>
      </c>
      <c r="B1657" s="1">
        <v>45516</v>
      </c>
      <c r="C1657" s="1">
        <v>45517</v>
      </c>
      <c r="D1657">
        <v>2024</v>
      </c>
      <c r="E1657" t="s">
        <v>1445</v>
      </c>
      <c r="F1657" t="s">
        <v>1651</v>
      </c>
      <c r="G1657" t="s">
        <v>22</v>
      </c>
      <c r="H1657" t="s">
        <v>35</v>
      </c>
      <c r="I1657" t="s">
        <v>24</v>
      </c>
      <c r="J1657" t="s">
        <v>25</v>
      </c>
      <c r="K1657" t="s">
        <v>32</v>
      </c>
      <c r="L1657" t="s">
        <v>27</v>
      </c>
      <c r="M1657">
        <v>1</v>
      </c>
      <c r="N1657" s="2">
        <v>96</v>
      </c>
      <c r="O1657" s="3">
        <v>1849</v>
      </c>
      <c r="P1657">
        <v>0</v>
      </c>
      <c r="Q1657">
        <v>3</v>
      </c>
      <c r="R1657" t="s">
        <v>33</v>
      </c>
      <c r="S1657">
        <v>1</v>
      </c>
    </row>
    <row r="1658" spans="1:19" ht="16.5" x14ac:dyDescent="0.3">
      <c r="A1658" t="s">
        <v>1716</v>
      </c>
      <c r="B1658" s="1">
        <v>45516</v>
      </c>
      <c r="C1658" s="1">
        <v>45517</v>
      </c>
      <c r="D1658">
        <v>2024</v>
      </c>
      <c r="E1658" t="s">
        <v>1445</v>
      </c>
      <c r="F1658" t="s">
        <v>1651</v>
      </c>
      <c r="G1658" t="s">
        <v>22</v>
      </c>
      <c r="H1658" t="s">
        <v>23</v>
      </c>
      <c r="I1658" t="s">
        <v>40</v>
      </c>
      <c r="J1658" t="s">
        <v>43</v>
      </c>
      <c r="K1658" t="s">
        <v>26</v>
      </c>
      <c r="L1658" t="s">
        <v>44</v>
      </c>
      <c r="M1658">
        <v>1</v>
      </c>
      <c r="N1658" s="2"/>
      <c r="O1658" s="3">
        <v>1237</v>
      </c>
      <c r="P1658">
        <v>0</v>
      </c>
      <c r="Q1658">
        <v>3</v>
      </c>
      <c r="R1658" t="s">
        <v>28</v>
      </c>
      <c r="S1658">
        <v>1</v>
      </c>
    </row>
    <row r="1659" spans="1:19" ht="16.5" x14ac:dyDescent="0.3">
      <c r="A1659" t="s">
        <v>1717</v>
      </c>
      <c r="B1659" s="1">
        <v>45516</v>
      </c>
      <c r="C1659" s="1">
        <v>45519</v>
      </c>
      <c r="D1659">
        <v>2024</v>
      </c>
      <c r="E1659" t="s">
        <v>1445</v>
      </c>
      <c r="F1659" t="s">
        <v>1651</v>
      </c>
      <c r="G1659" t="s">
        <v>22</v>
      </c>
      <c r="H1659" t="s">
        <v>52</v>
      </c>
      <c r="I1659" t="s">
        <v>40</v>
      </c>
      <c r="J1659" t="s">
        <v>43</v>
      </c>
      <c r="K1659" t="s">
        <v>53</v>
      </c>
      <c r="L1659" t="s">
        <v>27</v>
      </c>
      <c r="M1659">
        <v>3</v>
      </c>
      <c r="N1659" s="2"/>
      <c r="O1659" s="3">
        <v>3733</v>
      </c>
      <c r="P1659">
        <v>0</v>
      </c>
      <c r="Q1659">
        <v>4</v>
      </c>
      <c r="R1659" t="s">
        <v>28</v>
      </c>
      <c r="S1659">
        <v>1</v>
      </c>
    </row>
    <row r="1660" spans="1:19" ht="16.5" x14ac:dyDescent="0.3">
      <c r="A1660" t="s">
        <v>1718</v>
      </c>
      <c r="B1660" s="1">
        <v>45517</v>
      </c>
      <c r="C1660" s="1">
        <v>45518</v>
      </c>
      <c r="D1660">
        <v>2024</v>
      </c>
      <c r="E1660" t="s">
        <v>1445</v>
      </c>
      <c r="F1660" t="s">
        <v>1651</v>
      </c>
      <c r="G1660" t="s">
        <v>56</v>
      </c>
      <c r="H1660" t="s">
        <v>35</v>
      </c>
      <c r="I1660" t="s">
        <v>24</v>
      </c>
      <c r="J1660" t="s">
        <v>25</v>
      </c>
      <c r="K1660" t="s">
        <v>36</v>
      </c>
      <c r="L1660" t="s">
        <v>44</v>
      </c>
      <c r="M1660">
        <v>1</v>
      </c>
      <c r="N1660" s="2">
        <v>43</v>
      </c>
      <c r="O1660" s="3">
        <v>1516</v>
      </c>
      <c r="P1660">
        <v>0</v>
      </c>
      <c r="Q1660">
        <v>5</v>
      </c>
      <c r="R1660" t="s">
        <v>33</v>
      </c>
      <c r="S1660">
        <v>1</v>
      </c>
    </row>
    <row r="1661" spans="1:19" ht="16.5" x14ac:dyDescent="0.3">
      <c r="A1661" t="s">
        <v>1719</v>
      </c>
      <c r="B1661" s="1">
        <v>45517</v>
      </c>
      <c r="C1661" s="1">
        <v>45520</v>
      </c>
      <c r="D1661">
        <v>2024</v>
      </c>
      <c r="E1661" t="s">
        <v>1445</v>
      </c>
      <c r="F1661" t="s">
        <v>1651</v>
      </c>
      <c r="G1661" t="s">
        <v>56</v>
      </c>
      <c r="H1661" t="s">
        <v>52</v>
      </c>
      <c r="I1661" t="s">
        <v>40</v>
      </c>
      <c r="J1661" t="s">
        <v>25</v>
      </c>
      <c r="K1661" t="s">
        <v>36</v>
      </c>
      <c r="L1661" t="s">
        <v>37</v>
      </c>
      <c r="M1661">
        <v>3</v>
      </c>
      <c r="N1661" s="2"/>
      <c r="O1661" s="3">
        <v>3337</v>
      </c>
      <c r="P1661">
        <v>0</v>
      </c>
      <c r="Q1661">
        <v>4</v>
      </c>
      <c r="R1661" t="s">
        <v>28</v>
      </c>
      <c r="S1661">
        <v>1</v>
      </c>
    </row>
    <row r="1662" spans="1:19" ht="16.5" x14ac:dyDescent="0.3">
      <c r="A1662" t="s">
        <v>1720</v>
      </c>
      <c r="B1662" s="1">
        <v>45517</v>
      </c>
      <c r="C1662" s="1">
        <v>45520</v>
      </c>
      <c r="D1662">
        <v>2024</v>
      </c>
      <c r="E1662" t="s">
        <v>1445</v>
      </c>
      <c r="F1662" t="s">
        <v>1651</v>
      </c>
      <c r="G1662" t="s">
        <v>56</v>
      </c>
      <c r="H1662" t="s">
        <v>30</v>
      </c>
      <c r="I1662" t="s">
        <v>40</v>
      </c>
      <c r="J1662" t="s">
        <v>43</v>
      </c>
      <c r="K1662" t="s">
        <v>32</v>
      </c>
      <c r="L1662" t="s">
        <v>44</v>
      </c>
      <c r="M1662">
        <v>3</v>
      </c>
      <c r="N1662" s="2"/>
      <c r="O1662" s="3">
        <v>4795</v>
      </c>
      <c r="P1662">
        <v>0</v>
      </c>
      <c r="Q1662">
        <v>4</v>
      </c>
      <c r="R1662" t="s">
        <v>33</v>
      </c>
      <c r="S1662">
        <v>1</v>
      </c>
    </row>
    <row r="1663" spans="1:19" ht="16.5" x14ac:dyDescent="0.3">
      <c r="A1663" t="s">
        <v>1721</v>
      </c>
      <c r="B1663" s="1">
        <v>45517</v>
      </c>
      <c r="C1663" s="1">
        <v>45523</v>
      </c>
      <c r="D1663">
        <v>2024</v>
      </c>
      <c r="E1663" t="s">
        <v>1445</v>
      </c>
      <c r="F1663" t="s">
        <v>1651</v>
      </c>
      <c r="G1663" t="s">
        <v>56</v>
      </c>
      <c r="H1663" t="s">
        <v>30</v>
      </c>
      <c r="I1663" t="s">
        <v>24</v>
      </c>
      <c r="J1663" t="s">
        <v>25</v>
      </c>
      <c r="K1663" t="s">
        <v>32</v>
      </c>
      <c r="L1663" t="s">
        <v>44</v>
      </c>
      <c r="M1663">
        <v>6</v>
      </c>
      <c r="N1663" s="2">
        <v>47</v>
      </c>
      <c r="O1663" s="3">
        <v>6038</v>
      </c>
      <c r="P1663">
        <v>1</v>
      </c>
      <c r="Q1663">
        <v>5</v>
      </c>
      <c r="R1663" t="s">
        <v>33</v>
      </c>
      <c r="S1663">
        <v>1</v>
      </c>
    </row>
    <row r="1664" spans="1:19" ht="16.5" x14ac:dyDescent="0.3">
      <c r="A1664" t="s">
        <v>1722</v>
      </c>
      <c r="B1664" s="1">
        <v>45517</v>
      </c>
      <c r="C1664" s="1">
        <v>45519</v>
      </c>
      <c r="D1664">
        <v>2024</v>
      </c>
      <c r="E1664" t="s">
        <v>1445</v>
      </c>
      <c r="F1664" t="s">
        <v>1651</v>
      </c>
      <c r="G1664" t="s">
        <v>56</v>
      </c>
      <c r="H1664" t="s">
        <v>52</v>
      </c>
      <c r="I1664" t="s">
        <v>40</v>
      </c>
      <c r="J1664" t="s">
        <v>43</v>
      </c>
      <c r="K1664" t="s">
        <v>53</v>
      </c>
      <c r="L1664" t="s">
        <v>27</v>
      </c>
      <c r="M1664">
        <v>2</v>
      </c>
      <c r="N1664" s="2"/>
      <c r="O1664" s="3">
        <v>2871</v>
      </c>
      <c r="P1664">
        <v>0</v>
      </c>
      <c r="Q1664">
        <v>3</v>
      </c>
      <c r="R1664" t="s">
        <v>33</v>
      </c>
      <c r="S1664">
        <v>1</v>
      </c>
    </row>
    <row r="1665" spans="1:19" ht="16.5" x14ac:dyDescent="0.3">
      <c r="A1665" t="s">
        <v>1723</v>
      </c>
      <c r="B1665" s="1">
        <v>45517</v>
      </c>
      <c r="C1665" s="1">
        <v>45532</v>
      </c>
      <c r="D1665">
        <v>2024</v>
      </c>
      <c r="E1665" t="s">
        <v>1445</v>
      </c>
      <c r="F1665" t="s">
        <v>1651</v>
      </c>
      <c r="G1665" t="s">
        <v>56</v>
      </c>
      <c r="H1665" t="s">
        <v>23</v>
      </c>
      <c r="I1665" t="s">
        <v>24</v>
      </c>
      <c r="J1665" t="s">
        <v>43</v>
      </c>
      <c r="K1665" t="s">
        <v>36</v>
      </c>
      <c r="L1665" t="s">
        <v>27</v>
      </c>
      <c r="M1665">
        <v>15</v>
      </c>
      <c r="N1665" s="2">
        <v>58</v>
      </c>
      <c r="O1665" s="3">
        <v>9700</v>
      </c>
      <c r="P1665">
        <v>0</v>
      </c>
      <c r="Q1665">
        <v>4</v>
      </c>
      <c r="R1665" t="s">
        <v>33</v>
      </c>
      <c r="S1665">
        <v>1</v>
      </c>
    </row>
    <row r="1666" spans="1:19" ht="16.5" x14ac:dyDescent="0.3">
      <c r="A1666" t="s">
        <v>1724</v>
      </c>
      <c r="B1666" s="1">
        <v>45518</v>
      </c>
      <c r="C1666" s="1">
        <v>45521</v>
      </c>
      <c r="D1666">
        <v>2024</v>
      </c>
      <c r="E1666" t="s">
        <v>1445</v>
      </c>
      <c r="F1666" t="s">
        <v>1651</v>
      </c>
      <c r="G1666" t="s">
        <v>70</v>
      </c>
      <c r="H1666" t="s">
        <v>30</v>
      </c>
      <c r="I1666" t="s">
        <v>40</v>
      </c>
      <c r="J1666" t="s">
        <v>25</v>
      </c>
      <c r="K1666" t="s">
        <v>53</v>
      </c>
      <c r="L1666" t="s">
        <v>44</v>
      </c>
      <c r="M1666">
        <v>3</v>
      </c>
      <c r="N1666" s="2"/>
      <c r="O1666" s="3">
        <v>4691</v>
      </c>
      <c r="P1666">
        <v>0</v>
      </c>
      <c r="Q1666">
        <v>3</v>
      </c>
      <c r="R1666" t="s">
        <v>33</v>
      </c>
      <c r="S1666">
        <v>1</v>
      </c>
    </row>
    <row r="1667" spans="1:19" ht="16.5" x14ac:dyDescent="0.3">
      <c r="A1667" t="s">
        <v>1725</v>
      </c>
      <c r="B1667" s="1">
        <v>45518</v>
      </c>
      <c r="C1667" s="1">
        <v>45521</v>
      </c>
      <c r="D1667">
        <v>2024</v>
      </c>
      <c r="E1667" t="s">
        <v>1445</v>
      </c>
      <c r="F1667" t="s">
        <v>1651</v>
      </c>
      <c r="G1667" t="s">
        <v>70</v>
      </c>
      <c r="H1667" t="s">
        <v>23</v>
      </c>
      <c r="I1667" t="s">
        <v>24</v>
      </c>
      <c r="J1667" t="s">
        <v>25</v>
      </c>
      <c r="K1667" t="s">
        <v>26</v>
      </c>
      <c r="L1667" t="s">
        <v>27</v>
      </c>
      <c r="M1667">
        <v>3</v>
      </c>
      <c r="N1667" s="2">
        <v>60</v>
      </c>
      <c r="O1667" s="3">
        <v>2721</v>
      </c>
      <c r="P1667">
        <v>0</v>
      </c>
      <c r="Q1667">
        <v>3</v>
      </c>
      <c r="R1667" t="s">
        <v>33</v>
      </c>
      <c r="S1667">
        <v>1</v>
      </c>
    </row>
    <row r="1668" spans="1:19" ht="16.5" x14ac:dyDescent="0.3">
      <c r="A1668" t="s">
        <v>1726</v>
      </c>
      <c r="B1668" s="1">
        <v>45518</v>
      </c>
      <c r="C1668" s="1">
        <v>45524</v>
      </c>
      <c r="D1668">
        <v>2024</v>
      </c>
      <c r="E1668" t="s">
        <v>1445</v>
      </c>
      <c r="F1668" t="s">
        <v>1651</v>
      </c>
      <c r="G1668" t="s">
        <v>70</v>
      </c>
      <c r="H1668" t="s">
        <v>39</v>
      </c>
      <c r="I1668" t="s">
        <v>24</v>
      </c>
      <c r="J1668" t="s">
        <v>25</v>
      </c>
      <c r="K1668" t="s">
        <v>41</v>
      </c>
      <c r="L1668" t="s">
        <v>44</v>
      </c>
      <c r="M1668">
        <v>6</v>
      </c>
      <c r="N1668" s="2">
        <v>75</v>
      </c>
      <c r="O1668" s="3">
        <v>4894</v>
      </c>
      <c r="P1668">
        <v>0</v>
      </c>
      <c r="Q1668">
        <v>5</v>
      </c>
      <c r="R1668" t="s">
        <v>33</v>
      </c>
      <c r="S1668">
        <v>1</v>
      </c>
    </row>
    <row r="1669" spans="1:19" ht="16.5" x14ac:dyDescent="0.3">
      <c r="A1669" t="s">
        <v>1727</v>
      </c>
      <c r="B1669" s="1">
        <v>45518</v>
      </c>
      <c r="C1669" s="1">
        <v>45523</v>
      </c>
      <c r="D1669">
        <v>2024</v>
      </c>
      <c r="E1669" t="s">
        <v>1445</v>
      </c>
      <c r="F1669" t="s">
        <v>1651</v>
      </c>
      <c r="G1669" t="s">
        <v>70</v>
      </c>
      <c r="H1669" t="s">
        <v>52</v>
      </c>
      <c r="I1669" t="s">
        <v>40</v>
      </c>
      <c r="J1669" t="s">
        <v>25</v>
      </c>
      <c r="K1669" t="s">
        <v>36</v>
      </c>
      <c r="L1669" t="s">
        <v>44</v>
      </c>
      <c r="M1669">
        <v>5</v>
      </c>
      <c r="N1669" s="2"/>
      <c r="O1669" s="3">
        <v>5786</v>
      </c>
      <c r="P1669">
        <v>1</v>
      </c>
      <c r="Q1669">
        <v>3</v>
      </c>
      <c r="R1669" t="s">
        <v>33</v>
      </c>
      <c r="S1669">
        <v>1</v>
      </c>
    </row>
    <row r="1670" spans="1:19" ht="16.5" x14ac:dyDescent="0.3">
      <c r="A1670" t="s">
        <v>1728</v>
      </c>
      <c r="B1670" s="1">
        <v>45518</v>
      </c>
      <c r="C1670" s="1">
        <v>45529</v>
      </c>
      <c r="D1670">
        <v>2024</v>
      </c>
      <c r="E1670" t="s">
        <v>1445</v>
      </c>
      <c r="F1670" t="s">
        <v>1651</v>
      </c>
      <c r="G1670" t="s">
        <v>70</v>
      </c>
      <c r="H1670" t="s">
        <v>23</v>
      </c>
      <c r="I1670" t="s">
        <v>24</v>
      </c>
      <c r="J1670" t="s">
        <v>43</v>
      </c>
      <c r="K1670" t="s">
        <v>26</v>
      </c>
      <c r="L1670" t="s">
        <v>44</v>
      </c>
      <c r="M1670">
        <v>11</v>
      </c>
      <c r="N1670" s="2">
        <v>40</v>
      </c>
      <c r="O1670" s="3">
        <v>8674</v>
      </c>
      <c r="P1670">
        <v>0</v>
      </c>
      <c r="Q1670">
        <v>5</v>
      </c>
      <c r="R1670" t="s">
        <v>28</v>
      </c>
      <c r="S1670">
        <v>1</v>
      </c>
    </row>
    <row r="1671" spans="1:19" ht="16.5" x14ac:dyDescent="0.3">
      <c r="A1671" t="s">
        <v>1729</v>
      </c>
      <c r="B1671" s="1">
        <v>45518</v>
      </c>
      <c r="C1671" s="1">
        <v>45525</v>
      </c>
      <c r="D1671">
        <v>2024</v>
      </c>
      <c r="E1671" t="s">
        <v>1445</v>
      </c>
      <c r="F1671" t="s">
        <v>1651</v>
      </c>
      <c r="G1671" t="s">
        <v>70</v>
      </c>
      <c r="H1671" t="s">
        <v>50</v>
      </c>
      <c r="I1671" t="s">
        <v>31</v>
      </c>
      <c r="J1671" t="s">
        <v>43</v>
      </c>
      <c r="K1671" t="s">
        <v>26</v>
      </c>
      <c r="L1671" t="s">
        <v>44</v>
      </c>
      <c r="M1671">
        <v>7</v>
      </c>
      <c r="N1671" s="2"/>
      <c r="O1671" s="3">
        <v>9273</v>
      </c>
      <c r="P1671">
        <v>1</v>
      </c>
      <c r="Q1671">
        <v>3</v>
      </c>
      <c r="R1671" t="s">
        <v>33</v>
      </c>
      <c r="S1671">
        <v>1</v>
      </c>
    </row>
    <row r="1672" spans="1:19" ht="16.5" x14ac:dyDescent="0.3">
      <c r="A1672" t="s">
        <v>1730</v>
      </c>
      <c r="B1672" s="1">
        <v>45519</v>
      </c>
      <c r="C1672" s="1">
        <v>45522</v>
      </c>
      <c r="D1672">
        <v>2024</v>
      </c>
      <c r="E1672" t="s">
        <v>1445</v>
      </c>
      <c r="F1672" t="s">
        <v>1651</v>
      </c>
      <c r="G1672" t="s">
        <v>78</v>
      </c>
      <c r="H1672" t="s">
        <v>39</v>
      </c>
      <c r="I1672" t="s">
        <v>24</v>
      </c>
      <c r="J1672" t="s">
        <v>25</v>
      </c>
      <c r="K1672" t="s">
        <v>41</v>
      </c>
      <c r="L1672" t="s">
        <v>27</v>
      </c>
      <c r="M1672">
        <v>3</v>
      </c>
      <c r="N1672" s="2">
        <v>102</v>
      </c>
      <c r="O1672" s="3">
        <v>2555</v>
      </c>
      <c r="P1672">
        <v>0</v>
      </c>
      <c r="Q1672">
        <v>4</v>
      </c>
      <c r="R1672" t="s">
        <v>33</v>
      </c>
      <c r="S1672">
        <v>1</v>
      </c>
    </row>
    <row r="1673" spans="1:19" ht="16.5" x14ac:dyDescent="0.3">
      <c r="A1673" t="s">
        <v>1731</v>
      </c>
      <c r="B1673" s="1">
        <v>45519</v>
      </c>
      <c r="C1673" s="1">
        <v>45524</v>
      </c>
      <c r="D1673">
        <v>2024</v>
      </c>
      <c r="E1673" t="s">
        <v>1445</v>
      </c>
      <c r="F1673" t="s">
        <v>1651</v>
      </c>
      <c r="G1673" t="s">
        <v>78</v>
      </c>
      <c r="H1673" t="s">
        <v>35</v>
      </c>
      <c r="I1673" t="s">
        <v>24</v>
      </c>
      <c r="J1673" t="s">
        <v>25</v>
      </c>
      <c r="K1673" t="s">
        <v>36</v>
      </c>
      <c r="L1673" t="s">
        <v>37</v>
      </c>
      <c r="M1673">
        <v>5</v>
      </c>
      <c r="N1673" s="2">
        <v>79</v>
      </c>
      <c r="O1673" s="3">
        <v>2795</v>
      </c>
      <c r="P1673">
        <v>1</v>
      </c>
      <c r="Q1673">
        <v>3</v>
      </c>
      <c r="R1673" t="s">
        <v>33</v>
      </c>
      <c r="S1673">
        <v>1</v>
      </c>
    </row>
    <row r="1674" spans="1:19" ht="16.5" x14ac:dyDescent="0.3">
      <c r="A1674" t="s">
        <v>1732</v>
      </c>
      <c r="B1674" s="1">
        <v>45519</v>
      </c>
      <c r="C1674" s="1">
        <v>45522</v>
      </c>
      <c r="D1674">
        <v>2024</v>
      </c>
      <c r="E1674" t="s">
        <v>1445</v>
      </c>
      <c r="F1674" t="s">
        <v>1651</v>
      </c>
      <c r="G1674" t="s">
        <v>78</v>
      </c>
      <c r="H1674" t="s">
        <v>30</v>
      </c>
      <c r="I1674" t="s">
        <v>40</v>
      </c>
      <c r="J1674" t="s">
        <v>43</v>
      </c>
      <c r="K1674" t="s">
        <v>32</v>
      </c>
      <c r="L1674" t="s">
        <v>27</v>
      </c>
      <c r="M1674">
        <v>3</v>
      </c>
      <c r="N1674" s="2"/>
      <c r="O1674" s="3">
        <v>3123</v>
      </c>
      <c r="P1674">
        <v>0</v>
      </c>
      <c r="Q1674">
        <v>5</v>
      </c>
      <c r="R1674" t="s">
        <v>28</v>
      </c>
      <c r="S1674">
        <v>1</v>
      </c>
    </row>
    <row r="1675" spans="1:19" ht="16.5" x14ac:dyDescent="0.3">
      <c r="A1675" t="s">
        <v>1733</v>
      </c>
      <c r="B1675" s="1">
        <v>45519</v>
      </c>
      <c r="C1675" s="1">
        <v>45520</v>
      </c>
      <c r="D1675">
        <v>2024</v>
      </c>
      <c r="E1675" t="s">
        <v>1445</v>
      </c>
      <c r="F1675" t="s">
        <v>1651</v>
      </c>
      <c r="G1675" t="s">
        <v>78</v>
      </c>
      <c r="H1675" t="s">
        <v>35</v>
      </c>
      <c r="I1675" t="s">
        <v>24</v>
      </c>
      <c r="J1675" t="s">
        <v>25</v>
      </c>
      <c r="K1675" t="s">
        <v>36</v>
      </c>
      <c r="L1675" t="s">
        <v>44</v>
      </c>
      <c r="M1675">
        <v>1</v>
      </c>
      <c r="N1675" s="2">
        <v>136</v>
      </c>
      <c r="O1675" s="3">
        <v>1292</v>
      </c>
      <c r="P1675">
        <v>0</v>
      </c>
      <c r="Q1675">
        <v>3</v>
      </c>
      <c r="R1675" t="s">
        <v>59</v>
      </c>
      <c r="S1675">
        <v>1</v>
      </c>
    </row>
    <row r="1676" spans="1:19" ht="16.5" x14ac:dyDescent="0.3">
      <c r="A1676" t="s">
        <v>1734</v>
      </c>
      <c r="B1676" s="1">
        <v>45520</v>
      </c>
      <c r="C1676" s="1">
        <v>45525</v>
      </c>
      <c r="D1676">
        <v>2024</v>
      </c>
      <c r="E1676" t="s">
        <v>1445</v>
      </c>
      <c r="F1676" t="s">
        <v>1651</v>
      </c>
      <c r="G1676" t="s">
        <v>83</v>
      </c>
      <c r="H1676" t="s">
        <v>23</v>
      </c>
      <c r="I1676" t="s">
        <v>24</v>
      </c>
      <c r="J1676" t="s">
        <v>43</v>
      </c>
      <c r="K1676" t="s">
        <v>26</v>
      </c>
      <c r="L1676" t="s">
        <v>27</v>
      </c>
      <c r="M1676">
        <v>5</v>
      </c>
      <c r="N1676" s="2">
        <v>117</v>
      </c>
      <c r="O1676" s="3">
        <v>5336</v>
      </c>
      <c r="P1676">
        <v>0</v>
      </c>
      <c r="Q1676">
        <v>4</v>
      </c>
      <c r="R1676" t="s">
        <v>28</v>
      </c>
      <c r="S1676">
        <v>1</v>
      </c>
    </row>
    <row r="1677" spans="1:19" ht="16.5" x14ac:dyDescent="0.3">
      <c r="A1677" t="s">
        <v>1735</v>
      </c>
      <c r="B1677" s="1">
        <v>45520</v>
      </c>
      <c r="C1677" s="1">
        <v>45527</v>
      </c>
      <c r="D1677">
        <v>2024</v>
      </c>
      <c r="E1677" t="s">
        <v>1445</v>
      </c>
      <c r="F1677" t="s">
        <v>1651</v>
      </c>
      <c r="G1677" t="s">
        <v>83</v>
      </c>
      <c r="H1677" t="s">
        <v>23</v>
      </c>
      <c r="I1677" t="s">
        <v>24</v>
      </c>
      <c r="J1677" t="s">
        <v>43</v>
      </c>
      <c r="K1677" t="s">
        <v>26</v>
      </c>
      <c r="L1677" t="s">
        <v>27</v>
      </c>
      <c r="M1677">
        <v>7</v>
      </c>
      <c r="N1677" s="2">
        <v>24</v>
      </c>
      <c r="O1677" s="3">
        <v>5267</v>
      </c>
      <c r="P1677">
        <v>0</v>
      </c>
      <c r="Q1677">
        <v>5</v>
      </c>
      <c r="R1677" t="s">
        <v>33</v>
      </c>
      <c r="S1677">
        <v>1</v>
      </c>
    </row>
    <row r="1678" spans="1:19" ht="16.5" x14ac:dyDescent="0.3">
      <c r="A1678" t="s">
        <v>1736</v>
      </c>
      <c r="B1678" s="1">
        <v>45520</v>
      </c>
      <c r="C1678" s="1">
        <v>45527</v>
      </c>
      <c r="D1678">
        <v>2024</v>
      </c>
      <c r="E1678" t="s">
        <v>1445</v>
      </c>
      <c r="F1678" t="s">
        <v>1651</v>
      </c>
      <c r="G1678" t="s">
        <v>83</v>
      </c>
      <c r="H1678" t="s">
        <v>50</v>
      </c>
      <c r="I1678" t="s">
        <v>24</v>
      </c>
      <c r="J1678" t="s">
        <v>25</v>
      </c>
      <c r="K1678" t="s">
        <v>26</v>
      </c>
      <c r="L1678" t="s">
        <v>37</v>
      </c>
      <c r="M1678">
        <v>7</v>
      </c>
      <c r="N1678" s="2">
        <v>182</v>
      </c>
      <c r="O1678" s="3">
        <v>12289</v>
      </c>
      <c r="P1678">
        <v>1</v>
      </c>
      <c r="Q1678">
        <v>4</v>
      </c>
      <c r="R1678" t="s">
        <v>28</v>
      </c>
      <c r="S1678">
        <v>1</v>
      </c>
    </row>
    <row r="1679" spans="1:19" ht="16.5" x14ac:dyDescent="0.3">
      <c r="A1679" t="s">
        <v>1737</v>
      </c>
      <c r="B1679" s="1">
        <v>45520</v>
      </c>
      <c r="C1679" s="1">
        <v>45522</v>
      </c>
      <c r="D1679">
        <v>2024</v>
      </c>
      <c r="E1679" t="s">
        <v>1445</v>
      </c>
      <c r="F1679" t="s">
        <v>1651</v>
      </c>
      <c r="G1679" t="s">
        <v>83</v>
      </c>
      <c r="H1679" t="s">
        <v>35</v>
      </c>
      <c r="I1679" t="s">
        <v>24</v>
      </c>
      <c r="J1679" t="s">
        <v>25</v>
      </c>
      <c r="K1679" t="s">
        <v>36</v>
      </c>
      <c r="L1679" t="s">
        <v>44</v>
      </c>
      <c r="M1679">
        <v>2</v>
      </c>
      <c r="N1679" s="2">
        <v>113</v>
      </c>
      <c r="O1679" s="3">
        <v>2165</v>
      </c>
      <c r="P1679">
        <v>1</v>
      </c>
      <c r="Q1679">
        <v>3</v>
      </c>
      <c r="R1679" t="s">
        <v>33</v>
      </c>
      <c r="S1679">
        <v>1</v>
      </c>
    </row>
    <row r="1680" spans="1:19" ht="16.5" x14ac:dyDescent="0.3">
      <c r="A1680" t="s">
        <v>1738</v>
      </c>
      <c r="B1680" s="1">
        <v>45520</v>
      </c>
      <c r="C1680" s="1">
        <v>45525</v>
      </c>
      <c r="D1680">
        <v>2024</v>
      </c>
      <c r="E1680" t="s">
        <v>1445</v>
      </c>
      <c r="F1680" t="s">
        <v>1651</v>
      </c>
      <c r="G1680" t="s">
        <v>83</v>
      </c>
      <c r="H1680" t="s">
        <v>39</v>
      </c>
      <c r="I1680" t="s">
        <v>24</v>
      </c>
      <c r="J1680" t="s">
        <v>43</v>
      </c>
      <c r="K1680" t="s">
        <v>41</v>
      </c>
      <c r="L1680" t="s">
        <v>44</v>
      </c>
      <c r="M1680">
        <v>5</v>
      </c>
      <c r="N1680" s="2">
        <v>81</v>
      </c>
      <c r="O1680" s="3">
        <v>3588</v>
      </c>
      <c r="P1680">
        <v>0</v>
      </c>
      <c r="Q1680">
        <v>5</v>
      </c>
      <c r="R1680" t="s">
        <v>33</v>
      </c>
      <c r="S1680">
        <v>1</v>
      </c>
    </row>
    <row r="1681" spans="1:19" ht="16.5" x14ac:dyDescent="0.3">
      <c r="A1681" t="s">
        <v>1739</v>
      </c>
      <c r="B1681" s="1">
        <v>45521</v>
      </c>
      <c r="C1681" s="1">
        <v>45523</v>
      </c>
      <c r="D1681">
        <v>2024</v>
      </c>
      <c r="E1681" t="s">
        <v>1445</v>
      </c>
      <c r="F1681" t="s">
        <v>1651</v>
      </c>
      <c r="G1681" t="s">
        <v>102</v>
      </c>
      <c r="H1681" t="s">
        <v>35</v>
      </c>
      <c r="I1681" t="s">
        <v>24</v>
      </c>
      <c r="J1681" t="s">
        <v>25</v>
      </c>
      <c r="K1681" t="s">
        <v>32</v>
      </c>
      <c r="L1681" t="s">
        <v>44</v>
      </c>
      <c r="M1681">
        <v>2</v>
      </c>
      <c r="N1681" s="2">
        <v>46</v>
      </c>
      <c r="O1681" s="3">
        <v>1708</v>
      </c>
      <c r="P1681">
        <v>0</v>
      </c>
      <c r="Q1681">
        <v>4</v>
      </c>
      <c r="R1681" t="s">
        <v>28</v>
      </c>
      <c r="S1681">
        <v>1</v>
      </c>
    </row>
    <row r="1682" spans="1:19" ht="16.5" x14ac:dyDescent="0.3">
      <c r="A1682" t="s">
        <v>1740</v>
      </c>
      <c r="B1682" s="1">
        <v>45521</v>
      </c>
      <c r="C1682" s="1">
        <v>45534</v>
      </c>
      <c r="D1682">
        <v>2024</v>
      </c>
      <c r="E1682" t="s">
        <v>1445</v>
      </c>
      <c r="F1682" t="s">
        <v>1651</v>
      </c>
      <c r="G1682" t="s">
        <v>102</v>
      </c>
      <c r="H1682" t="s">
        <v>23</v>
      </c>
      <c r="I1682" t="s">
        <v>24</v>
      </c>
      <c r="J1682" t="s">
        <v>25</v>
      </c>
      <c r="K1682" t="s">
        <v>36</v>
      </c>
      <c r="L1682" t="s">
        <v>44</v>
      </c>
      <c r="M1682">
        <v>13</v>
      </c>
      <c r="N1682" s="2">
        <v>60</v>
      </c>
      <c r="O1682" s="3">
        <v>8907</v>
      </c>
      <c r="P1682">
        <v>0</v>
      </c>
      <c r="Q1682">
        <v>3</v>
      </c>
      <c r="R1682" t="s">
        <v>28</v>
      </c>
      <c r="S1682">
        <v>1</v>
      </c>
    </row>
    <row r="1683" spans="1:19" ht="16.5" x14ac:dyDescent="0.3">
      <c r="A1683" t="s">
        <v>1741</v>
      </c>
      <c r="B1683" s="1">
        <v>45521</v>
      </c>
      <c r="C1683" s="1">
        <v>45522</v>
      </c>
      <c r="D1683">
        <v>2024</v>
      </c>
      <c r="E1683" t="s">
        <v>1445</v>
      </c>
      <c r="F1683" t="s">
        <v>1651</v>
      </c>
      <c r="G1683" t="s">
        <v>102</v>
      </c>
      <c r="H1683" t="s">
        <v>39</v>
      </c>
      <c r="I1683" t="s">
        <v>24</v>
      </c>
      <c r="J1683" t="s">
        <v>43</v>
      </c>
      <c r="K1683" t="s">
        <v>41</v>
      </c>
      <c r="L1683" t="s">
        <v>27</v>
      </c>
      <c r="M1683">
        <v>1</v>
      </c>
      <c r="N1683" s="2">
        <v>62</v>
      </c>
      <c r="O1683" s="3">
        <v>1325</v>
      </c>
      <c r="P1683">
        <v>0</v>
      </c>
      <c r="Q1683">
        <v>5</v>
      </c>
      <c r="R1683" t="s">
        <v>33</v>
      </c>
      <c r="S1683">
        <v>1</v>
      </c>
    </row>
    <row r="1684" spans="1:19" ht="16.5" x14ac:dyDescent="0.3">
      <c r="A1684" t="s">
        <v>1742</v>
      </c>
      <c r="B1684" s="1">
        <v>45522</v>
      </c>
      <c r="C1684" s="1">
        <v>45525</v>
      </c>
      <c r="D1684">
        <v>2024</v>
      </c>
      <c r="E1684" t="s">
        <v>1445</v>
      </c>
      <c r="F1684" t="s">
        <v>1651</v>
      </c>
      <c r="G1684" t="s">
        <v>112</v>
      </c>
      <c r="H1684" t="s">
        <v>35</v>
      </c>
      <c r="I1684" t="s">
        <v>40</v>
      </c>
      <c r="J1684" t="s">
        <v>25</v>
      </c>
      <c r="K1684" t="s">
        <v>32</v>
      </c>
      <c r="L1684" t="s">
        <v>27</v>
      </c>
      <c r="M1684">
        <v>3</v>
      </c>
      <c r="N1684" s="2"/>
      <c r="O1684" s="3">
        <v>2482</v>
      </c>
      <c r="P1684">
        <v>0</v>
      </c>
      <c r="Q1684">
        <v>5</v>
      </c>
      <c r="R1684" t="s">
        <v>33</v>
      </c>
      <c r="S1684">
        <v>1</v>
      </c>
    </row>
    <row r="1685" spans="1:19" ht="16.5" x14ac:dyDescent="0.3">
      <c r="A1685" t="s">
        <v>1743</v>
      </c>
      <c r="B1685" s="1">
        <v>45522</v>
      </c>
      <c r="C1685" s="1">
        <v>45527</v>
      </c>
      <c r="D1685">
        <v>2024</v>
      </c>
      <c r="E1685" t="s">
        <v>1445</v>
      </c>
      <c r="F1685" t="s">
        <v>1651</v>
      </c>
      <c r="G1685" t="s">
        <v>112</v>
      </c>
      <c r="H1685" t="s">
        <v>23</v>
      </c>
      <c r="I1685" t="s">
        <v>24</v>
      </c>
      <c r="J1685" t="s">
        <v>25</v>
      </c>
      <c r="K1685" t="s">
        <v>53</v>
      </c>
      <c r="L1685" t="s">
        <v>27</v>
      </c>
      <c r="M1685">
        <v>5</v>
      </c>
      <c r="N1685" s="2">
        <v>46</v>
      </c>
      <c r="O1685" s="3">
        <v>3034</v>
      </c>
      <c r="P1685">
        <v>0</v>
      </c>
      <c r="Q1685">
        <v>4</v>
      </c>
      <c r="R1685" t="s">
        <v>28</v>
      </c>
      <c r="S1685">
        <v>1</v>
      </c>
    </row>
    <row r="1686" spans="1:19" ht="16.5" x14ac:dyDescent="0.3">
      <c r="A1686" t="s">
        <v>1744</v>
      </c>
      <c r="B1686" s="1">
        <v>45522</v>
      </c>
      <c r="C1686" s="1">
        <v>45527</v>
      </c>
      <c r="D1686">
        <v>2024</v>
      </c>
      <c r="E1686" t="s">
        <v>1445</v>
      </c>
      <c r="F1686" t="s">
        <v>1651</v>
      </c>
      <c r="G1686" t="s">
        <v>112</v>
      </c>
      <c r="H1686" t="s">
        <v>23</v>
      </c>
      <c r="I1686" t="s">
        <v>24</v>
      </c>
      <c r="J1686" t="s">
        <v>25</v>
      </c>
      <c r="K1686" t="s">
        <v>32</v>
      </c>
      <c r="L1686" t="s">
        <v>44</v>
      </c>
      <c r="M1686">
        <v>5</v>
      </c>
      <c r="N1686" s="2">
        <v>25</v>
      </c>
      <c r="O1686" s="3">
        <v>4347</v>
      </c>
      <c r="P1686">
        <v>0</v>
      </c>
      <c r="Q1686">
        <v>4</v>
      </c>
      <c r="R1686" t="s">
        <v>28</v>
      </c>
      <c r="S1686">
        <v>1</v>
      </c>
    </row>
    <row r="1687" spans="1:19" ht="16.5" x14ac:dyDescent="0.3">
      <c r="A1687" t="s">
        <v>1745</v>
      </c>
      <c r="B1687" s="1">
        <v>45523</v>
      </c>
      <c r="C1687" s="1">
        <v>45524</v>
      </c>
      <c r="D1687">
        <v>2024</v>
      </c>
      <c r="E1687" t="s">
        <v>1445</v>
      </c>
      <c r="F1687" t="s">
        <v>1651</v>
      </c>
      <c r="G1687" t="s">
        <v>22</v>
      </c>
      <c r="H1687" t="s">
        <v>23</v>
      </c>
      <c r="I1687" t="s">
        <v>24</v>
      </c>
      <c r="J1687" t="s">
        <v>43</v>
      </c>
      <c r="K1687" t="s">
        <v>26</v>
      </c>
      <c r="L1687" t="s">
        <v>44</v>
      </c>
      <c r="M1687">
        <v>1</v>
      </c>
      <c r="N1687" s="2">
        <v>12</v>
      </c>
      <c r="O1687" s="3">
        <v>1662</v>
      </c>
      <c r="P1687">
        <v>0</v>
      </c>
      <c r="Q1687">
        <v>4</v>
      </c>
      <c r="R1687" t="s">
        <v>33</v>
      </c>
      <c r="S1687">
        <v>1</v>
      </c>
    </row>
    <row r="1688" spans="1:19" ht="16.5" x14ac:dyDescent="0.3">
      <c r="A1688" t="s">
        <v>1746</v>
      </c>
      <c r="B1688" s="1">
        <v>45523</v>
      </c>
      <c r="C1688" s="1">
        <v>45528</v>
      </c>
      <c r="D1688">
        <v>2024</v>
      </c>
      <c r="E1688" t="s">
        <v>1445</v>
      </c>
      <c r="F1688" t="s">
        <v>1651</v>
      </c>
      <c r="G1688" t="s">
        <v>22</v>
      </c>
      <c r="H1688" t="s">
        <v>23</v>
      </c>
      <c r="I1688" t="s">
        <v>40</v>
      </c>
      <c r="J1688" t="s">
        <v>43</v>
      </c>
      <c r="K1688" t="s">
        <v>53</v>
      </c>
      <c r="L1688" t="s">
        <v>27</v>
      </c>
      <c r="M1688">
        <v>5</v>
      </c>
      <c r="N1688" s="2"/>
      <c r="O1688" s="3">
        <v>4063</v>
      </c>
      <c r="P1688">
        <v>0</v>
      </c>
      <c r="Q1688">
        <v>4</v>
      </c>
      <c r="R1688" t="s">
        <v>33</v>
      </c>
      <c r="S1688">
        <v>1</v>
      </c>
    </row>
    <row r="1689" spans="1:19" ht="16.5" x14ac:dyDescent="0.3">
      <c r="A1689" t="s">
        <v>1747</v>
      </c>
      <c r="B1689" s="1">
        <v>45523</v>
      </c>
      <c r="C1689" s="1">
        <v>45525</v>
      </c>
      <c r="D1689">
        <v>2024</v>
      </c>
      <c r="E1689" t="s">
        <v>1445</v>
      </c>
      <c r="F1689" t="s">
        <v>1651</v>
      </c>
      <c r="G1689" t="s">
        <v>22</v>
      </c>
      <c r="H1689" t="s">
        <v>35</v>
      </c>
      <c r="I1689" t="s">
        <v>40</v>
      </c>
      <c r="J1689" t="s">
        <v>25</v>
      </c>
      <c r="K1689" t="s">
        <v>32</v>
      </c>
      <c r="L1689" t="s">
        <v>37</v>
      </c>
      <c r="M1689">
        <v>2</v>
      </c>
      <c r="N1689" s="2"/>
      <c r="O1689" s="3">
        <v>1942</v>
      </c>
      <c r="P1689">
        <v>0</v>
      </c>
      <c r="Q1689">
        <v>4</v>
      </c>
      <c r="R1689" t="s">
        <v>33</v>
      </c>
      <c r="S1689">
        <v>1</v>
      </c>
    </row>
    <row r="1690" spans="1:19" ht="16.5" x14ac:dyDescent="0.3">
      <c r="A1690" t="s">
        <v>1748</v>
      </c>
      <c r="B1690" s="1">
        <v>45523</v>
      </c>
      <c r="C1690" s="1">
        <v>45531</v>
      </c>
      <c r="D1690">
        <v>2024</v>
      </c>
      <c r="E1690" t="s">
        <v>1445</v>
      </c>
      <c r="F1690" t="s">
        <v>1651</v>
      </c>
      <c r="G1690" t="s">
        <v>22</v>
      </c>
      <c r="H1690" t="s">
        <v>39</v>
      </c>
      <c r="I1690" t="s">
        <v>24</v>
      </c>
      <c r="J1690" t="s">
        <v>25</v>
      </c>
      <c r="K1690" t="s">
        <v>41</v>
      </c>
      <c r="L1690" t="s">
        <v>44</v>
      </c>
      <c r="M1690">
        <v>8</v>
      </c>
      <c r="N1690" s="2">
        <v>27</v>
      </c>
      <c r="O1690" s="3">
        <v>6053</v>
      </c>
      <c r="P1690">
        <v>0</v>
      </c>
      <c r="Q1690">
        <v>3</v>
      </c>
      <c r="R1690" t="s">
        <v>33</v>
      </c>
      <c r="S1690">
        <v>1</v>
      </c>
    </row>
    <row r="1691" spans="1:19" ht="16.5" x14ac:dyDescent="0.3">
      <c r="A1691" t="s">
        <v>1749</v>
      </c>
      <c r="B1691" s="1">
        <v>45523</v>
      </c>
      <c r="C1691" s="1">
        <v>45526</v>
      </c>
      <c r="D1691">
        <v>2024</v>
      </c>
      <c r="E1691" t="s">
        <v>1445</v>
      </c>
      <c r="F1691" t="s">
        <v>1651</v>
      </c>
      <c r="G1691" t="s">
        <v>22</v>
      </c>
      <c r="H1691" t="s">
        <v>50</v>
      </c>
      <c r="I1691" t="s">
        <v>40</v>
      </c>
      <c r="J1691" t="s">
        <v>25</v>
      </c>
      <c r="K1691" t="s">
        <v>26</v>
      </c>
      <c r="L1691" t="s">
        <v>27</v>
      </c>
      <c r="M1691">
        <v>3</v>
      </c>
      <c r="N1691" s="2"/>
      <c r="O1691" s="3">
        <v>3626</v>
      </c>
      <c r="P1691">
        <v>0</v>
      </c>
      <c r="Q1691">
        <v>3</v>
      </c>
      <c r="R1691" t="s">
        <v>33</v>
      </c>
      <c r="S1691">
        <v>1</v>
      </c>
    </row>
    <row r="1692" spans="1:19" ht="16.5" x14ac:dyDescent="0.3">
      <c r="A1692" t="s">
        <v>1750</v>
      </c>
      <c r="B1692" s="1">
        <v>45523</v>
      </c>
      <c r="C1692" s="1">
        <v>45524</v>
      </c>
      <c r="D1692">
        <v>2024</v>
      </c>
      <c r="E1692" t="s">
        <v>1445</v>
      </c>
      <c r="F1692" t="s">
        <v>1651</v>
      </c>
      <c r="G1692" t="s">
        <v>22</v>
      </c>
      <c r="H1692" t="s">
        <v>30</v>
      </c>
      <c r="I1692" t="s">
        <v>40</v>
      </c>
      <c r="J1692" t="s">
        <v>43</v>
      </c>
      <c r="K1692" t="s">
        <v>26</v>
      </c>
      <c r="L1692" t="s">
        <v>44</v>
      </c>
      <c r="M1692">
        <v>1</v>
      </c>
      <c r="N1692" s="2"/>
      <c r="O1692" s="3">
        <v>869</v>
      </c>
      <c r="P1692">
        <v>0</v>
      </c>
      <c r="Q1692">
        <v>5</v>
      </c>
      <c r="R1692" t="s">
        <v>59</v>
      </c>
      <c r="S1692">
        <v>1</v>
      </c>
    </row>
    <row r="1693" spans="1:19" ht="16.5" x14ac:dyDescent="0.3">
      <c r="A1693" t="s">
        <v>1751</v>
      </c>
      <c r="B1693" s="1">
        <v>45523</v>
      </c>
      <c r="C1693" s="1">
        <v>45532</v>
      </c>
      <c r="D1693">
        <v>2024</v>
      </c>
      <c r="E1693" t="s">
        <v>1445</v>
      </c>
      <c r="F1693" t="s">
        <v>1651</v>
      </c>
      <c r="G1693" t="s">
        <v>22</v>
      </c>
      <c r="H1693" t="s">
        <v>30</v>
      </c>
      <c r="I1693" t="s">
        <v>40</v>
      </c>
      <c r="J1693" t="s">
        <v>43</v>
      </c>
      <c r="K1693" t="s">
        <v>26</v>
      </c>
      <c r="L1693" t="s">
        <v>44</v>
      </c>
      <c r="M1693">
        <v>9</v>
      </c>
      <c r="N1693" s="2"/>
      <c r="O1693" s="3">
        <v>11251</v>
      </c>
      <c r="P1693">
        <v>1</v>
      </c>
      <c r="Q1693">
        <v>4</v>
      </c>
      <c r="R1693" t="s">
        <v>28</v>
      </c>
      <c r="S1693">
        <v>1</v>
      </c>
    </row>
    <row r="1694" spans="1:19" ht="16.5" x14ac:dyDescent="0.3">
      <c r="A1694" t="s">
        <v>1752</v>
      </c>
      <c r="B1694" s="1">
        <v>45523</v>
      </c>
      <c r="C1694" s="1">
        <v>45529</v>
      </c>
      <c r="D1694">
        <v>2024</v>
      </c>
      <c r="E1694" t="s">
        <v>1445</v>
      </c>
      <c r="F1694" t="s">
        <v>1651</v>
      </c>
      <c r="G1694" t="s">
        <v>22</v>
      </c>
      <c r="H1694" t="s">
        <v>30</v>
      </c>
      <c r="I1694" t="s">
        <v>40</v>
      </c>
      <c r="J1694" t="s">
        <v>43</v>
      </c>
      <c r="K1694" t="s">
        <v>26</v>
      </c>
      <c r="L1694" t="s">
        <v>27</v>
      </c>
      <c r="M1694">
        <v>6</v>
      </c>
      <c r="N1694" s="2"/>
      <c r="O1694" s="3">
        <v>7264</v>
      </c>
      <c r="P1694">
        <v>0</v>
      </c>
      <c r="Q1694">
        <v>4</v>
      </c>
      <c r="R1694" t="s">
        <v>33</v>
      </c>
      <c r="S1694">
        <v>1</v>
      </c>
    </row>
    <row r="1695" spans="1:19" ht="16.5" x14ac:dyDescent="0.3">
      <c r="A1695" t="s">
        <v>1753</v>
      </c>
      <c r="B1695" s="1">
        <v>45524</v>
      </c>
      <c r="C1695" s="1">
        <v>45528</v>
      </c>
      <c r="D1695">
        <v>2024</v>
      </c>
      <c r="E1695" t="s">
        <v>1445</v>
      </c>
      <c r="F1695" t="s">
        <v>1651</v>
      </c>
      <c r="G1695" t="s">
        <v>56</v>
      </c>
      <c r="H1695" t="s">
        <v>50</v>
      </c>
      <c r="I1695" t="s">
        <v>40</v>
      </c>
      <c r="J1695" t="s">
        <v>43</v>
      </c>
      <c r="K1695" t="s">
        <v>26</v>
      </c>
      <c r="L1695" t="s">
        <v>27</v>
      </c>
      <c r="M1695">
        <v>4</v>
      </c>
      <c r="N1695" s="2"/>
      <c r="O1695" s="3">
        <v>6582</v>
      </c>
      <c r="P1695">
        <v>1</v>
      </c>
      <c r="Q1695">
        <v>4</v>
      </c>
      <c r="R1695" t="s">
        <v>59</v>
      </c>
      <c r="S1695">
        <v>1</v>
      </c>
    </row>
    <row r="1696" spans="1:19" ht="16.5" x14ac:dyDescent="0.3">
      <c r="A1696" t="s">
        <v>1754</v>
      </c>
      <c r="B1696" s="1">
        <v>45524</v>
      </c>
      <c r="C1696" s="1">
        <v>45526</v>
      </c>
      <c r="D1696">
        <v>2024</v>
      </c>
      <c r="E1696" t="s">
        <v>1445</v>
      </c>
      <c r="F1696" t="s">
        <v>1651</v>
      </c>
      <c r="G1696" t="s">
        <v>56</v>
      </c>
      <c r="H1696" t="s">
        <v>52</v>
      </c>
      <c r="I1696" t="s">
        <v>40</v>
      </c>
      <c r="J1696" t="s">
        <v>25</v>
      </c>
      <c r="K1696" t="s">
        <v>32</v>
      </c>
      <c r="L1696" t="s">
        <v>44</v>
      </c>
      <c r="M1696">
        <v>2</v>
      </c>
      <c r="N1696" s="2"/>
      <c r="O1696" s="3">
        <v>2802</v>
      </c>
      <c r="P1696">
        <v>0</v>
      </c>
      <c r="Q1696">
        <v>4</v>
      </c>
      <c r="R1696" t="s">
        <v>165</v>
      </c>
      <c r="S1696">
        <v>1</v>
      </c>
    </row>
    <row r="1697" spans="1:19" ht="16.5" x14ac:dyDescent="0.3">
      <c r="A1697" t="s">
        <v>1755</v>
      </c>
      <c r="B1697" s="1">
        <v>45524</v>
      </c>
      <c r="C1697" s="1">
        <v>45528</v>
      </c>
      <c r="D1697">
        <v>2024</v>
      </c>
      <c r="E1697" t="s">
        <v>1445</v>
      </c>
      <c r="F1697" t="s">
        <v>1651</v>
      </c>
      <c r="G1697" t="s">
        <v>56</v>
      </c>
      <c r="H1697" t="s">
        <v>30</v>
      </c>
      <c r="I1697" t="s">
        <v>40</v>
      </c>
      <c r="J1697" t="s">
        <v>43</v>
      </c>
      <c r="K1697" t="s">
        <v>53</v>
      </c>
      <c r="L1697" t="s">
        <v>27</v>
      </c>
      <c r="M1697">
        <v>4</v>
      </c>
      <c r="N1697" s="2"/>
      <c r="O1697" s="3">
        <v>3584</v>
      </c>
      <c r="P1697">
        <v>0</v>
      </c>
      <c r="Q1697">
        <v>4</v>
      </c>
      <c r="R1697" t="s">
        <v>33</v>
      </c>
      <c r="S1697">
        <v>1</v>
      </c>
    </row>
    <row r="1698" spans="1:19" ht="16.5" x14ac:dyDescent="0.3">
      <c r="A1698" t="s">
        <v>1756</v>
      </c>
      <c r="B1698" s="1">
        <v>45524</v>
      </c>
      <c r="C1698" s="1">
        <v>45525</v>
      </c>
      <c r="D1698">
        <v>2024</v>
      </c>
      <c r="E1698" t="s">
        <v>1445</v>
      </c>
      <c r="F1698" t="s">
        <v>1651</v>
      </c>
      <c r="G1698" t="s">
        <v>56</v>
      </c>
      <c r="H1698" t="s">
        <v>35</v>
      </c>
      <c r="I1698" t="s">
        <v>24</v>
      </c>
      <c r="J1698" t="s">
        <v>25</v>
      </c>
      <c r="K1698" t="s">
        <v>32</v>
      </c>
      <c r="L1698" t="s">
        <v>37</v>
      </c>
      <c r="M1698">
        <v>1</v>
      </c>
      <c r="N1698" s="2">
        <v>16</v>
      </c>
      <c r="O1698" s="3">
        <v>1281</v>
      </c>
      <c r="P1698">
        <v>0</v>
      </c>
      <c r="Q1698">
        <v>5</v>
      </c>
      <c r="R1698" t="s">
        <v>33</v>
      </c>
      <c r="S1698">
        <v>1</v>
      </c>
    </row>
    <row r="1699" spans="1:19" ht="16.5" x14ac:dyDescent="0.3">
      <c r="A1699" t="s">
        <v>1757</v>
      </c>
      <c r="B1699" s="1">
        <v>45524</v>
      </c>
      <c r="C1699" s="1">
        <v>45527</v>
      </c>
      <c r="D1699">
        <v>2024</v>
      </c>
      <c r="E1699" t="s">
        <v>1445</v>
      </c>
      <c r="F1699" t="s">
        <v>1651</v>
      </c>
      <c r="G1699" t="s">
        <v>56</v>
      </c>
      <c r="H1699" t="s">
        <v>35</v>
      </c>
      <c r="I1699" t="s">
        <v>24</v>
      </c>
      <c r="J1699" t="s">
        <v>25</v>
      </c>
      <c r="K1699" t="s">
        <v>36</v>
      </c>
      <c r="L1699" t="s">
        <v>44</v>
      </c>
      <c r="M1699">
        <v>3</v>
      </c>
      <c r="N1699" s="2">
        <v>33</v>
      </c>
      <c r="O1699" s="3">
        <v>2695</v>
      </c>
      <c r="P1699">
        <v>0</v>
      </c>
      <c r="Q1699">
        <v>4</v>
      </c>
      <c r="R1699" t="s">
        <v>28</v>
      </c>
      <c r="S1699">
        <v>1</v>
      </c>
    </row>
    <row r="1700" spans="1:19" ht="16.5" x14ac:dyDescent="0.3">
      <c r="A1700" t="s">
        <v>1758</v>
      </c>
      <c r="B1700" s="1">
        <v>45524</v>
      </c>
      <c r="C1700" s="1">
        <v>45526</v>
      </c>
      <c r="D1700">
        <v>2024</v>
      </c>
      <c r="E1700" t="s">
        <v>1445</v>
      </c>
      <c r="F1700" t="s">
        <v>1651</v>
      </c>
      <c r="G1700" t="s">
        <v>56</v>
      </c>
      <c r="H1700" t="s">
        <v>30</v>
      </c>
      <c r="I1700" t="s">
        <v>40</v>
      </c>
      <c r="J1700" t="s">
        <v>25</v>
      </c>
      <c r="K1700" t="s">
        <v>53</v>
      </c>
      <c r="L1700" t="s">
        <v>44</v>
      </c>
      <c r="M1700">
        <v>2</v>
      </c>
      <c r="N1700" s="2"/>
      <c r="O1700" s="3">
        <v>2585</v>
      </c>
      <c r="P1700">
        <v>0</v>
      </c>
      <c r="Q1700">
        <v>3</v>
      </c>
      <c r="R1700" t="s">
        <v>33</v>
      </c>
      <c r="S1700">
        <v>1</v>
      </c>
    </row>
    <row r="1701" spans="1:19" ht="16.5" x14ac:dyDescent="0.3">
      <c r="A1701" t="s">
        <v>1759</v>
      </c>
      <c r="B1701" s="1">
        <v>45524</v>
      </c>
      <c r="C1701" s="1">
        <v>45526</v>
      </c>
      <c r="D1701">
        <v>2024</v>
      </c>
      <c r="E1701" t="s">
        <v>1445</v>
      </c>
      <c r="F1701" t="s">
        <v>1651</v>
      </c>
      <c r="G1701" t="s">
        <v>56</v>
      </c>
      <c r="H1701" t="s">
        <v>52</v>
      </c>
      <c r="I1701" t="s">
        <v>40</v>
      </c>
      <c r="J1701" t="s">
        <v>25</v>
      </c>
      <c r="K1701" t="s">
        <v>53</v>
      </c>
      <c r="L1701" t="s">
        <v>44</v>
      </c>
      <c r="M1701">
        <v>2</v>
      </c>
      <c r="N1701" s="2"/>
      <c r="O1701" s="3">
        <v>2648</v>
      </c>
      <c r="P1701">
        <v>0</v>
      </c>
      <c r="Q1701">
        <v>4</v>
      </c>
      <c r="R1701" t="s">
        <v>28</v>
      </c>
      <c r="S1701">
        <v>1</v>
      </c>
    </row>
    <row r="1702" spans="1:19" ht="16.5" x14ac:dyDescent="0.3">
      <c r="A1702" t="s">
        <v>1760</v>
      </c>
      <c r="B1702" s="1">
        <v>45524</v>
      </c>
      <c r="C1702" s="1">
        <v>45525</v>
      </c>
      <c r="D1702">
        <v>2024</v>
      </c>
      <c r="E1702" t="s">
        <v>1445</v>
      </c>
      <c r="F1702" t="s">
        <v>1651</v>
      </c>
      <c r="G1702" t="s">
        <v>56</v>
      </c>
      <c r="H1702" t="s">
        <v>23</v>
      </c>
      <c r="I1702" t="s">
        <v>24</v>
      </c>
      <c r="J1702" t="s">
        <v>43</v>
      </c>
      <c r="K1702" t="s">
        <v>53</v>
      </c>
      <c r="L1702" t="s">
        <v>37</v>
      </c>
      <c r="M1702">
        <v>1</v>
      </c>
      <c r="N1702" s="2">
        <v>35</v>
      </c>
      <c r="O1702" s="3">
        <v>1511</v>
      </c>
      <c r="P1702">
        <v>0</v>
      </c>
      <c r="Q1702">
        <v>5</v>
      </c>
      <c r="R1702" t="s">
        <v>28</v>
      </c>
      <c r="S1702">
        <v>1</v>
      </c>
    </row>
    <row r="1703" spans="1:19" ht="16.5" x14ac:dyDescent="0.3">
      <c r="A1703" t="s">
        <v>1761</v>
      </c>
      <c r="B1703" s="1">
        <v>45525</v>
      </c>
      <c r="C1703" s="1">
        <v>45527</v>
      </c>
      <c r="D1703">
        <v>2024</v>
      </c>
      <c r="E1703" t="s">
        <v>1445</v>
      </c>
      <c r="F1703" t="s">
        <v>1651</v>
      </c>
      <c r="G1703" t="s">
        <v>70</v>
      </c>
      <c r="H1703" t="s">
        <v>52</v>
      </c>
      <c r="I1703" t="s">
        <v>40</v>
      </c>
      <c r="J1703" t="s">
        <v>25</v>
      </c>
      <c r="K1703" t="s">
        <v>32</v>
      </c>
      <c r="L1703" t="s">
        <v>44</v>
      </c>
      <c r="M1703">
        <v>2</v>
      </c>
      <c r="N1703" s="2"/>
      <c r="O1703" s="3">
        <v>2203</v>
      </c>
      <c r="P1703">
        <v>0</v>
      </c>
      <c r="Q1703">
        <v>3</v>
      </c>
      <c r="R1703" t="s">
        <v>59</v>
      </c>
      <c r="S1703">
        <v>1</v>
      </c>
    </row>
    <row r="1704" spans="1:19" ht="16.5" x14ac:dyDescent="0.3">
      <c r="A1704" t="s">
        <v>1762</v>
      </c>
      <c r="B1704" s="1">
        <v>45525</v>
      </c>
      <c r="C1704" s="1">
        <v>45528</v>
      </c>
      <c r="D1704">
        <v>2024</v>
      </c>
      <c r="E1704" t="s">
        <v>1445</v>
      </c>
      <c r="F1704" t="s">
        <v>1651</v>
      </c>
      <c r="G1704" t="s">
        <v>70</v>
      </c>
      <c r="H1704" t="s">
        <v>50</v>
      </c>
      <c r="I1704" t="s">
        <v>24</v>
      </c>
      <c r="J1704" t="s">
        <v>25</v>
      </c>
      <c r="K1704" t="s">
        <v>26</v>
      </c>
      <c r="L1704" t="s">
        <v>27</v>
      </c>
      <c r="M1704">
        <v>3</v>
      </c>
      <c r="N1704" s="2">
        <v>49</v>
      </c>
      <c r="O1704" s="3">
        <v>3887</v>
      </c>
      <c r="P1704">
        <v>0</v>
      </c>
      <c r="Q1704">
        <v>3</v>
      </c>
      <c r="R1704" t="s">
        <v>28</v>
      </c>
      <c r="S1704">
        <v>1</v>
      </c>
    </row>
    <row r="1705" spans="1:19" ht="16.5" x14ac:dyDescent="0.3">
      <c r="A1705" t="s">
        <v>1763</v>
      </c>
      <c r="B1705" s="1">
        <v>45525</v>
      </c>
      <c r="C1705" s="1">
        <v>45526</v>
      </c>
      <c r="D1705">
        <v>2024</v>
      </c>
      <c r="E1705" t="s">
        <v>1445</v>
      </c>
      <c r="F1705" t="s">
        <v>1651</v>
      </c>
      <c r="G1705" t="s">
        <v>70</v>
      </c>
      <c r="H1705" t="s">
        <v>39</v>
      </c>
      <c r="I1705" t="s">
        <v>24</v>
      </c>
      <c r="J1705" t="s">
        <v>25</v>
      </c>
      <c r="K1705" t="s">
        <v>41</v>
      </c>
      <c r="L1705" t="s">
        <v>27</v>
      </c>
      <c r="M1705">
        <v>1</v>
      </c>
      <c r="N1705" s="2">
        <v>121</v>
      </c>
      <c r="O1705" s="3">
        <v>1262</v>
      </c>
      <c r="P1705">
        <v>1</v>
      </c>
      <c r="Q1705">
        <v>3</v>
      </c>
      <c r="R1705" t="s">
        <v>33</v>
      </c>
      <c r="S1705">
        <v>1</v>
      </c>
    </row>
    <row r="1706" spans="1:19" ht="16.5" x14ac:dyDescent="0.3">
      <c r="A1706" t="s">
        <v>1764</v>
      </c>
      <c r="B1706" s="1">
        <v>45525</v>
      </c>
      <c r="C1706" s="1">
        <v>45526</v>
      </c>
      <c r="D1706">
        <v>2024</v>
      </c>
      <c r="E1706" t="s">
        <v>1445</v>
      </c>
      <c r="F1706" t="s">
        <v>1651</v>
      </c>
      <c r="G1706" t="s">
        <v>70</v>
      </c>
      <c r="H1706" t="s">
        <v>30</v>
      </c>
      <c r="I1706" t="s">
        <v>24</v>
      </c>
      <c r="J1706" t="s">
        <v>43</v>
      </c>
      <c r="K1706" t="s">
        <v>26</v>
      </c>
      <c r="L1706" t="s">
        <v>44</v>
      </c>
      <c r="M1706">
        <v>1</v>
      </c>
      <c r="N1706" s="2">
        <v>44</v>
      </c>
      <c r="O1706" s="3">
        <v>2132</v>
      </c>
      <c r="P1706">
        <v>0</v>
      </c>
      <c r="Q1706">
        <v>5</v>
      </c>
      <c r="R1706" t="s">
        <v>33</v>
      </c>
      <c r="S1706">
        <v>1</v>
      </c>
    </row>
    <row r="1707" spans="1:19" ht="16.5" x14ac:dyDescent="0.3">
      <c r="A1707" t="s">
        <v>1765</v>
      </c>
      <c r="B1707" s="1">
        <v>45525</v>
      </c>
      <c r="C1707" s="1">
        <v>45529</v>
      </c>
      <c r="D1707">
        <v>2024</v>
      </c>
      <c r="E1707" t="s">
        <v>1445</v>
      </c>
      <c r="F1707" t="s">
        <v>1651</v>
      </c>
      <c r="G1707" t="s">
        <v>70</v>
      </c>
      <c r="H1707" t="s">
        <v>23</v>
      </c>
      <c r="I1707" t="s">
        <v>24</v>
      </c>
      <c r="J1707" t="s">
        <v>43</v>
      </c>
      <c r="K1707" t="s">
        <v>32</v>
      </c>
      <c r="L1707" t="s">
        <v>27</v>
      </c>
      <c r="M1707">
        <v>4</v>
      </c>
      <c r="N1707" s="2">
        <v>113</v>
      </c>
      <c r="O1707" s="3">
        <v>3143</v>
      </c>
      <c r="P1707">
        <v>1</v>
      </c>
      <c r="Q1707">
        <v>3</v>
      </c>
      <c r="R1707" t="s">
        <v>33</v>
      </c>
      <c r="S1707">
        <v>1</v>
      </c>
    </row>
    <row r="1708" spans="1:19" ht="16.5" x14ac:dyDescent="0.3">
      <c r="A1708" t="s">
        <v>1766</v>
      </c>
      <c r="B1708" s="1">
        <v>45526</v>
      </c>
      <c r="C1708" s="1">
        <v>45538</v>
      </c>
      <c r="D1708">
        <v>2024</v>
      </c>
      <c r="E1708" t="s">
        <v>1445</v>
      </c>
      <c r="F1708" t="s">
        <v>1651</v>
      </c>
      <c r="G1708" t="s">
        <v>78</v>
      </c>
      <c r="H1708" t="s">
        <v>23</v>
      </c>
      <c r="I1708" t="s">
        <v>24</v>
      </c>
      <c r="J1708" t="s">
        <v>25</v>
      </c>
      <c r="K1708" t="s">
        <v>53</v>
      </c>
      <c r="L1708" t="s">
        <v>27</v>
      </c>
      <c r="M1708">
        <v>12</v>
      </c>
      <c r="N1708" s="2">
        <v>52</v>
      </c>
      <c r="O1708" s="3">
        <v>10039</v>
      </c>
      <c r="P1708">
        <v>0</v>
      </c>
      <c r="Q1708">
        <v>4</v>
      </c>
      <c r="R1708" t="s">
        <v>33</v>
      </c>
      <c r="S1708">
        <v>1</v>
      </c>
    </row>
    <row r="1709" spans="1:19" ht="16.5" x14ac:dyDescent="0.3">
      <c r="A1709" t="s">
        <v>1767</v>
      </c>
      <c r="B1709" s="1">
        <v>45526</v>
      </c>
      <c r="C1709" s="1">
        <v>45533</v>
      </c>
      <c r="D1709">
        <v>2024</v>
      </c>
      <c r="E1709" t="s">
        <v>1445</v>
      </c>
      <c r="F1709" t="s">
        <v>1651</v>
      </c>
      <c r="G1709" t="s">
        <v>78</v>
      </c>
      <c r="H1709" t="s">
        <v>23</v>
      </c>
      <c r="I1709" t="s">
        <v>24</v>
      </c>
      <c r="J1709" t="s">
        <v>43</v>
      </c>
      <c r="K1709" t="s">
        <v>36</v>
      </c>
      <c r="L1709" t="s">
        <v>44</v>
      </c>
      <c r="M1709">
        <v>7</v>
      </c>
      <c r="N1709" s="2">
        <v>87</v>
      </c>
      <c r="O1709" s="3">
        <v>3872</v>
      </c>
      <c r="P1709">
        <v>0</v>
      </c>
      <c r="Q1709">
        <v>4</v>
      </c>
      <c r="R1709" t="s">
        <v>28</v>
      </c>
      <c r="S1709">
        <v>1</v>
      </c>
    </row>
    <row r="1710" spans="1:19" ht="16.5" x14ac:dyDescent="0.3">
      <c r="A1710" t="s">
        <v>1768</v>
      </c>
      <c r="B1710" s="1">
        <v>45526</v>
      </c>
      <c r="C1710" s="1">
        <v>45539</v>
      </c>
      <c r="D1710">
        <v>2024</v>
      </c>
      <c r="E1710" t="s">
        <v>1445</v>
      </c>
      <c r="F1710" t="s">
        <v>1651</v>
      </c>
      <c r="G1710" t="s">
        <v>78</v>
      </c>
      <c r="H1710" t="s">
        <v>30</v>
      </c>
      <c r="I1710" t="s">
        <v>24</v>
      </c>
      <c r="J1710" t="s">
        <v>43</v>
      </c>
      <c r="K1710" t="s">
        <v>26</v>
      </c>
      <c r="L1710" t="s">
        <v>37</v>
      </c>
      <c r="M1710">
        <v>13</v>
      </c>
      <c r="N1710" s="2">
        <v>36</v>
      </c>
      <c r="O1710" s="3">
        <v>11258</v>
      </c>
      <c r="P1710">
        <v>0</v>
      </c>
      <c r="Q1710">
        <v>5</v>
      </c>
      <c r="R1710" t="s">
        <v>28</v>
      </c>
      <c r="S1710">
        <v>1</v>
      </c>
    </row>
    <row r="1711" spans="1:19" ht="16.5" x14ac:dyDescent="0.3">
      <c r="A1711" t="s">
        <v>1769</v>
      </c>
      <c r="B1711" s="1">
        <v>45526</v>
      </c>
      <c r="C1711" s="1">
        <v>45528</v>
      </c>
      <c r="D1711">
        <v>2024</v>
      </c>
      <c r="E1711" t="s">
        <v>1445</v>
      </c>
      <c r="F1711" t="s">
        <v>1651</v>
      </c>
      <c r="G1711" t="s">
        <v>78</v>
      </c>
      <c r="H1711" t="s">
        <v>35</v>
      </c>
      <c r="I1711" t="s">
        <v>24</v>
      </c>
      <c r="J1711" t="s">
        <v>25</v>
      </c>
      <c r="K1711" t="s">
        <v>32</v>
      </c>
      <c r="L1711" t="s">
        <v>44</v>
      </c>
      <c r="M1711">
        <v>2</v>
      </c>
      <c r="N1711" s="2">
        <v>21</v>
      </c>
      <c r="O1711" s="3">
        <v>2066</v>
      </c>
      <c r="P1711">
        <v>0</v>
      </c>
      <c r="Q1711">
        <v>5</v>
      </c>
      <c r="R1711" t="s">
        <v>28</v>
      </c>
      <c r="S1711">
        <v>1</v>
      </c>
    </row>
    <row r="1712" spans="1:19" ht="16.5" x14ac:dyDescent="0.3">
      <c r="A1712" t="s">
        <v>1770</v>
      </c>
      <c r="B1712" s="1">
        <v>45526</v>
      </c>
      <c r="C1712" s="1">
        <v>45531</v>
      </c>
      <c r="D1712">
        <v>2024</v>
      </c>
      <c r="E1712" t="s">
        <v>1445</v>
      </c>
      <c r="F1712" t="s">
        <v>1651</v>
      </c>
      <c r="G1712" t="s">
        <v>78</v>
      </c>
      <c r="H1712" t="s">
        <v>30</v>
      </c>
      <c r="I1712" t="s">
        <v>40</v>
      </c>
      <c r="J1712" t="s">
        <v>43</v>
      </c>
      <c r="K1712" t="s">
        <v>26</v>
      </c>
      <c r="L1712" t="s">
        <v>27</v>
      </c>
      <c r="M1712">
        <v>5</v>
      </c>
      <c r="N1712" s="2"/>
      <c r="O1712" s="3">
        <v>5174</v>
      </c>
      <c r="P1712">
        <v>0</v>
      </c>
      <c r="Q1712">
        <v>4</v>
      </c>
      <c r="R1712" t="s">
        <v>33</v>
      </c>
      <c r="S1712">
        <v>1</v>
      </c>
    </row>
    <row r="1713" spans="1:19" ht="16.5" x14ac:dyDescent="0.3">
      <c r="A1713" t="s">
        <v>1771</v>
      </c>
      <c r="B1713" s="1">
        <v>45526</v>
      </c>
      <c r="C1713" s="1">
        <v>45530</v>
      </c>
      <c r="D1713">
        <v>2024</v>
      </c>
      <c r="E1713" t="s">
        <v>1445</v>
      </c>
      <c r="F1713" t="s">
        <v>1651</v>
      </c>
      <c r="G1713" t="s">
        <v>78</v>
      </c>
      <c r="H1713" t="s">
        <v>35</v>
      </c>
      <c r="I1713" t="s">
        <v>24</v>
      </c>
      <c r="J1713" t="s">
        <v>25</v>
      </c>
      <c r="K1713" t="s">
        <v>32</v>
      </c>
      <c r="L1713" t="s">
        <v>27</v>
      </c>
      <c r="M1713">
        <v>4</v>
      </c>
      <c r="N1713" s="2">
        <v>93</v>
      </c>
      <c r="O1713" s="3">
        <v>3352</v>
      </c>
      <c r="P1713">
        <v>0</v>
      </c>
      <c r="Q1713">
        <v>3</v>
      </c>
      <c r="R1713" t="s">
        <v>33</v>
      </c>
      <c r="S1713">
        <v>1</v>
      </c>
    </row>
    <row r="1714" spans="1:19" ht="16.5" x14ac:dyDescent="0.3">
      <c r="A1714" t="s">
        <v>1772</v>
      </c>
      <c r="B1714" s="1">
        <v>45527</v>
      </c>
      <c r="C1714" s="1">
        <v>45534</v>
      </c>
      <c r="D1714">
        <v>2024</v>
      </c>
      <c r="E1714" t="s">
        <v>1445</v>
      </c>
      <c r="F1714" t="s">
        <v>1651</v>
      </c>
      <c r="G1714" t="s">
        <v>83</v>
      </c>
      <c r="H1714" t="s">
        <v>30</v>
      </c>
      <c r="I1714" t="s">
        <v>40</v>
      </c>
      <c r="J1714" t="s">
        <v>43</v>
      </c>
      <c r="K1714" t="s">
        <v>36</v>
      </c>
      <c r="L1714" t="s">
        <v>27</v>
      </c>
      <c r="M1714">
        <v>7</v>
      </c>
      <c r="N1714" s="2"/>
      <c r="O1714" s="3">
        <v>9241</v>
      </c>
      <c r="P1714">
        <v>0</v>
      </c>
      <c r="Q1714">
        <v>5</v>
      </c>
      <c r="R1714" t="s">
        <v>28</v>
      </c>
      <c r="S1714">
        <v>1</v>
      </c>
    </row>
    <row r="1715" spans="1:19" ht="16.5" x14ac:dyDescent="0.3">
      <c r="A1715" t="s">
        <v>1773</v>
      </c>
      <c r="B1715" s="1">
        <v>45527</v>
      </c>
      <c r="C1715" s="1">
        <v>45530</v>
      </c>
      <c r="D1715">
        <v>2024</v>
      </c>
      <c r="E1715" t="s">
        <v>1445</v>
      </c>
      <c r="F1715" t="s">
        <v>1651</v>
      </c>
      <c r="G1715" t="s">
        <v>83</v>
      </c>
      <c r="H1715" t="s">
        <v>39</v>
      </c>
      <c r="I1715" t="s">
        <v>40</v>
      </c>
      <c r="J1715" t="s">
        <v>25</v>
      </c>
      <c r="K1715" t="s">
        <v>41</v>
      </c>
      <c r="L1715" t="s">
        <v>44</v>
      </c>
      <c r="M1715">
        <v>3</v>
      </c>
      <c r="N1715" s="2"/>
      <c r="O1715" s="3">
        <v>2595</v>
      </c>
      <c r="P1715">
        <v>1</v>
      </c>
      <c r="Q1715">
        <v>4</v>
      </c>
      <c r="R1715" t="s">
        <v>28</v>
      </c>
      <c r="S1715">
        <v>1</v>
      </c>
    </row>
    <row r="1716" spans="1:19" ht="16.5" x14ac:dyDescent="0.3">
      <c r="A1716" t="s">
        <v>1774</v>
      </c>
      <c r="B1716" s="1">
        <v>45527</v>
      </c>
      <c r="C1716" s="1">
        <v>45529</v>
      </c>
      <c r="D1716">
        <v>2024</v>
      </c>
      <c r="E1716" t="s">
        <v>1445</v>
      </c>
      <c r="F1716" t="s">
        <v>1651</v>
      </c>
      <c r="G1716" t="s">
        <v>83</v>
      </c>
      <c r="H1716" t="s">
        <v>50</v>
      </c>
      <c r="I1716" t="s">
        <v>24</v>
      </c>
      <c r="J1716" t="s">
        <v>43</v>
      </c>
      <c r="K1716" t="s">
        <v>32</v>
      </c>
      <c r="L1716" t="s">
        <v>27</v>
      </c>
      <c r="M1716">
        <v>2</v>
      </c>
      <c r="N1716" s="2">
        <v>78</v>
      </c>
      <c r="O1716" s="3">
        <v>2781</v>
      </c>
      <c r="P1716">
        <v>1</v>
      </c>
      <c r="Q1716">
        <v>4</v>
      </c>
      <c r="R1716" t="s">
        <v>33</v>
      </c>
      <c r="S1716">
        <v>1</v>
      </c>
    </row>
    <row r="1717" spans="1:19" ht="16.5" x14ac:dyDescent="0.3">
      <c r="A1717" t="s">
        <v>1775</v>
      </c>
      <c r="B1717" s="1">
        <v>45527</v>
      </c>
      <c r="C1717" s="1">
        <v>45529</v>
      </c>
      <c r="D1717">
        <v>2024</v>
      </c>
      <c r="E1717" t="s">
        <v>1445</v>
      </c>
      <c r="F1717" t="s">
        <v>1651</v>
      </c>
      <c r="G1717" t="s">
        <v>83</v>
      </c>
      <c r="H1717" t="s">
        <v>35</v>
      </c>
      <c r="I1717" t="s">
        <v>24</v>
      </c>
      <c r="J1717" t="s">
        <v>25</v>
      </c>
      <c r="K1717" t="s">
        <v>36</v>
      </c>
      <c r="L1717" t="s">
        <v>27</v>
      </c>
      <c r="M1717">
        <v>2</v>
      </c>
      <c r="N1717" s="2">
        <v>48</v>
      </c>
      <c r="O1717" s="3">
        <v>2370</v>
      </c>
      <c r="P1717">
        <v>0</v>
      </c>
      <c r="Q1717">
        <v>4</v>
      </c>
      <c r="R1717" t="s">
        <v>28</v>
      </c>
      <c r="S1717">
        <v>1</v>
      </c>
    </row>
    <row r="1718" spans="1:19" ht="16.5" x14ac:dyDescent="0.3">
      <c r="A1718" t="s">
        <v>1776</v>
      </c>
      <c r="B1718" s="1">
        <v>45527</v>
      </c>
      <c r="C1718" s="1">
        <v>45543</v>
      </c>
      <c r="D1718">
        <v>2024</v>
      </c>
      <c r="E1718" t="s">
        <v>1445</v>
      </c>
      <c r="F1718" t="s">
        <v>1651</v>
      </c>
      <c r="G1718" t="s">
        <v>83</v>
      </c>
      <c r="H1718" t="s">
        <v>23</v>
      </c>
      <c r="I1718" t="s">
        <v>31</v>
      </c>
      <c r="J1718" t="s">
        <v>25</v>
      </c>
      <c r="K1718" t="s">
        <v>26</v>
      </c>
      <c r="L1718" t="s">
        <v>27</v>
      </c>
      <c r="M1718">
        <v>16</v>
      </c>
      <c r="N1718" s="2"/>
      <c r="O1718" s="3">
        <v>12864</v>
      </c>
      <c r="P1718">
        <v>0</v>
      </c>
      <c r="Q1718">
        <v>5</v>
      </c>
      <c r="R1718" t="s">
        <v>33</v>
      </c>
      <c r="S1718">
        <v>1</v>
      </c>
    </row>
    <row r="1719" spans="1:19" ht="16.5" x14ac:dyDescent="0.3">
      <c r="A1719" t="s">
        <v>1777</v>
      </c>
      <c r="B1719" s="1">
        <v>45528</v>
      </c>
      <c r="C1719" s="1">
        <v>45530</v>
      </c>
      <c r="D1719">
        <v>2024</v>
      </c>
      <c r="E1719" t="s">
        <v>1445</v>
      </c>
      <c r="F1719" t="s">
        <v>1651</v>
      </c>
      <c r="G1719" t="s">
        <v>102</v>
      </c>
      <c r="H1719" t="s">
        <v>23</v>
      </c>
      <c r="I1719" t="s">
        <v>40</v>
      </c>
      <c r="J1719" t="s">
        <v>43</v>
      </c>
      <c r="K1719" t="s">
        <v>53</v>
      </c>
      <c r="L1719" t="s">
        <v>27</v>
      </c>
      <c r="M1719">
        <v>2</v>
      </c>
      <c r="N1719" s="2"/>
      <c r="O1719" s="3">
        <v>2257</v>
      </c>
      <c r="P1719">
        <v>0</v>
      </c>
      <c r="Q1719">
        <v>3</v>
      </c>
      <c r="R1719" t="s">
        <v>28</v>
      </c>
      <c r="S1719">
        <v>1</v>
      </c>
    </row>
    <row r="1720" spans="1:19" ht="16.5" x14ac:dyDescent="0.3">
      <c r="A1720" t="s">
        <v>1778</v>
      </c>
      <c r="B1720" s="1">
        <v>45528</v>
      </c>
      <c r="C1720" s="1">
        <v>45531</v>
      </c>
      <c r="D1720">
        <v>2024</v>
      </c>
      <c r="E1720" t="s">
        <v>1445</v>
      </c>
      <c r="F1720" t="s">
        <v>1651</v>
      </c>
      <c r="G1720" t="s">
        <v>102</v>
      </c>
      <c r="H1720" t="s">
        <v>39</v>
      </c>
      <c r="I1720" t="s">
        <v>24</v>
      </c>
      <c r="J1720" t="s">
        <v>43</v>
      </c>
      <c r="K1720" t="s">
        <v>41</v>
      </c>
      <c r="L1720" t="s">
        <v>44</v>
      </c>
      <c r="M1720">
        <v>3</v>
      </c>
      <c r="N1720" s="2">
        <v>21</v>
      </c>
      <c r="O1720" s="3">
        <v>2978</v>
      </c>
      <c r="P1720">
        <v>0</v>
      </c>
      <c r="Q1720">
        <v>4</v>
      </c>
      <c r="R1720" t="s">
        <v>28</v>
      </c>
      <c r="S1720">
        <v>1</v>
      </c>
    </row>
    <row r="1721" spans="1:19" ht="16.5" x14ac:dyDescent="0.3">
      <c r="A1721" t="s">
        <v>1779</v>
      </c>
      <c r="B1721" s="1">
        <v>45528</v>
      </c>
      <c r="C1721" s="1">
        <v>45532</v>
      </c>
      <c r="D1721">
        <v>2024</v>
      </c>
      <c r="E1721" t="s">
        <v>1445</v>
      </c>
      <c r="F1721" t="s">
        <v>1651</v>
      </c>
      <c r="G1721" t="s">
        <v>102</v>
      </c>
      <c r="H1721" t="s">
        <v>30</v>
      </c>
      <c r="I1721" t="s">
        <v>40</v>
      </c>
      <c r="J1721" t="s">
        <v>25</v>
      </c>
      <c r="K1721" t="s">
        <v>26</v>
      </c>
      <c r="L1721" t="s">
        <v>44</v>
      </c>
      <c r="M1721">
        <v>4</v>
      </c>
      <c r="N1721" s="2"/>
      <c r="O1721" s="3">
        <v>3952</v>
      </c>
      <c r="P1721">
        <v>0</v>
      </c>
      <c r="Q1721">
        <v>5</v>
      </c>
      <c r="R1721" t="s">
        <v>33</v>
      </c>
      <c r="S1721">
        <v>1</v>
      </c>
    </row>
    <row r="1722" spans="1:19" ht="16.5" x14ac:dyDescent="0.3">
      <c r="A1722" t="s">
        <v>1780</v>
      </c>
      <c r="B1722" s="1">
        <v>45528</v>
      </c>
      <c r="C1722" s="1">
        <v>45529</v>
      </c>
      <c r="D1722">
        <v>2024</v>
      </c>
      <c r="E1722" t="s">
        <v>1445</v>
      </c>
      <c r="F1722" t="s">
        <v>1651</v>
      </c>
      <c r="G1722" t="s">
        <v>102</v>
      </c>
      <c r="H1722" t="s">
        <v>39</v>
      </c>
      <c r="I1722" t="s">
        <v>24</v>
      </c>
      <c r="J1722" t="s">
        <v>43</v>
      </c>
      <c r="K1722" t="s">
        <v>41</v>
      </c>
      <c r="L1722" t="s">
        <v>27</v>
      </c>
      <c r="M1722">
        <v>1</v>
      </c>
      <c r="N1722" s="2">
        <v>97</v>
      </c>
      <c r="O1722" s="3">
        <v>1511</v>
      </c>
      <c r="P1722">
        <v>1</v>
      </c>
      <c r="Q1722">
        <v>3</v>
      </c>
      <c r="R1722" t="s">
        <v>33</v>
      </c>
      <c r="S1722">
        <v>1</v>
      </c>
    </row>
    <row r="1723" spans="1:19" ht="16.5" x14ac:dyDescent="0.3">
      <c r="A1723" t="s">
        <v>1781</v>
      </c>
      <c r="B1723" s="1">
        <v>45528</v>
      </c>
      <c r="C1723" s="1">
        <v>45533</v>
      </c>
      <c r="D1723">
        <v>2024</v>
      </c>
      <c r="E1723" t="s">
        <v>1445</v>
      </c>
      <c r="F1723" t="s">
        <v>1651</v>
      </c>
      <c r="G1723" t="s">
        <v>102</v>
      </c>
      <c r="H1723" t="s">
        <v>52</v>
      </c>
      <c r="I1723" t="s">
        <v>40</v>
      </c>
      <c r="J1723" t="s">
        <v>43</v>
      </c>
      <c r="K1723" t="s">
        <v>53</v>
      </c>
      <c r="L1723" t="s">
        <v>44</v>
      </c>
      <c r="M1723">
        <v>5</v>
      </c>
      <c r="N1723" s="2"/>
      <c r="O1723" s="3">
        <v>3630</v>
      </c>
      <c r="P1723">
        <v>0</v>
      </c>
      <c r="Q1723">
        <v>5</v>
      </c>
      <c r="R1723" t="s">
        <v>33</v>
      </c>
      <c r="S1723">
        <v>1</v>
      </c>
    </row>
    <row r="1724" spans="1:19" ht="16.5" x14ac:dyDescent="0.3">
      <c r="A1724" t="s">
        <v>1782</v>
      </c>
      <c r="B1724" s="1">
        <v>45529</v>
      </c>
      <c r="C1724" s="1">
        <v>45530</v>
      </c>
      <c r="D1724">
        <v>2024</v>
      </c>
      <c r="E1724" t="s">
        <v>1445</v>
      </c>
      <c r="F1724" t="s">
        <v>1651</v>
      </c>
      <c r="G1724" t="s">
        <v>112</v>
      </c>
      <c r="H1724" t="s">
        <v>35</v>
      </c>
      <c r="I1724" t="s">
        <v>40</v>
      </c>
      <c r="J1724" t="s">
        <v>25</v>
      </c>
      <c r="K1724" t="s">
        <v>32</v>
      </c>
      <c r="L1724" t="s">
        <v>44</v>
      </c>
      <c r="M1724">
        <v>1</v>
      </c>
      <c r="N1724" s="2"/>
      <c r="O1724" s="3">
        <v>1503</v>
      </c>
      <c r="P1724">
        <v>0</v>
      </c>
      <c r="Q1724">
        <v>5</v>
      </c>
      <c r="R1724" t="s">
        <v>33</v>
      </c>
      <c r="S1724">
        <v>1</v>
      </c>
    </row>
    <row r="1725" spans="1:19" ht="16.5" x14ac:dyDescent="0.3">
      <c r="A1725" t="s">
        <v>1783</v>
      </c>
      <c r="B1725" s="1">
        <v>45529</v>
      </c>
      <c r="C1725" s="1">
        <v>45533</v>
      </c>
      <c r="D1725">
        <v>2024</v>
      </c>
      <c r="E1725" t="s">
        <v>1445</v>
      </c>
      <c r="F1725" t="s">
        <v>1651</v>
      </c>
      <c r="G1725" t="s">
        <v>112</v>
      </c>
      <c r="H1725" t="s">
        <v>35</v>
      </c>
      <c r="I1725" t="s">
        <v>24</v>
      </c>
      <c r="J1725" t="s">
        <v>25</v>
      </c>
      <c r="K1725" t="s">
        <v>32</v>
      </c>
      <c r="L1725" t="s">
        <v>44</v>
      </c>
      <c r="M1725">
        <v>4</v>
      </c>
      <c r="N1725" s="2">
        <v>29</v>
      </c>
      <c r="O1725" s="3">
        <v>3328</v>
      </c>
      <c r="P1725">
        <v>0</v>
      </c>
      <c r="Q1725">
        <v>4</v>
      </c>
      <c r="R1725" t="s">
        <v>33</v>
      </c>
      <c r="S1725">
        <v>1</v>
      </c>
    </row>
    <row r="1726" spans="1:19" ht="16.5" x14ac:dyDescent="0.3">
      <c r="A1726" t="s">
        <v>1784</v>
      </c>
      <c r="B1726" s="1">
        <v>45529</v>
      </c>
      <c r="C1726" s="1">
        <v>45533</v>
      </c>
      <c r="D1726">
        <v>2024</v>
      </c>
      <c r="E1726" t="s">
        <v>1445</v>
      </c>
      <c r="F1726" t="s">
        <v>1651</v>
      </c>
      <c r="G1726" t="s">
        <v>112</v>
      </c>
      <c r="H1726" t="s">
        <v>52</v>
      </c>
      <c r="I1726" t="s">
        <v>40</v>
      </c>
      <c r="J1726" t="s">
        <v>43</v>
      </c>
      <c r="K1726" t="s">
        <v>32</v>
      </c>
      <c r="L1726" t="s">
        <v>27</v>
      </c>
      <c r="M1726">
        <v>4</v>
      </c>
      <c r="N1726" s="2"/>
      <c r="O1726" s="3">
        <v>3734</v>
      </c>
      <c r="P1726">
        <v>0</v>
      </c>
      <c r="Q1726">
        <v>4</v>
      </c>
      <c r="R1726" t="s">
        <v>33</v>
      </c>
      <c r="S1726">
        <v>1</v>
      </c>
    </row>
    <row r="1727" spans="1:19" ht="16.5" x14ac:dyDescent="0.3">
      <c r="A1727" t="s">
        <v>1785</v>
      </c>
      <c r="B1727" s="1">
        <v>45529</v>
      </c>
      <c r="C1727" s="1">
        <v>45530</v>
      </c>
      <c r="D1727">
        <v>2024</v>
      </c>
      <c r="E1727" t="s">
        <v>1445</v>
      </c>
      <c r="F1727" t="s">
        <v>1651</v>
      </c>
      <c r="G1727" t="s">
        <v>112</v>
      </c>
      <c r="H1727" t="s">
        <v>35</v>
      </c>
      <c r="I1727" t="s">
        <v>40</v>
      </c>
      <c r="J1727" t="s">
        <v>25</v>
      </c>
      <c r="K1727" t="s">
        <v>36</v>
      </c>
      <c r="L1727" t="s">
        <v>27</v>
      </c>
      <c r="M1727">
        <v>1</v>
      </c>
      <c r="N1727" s="2"/>
      <c r="O1727" s="3">
        <v>1842</v>
      </c>
      <c r="P1727">
        <v>0</v>
      </c>
      <c r="Q1727">
        <v>4</v>
      </c>
      <c r="R1727" t="s">
        <v>33</v>
      </c>
      <c r="S1727">
        <v>1</v>
      </c>
    </row>
    <row r="1728" spans="1:19" ht="16.5" x14ac:dyDescent="0.3">
      <c r="A1728" t="s">
        <v>1786</v>
      </c>
      <c r="B1728" s="1">
        <v>45529</v>
      </c>
      <c r="C1728" s="1">
        <v>45531</v>
      </c>
      <c r="D1728">
        <v>2024</v>
      </c>
      <c r="E1728" t="s">
        <v>1445</v>
      </c>
      <c r="F1728" t="s">
        <v>1651</v>
      </c>
      <c r="G1728" t="s">
        <v>112</v>
      </c>
      <c r="H1728" t="s">
        <v>30</v>
      </c>
      <c r="I1728" t="s">
        <v>40</v>
      </c>
      <c r="J1728" t="s">
        <v>25</v>
      </c>
      <c r="K1728" t="s">
        <v>26</v>
      </c>
      <c r="L1728" t="s">
        <v>27</v>
      </c>
      <c r="M1728">
        <v>2</v>
      </c>
      <c r="N1728" s="2"/>
      <c r="O1728" s="3">
        <v>2199</v>
      </c>
      <c r="P1728">
        <v>0</v>
      </c>
      <c r="Q1728">
        <v>5</v>
      </c>
      <c r="R1728" t="s">
        <v>33</v>
      </c>
      <c r="S1728">
        <v>1</v>
      </c>
    </row>
    <row r="1729" spans="1:19" ht="16.5" x14ac:dyDescent="0.3">
      <c r="A1729" t="s">
        <v>1787</v>
      </c>
      <c r="B1729" s="1">
        <v>45529</v>
      </c>
      <c r="C1729" s="1">
        <v>45532</v>
      </c>
      <c r="D1729">
        <v>2024</v>
      </c>
      <c r="E1729" t="s">
        <v>1445</v>
      </c>
      <c r="F1729" t="s">
        <v>1651</v>
      </c>
      <c r="G1729" t="s">
        <v>112</v>
      </c>
      <c r="H1729" t="s">
        <v>35</v>
      </c>
      <c r="I1729" t="s">
        <v>24</v>
      </c>
      <c r="J1729" t="s">
        <v>25</v>
      </c>
      <c r="K1729" t="s">
        <v>36</v>
      </c>
      <c r="L1729" t="s">
        <v>44</v>
      </c>
      <c r="M1729">
        <v>3</v>
      </c>
      <c r="N1729" s="2">
        <v>73</v>
      </c>
      <c r="O1729" s="3">
        <v>2523</v>
      </c>
      <c r="P1729">
        <v>0</v>
      </c>
      <c r="Q1729">
        <v>5</v>
      </c>
      <c r="R1729" t="s">
        <v>28</v>
      </c>
      <c r="S1729">
        <v>1</v>
      </c>
    </row>
    <row r="1730" spans="1:19" ht="16.5" x14ac:dyDescent="0.3">
      <c r="A1730" t="s">
        <v>1788</v>
      </c>
      <c r="B1730" s="1">
        <v>45529</v>
      </c>
      <c r="C1730" s="1">
        <v>45536</v>
      </c>
      <c r="D1730">
        <v>2024</v>
      </c>
      <c r="E1730" t="s">
        <v>1445</v>
      </c>
      <c r="F1730" t="s">
        <v>1651</v>
      </c>
      <c r="G1730" t="s">
        <v>112</v>
      </c>
      <c r="H1730" t="s">
        <v>35</v>
      </c>
      <c r="I1730" t="s">
        <v>24</v>
      </c>
      <c r="J1730" t="s">
        <v>25</v>
      </c>
      <c r="K1730" t="s">
        <v>32</v>
      </c>
      <c r="L1730" t="s">
        <v>44</v>
      </c>
      <c r="M1730">
        <v>7</v>
      </c>
      <c r="N1730" s="2">
        <v>55</v>
      </c>
      <c r="O1730" s="3">
        <v>4621</v>
      </c>
      <c r="P1730">
        <v>0</v>
      </c>
      <c r="Q1730">
        <v>5</v>
      </c>
      <c r="R1730" t="s">
        <v>165</v>
      </c>
      <c r="S1730">
        <v>1</v>
      </c>
    </row>
    <row r="1731" spans="1:19" ht="16.5" x14ac:dyDescent="0.3">
      <c r="A1731" t="s">
        <v>1789</v>
      </c>
      <c r="B1731" s="1">
        <v>45530</v>
      </c>
      <c r="C1731" s="1">
        <v>45533</v>
      </c>
      <c r="D1731">
        <v>2024</v>
      </c>
      <c r="E1731" t="s">
        <v>1445</v>
      </c>
      <c r="F1731" t="s">
        <v>1651</v>
      </c>
      <c r="G1731" t="s">
        <v>22</v>
      </c>
      <c r="H1731" t="s">
        <v>30</v>
      </c>
      <c r="I1731" t="s">
        <v>40</v>
      </c>
      <c r="J1731" t="s">
        <v>25</v>
      </c>
      <c r="K1731" t="s">
        <v>53</v>
      </c>
      <c r="L1731" t="s">
        <v>44</v>
      </c>
      <c r="M1731">
        <v>3</v>
      </c>
      <c r="N1731" s="2"/>
      <c r="O1731" s="3">
        <v>3565</v>
      </c>
      <c r="P1731">
        <v>0</v>
      </c>
      <c r="Q1731">
        <v>4</v>
      </c>
      <c r="R1731" t="s">
        <v>33</v>
      </c>
      <c r="S1731">
        <v>1</v>
      </c>
    </row>
    <row r="1732" spans="1:19" ht="16.5" x14ac:dyDescent="0.3">
      <c r="A1732" t="s">
        <v>1790</v>
      </c>
      <c r="B1732" s="1">
        <v>45531</v>
      </c>
      <c r="C1732" s="1">
        <v>45537</v>
      </c>
      <c r="D1732">
        <v>2024</v>
      </c>
      <c r="E1732" t="s">
        <v>1445</v>
      </c>
      <c r="F1732" t="s">
        <v>1651</v>
      </c>
      <c r="G1732" t="s">
        <v>56</v>
      </c>
      <c r="H1732" t="s">
        <v>30</v>
      </c>
      <c r="I1732" t="s">
        <v>24</v>
      </c>
      <c r="J1732" t="s">
        <v>43</v>
      </c>
      <c r="K1732" t="s">
        <v>53</v>
      </c>
      <c r="L1732" t="s">
        <v>44</v>
      </c>
      <c r="M1732">
        <v>6</v>
      </c>
      <c r="N1732" s="2">
        <v>19</v>
      </c>
      <c r="O1732" s="3">
        <v>4694</v>
      </c>
      <c r="P1732">
        <v>0</v>
      </c>
      <c r="Q1732">
        <v>4</v>
      </c>
      <c r="R1732" t="s">
        <v>59</v>
      </c>
      <c r="S1732">
        <v>1</v>
      </c>
    </row>
    <row r="1733" spans="1:19" ht="16.5" x14ac:dyDescent="0.3">
      <c r="A1733" t="s">
        <v>1791</v>
      </c>
      <c r="B1733" s="1">
        <v>45531</v>
      </c>
      <c r="C1733" s="1">
        <v>45532</v>
      </c>
      <c r="D1733">
        <v>2024</v>
      </c>
      <c r="E1733" t="s">
        <v>1445</v>
      </c>
      <c r="F1733" t="s">
        <v>1651</v>
      </c>
      <c r="G1733" t="s">
        <v>56</v>
      </c>
      <c r="H1733" t="s">
        <v>50</v>
      </c>
      <c r="I1733" t="s">
        <v>24</v>
      </c>
      <c r="J1733" t="s">
        <v>25</v>
      </c>
      <c r="K1733" t="s">
        <v>53</v>
      </c>
      <c r="L1733" t="s">
        <v>44</v>
      </c>
      <c r="M1733">
        <v>1</v>
      </c>
      <c r="N1733" s="2">
        <v>24</v>
      </c>
      <c r="O1733" s="3">
        <v>1821</v>
      </c>
      <c r="P1733">
        <v>0</v>
      </c>
      <c r="Q1733">
        <v>5</v>
      </c>
      <c r="R1733" t="s">
        <v>33</v>
      </c>
      <c r="S1733">
        <v>1</v>
      </c>
    </row>
    <row r="1734" spans="1:19" ht="16.5" x14ac:dyDescent="0.3">
      <c r="A1734" t="s">
        <v>1792</v>
      </c>
      <c r="B1734" s="1">
        <v>45531</v>
      </c>
      <c r="C1734" s="1">
        <v>45535</v>
      </c>
      <c r="D1734">
        <v>2024</v>
      </c>
      <c r="E1734" t="s">
        <v>1445</v>
      </c>
      <c r="F1734" t="s">
        <v>1651</v>
      </c>
      <c r="G1734" t="s">
        <v>56</v>
      </c>
      <c r="H1734" t="s">
        <v>52</v>
      </c>
      <c r="I1734" t="s">
        <v>40</v>
      </c>
      <c r="J1734" t="s">
        <v>43</v>
      </c>
      <c r="K1734" t="s">
        <v>53</v>
      </c>
      <c r="L1734" t="s">
        <v>37</v>
      </c>
      <c r="M1734">
        <v>4</v>
      </c>
      <c r="N1734" s="2"/>
      <c r="O1734" s="3">
        <v>4363</v>
      </c>
      <c r="P1734">
        <v>0</v>
      </c>
      <c r="Q1734">
        <v>4</v>
      </c>
      <c r="R1734" t="s">
        <v>28</v>
      </c>
      <c r="S1734">
        <v>1</v>
      </c>
    </row>
    <row r="1735" spans="1:19" ht="16.5" x14ac:dyDescent="0.3">
      <c r="A1735" t="s">
        <v>1793</v>
      </c>
      <c r="B1735" s="1">
        <v>45531</v>
      </c>
      <c r="C1735" s="1">
        <v>45534</v>
      </c>
      <c r="D1735">
        <v>2024</v>
      </c>
      <c r="E1735" t="s">
        <v>1445</v>
      </c>
      <c r="F1735" t="s">
        <v>1651</v>
      </c>
      <c r="G1735" t="s">
        <v>56</v>
      </c>
      <c r="H1735" t="s">
        <v>39</v>
      </c>
      <c r="I1735" t="s">
        <v>24</v>
      </c>
      <c r="J1735" t="s">
        <v>43</v>
      </c>
      <c r="K1735" t="s">
        <v>41</v>
      </c>
      <c r="L1735" t="s">
        <v>44</v>
      </c>
      <c r="M1735">
        <v>3</v>
      </c>
      <c r="N1735" s="2">
        <v>39</v>
      </c>
      <c r="O1735" s="3">
        <v>1860</v>
      </c>
      <c r="P1735">
        <v>0</v>
      </c>
      <c r="Q1735">
        <v>4</v>
      </c>
      <c r="R1735" t="s">
        <v>33</v>
      </c>
      <c r="S1735">
        <v>1</v>
      </c>
    </row>
    <row r="1736" spans="1:19" ht="16.5" x14ac:dyDescent="0.3">
      <c r="A1736" t="s">
        <v>1794</v>
      </c>
      <c r="B1736" s="1">
        <v>45532</v>
      </c>
      <c r="C1736" s="1">
        <v>45539</v>
      </c>
      <c r="D1736">
        <v>2024</v>
      </c>
      <c r="E1736" t="s">
        <v>1445</v>
      </c>
      <c r="F1736" t="s">
        <v>1651</v>
      </c>
      <c r="G1736" t="s">
        <v>70</v>
      </c>
      <c r="H1736" t="s">
        <v>50</v>
      </c>
      <c r="I1736" t="s">
        <v>24</v>
      </c>
      <c r="J1736" t="s">
        <v>43</v>
      </c>
      <c r="K1736" t="s">
        <v>26</v>
      </c>
      <c r="L1736" t="s">
        <v>27</v>
      </c>
      <c r="M1736">
        <v>7</v>
      </c>
      <c r="N1736" s="2">
        <v>39</v>
      </c>
      <c r="O1736" s="3">
        <v>9121</v>
      </c>
      <c r="P1736">
        <v>0</v>
      </c>
      <c r="Q1736">
        <v>4</v>
      </c>
      <c r="R1736" t="s">
        <v>33</v>
      </c>
      <c r="S1736">
        <v>1</v>
      </c>
    </row>
    <row r="1737" spans="1:19" ht="16.5" x14ac:dyDescent="0.3">
      <c r="A1737" t="s">
        <v>1795</v>
      </c>
      <c r="B1737" s="1">
        <v>45532</v>
      </c>
      <c r="C1737" s="1">
        <v>45538</v>
      </c>
      <c r="D1737">
        <v>2024</v>
      </c>
      <c r="E1737" t="s">
        <v>1445</v>
      </c>
      <c r="F1737" t="s">
        <v>1651</v>
      </c>
      <c r="G1737" t="s">
        <v>70</v>
      </c>
      <c r="H1737" t="s">
        <v>50</v>
      </c>
      <c r="I1737" t="s">
        <v>40</v>
      </c>
      <c r="J1737" t="s">
        <v>43</v>
      </c>
      <c r="K1737" t="s">
        <v>26</v>
      </c>
      <c r="L1737" t="s">
        <v>27</v>
      </c>
      <c r="M1737">
        <v>6</v>
      </c>
      <c r="N1737" s="2"/>
      <c r="O1737" s="3">
        <v>5790</v>
      </c>
      <c r="P1737">
        <v>0</v>
      </c>
      <c r="Q1737">
        <v>3</v>
      </c>
      <c r="R1737" t="s">
        <v>28</v>
      </c>
      <c r="S1737">
        <v>1</v>
      </c>
    </row>
    <row r="1738" spans="1:19" ht="16.5" x14ac:dyDescent="0.3">
      <c r="A1738" t="s">
        <v>1796</v>
      </c>
      <c r="B1738" s="1">
        <v>45532</v>
      </c>
      <c r="C1738" s="1">
        <v>45536</v>
      </c>
      <c r="D1738">
        <v>2024</v>
      </c>
      <c r="E1738" t="s">
        <v>1445</v>
      </c>
      <c r="F1738" t="s">
        <v>1651</v>
      </c>
      <c r="G1738" t="s">
        <v>70</v>
      </c>
      <c r="H1738" t="s">
        <v>39</v>
      </c>
      <c r="I1738" t="s">
        <v>24</v>
      </c>
      <c r="J1738" t="s">
        <v>43</v>
      </c>
      <c r="K1738" t="s">
        <v>41</v>
      </c>
      <c r="L1738" t="s">
        <v>27</v>
      </c>
      <c r="M1738">
        <v>4</v>
      </c>
      <c r="N1738" s="2">
        <v>44</v>
      </c>
      <c r="O1738" s="3">
        <v>3450</v>
      </c>
      <c r="P1738">
        <v>0</v>
      </c>
      <c r="Q1738">
        <v>4</v>
      </c>
      <c r="R1738" t="s">
        <v>33</v>
      </c>
      <c r="S1738">
        <v>1</v>
      </c>
    </row>
    <row r="1739" spans="1:19" ht="16.5" x14ac:dyDescent="0.3">
      <c r="A1739" t="s">
        <v>1797</v>
      </c>
      <c r="B1739" s="1">
        <v>45532</v>
      </c>
      <c r="C1739" s="1">
        <v>45535</v>
      </c>
      <c r="D1739">
        <v>2024</v>
      </c>
      <c r="E1739" t="s">
        <v>1445</v>
      </c>
      <c r="F1739" t="s">
        <v>1651</v>
      </c>
      <c r="G1739" t="s">
        <v>70</v>
      </c>
      <c r="H1739" t="s">
        <v>52</v>
      </c>
      <c r="I1739" t="s">
        <v>40</v>
      </c>
      <c r="J1739" t="s">
        <v>43</v>
      </c>
      <c r="K1739" t="s">
        <v>53</v>
      </c>
      <c r="L1739" t="s">
        <v>44</v>
      </c>
      <c r="M1739">
        <v>3</v>
      </c>
      <c r="N1739" s="2"/>
      <c r="O1739" s="3">
        <v>3706</v>
      </c>
      <c r="P1739">
        <v>0</v>
      </c>
      <c r="Q1739">
        <v>5</v>
      </c>
      <c r="R1739" t="s">
        <v>33</v>
      </c>
      <c r="S1739">
        <v>1</v>
      </c>
    </row>
    <row r="1740" spans="1:19" ht="16.5" x14ac:dyDescent="0.3">
      <c r="A1740" t="s">
        <v>1798</v>
      </c>
      <c r="B1740" s="1">
        <v>45533</v>
      </c>
      <c r="C1740" s="1">
        <v>45536</v>
      </c>
      <c r="D1740">
        <v>2024</v>
      </c>
      <c r="E1740" t="s">
        <v>1445</v>
      </c>
      <c r="F1740" t="s">
        <v>1651</v>
      </c>
      <c r="G1740" t="s">
        <v>78</v>
      </c>
      <c r="H1740" t="s">
        <v>52</v>
      </c>
      <c r="I1740" t="s">
        <v>40</v>
      </c>
      <c r="J1740" t="s">
        <v>25</v>
      </c>
      <c r="K1740" t="s">
        <v>26</v>
      </c>
      <c r="L1740" t="s">
        <v>44</v>
      </c>
      <c r="M1740">
        <v>3</v>
      </c>
      <c r="N1740" s="2"/>
      <c r="O1740" s="3">
        <v>2763</v>
      </c>
      <c r="P1740">
        <v>0</v>
      </c>
      <c r="Q1740">
        <v>5</v>
      </c>
      <c r="R1740" t="s">
        <v>28</v>
      </c>
      <c r="S1740">
        <v>1</v>
      </c>
    </row>
    <row r="1741" spans="1:19" ht="16.5" x14ac:dyDescent="0.3">
      <c r="A1741" t="s">
        <v>1799</v>
      </c>
      <c r="B1741" s="1">
        <v>45533</v>
      </c>
      <c r="C1741" s="1">
        <v>45537</v>
      </c>
      <c r="D1741">
        <v>2024</v>
      </c>
      <c r="E1741" t="s">
        <v>1445</v>
      </c>
      <c r="F1741" t="s">
        <v>1651</v>
      </c>
      <c r="G1741" t="s">
        <v>78</v>
      </c>
      <c r="H1741" t="s">
        <v>35</v>
      </c>
      <c r="I1741" t="s">
        <v>24</v>
      </c>
      <c r="J1741" t="s">
        <v>25</v>
      </c>
      <c r="K1741" t="s">
        <v>36</v>
      </c>
      <c r="L1741" t="s">
        <v>44</v>
      </c>
      <c r="M1741">
        <v>4</v>
      </c>
      <c r="N1741" s="2">
        <v>14</v>
      </c>
      <c r="O1741" s="3">
        <v>3144</v>
      </c>
      <c r="P1741">
        <v>0</v>
      </c>
      <c r="Q1741">
        <v>5</v>
      </c>
      <c r="R1741" t="s">
        <v>33</v>
      </c>
      <c r="S1741">
        <v>1</v>
      </c>
    </row>
    <row r="1742" spans="1:19" ht="16.5" x14ac:dyDescent="0.3">
      <c r="A1742" t="s">
        <v>1800</v>
      </c>
      <c r="B1742" s="1">
        <v>45533</v>
      </c>
      <c r="C1742" s="1">
        <v>45534</v>
      </c>
      <c r="D1742">
        <v>2024</v>
      </c>
      <c r="E1742" t="s">
        <v>1445</v>
      </c>
      <c r="F1742" t="s">
        <v>1651</v>
      </c>
      <c r="G1742" t="s">
        <v>78</v>
      </c>
      <c r="H1742" t="s">
        <v>39</v>
      </c>
      <c r="I1742" t="s">
        <v>24</v>
      </c>
      <c r="J1742" t="s">
        <v>43</v>
      </c>
      <c r="K1742" t="s">
        <v>41</v>
      </c>
      <c r="L1742" t="s">
        <v>44</v>
      </c>
      <c r="M1742">
        <v>1</v>
      </c>
      <c r="N1742" s="2">
        <v>28</v>
      </c>
      <c r="O1742" s="3">
        <v>1011</v>
      </c>
      <c r="P1742">
        <v>0</v>
      </c>
      <c r="Q1742">
        <v>5</v>
      </c>
      <c r="R1742" t="s">
        <v>33</v>
      </c>
      <c r="S1742">
        <v>1</v>
      </c>
    </row>
    <row r="1743" spans="1:19" ht="16.5" x14ac:dyDescent="0.3">
      <c r="A1743" t="s">
        <v>1801</v>
      </c>
      <c r="B1743" s="1">
        <v>45533</v>
      </c>
      <c r="C1743" s="1">
        <v>45536</v>
      </c>
      <c r="D1743">
        <v>2024</v>
      </c>
      <c r="E1743" t="s">
        <v>1445</v>
      </c>
      <c r="F1743" t="s">
        <v>1651</v>
      </c>
      <c r="G1743" t="s">
        <v>78</v>
      </c>
      <c r="H1743" t="s">
        <v>30</v>
      </c>
      <c r="I1743" t="s">
        <v>40</v>
      </c>
      <c r="J1743" t="s">
        <v>43</v>
      </c>
      <c r="K1743" t="s">
        <v>53</v>
      </c>
      <c r="L1743" t="s">
        <v>27</v>
      </c>
      <c r="M1743">
        <v>3</v>
      </c>
      <c r="N1743" s="2"/>
      <c r="O1743" s="3">
        <v>3460</v>
      </c>
      <c r="P1743">
        <v>0</v>
      </c>
      <c r="Q1743">
        <v>5</v>
      </c>
      <c r="R1743" t="s">
        <v>33</v>
      </c>
      <c r="S1743">
        <v>1</v>
      </c>
    </row>
    <row r="1744" spans="1:19" ht="16.5" x14ac:dyDescent="0.3">
      <c r="A1744" t="s">
        <v>1802</v>
      </c>
      <c r="B1744" s="1">
        <v>45533</v>
      </c>
      <c r="C1744" s="1">
        <v>45536</v>
      </c>
      <c r="D1744">
        <v>2024</v>
      </c>
      <c r="E1744" t="s">
        <v>1445</v>
      </c>
      <c r="F1744" t="s">
        <v>1651</v>
      </c>
      <c r="G1744" t="s">
        <v>78</v>
      </c>
      <c r="H1744" t="s">
        <v>39</v>
      </c>
      <c r="I1744" t="s">
        <v>24</v>
      </c>
      <c r="J1744" t="s">
        <v>25</v>
      </c>
      <c r="K1744" t="s">
        <v>41</v>
      </c>
      <c r="L1744" t="s">
        <v>44</v>
      </c>
      <c r="M1744">
        <v>3</v>
      </c>
      <c r="N1744" s="2">
        <v>98</v>
      </c>
      <c r="O1744" s="3">
        <v>2464</v>
      </c>
      <c r="P1744">
        <v>0</v>
      </c>
      <c r="Q1744">
        <v>4</v>
      </c>
      <c r="R1744" t="s">
        <v>33</v>
      </c>
      <c r="S1744">
        <v>1</v>
      </c>
    </row>
    <row r="1745" spans="1:19" ht="16.5" x14ac:dyDescent="0.3">
      <c r="A1745" t="s">
        <v>1803</v>
      </c>
      <c r="B1745" s="1">
        <v>45533</v>
      </c>
      <c r="C1745" s="1">
        <v>45538</v>
      </c>
      <c r="D1745">
        <v>2024</v>
      </c>
      <c r="E1745" t="s">
        <v>1445</v>
      </c>
      <c r="F1745" t="s">
        <v>1651</v>
      </c>
      <c r="G1745" t="s">
        <v>78</v>
      </c>
      <c r="H1745" t="s">
        <v>52</v>
      </c>
      <c r="I1745" t="s">
        <v>31</v>
      </c>
      <c r="J1745" t="s">
        <v>25</v>
      </c>
      <c r="K1745" t="s">
        <v>32</v>
      </c>
      <c r="L1745" t="s">
        <v>27</v>
      </c>
      <c r="M1745">
        <v>5</v>
      </c>
      <c r="N1745" s="2"/>
      <c r="O1745" s="3">
        <v>6097</v>
      </c>
      <c r="P1745">
        <v>0</v>
      </c>
      <c r="Q1745">
        <v>4</v>
      </c>
      <c r="R1745" t="s">
        <v>33</v>
      </c>
      <c r="S1745">
        <v>1</v>
      </c>
    </row>
    <row r="1746" spans="1:19" ht="16.5" x14ac:dyDescent="0.3">
      <c r="A1746" t="s">
        <v>1804</v>
      </c>
      <c r="B1746" s="1">
        <v>45533</v>
      </c>
      <c r="C1746" s="1">
        <v>45539</v>
      </c>
      <c r="D1746">
        <v>2024</v>
      </c>
      <c r="E1746" t="s">
        <v>1445</v>
      </c>
      <c r="F1746" t="s">
        <v>1651</v>
      </c>
      <c r="G1746" t="s">
        <v>78</v>
      </c>
      <c r="H1746" t="s">
        <v>50</v>
      </c>
      <c r="I1746" t="s">
        <v>40</v>
      </c>
      <c r="J1746" t="s">
        <v>25</v>
      </c>
      <c r="K1746" t="s">
        <v>26</v>
      </c>
      <c r="L1746" t="s">
        <v>27</v>
      </c>
      <c r="M1746">
        <v>6</v>
      </c>
      <c r="N1746" s="2"/>
      <c r="O1746" s="3">
        <v>5547</v>
      </c>
      <c r="P1746">
        <v>0</v>
      </c>
      <c r="Q1746">
        <v>5</v>
      </c>
      <c r="R1746" t="s">
        <v>33</v>
      </c>
      <c r="S1746">
        <v>1</v>
      </c>
    </row>
    <row r="1747" spans="1:19" ht="16.5" x14ac:dyDescent="0.3">
      <c r="A1747" t="s">
        <v>1805</v>
      </c>
      <c r="B1747" s="1">
        <v>45534</v>
      </c>
      <c r="C1747" s="1">
        <v>45535</v>
      </c>
      <c r="D1747">
        <v>2024</v>
      </c>
      <c r="E1747" t="s">
        <v>1445</v>
      </c>
      <c r="F1747" t="s">
        <v>1651</v>
      </c>
      <c r="G1747" t="s">
        <v>83</v>
      </c>
      <c r="H1747" t="s">
        <v>35</v>
      </c>
      <c r="I1747" t="s">
        <v>40</v>
      </c>
      <c r="J1747" t="s">
        <v>25</v>
      </c>
      <c r="K1747" t="s">
        <v>36</v>
      </c>
      <c r="L1747" t="s">
        <v>44</v>
      </c>
      <c r="M1747">
        <v>1</v>
      </c>
      <c r="N1747" s="2"/>
      <c r="O1747" s="3">
        <v>1487</v>
      </c>
      <c r="P1747">
        <v>0</v>
      </c>
      <c r="Q1747">
        <v>5</v>
      </c>
      <c r="R1747" t="s">
        <v>33</v>
      </c>
      <c r="S1747">
        <v>1</v>
      </c>
    </row>
    <row r="1748" spans="1:19" ht="16.5" x14ac:dyDescent="0.3">
      <c r="A1748" t="s">
        <v>1806</v>
      </c>
      <c r="B1748" s="1">
        <v>45534</v>
      </c>
      <c r="C1748" s="1">
        <v>45535</v>
      </c>
      <c r="D1748">
        <v>2024</v>
      </c>
      <c r="E1748" t="s">
        <v>1445</v>
      </c>
      <c r="F1748" t="s">
        <v>1651</v>
      </c>
      <c r="G1748" t="s">
        <v>83</v>
      </c>
      <c r="H1748" t="s">
        <v>39</v>
      </c>
      <c r="I1748" t="s">
        <v>24</v>
      </c>
      <c r="J1748" t="s">
        <v>25</v>
      </c>
      <c r="K1748" t="s">
        <v>41</v>
      </c>
      <c r="L1748" t="s">
        <v>44</v>
      </c>
      <c r="M1748">
        <v>1</v>
      </c>
      <c r="N1748" s="2">
        <v>94</v>
      </c>
      <c r="O1748" s="3">
        <v>1518</v>
      </c>
      <c r="P1748">
        <v>0</v>
      </c>
      <c r="Q1748">
        <v>3</v>
      </c>
      <c r="R1748" t="s">
        <v>28</v>
      </c>
      <c r="S1748">
        <v>1</v>
      </c>
    </row>
    <row r="1749" spans="1:19" ht="16.5" x14ac:dyDescent="0.3">
      <c r="A1749" t="s">
        <v>1807</v>
      </c>
      <c r="B1749" s="1">
        <v>45534</v>
      </c>
      <c r="C1749" s="1">
        <v>45539</v>
      </c>
      <c r="D1749">
        <v>2024</v>
      </c>
      <c r="E1749" t="s">
        <v>1445</v>
      </c>
      <c r="F1749" t="s">
        <v>1651</v>
      </c>
      <c r="G1749" t="s">
        <v>83</v>
      </c>
      <c r="H1749" t="s">
        <v>52</v>
      </c>
      <c r="I1749" t="s">
        <v>40</v>
      </c>
      <c r="J1749" t="s">
        <v>25</v>
      </c>
      <c r="K1749" t="s">
        <v>26</v>
      </c>
      <c r="L1749" t="s">
        <v>27</v>
      </c>
      <c r="M1749">
        <v>5</v>
      </c>
      <c r="N1749" s="2"/>
      <c r="O1749" s="3">
        <v>5545</v>
      </c>
      <c r="P1749">
        <v>0</v>
      </c>
      <c r="Q1749">
        <v>4</v>
      </c>
      <c r="R1749" t="s">
        <v>33</v>
      </c>
      <c r="S1749">
        <v>1</v>
      </c>
    </row>
    <row r="1750" spans="1:19" ht="16.5" x14ac:dyDescent="0.3">
      <c r="A1750" t="s">
        <v>1808</v>
      </c>
      <c r="B1750" s="1">
        <v>45534</v>
      </c>
      <c r="C1750" s="1">
        <v>45538</v>
      </c>
      <c r="D1750">
        <v>2024</v>
      </c>
      <c r="E1750" t="s">
        <v>1445</v>
      </c>
      <c r="F1750" t="s">
        <v>1651</v>
      </c>
      <c r="G1750" t="s">
        <v>83</v>
      </c>
      <c r="H1750" t="s">
        <v>39</v>
      </c>
      <c r="I1750" t="s">
        <v>24</v>
      </c>
      <c r="J1750" t="s">
        <v>25</v>
      </c>
      <c r="K1750" t="s">
        <v>41</v>
      </c>
      <c r="L1750" t="s">
        <v>27</v>
      </c>
      <c r="M1750">
        <v>4</v>
      </c>
      <c r="N1750" s="2">
        <v>31</v>
      </c>
      <c r="O1750" s="3">
        <v>2872</v>
      </c>
      <c r="P1750">
        <v>0</v>
      </c>
      <c r="Q1750">
        <v>4</v>
      </c>
      <c r="R1750" t="s">
        <v>28</v>
      </c>
      <c r="S1750">
        <v>1</v>
      </c>
    </row>
    <row r="1751" spans="1:19" ht="16.5" x14ac:dyDescent="0.3">
      <c r="A1751" t="s">
        <v>1809</v>
      </c>
      <c r="B1751" s="1">
        <v>45534</v>
      </c>
      <c r="C1751" s="1">
        <v>45535</v>
      </c>
      <c r="D1751">
        <v>2024</v>
      </c>
      <c r="E1751" t="s">
        <v>1445</v>
      </c>
      <c r="F1751" t="s">
        <v>1651</v>
      </c>
      <c r="G1751" t="s">
        <v>83</v>
      </c>
      <c r="H1751" t="s">
        <v>39</v>
      </c>
      <c r="I1751" t="s">
        <v>31</v>
      </c>
      <c r="J1751" t="s">
        <v>43</v>
      </c>
      <c r="K1751" t="s">
        <v>41</v>
      </c>
      <c r="L1751" t="s">
        <v>44</v>
      </c>
      <c r="M1751">
        <v>1</v>
      </c>
      <c r="N1751" s="2"/>
      <c r="O1751" s="3">
        <v>1304</v>
      </c>
      <c r="P1751">
        <v>0</v>
      </c>
      <c r="Q1751">
        <v>4</v>
      </c>
      <c r="R1751" t="s">
        <v>33</v>
      </c>
      <c r="S1751">
        <v>1</v>
      </c>
    </row>
    <row r="1752" spans="1:19" ht="16.5" x14ac:dyDescent="0.3">
      <c r="A1752" t="s">
        <v>1810</v>
      </c>
      <c r="B1752" s="1">
        <v>45534</v>
      </c>
      <c r="C1752" s="1">
        <v>45535</v>
      </c>
      <c r="D1752">
        <v>2024</v>
      </c>
      <c r="E1752" t="s">
        <v>1445</v>
      </c>
      <c r="F1752" t="s">
        <v>1651</v>
      </c>
      <c r="G1752" t="s">
        <v>83</v>
      </c>
      <c r="H1752" t="s">
        <v>39</v>
      </c>
      <c r="I1752" t="s">
        <v>31</v>
      </c>
      <c r="J1752" t="s">
        <v>25</v>
      </c>
      <c r="K1752" t="s">
        <v>41</v>
      </c>
      <c r="L1752" t="s">
        <v>27</v>
      </c>
      <c r="M1752">
        <v>1</v>
      </c>
      <c r="N1752" s="2"/>
      <c r="O1752" s="3">
        <v>1217</v>
      </c>
      <c r="P1752">
        <v>0</v>
      </c>
      <c r="Q1752">
        <v>4</v>
      </c>
      <c r="R1752" t="s">
        <v>59</v>
      </c>
      <c r="S1752">
        <v>1</v>
      </c>
    </row>
    <row r="1753" spans="1:19" ht="16.5" x14ac:dyDescent="0.3">
      <c r="A1753" t="s">
        <v>1811</v>
      </c>
      <c r="B1753" s="1">
        <v>45534</v>
      </c>
      <c r="C1753" s="1">
        <v>45536</v>
      </c>
      <c r="D1753">
        <v>2024</v>
      </c>
      <c r="E1753" t="s">
        <v>1445</v>
      </c>
      <c r="F1753" t="s">
        <v>1651</v>
      </c>
      <c r="G1753" t="s">
        <v>83</v>
      </c>
      <c r="H1753" t="s">
        <v>52</v>
      </c>
      <c r="I1753" t="s">
        <v>40</v>
      </c>
      <c r="J1753" t="s">
        <v>43</v>
      </c>
      <c r="K1753" t="s">
        <v>53</v>
      </c>
      <c r="L1753" t="s">
        <v>27</v>
      </c>
      <c r="M1753">
        <v>2</v>
      </c>
      <c r="N1753" s="2"/>
      <c r="O1753" s="3">
        <v>2486</v>
      </c>
      <c r="P1753">
        <v>1</v>
      </c>
      <c r="Q1753">
        <v>4</v>
      </c>
      <c r="R1753" t="s">
        <v>28</v>
      </c>
      <c r="S1753">
        <v>1</v>
      </c>
    </row>
    <row r="1754" spans="1:19" ht="16.5" x14ac:dyDescent="0.3">
      <c r="A1754" t="s">
        <v>1812</v>
      </c>
      <c r="B1754" s="1">
        <v>45534</v>
      </c>
      <c r="C1754" s="1">
        <v>45542</v>
      </c>
      <c r="D1754">
        <v>2024</v>
      </c>
      <c r="E1754" t="s">
        <v>1445</v>
      </c>
      <c r="F1754" t="s">
        <v>1651</v>
      </c>
      <c r="G1754" t="s">
        <v>83</v>
      </c>
      <c r="H1754" t="s">
        <v>39</v>
      </c>
      <c r="I1754" t="s">
        <v>24</v>
      </c>
      <c r="J1754" t="s">
        <v>43</v>
      </c>
      <c r="K1754" t="s">
        <v>41</v>
      </c>
      <c r="L1754" t="s">
        <v>27</v>
      </c>
      <c r="M1754">
        <v>8</v>
      </c>
      <c r="N1754" s="2">
        <v>93</v>
      </c>
      <c r="O1754" s="3">
        <v>6322</v>
      </c>
      <c r="P1754">
        <v>0</v>
      </c>
      <c r="Q1754">
        <v>3</v>
      </c>
      <c r="R1754" t="s">
        <v>33</v>
      </c>
      <c r="S1754">
        <v>1</v>
      </c>
    </row>
    <row r="1755" spans="1:19" ht="16.5" x14ac:dyDescent="0.3">
      <c r="A1755" t="s">
        <v>1813</v>
      </c>
      <c r="B1755" s="1">
        <v>45534</v>
      </c>
      <c r="C1755" s="1">
        <v>45538</v>
      </c>
      <c r="D1755">
        <v>2024</v>
      </c>
      <c r="E1755" t="s">
        <v>1445</v>
      </c>
      <c r="F1755" t="s">
        <v>1651</v>
      </c>
      <c r="G1755" t="s">
        <v>83</v>
      </c>
      <c r="H1755" t="s">
        <v>52</v>
      </c>
      <c r="I1755" t="s">
        <v>40</v>
      </c>
      <c r="J1755" t="s">
        <v>25</v>
      </c>
      <c r="K1755" t="s">
        <v>53</v>
      </c>
      <c r="L1755" t="s">
        <v>44</v>
      </c>
      <c r="M1755">
        <v>4</v>
      </c>
      <c r="N1755" s="2"/>
      <c r="O1755" s="3">
        <v>4486</v>
      </c>
      <c r="P1755">
        <v>1</v>
      </c>
      <c r="Q1755">
        <v>4</v>
      </c>
      <c r="R1755" t="s">
        <v>33</v>
      </c>
      <c r="S1755">
        <v>1</v>
      </c>
    </row>
    <row r="1756" spans="1:19" ht="16.5" x14ac:dyDescent="0.3">
      <c r="A1756" t="s">
        <v>1814</v>
      </c>
      <c r="B1756" s="1">
        <v>45534</v>
      </c>
      <c r="C1756" s="1">
        <v>45535</v>
      </c>
      <c r="D1756">
        <v>2024</v>
      </c>
      <c r="E1756" t="s">
        <v>1445</v>
      </c>
      <c r="F1756" t="s">
        <v>1651</v>
      </c>
      <c r="G1756" t="s">
        <v>83</v>
      </c>
      <c r="H1756" t="s">
        <v>39</v>
      </c>
      <c r="I1756" t="s">
        <v>40</v>
      </c>
      <c r="J1756" t="s">
        <v>25</v>
      </c>
      <c r="K1756" t="s">
        <v>41</v>
      </c>
      <c r="L1756" t="s">
        <v>44</v>
      </c>
      <c r="M1756">
        <v>1</v>
      </c>
      <c r="N1756" s="2"/>
      <c r="O1756" s="3">
        <v>1763</v>
      </c>
      <c r="P1756">
        <v>0</v>
      </c>
      <c r="Q1756">
        <v>4</v>
      </c>
      <c r="R1756" t="s">
        <v>28</v>
      </c>
      <c r="S1756">
        <v>1</v>
      </c>
    </row>
    <row r="1757" spans="1:19" ht="16.5" x14ac:dyDescent="0.3">
      <c r="A1757" t="s">
        <v>1815</v>
      </c>
      <c r="B1757" s="1">
        <v>45535</v>
      </c>
      <c r="C1757" s="1">
        <v>45542</v>
      </c>
      <c r="D1757">
        <v>2024</v>
      </c>
      <c r="E1757" t="s">
        <v>1445</v>
      </c>
      <c r="F1757" t="s">
        <v>1651</v>
      </c>
      <c r="G1757" t="s">
        <v>102</v>
      </c>
      <c r="H1757" t="s">
        <v>23</v>
      </c>
      <c r="I1757" t="s">
        <v>24</v>
      </c>
      <c r="J1757" t="s">
        <v>25</v>
      </c>
      <c r="K1757" t="s">
        <v>26</v>
      </c>
      <c r="L1757" t="s">
        <v>44</v>
      </c>
      <c r="M1757">
        <v>7</v>
      </c>
      <c r="N1757" s="2">
        <v>102</v>
      </c>
      <c r="O1757" s="3">
        <v>5867</v>
      </c>
      <c r="P1757">
        <v>0</v>
      </c>
      <c r="Q1757">
        <v>3</v>
      </c>
      <c r="R1757" t="s">
        <v>28</v>
      </c>
      <c r="S1757">
        <v>1</v>
      </c>
    </row>
    <row r="1758" spans="1:19" ht="16.5" x14ac:dyDescent="0.3">
      <c r="A1758" t="s">
        <v>1816</v>
      </c>
      <c r="B1758" s="1">
        <v>45535</v>
      </c>
      <c r="C1758" s="1">
        <v>45536</v>
      </c>
      <c r="D1758">
        <v>2024</v>
      </c>
      <c r="E1758" t="s">
        <v>1445</v>
      </c>
      <c r="F1758" t="s">
        <v>1651</v>
      </c>
      <c r="G1758" t="s">
        <v>102</v>
      </c>
      <c r="H1758" t="s">
        <v>52</v>
      </c>
      <c r="I1758" t="s">
        <v>40</v>
      </c>
      <c r="J1758" t="s">
        <v>25</v>
      </c>
      <c r="K1758" t="s">
        <v>26</v>
      </c>
      <c r="L1758" t="s">
        <v>44</v>
      </c>
      <c r="M1758">
        <v>1</v>
      </c>
      <c r="N1758" s="2"/>
      <c r="O1758" s="3">
        <v>1906</v>
      </c>
      <c r="P1758">
        <v>0</v>
      </c>
      <c r="Q1758">
        <v>3</v>
      </c>
      <c r="R1758" t="s">
        <v>33</v>
      </c>
      <c r="S1758">
        <v>1</v>
      </c>
    </row>
    <row r="1759" spans="1:19" ht="16.5" x14ac:dyDescent="0.3">
      <c r="A1759" t="s">
        <v>1817</v>
      </c>
      <c r="B1759" s="1">
        <v>45535</v>
      </c>
      <c r="C1759" s="1">
        <v>45536</v>
      </c>
      <c r="D1759">
        <v>2024</v>
      </c>
      <c r="E1759" t="s">
        <v>1445</v>
      </c>
      <c r="F1759" t="s">
        <v>1651</v>
      </c>
      <c r="G1759" t="s">
        <v>102</v>
      </c>
      <c r="H1759" t="s">
        <v>35</v>
      </c>
      <c r="I1759" t="s">
        <v>31</v>
      </c>
      <c r="J1759" t="s">
        <v>25</v>
      </c>
      <c r="K1759" t="s">
        <v>32</v>
      </c>
      <c r="L1759" t="s">
        <v>44</v>
      </c>
      <c r="M1759">
        <v>1</v>
      </c>
      <c r="N1759" s="2"/>
      <c r="O1759" s="3">
        <v>1888</v>
      </c>
      <c r="P1759">
        <v>1</v>
      </c>
      <c r="Q1759">
        <v>3</v>
      </c>
      <c r="R1759" t="s">
        <v>33</v>
      </c>
      <c r="S1759">
        <v>1</v>
      </c>
    </row>
    <row r="1760" spans="1:19" ht="16.5" x14ac:dyDescent="0.3">
      <c r="A1760" t="s">
        <v>1818</v>
      </c>
      <c r="B1760" s="1">
        <v>45535</v>
      </c>
      <c r="C1760" s="1">
        <v>45538</v>
      </c>
      <c r="D1760">
        <v>2024</v>
      </c>
      <c r="E1760" t="s">
        <v>1445</v>
      </c>
      <c r="F1760" t="s">
        <v>1651</v>
      </c>
      <c r="G1760" t="s">
        <v>102</v>
      </c>
      <c r="H1760" t="s">
        <v>35</v>
      </c>
      <c r="I1760" t="s">
        <v>24</v>
      </c>
      <c r="J1760" t="s">
        <v>25</v>
      </c>
      <c r="K1760" t="s">
        <v>36</v>
      </c>
      <c r="L1760" t="s">
        <v>44</v>
      </c>
      <c r="M1760">
        <v>3</v>
      </c>
      <c r="N1760" s="2">
        <v>255</v>
      </c>
      <c r="O1760" s="3">
        <v>2038</v>
      </c>
      <c r="P1760">
        <v>0</v>
      </c>
      <c r="Q1760">
        <v>4</v>
      </c>
      <c r="R1760" t="s">
        <v>33</v>
      </c>
      <c r="S1760">
        <v>1</v>
      </c>
    </row>
    <row r="1761" spans="1:19" ht="16.5" x14ac:dyDescent="0.3">
      <c r="A1761" t="s">
        <v>1819</v>
      </c>
      <c r="B1761" s="1">
        <v>45535</v>
      </c>
      <c r="C1761" s="1">
        <v>45538</v>
      </c>
      <c r="D1761">
        <v>2024</v>
      </c>
      <c r="E1761" t="s">
        <v>1445</v>
      </c>
      <c r="F1761" t="s">
        <v>1651</v>
      </c>
      <c r="G1761" t="s">
        <v>102</v>
      </c>
      <c r="H1761" t="s">
        <v>39</v>
      </c>
      <c r="I1761" t="s">
        <v>24</v>
      </c>
      <c r="J1761" t="s">
        <v>43</v>
      </c>
      <c r="K1761" t="s">
        <v>41</v>
      </c>
      <c r="L1761" t="s">
        <v>44</v>
      </c>
      <c r="M1761">
        <v>3</v>
      </c>
      <c r="N1761" s="2">
        <v>121</v>
      </c>
      <c r="O1761" s="3">
        <v>2665</v>
      </c>
      <c r="P1761">
        <v>0</v>
      </c>
      <c r="Q1761">
        <v>3</v>
      </c>
      <c r="R1761" t="s">
        <v>33</v>
      </c>
      <c r="S1761">
        <v>1</v>
      </c>
    </row>
    <row r="1762" spans="1:19" ht="16.5" x14ac:dyDescent="0.3">
      <c r="A1762" t="s">
        <v>1820</v>
      </c>
      <c r="B1762" s="1">
        <v>45536</v>
      </c>
      <c r="C1762" s="1">
        <v>45542</v>
      </c>
      <c r="D1762">
        <v>2024</v>
      </c>
      <c r="E1762" t="s">
        <v>1445</v>
      </c>
      <c r="F1762" t="s">
        <v>1821</v>
      </c>
      <c r="G1762" t="s">
        <v>112</v>
      </c>
      <c r="H1762" t="s">
        <v>35</v>
      </c>
      <c r="I1762" t="s">
        <v>24</v>
      </c>
      <c r="J1762" t="s">
        <v>25</v>
      </c>
      <c r="K1762" t="s">
        <v>32</v>
      </c>
      <c r="L1762" t="s">
        <v>37</v>
      </c>
      <c r="M1762">
        <v>6</v>
      </c>
      <c r="N1762" s="2">
        <v>112</v>
      </c>
      <c r="O1762" s="3">
        <v>4095</v>
      </c>
      <c r="P1762">
        <v>0</v>
      </c>
      <c r="Q1762">
        <v>3</v>
      </c>
      <c r="R1762" t="s">
        <v>28</v>
      </c>
      <c r="S1762">
        <v>1</v>
      </c>
    </row>
    <row r="1763" spans="1:19" ht="16.5" x14ac:dyDescent="0.3">
      <c r="A1763" t="s">
        <v>1822</v>
      </c>
      <c r="B1763" s="1">
        <v>45536</v>
      </c>
      <c r="C1763" s="1">
        <v>45545</v>
      </c>
      <c r="D1763">
        <v>2024</v>
      </c>
      <c r="E1763" t="s">
        <v>1445</v>
      </c>
      <c r="F1763" t="s">
        <v>1821</v>
      </c>
      <c r="G1763" t="s">
        <v>112</v>
      </c>
      <c r="H1763" t="s">
        <v>23</v>
      </c>
      <c r="I1763" t="s">
        <v>24</v>
      </c>
      <c r="J1763" t="s">
        <v>43</v>
      </c>
      <c r="K1763" t="s">
        <v>32</v>
      </c>
      <c r="L1763" t="s">
        <v>44</v>
      </c>
      <c r="M1763">
        <v>9</v>
      </c>
      <c r="N1763" s="2">
        <v>39</v>
      </c>
      <c r="O1763" s="3">
        <v>6677</v>
      </c>
      <c r="P1763">
        <v>0</v>
      </c>
      <c r="Q1763">
        <v>5</v>
      </c>
      <c r="R1763" t="s">
        <v>28</v>
      </c>
      <c r="S1763">
        <v>1</v>
      </c>
    </row>
    <row r="1764" spans="1:19" ht="16.5" x14ac:dyDescent="0.3">
      <c r="A1764" t="s">
        <v>1823</v>
      </c>
      <c r="B1764" s="1">
        <v>45536</v>
      </c>
      <c r="C1764" s="1">
        <v>45537</v>
      </c>
      <c r="D1764">
        <v>2024</v>
      </c>
      <c r="E1764" t="s">
        <v>1445</v>
      </c>
      <c r="F1764" t="s">
        <v>1821</v>
      </c>
      <c r="G1764" t="s">
        <v>112</v>
      </c>
      <c r="H1764" t="s">
        <v>35</v>
      </c>
      <c r="I1764" t="s">
        <v>24</v>
      </c>
      <c r="J1764" t="s">
        <v>25</v>
      </c>
      <c r="K1764" t="s">
        <v>32</v>
      </c>
      <c r="L1764" t="s">
        <v>27</v>
      </c>
      <c r="M1764">
        <v>1</v>
      </c>
      <c r="N1764" s="2">
        <v>33</v>
      </c>
      <c r="O1764" s="3">
        <v>1483</v>
      </c>
      <c r="P1764">
        <v>0</v>
      </c>
      <c r="Q1764">
        <v>4</v>
      </c>
      <c r="R1764" t="s">
        <v>33</v>
      </c>
      <c r="S1764">
        <v>1</v>
      </c>
    </row>
    <row r="1765" spans="1:19" ht="16.5" x14ac:dyDescent="0.3">
      <c r="A1765" t="s">
        <v>1824</v>
      </c>
      <c r="B1765" s="1">
        <v>45536</v>
      </c>
      <c r="C1765" s="1">
        <v>45539</v>
      </c>
      <c r="D1765">
        <v>2024</v>
      </c>
      <c r="E1765" t="s">
        <v>1445</v>
      </c>
      <c r="F1765" t="s">
        <v>1821</v>
      </c>
      <c r="G1765" t="s">
        <v>112</v>
      </c>
      <c r="H1765" t="s">
        <v>52</v>
      </c>
      <c r="I1765" t="s">
        <v>40</v>
      </c>
      <c r="J1765" t="s">
        <v>25</v>
      </c>
      <c r="K1765" t="s">
        <v>53</v>
      </c>
      <c r="L1765" t="s">
        <v>44</v>
      </c>
      <c r="M1765">
        <v>3</v>
      </c>
      <c r="N1765" s="2"/>
      <c r="O1765" s="3">
        <v>4834</v>
      </c>
      <c r="P1765">
        <v>0</v>
      </c>
      <c r="Q1765">
        <v>4</v>
      </c>
      <c r="R1765" t="s">
        <v>33</v>
      </c>
      <c r="S1765">
        <v>1</v>
      </c>
    </row>
    <row r="1766" spans="1:19" ht="16.5" x14ac:dyDescent="0.3">
      <c r="A1766" t="s">
        <v>1825</v>
      </c>
      <c r="B1766" s="1">
        <v>45536</v>
      </c>
      <c r="C1766" s="1">
        <v>45537</v>
      </c>
      <c r="D1766">
        <v>2024</v>
      </c>
      <c r="E1766" t="s">
        <v>1445</v>
      </c>
      <c r="F1766" t="s">
        <v>1821</v>
      </c>
      <c r="G1766" t="s">
        <v>112</v>
      </c>
      <c r="H1766" t="s">
        <v>39</v>
      </c>
      <c r="I1766" t="s">
        <v>40</v>
      </c>
      <c r="J1766" t="s">
        <v>43</v>
      </c>
      <c r="K1766" t="s">
        <v>41</v>
      </c>
      <c r="L1766" t="s">
        <v>44</v>
      </c>
      <c r="M1766">
        <v>1</v>
      </c>
      <c r="N1766" s="2"/>
      <c r="O1766" s="3">
        <v>1038</v>
      </c>
      <c r="P1766">
        <v>0</v>
      </c>
      <c r="Q1766">
        <v>4</v>
      </c>
      <c r="R1766" t="s">
        <v>33</v>
      </c>
      <c r="S1766">
        <v>1</v>
      </c>
    </row>
    <row r="1767" spans="1:19" ht="16.5" x14ac:dyDescent="0.3">
      <c r="A1767" t="s">
        <v>1826</v>
      </c>
      <c r="B1767" s="1">
        <v>45536</v>
      </c>
      <c r="C1767" s="1">
        <v>45538</v>
      </c>
      <c r="D1767">
        <v>2024</v>
      </c>
      <c r="E1767" t="s">
        <v>1445</v>
      </c>
      <c r="F1767" t="s">
        <v>1821</v>
      </c>
      <c r="G1767" t="s">
        <v>112</v>
      </c>
      <c r="H1767" t="s">
        <v>50</v>
      </c>
      <c r="I1767" t="s">
        <v>40</v>
      </c>
      <c r="J1767" t="s">
        <v>43</v>
      </c>
      <c r="K1767" t="s">
        <v>26</v>
      </c>
      <c r="L1767" t="s">
        <v>44</v>
      </c>
      <c r="M1767">
        <v>2</v>
      </c>
      <c r="N1767" s="2"/>
      <c r="O1767" s="3">
        <v>3662</v>
      </c>
      <c r="P1767">
        <v>0</v>
      </c>
      <c r="Q1767">
        <v>4</v>
      </c>
      <c r="R1767" t="s">
        <v>33</v>
      </c>
      <c r="S1767">
        <v>1</v>
      </c>
    </row>
    <row r="1768" spans="1:19" ht="16.5" x14ac:dyDescent="0.3">
      <c r="A1768" t="s">
        <v>1827</v>
      </c>
      <c r="B1768" s="1">
        <v>45536</v>
      </c>
      <c r="C1768" s="1">
        <v>45537</v>
      </c>
      <c r="D1768">
        <v>2024</v>
      </c>
      <c r="E1768" t="s">
        <v>1445</v>
      </c>
      <c r="F1768" t="s">
        <v>1821</v>
      </c>
      <c r="G1768" t="s">
        <v>112</v>
      </c>
      <c r="H1768" t="s">
        <v>23</v>
      </c>
      <c r="I1768" t="s">
        <v>40</v>
      </c>
      <c r="J1768" t="s">
        <v>43</v>
      </c>
      <c r="K1768" t="s">
        <v>53</v>
      </c>
      <c r="L1768" t="s">
        <v>27</v>
      </c>
      <c r="M1768">
        <v>1</v>
      </c>
      <c r="N1768" s="2"/>
      <c r="O1768" s="3">
        <v>1986</v>
      </c>
      <c r="P1768">
        <v>0</v>
      </c>
      <c r="Q1768">
        <v>4</v>
      </c>
      <c r="R1768" t="s">
        <v>33</v>
      </c>
      <c r="S1768">
        <v>1</v>
      </c>
    </row>
    <row r="1769" spans="1:19" ht="16.5" x14ac:dyDescent="0.3">
      <c r="A1769" t="s">
        <v>1828</v>
      </c>
      <c r="B1769" s="1">
        <v>45536</v>
      </c>
      <c r="C1769" s="1">
        <v>45538</v>
      </c>
      <c r="D1769">
        <v>2024</v>
      </c>
      <c r="E1769" t="s">
        <v>1445</v>
      </c>
      <c r="F1769" t="s">
        <v>1821</v>
      </c>
      <c r="G1769" t="s">
        <v>112</v>
      </c>
      <c r="H1769" t="s">
        <v>35</v>
      </c>
      <c r="I1769" t="s">
        <v>24</v>
      </c>
      <c r="J1769" t="s">
        <v>25</v>
      </c>
      <c r="K1769" t="s">
        <v>36</v>
      </c>
      <c r="L1769" t="s">
        <v>44</v>
      </c>
      <c r="M1769">
        <v>2</v>
      </c>
      <c r="N1769" s="2">
        <v>29</v>
      </c>
      <c r="O1769" s="3">
        <v>2361</v>
      </c>
      <c r="P1769">
        <v>0</v>
      </c>
      <c r="Q1769">
        <v>5</v>
      </c>
      <c r="R1769" t="s">
        <v>33</v>
      </c>
      <c r="S1769">
        <v>1</v>
      </c>
    </row>
    <row r="1770" spans="1:19" ht="16.5" x14ac:dyDescent="0.3">
      <c r="A1770" t="s">
        <v>1829</v>
      </c>
      <c r="B1770" s="1">
        <v>45537</v>
      </c>
      <c r="C1770" s="1">
        <v>45538</v>
      </c>
      <c r="D1770">
        <v>2024</v>
      </c>
      <c r="E1770" t="s">
        <v>1445</v>
      </c>
      <c r="F1770" t="s">
        <v>1821</v>
      </c>
      <c r="G1770" t="s">
        <v>22</v>
      </c>
      <c r="H1770" t="s">
        <v>35</v>
      </c>
      <c r="I1770" t="s">
        <v>40</v>
      </c>
      <c r="J1770" t="s">
        <v>25</v>
      </c>
      <c r="K1770" t="s">
        <v>36</v>
      </c>
      <c r="L1770" t="s">
        <v>37</v>
      </c>
      <c r="M1770">
        <v>1</v>
      </c>
      <c r="N1770" s="2"/>
      <c r="O1770" s="3">
        <v>1684</v>
      </c>
      <c r="P1770">
        <v>0</v>
      </c>
      <c r="Q1770">
        <v>4</v>
      </c>
      <c r="R1770" t="s">
        <v>33</v>
      </c>
      <c r="S1770">
        <v>1</v>
      </c>
    </row>
    <row r="1771" spans="1:19" ht="16.5" x14ac:dyDescent="0.3">
      <c r="A1771" t="s">
        <v>1830</v>
      </c>
      <c r="B1771" s="1">
        <v>45537</v>
      </c>
      <c r="C1771" s="1">
        <v>45539</v>
      </c>
      <c r="D1771">
        <v>2024</v>
      </c>
      <c r="E1771" t="s">
        <v>1445</v>
      </c>
      <c r="F1771" t="s">
        <v>1821</v>
      </c>
      <c r="G1771" t="s">
        <v>22</v>
      </c>
      <c r="H1771" t="s">
        <v>50</v>
      </c>
      <c r="I1771" t="s">
        <v>40</v>
      </c>
      <c r="J1771" t="s">
        <v>43</v>
      </c>
      <c r="K1771" t="s">
        <v>53</v>
      </c>
      <c r="L1771" t="s">
        <v>44</v>
      </c>
      <c r="M1771">
        <v>2</v>
      </c>
      <c r="N1771" s="2"/>
      <c r="O1771" s="3">
        <v>2976</v>
      </c>
      <c r="P1771">
        <v>0</v>
      </c>
      <c r="Q1771">
        <v>4</v>
      </c>
      <c r="R1771" t="s">
        <v>33</v>
      </c>
      <c r="S1771">
        <v>1</v>
      </c>
    </row>
    <row r="1772" spans="1:19" ht="16.5" x14ac:dyDescent="0.3">
      <c r="A1772" t="s">
        <v>1831</v>
      </c>
      <c r="B1772" s="1">
        <v>45537</v>
      </c>
      <c r="C1772" s="1">
        <v>45543</v>
      </c>
      <c r="D1772">
        <v>2024</v>
      </c>
      <c r="E1772" t="s">
        <v>1445</v>
      </c>
      <c r="F1772" t="s">
        <v>1821</v>
      </c>
      <c r="G1772" t="s">
        <v>22</v>
      </c>
      <c r="H1772" t="s">
        <v>23</v>
      </c>
      <c r="I1772" t="s">
        <v>24</v>
      </c>
      <c r="J1772" t="s">
        <v>25</v>
      </c>
      <c r="K1772" t="s">
        <v>26</v>
      </c>
      <c r="L1772" t="s">
        <v>27</v>
      </c>
      <c r="M1772">
        <v>6</v>
      </c>
      <c r="N1772" s="2">
        <v>16</v>
      </c>
      <c r="O1772" s="3">
        <v>3509</v>
      </c>
      <c r="P1772">
        <v>1</v>
      </c>
      <c r="Q1772">
        <v>5</v>
      </c>
      <c r="R1772" t="s">
        <v>28</v>
      </c>
      <c r="S1772">
        <v>1</v>
      </c>
    </row>
    <row r="1773" spans="1:19" ht="16.5" x14ac:dyDescent="0.3">
      <c r="A1773" t="s">
        <v>1832</v>
      </c>
      <c r="B1773" s="1">
        <v>45537</v>
      </c>
      <c r="C1773" s="1">
        <v>45540</v>
      </c>
      <c r="D1773">
        <v>2024</v>
      </c>
      <c r="E1773" t="s">
        <v>1445</v>
      </c>
      <c r="F1773" t="s">
        <v>1821</v>
      </c>
      <c r="G1773" t="s">
        <v>22</v>
      </c>
      <c r="H1773" t="s">
        <v>50</v>
      </c>
      <c r="I1773" t="s">
        <v>24</v>
      </c>
      <c r="J1773" t="s">
        <v>43</v>
      </c>
      <c r="K1773" t="s">
        <v>32</v>
      </c>
      <c r="L1773" t="s">
        <v>44</v>
      </c>
      <c r="M1773">
        <v>3</v>
      </c>
      <c r="N1773" s="2">
        <v>127</v>
      </c>
      <c r="O1773" s="3">
        <v>3597</v>
      </c>
      <c r="P1773">
        <v>0</v>
      </c>
      <c r="Q1773">
        <v>3</v>
      </c>
      <c r="R1773" t="s">
        <v>28</v>
      </c>
      <c r="S1773">
        <v>1</v>
      </c>
    </row>
    <row r="1774" spans="1:19" ht="16.5" x14ac:dyDescent="0.3">
      <c r="A1774" t="s">
        <v>1833</v>
      </c>
      <c r="B1774" s="1">
        <v>45537</v>
      </c>
      <c r="C1774" s="1">
        <v>45543</v>
      </c>
      <c r="D1774">
        <v>2024</v>
      </c>
      <c r="E1774" t="s">
        <v>1445</v>
      </c>
      <c r="F1774" t="s">
        <v>1821</v>
      </c>
      <c r="G1774" t="s">
        <v>22</v>
      </c>
      <c r="H1774" t="s">
        <v>50</v>
      </c>
      <c r="I1774" t="s">
        <v>40</v>
      </c>
      <c r="J1774" t="s">
        <v>43</v>
      </c>
      <c r="K1774" t="s">
        <v>53</v>
      </c>
      <c r="L1774" t="s">
        <v>44</v>
      </c>
      <c r="M1774">
        <v>6</v>
      </c>
      <c r="N1774" s="2"/>
      <c r="O1774" s="3">
        <v>8809</v>
      </c>
      <c r="P1774">
        <v>0</v>
      </c>
      <c r="Q1774">
        <v>5</v>
      </c>
      <c r="R1774" t="s">
        <v>33</v>
      </c>
      <c r="S1774">
        <v>1</v>
      </c>
    </row>
    <row r="1775" spans="1:19" ht="16.5" x14ac:dyDescent="0.3">
      <c r="A1775" t="s">
        <v>1834</v>
      </c>
      <c r="B1775" s="1">
        <v>45537</v>
      </c>
      <c r="C1775" s="1">
        <v>45544</v>
      </c>
      <c r="D1775">
        <v>2024</v>
      </c>
      <c r="E1775" t="s">
        <v>1445</v>
      </c>
      <c r="F1775" t="s">
        <v>1821</v>
      </c>
      <c r="G1775" t="s">
        <v>22</v>
      </c>
      <c r="H1775" t="s">
        <v>35</v>
      </c>
      <c r="I1775" t="s">
        <v>24</v>
      </c>
      <c r="J1775" t="s">
        <v>25</v>
      </c>
      <c r="K1775" t="s">
        <v>36</v>
      </c>
      <c r="L1775" t="s">
        <v>27</v>
      </c>
      <c r="M1775">
        <v>7</v>
      </c>
      <c r="N1775" s="2">
        <v>37</v>
      </c>
      <c r="O1775" s="3">
        <v>4851</v>
      </c>
      <c r="P1775">
        <v>0</v>
      </c>
      <c r="Q1775">
        <v>4</v>
      </c>
      <c r="R1775" t="s">
        <v>28</v>
      </c>
      <c r="S1775">
        <v>1</v>
      </c>
    </row>
    <row r="1776" spans="1:19" ht="16.5" x14ac:dyDescent="0.3">
      <c r="A1776" t="s">
        <v>1835</v>
      </c>
      <c r="B1776" s="1">
        <v>45537</v>
      </c>
      <c r="C1776" s="1">
        <v>45538</v>
      </c>
      <c r="D1776">
        <v>2024</v>
      </c>
      <c r="E1776" t="s">
        <v>1445</v>
      </c>
      <c r="F1776" t="s">
        <v>1821</v>
      </c>
      <c r="G1776" t="s">
        <v>22</v>
      </c>
      <c r="H1776" t="s">
        <v>39</v>
      </c>
      <c r="I1776" t="s">
        <v>24</v>
      </c>
      <c r="J1776" t="s">
        <v>43</v>
      </c>
      <c r="K1776" t="s">
        <v>41</v>
      </c>
      <c r="L1776" t="s">
        <v>27</v>
      </c>
      <c r="M1776">
        <v>1</v>
      </c>
      <c r="N1776" s="2">
        <v>48</v>
      </c>
      <c r="O1776" s="3">
        <v>1083</v>
      </c>
      <c r="P1776">
        <v>0</v>
      </c>
      <c r="Q1776">
        <v>5</v>
      </c>
      <c r="R1776" t="s">
        <v>28</v>
      </c>
      <c r="S1776">
        <v>1</v>
      </c>
    </row>
    <row r="1777" spans="1:19" ht="16.5" x14ac:dyDescent="0.3">
      <c r="A1777" t="s">
        <v>1836</v>
      </c>
      <c r="B1777" s="1">
        <v>45538</v>
      </c>
      <c r="C1777" s="1">
        <v>45542</v>
      </c>
      <c r="D1777">
        <v>2024</v>
      </c>
      <c r="E1777" t="s">
        <v>1445</v>
      </c>
      <c r="F1777" t="s">
        <v>1821</v>
      </c>
      <c r="G1777" t="s">
        <v>56</v>
      </c>
      <c r="H1777" t="s">
        <v>39</v>
      </c>
      <c r="I1777" t="s">
        <v>24</v>
      </c>
      <c r="J1777" t="s">
        <v>43</v>
      </c>
      <c r="K1777" t="s">
        <v>41</v>
      </c>
      <c r="L1777" t="s">
        <v>27</v>
      </c>
      <c r="M1777">
        <v>4</v>
      </c>
      <c r="N1777" s="2">
        <v>77</v>
      </c>
      <c r="O1777" s="3">
        <v>2983</v>
      </c>
      <c r="P1777">
        <v>0</v>
      </c>
      <c r="Q1777">
        <v>4</v>
      </c>
      <c r="R1777" t="s">
        <v>28</v>
      </c>
      <c r="S1777">
        <v>1</v>
      </c>
    </row>
    <row r="1778" spans="1:19" ht="16.5" x14ac:dyDescent="0.3">
      <c r="A1778" t="s">
        <v>1837</v>
      </c>
      <c r="B1778" s="1">
        <v>45538</v>
      </c>
      <c r="C1778" s="1">
        <v>45543</v>
      </c>
      <c r="D1778">
        <v>2024</v>
      </c>
      <c r="E1778" t="s">
        <v>1445</v>
      </c>
      <c r="F1778" t="s">
        <v>1821</v>
      </c>
      <c r="G1778" t="s">
        <v>56</v>
      </c>
      <c r="H1778" t="s">
        <v>39</v>
      </c>
      <c r="I1778" t="s">
        <v>24</v>
      </c>
      <c r="J1778" t="s">
        <v>43</v>
      </c>
      <c r="K1778" t="s">
        <v>41</v>
      </c>
      <c r="L1778" t="s">
        <v>44</v>
      </c>
      <c r="M1778">
        <v>5</v>
      </c>
      <c r="N1778" s="2">
        <v>21</v>
      </c>
      <c r="O1778" s="3">
        <v>3410</v>
      </c>
      <c r="P1778">
        <v>1</v>
      </c>
      <c r="Q1778">
        <v>3</v>
      </c>
      <c r="R1778" t="s">
        <v>28</v>
      </c>
      <c r="S1778">
        <v>1</v>
      </c>
    </row>
    <row r="1779" spans="1:19" ht="16.5" x14ac:dyDescent="0.3">
      <c r="A1779" t="s">
        <v>1838</v>
      </c>
      <c r="B1779" s="1">
        <v>45538</v>
      </c>
      <c r="C1779" s="1">
        <v>45540</v>
      </c>
      <c r="D1779">
        <v>2024</v>
      </c>
      <c r="E1779" t="s">
        <v>1445</v>
      </c>
      <c r="F1779" t="s">
        <v>1821</v>
      </c>
      <c r="G1779" t="s">
        <v>56</v>
      </c>
      <c r="H1779" t="s">
        <v>52</v>
      </c>
      <c r="I1779" t="s">
        <v>40</v>
      </c>
      <c r="J1779" t="s">
        <v>25</v>
      </c>
      <c r="K1779" t="s">
        <v>53</v>
      </c>
      <c r="L1779" t="s">
        <v>27</v>
      </c>
      <c r="M1779">
        <v>2</v>
      </c>
      <c r="N1779" s="2"/>
      <c r="O1779" s="3">
        <v>2290</v>
      </c>
      <c r="P1779">
        <v>0</v>
      </c>
      <c r="Q1779">
        <v>4</v>
      </c>
      <c r="R1779" t="s">
        <v>33</v>
      </c>
      <c r="S1779">
        <v>1</v>
      </c>
    </row>
    <row r="1780" spans="1:19" ht="16.5" x14ac:dyDescent="0.3">
      <c r="A1780" t="s">
        <v>1839</v>
      </c>
      <c r="B1780" s="1">
        <v>45538</v>
      </c>
      <c r="C1780" s="1">
        <v>45544</v>
      </c>
      <c r="D1780">
        <v>2024</v>
      </c>
      <c r="E1780" t="s">
        <v>1445</v>
      </c>
      <c r="F1780" t="s">
        <v>1821</v>
      </c>
      <c r="G1780" t="s">
        <v>56</v>
      </c>
      <c r="H1780" t="s">
        <v>23</v>
      </c>
      <c r="I1780" t="s">
        <v>40</v>
      </c>
      <c r="J1780" t="s">
        <v>43</v>
      </c>
      <c r="K1780" t="s">
        <v>26</v>
      </c>
      <c r="L1780" t="s">
        <v>44</v>
      </c>
      <c r="M1780">
        <v>6</v>
      </c>
      <c r="N1780" s="2"/>
      <c r="O1780" s="3">
        <v>5204</v>
      </c>
      <c r="P1780">
        <v>0</v>
      </c>
      <c r="Q1780">
        <v>5</v>
      </c>
      <c r="R1780" t="s">
        <v>33</v>
      </c>
      <c r="S1780">
        <v>1</v>
      </c>
    </row>
    <row r="1781" spans="1:19" ht="16.5" x14ac:dyDescent="0.3">
      <c r="A1781" t="s">
        <v>1840</v>
      </c>
      <c r="B1781" s="1">
        <v>45538</v>
      </c>
      <c r="C1781" s="1">
        <v>45541</v>
      </c>
      <c r="D1781">
        <v>2024</v>
      </c>
      <c r="E1781" t="s">
        <v>1445</v>
      </c>
      <c r="F1781" t="s">
        <v>1821</v>
      </c>
      <c r="G1781" t="s">
        <v>56</v>
      </c>
      <c r="H1781" t="s">
        <v>23</v>
      </c>
      <c r="I1781" t="s">
        <v>24</v>
      </c>
      <c r="J1781" t="s">
        <v>43</v>
      </c>
      <c r="K1781" t="s">
        <v>32</v>
      </c>
      <c r="L1781" t="s">
        <v>44</v>
      </c>
      <c r="M1781">
        <v>3</v>
      </c>
      <c r="N1781" s="2">
        <v>46</v>
      </c>
      <c r="O1781" s="3">
        <v>2572</v>
      </c>
      <c r="P1781">
        <v>0</v>
      </c>
      <c r="Q1781">
        <v>4</v>
      </c>
      <c r="R1781" t="s">
        <v>33</v>
      </c>
      <c r="S1781">
        <v>1</v>
      </c>
    </row>
    <row r="1782" spans="1:19" ht="16.5" x14ac:dyDescent="0.3">
      <c r="A1782" t="s">
        <v>1841</v>
      </c>
      <c r="B1782" s="1">
        <v>45538</v>
      </c>
      <c r="C1782" s="1">
        <v>45544</v>
      </c>
      <c r="D1782">
        <v>2024</v>
      </c>
      <c r="E1782" t="s">
        <v>1445</v>
      </c>
      <c r="F1782" t="s">
        <v>1821</v>
      </c>
      <c r="G1782" t="s">
        <v>56</v>
      </c>
      <c r="H1782" t="s">
        <v>23</v>
      </c>
      <c r="I1782" t="s">
        <v>40</v>
      </c>
      <c r="J1782" t="s">
        <v>25</v>
      </c>
      <c r="K1782" t="s">
        <v>53</v>
      </c>
      <c r="L1782" t="s">
        <v>44</v>
      </c>
      <c r="M1782">
        <v>6</v>
      </c>
      <c r="N1782" s="2"/>
      <c r="O1782" s="3">
        <v>4340</v>
      </c>
      <c r="P1782">
        <v>0</v>
      </c>
      <c r="Q1782">
        <v>4</v>
      </c>
      <c r="R1782" t="s">
        <v>28</v>
      </c>
      <c r="S1782">
        <v>1</v>
      </c>
    </row>
    <row r="1783" spans="1:19" ht="16.5" x14ac:dyDescent="0.3">
      <c r="A1783" t="s">
        <v>1842</v>
      </c>
      <c r="B1783" s="1">
        <v>45538</v>
      </c>
      <c r="C1783" s="1">
        <v>45543</v>
      </c>
      <c r="D1783">
        <v>2024</v>
      </c>
      <c r="E1783" t="s">
        <v>1445</v>
      </c>
      <c r="F1783" t="s">
        <v>1821</v>
      </c>
      <c r="G1783" t="s">
        <v>56</v>
      </c>
      <c r="H1783" t="s">
        <v>23</v>
      </c>
      <c r="I1783" t="s">
        <v>24</v>
      </c>
      <c r="J1783" t="s">
        <v>25</v>
      </c>
      <c r="K1783" t="s">
        <v>26</v>
      </c>
      <c r="L1783" t="s">
        <v>44</v>
      </c>
      <c r="M1783">
        <v>5</v>
      </c>
      <c r="N1783" s="2">
        <v>114</v>
      </c>
      <c r="O1783" s="3">
        <v>4565</v>
      </c>
      <c r="P1783">
        <v>0</v>
      </c>
      <c r="Q1783">
        <v>4</v>
      </c>
      <c r="R1783" t="s">
        <v>28</v>
      </c>
      <c r="S1783">
        <v>1</v>
      </c>
    </row>
    <row r="1784" spans="1:19" ht="16.5" x14ac:dyDescent="0.3">
      <c r="A1784" t="s">
        <v>1843</v>
      </c>
      <c r="B1784" s="1">
        <v>45539</v>
      </c>
      <c r="C1784" s="1">
        <v>45542</v>
      </c>
      <c r="D1784">
        <v>2024</v>
      </c>
      <c r="E1784" t="s">
        <v>1445</v>
      </c>
      <c r="F1784" t="s">
        <v>1821</v>
      </c>
      <c r="G1784" t="s">
        <v>70</v>
      </c>
      <c r="H1784" t="s">
        <v>30</v>
      </c>
      <c r="I1784" t="s">
        <v>40</v>
      </c>
      <c r="J1784" t="s">
        <v>43</v>
      </c>
      <c r="K1784" t="s">
        <v>26</v>
      </c>
      <c r="L1784" t="s">
        <v>44</v>
      </c>
      <c r="M1784">
        <v>3</v>
      </c>
      <c r="N1784" s="2"/>
      <c r="O1784" s="3">
        <v>3067</v>
      </c>
      <c r="P1784">
        <v>1</v>
      </c>
      <c r="Q1784">
        <v>5</v>
      </c>
      <c r="R1784" t="s">
        <v>33</v>
      </c>
      <c r="S1784">
        <v>1</v>
      </c>
    </row>
    <row r="1785" spans="1:19" ht="16.5" x14ac:dyDescent="0.3">
      <c r="A1785" t="s">
        <v>1844</v>
      </c>
      <c r="B1785" s="1">
        <v>45539</v>
      </c>
      <c r="C1785" s="1">
        <v>45542</v>
      </c>
      <c r="D1785">
        <v>2024</v>
      </c>
      <c r="E1785" t="s">
        <v>1445</v>
      </c>
      <c r="F1785" t="s">
        <v>1821</v>
      </c>
      <c r="G1785" t="s">
        <v>70</v>
      </c>
      <c r="H1785" t="s">
        <v>30</v>
      </c>
      <c r="I1785" t="s">
        <v>40</v>
      </c>
      <c r="J1785" t="s">
        <v>25</v>
      </c>
      <c r="K1785" t="s">
        <v>53</v>
      </c>
      <c r="L1785" t="s">
        <v>37</v>
      </c>
      <c r="M1785">
        <v>3</v>
      </c>
      <c r="N1785" s="2"/>
      <c r="O1785" s="3">
        <v>4510</v>
      </c>
      <c r="P1785">
        <v>0</v>
      </c>
      <c r="Q1785">
        <v>5</v>
      </c>
      <c r="R1785" t="s">
        <v>165</v>
      </c>
      <c r="S1785">
        <v>1</v>
      </c>
    </row>
    <row r="1786" spans="1:19" ht="16.5" x14ac:dyDescent="0.3">
      <c r="A1786" t="s">
        <v>1845</v>
      </c>
      <c r="B1786" s="1">
        <v>45539</v>
      </c>
      <c r="C1786" s="1">
        <v>45551</v>
      </c>
      <c r="D1786">
        <v>2024</v>
      </c>
      <c r="E1786" t="s">
        <v>1445</v>
      </c>
      <c r="F1786" t="s">
        <v>1821</v>
      </c>
      <c r="G1786" t="s">
        <v>70</v>
      </c>
      <c r="H1786" t="s">
        <v>50</v>
      </c>
      <c r="I1786" t="s">
        <v>24</v>
      </c>
      <c r="J1786" t="s">
        <v>43</v>
      </c>
      <c r="K1786" t="s">
        <v>32</v>
      </c>
      <c r="L1786" t="s">
        <v>44</v>
      </c>
      <c r="M1786">
        <v>12</v>
      </c>
      <c r="N1786" s="2">
        <v>28</v>
      </c>
      <c r="O1786" s="3">
        <v>14883</v>
      </c>
      <c r="P1786">
        <v>0</v>
      </c>
      <c r="Q1786">
        <v>4</v>
      </c>
      <c r="R1786" t="s">
        <v>33</v>
      </c>
      <c r="S1786">
        <v>1</v>
      </c>
    </row>
    <row r="1787" spans="1:19" ht="16.5" x14ac:dyDescent="0.3">
      <c r="A1787" t="s">
        <v>1846</v>
      </c>
      <c r="B1787" s="1">
        <v>45539</v>
      </c>
      <c r="C1787" s="1">
        <v>45545</v>
      </c>
      <c r="D1787">
        <v>2024</v>
      </c>
      <c r="E1787" t="s">
        <v>1445</v>
      </c>
      <c r="F1787" t="s">
        <v>1821</v>
      </c>
      <c r="G1787" t="s">
        <v>70</v>
      </c>
      <c r="H1787" t="s">
        <v>23</v>
      </c>
      <c r="I1787" t="s">
        <v>40</v>
      </c>
      <c r="J1787" t="s">
        <v>25</v>
      </c>
      <c r="K1787" t="s">
        <v>32</v>
      </c>
      <c r="L1787" t="s">
        <v>27</v>
      </c>
      <c r="M1787">
        <v>6</v>
      </c>
      <c r="N1787" s="2"/>
      <c r="O1787" s="3">
        <v>4165</v>
      </c>
      <c r="P1787">
        <v>0</v>
      </c>
      <c r="Q1787">
        <v>4</v>
      </c>
      <c r="R1787" t="s">
        <v>33</v>
      </c>
      <c r="S1787">
        <v>1</v>
      </c>
    </row>
    <row r="1788" spans="1:19" ht="16.5" x14ac:dyDescent="0.3">
      <c r="A1788" t="s">
        <v>1847</v>
      </c>
      <c r="B1788" s="1">
        <v>45539</v>
      </c>
      <c r="C1788" s="1">
        <v>45550</v>
      </c>
      <c r="D1788">
        <v>2024</v>
      </c>
      <c r="E1788" t="s">
        <v>1445</v>
      </c>
      <c r="F1788" t="s">
        <v>1821</v>
      </c>
      <c r="G1788" t="s">
        <v>70</v>
      </c>
      <c r="H1788" t="s">
        <v>30</v>
      </c>
      <c r="I1788" t="s">
        <v>40</v>
      </c>
      <c r="J1788" t="s">
        <v>25</v>
      </c>
      <c r="K1788" t="s">
        <v>26</v>
      </c>
      <c r="L1788" t="s">
        <v>44</v>
      </c>
      <c r="M1788">
        <v>11</v>
      </c>
      <c r="N1788" s="2"/>
      <c r="O1788" s="3">
        <v>12551</v>
      </c>
      <c r="P1788">
        <v>0</v>
      </c>
      <c r="Q1788">
        <v>5</v>
      </c>
      <c r="R1788" t="s">
        <v>33</v>
      </c>
      <c r="S1788">
        <v>1</v>
      </c>
    </row>
    <row r="1789" spans="1:19" ht="16.5" x14ac:dyDescent="0.3">
      <c r="A1789" t="s">
        <v>1848</v>
      </c>
      <c r="B1789" s="1">
        <v>45539</v>
      </c>
      <c r="C1789" s="1">
        <v>45545</v>
      </c>
      <c r="D1789">
        <v>2024</v>
      </c>
      <c r="E1789" t="s">
        <v>1445</v>
      </c>
      <c r="F1789" t="s">
        <v>1821</v>
      </c>
      <c r="G1789" t="s">
        <v>70</v>
      </c>
      <c r="H1789" t="s">
        <v>23</v>
      </c>
      <c r="I1789" t="s">
        <v>24</v>
      </c>
      <c r="J1789" t="s">
        <v>25</v>
      </c>
      <c r="K1789" t="s">
        <v>32</v>
      </c>
      <c r="L1789" t="s">
        <v>44</v>
      </c>
      <c r="M1789">
        <v>6</v>
      </c>
      <c r="N1789" s="2">
        <v>38</v>
      </c>
      <c r="O1789" s="3">
        <v>5269</v>
      </c>
      <c r="P1789">
        <v>0</v>
      </c>
      <c r="Q1789">
        <v>4</v>
      </c>
      <c r="R1789" t="s">
        <v>33</v>
      </c>
      <c r="S1789">
        <v>1</v>
      </c>
    </row>
    <row r="1790" spans="1:19" ht="16.5" x14ac:dyDescent="0.3">
      <c r="A1790" t="s">
        <v>1849</v>
      </c>
      <c r="B1790" s="1">
        <v>45539</v>
      </c>
      <c r="C1790" s="1">
        <v>45540</v>
      </c>
      <c r="D1790">
        <v>2024</v>
      </c>
      <c r="E1790" t="s">
        <v>1445</v>
      </c>
      <c r="F1790" t="s">
        <v>1821</v>
      </c>
      <c r="G1790" t="s">
        <v>70</v>
      </c>
      <c r="H1790" t="s">
        <v>23</v>
      </c>
      <c r="I1790" t="s">
        <v>24</v>
      </c>
      <c r="J1790" t="s">
        <v>25</v>
      </c>
      <c r="K1790" t="s">
        <v>36</v>
      </c>
      <c r="L1790" t="s">
        <v>44</v>
      </c>
      <c r="M1790">
        <v>1</v>
      </c>
      <c r="N1790" s="2">
        <v>99</v>
      </c>
      <c r="O1790" s="3">
        <v>1808</v>
      </c>
      <c r="P1790">
        <v>1</v>
      </c>
      <c r="Q1790">
        <v>3</v>
      </c>
      <c r="R1790" t="s">
        <v>33</v>
      </c>
      <c r="S1790">
        <v>1</v>
      </c>
    </row>
    <row r="1791" spans="1:19" ht="16.5" x14ac:dyDescent="0.3">
      <c r="A1791" t="s">
        <v>1850</v>
      </c>
      <c r="B1791" s="1">
        <v>45539</v>
      </c>
      <c r="C1791" s="1">
        <v>45541</v>
      </c>
      <c r="D1791">
        <v>2024</v>
      </c>
      <c r="E1791" t="s">
        <v>1445</v>
      </c>
      <c r="F1791" t="s">
        <v>1821</v>
      </c>
      <c r="G1791" t="s">
        <v>70</v>
      </c>
      <c r="H1791" t="s">
        <v>35</v>
      </c>
      <c r="I1791" t="s">
        <v>31</v>
      </c>
      <c r="J1791" t="s">
        <v>25</v>
      </c>
      <c r="K1791" t="s">
        <v>32</v>
      </c>
      <c r="L1791" t="s">
        <v>27</v>
      </c>
      <c r="M1791">
        <v>2</v>
      </c>
      <c r="N1791" s="2"/>
      <c r="O1791" s="3">
        <v>2317</v>
      </c>
      <c r="P1791">
        <v>0</v>
      </c>
      <c r="Q1791">
        <v>4</v>
      </c>
      <c r="R1791" t="s">
        <v>33</v>
      </c>
      <c r="S1791">
        <v>1</v>
      </c>
    </row>
    <row r="1792" spans="1:19" ht="16.5" x14ac:dyDescent="0.3">
      <c r="A1792" t="s">
        <v>1851</v>
      </c>
      <c r="B1792" s="1">
        <v>45540</v>
      </c>
      <c r="C1792" s="1">
        <v>45549</v>
      </c>
      <c r="D1792">
        <v>2024</v>
      </c>
      <c r="E1792" t="s">
        <v>1445</v>
      </c>
      <c r="F1792" t="s">
        <v>1821</v>
      </c>
      <c r="G1792" t="s">
        <v>78</v>
      </c>
      <c r="H1792" t="s">
        <v>30</v>
      </c>
      <c r="I1792" t="s">
        <v>40</v>
      </c>
      <c r="J1792" t="s">
        <v>43</v>
      </c>
      <c r="K1792" t="s">
        <v>53</v>
      </c>
      <c r="L1792" t="s">
        <v>37</v>
      </c>
      <c r="M1792">
        <v>9</v>
      </c>
      <c r="N1792" s="2"/>
      <c r="O1792" s="3">
        <v>10832</v>
      </c>
      <c r="P1792">
        <v>0</v>
      </c>
      <c r="Q1792">
        <v>4</v>
      </c>
      <c r="R1792" t="s">
        <v>59</v>
      </c>
      <c r="S1792">
        <v>1</v>
      </c>
    </row>
    <row r="1793" spans="1:19" ht="16.5" x14ac:dyDescent="0.3">
      <c r="A1793" t="s">
        <v>1852</v>
      </c>
      <c r="B1793" s="1">
        <v>45540</v>
      </c>
      <c r="C1793" s="1">
        <v>45542</v>
      </c>
      <c r="D1793">
        <v>2024</v>
      </c>
      <c r="E1793" t="s">
        <v>1445</v>
      </c>
      <c r="F1793" t="s">
        <v>1821</v>
      </c>
      <c r="G1793" t="s">
        <v>78</v>
      </c>
      <c r="H1793" t="s">
        <v>50</v>
      </c>
      <c r="I1793" t="s">
        <v>24</v>
      </c>
      <c r="J1793" t="s">
        <v>25</v>
      </c>
      <c r="K1793" t="s">
        <v>32</v>
      </c>
      <c r="L1793" t="s">
        <v>27</v>
      </c>
      <c r="M1793">
        <v>2</v>
      </c>
      <c r="N1793" s="2">
        <v>83</v>
      </c>
      <c r="O1793" s="3">
        <v>3973</v>
      </c>
      <c r="P1793">
        <v>0</v>
      </c>
      <c r="Q1793">
        <v>5</v>
      </c>
      <c r="R1793" t="s">
        <v>28</v>
      </c>
      <c r="S1793">
        <v>1</v>
      </c>
    </row>
    <row r="1794" spans="1:19" ht="16.5" x14ac:dyDescent="0.3">
      <c r="A1794" t="s">
        <v>1853</v>
      </c>
      <c r="B1794" s="1">
        <v>45540</v>
      </c>
      <c r="C1794" s="1">
        <v>45547</v>
      </c>
      <c r="D1794">
        <v>2024</v>
      </c>
      <c r="E1794" t="s">
        <v>1445</v>
      </c>
      <c r="F1794" t="s">
        <v>1821</v>
      </c>
      <c r="G1794" t="s">
        <v>78</v>
      </c>
      <c r="H1794" t="s">
        <v>39</v>
      </c>
      <c r="I1794" t="s">
        <v>40</v>
      </c>
      <c r="J1794" t="s">
        <v>25</v>
      </c>
      <c r="K1794" t="s">
        <v>41</v>
      </c>
      <c r="L1794" t="s">
        <v>44</v>
      </c>
      <c r="M1794">
        <v>7</v>
      </c>
      <c r="N1794" s="2"/>
      <c r="O1794" s="3">
        <v>4526</v>
      </c>
      <c r="P1794">
        <v>0</v>
      </c>
      <c r="Q1794">
        <v>4</v>
      </c>
      <c r="R1794" t="s">
        <v>28</v>
      </c>
      <c r="S1794">
        <v>1</v>
      </c>
    </row>
    <row r="1795" spans="1:19" ht="16.5" x14ac:dyDescent="0.3">
      <c r="A1795" t="s">
        <v>1854</v>
      </c>
      <c r="B1795" s="1">
        <v>45541</v>
      </c>
      <c r="C1795" s="1">
        <v>45542</v>
      </c>
      <c r="D1795">
        <v>2024</v>
      </c>
      <c r="E1795" t="s">
        <v>1445</v>
      </c>
      <c r="F1795" t="s">
        <v>1821</v>
      </c>
      <c r="G1795" t="s">
        <v>83</v>
      </c>
      <c r="H1795" t="s">
        <v>39</v>
      </c>
      <c r="I1795" t="s">
        <v>24</v>
      </c>
      <c r="J1795" t="s">
        <v>43</v>
      </c>
      <c r="K1795" t="s">
        <v>41</v>
      </c>
      <c r="L1795" t="s">
        <v>27</v>
      </c>
      <c r="M1795">
        <v>1</v>
      </c>
      <c r="N1795" s="2">
        <v>11</v>
      </c>
      <c r="O1795" s="3">
        <v>1609</v>
      </c>
      <c r="P1795">
        <v>0</v>
      </c>
      <c r="Q1795">
        <v>4</v>
      </c>
      <c r="R1795" t="s">
        <v>33</v>
      </c>
      <c r="S1795">
        <v>1</v>
      </c>
    </row>
    <row r="1796" spans="1:19" ht="16.5" x14ac:dyDescent="0.3">
      <c r="A1796" t="s">
        <v>1855</v>
      </c>
      <c r="B1796" s="1">
        <v>45541</v>
      </c>
      <c r="C1796" s="1">
        <v>45552</v>
      </c>
      <c r="D1796">
        <v>2024</v>
      </c>
      <c r="E1796" t="s">
        <v>1445</v>
      </c>
      <c r="F1796" t="s">
        <v>1821</v>
      </c>
      <c r="G1796" t="s">
        <v>83</v>
      </c>
      <c r="H1796" t="s">
        <v>23</v>
      </c>
      <c r="I1796" t="s">
        <v>31</v>
      </c>
      <c r="J1796" t="s">
        <v>25</v>
      </c>
      <c r="K1796" t="s">
        <v>26</v>
      </c>
      <c r="L1796" t="s">
        <v>44</v>
      </c>
      <c r="M1796">
        <v>11</v>
      </c>
      <c r="N1796" s="2"/>
      <c r="O1796" s="3">
        <v>8553</v>
      </c>
      <c r="P1796">
        <v>1</v>
      </c>
      <c r="Q1796">
        <v>4</v>
      </c>
      <c r="R1796" t="s">
        <v>33</v>
      </c>
      <c r="S1796">
        <v>1</v>
      </c>
    </row>
    <row r="1797" spans="1:19" ht="16.5" x14ac:dyDescent="0.3">
      <c r="A1797" t="s">
        <v>1856</v>
      </c>
      <c r="B1797" s="1">
        <v>45541</v>
      </c>
      <c r="C1797" s="1">
        <v>45547</v>
      </c>
      <c r="D1797">
        <v>2024</v>
      </c>
      <c r="E1797" t="s">
        <v>1445</v>
      </c>
      <c r="F1797" t="s">
        <v>1821</v>
      </c>
      <c r="G1797" t="s">
        <v>83</v>
      </c>
      <c r="H1797" t="s">
        <v>23</v>
      </c>
      <c r="I1797" t="s">
        <v>24</v>
      </c>
      <c r="J1797" t="s">
        <v>25</v>
      </c>
      <c r="K1797" t="s">
        <v>53</v>
      </c>
      <c r="L1797" t="s">
        <v>27</v>
      </c>
      <c r="M1797">
        <v>6</v>
      </c>
      <c r="N1797" s="2">
        <v>18</v>
      </c>
      <c r="O1797" s="3">
        <v>4802</v>
      </c>
      <c r="P1797">
        <v>0</v>
      </c>
      <c r="Q1797">
        <v>4</v>
      </c>
      <c r="R1797" t="s">
        <v>33</v>
      </c>
      <c r="S1797">
        <v>1</v>
      </c>
    </row>
    <row r="1798" spans="1:19" ht="16.5" x14ac:dyDescent="0.3">
      <c r="A1798" t="s">
        <v>1857</v>
      </c>
      <c r="B1798" s="1">
        <v>45541</v>
      </c>
      <c r="C1798" s="1">
        <v>45543</v>
      </c>
      <c r="D1798">
        <v>2024</v>
      </c>
      <c r="E1798" t="s">
        <v>1445</v>
      </c>
      <c r="F1798" t="s">
        <v>1821</v>
      </c>
      <c r="G1798" t="s">
        <v>83</v>
      </c>
      <c r="H1798" t="s">
        <v>39</v>
      </c>
      <c r="I1798" t="s">
        <v>40</v>
      </c>
      <c r="J1798" t="s">
        <v>43</v>
      </c>
      <c r="K1798" t="s">
        <v>41</v>
      </c>
      <c r="L1798" t="s">
        <v>44</v>
      </c>
      <c r="M1798">
        <v>2</v>
      </c>
      <c r="N1798" s="2"/>
      <c r="O1798" s="3">
        <v>1857</v>
      </c>
      <c r="P1798">
        <v>0</v>
      </c>
      <c r="Q1798">
        <v>4</v>
      </c>
      <c r="R1798" t="s">
        <v>33</v>
      </c>
      <c r="S1798">
        <v>1</v>
      </c>
    </row>
    <row r="1799" spans="1:19" ht="16.5" x14ac:dyDescent="0.3">
      <c r="A1799" t="s">
        <v>1858</v>
      </c>
      <c r="B1799" s="1">
        <v>45541</v>
      </c>
      <c r="C1799" s="1">
        <v>45548</v>
      </c>
      <c r="D1799">
        <v>2024</v>
      </c>
      <c r="E1799" t="s">
        <v>1445</v>
      </c>
      <c r="F1799" t="s">
        <v>1821</v>
      </c>
      <c r="G1799" t="s">
        <v>83</v>
      </c>
      <c r="H1799" t="s">
        <v>50</v>
      </c>
      <c r="I1799" t="s">
        <v>24</v>
      </c>
      <c r="J1799" t="s">
        <v>43</v>
      </c>
      <c r="K1799" t="s">
        <v>26</v>
      </c>
      <c r="L1799" t="s">
        <v>27</v>
      </c>
      <c r="M1799">
        <v>7</v>
      </c>
      <c r="N1799" s="2">
        <v>79</v>
      </c>
      <c r="O1799" s="3">
        <v>7909</v>
      </c>
      <c r="P1799">
        <v>0</v>
      </c>
      <c r="Q1799">
        <v>5</v>
      </c>
      <c r="R1799" t="s">
        <v>33</v>
      </c>
      <c r="S1799">
        <v>1</v>
      </c>
    </row>
    <row r="1800" spans="1:19" ht="16.5" x14ac:dyDescent="0.3">
      <c r="A1800" t="s">
        <v>1859</v>
      </c>
      <c r="B1800" s="1">
        <v>45541</v>
      </c>
      <c r="C1800" s="1">
        <v>45546</v>
      </c>
      <c r="D1800">
        <v>2024</v>
      </c>
      <c r="E1800" t="s">
        <v>1445</v>
      </c>
      <c r="F1800" t="s">
        <v>1821</v>
      </c>
      <c r="G1800" t="s">
        <v>83</v>
      </c>
      <c r="H1800" t="s">
        <v>23</v>
      </c>
      <c r="I1800" t="s">
        <v>24</v>
      </c>
      <c r="J1800" t="s">
        <v>25</v>
      </c>
      <c r="K1800" t="s">
        <v>26</v>
      </c>
      <c r="L1800" t="s">
        <v>37</v>
      </c>
      <c r="M1800">
        <v>5</v>
      </c>
      <c r="N1800" s="2">
        <v>77</v>
      </c>
      <c r="O1800" s="3">
        <v>4596</v>
      </c>
      <c r="P1800">
        <v>0</v>
      </c>
      <c r="Q1800">
        <v>4</v>
      </c>
      <c r="R1800" t="s">
        <v>28</v>
      </c>
      <c r="S1800">
        <v>1</v>
      </c>
    </row>
    <row r="1801" spans="1:19" ht="16.5" x14ac:dyDescent="0.3">
      <c r="A1801" t="s">
        <v>1860</v>
      </c>
      <c r="B1801" s="1">
        <v>45541</v>
      </c>
      <c r="C1801" s="1">
        <v>45545</v>
      </c>
      <c r="D1801">
        <v>2024</v>
      </c>
      <c r="E1801" t="s">
        <v>1445</v>
      </c>
      <c r="F1801" t="s">
        <v>1821</v>
      </c>
      <c r="G1801" t="s">
        <v>83</v>
      </c>
      <c r="H1801" t="s">
        <v>30</v>
      </c>
      <c r="I1801" t="s">
        <v>40</v>
      </c>
      <c r="J1801" t="s">
        <v>25</v>
      </c>
      <c r="K1801" t="s">
        <v>53</v>
      </c>
      <c r="L1801" t="s">
        <v>44</v>
      </c>
      <c r="M1801">
        <v>4</v>
      </c>
      <c r="N1801" s="2"/>
      <c r="O1801" s="3">
        <v>3927</v>
      </c>
      <c r="P1801">
        <v>0</v>
      </c>
      <c r="Q1801">
        <v>5</v>
      </c>
      <c r="R1801" t="s">
        <v>33</v>
      </c>
      <c r="S1801">
        <v>1</v>
      </c>
    </row>
    <row r="1802" spans="1:19" ht="16.5" x14ac:dyDescent="0.3">
      <c r="A1802" t="s">
        <v>1861</v>
      </c>
      <c r="B1802" s="1">
        <v>45541</v>
      </c>
      <c r="C1802" s="1">
        <v>45553</v>
      </c>
      <c r="D1802">
        <v>2024</v>
      </c>
      <c r="E1802" t="s">
        <v>1445</v>
      </c>
      <c r="F1802" t="s">
        <v>1821</v>
      </c>
      <c r="G1802" t="s">
        <v>83</v>
      </c>
      <c r="H1802" t="s">
        <v>23</v>
      </c>
      <c r="I1802" t="s">
        <v>24</v>
      </c>
      <c r="J1802" t="s">
        <v>25</v>
      </c>
      <c r="K1802" t="s">
        <v>26</v>
      </c>
      <c r="L1802" t="s">
        <v>27</v>
      </c>
      <c r="M1802">
        <v>12</v>
      </c>
      <c r="N1802" s="2">
        <v>89</v>
      </c>
      <c r="O1802" s="3">
        <v>10138</v>
      </c>
      <c r="P1802">
        <v>0</v>
      </c>
      <c r="Q1802">
        <v>5</v>
      </c>
      <c r="R1802" t="s">
        <v>33</v>
      </c>
      <c r="S1802">
        <v>1</v>
      </c>
    </row>
    <row r="1803" spans="1:19" ht="16.5" x14ac:dyDescent="0.3">
      <c r="A1803" t="s">
        <v>1862</v>
      </c>
      <c r="B1803" s="1">
        <v>45541</v>
      </c>
      <c r="C1803" s="1">
        <v>45542</v>
      </c>
      <c r="D1803">
        <v>2024</v>
      </c>
      <c r="E1803" t="s">
        <v>1445</v>
      </c>
      <c r="F1803" t="s">
        <v>1821</v>
      </c>
      <c r="G1803" t="s">
        <v>83</v>
      </c>
      <c r="H1803" t="s">
        <v>35</v>
      </c>
      <c r="I1803" t="s">
        <v>40</v>
      </c>
      <c r="J1803" t="s">
        <v>25</v>
      </c>
      <c r="K1803" t="s">
        <v>36</v>
      </c>
      <c r="L1803" t="s">
        <v>44</v>
      </c>
      <c r="M1803">
        <v>1</v>
      </c>
      <c r="N1803" s="2"/>
      <c r="O1803" s="3">
        <v>768</v>
      </c>
      <c r="P1803">
        <v>0</v>
      </c>
      <c r="Q1803">
        <v>3</v>
      </c>
      <c r="R1803" t="s">
        <v>33</v>
      </c>
      <c r="S1803">
        <v>1</v>
      </c>
    </row>
    <row r="1804" spans="1:19" ht="16.5" x14ac:dyDescent="0.3">
      <c r="A1804" t="s">
        <v>1863</v>
      </c>
      <c r="B1804" s="1">
        <v>45541</v>
      </c>
      <c r="C1804" s="1">
        <v>45563</v>
      </c>
      <c r="D1804">
        <v>2024</v>
      </c>
      <c r="E1804" t="s">
        <v>1445</v>
      </c>
      <c r="F1804" t="s">
        <v>1821</v>
      </c>
      <c r="G1804" t="s">
        <v>83</v>
      </c>
      <c r="H1804" t="s">
        <v>23</v>
      </c>
      <c r="I1804" t="s">
        <v>24</v>
      </c>
      <c r="J1804" t="s">
        <v>25</v>
      </c>
      <c r="K1804" t="s">
        <v>53</v>
      </c>
      <c r="L1804" t="s">
        <v>27</v>
      </c>
      <c r="M1804">
        <v>22</v>
      </c>
      <c r="N1804" s="2">
        <v>52</v>
      </c>
      <c r="O1804" s="3">
        <v>12211</v>
      </c>
      <c r="P1804">
        <v>0</v>
      </c>
      <c r="Q1804">
        <v>4</v>
      </c>
      <c r="R1804" t="s">
        <v>28</v>
      </c>
      <c r="S1804">
        <v>1</v>
      </c>
    </row>
    <row r="1805" spans="1:19" ht="16.5" x14ac:dyDescent="0.3">
      <c r="A1805" t="s">
        <v>1864</v>
      </c>
      <c r="B1805" s="1">
        <v>45541</v>
      </c>
      <c r="C1805" s="1">
        <v>45543</v>
      </c>
      <c r="D1805">
        <v>2024</v>
      </c>
      <c r="E1805" t="s">
        <v>1445</v>
      </c>
      <c r="F1805" t="s">
        <v>1821</v>
      </c>
      <c r="G1805" t="s">
        <v>83</v>
      </c>
      <c r="H1805" t="s">
        <v>35</v>
      </c>
      <c r="I1805" t="s">
        <v>24</v>
      </c>
      <c r="J1805" t="s">
        <v>25</v>
      </c>
      <c r="K1805" t="s">
        <v>36</v>
      </c>
      <c r="L1805" t="s">
        <v>44</v>
      </c>
      <c r="M1805">
        <v>2</v>
      </c>
      <c r="N1805" s="2">
        <v>17</v>
      </c>
      <c r="O1805" s="3">
        <v>1587</v>
      </c>
      <c r="P1805">
        <v>0</v>
      </c>
      <c r="Q1805">
        <v>5</v>
      </c>
      <c r="R1805" t="s">
        <v>28</v>
      </c>
      <c r="S1805">
        <v>1</v>
      </c>
    </row>
    <row r="1806" spans="1:19" ht="16.5" x14ac:dyDescent="0.3">
      <c r="A1806" t="s">
        <v>1865</v>
      </c>
      <c r="B1806" s="1">
        <v>45541</v>
      </c>
      <c r="C1806" s="1">
        <v>45549</v>
      </c>
      <c r="D1806">
        <v>2024</v>
      </c>
      <c r="E1806" t="s">
        <v>1445</v>
      </c>
      <c r="F1806" t="s">
        <v>1821</v>
      </c>
      <c r="G1806" t="s">
        <v>83</v>
      </c>
      <c r="H1806" t="s">
        <v>50</v>
      </c>
      <c r="I1806" t="s">
        <v>24</v>
      </c>
      <c r="J1806" t="s">
        <v>25</v>
      </c>
      <c r="K1806" t="s">
        <v>53</v>
      </c>
      <c r="L1806" t="s">
        <v>27</v>
      </c>
      <c r="M1806">
        <v>8</v>
      </c>
      <c r="N1806" s="2">
        <v>18</v>
      </c>
      <c r="O1806" s="3">
        <v>7737</v>
      </c>
      <c r="P1806">
        <v>0</v>
      </c>
      <c r="Q1806">
        <v>4</v>
      </c>
      <c r="R1806" t="s">
        <v>28</v>
      </c>
      <c r="S1806">
        <v>1</v>
      </c>
    </row>
    <row r="1807" spans="1:19" ht="16.5" x14ac:dyDescent="0.3">
      <c r="A1807" t="s">
        <v>1866</v>
      </c>
      <c r="B1807" s="1">
        <v>45542</v>
      </c>
      <c r="C1807" s="1">
        <v>45544</v>
      </c>
      <c r="D1807">
        <v>2024</v>
      </c>
      <c r="E1807" t="s">
        <v>1445</v>
      </c>
      <c r="F1807" t="s">
        <v>1821</v>
      </c>
      <c r="G1807" t="s">
        <v>102</v>
      </c>
      <c r="H1807" t="s">
        <v>23</v>
      </c>
      <c r="I1807" t="s">
        <v>40</v>
      </c>
      <c r="J1807" t="s">
        <v>25</v>
      </c>
      <c r="K1807" t="s">
        <v>32</v>
      </c>
      <c r="L1807" t="s">
        <v>44</v>
      </c>
      <c r="M1807">
        <v>2</v>
      </c>
      <c r="N1807" s="2"/>
      <c r="O1807" s="3">
        <v>1983</v>
      </c>
      <c r="P1807">
        <v>0</v>
      </c>
      <c r="Q1807">
        <v>4</v>
      </c>
      <c r="R1807" t="s">
        <v>28</v>
      </c>
      <c r="S1807">
        <v>1</v>
      </c>
    </row>
    <row r="1808" spans="1:19" ht="16.5" x14ac:dyDescent="0.3">
      <c r="A1808" t="s">
        <v>1867</v>
      </c>
      <c r="B1808" s="1">
        <v>45542</v>
      </c>
      <c r="C1808" s="1">
        <v>45543</v>
      </c>
      <c r="D1808">
        <v>2024</v>
      </c>
      <c r="E1808" t="s">
        <v>1445</v>
      </c>
      <c r="F1808" t="s">
        <v>1821</v>
      </c>
      <c r="G1808" t="s">
        <v>102</v>
      </c>
      <c r="H1808" t="s">
        <v>39</v>
      </c>
      <c r="I1808" t="s">
        <v>24</v>
      </c>
      <c r="J1808" t="s">
        <v>43</v>
      </c>
      <c r="K1808" t="s">
        <v>41</v>
      </c>
      <c r="L1808" t="s">
        <v>27</v>
      </c>
      <c r="M1808">
        <v>1</v>
      </c>
      <c r="N1808" s="2">
        <v>91</v>
      </c>
      <c r="O1808" s="3">
        <v>1466</v>
      </c>
      <c r="P1808">
        <v>1</v>
      </c>
      <c r="Q1808">
        <v>3</v>
      </c>
      <c r="R1808" t="s">
        <v>33</v>
      </c>
      <c r="S1808">
        <v>1</v>
      </c>
    </row>
    <row r="1809" spans="1:19" ht="16.5" x14ac:dyDescent="0.3">
      <c r="A1809" t="s">
        <v>1868</v>
      </c>
      <c r="B1809" s="1">
        <v>45542</v>
      </c>
      <c r="C1809" s="1">
        <v>45547</v>
      </c>
      <c r="D1809">
        <v>2024</v>
      </c>
      <c r="E1809" t="s">
        <v>1445</v>
      </c>
      <c r="F1809" t="s">
        <v>1821</v>
      </c>
      <c r="G1809" t="s">
        <v>102</v>
      </c>
      <c r="H1809" t="s">
        <v>23</v>
      </c>
      <c r="I1809" t="s">
        <v>24</v>
      </c>
      <c r="J1809" t="s">
        <v>25</v>
      </c>
      <c r="K1809" t="s">
        <v>53</v>
      </c>
      <c r="L1809" t="s">
        <v>44</v>
      </c>
      <c r="M1809">
        <v>5</v>
      </c>
      <c r="N1809" s="2">
        <v>41</v>
      </c>
      <c r="O1809" s="3">
        <v>3900</v>
      </c>
      <c r="P1809">
        <v>0</v>
      </c>
      <c r="Q1809">
        <v>5</v>
      </c>
      <c r="R1809" t="s">
        <v>28</v>
      </c>
      <c r="S1809">
        <v>1</v>
      </c>
    </row>
    <row r="1810" spans="1:19" ht="16.5" x14ac:dyDescent="0.3">
      <c r="A1810" t="s">
        <v>1869</v>
      </c>
      <c r="B1810" s="1">
        <v>45542</v>
      </c>
      <c r="C1810" s="1">
        <v>45551</v>
      </c>
      <c r="D1810">
        <v>2024</v>
      </c>
      <c r="E1810" t="s">
        <v>1445</v>
      </c>
      <c r="F1810" t="s">
        <v>1821</v>
      </c>
      <c r="G1810" t="s">
        <v>102</v>
      </c>
      <c r="H1810" t="s">
        <v>52</v>
      </c>
      <c r="I1810" t="s">
        <v>40</v>
      </c>
      <c r="J1810" t="s">
        <v>43</v>
      </c>
      <c r="K1810" t="s">
        <v>32</v>
      </c>
      <c r="L1810" t="s">
        <v>37</v>
      </c>
      <c r="M1810">
        <v>9</v>
      </c>
      <c r="N1810" s="2"/>
      <c r="O1810" s="3">
        <v>9261</v>
      </c>
      <c r="P1810">
        <v>0</v>
      </c>
      <c r="Q1810">
        <v>5</v>
      </c>
      <c r="R1810" t="s">
        <v>33</v>
      </c>
      <c r="S1810">
        <v>1</v>
      </c>
    </row>
    <row r="1811" spans="1:19" ht="16.5" x14ac:dyDescent="0.3">
      <c r="A1811" t="s">
        <v>1870</v>
      </c>
      <c r="B1811" s="1">
        <v>45542</v>
      </c>
      <c r="C1811" s="1">
        <v>45545</v>
      </c>
      <c r="D1811">
        <v>2024</v>
      </c>
      <c r="E1811" t="s">
        <v>1445</v>
      </c>
      <c r="F1811" t="s">
        <v>1821</v>
      </c>
      <c r="G1811" t="s">
        <v>102</v>
      </c>
      <c r="H1811" t="s">
        <v>39</v>
      </c>
      <c r="I1811" t="s">
        <v>24</v>
      </c>
      <c r="J1811" t="s">
        <v>25</v>
      </c>
      <c r="K1811" t="s">
        <v>41</v>
      </c>
      <c r="L1811" t="s">
        <v>44</v>
      </c>
      <c r="M1811">
        <v>3</v>
      </c>
      <c r="N1811" s="2">
        <v>55</v>
      </c>
      <c r="O1811" s="3">
        <v>3013</v>
      </c>
      <c r="P1811">
        <v>0</v>
      </c>
      <c r="Q1811">
        <v>5</v>
      </c>
      <c r="R1811" t="s">
        <v>33</v>
      </c>
      <c r="S1811">
        <v>1</v>
      </c>
    </row>
    <row r="1812" spans="1:19" ht="16.5" x14ac:dyDescent="0.3">
      <c r="A1812" t="s">
        <v>1871</v>
      </c>
      <c r="B1812" s="1">
        <v>45542</v>
      </c>
      <c r="C1812" s="1">
        <v>45545</v>
      </c>
      <c r="D1812">
        <v>2024</v>
      </c>
      <c r="E1812" t="s">
        <v>1445</v>
      </c>
      <c r="F1812" t="s">
        <v>1821</v>
      </c>
      <c r="G1812" t="s">
        <v>102</v>
      </c>
      <c r="H1812" t="s">
        <v>30</v>
      </c>
      <c r="I1812" t="s">
        <v>40</v>
      </c>
      <c r="J1812" t="s">
        <v>43</v>
      </c>
      <c r="K1812" t="s">
        <v>26</v>
      </c>
      <c r="L1812" t="s">
        <v>37</v>
      </c>
      <c r="M1812">
        <v>3</v>
      </c>
      <c r="N1812" s="2"/>
      <c r="O1812" s="3">
        <v>2768</v>
      </c>
      <c r="P1812">
        <v>0</v>
      </c>
      <c r="Q1812">
        <v>5</v>
      </c>
      <c r="R1812" t="s">
        <v>33</v>
      </c>
      <c r="S1812">
        <v>1</v>
      </c>
    </row>
    <row r="1813" spans="1:19" ht="16.5" x14ac:dyDescent="0.3">
      <c r="A1813" t="s">
        <v>1872</v>
      </c>
      <c r="B1813" s="1">
        <v>45542</v>
      </c>
      <c r="C1813" s="1">
        <v>45543</v>
      </c>
      <c r="D1813">
        <v>2024</v>
      </c>
      <c r="E1813" t="s">
        <v>1445</v>
      </c>
      <c r="F1813" t="s">
        <v>1821</v>
      </c>
      <c r="G1813" t="s">
        <v>102</v>
      </c>
      <c r="H1813" t="s">
        <v>35</v>
      </c>
      <c r="I1813" t="s">
        <v>24</v>
      </c>
      <c r="J1813" t="s">
        <v>25</v>
      </c>
      <c r="K1813" t="s">
        <v>36</v>
      </c>
      <c r="L1813" t="s">
        <v>44</v>
      </c>
      <c r="M1813">
        <v>1</v>
      </c>
      <c r="N1813" s="2">
        <v>29</v>
      </c>
      <c r="O1813" s="3">
        <v>1000</v>
      </c>
      <c r="P1813">
        <v>0</v>
      </c>
      <c r="Q1813">
        <v>4</v>
      </c>
      <c r="R1813" t="s">
        <v>28</v>
      </c>
      <c r="S1813">
        <v>1</v>
      </c>
    </row>
    <row r="1814" spans="1:19" ht="16.5" x14ac:dyDescent="0.3">
      <c r="A1814" t="s">
        <v>1873</v>
      </c>
      <c r="B1814" s="1">
        <v>45543</v>
      </c>
      <c r="C1814" s="1">
        <v>45546</v>
      </c>
      <c r="D1814">
        <v>2024</v>
      </c>
      <c r="E1814" t="s">
        <v>1445</v>
      </c>
      <c r="F1814" t="s">
        <v>1821</v>
      </c>
      <c r="G1814" t="s">
        <v>112</v>
      </c>
      <c r="H1814" t="s">
        <v>35</v>
      </c>
      <c r="I1814" t="s">
        <v>24</v>
      </c>
      <c r="J1814" t="s">
        <v>25</v>
      </c>
      <c r="K1814" t="s">
        <v>32</v>
      </c>
      <c r="L1814" t="s">
        <v>27</v>
      </c>
      <c r="M1814">
        <v>3</v>
      </c>
      <c r="N1814" s="2">
        <v>21</v>
      </c>
      <c r="O1814" s="3">
        <v>2844</v>
      </c>
      <c r="P1814">
        <v>0</v>
      </c>
      <c r="Q1814">
        <v>3</v>
      </c>
      <c r="R1814" t="s">
        <v>28</v>
      </c>
      <c r="S1814">
        <v>1</v>
      </c>
    </row>
    <row r="1815" spans="1:19" ht="16.5" x14ac:dyDescent="0.3">
      <c r="A1815" t="s">
        <v>1874</v>
      </c>
      <c r="B1815" s="1">
        <v>45543</v>
      </c>
      <c r="C1815" s="1">
        <v>45546</v>
      </c>
      <c r="D1815">
        <v>2024</v>
      </c>
      <c r="E1815" t="s">
        <v>1445</v>
      </c>
      <c r="F1815" t="s">
        <v>1821</v>
      </c>
      <c r="G1815" t="s">
        <v>112</v>
      </c>
      <c r="H1815" t="s">
        <v>30</v>
      </c>
      <c r="I1815" t="s">
        <v>40</v>
      </c>
      <c r="J1815" t="s">
        <v>25</v>
      </c>
      <c r="K1815" t="s">
        <v>32</v>
      </c>
      <c r="L1815" t="s">
        <v>27</v>
      </c>
      <c r="M1815">
        <v>3</v>
      </c>
      <c r="N1815" s="2"/>
      <c r="O1815" s="3">
        <v>3621</v>
      </c>
      <c r="P1815">
        <v>0</v>
      </c>
      <c r="Q1815">
        <v>5</v>
      </c>
      <c r="R1815" t="s">
        <v>28</v>
      </c>
      <c r="S1815">
        <v>1</v>
      </c>
    </row>
    <row r="1816" spans="1:19" ht="16.5" x14ac:dyDescent="0.3">
      <c r="A1816" t="s">
        <v>1875</v>
      </c>
      <c r="B1816" s="1">
        <v>45543</v>
      </c>
      <c r="C1816" s="1">
        <v>45545</v>
      </c>
      <c r="D1816">
        <v>2024</v>
      </c>
      <c r="E1816" t="s">
        <v>1445</v>
      </c>
      <c r="F1816" t="s">
        <v>1821</v>
      </c>
      <c r="G1816" t="s">
        <v>112</v>
      </c>
      <c r="H1816" t="s">
        <v>30</v>
      </c>
      <c r="I1816" t="s">
        <v>40</v>
      </c>
      <c r="J1816" t="s">
        <v>25</v>
      </c>
      <c r="K1816" t="s">
        <v>53</v>
      </c>
      <c r="L1816" t="s">
        <v>27</v>
      </c>
      <c r="M1816">
        <v>2</v>
      </c>
      <c r="N1816" s="2"/>
      <c r="O1816" s="3">
        <v>3144</v>
      </c>
      <c r="P1816">
        <v>0</v>
      </c>
      <c r="Q1816">
        <v>4</v>
      </c>
      <c r="R1816" t="s">
        <v>33</v>
      </c>
      <c r="S1816">
        <v>1</v>
      </c>
    </row>
    <row r="1817" spans="1:19" ht="16.5" x14ac:dyDescent="0.3">
      <c r="A1817" t="s">
        <v>1876</v>
      </c>
      <c r="B1817" s="1">
        <v>45543</v>
      </c>
      <c r="C1817" s="1">
        <v>45547</v>
      </c>
      <c r="D1817">
        <v>2024</v>
      </c>
      <c r="E1817" t="s">
        <v>1445</v>
      </c>
      <c r="F1817" t="s">
        <v>1821</v>
      </c>
      <c r="G1817" t="s">
        <v>112</v>
      </c>
      <c r="H1817" t="s">
        <v>35</v>
      </c>
      <c r="I1817" t="s">
        <v>24</v>
      </c>
      <c r="J1817" t="s">
        <v>25</v>
      </c>
      <c r="K1817" t="s">
        <v>36</v>
      </c>
      <c r="L1817" t="s">
        <v>37</v>
      </c>
      <c r="M1817">
        <v>4</v>
      </c>
      <c r="N1817" s="2">
        <v>79</v>
      </c>
      <c r="O1817" s="3">
        <v>2537</v>
      </c>
      <c r="P1817">
        <v>0</v>
      </c>
      <c r="Q1817">
        <v>5</v>
      </c>
      <c r="R1817" t="s">
        <v>33</v>
      </c>
      <c r="S1817">
        <v>1</v>
      </c>
    </row>
    <row r="1818" spans="1:19" ht="16.5" x14ac:dyDescent="0.3">
      <c r="A1818" t="s">
        <v>1877</v>
      </c>
      <c r="B1818" s="1">
        <v>45543</v>
      </c>
      <c r="C1818" s="1">
        <v>45553</v>
      </c>
      <c r="D1818">
        <v>2024</v>
      </c>
      <c r="E1818" t="s">
        <v>1445</v>
      </c>
      <c r="F1818" t="s">
        <v>1821</v>
      </c>
      <c r="G1818" t="s">
        <v>112</v>
      </c>
      <c r="H1818" t="s">
        <v>52</v>
      </c>
      <c r="I1818" t="s">
        <v>40</v>
      </c>
      <c r="J1818" t="s">
        <v>43</v>
      </c>
      <c r="K1818" t="s">
        <v>26</v>
      </c>
      <c r="L1818" t="s">
        <v>27</v>
      </c>
      <c r="M1818">
        <v>10</v>
      </c>
      <c r="N1818" s="2"/>
      <c r="O1818" s="3">
        <v>5919</v>
      </c>
      <c r="P1818">
        <v>0</v>
      </c>
      <c r="Q1818">
        <v>4</v>
      </c>
      <c r="R1818" t="s">
        <v>33</v>
      </c>
      <c r="S1818">
        <v>1</v>
      </c>
    </row>
    <row r="1819" spans="1:19" ht="16.5" x14ac:dyDescent="0.3">
      <c r="A1819" t="s">
        <v>1878</v>
      </c>
      <c r="B1819" s="1">
        <v>45543</v>
      </c>
      <c r="C1819" s="1">
        <v>45545</v>
      </c>
      <c r="D1819">
        <v>2024</v>
      </c>
      <c r="E1819" t="s">
        <v>1445</v>
      </c>
      <c r="F1819" t="s">
        <v>1821</v>
      </c>
      <c r="G1819" t="s">
        <v>112</v>
      </c>
      <c r="H1819" t="s">
        <v>23</v>
      </c>
      <c r="I1819" t="s">
        <v>24</v>
      </c>
      <c r="J1819" t="s">
        <v>43</v>
      </c>
      <c r="K1819" t="s">
        <v>32</v>
      </c>
      <c r="L1819" t="s">
        <v>37</v>
      </c>
      <c r="M1819">
        <v>2</v>
      </c>
      <c r="N1819" s="2">
        <v>36</v>
      </c>
      <c r="O1819" s="3">
        <v>2508</v>
      </c>
      <c r="P1819">
        <v>0</v>
      </c>
      <c r="Q1819">
        <v>4</v>
      </c>
      <c r="R1819" t="s">
        <v>33</v>
      </c>
      <c r="S1819">
        <v>1</v>
      </c>
    </row>
    <row r="1820" spans="1:19" ht="16.5" x14ac:dyDescent="0.3">
      <c r="A1820" t="s">
        <v>1879</v>
      </c>
      <c r="B1820" s="1">
        <v>45544</v>
      </c>
      <c r="C1820" s="1">
        <v>45553</v>
      </c>
      <c r="D1820">
        <v>2024</v>
      </c>
      <c r="E1820" t="s">
        <v>1445</v>
      </c>
      <c r="F1820" t="s">
        <v>1821</v>
      </c>
      <c r="G1820" t="s">
        <v>22</v>
      </c>
      <c r="H1820" t="s">
        <v>35</v>
      </c>
      <c r="I1820" t="s">
        <v>24</v>
      </c>
      <c r="J1820" t="s">
        <v>25</v>
      </c>
      <c r="K1820" t="s">
        <v>32</v>
      </c>
      <c r="L1820" t="s">
        <v>44</v>
      </c>
      <c r="M1820">
        <v>9</v>
      </c>
      <c r="N1820" s="2">
        <v>37</v>
      </c>
      <c r="O1820" s="3">
        <v>6655</v>
      </c>
      <c r="P1820">
        <v>0</v>
      </c>
      <c r="Q1820">
        <v>5</v>
      </c>
      <c r="R1820" t="s">
        <v>28</v>
      </c>
      <c r="S1820">
        <v>1</v>
      </c>
    </row>
    <row r="1821" spans="1:19" ht="16.5" x14ac:dyDescent="0.3">
      <c r="A1821" t="s">
        <v>1880</v>
      </c>
      <c r="B1821" s="1">
        <v>45544</v>
      </c>
      <c r="C1821" s="1">
        <v>45561</v>
      </c>
      <c r="D1821">
        <v>2024</v>
      </c>
      <c r="E1821" t="s">
        <v>1445</v>
      </c>
      <c r="F1821" t="s">
        <v>1821</v>
      </c>
      <c r="G1821" t="s">
        <v>22</v>
      </c>
      <c r="H1821" t="s">
        <v>23</v>
      </c>
      <c r="I1821" t="s">
        <v>40</v>
      </c>
      <c r="J1821" t="s">
        <v>25</v>
      </c>
      <c r="K1821" t="s">
        <v>53</v>
      </c>
      <c r="L1821" t="s">
        <v>44</v>
      </c>
      <c r="M1821">
        <v>17</v>
      </c>
      <c r="N1821" s="2"/>
      <c r="O1821" s="3">
        <v>15033</v>
      </c>
      <c r="P1821">
        <v>0</v>
      </c>
      <c r="Q1821">
        <v>5</v>
      </c>
      <c r="R1821" t="s">
        <v>33</v>
      </c>
      <c r="S1821">
        <v>1</v>
      </c>
    </row>
    <row r="1822" spans="1:19" ht="16.5" x14ac:dyDescent="0.3">
      <c r="A1822" t="s">
        <v>1881</v>
      </c>
      <c r="B1822" s="1">
        <v>45544</v>
      </c>
      <c r="C1822" s="1">
        <v>45547</v>
      </c>
      <c r="D1822">
        <v>2024</v>
      </c>
      <c r="E1822" t="s">
        <v>1445</v>
      </c>
      <c r="F1822" t="s">
        <v>1821</v>
      </c>
      <c r="G1822" t="s">
        <v>22</v>
      </c>
      <c r="H1822" t="s">
        <v>39</v>
      </c>
      <c r="I1822" t="s">
        <v>24</v>
      </c>
      <c r="J1822" t="s">
        <v>25</v>
      </c>
      <c r="K1822" t="s">
        <v>41</v>
      </c>
      <c r="L1822" t="s">
        <v>37</v>
      </c>
      <c r="M1822">
        <v>3</v>
      </c>
      <c r="N1822" s="2">
        <v>85</v>
      </c>
      <c r="O1822" s="3">
        <v>2321</v>
      </c>
      <c r="P1822">
        <v>0</v>
      </c>
      <c r="Q1822">
        <v>4</v>
      </c>
      <c r="R1822" t="s">
        <v>33</v>
      </c>
      <c r="S1822">
        <v>1</v>
      </c>
    </row>
    <row r="1823" spans="1:19" ht="16.5" x14ac:dyDescent="0.3">
      <c r="A1823" t="s">
        <v>1882</v>
      </c>
      <c r="B1823" s="1">
        <v>45544</v>
      </c>
      <c r="C1823" s="1">
        <v>45546</v>
      </c>
      <c r="D1823">
        <v>2024</v>
      </c>
      <c r="E1823" t="s">
        <v>1445</v>
      </c>
      <c r="F1823" t="s">
        <v>1821</v>
      </c>
      <c r="G1823" t="s">
        <v>22</v>
      </c>
      <c r="H1823" t="s">
        <v>39</v>
      </c>
      <c r="I1823" t="s">
        <v>24</v>
      </c>
      <c r="J1823" t="s">
        <v>43</v>
      </c>
      <c r="K1823" t="s">
        <v>41</v>
      </c>
      <c r="L1823" t="s">
        <v>27</v>
      </c>
      <c r="M1823">
        <v>2</v>
      </c>
      <c r="N1823" s="2">
        <v>69</v>
      </c>
      <c r="O1823" s="3">
        <v>2117</v>
      </c>
      <c r="P1823">
        <v>0</v>
      </c>
      <c r="Q1823">
        <v>5</v>
      </c>
      <c r="R1823" t="s">
        <v>33</v>
      </c>
      <c r="S1823">
        <v>1</v>
      </c>
    </row>
    <row r="1824" spans="1:19" ht="16.5" x14ac:dyDescent="0.3">
      <c r="A1824" t="s">
        <v>1883</v>
      </c>
      <c r="B1824" s="1">
        <v>45545</v>
      </c>
      <c r="C1824" s="1">
        <v>45547</v>
      </c>
      <c r="D1824">
        <v>2024</v>
      </c>
      <c r="E1824" t="s">
        <v>1445</v>
      </c>
      <c r="F1824" t="s">
        <v>1821</v>
      </c>
      <c r="G1824" t="s">
        <v>56</v>
      </c>
      <c r="H1824" t="s">
        <v>30</v>
      </c>
      <c r="I1824" t="s">
        <v>40</v>
      </c>
      <c r="J1824" t="s">
        <v>43</v>
      </c>
      <c r="K1824" t="s">
        <v>26</v>
      </c>
      <c r="L1824" t="s">
        <v>37</v>
      </c>
      <c r="M1824">
        <v>2</v>
      </c>
      <c r="N1824" s="2"/>
      <c r="O1824" s="3">
        <v>2115</v>
      </c>
      <c r="P1824">
        <v>0</v>
      </c>
      <c r="Q1824">
        <v>4</v>
      </c>
      <c r="R1824" t="s">
        <v>33</v>
      </c>
      <c r="S1824">
        <v>1</v>
      </c>
    </row>
    <row r="1825" spans="1:19" ht="16.5" x14ac:dyDescent="0.3">
      <c r="A1825" t="s">
        <v>1884</v>
      </c>
      <c r="B1825" s="1">
        <v>45545</v>
      </c>
      <c r="C1825" s="1">
        <v>45549</v>
      </c>
      <c r="D1825">
        <v>2024</v>
      </c>
      <c r="E1825" t="s">
        <v>1445</v>
      </c>
      <c r="F1825" t="s">
        <v>1821</v>
      </c>
      <c r="G1825" t="s">
        <v>56</v>
      </c>
      <c r="H1825" t="s">
        <v>23</v>
      </c>
      <c r="I1825" t="s">
        <v>40</v>
      </c>
      <c r="J1825" t="s">
        <v>43</v>
      </c>
      <c r="K1825" t="s">
        <v>32</v>
      </c>
      <c r="L1825" t="s">
        <v>44</v>
      </c>
      <c r="M1825">
        <v>4</v>
      </c>
      <c r="N1825" s="2"/>
      <c r="O1825" s="3">
        <v>3029</v>
      </c>
      <c r="P1825">
        <v>0</v>
      </c>
      <c r="Q1825">
        <v>5</v>
      </c>
      <c r="R1825" t="s">
        <v>33</v>
      </c>
      <c r="S1825">
        <v>1</v>
      </c>
    </row>
    <row r="1826" spans="1:19" ht="16.5" x14ac:dyDescent="0.3">
      <c r="A1826" t="s">
        <v>1885</v>
      </c>
      <c r="B1826" s="1">
        <v>45545</v>
      </c>
      <c r="C1826" s="1">
        <v>45549</v>
      </c>
      <c r="D1826">
        <v>2024</v>
      </c>
      <c r="E1826" t="s">
        <v>1445</v>
      </c>
      <c r="F1826" t="s">
        <v>1821</v>
      </c>
      <c r="G1826" t="s">
        <v>56</v>
      </c>
      <c r="H1826" t="s">
        <v>23</v>
      </c>
      <c r="I1826" t="s">
        <v>24</v>
      </c>
      <c r="J1826" t="s">
        <v>43</v>
      </c>
      <c r="K1826" t="s">
        <v>32</v>
      </c>
      <c r="L1826" t="s">
        <v>44</v>
      </c>
      <c r="M1826">
        <v>4</v>
      </c>
      <c r="N1826" s="2">
        <v>62</v>
      </c>
      <c r="O1826" s="3">
        <v>3143</v>
      </c>
      <c r="P1826">
        <v>0</v>
      </c>
      <c r="Q1826">
        <v>5</v>
      </c>
      <c r="R1826" t="s">
        <v>28</v>
      </c>
      <c r="S1826">
        <v>1</v>
      </c>
    </row>
    <row r="1827" spans="1:19" ht="16.5" x14ac:dyDescent="0.3">
      <c r="A1827" t="s">
        <v>1886</v>
      </c>
      <c r="B1827" s="1">
        <v>45545</v>
      </c>
      <c r="C1827" s="1">
        <v>45547</v>
      </c>
      <c r="D1827">
        <v>2024</v>
      </c>
      <c r="E1827" t="s">
        <v>1445</v>
      </c>
      <c r="F1827" t="s">
        <v>1821</v>
      </c>
      <c r="G1827" t="s">
        <v>56</v>
      </c>
      <c r="H1827" t="s">
        <v>35</v>
      </c>
      <c r="I1827" t="s">
        <v>24</v>
      </c>
      <c r="J1827" t="s">
        <v>25</v>
      </c>
      <c r="K1827" t="s">
        <v>36</v>
      </c>
      <c r="L1827" t="s">
        <v>44</v>
      </c>
      <c r="M1827">
        <v>2</v>
      </c>
      <c r="N1827" s="2">
        <v>57</v>
      </c>
      <c r="O1827" s="3">
        <v>2394</v>
      </c>
      <c r="P1827">
        <v>0</v>
      </c>
      <c r="Q1827">
        <v>3</v>
      </c>
      <c r="R1827" t="s">
        <v>33</v>
      </c>
      <c r="S1827">
        <v>1</v>
      </c>
    </row>
    <row r="1828" spans="1:19" ht="16.5" x14ac:dyDescent="0.3">
      <c r="A1828" t="s">
        <v>1887</v>
      </c>
      <c r="B1828" s="1">
        <v>45545</v>
      </c>
      <c r="C1828" s="1">
        <v>45550</v>
      </c>
      <c r="D1828">
        <v>2024</v>
      </c>
      <c r="E1828" t="s">
        <v>1445</v>
      </c>
      <c r="F1828" t="s">
        <v>1821</v>
      </c>
      <c r="G1828" t="s">
        <v>56</v>
      </c>
      <c r="H1828" t="s">
        <v>23</v>
      </c>
      <c r="I1828" t="s">
        <v>24</v>
      </c>
      <c r="J1828" t="s">
        <v>43</v>
      </c>
      <c r="K1828" t="s">
        <v>26</v>
      </c>
      <c r="L1828" t="s">
        <v>44</v>
      </c>
      <c r="M1828">
        <v>5</v>
      </c>
      <c r="N1828" s="2">
        <v>62</v>
      </c>
      <c r="O1828" s="3">
        <v>4276</v>
      </c>
      <c r="P1828">
        <v>0</v>
      </c>
      <c r="Q1828">
        <v>5</v>
      </c>
      <c r="R1828" t="s">
        <v>33</v>
      </c>
      <c r="S1828">
        <v>1</v>
      </c>
    </row>
    <row r="1829" spans="1:19" ht="16.5" x14ac:dyDescent="0.3">
      <c r="A1829" t="s">
        <v>1888</v>
      </c>
      <c r="B1829" s="1">
        <v>45545</v>
      </c>
      <c r="C1829" s="1">
        <v>45546</v>
      </c>
      <c r="D1829">
        <v>2024</v>
      </c>
      <c r="E1829" t="s">
        <v>1445</v>
      </c>
      <c r="F1829" t="s">
        <v>1821</v>
      </c>
      <c r="G1829" t="s">
        <v>56</v>
      </c>
      <c r="H1829" t="s">
        <v>39</v>
      </c>
      <c r="I1829" t="s">
        <v>24</v>
      </c>
      <c r="J1829" t="s">
        <v>43</v>
      </c>
      <c r="K1829" t="s">
        <v>41</v>
      </c>
      <c r="L1829" t="s">
        <v>37</v>
      </c>
      <c r="M1829">
        <v>1</v>
      </c>
      <c r="N1829" s="2">
        <v>16</v>
      </c>
      <c r="O1829" s="3">
        <v>1010</v>
      </c>
      <c r="P1829">
        <v>0</v>
      </c>
      <c r="Q1829">
        <v>5</v>
      </c>
      <c r="R1829" t="s">
        <v>33</v>
      </c>
      <c r="S1829">
        <v>1</v>
      </c>
    </row>
    <row r="1830" spans="1:19" ht="16.5" x14ac:dyDescent="0.3">
      <c r="A1830" t="s">
        <v>1889</v>
      </c>
      <c r="B1830" s="1">
        <v>45545</v>
      </c>
      <c r="C1830" s="1">
        <v>45548</v>
      </c>
      <c r="D1830">
        <v>2024</v>
      </c>
      <c r="E1830" t="s">
        <v>1445</v>
      </c>
      <c r="F1830" t="s">
        <v>1821</v>
      </c>
      <c r="G1830" t="s">
        <v>56</v>
      </c>
      <c r="H1830" t="s">
        <v>52</v>
      </c>
      <c r="I1830" t="s">
        <v>40</v>
      </c>
      <c r="J1830" t="s">
        <v>25</v>
      </c>
      <c r="K1830" t="s">
        <v>36</v>
      </c>
      <c r="L1830" t="s">
        <v>27</v>
      </c>
      <c r="M1830">
        <v>3</v>
      </c>
      <c r="N1830" s="2"/>
      <c r="O1830" s="3">
        <v>2860</v>
      </c>
      <c r="P1830">
        <v>0</v>
      </c>
      <c r="Q1830">
        <v>4</v>
      </c>
      <c r="R1830" t="s">
        <v>28</v>
      </c>
      <c r="S1830">
        <v>1</v>
      </c>
    </row>
    <row r="1831" spans="1:19" ht="16.5" x14ac:dyDescent="0.3">
      <c r="A1831" t="s">
        <v>1890</v>
      </c>
      <c r="B1831" s="1">
        <v>45545</v>
      </c>
      <c r="C1831" s="1">
        <v>45546</v>
      </c>
      <c r="D1831">
        <v>2024</v>
      </c>
      <c r="E1831" t="s">
        <v>1445</v>
      </c>
      <c r="F1831" t="s">
        <v>1821</v>
      </c>
      <c r="G1831" t="s">
        <v>56</v>
      </c>
      <c r="H1831" t="s">
        <v>50</v>
      </c>
      <c r="I1831" t="s">
        <v>24</v>
      </c>
      <c r="J1831" t="s">
        <v>25</v>
      </c>
      <c r="K1831" t="s">
        <v>36</v>
      </c>
      <c r="L1831" t="s">
        <v>27</v>
      </c>
      <c r="M1831">
        <v>1</v>
      </c>
      <c r="N1831" s="2">
        <v>21</v>
      </c>
      <c r="O1831" s="3">
        <v>2597</v>
      </c>
      <c r="P1831">
        <v>1</v>
      </c>
      <c r="Q1831">
        <v>3</v>
      </c>
      <c r="R1831" t="s">
        <v>33</v>
      </c>
      <c r="S1831">
        <v>1</v>
      </c>
    </row>
    <row r="1832" spans="1:19" ht="16.5" x14ac:dyDescent="0.3">
      <c r="A1832" t="s">
        <v>1891</v>
      </c>
      <c r="B1832" s="1">
        <v>45546</v>
      </c>
      <c r="C1832" s="1">
        <v>45554</v>
      </c>
      <c r="D1832">
        <v>2024</v>
      </c>
      <c r="E1832" t="s">
        <v>1445</v>
      </c>
      <c r="F1832" t="s">
        <v>1821</v>
      </c>
      <c r="G1832" t="s">
        <v>70</v>
      </c>
      <c r="H1832" t="s">
        <v>52</v>
      </c>
      <c r="I1832" t="s">
        <v>40</v>
      </c>
      <c r="J1832" t="s">
        <v>25</v>
      </c>
      <c r="K1832" t="s">
        <v>26</v>
      </c>
      <c r="L1832" t="s">
        <v>37</v>
      </c>
      <c r="M1832">
        <v>8</v>
      </c>
      <c r="N1832" s="2"/>
      <c r="O1832" s="3">
        <v>7825</v>
      </c>
      <c r="P1832">
        <v>0</v>
      </c>
      <c r="Q1832">
        <v>5</v>
      </c>
      <c r="R1832" t="s">
        <v>33</v>
      </c>
      <c r="S1832">
        <v>1</v>
      </c>
    </row>
    <row r="1833" spans="1:19" ht="16.5" x14ac:dyDescent="0.3">
      <c r="A1833" t="s">
        <v>1892</v>
      </c>
      <c r="B1833" s="1">
        <v>45546</v>
      </c>
      <c r="C1833" s="1">
        <v>45556</v>
      </c>
      <c r="D1833">
        <v>2024</v>
      </c>
      <c r="E1833" t="s">
        <v>1445</v>
      </c>
      <c r="F1833" t="s">
        <v>1821</v>
      </c>
      <c r="G1833" t="s">
        <v>70</v>
      </c>
      <c r="H1833" t="s">
        <v>30</v>
      </c>
      <c r="I1833" t="s">
        <v>40</v>
      </c>
      <c r="J1833" t="s">
        <v>25</v>
      </c>
      <c r="K1833" t="s">
        <v>26</v>
      </c>
      <c r="L1833" t="s">
        <v>27</v>
      </c>
      <c r="M1833">
        <v>10</v>
      </c>
      <c r="N1833" s="2"/>
      <c r="O1833" s="3">
        <v>10874</v>
      </c>
      <c r="P1833">
        <v>0</v>
      </c>
      <c r="Q1833">
        <v>5</v>
      </c>
      <c r="R1833" t="s">
        <v>28</v>
      </c>
      <c r="S1833">
        <v>1</v>
      </c>
    </row>
    <row r="1834" spans="1:19" ht="16.5" x14ac:dyDescent="0.3">
      <c r="A1834" t="s">
        <v>1893</v>
      </c>
      <c r="B1834" s="1">
        <v>45546</v>
      </c>
      <c r="C1834" s="1">
        <v>45550</v>
      </c>
      <c r="D1834">
        <v>2024</v>
      </c>
      <c r="E1834" t="s">
        <v>1445</v>
      </c>
      <c r="F1834" t="s">
        <v>1821</v>
      </c>
      <c r="G1834" t="s">
        <v>70</v>
      </c>
      <c r="H1834" t="s">
        <v>50</v>
      </c>
      <c r="I1834" t="s">
        <v>24</v>
      </c>
      <c r="J1834" t="s">
        <v>25</v>
      </c>
      <c r="K1834" t="s">
        <v>36</v>
      </c>
      <c r="L1834" t="s">
        <v>44</v>
      </c>
      <c r="M1834">
        <v>4</v>
      </c>
      <c r="N1834" s="2">
        <v>59</v>
      </c>
      <c r="O1834" s="3">
        <v>7165</v>
      </c>
      <c r="P1834">
        <v>0</v>
      </c>
      <c r="Q1834">
        <v>4</v>
      </c>
      <c r="R1834" t="s">
        <v>33</v>
      </c>
      <c r="S1834">
        <v>1</v>
      </c>
    </row>
    <row r="1835" spans="1:19" ht="16.5" x14ac:dyDescent="0.3">
      <c r="A1835" t="s">
        <v>1894</v>
      </c>
      <c r="B1835" s="1">
        <v>45546</v>
      </c>
      <c r="C1835" s="1">
        <v>45552</v>
      </c>
      <c r="D1835">
        <v>2024</v>
      </c>
      <c r="E1835" t="s">
        <v>1445</v>
      </c>
      <c r="F1835" t="s">
        <v>1821</v>
      </c>
      <c r="G1835" t="s">
        <v>70</v>
      </c>
      <c r="H1835" t="s">
        <v>52</v>
      </c>
      <c r="I1835" t="s">
        <v>40</v>
      </c>
      <c r="J1835" t="s">
        <v>43</v>
      </c>
      <c r="K1835" t="s">
        <v>53</v>
      </c>
      <c r="L1835" t="s">
        <v>44</v>
      </c>
      <c r="M1835">
        <v>6</v>
      </c>
      <c r="N1835" s="2"/>
      <c r="O1835" s="3">
        <v>5703</v>
      </c>
      <c r="P1835">
        <v>0</v>
      </c>
      <c r="Q1835">
        <v>4</v>
      </c>
      <c r="R1835" t="s">
        <v>33</v>
      </c>
      <c r="S1835">
        <v>1</v>
      </c>
    </row>
    <row r="1836" spans="1:19" ht="16.5" x14ac:dyDescent="0.3">
      <c r="A1836" t="s">
        <v>1895</v>
      </c>
      <c r="B1836" s="1">
        <v>45546</v>
      </c>
      <c r="C1836" s="1">
        <v>45547</v>
      </c>
      <c r="D1836">
        <v>2024</v>
      </c>
      <c r="E1836" t="s">
        <v>1445</v>
      </c>
      <c r="F1836" t="s">
        <v>1821</v>
      </c>
      <c r="G1836" t="s">
        <v>70</v>
      </c>
      <c r="H1836" t="s">
        <v>39</v>
      </c>
      <c r="I1836" t="s">
        <v>24</v>
      </c>
      <c r="J1836" t="s">
        <v>43</v>
      </c>
      <c r="K1836" t="s">
        <v>41</v>
      </c>
      <c r="L1836" t="s">
        <v>27</v>
      </c>
      <c r="M1836">
        <v>1</v>
      </c>
      <c r="N1836" s="2">
        <v>11</v>
      </c>
      <c r="O1836" s="3">
        <v>1085</v>
      </c>
      <c r="P1836">
        <v>0</v>
      </c>
      <c r="Q1836">
        <v>3</v>
      </c>
      <c r="R1836" t="s">
        <v>33</v>
      </c>
      <c r="S1836">
        <v>1</v>
      </c>
    </row>
    <row r="1837" spans="1:19" ht="16.5" x14ac:dyDescent="0.3">
      <c r="A1837" t="s">
        <v>1896</v>
      </c>
      <c r="B1837" s="1">
        <v>45546</v>
      </c>
      <c r="C1837" s="1">
        <v>45548</v>
      </c>
      <c r="D1837">
        <v>2024</v>
      </c>
      <c r="E1837" t="s">
        <v>1445</v>
      </c>
      <c r="F1837" t="s">
        <v>1821</v>
      </c>
      <c r="G1837" t="s">
        <v>70</v>
      </c>
      <c r="H1837" t="s">
        <v>35</v>
      </c>
      <c r="I1837" t="s">
        <v>24</v>
      </c>
      <c r="J1837" t="s">
        <v>25</v>
      </c>
      <c r="K1837" t="s">
        <v>36</v>
      </c>
      <c r="L1837" t="s">
        <v>44</v>
      </c>
      <c r="M1837">
        <v>2</v>
      </c>
      <c r="N1837" s="2">
        <v>163</v>
      </c>
      <c r="O1837" s="3">
        <v>1985</v>
      </c>
      <c r="P1837">
        <v>0</v>
      </c>
      <c r="Q1837">
        <v>2</v>
      </c>
      <c r="R1837" t="s">
        <v>28</v>
      </c>
      <c r="S1837">
        <v>1</v>
      </c>
    </row>
    <row r="1838" spans="1:19" ht="16.5" x14ac:dyDescent="0.3">
      <c r="A1838" t="s">
        <v>1897</v>
      </c>
      <c r="B1838" s="1">
        <v>45546</v>
      </c>
      <c r="C1838" s="1">
        <v>45548</v>
      </c>
      <c r="D1838">
        <v>2024</v>
      </c>
      <c r="E1838" t="s">
        <v>1445</v>
      </c>
      <c r="F1838" t="s">
        <v>1821</v>
      </c>
      <c r="G1838" t="s">
        <v>70</v>
      </c>
      <c r="H1838" t="s">
        <v>39</v>
      </c>
      <c r="I1838" t="s">
        <v>24</v>
      </c>
      <c r="J1838" t="s">
        <v>25</v>
      </c>
      <c r="K1838" t="s">
        <v>41</v>
      </c>
      <c r="L1838" t="s">
        <v>44</v>
      </c>
      <c r="M1838">
        <v>2</v>
      </c>
      <c r="N1838" s="2">
        <v>117</v>
      </c>
      <c r="O1838" s="3">
        <v>2093</v>
      </c>
      <c r="P1838">
        <v>0</v>
      </c>
      <c r="Q1838">
        <v>3</v>
      </c>
      <c r="R1838" t="s">
        <v>28</v>
      </c>
      <c r="S1838">
        <v>1</v>
      </c>
    </row>
    <row r="1839" spans="1:19" ht="16.5" x14ac:dyDescent="0.3">
      <c r="A1839" t="s">
        <v>1898</v>
      </c>
      <c r="B1839" s="1">
        <v>45546</v>
      </c>
      <c r="C1839" s="1">
        <v>45552</v>
      </c>
      <c r="D1839">
        <v>2024</v>
      </c>
      <c r="E1839" t="s">
        <v>1445</v>
      </c>
      <c r="F1839" t="s">
        <v>1821</v>
      </c>
      <c r="G1839" t="s">
        <v>70</v>
      </c>
      <c r="H1839" t="s">
        <v>52</v>
      </c>
      <c r="I1839" t="s">
        <v>31</v>
      </c>
      <c r="J1839" t="s">
        <v>43</v>
      </c>
      <c r="K1839" t="s">
        <v>36</v>
      </c>
      <c r="L1839" t="s">
        <v>44</v>
      </c>
      <c r="M1839">
        <v>6</v>
      </c>
      <c r="N1839" s="2"/>
      <c r="O1839" s="3">
        <v>6858</v>
      </c>
      <c r="P1839">
        <v>0</v>
      </c>
      <c r="Q1839">
        <v>4</v>
      </c>
      <c r="R1839" t="s">
        <v>28</v>
      </c>
      <c r="S1839">
        <v>1</v>
      </c>
    </row>
    <row r="1840" spans="1:19" ht="16.5" x14ac:dyDescent="0.3">
      <c r="A1840" t="s">
        <v>1899</v>
      </c>
      <c r="B1840" s="1">
        <v>45547</v>
      </c>
      <c r="C1840" s="1">
        <v>45557</v>
      </c>
      <c r="D1840">
        <v>2024</v>
      </c>
      <c r="E1840" t="s">
        <v>1445</v>
      </c>
      <c r="F1840" t="s">
        <v>1821</v>
      </c>
      <c r="G1840" t="s">
        <v>78</v>
      </c>
      <c r="H1840" t="s">
        <v>23</v>
      </c>
      <c r="I1840" t="s">
        <v>31</v>
      </c>
      <c r="J1840" t="s">
        <v>25</v>
      </c>
      <c r="K1840" t="s">
        <v>53</v>
      </c>
      <c r="L1840" t="s">
        <v>27</v>
      </c>
      <c r="M1840">
        <v>10</v>
      </c>
      <c r="N1840" s="2"/>
      <c r="O1840" s="3">
        <v>7721</v>
      </c>
      <c r="P1840">
        <v>1</v>
      </c>
      <c r="Q1840">
        <v>3</v>
      </c>
      <c r="R1840" t="s">
        <v>165</v>
      </c>
      <c r="S1840">
        <v>1</v>
      </c>
    </row>
    <row r="1841" spans="1:19" ht="16.5" x14ac:dyDescent="0.3">
      <c r="A1841" t="s">
        <v>1900</v>
      </c>
      <c r="B1841" s="1">
        <v>45547</v>
      </c>
      <c r="C1841" s="1">
        <v>45549</v>
      </c>
      <c r="D1841">
        <v>2024</v>
      </c>
      <c r="E1841" t="s">
        <v>1445</v>
      </c>
      <c r="F1841" t="s">
        <v>1821</v>
      </c>
      <c r="G1841" t="s">
        <v>78</v>
      </c>
      <c r="H1841" t="s">
        <v>39</v>
      </c>
      <c r="I1841" t="s">
        <v>40</v>
      </c>
      <c r="J1841" t="s">
        <v>25</v>
      </c>
      <c r="K1841" t="s">
        <v>41</v>
      </c>
      <c r="L1841" t="s">
        <v>44</v>
      </c>
      <c r="M1841">
        <v>2</v>
      </c>
      <c r="N1841" s="2"/>
      <c r="O1841" s="3">
        <v>1627</v>
      </c>
      <c r="P1841">
        <v>0</v>
      </c>
      <c r="Q1841">
        <v>3</v>
      </c>
      <c r="R1841" t="s">
        <v>28</v>
      </c>
      <c r="S1841">
        <v>1</v>
      </c>
    </row>
    <row r="1842" spans="1:19" ht="16.5" x14ac:dyDescent="0.3">
      <c r="A1842" t="s">
        <v>1901</v>
      </c>
      <c r="B1842" s="1">
        <v>45547</v>
      </c>
      <c r="C1842" s="1">
        <v>45556</v>
      </c>
      <c r="D1842">
        <v>2024</v>
      </c>
      <c r="E1842" t="s">
        <v>1445</v>
      </c>
      <c r="F1842" t="s">
        <v>1821</v>
      </c>
      <c r="G1842" t="s">
        <v>78</v>
      </c>
      <c r="H1842" t="s">
        <v>30</v>
      </c>
      <c r="I1842" t="s">
        <v>40</v>
      </c>
      <c r="J1842" t="s">
        <v>25</v>
      </c>
      <c r="K1842" t="s">
        <v>26</v>
      </c>
      <c r="L1842" t="s">
        <v>27</v>
      </c>
      <c r="M1842">
        <v>9</v>
      </c>
      <c r="N1842" s="2"/>
      <c r="O1842" s="3">
        <v>10386</v>
      </c>
      <c r="P1842">
        <v>0</v>
      </c>
      <c r="Q1842">
        <v>4</v>
      </c>
      <c r="R1842" t="s">
        <v>33</v>
      </c>
      <c r="S1842">
        <v>1</v>
      </c>
    </row>
    <row r="1843" spans="1:19" ht="16.5" x14ac:dyDescent="0.3">
      <c r="A1843" t="s">
        <v>1902</v>
      </c>
      <c r="B1843" s="1">
        <v>45547</v>
      </c>
      <c r="C1843" s="1">
        <v>45551</v>
      </c>
      <c r="D1843">
        <v>2024</v>
      </c>
      <c r="E1843" t="s">
        <v>1445</v>
      </c>
      <c r="F1843" t="s">
        <v>1821</v>
      </c>
      <c r="G1843" t="s">
        <v>78</v>
      </c>
      <c r="H1843" t="s">
        <v>23</v>
      </c>
      <c r="I1843" t="s">
        <v>40</v>
      </c>
      <c r="J1843" t="s">
        <v>43</v>
      </c>
      <c r="K1843" t="s">
        <v>32</v>
      </c>
      <c r="L1843" t="s">
        <v>44</v>
      </c>
      <c r="M1843">
        <v>4</v>
      </c>
      <c r="N1843" s="2"/>
      <c r="O1843" s="3">
        <v>3050</v>
      </c>
      <c r="P1843">
        <v>0</v>
      </c>
      <c r="Q1843">
        <v>4</v>
      </c>
      <c r="R1843" t="s">
        <v>28</v>
      </c>
      <c r="S1843">
        <v>1</v>
      </c>
    </row>
    <row r="1844" spans="1:19" ht="16.5" x14ac:dyDescent="0.3">
      <c r="A1844" t="s">
        <v>1903</v>
      </c>
      <c r="B1844" s="1">
        <v>45547</v>
      </c>
      <c r="C1844" s="1">
        <v>45550</v>
      </c>
      <c r="D1844">
        <v>2024</v>
      </c>
      <c r="E1844" t="s">
        <v>1445</v>
      </c>
      <c r="F1844" t="s">
        <v>1821</v>
      </c>
      <c r="G1844" t="s">
        <v>78</v>
      </c>
      <c r="H1844" t="s">
        <v>30</v>
      </c>
      <c r="I1844" t="s">
        <v>40</v>
      </c>
      <c r="J1844" t="s">
        <v>25</v>
      </c>
      <c r="K1844" t="s">
        <v>36</v>
      </c>
      <c r="L1844" t="s">
        <v>44</v>
      </c>
      <c r="M1844">
        <v>3</v>
      </c>
      <c r="N1844" s="2"/>
      <c r="O1844" s="3">
        <v>3902</v>
      </c>
      <c r="P1844">
        <v>0</v>
      </c>
      <c r="Q1844">
        <v>4</v>
      </c>
      <c r="R1844" t="s">
        <v>33</v>
      </c>
      <c r="S1844">
        <v>1</v>
      </c>
    </row>
    <row r="1845" spans="1:19" ht="16.5" x14ac:dyDescent="0.3">
      <c r="A1845" t="s">
        <v>1904</v>
      </c>
      <c r="B1845" s="1">
        <v>45547</v>
      </c>
      <c r="C1845" s="1">
        <v>45552</v>
      </c>
      <c r="D1845">
        <v>2024</v>
      </c>
      <c r="E1845" t="s">
        <v>1445</v>
      </c>
      <c r="F1845" t="s">
        <v>1821</v>
      </c>
      <c r="G1845" t="s">
        <v>78</v>
      </c>
      <c r="H1845" t="s">
        <v>50</v>
      </c>
      <c r="I1845" t="s">
        <v>24</v>
      </c>
      <c r="J1845" t="s">
        <v>25</v>
      </c>
      <c r="K1845" t="s">
        <v>26</v>
      </c>
      <c r="L1845" t="s">
        <v>44</v>
      </c>
      <c r="M1845">
        <v>5</v>
      </c>
      <c r="N1845" s="2">
        <v>22</v>
      </c>
      <c r="O1845" s="3">
        <v>5480</v>
      </c>
      <c r="P1845">
        <v>0</v>
      </c>
      <c r="Q1845">
        <v>4</v>
      </c>
      <c r="R1845" t="s">
        <v>33</v>
      </c>
      <c r="S1845">
        <v>1</v>
      </c>
    </row>
    <row r="1846" spans="1:19" ht="16.5" x14ac:dyDescent="0.3">
      <c r="A1846" t="s">
        <v>1905</v>
      </c>
      <c r="B1846" s="1">
        <v>45548</v>
      </c>
      <c r="C1846" s="1">
        <v>45550</v>
      </c>
      <c r="D1846">
        <v>2024</v>
      </c>
      <c r="E1846" t="s">
        <v>1445</v>
      </c>
      <c r="F1846" t="s">
        <v>1821</v>
      </c>
      <c r="G1846" t="s">
        <v>83</v>
      </c>
      <c r="H1846" t="s">
        <v>50</v>
      </c>
      <c r="I1846" t="s">
        <v>31</v>
      </c>
      <c r="J1846" t="s">
        <v>25</v>
      </c>
      <c r="K1846" t="s">
        <v>26</v>
      </c>
      <c r="L1846" t="s">
        <v>44</v>
      </c>
      <c r="M1846">
        <v>2</v>
      </c>
      <c r="N1846" s="2"/>
      <c r="O1846" s="3">
        <v>3091</v>
      </c>
      <c r="P1846">
        <v>0</v>
      </c>
      <c r="Q1846">
        <v>5</v>
      </c>
      <c r="R1846" t="s">
        <v>28</v>
      </c>
      <c r="S1846">
        <v>1</v>
      </c>
    </row>
    <row r="1847" spans="1:19" ht="16.5" x14ac:dyDescent="0.3">
      <c r="A1847" t="s">
        <v>1906</v>
      </c>
      <c r="B1847" s="1">
        <v>45548</v>
      </c>
      <c r="C1847" s="1">
        <v>45551</v>
      </c>
      <c r="D1847">
        <v>2024</v>
      </c>
      <c r="E1847" t="s">
        <v>1445</v>
      </c>
      <c r="F1847" t="s">
        <v>1821</v>
      </c>
      <c r="G1847" t="s">
        <v>83</v>
      </c>
      <c r="H1847" t="s">
        <v>30</v>
      </c>
      <c r="I1847" t="s">
        <v>24</v>
      </c>
      <c r="J1847" t="s">
        <v>25</v>
      </c>
      <c r="K1847" t="s">
        <v>53</v>
      </c>
      <c r="L1847" t="s">
        <v>44</v>
      </c>
      <c r="M1847">
        <v>3</v>
      </c>
      <c r="N1847" s="2">
        <v>73</v>
      </c>
      <c r="O1847" s="3">
        <v>3379</v>
      </c>
      <c r="P1847">
        <v>0</v>
      </c>
      <c r="Q1847">
        <v>4</v>
      </c>
      <c r="R1847" t="s">
        <v>28</v>
      </c>
      <c r="S1847">
        <v>1</v>
      </c>
    </row>
    <row r="1848" spans="1:19" ht="16.5" x14ac:dyDescent="0.3">
      <c r="A1848" t="s">
        <v>1907</v>
      </c>
      <c r="B1848" s="1">
        <v>45548</v>
      </c>
      <c r="C1848" s="1">
        <v>45549</v>
      </c>
      <c r="D1848">
        <v>2024</v>
      </c>
      <c r="E1848" t="s">
        <v>1445</v>
      </c>
      <c r="F1848" t="s">
        <v>1821</v>
      </c>
      <c r="G1848" t="s">
        <v>83</v>
      </c>
      <c r="H1848" t="s">
        <v>30</v>
      </c>
      <c r="I1848" t="s">
        <v>24</v>
      </c>
      <c r="J1848" t="s">
        <v>25</v>
      </c>
      <c r="K1848" t="s">
        <v>26</v>
      </c>
      <c r="L1848" t="s">
        <v>27</v>
      </c>
      <c r="M1848">
        <v>1</v>
      </c>
      <c r="N1848" s="2">
        <v>44</v>
      </c>
      <c r="O1848" s="3">
        <v>2260</v>
      </c>
      <c r="P1848">
        <v>0</v>
      </c>
      <c r="Q1848">
        <v>4</v>
      </c>
      <c r="R1848" t="s">
        <v>33</v>
      </c>
      <c r="S1848">
        <v>1</v>
      </c>
    </row>
    <row r="1849" spans="1:19" ht="16.5" x14ac:dyDescent="0.3">
      <c r="A1849" t="s">
        <v>1908</v>
      </c>
      <c r="B1849" s="1">
        <v>45548</v>
      </c>
      <c r="C1849" s="1">
        <v>45549</v>
      </c>
      <c r="D1849">
        <v>2024</v>
      </c>
      <c r="E1849" t="s">
        <v>1445</v>
      </c>
      <c r="F1849" t="s">
        <v>1821</v>
      </c>
      <c r="G1849" t="s">
        <v>83</v>
      </c>
      <c r="H1849" t="s">
        <v>52</v>
      </c>
      <c r="I1849" t="s">
        <v>40</v>
      </c>
      <c r="J1849" t="s">
        <v>43</v>
      </c>
      <c r="K1849" t="s">
        <v>26</v>
      </c>
      <c r="L1849" t="s">
        <v>37</v>
      </c>
      <c r="M1849">
        <v>1</v>
      </c>
      <c r="N1849" s="2"/>
      <c r="O1849" s="3">
        <v>1892</v>
      </c>
      <c r="P1849">
        <v>0</v>
      </c>
      <c r="Q1849">
        <v>4</v>
      </c>
      <c r="R1849" t="s">
        <v>33</v>
      </c>
      <c r="S1849">
        <v>1</v>
      </c>
    </row>
    <row r="1850" spans="1:19" ht="16.5" x14ac:dyDescent="0.3">
      <c r="A1850" t="s">
        <v>1909</v>
      </c>
      <c r="B1850" s="1">
        <v>45548</v>
      </c>
      <c r="C1850" s="1">
        <v>45549</v>
      </c>
      <c r="D1850">
        <v>2024</v>
      </c>
      <c r="E1850" t="s">
        <v>1445</v>
      </c>
      <c r="F1850" t="s">
        <v>1821</v>
      </c>
      <c r="G1850" t="s">
        <v>83</v>
      </c>
      <c r="H1850" t="s">
        <v>35</v>
      </c>
      <c r="I1850" t="s">
        <v>40</v>
      </c>
      <c r="J1850" t="s">
        <v>25</v>
      </c>
      <c r="K1850" t="s">
        <v>32</v>
      </c>
      <c r="L1850" t="s">
        <v>37</v>
      </c>
      <c r="M1850">
        <v>1</v>
      </c>
      <c r="N1850" s="2"/>
      <c r="O1850" s="3">
        <v>1028</v>
      </c>
      <c r="P1850">
        <v>0</v>
      </c>
      <c r="Q1850">
        <v>5</v>
      </c>
      <c r="R1850" t="s">
        <v>28</v>
      </c>
      <c r="S1850">
        <v>1</v>
      </c>
    </row>
    <row r="1851" spans="1:19" ht="16.5" x14ac:dyDescent="0.3">
      <c r="A1851" t="s">
        <v>1910</v>
      </c>
      <c r="B1851" s="1">
        <v>45548</v>
      </c>
      <c r="C1851" s="1">
        <v>45550</v>
      </c>
      <c r="D1851">
        <v>2024</v>
      </c>
      <c r="E1851" t="s">
        <v>1445</v>
      </c>
      <c r="F1851" t="s">
        <v>1821</v>
      </c>
      <c r="G1851" t="s">
        <v>83</v>
      </c>
      <c r="H1851" t="s">
        <v>39</v>
      </c>
      <c r="I1851" t="s">
        <v>40</v>
      </c>
      <c r="J1851" t="s">
        <v>43</v>
      </c>
      <c r="K1851" t="s">
        <v>41</v>
      </c>
      <c r="L1851" t="s">
        <v>27</v>
      </c>
      <c r="M1851">
        <v>2</v>
      </c>
      <c r="N1851" s="2"/>
      <c r="O1851" s="3">
        <v>2319</v>
      </c>
      <c r="P1851">
        <v>0</v>
      </c>
      <c r="Q1851">
        <v>5</v>
      </c>
      <c r="R1851" t="s">
        <v>33</v>
      </c>
      <c r="S1851">
        <v>1</v>
      </c>
    </row>
    <row r="1852" spans="1:19" ht="16.5" x14ac:dyDescent="0.3">
      <c r="A1852" t="s">
        <v>1911</v>
      </c>
      <c r="B1852" s="1">
        <v>45548</v>
      </c>
      <c r="C1852" s="1">
        <v>45549</v>
      </c>
      <c r="D1852">
        <v>2024</v>
      </c>
      <c r="E1852" t="s">
        <v>1445</v>
      </c>
      <c r="F1852" t="s">
        <v>1821</v>
      </c>
      <c r="G1852" t="s">
        <v>83</v>
      </c>
      <c r="H1852" t="s">
        <v>35</v>
      </c>
      <c r="I1852" t="s">
        <v>31</v>
      </c>
      <c r="J1852" t="s">
        <v>25</v>
      </c>
      <c r="K1852" t="s">
        <v>36</v>
      </c>
      <c r="L1852" t="s">
        <v>44</v>
      </c>
      <c r="M1852">
        <v>1</v>
      </c>
      <c r="N1852" s="2"/>
      <c r="O1852" s="3">
        <v>1266</v>
      </c>
      <c r="P1852">
        <v>0</v>
      </c>
      <c r="Q1852">
        <v>4</v>
      </c>
      <c r="R1852" t="s">
        <v>165</v>
      </c>
      <c r="S1852">
        <v>1</v>
      </c>
    </row>
    <row r="1853" spans="1:19" ht="16.5" x14ac:dyDescent="0.3">
      <c r="A1853" t="s">
        <v>1912</v>
      </c>
      <c r="B1853" s="1">
        <v>45549</v>
      </c>
      <c r="C1853" s="1">
        <v>45557</v>
      </c>
      <c r="D1853">
        <v>2024</v>
      </c>
      <c r="E1853" t="s">
        <v>1445</v>
      </c>
      <c r="F1853" t="s">
        <v>1821</v>
      </c>
      <c r="G1853" t="s">
        <v>102</v>
      </c>
      <c r="H1853" t="s">
        <v>30</v>
      </c>
      <c r="I1853" t="s">
        <v>40</v>
      </c>
      <c r="J1853" t="s">
        <v>25</v>
      </c>
      <c r="K1853" t="s">
        <v>36</v>
      </c>
      <c r="L1853" t="s">
        <v>27</v>
      </c>
      <c r="M1853">
        <v>8</v>
      </c>
      <c r="N1853" s="2"/>
      <c r="O1853" s="3">
        <v>6961</v>
      </c>
      <c r="P1853">
        <v>0</v>
      </c>
      <c r="Q1853">
        <v>4</v>
      </c>
      <c r="R1853" t="s">
        <v>33</v>
      </c>
      <c r="S1853">
        <v>1</v>
      </c>
    </row>
    <row r="1854" spans="1:19" ht="16.5" x14ac:dyDescent="0.3">
      <c r="A1854" t="s">
        <v>1913</v>
      </c>
      <c r="B1854" s="1">
        <v>45549</v>
      </c>
      <c r="C1854" s="1">
        <v>45554</v>
      </c>
      <c r="D1854">
        <v>2024</v>
      </c>
      <c r="E1854" t="s">
        <v>1445</v>
      </c>
      <c r="F1854" t="s">
        <v>1821</v>
      </c>
      <c r="G1854" t="s">
        <v>102</v>
      </c>
      <c r="H1854" t="s">
        <v>30</v>
      </c>
      <c r="I1854" t="s">
        <v>24</v>
      </c>
      <c r="J1854" t="s">
        <v>25</v>
      </c>
      <c r="K1854" t="s">
        <v>32</v>
      </c>
      <c r="L1854" t="s">
        <v>44</v>
      </c>
      <c r="M1854">
        <v>5</v>
      </c>
      <c r="N1854" s="2">
        <v>26</v>
      </c>
      <c r="O1854" s="3">
        <v>5860</v>
      </c>
      <c r="P1854">
        <v>0</v>
      </c>
      <c r="Q1854">
        <v>4</v>
      </c>
      <c r="R1854" t="s">
        <v>33</v>
      </c>
      <c r="S1854">
        <v>1</v>
      </c>
    </row>
    <row r="1855" spans="1:19" ht="16.5" x14ac:dyDescent="0.3">
      <c r="A1855" t="s">
        <v>1914</v>
      </c>
      <c r="B1855" s="1">
        <v>45549</v>
      </c>
      <c r="C1855" s="1">
        <v>45553</v>
      </c>
      <c r="D1855">
        <v>2024</v>
      </c>
      <c r="E1855" t="s">
        <v>1445</v>
      </c>
      <c r="F1855" t="s">
        <v>1821</v>
      </c>
      <c r="G1855" t="s">
        <v>102</v>
      </c>
      <c r="H1855" t="s">
        <v>30</v>
      </c>
      <c r="I1855" t="s">
        <v>40</v>
      </c>
      <c r="J1855" t="s">
        <v>25</v>
      </c>
      <c r="K1855" t="s">
        <v>26</v>
      </c>
      <c r="L1855" t="s">
        <v>37</v>
      </c>
      <c r="M1855">
        <v>4</v>
      </c>
      <c r="N1855" s="2"/>
      <c r="O1855" s="3">
        <v>4900</v>
      </c>
      <c r="P1855">
        <v>0</v>
      </c>
      <c r="Q1855">
        <v>3</v>
      </c>
      <c r="R1855" t="s">
        <v>28</v>
      </c>
      <c r="S1855">
        <v>1</v>
      </c>
    </row>
    <row r="1856" spans="1:19" ht="16.5" x14ac:dyDescent="0.3">
      <c r="A1856" t="s">
        <v>1915</v>
      </c>
      <c r="B1856" s="1">
        <v>45549</v>
      </c>
      <c r="C1856" s="1">
        <v>45551</v>
      </c>
      <c r="D1856">
        <v>2024</v>
      </c>
      <c r="E1856" t="s">
        <v>1445</v>
      </c>
      <c r="F1856" t="s">
        <v>1821</v>
      </c>
      <c r="G1856" t="s">
        <v>102</v>
      </c>
      <c r="H1856" t="s">
        <v>30</v>
      </c>
      <c r="I1856" t="s">
        <v>40</v>
      </c>
      <c r="J1856" t="s">
        <v>43</v>
      </c>
      <c r="K1856" t="s">
        <v>32</v>
      </c>
      <c r="L1856" t="s">
        <v>37</v>
      </c>
      <c r="M1856">
        <v>2</v>
      </c>
      <c r="N1856" s="2"/>
      <c r="O1856" s="3">
        <v>3656</v>
      </c>
      <c r="P1856">
        <v>0</v>
      </c>
      <c r="Q1856">
        <v>3</v>
      </c>
      <c r="R1856" t="s">
        <v>33</v>
      </c>
      <c r="S1856">
        <v>1</v>
      </c>
    </row>
    <row r="1857" spans="1:19" ht="16.5" x14ac:dyDescent="0.3">
      <c r="A1857" t="s">
        <v>1916</v>
      </c>
      <c r="B1857" s="1">
        <v>45549</v>
      </c>
      <c r="C1857" s="1">
        <v>45552</v>
      </c>
      <c r="D1857">
        <v>2024</v>
      </c>
      <c r="E1857" t="s">
        <v>1445</v>
      </c>
      <c r="F1857" t="s">
        <v>1821</v>
      </c>
      <c r="G1857" t="s">
        <v>102</v>
      </c>
      <c r="H1857" t="s">
        <v>35</v>
      </c>
      <c r="I1857" t="s">
        <v>40</v>
      </c>
      <c r="J1857" t="s">
        <v>25</v>
      </c>
      <c r="K1857" t="s">
        <v>32</v>
      </c>
      <c r="L1857" t="s">
        <v>37</v>
      </c>
      <c r="M1857">
        <v>3</v>
      </c>
      <c r="N1857" s="2"/>
      <c r="O1857" s="3">
        <v>2833</v>
      </c>
      <c r="P1857">
        <v>0</v>
      </c>
      <c r="Q1857">
        <v>5</v>
      </c>
      <c r="R1857" t="s">
        <v>33</v>
      </c>
      <c r="S1857">
        <v>1</v>
      </c>
    </row>
    <row r="1858" spans="1:19" ht="16.5" x14ac:dyDescent="0.3">
      <c r="A1858" t="s">
        <v>1917</v>
      </c>
      <c r="B1858" s="1">
        <v>45550</v>
      </c>
      <c r="C1858" s="1">
        <v>45556</v>
      </c>
      <c r="D1858">
        <v>2024</v>
      </c>
      <c r="E1858" t="s">
        <v>1445</v>
      </c>
      <c r="F1858" t="s">
        <v>1821</v>
      </c>
      <c r="G1858" t="s">
        <v>112</v>
      </c>
      <c r="H1858" t="s">
        <v>50</v>
      </c>
      <c r="I1858" t="s">
        <v>24</v>
      </c>
      <c r="J1858" t="s">
        <v>43</v>
      </c>
      <c r="K1858" t="s">
        <v>32</v>
      </c>
      <c r="L1858" t="s">
        <v>27</v>
      </c>
      <c r="M1858">
        <v>6</v>
      </c>
      <c r="N1858" s="2">
        <v>51</v>
      </c>
      <c r="O1858" s="3">
        <v>6194</v>
      </c>
      <c r="P1858">
        <v>0</v>
      </c>
      <c r="Q1858">
        <v>5</v>
      </c>
      <c r="R1858" t="s">
        <v>33</v>
      </c>
      <c r="S1858">
        <v>1</v>
      </c>
    </row>
    <row r="1859" spans="1:19" ht="16.5" x14ac:dyDescent="0.3">
      <c r="A1859" t="s">
        <v>1918</v>
      </c>
      <c r="B1859" s="1">
        <v>45550</v>
      </c>
      <c r="C1859" s="1">
        <v>45558</v>
      </c>
      <c r="D1859">
        <v>2024</v>
      </c>
      <c r="E1859" t="s">
        <v>1445</v>
      </c>
      <c r="F1859" t="s">
        <v>1821</v>
      </c>
      <c r="G1859" t="s">
        <v>112</v>
      </c>
      <c r="H1859" t="s">
        <v>23</v>
      </c>
      <c r="I1859" t="s">
        <v>24</v>
      </c>
      <c r="J1859" t="s">
        <v>25</v>
      </c>
      <c r="K1859" t="s">
        <v>53</v>
      </c>
      <c r="L1859" t="s">
        <v>44</v>
      </c>
      <c r="M1859">
        <v>8</v>
      </c>
      <c r="N1859" s="2">
        <v>51</v>
      </c>
      <c r="O1859" s="3">
        <v>6081</v>
      </c>
      <c r="P1859">
        <v>0</v>
      </c>
      <c r="Q1859">
        <v>4</v>
      </c>
      <c r="R1859" t="s">
        <v>33</v>
      </c>
      <c r="S1859">
        <v>1</v>
      </c>
    </row>
    <row r="1860" spans="1:19" ht="16.5" x14ac:dyDescent="0.3">
      <c r="A1860" t="s">
        <v>1919</v>
      </c>
      <c r="B1860" s="1">
        <v>45550</v>
      </c>
      <c r="C1860" s="1">
        <v>45556</v>
      </c>
      <c r="D1860">
        <v>2024</v>
      </c>
      <c r="E1860" t="s">
        <v>1445</v>
      </c>
      <c r="F1860" t="s">
        <v>1821</v>
      </c>
      <c r="G1860" t="s">
        <v>112</v>
      </c>
      <c r="H1860" t="s">
        <v>23</v>
      </c>
      <c r="I1860" t="s">
        <v>24</v>
      </c>
      <c r="J1860" t="s">
        <v>43</v>
      </c>
      <c r="K1860" t="s">
        <v>36</v>
      </c>
      <c r="L1860" t="s">
        <v>44</v>
      </c>
      <c r="M1860">
        <v>6</v>
      </c>
      <c r="N1860" s="2">
        <v>67</v>
      </c>
      <c r="O1860" s="3">
        <v>4964</v>
      </c>
      <c r="P1860">
        <v>0</v>
      </c>
      <c r="Q1860">
        <v>5</v>
      </c>
      <c r="R1860" t="s">
        <v>33</v>
      </c>
      <c r="S1860">
        <v>1</v>
      </c>
    </row>
    <row r="1861" spans="1:19" ht="16.5" x14ac:dyDescent="0.3">
      <c r="A1861" t="s">
        <v>1920</v>
      </c>
      <c r="B1861" s="1">
        <v>45551</v>
      </c>
      <c r="C1861" s="1">
        <v>45555</v>
      </c>
      <c r="D1861">
        <v>2024</v>
      </c>
      <c r="E1861" t="s">
        <v>1445</v>
      </c>
      <c r="F1861" t="s">
        <v>1821</v>
      </c>
      <c r="G1861" t="s">
        <v>22</v>
      </c>
      <c r="H1861" t="s">
        <v>35</v>
      </c>
      <c r="I1861" t="s">
        <v>40</v>
      </c>
      <c r="J1861" t="s">
        <v>25</v>
      </c>
      <c r="K1861" t="s">
        <v>32</v>
      </c>
      <c r="L1861" t="s">
        <v>37</v>
      </c>
      <c r="M1861">
        <v>4</v>
      </c>
      <c r="N1861" s="2"/>
      <c r="O1861" s="3">
        <v>3432</v>
      </c>
      <c r="P1861">
        <v>0</v>
      </c>
      <c r="Q1861">
        <v>4</v>
      </c>
      <c r="R1861" t="s">
        <v>33</v>
      </c>
      <c r="S1861">
        <v>1</v>
      </c>
    </row>
    <row r="1862" spans="1:19" ht="16.5" x14ac:dyDescent="0.3">
      <c r="A1862" t="s">
        <v>1921</v>
      </c>
      <c r="B1862" s="1">
        <v>45551</v>
      </c>
      <c r="C1862" s="1">
        <v>45562</v>
      </c>
      <c r="D1862">
        <v>2024</v>
      </c>
      <c r="E1862" t="s">
        <v>1445</v>
      </c>
      <c r="F1862" t="s">
        <v>1821</v>
      </c>
      <c r="G1862" t="s">
        <v>22</v>
      </c>
      <c r="H1862" t="s">
        <v>23</v>
      </c>
      <c r="I1862" t="s">
        <v>24</v>
      </c>
      <c r="J1862" t="s">
        <v>43</v>
      </c>
      <c r="K1862" t="s">
        <v>53</v>
      </c>
      <c r="L1862" t="s">
        <v>44</v>
      </c>
      <c r="M1862">
        <v>11</v>
      </c>
      <c r="N1862" s="2">
        <v>31</v>
      </c>
      <c r="O1862" s="3">
        <v>7510</v>
      </c>
      <c r="P1862">
        <v>0</v>
      </c>
      <c r="Q1862">
        <v>4</v>
      </c>
      <c r="R1862" t="s">
        <v>33</v>
      </c>
      <c r="S1862">
        <v>1</v>
      </c>
    </row>
    <row r="1863" spans="1:19" ht="16.5" x14ac:dyDescent="0.3">
      <c r="A1863" t="s">
        <v>1922</v>
      </c>
      <c r="B1863" s="1">
        <v>45551</v>
      </c>
      <c r="C1863" s="1">
        <v>45554</v>
      </c>
      <c r="D1863">
        <v>2024</v>
      </c>
      <c r="E1863" t="s">
        <v>1445</v>
      </c>
      <c r="F1863" t="s">
        <v>1821</v>
      </c>
      <c r="G1863" t="s">
        <v>22</v>
      </c>
      <c r="H1863" t="s">
        <v>50</v>
      </c>
      <c r="I1863" t="s">
        <v>24</v>
      </c>
      <c r="J1863" t="s">
        <v>43</v>
      </c>
      <c r="K1863" t="s">
        <v>32</v>
      </c>
      <c r="L1863" t="s">
        <v>44</v>
      </c>
      <c r="M1863">
        <v>3</v>
      </c>
      <c r="N1863" s="2">
        <v>85</v>
      </c>
      <c r="O1863" s="3">
        <v>3779</v>
      </c>
      <c r="P1863">
        <v>0</v>
      </c>
      <c r="Q1863">
        <v>3</v>
      </c>
      <c r="R1863" t="s">
        <v>33</v>
      </c>
      <c r="S1863">
        <v>1</v>
      </c>
    </row>
    <row r="1864" spans="1:19" ht="16.5" x14ac:dyDescent="0.3">
      <c r="A1864" t="s">
        <v>1923</v>
      </c>
      <c r="B1864" s="1">
        <v>45551</v>
      </c>
      <c r="C1864" s="1">
        <v>45552</v>
      </c>
      <c r="D1864">
        <v>2024</v>
      </c>
      <c r="E1864" t="s">
        <v>1445</v>
      </c>
      <c r="F1864" t="s">
        <v>1821</v>
      </c>
      <c r="G1864" t="s">
        <v>22</v>
      </c>
      <c r="H1864" t="s">
        <v>35</v>
      </c>
      <c r="I1864" t="s">
        <v>40</v>
      </c>
      <c r="J1864" t="s">
        <v>25</v>
      </c>
      <c r="K1864" t="s">
        <v>36</v>
      </c>
      <c r="L1864" t="s">
        <v>27</v>
      </c>
      <c r="M1864">
        <v>1</v>
      </c>
      <c r="N1864" s="2"/>
      <c r="O1864" s="3">
        <v>1704</v>
      </c>
      <c r="P1864">
        <v>0</v>
      </c>
      <c r="Q1864">
        <v>4</v>
      </c>
      <c r="R1864" t="s">
        <v>33</v>
      </c>
      <c r="S1864">
        <v>1</v>
      </c>
    </row>
    <row r="1865" spans="1:19" ht="16.5" x14ac:dyDescent="0.3">
      <c r="A1865" t="s">
        <v>1924</v>
      </c>
      <c r="B1865" s="1">
        <v>45551</v>
      </c>
      <c r="C1865" s="1">
        <v>45556</v>
      </c>
      <c r="D1865">
        <v>2024</v>
      </c>
      <c r="E1865" t="s">
        <v>1445</v>
      </c>
      <c r="F1865" t="s">
        <v>1821</v>
      </c>
      <c r="G1865" t="s">
        <v>22</v>
      </c>
      <c r="H1865" t="s">
        <v>23</v>
      </c>
      <c r="I1865" t="s">
        <v>40</v>
      </c>
      <c r="J1865" t="s">
        <v>43</v>
      </c>
      <c r="K1865" t="s">
        <v>32</v>
      </c>
      <c r="L1865" t="s">
        <v>37</v>
      </c>
      <c r="M1865">
        <v>5</v>
      </c>
      <c r="N1865" s="2"/>
      <c r="O1865" s="3">
        <v>3375</v>
      </c>
      <c r="P1865">
        <v>0</v>
      </c>
      <c r="Q1865">
        <v>4</v>
      </c>
      <c r="R1865" t="s">
        <v>28</v>
      </c>
      <c r="S1865">
        <v>1</v>
      </c>
    </row>
    <row r="1866" spans="1:19" ht="16.5" x14ac:dyDescent="0.3">
      <c r="A1866" t="s">
        <v>1925</v>
      </c>
      <c r="B1866" s="1">
        <v>45551</v>
      </c>
      <c r="C1866" s="1">
        <v>45564</v>
      </c>
      <c r="D1866">
        <v>2024</v>
      </c>
      <c r="E1866" t="s">
        <v>1445</v>
      </c>
      <c r="F1866" t="s">
        <v>1821</v>
      </c>
      <c r="G1866" t="s">
        <v>22</v>
      </c>
      <c r="H1866" t="s">
        <v>23</v>
      </c>
      <c r="I1866" t="s">
        <v>24</v>
      </c>
      <c r="J1866" t="s">
        <v>25</v>
      </c>
      <c r="K1866" t="s">
        <v>53</v>
      </c>
      <c r="L1866" t="s">
        <v>27</v>
      </c>
      <c r="M1866">
        <v>13</v>
      </c>
      <c r="N1866" s="2">
        <v>40</v>
      </c>
      <c r="O1866" s="3">
        <v>9654</v>
      </c>
      <c r="P1866">
        <v>0</v>
      </c>
      <c r="Q1866">
        <v>5</v>
      </c>
      <c r="R1866" t="s">
        <v>33</v>
      </c>
      <c r="S1866">
        <v>1</v>
      </c>
    </row>
    <row r="1867" spans="1:19" ht="16.5" x14ac:dyDescent="0.3">
      <c r="A1867" t="s">
        <v>1926</v>
      </c>
      <c r="B1867" s="1">
        <v>45551</v>
      </c>
      <c r="C1867" s="1">
        <v>45553</v>
      </c>
      <c r="D1867">
        <v>2024</v>
      </c>
      <c r="E1867" t="s">
        <v>1445</v>
      </c>
      <c r="F1867" t="s">
        <v>1821</v>
      </c>
      <c r="G1867" t="s">
        <v>22</v>
      </c>
      <c r="H1867" t="s">
        <v>35</v>
      </c>
      <c r="I1867" t="s">
        <v>24</v>
      </c>
      <c r="J1867" t="s">
        <v>25</v>
      </c>
      <c r="K1867" t="s">
        <v>36</v>
      </c>
      <c r="L1867" t="s">
        <v>44</v>
      </c>
      <c r="M1867">
        <v>2</v>
      </c>
      <c r="N1867" s="2">
        <v>39</v>
      </c>
      <c r="O1867" s="3">
        <v>2484</v>
      </c>
      <c r="P1867">
        <v>0</v>
      </c>
      <c r="Q1867">
        <v>3</v>
      </c>
      <c r="R1867" t="s">
        <v>33</v>
      </c>
      <c r="S1867">
        <v>1</v>
      </c>
    </row>
    <row r="1868" spans="1:19" ht="16.5" x14ac:dyDescent="0.3">
      <c r="A1868" t="s">
        <v>1927</v>
      </c>
      <c r="B1868" s="1">
        <v>45551</v>
      </c>
      <c r="C1868" s="1">
        <v>45562</v>
      </c>
      <c r="D1868">
        <v>2024</v>
      </c>
      <c r="E1868" t="s">
        <v>1445</v>
      </c>
      <c r="F1868" t="s">
        <v>1821</v>
      </c>
      <c r="G1868" t="s">
        <v>22</v>
      </c>
      <c r="H1868" t="s">
        <v>30</v>
      </c>
      <c r="I1868" t="s">
        <v>24</v>
      </c>
      <c r="J1868" t="s">
        <v>25</v>
      </c>
      <c r="K1868" t="s">
        <v>26</v>
      </c>
      <c r="L1868" t="s">
        <v>44</v>
      </c>
      <c r="M1868">
        <v>11</v>
      </c>
      <c r="N1868" s="2">
        <v>15</v>
      </c>
      <c r="O1868" s="3">
        <v>15223</v>
      </c>
      <c r="P1868">
        <v>0</v>
      </c>
      <c r="Q1868">
        <v>3</v>
      </c>
      <c r="R1868" t="s">
        <v>28</v>
      </c>
      <c r="S1868">
        <v>1</v>
      </c>
    </row>
    <row r="1869" spans="1:19" ht="16.5" x14ac:dyDescent="0.3">
      <c r="A1869" t="s">
        <v>1928</v>
      </c>
      <c r="B1869" s="1">
        <v>45551</v>
      </c>
      <c r="C1869" s="1">
        <v>45555</v>
      </c>
      <c r="D1869">
        <v>2024</v>
      </c>
      <c r="E1869" t="s">
        <v>1445</v>
      </c>
      <c r="F1869" t="s">
        <v>1821</v>
      </c>
      <c r="G1869" t="s">
        <v>22</v>
      </c>
      <c r="H1869" t="s">
        <v>52</v>
      </c>
      <c r="I1869" t="s">
        <v>40</v>
      </c>
      <c r="J1869" t="s">
        <v>43</v>
      </c>
      <c r="K1869" t="s">
        <v>53</v>
      </c>
      <c r="L1869" t="s">
        <v>27</v>
      </c>
      <c r="M1869">
        <v>4</v>
      </c>
      <c r="N1869" s="2"/>
      <c r="O1869" s="3">
        <v>4590</v>
      </c>
      <c r="P1869">
        <v>0</v>
      </c>
      <c r="Q1869">
        <v>4</v>
      </c>
      <c r="R1869" t="s">
        <v>33</v>
      </c>
      <c r="S1869">
        <v>1</v>
      </c>
    </row>
    <row r="1870" spans="1:19" ht="16.5" x14ac:dyDescent="0.3">
      <c r="A1870" t="s">
        <v>1929</v>
      </c>
      <c r="B1870" s="1">
        <v>45551</v>
      </c>
      <c r="C1870" s="1">
        <v>45561</v>
      </c>
      <c r="D1870">
        <v>2024</v>
      </c>
      <c r="E1870" t="s">
        <v>1445</v>
      </c>
      <c r="F1870" t="s">
        <v>1821</v>
      </c>
      <c r="G1870" t="s">
        <v>22</v>
      </c>
      <c r="H1870" t="s">
        <v>23</v>
      </c>
      <c r="I1870" t="s">
        <v>24</v>
      </c>
      <c r="J1870" t="s">
        <v>25</v>
      </c>
      <c r="K1870" t="s">
        <v>36</v>
      </c>
      <c r="L1870" t="s">
        <v>27</v>
      </c>
      <c r="M1870">
        <v>10</v>
      </c>
      <c r="N1870" s="2">
        <v>42</v>
      </c>
      <c r="O1870" s="3">
        <v>8763</v>
      </c>
      <c r="P1870">
        <v>0</v>
      </c>
      <c r="Q1870">
        <v>5</v>
      </c>
      <c r="R1870" t="s">
        <v>33</v>
      </c>
      <c r="S1870">
        <v>1</v>
      </c>
    </row>
    <row r="1871" spans="1:19" ht="16.5" x14ac:dyDescent="0.3">
      <c r="A1871" t="s">
        <v>1930</v>
      </c>
      <c r="B1871" s="1">
        <v>45552</v>
      </c>
      <c r="C1871" s="1">
        <v>45556</v>
      </c>
      <c r="D1871">
        <v>2024</v>
      </c>
      <c r="E1871" t="s">
        <v>1445</v>
      </c>
      <c r="F1871" t="s">
        <v>1821</v>
      </c>
      <c r="G1871" t="s">
        <v>56</v>
      </c>
      <c r="H1871" t="s">
        <v>35</v>
      </c>
      <c r="I1871" t="s">
        <v>24</v>
      </c>
      <c r="J1871" t="s">
        <v>25</v>
      </c>
      <c r="K1871" t="s">
        <v>32</v>
      </c>
      <c r="L1871" t="s">
        <v>37</v>
      </c>
      <c r="M1871">
        <v>4</v>
      </c>
      <c r="N1871" s="2">
        <v>24</v>
      </c>
      <c r="O1871" s="3">
        <v>3634</v>
      </c>
      <c r="P1871">
        <v>0</v>
      </c>
      <c r="Q1871">
        <v>4</v>
      </c>
      <c r="R1871" t="s">
        <v>33</v>
      </c>
      <c r="S1871">
        <v>1</v>
      </c>
    </row>
    <row r="1872" spans="1:19" ht="16.5" x14ac:dyDescent="0.3">
      <c r="A1872" t="s">
        <v>1931</v>
      </c>
      <c r="B1872" s="1">
        <v>45552</v>
      </c>
      <c r="C1872" s="1">
        <v>45555</v>
      </c>
      <c r="D1872">
        <v>2024</v>
      </c>
      <c r="E1872" t="s">
        <v>1445</v>
      </c>
      <c r="F1872" t="s">
        <v>1821</v>
      </c>
      <c r="G1872" t="s">
        <v>56</v>
      </c>
      <c r="H1872" t="s">
        <v>35</v>
      </c>
      <c r="I1872" t="s">
        <v>31</v>
      </c>
      <c r="J1872" t="s">
        <v>25</v>
      </c>
      <c r="K1872" t="s">
        <v>32</v>
      </c>
      <c r="L1872" t="s">
        <v>44</v>
      </c>
      <c r="M1872">
        <v>3</v>
      </c>
      <c r="N1872" s="2"/>
      <c r="O1872" s="3">
        <v>2494</v>
      </c>
      <c r="P1872">
        <v>0</v>
      </c>
      <c r="Q1872">
        <v>3</v>
      </c>
      <c r="R1872" t="s">
        <v>33</v>
      </c>
      <c r="S1872">
        <v>1</v>
      </c>
    </row>
    <row r="1873" spans="1:19" ht="16.5" x14ac:dyDescent="0.3">
      <c r="A1873" t="s">
        <v>1932</v>
      </c>
      <c r="B1873" s="1">
        <v>45552</v>
      </c>
      <c r="C1873" s="1">
        <v>45557</v>
      </c>
      <c r="D1873">
        <v>2024</v>
      </c>
      <c r="E1873" t="s">
        <v>1445</v>
      </c>
      <c r="F1873" t="s">
        <v>1821</v>
      </c>
      <c r="G1873" t="s">
        <v>56</v>
      </c>
      <c r="H1873" t="s">
        <v>39</v>
      </c>
      <c r="I1873" t="s">
        <v>40</v>
      </c>
      <c r="J1873" t="s">
        <v>25</v>
      </c>
      <c r="K1873" t="s">
        <v>41</v>
      </c>
      <c r="L1873" t="s">
        <v>37</v>
      </c>
      <c r="M1873">
        <v>5</v>
      </c>
      <c r="N1873" s="2"/>
      <c r="O1873" s="3">
        <v>3318</v>
      </c>
      <c r="P1873">
        <v>0</v>
      </c>
      <c r="Q1873">
        <v>4</v>
      </c>
      <c r="R1873" t="s">
        <v>28</v>
      </c>
      <c r="S1873">
        <v>1</v>
      </c>
    </row>
    <row r="1874" spans="1:19" ht="16.5" x14ac:dyDescent="0.3">
      <c r="A1874" t="s">
        <v>1933</v>
      </c>
      <c r="B1874" s="1">
        <v>45552</v>
      </c>
      <c r="C1874" s="1">
        <v>45565</v>
      </c>
      <c r="D1874">
        <v>2024</v>
      </c>
      <c r="E1874" t="s">
        <v>1445</v>
      </c>
      <c r="F1874" t="s">
        <v>1821</v>
      </c>
      <c r="G1874" t="s">
        <v>56</v>
      </c>
      <c r="H1874" t="s">
        <v>23</v>
      </c>
      <c r="I1874" t="s">
        <v>24</v>
      </c>
      <c r="J1874" t="s">
        <v>25</v>
      </c>
      <c r="K1874" t="s">
        <v>32</v>
      </c>
      <c r="L1874" t="s">
        <v>27</v>
      </c>
      <c r="M1874">
        <v>13</v>
      </c>
      <c r="N1874" s="2">
        <v>37</v>
      </c>
      <c r="O1874" s="3">
        <v>6557</v>
      </c>
      <c r="P1874">
        <v>0</v>
      </c>
      <c r="Q1874">
        <v>4</v>
      </c>
      <c r="R1874" t="s">
        <v>33</v>
      </c>
      <c r="S1874">
        <v>1</v>
      </c>
    </row>
    <row r="1875" spans="1:19" ht="16.5" x14ac:dyDescent="0.3">
      <c r="A1875" t="s">
        <v>1934</v>
      </c>
      <c r="B1875" s="1">
        <v>45553</v>
      </c>
      <c r="C1875" s="1">
        <v>45554</v>
      </c>
      <c r="D1875">
        <v>2024</v>
      </c>
      <c r="E1875" t="s">
        <v>1445</v>
      </c>
      <c r="F1875" t="s">
        <v>1821</v>
      </c>
      <c r="G1875" t="s">
        <v>70</v>
      </c>
      <c r="H1875" t="s">
        <v>35</v>
      </c>
      <c r="I1875" t="s">
        <v>40</v>
      </c>
      <c r="J1875" t="s">
        <v>25</v>
      </c>
      <c r="K1875" t="s">
        <v>36</v>
      </c>
      <c r="L1875" t="s">
        <v>37</v>
      </c>
      <c r="M1875">
        <v>1</v>
      </c>
      <c r="N1875" s="2"/>
      <c r="O1875" s="3">
        <v>2082</v>
      </c>
      <c r="P1875">
        <v>0</v>
      </c>
      <c r="Q1875">
        <v>5</v>
      </c>
      <c r="R1875" t="s">
        <v>33</v>
      </c>
      <c r="S1875">
        <v>1</v>
      </c>
    </row>
    <row r="1876" spans="1:19" ht="16.5" x14ac:dyDescent="0.3">
      <c r="A1876" t="s">
        <v>1935</v>
      </c>
      <c r="B1876" s="1">
        <v>45553</v>
      </c>
      <c r="C1876" s="1">
        <v>45559</v>
      </c>
      <c r="D1876">
        <v>2024</v>
      </c>
      <c r="E1876" t="s">
        <v>1445</v>
      </c>
      <c r="F1876" t="s">
        <v>1821</v>
      </c>
      <c r="G1876" t="s">
        <v>70</v>
      </c>
      <c r="H1876" t="s">
        <v>52</v>
      </c>
      <c r="I1876" t="s">
        <v>40</v>
      </c>
      <c r="J1876" t="s">
        <v>25</v>
      </c>
      <c r="K1876" t="s">
        <v>32</v>
      </c>
      <c r="L1876" t="s">
        <v>44</v>
      </c>
      <c r="M1876">
        <v>6</v>
      </c>
      <c r="N1876" s="2"/>
      <c r="O1876" s="3">
        <v>8260</v>
      </c>
      <c r="P1876">
        <v>0</v>
      </c>
      <c r="Q1876">
        <v>4</v>
      </c>
      <c r="R1876" t="s">
        <v>33</v>
      </c>
      <c r="S1876">
        <v>1</v>
      </c>
    </row>
    <row r="1877" spans="1:19" ht="16.5" x14ac:dyDescent="0.3">
      <c r="A1877" t="s">
        <v>1936</v>
      </c>
      <c r="B1877" s="1">
        <v>45553</v>
      </c>
      <c r="C1877" s="1">
        <v>45557</v>
      </c>
      <c r="D1877">
        <v>2024</v>
      </c>
      <c r="E1877" t="s">
        <v>1445</v>
      </c>
      <c r="F1877" t="s">
        <v>1821</v>
      </c>
      <c r="G1877" t="s">
        <v>70</v>
      </c>
      <c r="H1877" t="s">
        <v>39</v>
      </c>
      <c r="I1877" t="s">
        <v>24</v>
      </c>
      <c r="J1877" t="s">
        <v>43</v>
      </c>
      <c r="K1877" t="s">
        <v>41</v>
      </c>
      <c r="L1877" t="s">
        <v>44</v>
      </c>
      <c r="M1877">
        <v>4</v>
      </c>
      <c r="N1877" s="2">
        <v>72</v>
      </c>
      <c r="O1877" s="3">
        <v>3525</v>
      </c>
      <c r="P1877">
        <v>0</v>
      </c>
      <c r="Q1877">
        <v>4</v>
      </c>
      <c r="R1877" t="s">
        <v>33</v>
      </c>
      <c r="S1877">
        <v>1</v>
      </c>
    </row>
    <row r="1878" spans="1:19" ht="16.5" x14ac:dyDescent="0.3">
      <c r="A1878" t="s">
        <v>1937</v>
      </c>
      <c r="B1878" s="1">
        <v>45553</v>
      </c>
      <c r="C1878" s="1">
        <v>45567</v>
      </c>
      <c r="D1878">
        <v>2024</v>
      </c>
      <c r="E1878" t="s">
        <v>1445</v>
      </c>
      <c r="F1878" t="s">
        <v>1821</v>
      </c>
      <c r="G1878" t="s">
        <v>70</v>
      </c>
      <c r="H1878" t="s">
        <v>50</v>
      </c>
      <c r="I1878" t="s">
        <v>24</v>
      </c>
      <c r="J1878" t="s">
        <v>43</v>
      </c>
      <c r="K1878" t="s">
        <v>36</v>
      </c>
      <c r="L1878" t="s">
        <v>27</v>
      </c>
      <c r="M1878">
        <v>14</v>
      </c>
      <c r="N1878" s="2">
        <v>16</v>
      </c>
      <c r="O1878" s="3">
        <v>14712</v>
      </c>
      <c r="P1878">
        <v>0</v>
      </c>
      <c r="Q1878">
        <v>5</v>
      </c>
      <c r="R1878" t="s">
        <v>28</v>
      </c>
      <c r="S1878">
        <v>1</v>
      </c>
    </row>
    <row r="1879" spans="1:19" ht="16.5" x14ac:dyDescent="0.3">
      <c r="A1879" t="s">
        <v>1938</v>
      </c>
      <c r="B1879" s="1">
        <v>45553</v>
      </c>
      <c r="C1879" s="1">
        <v>45555</v>
      </c>
      <c r="D1879">
        <v>2024</v>
      </c>
      <c r="E1879" t="s">
        <v>1445</v>
      </c>
      <c r="F1879" t="s">
        <v>1821</v>
      </c>
      <c r="G1879" t="s">
        <v>70</v>
      </c>
      <c r="H1879" t="s">
        <v>35</v>
      </c>
      <c r="I1879" t="s">
        <v>24</v>
      </c>
      <c r="J1879" t="s">
        <v>25</v>
      </c>
      <c r="K1879" t="s">
        <v>36</v>
      </c>
      <c r="L1879" t="s">
        <v>37</v>
      </c>
      <c r="M1879">
        <v>2</v>
      </c>
      <c r="N1879" s="2">
        <v>49</v>
      </c>
      <c r="O1879" s="3">
        <v>2327</v>
      </c>
      <c r="P1879">
        <v>0</v>
      </c>
      <c r="Q1879">
        <v>4</v>
      </c>
      <c r="R1879" t="s">
        <v>33</v>
      </c>
      <c r="S1879">
        <v>1</v>
      </c>
    </row>
    <row r="1880" spans="1:19" ht="16.5" x14ac:dyDescent="0.3">
      <c r="A1880" t="s">
        <v>1939</v>
      </c>
      <c r="B1880" s="1">
        <v>45553</v>
      </c>
      <c r="C1880" s="1">
        <v>45563</v>
      </c>
      <c r="D1880">
        <v>2024</v>
      </c>
      <c r="E1880" t="s">
        <v>1445</v>
      </c>
      <c r="F1880" t="s">
        <v>1821</v>
      </c>
      <c r="G1880" t="s">
        <v>70</v>
      </c>
      <c r="H1880" t="s">
        <v>30</v>
      </c>
      <c r="I1880" t="s">
        <v>40</v>
      </c>
      <c r="J1880" t="s">
        <v>25</v>
      </c>
      <c r="K1880" t="s">
        <v>32</v>
      </c>
      <c r="L1880" t="s">
        <v>44</v>
      </c>
      <c r="M1880">
        <v>10</v>
      </c>
      <c r="N1880" s="2"/>
      <c r="O1880" s="3">
        <v>9832</v>
      </c>
      <c r="P1880">
        <v>0</v>
      </c>
      <c r="Q1880">
        <v>5</v>
      </c>
      <c r="R1880" t="s">
        <v>33</v>
      </c>
      <c r="S1880">
        <v>1</v>
      </c>
    </row>
    <row r="1881" spans="1:19" ht="16.5" x14ac:dyDescent="0.3">
      <c r="A1881" t="s">
        <v>1940</v>
      </c>
      <c r="B1881" s="1">
        <v>45553</v>
      </c>
      <c r="C1881" s="1">
        <v>45558</v>
      </c>
      <c r="D1881">
        <v>2024</v>
      </c>
      <c r="E1881" t="s">
        <v>1445</v>
      </c>
      <c r="F1881" t="s">
        <v>1821</v>
      </c>
      <c r="G1881" t="s">
        <v>70</v>
      </c>
      <c r="H1881" t="s">
        <v>30</v>
      </c>
      <c r="I1881" t="s">
        <v>31</v>
      </c>
      <c r="J1881" t="s">
        <v>43</v>
      </c>
      <c r="K1881" t="s">
        <v>32</v>
      </c>
      <c r="L1881" t="s">
        <v>44</v>
      </c>
      <c r="M1881">
        <v>5</v>
      </c>
      <c r="N1881" s="2"/>
      <c r="O1881" s="3">
        <v>5756</v>
      </c>
      <c r="P1881">
        <v>0</v>
      </c>
      <c r="Q1881">
        <v>5</v>
      </c>
      <c r="R1881" t="s">
        <v>33</v>
      </c>
      <c r="S1881">
        <v>1</v>
      </c>
    </row>
    <row r="1882" spans="1:19" ht="16.5" x14ac:dyDescent="0.3">
      <c r="A1882" t="s">
        <v>1941</v>
      </c>
      <c r="B1882" s="1">
        <v>45554</v>
      </c>
      <c r="C1882" s="1">
        <v>45556</v>
      </c>
      <c r="D1882">
        <v>2024</v>
      </c>
      <c r="E1882" t="s">
        <v>1445</v>
      </c>
      <c r="F1882" t="s">
        <v>1821</v>
      </c>
      <c r="G1882" t="s">
        <v>78</v>
      </c>
      <c r="H1882" t="s">
        <v>39</v>
      </c>
      <c r="I1882" t="s">
        <v>40</v>
      </c>
      <c r="J1882" t="s">
        <v>43</v>
      </c>
      <c r="K1882" t="s">
        <v>41</v>
      </c>
      <c r="L1882" t="s">
        <v>27</v>
      </c>
      <c r="M1882">
        <v>2</v>
      </c>
      <c r="N1882" s="2"/>
      <c r="O1882" s="3">
        <v>2501</v>
      </c>
      <c r="P1882">
        <v>0</v>
      </c>
      <c r="Q1882">
        <v>4</v>
      </c>
      <c r="R1882" t="s">
        <v>28</v>
      </c>
      <c r="S1882">
        <v>1</v>
      </c>
    </row>
    <row r="1883" spans="1:19" ht="16.5" x14ac:dyDescent="0.3">
      <c r="A1883" t="s">
        <v>1942</v>
      </c>
      <c r="B1883" s="1">
        <v>45554</v>
      </c>
      <c r="C1883" s="1">
        <v>45563</v>
      </c>
      <c r="D1883">
        <v>2024</v>
      </c>
      <c r="E1883" t="s">
        <v>1445</v>
      </c>
      <c r="F1883" t="s">
        <v>1821</v>
      </c>
      <c r="G1883" t="s">
        <v>78</v>
      </c>
      <c r="H1883" t="s">
        <v>23</v>
      </c>
      <c r="I1883" t="s">
        <v>24</v>
      </c>
      <c r="J1883" t="s">
        <v>25</v>
      </c>
      <c r="K1883" t="s">
        <v>53</v>
      </c>
      <c r="L1883" t="s">
        <v>37</v>
      </c>
      <c r="M1883">
        <v>9</v>
      </c>
      <c r="N1883" s="2">
        <v>57</v>
      </c>
      <c r="O1883" s="3">
        <v>6725</v>
      </c>
      <c r="P1883">
        <v>0</v>
      </c>
      <c r="Q1883">
        <v>5</v>
      </c>
      <c r="R1883" t="s">
        <v>28</v>
      </c>
      <c r="S1883">
        <v>1</v>
      </c>
    </row>
    <row r="1884" spans="1:19" ht="16.5" x14ac:dyDescent="0.3">
      <c r="A1884" t="s">
        <v>1943</v>
      </c>
      <c r="B1884" s="1">
        <v>45554</v>
      </c>
      <c r="C1884" s="1">
        <v>45561</v>
      </c>
      <c r="D1884">
        <v>2024</v>
      </c>
      <c r="E1884" t="s">
        <v>1445</v>
      </c>
      <c r="F1884" t="s">
        <v>1821</v>
      </c>
      <c r="G1884" t="s">
        <v>78</v>
      </c>
      <c r="H1884" t="s">
        <v>50</v>
      </c>
      <c r="I1884" t="s">
        <v>40</v>
      </c>
      <c r="J1884" t="s">
        <v>43</v>
      </c>
      <c r="K1884" t="s">
        <v>32</v>
      </c>
      <c r="L1884" t="s">
        <v>44</v>
      </c>
      <c r="M1884">
        <v>7</v>
      </c>
      <c r="N1884" s="2"/>
      <c r="O1884" s="3">
        <v>8920</v>
      </c>
      <c r="P1884">
        <v>0</v>
      </c>
      <c r="Q1884">
        <v>3</v>
      </c>
      <c r="R1884" t="s">
        <v>33</v>
      </c>
      <c r="S1884">
        <v>1</v>
      </c>
    </row>
    <row r="1885" spans="1:19" ht="16.5" x14ac:dyDescent="0.3">
      <c r="A1885" t="s">
        <v>1944</v>
      </c>
      <c r="B1885" s="1">
        <v>45554</v>
      </c>
      <c r="C1885" s="1">
        <v>45561</v>
      </c>
      <c r="D1885">
        <v>2024</v>
      </c>
      <c r="E1885" t="s">
        <v>1445</v>
      </c>
      <c r="F1885" t="s">
        <v>1821</v>
      </c>
      <c r="G1885" t="s">
        <v>78</v>
      </c>
      <c r="H1885" t="s">
        <v>30</v>
      </c>
      <c r="I1885" t="s">
        <v>24</v>
      </c>
      <c r="J1885" t="s">
        <v>43</v>
      </c>
      <c r="K1885" t="s">
        <v>32</v>
      </c>
      <c r="L1885" t="s">
        <v>44</v>
      </c>
      <c r="M1885">
        <v>7</v>
      </c>
      <c r="N1885" s="2">
        <v>26</v>
      </c>
      <c r="O1885" s="3">
        <v>6665</v>
      </c>
      <c r="P1885">
        <v>1</v>
      </c>
      <c r="Q1885">
        <v>4</v>
      </c>
      <c r="R1885" t="s">
        <v>28</v>
      </c>
      <c r="S1885">
        <v>1</v>
      </c>
    </row>
    <row r="1886" spans="1:19" ht="16.5" x14ac:dyDescent="0.3">
      <c r="A1886" t="s">
        <v>1945</v>
      </c>
      <c r="B1886" s="1">
        <v>45554</v>
      </c>
      <c r="C1886" s="1">
        <v>45558</v>
      </c>
      <c r="D1886">
        <v>2024</v>
      </c>
      <c r="E1886" t="s">
        <v>1445</v>
      </c>
      <c r="F1886" t="s">
        <v>1821</v>
      </c>
      <c r="G1886" t="s">
        <v>78</v>
      </c>
      <c r="H1886" t="s">
        <v>35</v>
      </c>
      <c r="I1886" t="s">
        <v>24</v>
      </c>
      <c r="J1886" t="s">
        <v>25</v>
      </c>
      <c r="K1886" t="s">
        <v>32</v>
      </c>
      <c r="L1886" t="s">
        <v>44</v>
      </c>
      <c r="M1886">
        <v>4</v>
      </c>
      <c r="N1886" s="2">
        <v>30</v>
      </c>
      <c r="O1886" s="3">
        <v>3791</v>
      </c>
      <c r="P1886">
        <v>0</v>
      </c>
      <c r="Q1886">
        <v>5</v>
      </c>
      <c r="R1886" t="s">
        <v>28</v>
      </c>
      <c r="S1886">
        <v>1</v>
      </c>
    </row>
    <row r="1887" spans="1:19" ht="16.5" x14ac:dyDescent="0.3">
      <c r="A1887" t="s">
        <v>1946</v>
      </c>
      <c r="B1887" s="1">
        <v>45554</v>
      </c>
      <c r="C1887" s="1">
        <v>45555</v>
      </c>
      <c r="D1887">
        <v>2024</v>
      </c>
      <c r="E1887" t="s">
        <v>1445</v>
      </c>
      <c r="F1887" t="s">
        <v>1821</v>
      </c>
      <c r="G1887" t="s">
        <v>78</v>
      </c>
      <c r="H1887" t="s">
        <v>35</v>
      </c>
      <c r="I1887" t="s">
        <v>24</v>
      </c>
      <c r="J1887" t="s">
        <v>25</v>
      </c>
      <c r="K1887" t="s">
        <v>36</v>
      </c>
      <c r="L1887" t="s">
        <v>44</v>
      </c>
      <c r="M1887">
        <v>1</v>
      </c>
      <c r="N1887" s="2">
        <v>40</v>
      </c>
      <c r="O1887" s="3">
        <v>885</v>
      </c>
      <c r="P1887">
        <v>0</v>
      </c>
      <c r="Q1887">
        <v>5</v>
      </c>
      <c r="R1887" t="s">
        <v>33</v>
      </c>
      <c r="S1887">
        <v>1</v>
      </c>
    </row>
    <row r="1888" spans="1:19" ht="16.5" x14ac:dyDescent="0.3">
      <c r="A1888" t="s">
        <v>1947</v>
      </c>
      <c r="B1888" s="1">
        <v>45554</v>
      </c>
      <c r="C1888" s="1">
        <v>45557</v>
      </c>
      <c r="D1888">
        <v>2024</v>
      </c>
      <c r="E1888" t="s">
        <v>1445</v>
      </c>
      <c r="F1888" t="s">
        <v>1821</v>
      </c>
      <c r="G1888" t="s">
        <v>78</v>
      </c>
      <c r="H1888" t="s">
        <v>30</v>
      </c>
      <c r="I1888" t="s">
        <v>40</v>
      </c>
      <c r="J1888" t="s">
        <v>25</v>
      </c>
      <c r="K1888" t="s">
        <v>32</v>
      </c>
      <c r="L1888" t="s">
        <v>44</v>
      </c>
      <c r="M1888">
        <v>3</v>
      </c>
      <c r="N1888" s="2"/>
      <c r="O1888" s="3">
        <v>3831</v>
      </c>
      <c r="P1888">
        <v>0</v>
      </c>
      <c r="Q1888">
        <v>5</v>
      </c>
      <c r="R1888" t="s">
        <v>28</v>
      </c>
      <c r="S1888">
        <v>1</v>
      </c>
    </row>
    <row r="1889" spans="1:19" ht="16.5" x14ac:dyDescent="0.3">
      <c r="A1889" t="s">
        <v>1948</v>
      </c>
      <c r="B1889" s="1">
        <v>45554</v>
      </c>
      <c r="C1889" s="1">
        <v>45557</v>
      </c>
      <c r="D1889">
        <v>2024</v>
      </c>
      <c r="E1889" t="s">
        <v>1445</v>
      </c>
      <c r="F1889" t="s">
        <v>1821</v>
      </c>
      <c r="G1889" t="s">
        <v>78</v>
      </c>
      <c r="H1889" t="s">
        <v>30</v>
      </c>
      <c r="I1889" t="s">
        <v>24</v>
      </c>
      <c r="J1889" t="s">
        <v>43</v>
      </c>
      <c r="K1889" t="s">
        <v>53</v>
      </c>
      <c r="L1889" t="s">
        <v>27</v>
      </c>
      <c r="M1889">
        <v>3</v>
      </c>
      <c r="N1889" s="2">
        <v>20</v>
      </c>
      <c r="O1889" s="3">
        <v>3498</v>
      </c>
      <c r="P1889">
        <v>0</v>
      </c>
      <c r="Q1889">
        <v>4</v>
      </c>
      <c r="R1889" t="s">
        <v>28</v>
      </c>
      <c r="S1889">
        <v>1</v>
      </c>
    </row>
    <row r="1890" spans="1:19" ht="16.5" x14ac:dyDescent="0.3">
      <c r="A1890" t="s">
        <v>1949</v>
      </c>
      <c r="B1890" s="1">
        <v>45554</v>
      </c>
      <c r="C1890" s="1">
        <v>45558</v>
      </c>
      <c r="D1890">
        <v>2024</v>
      </c>
      <c r="E1890" t="s">
        <v>1445</v>
      </c>
      <c r="F1890" t="s">
        <v>1821</v>
      </c>
      <c r="G1890" t="s">
        <v>78</v>
      </c>
      <c r="H1890" t="s">
        <v>30</v>
      </c>
      <c r="I1890" t="s">
        <v>40</v>
      </c>
      <c r="J1890" t="s">
        <v>43</v>
      </c>
      <c r="K1890" t="s">
        <v>26</v>
      </c>
      <c r="L1890" t="s">
        <v>27</v>
      </c>
      <c r="M1890">
        <v>4</v>
      </c>
      <c r="N1890" s="2"/>
      <c r="O1890" s="3">
        <v>5802</v>
      </c>
      <c r="P1890">
        <v>0</v>
      </c>
      <c r="Q1890">
        <v>4</v>
      </c>
      <c r="R1890" t="s">
        <v>28</v>
      </c>
      <c r="S1890">
        <v>1</v>
      </c>
    </row>
    <row r="1891" spans="1:19" ht="16.5" x14ac:dyDescent="0.3">
      <c r="A1891" t="s">
        <v>1950</v>
      </c>
      <c r="B1891" s="1">
        <v>45555</v>
      </c>
      <c r="C1891" s="1">
        <v>45556</v>
      </c>
      <c r="D1891">
        <v>2024</v>
      </c>
      <c r="E1891" t="s">
        <v>1445</v>
      </c>
      <c r="F1891" t="s">
        <v>1821</v>
      </c>
      <c r="G1891" t="s">
        <v>83</v>
      </c>
      <c r="H1891" t="s">
        <v>23</v>
      </c>
      <c r="I1891" t="s">
        <v>40</v>
      </c>
      <c r="J1891" t="s">
        <v>25</v>
      </c>
      <c r="K1891" t="s">
        <v>53</v>
      </c>
      <c r="L1891" t="s">
        <v>27</v>
      </c>
      <c r="M1891">
        <v>1</v>
      </c>
      <c r="N1891" s="2"/>
      <c r="O1891" s="3">
        <v>1244</v>
      </c>
      <c r="P1891">
        <v>0</v>
      </c>
      <c r="Q1891">
        <v>4</v>
      </c>
      <c r="R1891" t="s">
        <v>33</v>
      </c>
      <c r="S1891">
        <v>1</v>
      </c>
    </row>
    <row r="1892" spans="1:19" ht="16.5" x14ac:dyDescent="0.3">
      <c r="A1892" t="s">
        <v>1951</v>
      </c>
      <c r="B1892" s="1">
        <v>45555</v>
      </c>
      <c r="C1892" s="1">
        <v>45559</v>
      </c>
      <c r="D1892">
        <v>2024</v>
      </c>
      <c r="E1892" t="s">
        <v>1445</v>
      </c>
      <c r="F1892" t="s">
        <v>1821</v>
      </c>
      <c r="G1892" t="s">
        <v>83</v>
      </c>
      <c r="H1892" t="s">
        <v>50</v>
      </c>
      <c r="I1892" t="s">
        <v>40</v>
      </c>
      <c r="J1892" t="s">
        <v>25</v>
      </c>
      <c r="K1892" t="s">
        <v>32</v>
      </c>
      <c r="L1892" t="s">
        <v>44</v>
      </c>
      <c r="M1892">
        <v>4</v>
      </c>
      <c r="N1892" s="2"/>
      <c r="O1892" s="3">
        <v>6142</v>
      </c>
      <c r="P1892">
        <v>0</v>
      </c>
      <c r="Q1892">
        <v>5</v>
      </c>
      <c r="R1892" t="s">
        <v>33</v>
      </c>
      <c r="S1892">
        <v>1</v>
      </c>
    </row>
    <row r="1893" spans="1:19" ht="16.5" x14ac:dyDescent="0.3">
      <c r="A1893" t="s">
        <v>1952</v>
      </c>
      <c r="B1893" s="1">
        <v>45555</v>
      </c>
      <c r="C1893" s="1">
        <v>45557</v>
      </c>
      <c r="D1893">
        <v>2024</v>
      </c>
      <c r="E1893" t="s">
        <v>1445</v>
      </c>
      <c r="F1893" t="s">
        <v>1821</v>
      </c>
      <c r="G1893" t="s">
        <v>83</v>
      </c>
      <c r="H1893" t="s">
        <v>30</v>
      </c>
      <c r="I1893" t="s">
        <v>40</v>
      </c>
      <c r="J1893" t="s">
        <v>43</v>
      </c>
      <c r="K1893" t="s">
        <v>53</v>
      </c>
      <c r="L1893" t="s">
        <v>27</v>
      </c>
      <c r="M1893">
        <v>2</v>
      </c>
      <c r="N1893" s="2"/>
      <c r="O1893" s="3">
        <v>2175</v>
      </c>
      <c r="P1893">
        <v>0</v>
      </c>
      <c r="Q1893">
        <v>3</v>
      </c>
      <c r="R1893" t="s">
        <v>28</v>
      </c>
      <c r="S1893">
        <v>1</v>
      </c>
    </row>
    <row r="1894" spans="1:19" ht="16.5" x14ac:dyDescent="0.3">
      <c r="A1894" t="s">
        <v>1953</v>
      </c>
      <c r="B1894" s="1">
        <v>45555</v>
      </c>
      <c r="C1894" s="1">
        <v>45559</v>
      </c>
      <c r="D1894">
        <v>2024</v>
      </c>
      <c r="E1894" t="s">
        <v>1445</v>
      </c>
      <c r="F1894" t="s">
        <v>1821</v>
      </c>
      <c r="G1894" t="s">
        <v>83</v>
      </c>
      <c r="H1894" t="s">
        <v>23</v>
      </c>
      <c r="I1894" t="s">
        <v>40</v>
      </c>
      <c r="J1894" t="s">
        <v>25</v>
      </c>
      <c r="K1894" t="s">
        <v>53</v>
      </c>
      <c r="L1894" t="s">
        <v>44</v>
      </c>
      <c r="M1894">
        <v>4</v>
      </c>
      <c r="N1894" s="2"/>
      <c r="O1894" s="3">
        <v>2936</v>
      </c>
      <c r="P1894">
        <v>1</v>
      </c>
      <c r="Q1894">
        <v>3</v>
      </c>
      <c r="R1894" t="s">
        <v>33</v>
      </c>
      <c r="S1894">
        <v>1</v>
      </c>
    </row>
    <row r="1895" spans="1:19" ht="16.5" x14ac:dyDescent="0.3">
      <c r="A1895" t="s">
        <v>1954</v>
      </c>
      <c r="B1895" s="1">
        <v>45555</v>
      </c>
      <c r="C1895" s="1">
        <v>45564</v>
      </c>
      <c r="D1895">
        <v>2024</v>
      </c>
      <c r="E1895" t="s">
        <v>1445</v>
      </c>
      <c r="F1895" t="s">
        <v>1821</v>
      </c>
      <c r="G1895" t="s">
        <v>83</v>
      </c>
      <c r="H1895" t="s">
        <v>30</v>
      </c>
      <c r="I1895" t="s">
        <v>40</v>
      </c>
      <c r="J1895" t="s">
        <v>43</v>
      </c>
      <c r="K1895" t="s">
        <v>26</v>
      </c>
      <c r="L1895" t="s">
        <v>37</v>
      </c>
      <c r="M1895">
        <v>9</v>
      </c>
      <c r="N1895" s="2"/>
      <c r="O1895" s="3">
        <v>9004</v>
      </c>
      <c r="P1895">
        <v>0</v>
      </c>
      <c r="Q1895">
        <v>4</v>
      </c>
      <c r="R1895" t="s">
        <v>33</v>
      </c>
      <c r="S1895">
        <v>1</v>
      </c>
    </row>
    <row r="1896" spans="1:19" ht="16.5" x14ac:dyDescent="0.3">
      <c r="A1896" t="s">
        <v>1955</v>
      </c>
      <c r="B1896" s="1">
        <v>45556</v>
      </c>
      <c r="C1896" s="1">
        <v>45571</v>
      </c>
      <c r="D1896">
        <v>2024</v>
      </c>
      <c r="E1896" t="s">
        <v>1445</v>
      </c>
      <c r="F1896" t="s">
        <v>1821</v>
      </c>
      <c r="G1896" t="s">
        <v>102</v>
      </c>
      <c r="H1896" t="s">
        <v>30</v>
      </c>
      <c r="I1896" t="s">
        <v>40</v>
      </c>
      <c r="J1896" t="s">
        <v>25</v>
      </c>
      <c r="K1896" t="s">
        <v>32</v>
      </c>
      <c r="L1896" t="s">
        <v>27</v>
      </c>
      <c r="M1896">
        <v>15</v>
      </c>
      <c r="N1896" s="2"/>
      <c r="O1896" s="3">
        <v>15693</v>
      </c>
      <c r="P1896">
        <v>0</v>
      </c>
      <c r="Q1896">
        <v>4</v>
      </c>
      <c r="R1896" t="s">
        <v>33</v>
      </c>
      <c r="S1896">
        <v>1</v>
      </c>
    </row>
    <row r="1897" spans="1:19" ht="16.5" x14ac:dyDescent="0.3">
      <c r="A1897" t="s">
        <v>1956</v>
      </c>
      <c r="B1897" s="1">
        <v>45556</v>
      </c>
      <c r="C1897" s="1">
        <v>45558</v>
      </c>
      <c r="D1897">
        <v>2024</v>
      </c>
      <c r="E1897" t="s">
        <v>1445</v>
      </c>
      <c r="F1897" t="s">
        <v>1821</v>
      </c>
      <c r="G1897" t="s">
        <v>102</v>
      </c>
      <c r="H1897" t="s">
        <v>35</v>
      </c>
      <c r="I1897" t="s">
        <v>40</v>
      </c>
      <c r="J1897" t="s">
        <v>25</v>
      </c>
      <c r="K1897" t="s">
        <v>36</v>
      </c>
      <c r="L1897" t="s">
        <v>27</v>
      </c>
      <c r="M1897">
        <v>2</v>
      </c>
      <c r="N1897" s="2"/>
      <c r="O1897" s="3">
        <v>2377</v>
      </c>
      <c r="P1897">
        <v>0</v>
      </c>
      <c r="Q1897">
        <v>4</v>
      </c>
      <c r="R1897" t="s">
        <v>28</v>
      </c>
      <c r="S1897">
        <v>1</v>
      </c>
    </row>
    <row r="1898" spans="1:19" ht="16.5" x14ac:dyDescent="0.3">
      <c r="A1898" t="s">
        <v>1957</v>
      </c>
      <c r="B1898" s="1">
        <v>45556</v>
      </c>
      <c r="C1898" s="1">
        <v>45560</v>
      </c>
      <c r="D1898">
        <v>2024</v>
      </c>
      <c r="E1898" t="s">
        <v>1445</v>
      </c>
      <c r="F1898" t="s">
        <v>1821</v>
      </c>
      <c r="G1898" t="s">
        <v>102</v>
      </c>
      <c r="H1898" t="s">
        <v>30</v>
      </c>
      <c r="I1898" t="s">
        <v>40</v>
      </c>
      <c r="J1898" t="s">
        <v>25</v>
      </c>
      <c r="K1898" t="s">
        <v>26</v>
      </c>
      <c r="L1898" t="s">
        <v>44</v>
      </c>
      <c r="M1898">
        <v>4</v>
      </c>
      <c r="N1898" s="2"/>
      <c r="O1898" s="3">
        <v>5224</v>
      </c>
      <c r="P1898">
        <v>0</v>
      </c>
      <c r="Q1898">
        <v>3</v>
      </c>
      <c r="R1898" t="s">
        <v>28</v>
      </c>
      <c r="S1898">
        <v>1</v>
      </c>
    </row>
    <row r="1899" spans="1:19" ht="16.5" x14ac:dyDescent="0.3">
      <c r="A1899" t="s">
        <v>1958</v>
      </c>
      <c r="B1899" s="1">
        <v>45556</v>
      </c>
      <c r="C1899" s="1">
        <v>45559</v>
      </c>
      <c r="D1899">
        <v>2024</v>
      </c>
      <c r="E1899" t="s">
        <v>1445</v>
      </c>
      <c r="F1899" t="s">
        <v>1821</v>
      </c>
      <c r="G1899" t="s">
        <v>102</v>
      </c>
      <c r="H1899" t="s">
        <v>39</v>
      </c>
      <c r="I1899" t="s">
        <v>40</v>
      </c>
      <c r="J1899" t="s">
        <v>43</v>
      </c>
      <c r="K1899" t="s">
        <v>41</v>
      </c>
      <c r="L1899" t="s">
        <v>44</v>
      </c>
      <c r="M1899">
        <v>3</v>
      </c>
      <c r="N1899" s="2"/>
      <c r="O1899" s="3">
        <v>2969</v>
      </c>
      <c r="P1899">
        <v>0</v>
      </c>
      <c r="Q1899">
        <v>5</v>
      </c>
      <c r="R1899" t="s">
        <v>33</v>
      </c>
      <c r="S1899">
        <v>1</v>
      </c>
    </row>
    <row r="1900" spans="1:19" ht="16.5" x14ac:dyDescent="0.3">
      <c r="A1900" t="s">
        <v>1959</v>
      </c>
      <c r="B1900" s="1">
        <v>45556</v>
      </c>
      <c r="C1900" s="1">
        <v>45557</v>
      </c>
      <c r="D1900">
        <v>2024</v>
      </c>
      <c r="E1900" t="s">
        <v>1445</v>
      </c>
      <c r="F1900" t="s">
        <v>1821</v>
      </c>
      <c r="G1900" t="s">
        <v>102</v>
      </c>
      <c r="H1900" t="s">
        <v>35</v>
      </c>
      <c r="I1900" t="s">
        <v>24</v>
      </c>
      <c r="J1900" t="s">
        <v>25</v>
      </c>
      <c r="K1900" t="s">
        <v>32</v>
      </c>
      <c r="L1900" t="s">
        <v>27</v>
      </c>
      <c r="M1900">
        <v>1</v>
      </c>
      <c r="N1900" s="2">
        <v>90</v>
      </c>
      <c r="O1900" s="3">
        <v>1709</v>
      </c>
      <c r="P1900">
        <v>0</v>
      </c>
      <c r="Q1900">
        <v>4</v>
      </c>
      <c r="R1900" t="s">
        <v>33</v>
      </c>
      <c r="S1900">
        <v>1</v>
      </c>
    </row>
    <row r="1901" spans="1:19" ht="16.5" x14ac:dyDescent="0.3">
      <c r="A1901" t="s">
        <v>1960</v>
      </c>
      <c r="B1901" s="1">
        <v>45556</v>
      </c>
      <c r="C1901" s="1">
        <v>45558</v>
      </c>
      <c r="D1901">
        <v>2024</v>
      </c>
      <c r="E1901" t="s">
        <v>1445</v>
      </c>
      <c r="F1901" t="s">
        <v>1821</v>
      </c>
      <c r="G1901" t="s">
        <v>102</v>
      </c>
      <c r="H1901" t="s">
        <v>30</v>
      </c>
      <c r="I1901" t="s">
        <v>40</v>
      </c>
      <c r="J1901" t="s">
        <v>43</v>
      </c>
      <c r="K1901" t="s">
        <v>32</v>
      </c>
      <c r="L1901" t="s">
        <v>44</v>
      </c>
      <c r="M1901">
        <v>2</v>
      </c>
      <c r="N1901" s="2"/>
      <c r="O1901" s="3">
        <v>2355</v>
      </c>
      <c r="P1901">
        <v>0</v>
      </c>
      <c r="Q1901">
        <v>4</v>
      </c>
      <c r="R1901" t="s">
        <v>28</v>
      </c>
      <c r="S1901">
        <v>1</v>
      </c>
    </row>
    <row r="1902" spans="1:19" ht="16.5" x14ac:dyDescent="0.3">
      <c r="A1902" t="s">
        <v>1961</v>
      </c>
      <c r="B1902" s="1">
        <v>45557</v>
      </c>
      <c r="C1902" s="1">
        <v>45564</v>
      </c>
      <c r="D1902">
        <v>2024</v>
      </c>
      <c r="E1902" t="s">
        <v>1445</v>
      </c>
      <c r="F1902" t="s">
        <v>1821</v>
      </c>
      <c r="G1902" t="s">
        <v>112</v>
      </c>
      <c r="H1902" t="s">
        <v>30</v>
      </c>
      <c r="I1902" t="s">
        <v>40</v>
      </c>
      <c r="J1902" t="s">
        <v>43</v>
      </c>
      <c r="K1902" t="s">
        <v>26</v>
      </c>
      <c r="L1902" t="s">
        <v>27</v>
      </c>
      <c r="M1902">
        <v>7</v>
      </c>
      <c r="N1902" s="2"/>
      <c r="O1902" s="3">
        <v>7587</v>
      </c>
      <c r="P1902">
        <v>0</v>
      </c>
      <c r="Q1902">
        <v>4</v>
      </c>
      <c r="R1902" t="s">
        <v>28</v>
      </c>
      <c r="S1902">
        <v>1</v>
      </c>
    </row>
    <row r="1903" spans="1:19" ht="16.5" x14ac:dyDescent="0.3">
      <c r="A1903" t="s">
        <v>1962</v>
      </c>
      <c r="B1903" s="1">
        <v>45557</v>
      </c>
      <c r="C1903" s="1">
        <v>45559</v>
      </c>
      <c r="D1903">
        <v>2024</v>
      </c>
      <c r="E1903" t="s">
        <v>1445</v>
      </c>
      <c r="F1903" t="s">
        <v>1821</v>
      </c>
      <c r="G1903" t="s">
        <v>112</v>
      </c>
      <c r="H1903" t="s">
        <v>35</v>
      </c>
      <c r="I1903" t="s">
        <v>24</v>
      </c>
      <c r="J1903" t="s">
        <v>25</v>
      </c>
      <c r="K1903" t="s">
        <v>32</v>
      </c>
      <c r="L1903" t="s">
        <v>27</v>
      </c>
      <c r="M1903">
        <v>2</v>
      </c>
      <c r="N1903" s="2">
        <v>46</v>
      </c>
      <c r="O1903" s="3">
        <v>1992</v>
      </c>
      <c r="P1903">
        <v>0</v>
      </c>
      <c r="Q1903">
        <v>4</v>
      </c>
      <c r="R1903" t="s">
        <v>28</v>
      </c>
      <c r="S1903">
        <v>1</v>
      </c>
    </row>
    <row r="1904" spans="1:19" ht="16.5" x14ac:dyDescent="0.3">
      <c r="A1904" t="s">
        <v>1963</v>
      </c>
      <c r="B1904" s="1">
        <v>45557</v>
      </c>
      <c r="C1904" s="1">
        <v>45563</v>
      </c>
      <c r="D1904">
        <v>2024</v>
      </c>
      <c r="E1904" t="s">
        <v>1445</v>
      </c>
      <c r="F1904" t="s">
        <v>1821</v>
      </c>
      <c r="G1904" t="s">
        <v>112</v>
      </c>
      <c r="H1904" t="s">
        <v>50</v>
      </c>
      <c r="I1904" t="s">
        <v>40</v>
      </c>
      <c r="J1904" t="s">
        <v>25</v>
      </c>
      <c r="K1904" t="s">
        <v>53</v>
      </c>
      <c r="L1904" t="s">
        <v>44</v>
      </c>
      <c r="M1904">
        <v>6</v>
      </c>
      <c r="N1904" s="2"/>
      <c r="O1904" s="3">
        <v>10344</v>
      </c>
      <c r="P1904">
        <v>0</v>
      </c>
      <c r="Q1904">
        <v>5</v>
      </c>
      <c r="R1904" t="s">
        <v>33</v>
      </c>
      <c r="S1904">
        <v>1</v>
      </c>
    </row>
    <row r="1905" spans="1:19" ht="16.5" x14ac:dyDescent="0.3">
      <c r="A1905" t="s">
        <v>1964</v>
      </c>
      <c r="B1905" s="1">
        <v>45557</v>
      </c>
      <c r="C1905" s="1">
        <v>45563</v>
      </c>
      <c r="D1905">
        <v>2024</v>
      </c>
      <c r="E1905" t="s">
        <v>1445</v>
      </c>
      <c r="F1905" t="s">
        <v>1821</v>
      </c>
      <c r="G1905" t="s">
        <v>112</v>
      </c>
      <c r="H1905" t="s">
        <v>23</v>
      </c>
      <c r="I1905" t="s">
        <v>24</v>
      </c>
      <c r="J1905" t="s">
        <v>43</v>
      </c>
      <c r="K1905" t="s">
        <v>26</v>
      </c>
      <c r="L1905" t="s">
        <v>27</v>
      </c>
      <c r="M1905">
        <v>6</v>
      </c>
      <c r="N1905" s="2">
        <v>72</v>
      </c>
      <c r="O1905" s="3">
        <v>4702</v>
      </c>
      <c r="P1905">
        <v>1</v>
      </c>
      <c r="Q1905">
        <v>3</v>
      </c>
      <c r="R1905" t="s">
        <v>28</v>
      </c>
      <c r="S1905">
        <v>1</v>
      </c>
    </row>
    <row r="1906" spans="1:19" ht="16.5" x14ac:dyDescent="0.3">
      <c r="A1906" t="s">
        <v>1965</v>
      </c>
      <c r="B1906" s="1">
        <v>45557</v>
      </c>
      <c r="C1906" s="1">
        <v>45559</v>
      </c>
      <c r="D1906">
        <v>2024</v>
      </c>
      <c r="E1906" t="s">
        <v>1445</v>
      </c>
      <c r="F1906" t="s">
        <v>1821</v>
      </c>
      <c r="G1906" t="s">
        <v>112</v>
      </c>
      <c r="H1906" t="s">
        <v>30</v>
      </c>
      <c r="I1906" t="s">
        <v>40</v>
      </c>
      <c r="J1906" t="s">
        <v>43</v>
      </c>
      <c r="K1906" t="s">
        <v>26</v>
      </c>
      <c r="L1906" t="s">
        <v>44</v>
      </c>
      <c r="M1906">
        <v>2</v>
      </c>
      <c r="N1906" s="2"/>
      <c r="O1906" s="3">
        <v>3345</v>
      </c>
      <c r="P1906">
        <v>1</v>
      </c>
      <c r="Q1906">
        <v>4</v>
      </c>
      <c r="R1906" t="s">
        <v>33</v>
      </c>
      <c r="S1906">
        <v>1</v>
      </c>
    </row>
    <row r="1907" spans="1:19" ht="16.5" x14ac:dyDescent="0.3">
      <c r="A1907" t="s">
        <v>1966</v>
      </c>
      <c r="B1907" s="1">
        <v>45557</v>
      </c>
      <c r="C1907" s="1">
        <v>45559</v>
      </c>
      <c r="D1907">
        <v>2024</v>
      </c>
      <c r="E1907" t="s">
        <v>1445</v>
      </c>
      <c r="F1907" t="s">
        <v>1821</v>
      </c>
      <c r="G1907" t="s">
        <v>112</v>
      </c>
      <c r="H1907" t="s">
        <v>30</v>
      </c>
      <c r="I1907" t="s">
        <v>40</v>
      </c>
      <c r="J1907" t="s">
        <v>43</v>
      </c>
      <c r="K1907" t="s">
        <v>26</v>
      </c>
      <c r="L1907" t="s">
        <v>44</v>
      </c>
      <c r="M1907">
        <v>2</v>
      </c>
      <c r="N1907" s="2"/>
      <c r="O1907" s="3">
        <v>3544</v>
      </c>
      <c r="P1907">
        <v>0</v>
      </c>
      <c r="Q1907">
        <v>4</v>
      </c>
      <c r="R1907" t="s">
        <v>28</v>
      </c>
      <c r="S1907">
        <v>1</v>
      </c>
    </row>
    <row r="1908" spans="1:19" ht="16.5" x14ac:dyDescent="0.3">
      <c r="A1908" t="s">
        <v>1967</v>
      </c>
      <c r="B1908" s="1">
        <v>45557</v>
      </c>
      <c r="C1908" s="1">
        <v>45567</v>
      </c>
      <c r="D1908">
        <v>2024</v>
      </c>
      <c r="E1908" t="s">
        <v>1445</v>
      </c>
      <c r="F1908" t="s">
        <v>1821</v>
      </c>
      <c r="G1908" t="s">
        <v>112</v>
      </c>
      <c r="H1908" t="s">
        <v>23</v>
      </c>
      <c r="I1908" t="s">
        <v>24</v>
      </c>
      <c r="J1908" t="s">
        <v>43</v>
      </c>
      <c r="K1908" t="s">
        <v>26</v>
      </c>
      <c r="L1908" t="s">
        <v>44</v>
      </c>
      <c r="M1908">
        <v>10</v>
      </c>
      <c r="N1908" s="2">
        <v>59</v>
      </c>
      <c r="O1908" s="3">
        <v>7496</v>
      </c>
      <c r="P1908">
        <v>0</v>
      </c>
      <c r="Q1908">
        <v>5</v>
      </c>
      <c r="R1908" t="s">
        <v>33</v>
      </c>
      <c r="S1908">
        <v>1</v>
      </c>
    </row>
    <row r="1909" spans="1:19" ht="16.5" x14ac:dyDescent="0.3">
      <c r="A1909" t="s">
        <v>1968</v>
      </c>
      <c r="B1909" s="1">
        <v>45557</v>
      </c>
      <c r="C1909" s="1">
        <v>45561</v>
      </c>
      <c r="D1909">
        <v>2024</v>
      </c>
      <c r="E1909" t="s">
        <v>1445</v>
      </c>
      <c r="F1909" t="s">
        <v>1821</v>
      </c>
      <c r="G1909" t="s">
        <v>112</v>
      </c>
      <c r="H1909" t="s">
        <v>50</v>
      </c>
      <c r="I1909" t="s">
        <v>24</v>
      </c>
      <c r="J1909" t="s">
        <v>43</v>
      </c>
      <c r="K1909" t="s">
        <v>53</v>
      </c>
      <c r="L1909" t="s">
        <v>44</v>
      </c>
      <c r="M1909">
        <v>4</v>
      </c>
      <c r="N1909" s="2">
        <v>109</v>
      </c>
      <c r="O1909" s="3">
        <v>5056</v>
      </c>
      <c r="P1909">
        <v>0</v>
      </c>
      <c r="Q1909">
        <v>4</v>
      </c>
      <c r="R1909" t="s">
        <v>33</v>
      </c>
      <c r="S1909">
        <v>1</v>
      </c>
    </row>
    <row r="1910" spans="1:19" ht="16.5" x14ac:dyDescent="0.3">
      <c r="A1910" t="s">
        <v>1969</v>
      </c>
      <c r="B1910" s="1">
        <v>45557</v>
      </c>
      <c r="C1910" s="1">
        <v>45558</v>
      </c>
      <c r="D1910">
        <v>2024</v>
      </c>
      <c r="E1910" t="s">
        <v>1445</v>
      </c>
      <c r="F1910" t="s">
        <v>1821</v>
      </c>
      <c r="G1910" t="s">
        <v>112</v>
      </c>
      <c r="H1910" t="s">
        <v>50</v>
      </c>
      <c r="I1910" t="s">
        <v>40</v>
      </c>
      <c r="J1910" t="s">
        <v>25</v>
      </c>
      <c r="K1910" t="s">
        <v>32</v>
      </c>
      <c r="L1910" t="s">
        <v>27</v>
      </c>
      <c r="M1910">
        <v>1</v>
      </c>
      <c r="N1910" s="2"/>
      <c r="O1910" s="3">
        <v>2139</v>
      </c>
      <c r="P1910">
        <v>0</v>
      </c>
      <c r="Q1910">
        <v>5</v>
      </c>
      <c r="R1910" t="s">
        <v>33</v>
      </c>
      <c r="S1910">
        <v>1</v>
      </c>
    </row>
    <row r="1911" spans="1:19" ht="16.5" x14ac:dyDescent="0.3">
      <c r="A1911" t="s">
        <v>1970</v>
      </c>
      <c r="B1911" s="1">
        <v>45557</v>
      </c>
      <c r="C1911" s="1">
        <v>45561</v>
      </c>
      <c r="D1911">
        <v>2024</v>
      </c>
      <c r="E1911" t="s">
        <v>1445</v>
      </c>
      <c r="F1911" t="s">
        <v>1821</v>
      </c>
      <c r="G1911" t="s">
        <v>112</v>
      </c>
      <c r="H1911" t="s">
        <v>30</v>
      </c>
      <c r="I1911" t="s">
        <v>40</v>
      </c>
      <c r="J1911" t="s">
        <v>43</v>
      </c>
      <c r="K1911" t="s">
        <v>53</v>
      </c>
      <c r="L1911" t="s">
        <v>27</v>
      </c>
      <c r="M1911">
        <v>4</v>
      </c>
      <c r="N1911" s="2"/>
      <c r="O1911" s="3">
        <v>4947</v>
      </c>
      <c r="P1911">
        <v>0</v>
      </c>
      <c r="Q1911">
        <v>5</v>
      </c>
      <c r="R1911" t="s">
        <v>28</v>
      </c>
      <c r="S1911">
        <v>1</v>
      </c>
    </row>
    <row r="1912" spans="1:19" ht="16.5" x14ac:dyDescent="0.3">
      <c r="A1912" t="s">
        <v>1971</v>
      </c>
      <c r="B1912" s="1">
        <v>45558</v>
      </c>
      <c r="C1912" s="1">
        <v>45559</v>
      </c>
      <c r="D1912">
        <v>2024</v>
      </c>
      <c r="E1912" t="s">
        <v>1445</v>
      </c>
      <c r="F1912" t="s">
        <v>1821</v>
      </c>
      <c r="G1912" t="s">
        <v>22</v>
      </c>
      <c r="H1912" t="s">
        <v>23</v>
      </c>
      <c r="I1912" t="s">
        <v>40</v>
      </c>
      <c r="J1912" t="s">
        <v>25</v>
      </c>
      <c r="K1912" t="s">
        <v>32</v>
      </c>
      <c r="L1912" t="s">
        <v>37</v>
      </c>
      <c r="M1912">
        <v>1</v>
      </c>
      <c r="N1912" s="2"/>
      <c r="O1912" s="3">
        <v>1263</v>
      </c>
      <c r="P1912">
        <v>1</v>
      </c>
      <c r="Q1912">
        <v>4</v>
      </c>
      <c r="R1912" t="s">
        <v>33</v>
      </c>
      <c r="S1912">
        <v>1</v>
      </c>
    </row>
    <row r="1913" spans="1:19" ht="16.5" x14ac:dyDescent="0.3">
      <c r="A1913" t="s">
        <v>1972</v>
      </c>
      <c r="B1913" s="1">
        <v>45558</v>
      </c>
      <c r="C1913" s="1">
        <v>45562</v>
      </c>
      <c r="D1913">
        <v>2024</v>
      </c>
      <c r="E1913" t="s">
        <v>1445</v>
      </c>
      <c r="F1913" t="s">
        <v>1821</v>
      </c>
      <c r="G1913" t="s">
        <v>22</v>
      </c>
      <c r="H1913" t="s">
        <v>39</v>
      </c>
      <c r="I1913" t="s">
        <v>40</v>
      </c>
      <c r="J1913" t="s">
        <v>25</v>
      </c>
      <c r="K1913" t="s">
        <v>41</v>
      </c>
      <c r="L1913" t="s">
        <v>44</v>
      </c>
      <c r="M1913">
        <v>4</v>
      </c>
      <c r="N1913" s="2"/>
      <c r="O1913" s="3">
        <v>2532</v>
      </c>
      <c r="P1913">
        <v>0</v>
      </c>
      <c r="Q1913">
        <v>5</v>
      </c>
      <c r="R1913" t="s">
        <v>33</v>
      </c>
      <c r="S1913">
        <v>1</v>
      </c>
    </row>
    <row r="1914" spans="1:19" ht="16.5" x14ac:dyDescent="0.3">
      <c r="A1914" t="s">
        <v>1973</v>
      </c>
      <c r="B1914" s="1">
        <v>45558</v>
      </c>
      <c r="C1914" s="1">
        <v>45564</v>
      </c>
      <c r="D1914">
        <v>2024</v>
      </c>
      <c r="E1914" t="s">
        <v>1445</v>
      </c>
      <c r="F1914" t="s">
        <v>1821</v>
      </c>
      <c r="G1914" t="s">
        <v>22</v>
      </c>
      <c r="H1914" t="s">
        <v>39</v>
      </c>
      <c r="I1914" t="s">
        <v>24</v>
      </c>
      <c r="J1914" t="s">
        <v>25</v>
      </c>
      <c r="K1914" t="s">
        <v>41</v>
      </c>
      <c r="L1914" t="s">
        <v>27</v>
      </c>
      <c r="M1914">
        <v>6</v>
      </c>
      <c r="N1914" s="2">
        <v>16</v>
      </c>
      <c r="O1914" s="3">
        <v>4330</v>
      </c>
      <c r="P1914">
        <v>0</v>
      </c>
      <c r="Q1914">
        <v>4</v>
      </c>
      <c r="R1914" t="s">
        <v>28</v>
      </c>
      <c r="S1914">
        <v>1</v>
      </c>
    </row>
    <row r="1915" spans="1:19" ht="16.5" x14ac:dyDescent="0.3">
      <c r="A1915" t="s">
        <v>1974</v>
      </c>
      <c r="B1915" s="1">
        <v>45558</v>
      </c>
      <c r="C1915" s="1">
        <v>45571</v>
      </c>
      <c r="D1915">
        <v>2024</v>
      </c>
      <c r="E1915" t="s">
        <v>1445</v>
      </c>
      <c r="F1915" t="s">
        <v>1821</v>
      </c>
      <c r="G1915" t="s">
        <v>22</v>
      </c>
      <c r="H1915" t="s">
        <v>30</v>
      </c>
      <c r="I1915" t="s">
        <v>40</v>
      </c>
      <c r="J1915" t="s">
        <v>43</v>
      </c>
      <c r="K1915" t="s">
        <v>26</v>
      </c>
      <c r="L1915" t="s">
        <v>44</v>
      </c>
      <c r="M1915">
        <v>13</v>
      </c>
      <c r="N1915" s="2"/>
      <c r="O1915" s="3">
        <v>13188</v>
      </c>
      <c r="P1915">
        <v>1</v>
      </c>
      <c r="Q1915">
        <v>3</v>
      </c>
      <c r="R1915" t="s">
        <v>28</v>
      </c>
      <c r="S1915">
        <v>1</v>
      </c>
    </row>
    <row r="1916" spans="1:19" ht="16.5" x14ac:dyDescent="0.3">
      <c r="A1916" t="s">
        <v>1975</v>
      </c>
      <c r="B1916" s="1">
        <v>45558</v>
      </c>
      <c r="C1916" s="1">
        <v>45559</v>
      </c>
      <c r="D1916">
        <v>2024</v>
      </c>
      <c r="E1916" t="s">
        <v>1445</v>
      </c>
      <c r="F1916" t="s">
        <v>1821</v>
      </c>
      <c r="G1916" t="s">
        <v>22</v>
      </c>
      <c r="H1916" t="s">
        <v>30</v>
      </c>
      <c r="I1916" t="s">
        <v>40</v>
      </c>
      <c r="J1916" t="s">
        <v>43</v>
      </c>
      <c r="K1916" t="s">
        <v>26</v>
      </c>
      <c r="L1916" t="s">
        <v>27</v>
      </c>
      <c r="M1916">
        <v>1</v>
      </c>
      <c r="N1916" s="2"/>
      <c r="O1916" s="3">
        <v>1860</v>
      </c>
      <c r="P1916">
        <v>1</v>
      </c>
      <c r="Q1916">
        <v>4</v>
      </c>
      <c r="R1916" t="s">
        <v>33</v>
      </c>
      <c r="S1916">
        <v>1</v>
      </c>
    </row>
    <row r="1917" spans="1:19" ht="16.5" x14ac:dyDescent="0.3">
      <c r="A1917" t="s">
        <v>1976</v>
      </c>
      <c r="B1917" s="1">
        <v>45558</v>
      </c>
      <c r="C1917" s="1">
        <v>45559</v>
      </c>
      <c r="D1917">
        <v>2024</v>
      </c>
      <c r="E1917" t="s">
        <v>1445</v>
      </c>
      <c r="F1917" t="s">
        <v>1821</v>
      </c>
      <c r="G1917" t="s">
        <v>22</v>
      </c>
      <c r="H1917" t="s">
        <v>39</v>
      </c>
      <c r="I1917" t="s">
        <v>24</v>
      </c>
      <c r="J1917" t="s">
        <v>25</v>
      </c>
      <c r="K1917" t="s">
        <v>41</v>
      </c>
      <c r="L1917" t="s">
        <v>27</v>
      </c>
      <c r="M1917">
        <v>1</v>
      </c>
      <c r="N1917" s="2">
        <v>57</v>
      </c>
      <c r="O1917" s="3">
        <v>1294</v>
      </c>
      <c r="P1917">
        <v>0</v>
      </c>
      <c r="Q1917">
        <v>4</v>
      </c>
      <c r="R1917" t="s">
        <v>28</v>
      </c>
      <c r="S1917">
        <v>1</v>
      </c>
    </row>
    <row r="1918" spans="1:19" ht="16.5" x14ac:dyDescent="0.3">
      <c r="A1918" t="s">
        <v>1977</v>
      </c>
      <c r="B1918" s="1">
        <v>45558</v>
      </c>
      <c r="C1918" s="1">
        <v>45565</v>
      </c>
      <c r="D1918">
        <v>2024</v>
      </c>
      <c r="E1918" t="s">
        <v>1445</v>
      </c>
      <c r="F1918" t="s">
        <v>1821</v>
      </c>
      <c r="G1918" t="s">
        <v>22</v>
      </c>
      <c r="H1918" t="s">
        <v>39</v>
      </c>
      <c r="I1918" t="s">
        <v>24</v>
      </c>
      <c r="J1918" t="s">
        <v>43</v>
      </c>
      <c r="K1918" t="s">
        <v>41</v>
      </c>
      <c r="L1918" t="s">
        <v>27</v>
      </c>
      <c r="M1918">
        <v>7</v>
      </c>
      <c r="N1918" s="2">
        <v>97</v>
      </c>
      <c r="O1918" s="3">
        <v>3864</v>
      </c>
      <c r="P1918">
        <v>1</v>
      </c>
      <c r="Q1918">
        <v>2</v>
      </c>
      <c r="R1918" t="s">
        <v>28</v>
      </c>
      <c r="S1918">
        <v>1</v>
      </c>
    </row>
    <row r="1919" spans="1:19" ht="16.5" x14ac:dyDescent="0.3">
      <c r="A1919" t="s">
        <v>1978</v>
      </c>
      <c r="B1919" s="1">
        <v>45558</v>
      </c>
      <c r="C1919" s="1">
        <v>45559</v>
      </c>
      <c r="D1919">
        <v>2024</v>
      </c>
      <c r="E1919" t="s">
        <v>1445</v>
      </c>
      <c r="F1919" t="s">
        <v>1821</v>
      </c>
      <c r="G1919" t="s">
        <v>22</v>
      </c>
      <c r="H1919" t="s">
        <v>39</v>
      </c>
      <c r="I1919" t="s">
        <v>24</v>
      </c>
      <c r="J1919" t="s">
        <v>43</v>
      </c>
      <c r="K1919" t="s">
        <v>41</v>
      </c>
      <c r="L1919" t="s">
        <v>27</v>
      </c>
      <c r="M1919">
        <v>1</v>
      </c>
      <c r="N1919" s="2">
        <v>56</v>
      </c>
      <c r="O1919" s="3">
        <v>1786</v>
      </c>
      <c r="P1919">
        <v>0</v>
      </c>
      <c r="Q1919">
        <v>5</v>
      </c>
      <c r="R1919" t="s">
        <v>28</v>
      </c>
      <c r="S1919">
        <v>1</v>
      </c>
    </row>
    <row r="1920" spans="1:19" ht="16.5" x14ac:dyDescent="0.3">
      <c r="A1920" t="s">
        <v>1979</v>
      </c>
      <c r="B1920" s="1">
        <v>45558</v>
      </c>
      <c r="C1920" s="1">
        <v>45561</v>
      </c>
      <c r="D1920">
        <v>2024</v>
      </c>
      <c r="E1920" t="s">
        <v>1445</v>
      </c>
      <c r="F1920" t="s">
        <v>1821</v>
      </c>
      <c r="G1920" t="s">
        <v>22</v>
      </c>
      <c r="H1920" t="s">
        <v>35</v>
      </c>
      <c r="I1920" t="s">
        <v>24</v>
      </c>
      <c r="J1920" t="s">
        <v>25</v>
      </c>
      <c r="K1920" t="s">
        <v>36</v>
      </c>
      <c r="L1920" t="s">
        <v>44</v>
      </c>
      <c r="M1920">
        <v>3</v>
      </c>
      <c r="N1920" s="2">
        <v>65</v>
      </c>
      <c r="O1920" s="3">
        <v>2776</v>
      </c>
      <c r="P1920">
        <v>1</v>
      </c>
      <c r="Q1920">
        <v>4</v>
      </c>
      <c r="R1920" t="s">
        <v>33</v>
      </c>
      <c r="S1920">
        <v>1</v>
      </c>
    </row>
    <row r="1921" spans="1:19" ht="16.5" x14ac:dyDescent="0.3">
      <c r="A1921" t="s">
        <v>1980</v>
      </c>
      <c r="B1921" s="1">
        <v>45558</v>
      </c>
      <c r="C1921" s="1">
        <v>45560</v>
      </c>
      <c r="D1921">
        <v>2024</v>
      </c>
      <c r="E1921" t="s">
        <v>1445</v>
      </c>
      <c r="F1921" t="s">
        <v>1821</v>
      </c>
      <c r="G1921" t="s">
        <v>22</v>
      </c>
      <c r="H1921" t="s">
        <v>30</v>
      </c>
      <c r="I1921" t="s">
        <v>40</v>
      </c>
      <c r="J1921" t="s">
        <v>25</v>
      </c>
      <c r="K1921" t="s">
        <v>36</v>
      </c>
      <c r="L1921" t="s">
        <v>37</v>
      </c>
      <c r="M1921">
        <v>2</v>
      </c>
      <c r="N1921" s="2"/>
      <c r="O1921" s="3">
        <v>2509</v>
      </c>
      <c r="P1921">
        <v>0</v>
      </c>
      <c r="Q1921">
        <v>4</v>
      </c>
      <c r="R1921" t="s">
        <v>28</v>
      </c>
      <c r="S1921">
        <v>1</v>
      </c>
    </row>
    <row r="1922" spans="1:19" ht="16.5" x14ac:dyDescent="0.3">
      <c r="A1922" t="s">
        <v>1981</v>
      </c>
      <c r="B1922" s="1">
        <v>45559</v>
      </c>
      <c r="C1922" s="1">
        <v>45560</v>
      </c>
      <c r="D1922">
        <v>2024</v>
      </c>
      <c r="E1922" t="s">
        <v>1445</v>
      </c>
      <c r="F1922" t="s">
        <v>1821</v>
      </c>
      <c r="G1922" t="s">
        <v>56</v>
      </c>
      <c r="H1922" t="s">
        <v>35</v>
      </c>
      <c r="I1922" t="s">
        <v>24</v>
      </c>
      <c r="J1922" t="s">
        <v>25</v>
      </c>
      <c r="K1922" t="s">
        <v>32</v>
      </c>
      <c r="L1922" t="s">
        <v>44</v>
      </c>
      <c r="M1922">
        <v>1</v>
      </c>
      <c r="N1922" s="2">
        <v>26</v>
      </c>
      <c r="O1922" s="3">
        <v>1559</v>
      </c>
      <c r="P1922">
        <v>0</v>
      </c>
      <c r="Q1922">
        <v>5</v>
      </c>
      <c r="R1922" t="s">
        <v>33</v>
      </c>
      <c r="S1922">
        <v>1</v>
      </c>
    </row>
    <row r="1923" spans="1:19" ht="16.5" x14ac:dyDescent="0.3">
      <c r="A1923" t="s">
        <v>1982</v>
      </c>
      <c r="B1923" s="1">
        <v>45559</v>
      </c>
      <c r="C1923" s="1">
        <v>45562</v>
      </c>
      <c r="D1923">
        <v>2024</v>
      </c>
      <c r="E1923" t="s">
        <v>1445</v>
      </c>
      <c r="F1923" t="s">
        <v>1821</v>
      </c>
      <c r="G1923" t="s">
        <v>56</v>
      </c>
      <c r="H1923" t="s">
        <v>50</v>
      </c>
      <c r="I1923" t="s">
        <v>40</v>
      </c>
      <c r="J1923" t="s">
        <v>25</v>
      </c>
      <c r="K1923" t="s">
        <v>53</v>
      </c>
      <c r="L1923" t="s">
        <v>44</v>
      </c>
      <c r="M1923">
        <v>3</v>
      </c>
      <c r="N1923" s="2"/>
      <c r="O1923" s="3">
        <v>3389</v>
      </c>
      <c r="P1923">
        <v>0</v>
      </c>
      <c r="Q1923">
        <v>5</v>
      </c>
      <c r="R1923" t="s">
        <v>33</v>
      </c>
      <c r="S1923">
        <v>1</v>
      </c>
    </row>
    <row r="1924" spans="1:19" ht="16.5" x14ac:dyDescent="0.3">
      <c r="A1924" t="s">
        <v>1983</v>
      </c>
      <c r="B1924" s="1">
        <v>45559</v>
      </c>
      <c r="C1924" s="1">
        <v>45560</v>
      </c>
      <c r="D1924">
        <v>2024</v>
      </c>
      <c r="E1924" t="s">
        <v>1445</v>
      </c>
      <c r="F1924" t="s">
        <v>1821</v>
      </c>
      <c r="G1924" t="s">
        <v>56</v>
      </c>
      <c r="H1924" t="s">
        <v>39</v>
      </c>
      <c r="I1924" t="s">
        <v>40</v>
      </c>
      <c r="J1924" t="s">
        <v>43</v>
      </c>
      <c r="K1924" t="s">
        <v>41</v>
      </c>
      <c r="L1924" t="s">
        <v>44</v>
      </c>
      <c r="M1924">
        <v>1</v>
      </c>
      <c r="N1924" s="2"/>
      <c r="O1924" s="3">
        <v>1667</v>
      </c>
      <c r="P1924">
        <v>0</v>
      </c>
      <c r="Q1924">
        <v>5</v>
      </c>
      <c r="R1924" t="s">
        <v>33</v>
      </c>
      <c r="S1924">
        <v>1</v>
      </c>
    </row>
    <row r="1925" spans="1:19" ht="16.5" x14ac:dyDescent="0.3">
      <c r="A1925" t="s">
        <v>1984</v>
      </c>
      <c r="B1925" s="1">
        <v>45560</v>
      </c>
      <c r="C1925" s="1">
        <v>45581</v>
      </c>
      <c r="D1925">
        <v>2024</v>
      </c>
      <c r="E1925" t="s">
        <v>1445</v>
      </c>
      <c r="F1925" t="s">
        <v>1821</v>
      </c>
      <c r="G1925" t="s">
        <v>70</v>
      </c>
      <c r="H1925" t="s">
        <v>23</v>
      </c>
      <c r="I1925" t="s">
        <v>40</v>
      </c>
      <c r="J1925" t="s">
        <v>43</v>
      </c>
      <c r="K1925" t="s">
        <v>26</v>
      </c>
      <c r="L1925" t="s">
        <v>27</v>
      </c>
      <c r="M1925">
        <v>21</v>
      </c>
      <c r="N1925" s="2"/>
      <c r="O1925" s="3">
        <v>16701</v>
      </c>
      <c r="P1925">
        <v>0</v>
      </c>
      <c r="Q1925">
        <v>4</v>
      </c>
      <c r="R1925" t="s">
        <v>33</v>
      </c>
      <c r="S1925">
        <v>1</v>
      </c>
    </row>
    <row r="1926" spans="1:19" ht="16.5" x14ac:dyDescent="0.3">
      <c r="A1926" t="s">
        <v>1985</v>
      </c>
      <c r="B1926" s="1">
        <v>45560</v>
      </c>
      <c r="C1926" s="1">
        <v>45562</v>
      </c>
      <c r="D1926">
        <v>2024</v>
      </c>
      <c r="E1926" t="s">
        <v>1445</v>
      </c>
      <c r="F1926" t="s">
        <v>1821</v>
      </c>
      <c r="G1926" t="s">
        <v>70</v>
      </c>
      <c r="H1926" t="s">
        <v>30</v>
      </c>
      <c r="I1926" t="s">
        <v>40</v>
      </c>
      <c r="J1926" t="s">
        <v>25</v>
      </c>
      <c r="K1926" t="s">
        <v>53</v>
      </c>
      <c r="L1926" t="s">
        <v>27</v>
      </c>
      <c r="M1926">
        <v>2</v>
      </c>
      <c r="N1926" s="2"/>
      <c r="O1926" s="3">
        <v>2728</v>
      </c>
      <c r="P1926">
        <v>0</v>
      </c>
      <c r="Q1926">
        <v>4</v>
      </c>
      <c r="R1926" t="s">
        <v>28</v>
      </c>
      <c r="S1926">
        <v>1</v>
      </c>
    </row>
    <row r="1927" spans="1:19" ht="16.5" x14ac:dyDescent="0.3">
      <c r="A1927" t="s">
        <v>1986</v>
      </c>
      <c r="B1927" s="1">
        <v>45560</v>
      </c>
      <c r="C1927" s="1">
        <v>45561</v>
      </c>
      <c r="D1927">
        <v>2024</v>
      </c>
      <c r="E1927" t="s">
        <v>1445</v>
      </c>
      <c r="F1927" t="s">
        <v>1821</v>
      </c>
      <c r="G1927" t="s">
        <v>70</v>
      </c>
      <c r="H1927" t="s">
        <v>50</v>
      </c>
      <c r="I1927" t="s">
        <v>24</v>
      </c>
      <c r="J1927" t="s">
        <v>43</v>
      </c>
      <c r="K1927" t="s">
        <v>53</v>
      </c>
      <c r="L1927" t="s">
        <v>44</v>
      </c>
      <c r="M1927">
        <v>1</v>
      </c>
      <c r="N1927" s="2">
        <v>44</v>
      </c>
      <c r="O1927" s="3">
        <v>2561</v>
      </c>
      <c r="P1927">
        <v>0</v>
      </c>
      <c r="Q1927">
        <v>4</v>
      </c>
      <c r="R1927" t="s">
        <v>33</v>
      </c>
      <c r="S1927">
        <v>1</v>
      </c>
    </row>
    <row r="1928" spans="1:19" ht="16.5" x14ac:dyDescent="0.3">
      <c r="A1928" t="s">
        <v>1987</v>
      </c>
      <c r="B1928" s="1">
        <v>45560</v>
      </c>
      <c r="C1928" s="1">
        <v>45561</v>
      </c>
      <c r="D1928">
        <v>2024</v>
      </c>
      <c r="E1928" t="s">
        <v>1445</v>
      </c>
      <c r="F1928" t="s">
        <v>1821</v>
      </c>
      <c r="G1928" t="s">
        <v>70</v>
      </c>
      <c r="H1928" t="s">
        <v>30</v>
      </c>
      <c r="I1928" t="s">
        <v>40</v>
      </c>
      <c r="J1928" t="s">
        <v>25</v>
      </c>
      <c r="K1928" t="s">
        <v>32</v>
      </c>
      <c r="L1928" t="s">
        <v>44</v>
      </c>
      <c r="M1928">
        <v>1</v>
      </c>
      <c r="N1928" s="2"/>
      <c r="O1928" s="3">
        <v>1652</v>
      </c>
      <c r="P1928">
        <v>0</v>
      </c>
      <c r="Q1928">
        <v>5</v>
      </c>
      <c r="R1928" t="s">
        <v>59</v>
      </c>
      <c r="S1928">
        <v>1</v>
      </c>
    </row>
    <row r="1929" spans="1:19" ht="16.5" x14ac:dyDescent="0.3">
      <c r="A1929" t="s">
        <v>1988</v>
      </c>
      <c r="B1929" s="1">
        <v>45560</v>
      </c>
      <c r="C1929" s="1">
        <v>45561</v>
      </c>
      <c r="D1929">
        <v>2024</v>
      </c>
      <c r="E1929" t="s">
        <v>1445</v>
      </c>
      <c r="F1929" t="s">
        <v>1821</v>
      </c>
      <c r="G1929" t="s">
        <v>70</v>
      </c>
      <c r="H1929" t="s">
        <v>39</v>
      </c>
      <c r="I1929" t="s">
        <v>40</v>
      </c>
      <c r="J1929" t="s">
        <v>25</v>
      </c>
      <c r="K1929" t="s">
        <v>41</v>
      </c>
      <c r="L1929" t="s">
        <v>44</v>
      </c>
      <c r="M1929">
        <v>1</v>
      </c>
      <c r="N1929" s="2"/>
      <c r="O1929" s="3">
        <v>1425</v>
      </c>
      <c r="P1929">
        <v>0</v>
      </c>
      <c r="Q1929">
        <v>5</v>
      </c>
      <c r="R1929" t="s">
        <v>33</v>
      </c>
      <c r="S1929">
        <v>1</v>
      </c>
    </row>
    <row r="1930" spans="1:19" ht="16.5" x14ac:dyDescent="0.3">
      <c r="A1930" t="s">
        <v>1989</v>
      </c>
      <c r="B1930" s="1">
        <v>45560</v>
      </c>
      <c r="C1930" s="1">
        <v>45561</v>
      </c>
      <c r="D1930">
        <v>2024</v>
      </c>
      <c r="E1930" t="s">
        <v>1445</v>
      </c>
      <c r="F1930" t="s">
        <v>1821</v>
      </c>
      <c r="G1930" t="s">
        <v>70</v>
      </c>
      <c r="H1930" t="s">
        <v>30</v>
      </c>
      <c r="I1930" t="s">
        <v>40</v>
      </c>
      <c r="J1930" t="s">
        <v>25</v>
      </c>
      <c r="K1930" t="s">
        <v>36</v>
      </c>
      <c r="L1930" t="s">
        <v>27</v>
      </c>
      <c r="M1930">
        <v>1</v>
      </c>
      <c r="N1930" s="2"/>
      <c r="O1930" s="3">
        <v>2088</v>
      </c>
      <c r="P1930">
        <v>0</v>
      </c>
      <c r="Q1930">
        <v>4</v>
      </c>
      <c r="R1930" t="s">
        <v>33</v>
      </c>
      <c r="S1930">
        <v>1</v>
      </c>
    </row>
    <row r="1931" spans="1:19" ht="16.5" x14ac:dyDescent="0.3">
      <c r="A1931" t="s">
        <v>1990</v>
      </c>
      <c r="B1931" s="1">
        <v>45560</v>
      </c>
      <c r="C1931" s="1">
        <v>45562</v>
      </c>
      <c r="D1931">
        <v>2024</v>
      </c>
      <c r="E1931" t="s">
        <v>1445</v>
      </c>
      <c r="F1931" t="s">
        <v>1821</v>
      </c>
      <c r="G1931" t="s">
        <v>70</v>
      </c>
      <c r="H1931" t="s">
        <v>39</v>
      </c>
      <c r="I1931" t="s">
        <v>24</v>
      </c>
      <c r="J1931" t="s">
        <v>25</v>
      </c>
      <c r="K1931" t="s">
        <v>41</v>
      </c>
      <c r="L1931" t="s">
        <v>44</v>
      </c>
      <c r="M1931">
        <v>2</v>
      </c>
      <c r="N1931" s="2">
        <v>32</v>
      </c>
      <c r="O1931" s="3">
        <v>2241</v>
      </c>
      <c r="P1931">
        <v>0</v>
      </c>
      <c r="Q1931">
        <v>4</v>
      </c>
      <c r="R1931" t="s">
        <v>33</v>
      </c>
      <c r="S1931">
        <v>1</v>
      </c>
    </row>
    <row r="1932" spans="1:19" ht="16.5" x14ac:dyDescent="0.3">
      <c r="A1932" t="s">
        <v>1991</v>
      </c>
      <c r="B1932" s="1">
        <v>45560</v>
      </c>
      <c r="C1932" s="1">
        <v>45563</v>
      </c>
      <c r="D1932">
        <v>2024</v>
      </c>
      <c r="E1932" t="s">
        <v>1445</v>
      </c>
      <c r="F1932" t="s">
        <v>1821</v>
      </c>
      <c r="G1932" t="s">
        <v>70</v>
      </c>
      <c r="H1932" t="s">
        <v>52</v>
      </c>
      <c r="I1932" t="s">
        <v>40</v>
      </c>
      <c r="J1932" t="s">
        <v>43</v>
      </c>
      <c r="K1932" t="s">
        <v>53</v>
      </c>
      <c r="L1932" t="s">
        <v>27</v>
      </c>
      <c r="M1932">
        <v>3</v>
      </c>
      <c r="N1932" s="2"/>
      <c r="O1932" s="3">
        <v>3621</v>
      </c>
      <c r="P1932">
        <v>0</v>
      </c>
      <c r="Q1932">
        <v>4</v>
      </c>
      <c r="R1932" t="s">
        <v>28</v>
      </c>
      <c r="S1932">
        <v>1</v>
      </c>
    </row>
    <row r="1933" spans="1:19" ht="16.5" x14ac:dyDescent="0.3">
      <c r="A1933" t="s">
        <v>1992</v>
      </c>
      <c r="B1933" s="1">
        <v>45561</v>
      </c>
      <c r="C1933" s="1">
        <v>45563</v>
      </c>
      <c r="D1933">
        <v>2024</v>
      </c>
      <c r="E1933" t="s">
        <v>1445</v>
      </c>
      <c r="F1933" t="s">
        <v>1821</v>
      </c>
      <c r="G1933" t="s">
        <v>78</v>
      </c>
      <c r="H1933" t="s">
        <v>23</v>
      </c>
      <c r="I1933" t="s">
        <v>24</v>
      </c>
      <c r="J1933" t="s">
        <v>25</v>
      </c>
      <c r="K1933" t="s">
        <v>26</v>
      </c>
      <c r="L1933" t="s">
        <v>37</v>
      </c>
      <c r="M1933">
        <v>2</v>
      </c>
      <c r="N1933" s="2">
        <v>10</v>
      </c>
      <c r="O1933" s="3">
        <v>2345</v>
      </c>
      <c r="P1933">
        <v>0</v>
      </c>
      <c r="Q1933">
        <v>4</v>
      </c>
      <c r="R1933" t="s">
        <v>28</v>
      </c>
      <c r="S1933">
        <v>1</v>
      </c>
    </row>
    <row r="1934" spans="1:19" ht="16.5" x14ac:dyDescent="0.3">
      <c r="A1934" t="s">
        <v>1993</v>
      </c>
      <c r="B1934" s="1">
        <v>45561</v>
      </c>
      <c r="C1934" s="1">
        <v>45564</v>
      </c>
      <c r="D1934">
        <v>2024</v>
      </c>
      <c r="E1934" t="s">
        <v>1445</v>
      </c>
      <c r="F1934" t="s">
        <v>1821</v>
      </c>
      <c r="G1934" t="s">
        <v>78</v>
      </c>
      <c r="H1934" t="s">
        <v>35</v>
      </c>
      <c r="I1934" t="s">
        <v>24</v>
      </c>
      <c r="J1934" t="s">
        <v>25</v>
      </c>
      <c r="K1934" t="s">
        <v>36</v>
      </c>
      <c r="L1934" t="s">
        <v>27</v>
      </c>
      <c r="M1934">
        <v>3</v>
      </c>
      <c r="N1934" s="2">
        <v>176</v>
      </c>
      <c r="O1934" s="3">
        <v>2805</v>
      </c>
      <c r="P1934">
        <v>0</v>
      </c>
      <c r="Q1934">
        <v>3</v>
      </c>
      <c r="R1934" t="s">
        <v>28</v>
      </c>
      <c r="S1934">
        <v>1</v>
      </c>
    </row>
    <row r="1935" spans="1:19" ht="16.5" x14ac:dyDescent="0.3">
      <c r="A1935" t="s">
        <v>1994</v>
      </c>
      <c r="B1935" s="1">
        <v>45561</v>
      </c>
      <c r="C1935" s="1">
        <v>45572</v>
      </c>
      <c r="D1935">
        <v>2024</v>
      </c>
      <c r="E1935" t="s">
        <v>1445</v>
      </c>
      <c r="F1935" t="s">
        <v>1821</v>
      </c>
      <c r="G1935" t="s">
        <v>78</v>
      </c>
      <c r="H1935" t="s">
        <v>23</v>
      </c>
      <c r="I1935" t="s">
        <v>24</v>
      </c>
      <c r="J1935" t="s">
        <v>25</v>
      </c>
      <c r="K1935" t="s">
        <v>32</v>
      </c>
      <c r="L1935" t="s">
        <v>44</v>
      </c>
      <c r="M1935">
        <v>11</v>
      </c>
      <c r="N1935" s="2">
        <v>44</v>
      </c>
      <c r="O1935" s="3">
        <v>6771</v>
      </c>
      <c r="P1935">
        <v>0</v>
      </c>
      <c r="Q1935">
        <v>3</v>
      </c>
      <c r="R1935" t="s">
        <v>28</v>
      </c>
      <c r="S1935">
        <v>1</v>
      </c>
    </row>
    <row r="1936" spans="1:19" ht="16.5" x14ac:dyDescent="0.3">
      <c r="A1936" t="s">
        <v>1995</v>
      </c>
      <c r="B1936" s="1">
        <v>45561</v>
      </c>
      <c r="C1936" s="1">
        <v>45568</v>
      </c>
      <c r="D1936">
        <v>2024</v>
      </c>
      <c r="E1936" t="s">
        <v>1445</v>
      </c>
      <c r="F1936" t="s">
        <v>1821</v>
      </c>
      <c r="G1936" t="s">
        <v>78</v>
      </c>
      <c r="H1936" t="s">
        <v>39</v>
      </c>
      <c r="I1936" t="s">
        <v>24</v>
      </c>
      <c r="J1936" t="s">
        <v>25</v>
      </c>
      <c r="K1936" t="s">
        <v>41</v>
      </c>
      <c r="L1936" t="s">
        <v>37</v>
      </c>
      <c r="M1936">
        <v>7</v>
      </c>
      <c r="N1936" s="2">
        <v>54</v>
      </c>
      <c r="O1936" s="3">
        <v>4266</v>
      </c>
      <c r="P1936">
        <v>0</v>
      </c>
      <c r="Q1936">
        <v>5</v>
      </c>
      <c r="R1936" t="s">
        <v>33</v>
      </c>
      <c r="S1936">
        <v>1</v>
      </c>
    </row>
    <row r="1937" spans="1:19" ht="16.5" x14ac:dyDescent="0.3">
      <c r="A1937" t="s">
        <v>1996</v>
      </c>
      <c r="B1937" s="1">
        <v>45561</v>
      </c>
      <c r="C1937" s="1">
        <v>45566</v>
      </c>
      <c r="D1937">
        <v>2024</v>
      </c>
      <c r="E1937" t="s">
        <v>1445</v>
      </c>
      <c r="F1937" t="s">
        <v>1821</v>
      </c>
      <c r="G1937" t="s">
        <v>78</v>
      </c>
      <c r="H1937" t="s">
        <v>35</v>
      </c>
      <c r="I1937" t="s">
        <v>24</v>
      </c>
      <c r="J1937" t="s">
        <v>25</v>
      </c>
      <c r="K1937" t="s">
        <v>36</v>
      </c>
      <c r="L1937" t="s">
        <v>27</v>
      </c>
      <c r="M1937">
        <v>5</v>
      </c>
      <c r="N1937" s="2">
        <v>95</v>
      </c>
      <c r="O1937" s="3">
        <v>3907</v>
      </c>
      <c r="P1937">
        <v>0</v>
      </c>
      <c r="Q1937">
        <v>3</v>
      </c>
      <c r="R1937" t="s">
        <v>33</v>
      </c>
      <c r="S1937">
        <v>1</v>
      </c>
    </row>
    <row r="1938" spans="1:19" ht="16.5" x14ac:dyDescent="0.3">
      <c r="A1938" t="s">
        <v>1997</v>
      </c>
      <c r="B1938" s="1">
        <v>45562</v>
      </c>
      <c r="C1938" s="1">
        <v>45567</v>
      </c>
      <c r="D1938">
        <v>2024</v>
      </c>
      <c r="E1938" t="s">
        <v>1445</v>
      </c>
      <c r="F1938" t="s">
        <v>1821</v>
      </c>
      <c r="G1938" t="s">
        <v>83</v>
      </c>
      <c r="H1938" t="s">
        <v>23</v>
      </c>
      <c r="I1938" t="s">
        <v>24</v>
      </c>
      <c r="J1938" t="s">
        <v>25</v>
      </c>
      <c r="K1938" t="s">
        <v>36</v>
      </c>
      <c r="L1938" t="s">
        <v>27</v>
      </c>
      <c r="M1938">
        <v>5</v>
      </c>
      <c r="N1938" s="2">
        <v>51</v>
      </c>
      <c r="O1938" s="3">
        <v>3973</v>
      </c>
      <c r="P1938">
        <v>0</v>
      </c>
      <c r="Q1938">
        <v>2</v>
      </c>
      <c r="R1938" t="s">
        <v>28</v>
      </c>
      <c r="S1938">
        <v>1</v>
      </c>
    </row>
    <row r="1939" spans="1:19" ht="16.5" x14ac:dyDescent="0.3">
      <c r="A1939" t="s">
        <v>1998</v>
      </c>
      <c r="B1939" s="1">
        <v>45562</v>
      </c>
      <c r="C1939" s="1">
        <v>45565</v>
      </c>
      <c r="D1939">
        <v>2024</v>
      </c>
      <c r="E1939" t="s">
        <v>1445</v>
      </c>
      <c r="F1939" t="s">
        <v>1821</v>
      </c>
      <c r="G1939" t="s">
        <v>83</v>
      </c>
      <c r="H1939" t="s">
        <v>35</v>
      </c>
      <c r="I1939" t="s">
        <v>24</v>
      </c>
      <c r="J1939" t="s">
        <v>25</v>
      </c>
      <c r="K1939" t="s">
        <v>32</v>
      </c>
      <c r="L1939" t="s">
        <v>37</v>
      </c>
      <c r="M1939">
        <v>3</v>
      </c>
      <c r="N1939" s="2">
        <v>83</v>
      </c>
      <c r="O1939" s="3">
        <v>2971</v>
      </c>
      <c r="P1939">
        <v>0</v>
      </c>
      <c r="Q1939">
        <v>4</v>
      </c>
      <c r="R1939" t="s">
        <v>33</v>
      </c>
      <c r="S1939">
        <v>1</v>
      </c>
    </row>
    <row r="1940" spans="1:19" ht="16.5" x14ac:dyDescent="0.3">
      <c r="A1940" t="s">
        <v>1999</v>
      </c>
      <c r="B1940" s="1">
        <v>45562</v>
      </c>
      <c r="C1940" s="1">
        <v>45566</v>
      </c>
      <c r="D1940">
        <v>2024</v>
      </c>
      <c r="E1940" t="s">
        <v>1445</v>
      </c>
      <c r="F1940" t="s">
        <v>1821</v>
      </c>
      <c r="G1940" t="s">
        <v>83</v>
      </c>
      <c r="H1940" t="s">
        <v>52</v>
      </c>
      <c r="I1940" t="s">
        <v>31</v>
      </c>
      <c r="J1940" t="s">
        <v>25</v>
      </c>
      <c r="K1940" t="s">
        <v>32</v>
      </c>
      <c r="L1940" t="s">
        <v>27</v>
      </c>
      <c r="M1940">
        <v>4</v>
      </c>
      <c r="N1940" s="2"/>
      <c r="O1940" s="3">
        <v>5451</v>
      </c>
      <c r="P1940">
        <v>0</v>
      </c>
      <c r="Q1940">
        <v>5</v>
      </c>
      <c r="R1940" t="s">
        <v>28</v>
      </c>
      <c r="S1940">
        <v>1</v>
      </c>
    </row>
    <row r="1941" spans="1:19" ht="16.5" x14ac:dyDescent="0.3">
      <c r="A1941" t="s">
        <v>2000</v>
      </c>
      <c r="B1941" s="1">
        <v>45562</v>
      </c>
      <c r="C1941" s="1">
        <v>45563</v>
      </c>
      <c r="D1941">
        <v>2024</v>
      </c>
      <c r="E1941" t="s">
        <v>1445</v>
      </c>
      <c r="F1941" t="s">
        <v>1821</v>
      </c>
      <c r="G1941" t="s">
        <v>83</v>
      </c>
      <c r="H1941" t="s">
        <v>39</v>
      </c>
      <c r="I1941" t="s">
        <v>40</v>
      </c>
      <c r="J1941" t="s">
        <v>25</v>
      </c>
      <c r="K1941" t="s">
        <v>41</v>
      </c>
      <c r="L1941" t="s">
        <v>37</v>
      </c>
      <c r="M1941">
        <v>1</v>
      </c>
      <c r="N1941" s="2"/>
      <c r="O1941" s="3">
        <v>1808</v>
      </c>
      <c r="P1941">
        <v>0</v>
      </c>
      <c r="Q1941">
        <v>4</v>
      </c>
      <c r="R1941" t="s">
        <v>59</v>
      </c>
      <c r="S1941">
        <v>1</v>
      </c>
    </row>
    <row r="1942" spans="1:19" ht="16.5" x14ac:dyDescent="0.3">
      <c r="A1942" t="s">
        <v>2001</v>
      </c>
      <c r="B1942" s="1">
        <v>45562</v>
      </c>
      <c r="C1942" s="1">
        <v>45563</v>
      </c>
      <c r="D1942">
        <v>2024</v>
      </c>
      <c r="E1942" t="s">
        <v>1445</v>
      </c>
      <c r="F1942" t="s">
        <v>1821</v>
      </c>
      <c r="G1942" t="s">
        <v>83</v>
      </c>
      <c r="H1942" t="s">
        <v>35</v>
      </c>
      <c r="I1942" t="s">
        <v>31</v>
      </c>
      <c r="J1942" t="s">
        <v>25</v>
      </c>
      <c r="K1942" t="s">
        <v>32</v>
      </c>
      <c r="L1942" t="s">
        <v>44</v>
      </c>
      <c r="M1942">
        <v>1</v>
      </c>
      <c r="N1942" s="2"/>
      <c r="O1942" s="3">
        <v>1392</v>
      </c>
      <c r="P1942">
        <v>0</v>
      </c>
      <c r="Q1942">
        <v>4</v>
      </c>
      <c r="R1942" t="s">
        <v>33</v>
      </c>
      <c r="S1942">
        <v>1</v>
      </c>
    </row>
    <row r="1943" spans="1:19" ht="16.5" x14ac:dyDescent="0.3">
      <c r="A1943" t="s">
        <v>2002</v>
      </c>
      <c r="B1943" s="1">
        <v>45562</v>
      </c>
      <c r="C1943" s="1">
        <v>45565</v>
      </c>
      <c r="D1943">
        <v>2024</v>
      </c>
      <c r="E1943" t="s">
        <v>1445</v>
      </c>
      <c r="F1943" t="s">
        <v>1821</v>
      </c>
      <c r="G1943" t="s">
        <v>83</v>
      </c>
      <c r="H1943" t="s">
        <v>23</v>
      </c>
      <c r="I1943" t="s">
        <v>40</v>
      </c>
      <c r="J1943" t="s">
        <v>43</v>
      </c>
      <c r="K1943" t="s">
        <v>53</v>
      </c>
      <c r="L1943" t="s">
        <v>37</v>
      </c>
      <c r="M1943">
        <v>3</v>
      </c>
      <c r="N1943" s="2"/>
      <c r="O1943" s="3">
        <v>2581</v>
      </c>
      <c r="P1943">
        <v>0</v>
      </c>
      <c r="Q1943">
        <v>5</v>
      </c>
      <c r="R1943" t="s">
        <v>33</v>
      </c>
      <c r="S1943">
        <v>1</v>
      </c>
    </row>
    <row r="1944" spans="1:19" ht="16.5" x14ac:dyDescent="0.3">
      <c r="A1944" t="s">
        <v>2003</v>
      </c>
      <c r="B1944" s="1">
        <v>45562</v>
      </c>
      <c r="C1944" s="1">
        <v>45574</v>
      </c>
      <c r="D1944">
        <v>2024</v>
      </c>
      <c r="E1944" t="s">
        <v>1445</v>
      </c>
      <c r="F1944" t="s">
        <v>1821</v>
      </c>
      <c r="G1944" t="s">
        <v>83</v>
      </c>
      <c r="H1944" t="s">
        <v>52</v>
      </c>
      <c r="I1944" t="s">
        <v>24</v>
      </c>
      <c r="J1944" t="s">
        <v>43</v>
      </c>
      <c r="K1944" t="s">
        <v>53</v>
      </c>
      <c r="L1944" t="s">
        <v>27</v>
      </c>
      <c r="M1944">
        <v>12</v>
      </c>
      <c r="N1944" s="2">
        <v>29</v>
      </c>
      <c r="O1944" s="3">
        <v>8862</v>
      </c>
      <c r="P1944">
        <v>0</v>
      </c>
      <c r="Q1944">
        <v>5</v>
      </c>
      <c r="R1944" t="s">
        <v>33</v>
      </c>
      <c r="S1944">
        <v>1</v>
      </c>
    </row>
    <row r="1945" spans="1:19" ht="16.5" x14ac:dyDescent="0.3">
      <c r="A1945" t="s">
        <v>2004</v>
      </c>
      <c r="B1945" s="1">
        <v>45562</v>
      </c>
      <c r="C1945" s="1">
        <v>45570</v>
      </c>
      <c r="D1945">
        <v>2024</v>
      </c>
      <c r="E1945" t="s">
        <v>1445</v>
      </c>
      <c r="F1945" t="s">
        <v>1821</v>
      </c>
      <c r="G1945" t="s">
        <v>83</v>
      </c>
      <c r="H1945" t="s">
        <v>30</v>
      </c>
      <c r="I1945" t="s">
        <v>40</v>
      </c>
      <c r="J1945" t="s">
        <v>25</v>
      </c>
      <c r="K1945" t="s">
        <v>36</v>
      </c>
      <c r="L1945" t="s">
        <v>44</v>
      </c>
      <c r="M1945">
        <v>8</v>
      </c>
      <c r="N1945" s="2"/>
      <c r="O1945" s="3">
        <v>10475</v>
      </c>
      <c r="P1945">
        <v>0</v>
      </c>
      <c r="Q1945">
        <v>5</v>
      </c>
      <c r="R1945" t="s">
        <v>33</v>
      </c>
      <c r="S1945">
        <v>1</v>
      </c>
    </row>
    <row r="1946" spans="1:19" ht="16.5" x14ac:dyDescent="0.3">
      <c r="A1946" t="s">
        <v>2005</v>
      </c>
      <c r="B1946" s="1">
        <v>45562</v>
      </c>
      <c r="C1946" s="1">
        <v>45565</v>
      </c>
      <c r="D1946">
        <v>2024</v>
      </c>
      <c r="E1946" t="s">
        <v>1445</v>
      </c>
      <c r="F1946" t="s">
        <v>1821</v>
      </c>
      <c r="G1946" t="s">
        <v>83</v>
      </c>
      <c r="H1946" t="s">
        <v>50</v>
      </c>
      <c r="I1946" t="s">
        <v>40</v>
      </c>
      <c r="J1946" t="s">
        <v>25</v>
      </c>
      <c r="K1946" t="s">
        <v>53</v>
      </c>
      <c r="L1946" t="s">
        <v>27</v>
      </c>
      <c r="M1946">
        <v>3</v>
      </c>
      <c r="N1946" s="2"/>
      <c r="O1946" s="3">
        <v>4196</v>
      </c>
      <c r="P1946">
        <v>0</v>
      </c>
      <c r="Q1946">
        <v>5</v>
      </c>
      <c r="R1946" t="s">
        <v>33</v>
      </c>
      <c r="S1946">
        <v>1</v>
      </c>
    </row>
    <row r="1947" spans="1:19" ht="16.5" x14ac:dyDescent="0.3">
      <c r="A1947" t="s">
        <v>2006</v>
      </c>
      <c r="B1947" s="1">
        <v>45563</v>
      </c>
      <c r="C1947" s="1">
        <v>45568</v>
      </c>
      <c r="D1947">
        <v>2024</v>
      </c>
      <c r="E1947" t="s">
        <v>1445</v>
      </c>
      <c r="F1947" t="s">
        <v>1821</v>
      </c>
      <c r="G1947" t="s">
        <v>102</v>
      </c>
      <c r="H1947" t="s">
        <v>30</v>
      </c>
      <c r="I1947" t="s">
        <v>40</v>
      </c>
      <c r="J1947" t="s">
        <v>25</v>
      </c>
      <c r="K1947" t="s">
        <v>36</v>
      </c>
      <c r="L1947" t="s">
        <v>44</v>
      </c>
      <c r="M1947">
        <v>5</v>
      </c>
      <c r="N1947" s="2"/>
      <c r="O1947" s="3">
        <v>4666</v>
      </c>
      <c r="P1947">
        <v>0</v>
      </c>
      <c r="Q1947">
        <v>4</v>
      </c>
      <c r="R1947" t="s">
        <v>33</v>
      </c>
      <c r="S1947">
        <v>1</v>
      </c>
    </row>
    <row r="1948" spans="1:19" ht="16.5" x14ac:dyDescent="0.3">
      <c r="A1948" t="s">
        <v>2007</v>
      </c>
      <c r="B1948" s="1">
        <v>45563</v>
      </c>
      <c r="C1948" s="1">
        <v>45568</v>
      </c>
      <c r="D1948">
        <v>2024</v>
      </c>
      <c r="E1948" t="s">
        <v>1445</v>
      </c>
      <c r="F1948" t="s">
        <v>1821</v>
      </c>
      <c r="G1948" t="s">
        <v>102</v>
      </c>
      <c r="H1948" t="s">
        <v>50</v>
      </c>
      <c r="I1948" t="s">
        <v>24</v>
      </c>
      <c r="J1948" t="s">
        <v>43</v>
      </c>
      <c r="K1948" t="s">
        <v>26</v>
      </c>
      <c r="L1948" t="s">
        <v>44</v>
      </c>
      <c r="M1948">
        <v>5</v>
      </c>
      <c r="N1948" s="2">
        <v>34</v>
      </c>
      <c r="O1948" s="3">
        <v>5792</v>
      </c>
      <c r="P1948">
        <v>0</v>
      </c>
      <c r="Q1948">
        <v>5</v>
      </c>
      <c r="R1948" t="s">
        <v>33</v>
      </c>
      <c r="S1948">
        <v>1</v>
      </c>
    </row>
    <row r="1949" spans="1:19" ht="16.5" x14ac:dyDescent="0.3">
      <c r="A1949" t="s">
        <v>2008</v>
      </c>
      <c r="B1949" s="1">
        <v>45563</v>
      </c>
      <c r="C1949" s="1">
        <v>45569</v>
      </c>
      <c r="D1949">
        <v>2024</v>
      </c>
      <c r="E1949" t="s">
        <v>1445</v>
      </c>
      <c r="F1949" t="s">
        <v>1821</v>
      </c>
      <c r="G1949" t="s">
        <v>102</v>
      </c>
      <c r="H1949" t="s">
        <v>39</v>
      </c>
      <c r="I1949" t="s">
        <v>24</v>
      </c>
      <c r="J1949" t="s">
        <v>25</v>
      </c>
      <c r="K1949" t="s">
        <v>41</v>
      </c>
      <c r="L1949" t="s">
        <v>27</v>
      </c>
      <c r="M1949">
        <v>6</v>
      </c>
      <c r="N1949" s="2">
        <v>32</v>
      </c>
      <c r="O1949" s="3">
        <v>3590</v>
      </c>
      <c r="P1949">
        <v>1</v>
      </c>
      <c r="Q1949">
        <v>4</v>
      </c>
      <c r="R1949" t="s">
        <v>33</v>
      </c>
      <c r="S1949">
        <v>1</v>
      </c>
    </row>
    <row r="1950" spans="1:19" ht="16.5" x14ac:dyDescent="0.3">
      <c r="A1950" t="s">
        <v>2009</v>
      </c>
      <c r="B1950" s="1">
        <v>45563</v>
      </c>
      <c r="C1950" s="1">
        <v>45574</v>
      </c>
      <c r="D1950">
        <v>2024</v>
      </c>
      <c r="E1950" t="s">
        <v>1445</v>
      </c>
      <c r="F1950" t="s">
        <v>1821</v>
      </c>
      <c r="G1950" t="s">
        <v>102</v>
      </c>
      <c r="H1950" t="s">
        <v>23</v>
      </c>
      <c r="I1950" t="s">
        <v>40</v>
      </c>
      <c r="J1950" t="s">
        <v>43</v>
      </c>
      <c r="K1950" t="s">
        <v>26</v>
      </c>
      <c r="L1950" t="s">
        <v>44</v>
      </c>
      <c r="M1950">
        <v>11</v>
      </c>
      <c r="N1950" s="2"/>
      <c r="O1950" s="3">
        <v>7630</v>
      </c>
      <c r="P1950">
        <v>1</v>
      </c>
      <c r="Q1950">
        <v>4</v>
      </c>
      <c r="R1950" t="s">
        <v>33</v>
      </c>
      <c r="S1950">
        <v>1</v>
      </c>
    </row>
    <row r="1951" spans="1:19" ht="16.5" x14ac:dyDescent="0.3">
      <c r="A1951" t="s">
        <v>2010</v>
      </c>
      <c r="B1951" s="1">
        <v>45563</v>
      </c>
      <c r="C1951" s="1">
        <v>45566</v>
      </c>
      <c r="D1951">
        <v>2024</v>
      </c>
      <c r="E1951" t="s">
        <v>1445</v>
      </c>
      <c r="F1951" t="s">
        <v>1821</v>
      </c>
      <c r="G1951" t="s">
        <v>102</v>
      </c>
      <c r="H1951" t="s">
        <v>23</v>
      </c>
      <c r="I1951" t="s">
        <v>24</v>
      </c>
      <c r="J1951" t="s">
        <v>43</v>
      </c>
      <c r="K1951" t="s">
        <v>36</v>
      </c>
      <c r="L1951" t="s">
        <v>27</v>
      </c>
      <c r="M1951">
        <v>3</v>
      </c>
      <c r="N1951" s="2">
        <v>63</v>
      </c>
      <c r="O1951" s="3">
        <v>3153</v>
      </c>
      <c r="P1951">
        <v>0</v>
      </c>
      <c r="Q1951">
        <v>4</v>
      </c>
      <c r="R1951" t="s">
        <v>33</v>
      </c>
      <c r="S1951">
        <v>1</v>
      </c>
    </row>
    <row r="1952" spans="1:19" ht="16.5" x14ac:dyDescent="0.3">
      <c r="A1952" t="s">
        <v>2011</v>
      </c>
      <c r="B1952" s="1">
        <v>45563</v>
      </c>
      <c r="C1952" s="1">
        <v>45568</v>
      </c>
      <c r="D1952">
        <v>2024</v>
      </c>
      <c r="E1952" t="s">
        <v>1445</v>
      </c>
      <c r="F1952" t="s">
        <v>1821</v>
      </c>
      <c r="G1952" t="s">
        <v>102</v>
      </c>
      <c r="H1952" t="s">
        <v>23</v>
      </c>
      <c r="I1952" t="s">
        <v>24</v>
      </c>
      <c r="J1952" t="s">
        <v>43</v>
      </c>
      <c r="K1952" t="s">
        <v>36</v>
      </c>
      <c r="L1952" t="s">
        <v>44</v>
      </c>
      <c r="M1952">
        <v>5</v>
      </c>
      <c r="N1952" s="2">
        <v>42</v>
      </c>
      <c r="O1952" s="3">
        <v>4202</v>
      </c>
      <c r="P1952">
        <v>1</v>
      </c>
      <c r="Q1952">
        <v>5</v>
      </c>
      <c r="R1952" t="s">
        <v>28</v>
      </c>
      <c r="S1952">
        <v>1</v>
      </c>
    </row>
    <row r="1953" spans="1:19" ht="16.5" x14ac:dyDescent="0.3">
      <c r="A1953" t="s">
        <v>2012</v>
      </c>
      <c r="B1953" s="1">
        <v>45563</v>
      </c>
      <c r="C1953" s="1">
        <v>45569</v>
      </c>
      <c r="D1953">
        <v>2024</v>
      </c>
      <c r="E1953" t="s">
        <v>1445</v>
      </c>
      <c r="F1953" t="s">
        <v>1821</v>
      </c>
      <c r="G1953" t="s">
        <v>102</v>
      </c>
      <c r="H1953" t="s">
        <v>30</v>
      </c>
      <c r="I1953" t="s">
        <v>24</v>
      </c>
      <c r="J1953" t="s">
        <v>43</v>
      </c>
      <c r="K1953" t="s">
        <v>32</v>
      </c>
      <c r="L1953" t="s">
        <v>27</v>
      </c>
      <c r="M1953">
        <v>6</v>
      </c>
      <c r="N1953" s="2">
        <v>150</v>
      </c>
      <c r="O1953" s="3">
        <v>6172</v>
      </c>
      <c r="P1953">
        <v>1</v>
      </c>
      <c r="Q1953">
        <v>3</v>
      </c>
      <c r="R1953" t="s">
        <v>33</v>
      </c>
      <c r="S1953">
        <v>1</v>
      </c>
    </row>
    <row r="1954" spans="1:19" ht="16.5" x14ac:dyDescent="0.3">
      <c r="A1954" t="s">
        <v>2013</v>
      </c>
      <c r="B1954" s="1">
        <v>45564</v>
      </c>
      <c r="C1954" s="1">
        <v>45570</v>
      </c>
      <c r="D1954">
        <v>2024</v>
      </c>
      <c r="E1954" t="s">
        <v>1445</v>
      </c>
      <c r="F1954" t="s">
        <v>1821</v>
      </c>
      <c r="G1954" t="s">
        <v>112</v>
      </c>
      <c r="H1954" t="s">
        <v>23</v>
      </c>
      <c r="I1954" t="s">
        <v>40</v>
      </c>
      <c r="J1954" t="s">
        <v>43</v>
      </c>
      <c r="K1954" t="s">
        <v>53</v>
      </c>
      <c r="L1954" t="s">
        <v>27</v>
      </c>
      <c r="M1954">
        <v>6</v>
      </c>
      <c r="N1954" s="2"/>
      <c r="O1954" s="3">
        <v>4493</v>
      </c>
      <c r="P1954">
        <v>0</v>
      </c>
      <c r="Q1954">
        <v>4</v>
      </c>
      <c r="R1954" t="s">
        <v>33</v>
      </c>
      <c r="S1954">
        <v>1</v>
      </c>
    </row>
    <row r="1955" spans="1:19" ht="16.5" x14ac:dyDescent="0.3">
      <c r="A1955" t="s">
        <v>2014</v>
      </c>
      <c r="B1955" s="1">
        <v>45564</v>
      </c>
      <c r="C1955" s="1">
        <v>45568</v>
      </c>
      <c r="D1955">
        <v>2024</v>
      </c>
      <c r="E1955" t="s">
        <v>1445</v>
      </c>
      <c r="F1955" t="s">
        <v>1821</v>
      </c>
      <c r="G1955" t="s">
        <v>112</v>
      </c>
      <c r="H1955" t="s">
        <v>30</v>
      </c>
      <c r="I1955" t="s">
        <v>40</v>
      </c>
      <c r="J1955" t="s">
        <v>43</v>
      </c>
      <c r="K1955" t="s">
        <v>26</v>
      </c>
      <c r="L1955" t="s">
        <v>44</v>
      </c>
      <c r="M1955">
        <v>4</v>
      </c>
      <c r="N1955" s="2"/>
      <c r="O1955" s="3">
        <v>5043</v>
      </c>
      <c r="P1955">
        <v>0</v>
      </c>
      <c r="Q1955">
        <v>5</v>
      </c>
      <c r="R1955" t="s">
        <v>33</v>
      </c>
      <c r="S1955">
        <v>1</v>
      </c>
    </row>
    <row r="1956" spans="1:19" ht="16.5" x14ac:dyDescent="0.3">
      <c r="A1956" t="s">
        <v>2015</v>
      </c>
      <c r="B1956" s="1">
        <v>45564</v>
      </c>
      <c r="C1956" s="1">
        <v>45567</v>
      </c>
      <c r="D1956">
        <v>2024</v>
      </c>
      <c r="E1956" t="s">
        <v>1445</v>
      </c>
      <c r="F1956" t="s">
        <v>1821</v>
      </c>
      <c r="G1956" t="s">
        <v>112</v>
      </c>
      <c r="H1956" t="s">
        <v>23</v>
      </c>
      <c r="I1956" t="s">
        <v>31</v>
      </c>
      <c r="J1956" t="s">
        <v>25</v>
      </c>
      <c r="K1956" t="s">
        <v>32</v>
      </c>
      <c r="L1956" t="s">
        <v>44</v>
      </c>
      <c r="M1956">
        <v>3</v>
      </c>
      <c r="N1956" s="2"/>
      <c r="O1956" s="3">
        <v>2784</v>
      </c>
      <c r="P1956">
        <v>0</v>
      </c>
      <c r="Q1956">
        <v>4</v>
      </c>
      <c r="R1956" t="s">
        <v>33</v>
      </c>
      <c r="S1956">
        <v>1</v>
      </c>
    </row>
    <row r="1957" spans="1:19" ht="16.5" x14ac:dyDescent="0.3">
      <c r="A1957" t="s">
        <v>2016</v>
      </c>
      <c r="B1957" s="1">
        <v>45564</v>
      </c>
      <c r="C1957" s="1">
        <v>45566</v>
      </c>
      <c r="D1957">
        <v>2024</v>
      </c>
      <c r="E1957" t="s">
        <v>1445</v>
      </c>
      <c r="F1957" t="s">
        <v>1821</v>
      </c>
      <c r="G1957" t="s">
        <v>112</v>
      </c>
      <c r="H1957" t="s">
        <v>23</v>
      </c>
      <c r="I1957" t="s">
        <v>24</v>
      </c>
      <c r="J1957" t="s">
        <v>25</v>
      </c>
      <c r="K1957" t="s">
        <v>53</v>
      </c>
      <c r="L1957" t="s">
        <v>27</v>
      </c>
      <c r="M1957">
        <v>2</v>
      </c>
      <c r="N1957" s="2">
        <v>62</v>
      </c>
      <c r="O1957" s="3">
        <v>2164</v>
      </c>
      <c r="P1957">
        <v>0</v>
      </c>
      <c r="Q1957">
        <v>4</v>
      </c>
      <c r="R1957" t="s">
        <v>33</v>
      </c>
      <c r="S1957">
        <v>1</v>
      </c>
    </row>
    <row r="1958" spans="1:19" ht="16.5" x14ac:dyDescent="0.3">
      <c r="A1958" t="s">
        <v>2017</v>
      </c>
      <c r="B1958" s="1">
        <v>45564</v>
      </c>
      <c r="C1958" s="1">
        <v>45565</v>
      </c>
      <c r="D1958">
        <v>2024</v>
      </c>
      <c r="E1958" t="s">
        <v>1445</v>
      </c>
      <c r="F1958" t="s">
        <v>1821</v>
      </c>
      <c r="G1958" t="s">
        <v>112</v>
      </c>
      <c r="H1958" t="s">
        <v>30</v>
      </c>
      <c r="I1958" t="s">
        <v>24</v>
      </c>
      <c r="J1958" t="s">
        <v>43</v>
      </c>
      <c r="K1958" t="s">
        <v>32</v>
      </c>
      <c r="L1958" t="s">
        <v>44</v>
      </c>
      <c r="M1958">
        <v>1</v>
      </c>
      <c r="N1958" s="2">
        <v>69</v>
      </c>
      <c r="O1958" s="3">
        <v>2097</v>
      </c>
      <c r="P1958">
        <v>0</v>
      </c>
      <c r="Q1958">
        <v>4</v>
      </c>
      <c r="R1958" t="s">
        <v>33</v>
      </c>
      <c r="S1958">
        <v>1</v>
      </c>
    </row>
    <row r="1959" spans="1:19" ht="16.5" x14ac:dyDescent="0.3">
      <c r="A1959" t="s">
        <v>2018</v>
      </c>
      <c r="B1959" s="1">
        <v>45564</v>
      </c>
      <c r="C1959" s="1">
        <v>45568</v>
      </c>
      <c r="D1959">
        <v>2024</v>
      </c>
      <c r="E1959" t="s">
        <v>1445</v>
      </c>
      <c r="F1959" t="s">
        <v>1821</v>
      </c>
      <c r="G1959" t="s">
        <v>112</v>
      </c>
      <c r="H1959" t="s">
        <v>50</v>
      </c>
      <c r="I1959" t="s">
        <v>24</v>
      </c>
      <c r="J1959" t="s">
        <v>25</v>
      </c>
      <c r="K1959" t="s">
        <v>53</v>
      </c>
      <c r="L1959" t="s">
        <v>44</v>
      </c>
      <c r="M1959">
        <v>4</v>
      </c>
      <c r="N1959" s="2">
        <v>57</v>
      </c>
      <c r="O1959" s="3">
        <v>4942</v>
      </c>
      <c r="P1959">
        <v>1</v>
      </c>
      <c r="Q1959">
        <v>5</v>
      </c>
      <c r="R1959" t="s">
        <v>59</v>
      </c>
      <c r="S1959">
        <v>1</v>
      </c>
    </row>
    <row r="1960" spans="1:19" ht="16.5" x14ac:dyDescent="0.3">
      <c r="A1960" t="s">
        <v>2019</v>
      </c>
      <c r="B1960" s="1">
        <v>45565</v>
      </c>
      <c r="C1960" s="1">
        <v>45568</v>
      </c>
      <c r="D1960">
        <v>2024</v>
      </c>
      <c r="E1960" t="s">
        <v>1445</v>
      </c>
      <c r="F1960" t="s">
        <v>1821</v>
      </c>
      <c r="G1960" t="s">
        <v>22</v>
      </c>
      <c r="H1960" t="s">
        <v>30</v>
      </c>
      <c r="I1960" t="s">
        <v>40</v>
      </c>
      <c r="J1960" t="s">
        <v>25</v>
      </c>
      <c r="K1960" t="s">
        <v>53</v>
      </c>
      <c r="L1960" t="s">
        <v>37</v>
      </c>
      <c r="M1960">
        <v>3</v>
      </c>
      <c r="N1960" s="2"/>
      <c r="O1960" s="3">
        <v>4386</v>
      </c>
      <c r="P1960">
        <v>0</v>
      </c>
      <c r="Q1960">
        <v>5</v>
      </c>
      <c r="R1960" t="s">
        <v>33</v>
      </c>
      <c r="S1960">
        <v>1</v>
      </c>
    </row>
    <row r="1961" spans="1:19" ht="16.5" x14ac:dyDescent="0.3">
      <c r="A1961" t="s">
        <v>2020</v>
      </c>
      <c r="B1961" s="1">
        <v>45565</v>
      </c>
      <c r="C1961" s="1">
        <v>45574</v>
      </c>
      <c r="D1961">
        <v>2024</v>
      </c>
      <c r="E1961" t="s">
        <v>1445</v>
      </c>
      <c r="F1961" t="s">
        <v>1821</v>
      </c>
      <c r="G1961" t="s">
        <v>22</v>
      </c>
      <c r="H1961" t="s">
        <v>23</v>
      </c>
      <c r="I1961" t="s">
        <v>40</v>
      </c>
      <c r="J1961" t="s">
        <v>43</v>
      </c>
      <c r="K1961" t="s">
        <v>53</v>
      </c>
      <c r="L1961" t="s">
        <v>27</v>
      </c>
      <c r="M1961">
        <v>9</v>
      </c>
      <c r="N1961" s="2"/>
      <c r="O1961" s="3">
        <v>5741</v>
      </c>
      <c r="P1961">
        <v>0</v>
      </c>
      <c r="Q1961">
        <v>4</v>
      </c>
      <c r="R1961" t="s">
        <v>33</v>
      </c>
      <c r="S1961">
        <v>1</v>
      </c>
    </row>
    <row r="1962" spans="1:19" ht="16.5" x14ac:dyDescent="0.3">
      <c r="A1962" t="s">
        <v>2021</v>
      </c>
      <c r="B1962" s="1">
        <v>45565</v>
      </c>
      <c r="C1962" s="1">
        <v>45566</v>
      </c>
      <c r="D1962">
        <v>2024</v>
      </c>
      <c r="E1962" t="s">
        <v>1445</v>
      </c>
      <c r="F1962" t="s">
        <v>1821</v>
      </c>
      <c r="G1962" t="s">
        <v>22</v>
      </c>
      <c r="H1962" t="s">
        <v>35</v>
      </c>
      <c r="I1962" t="s">
        <v>31</v>
      </c>
      <c r="J1962" t="s">
        <v>25</v>
      </c>
      <c r="K1962" t="s">
        <v>32</v>
      </c>
      <c r="L1962" t="s">
        <v>44</v>
      </c>
      <c r="M1962">
        <v>1</v>
      </c>
      <c r="N1962" s="2"/>
      <c r="O1962" s="3">
        <v>1371</v>
      </c>
      <c r="P1962">
        <v>0</v>
      </c>
      <c r="Q1962">
        <v>5</v>
      </c>
      <c r="R1962" t="s">
        <v>33</v>
      </c>
      <c r="S1962">
        <v>1</v>
      </c>
    </row>
    <row r="1963" spans="1:19" ht="16.5" x14ac:dyDescent="0.3">
      <c r="A1963" t="s">
        <v>2022</v>
      </c>
      <c r="B1963" s="1">
        <v>45565</v>
      </c>
      <c r="C1963" s="1">
        <v>45567</v>
      </c>
      <c r="D1963">
        <v>2024</v>
      </c>
      <c r="E1963" t="s">
        <v>1445</v>
      </c>
      <c r="F1963" t="s">
        <v>1821</v>
      </c>
      <c r="G1963" t="s">
        <v>22</v>
      </c>
      <c r="H1963" t="s">
        <v>50</v>
      </c>
      <c r="I1963" t="s">
        <v>24</v>
      </c>
      <c r="J1963" t="s">
        <v>43</v>
      </c>
      <c r="K1963" t="s">
        <v>53</v>
      </c>
      <c r="L1963" t="s">
        <v>37</v>
      </c>
      <c r="M1963">
        <v>2</v>
      </c>
      <c r="N1963" s="2">
        <v>130</v>
      </c>
      <c r="O1963" s="3">
        <v>3600</v>
      </c>
      <c r="P1963">
        <v>0</v>
      </c>
      <c r="Q1963">
        <v>3</v>
      </c>
      <c r="R1963" t="s">
        <v>28</v>
      </c>
      <c r="S1963">
        <v>1</v>
      </c>
    </row>
    <row r="1964" spans="1:19" ht="16.5" x14ac:dyDescent="0.3">
      <c r="A1964" t="s">
        <v>2023</v>
      </c>
      <c r="B1964" s="1">
        <v>45565</v>
      </c>
      <c r="C1964" s="1">
        <v>45567</v>
      </c>
      <c r="D1964">
        <v>2024</v>
      </c>
      <c r="E1964" t="s">
        <v>1445</v>
      </c>
      <c r="F1964" t="s">
        <v>1821</v>
      </c>
      <c r="G1964" t="s">
        <v>22</v>
      </c>
      <c r="H1964" t="s">
        <v>30</v>
      </c>
      <c r="I1964" t="s">
        <v>24</v>
      </c>
      <c r="J1964" t="s">
        <v>43</v>
      </c>
      <c r="K1964" t="s">
        <v>32</v>
      </c>
      <c r="L1964" t="s">
        <v>44</v>
      </c>
      <c r="M1964">
        <v>2</v>
      </c>
      <c r="N1964" s="2">
        <v>116</v>
      </c>
      <c r="O1964" s="3">
        <v>2291</v>
      </c>
      <c r="P1964">
        <v>1</v>
      </c>
      <c r="Q1964">
        <v>3</v>
      </c>
      <c r="R1964" t="s">
        <v>28</v>
      </c>
      <c r="S1964">
        <v>1</v>
      </c>
    </row>
    <row r="1965" spans="1:19" ht="16.5" x14ac:dyDescent="0.3">
      <c r="A1965" t="s">
        <v>2024</v>
      </c>
      <c r="B1965" s="1">
        <v>45565</v>
      </c>
      <c r="C1965" s="1">
        <v>45568</v>
      </c>
      <c r="D1965">
        <v>2024</v>
      </c>
      <c r="E1965" t="s">
        <v>1445</v>
      </c>
      <c r="F1965" t="s">
        <v>1821</v>
      </c>
      <c r="G1965" t="s">
        <v>22</v>
      </c>
      <c r="H1965" t="s">
        <v>30</v>
      </c>
      <c r="I1965" t="s">
        <v>40</v>
      </c>
      <c r="J1965" t="s">
        <v>43</v>
      </c>
      <c r="K1965" t="s">
        <v>36</v>
      </c>
      <c r="L1965" t="s">
        <v>37</v>
      </c>
      <c r="M1965">
        <v>3</v>
      </c>
      <c r="N1965" s="2"/>
      <c r="O1965" s="3">
        <v>4290</v>
      </c>
      <c r="P1965">
        <v>0</v>
      </c>
      <c r="Q1965">
        <v>5</v>
      </c>
      <c r="R1965" t="s">
        <v>28</v>
      </c>
      <c r="S1965">
        <v>1</v>
      </c>
    </row>
    <row r="1966" spans="1:19" ht="16.5" x14ac:dyDescent="0.3">
      <c r="A1966" t="s">
        <v>2025</v>
      </c>
      <c r="B1966" s="1">
        <v>45566</v>
      </c>
      <c r="C1966" s="1">
        <v>45568</v>
      </c>
      <c r="D1966">
        <v>2024</v>
      </c>
      <c r="E1966" t="s">
        <v>2026</v>
      </c>
      <c r="F1966" t="s">
        <v>2027</v>
      </c>
      <c r="G1966" t="s">
        <v>56</v>
      </c>
      <c r="H1966" t="s">
        <v>30</v>
      </c>
      <c r="I1966" t="s">
        <v>40</v>
      </c>
      <c r="J1966" t="s">
        <v>43</v>
      </c>
      <c r="K1966" t="s">
        <v>32</v>
      </c>
      <c r="L1966" t="s">
        <v>37</v>
      </c>
      <c r="M1966">
        <v>2</v>
      </c>
      <c r="N1966" s="2"/>
      <c r="O1966" s="3">
        <v>1946</v>
      </c>
      <c r="P1966">
        <v>0</v>
      </c>
      <c r="Q1966">
        <v>3</v>
      </c>
      <c r="R1966" t="s">
        <v>28</v>
      </c>
      <c r="S1966">
        <v>1</v>
      </c>
    </row>
    <row r="1967" spans="1:19" ht="16.5" x14ac:dyDescent="0.3">
      <c r="A1967" t="s">
        <v>2028</v>
      </c>
      <c r="B1967" s="1">
        <v>45566</v>
      </c>
      <c r="C1967" s="1">
        <v>45572</v>
      </c>
      <c r="D1967">
        <v>2024</v>
      </c>
      <c r="E1967" t="s">
        <v>2026</v>
      </c>
      <c r="F1967" t="s">
        <v>2027</v>
      </c>
      <c r="G1967" t="s">
        <v>56</v>
      </c>
      <c r="H1967" t="s">
        <v>50</v>
      </c>
      <c r="I1967" t="s">
        <v>24</v>
      </c>
      <c r="J1967" t="s">
        <v>43</v>
      </c>
      <c r="K1967" t="s">
        <v>32</v>
      </c>
      <c r="L1967" t="s">
        <v>44</v>
      </c>
      <c r="M1967">
        <v>6</v>
      </c>
      <c r="N1967" s="2">
        <v>34</v>
      </c>
      <c r="O1967" s="3">
        <v>7549</v>
      </c>
      <c r="P1967">
        <v>0</v>
      </c>
      <c r="Q1967">
        <v>4</v>
      </c>
      <c r="R1967" t="s">
        <v>33</v>
      </c>
      <c r="S1967">
        <v>1</v>
      </c>
    </row>
    <row r="1968" spans="1:19" ht="16.5" x14ac:dyDescent="0.3">
      <c r="A1968" t="s">
        <v>2029</v>
      </c>
      <c r="B1968" s="1">
        <v>45566</v>
      </c>
      <c r="C1968" s="1">
        <v>45591</v>
      </c>
      <c r="D1968">
        <v>2024</v>
      </c>
      <c r="E1968" t="s">
        <v>2026</v>
      </c>
      <c r="F1968" t="s">
        <v>2027</v>
      </c>
      <c r="G1968" t="s">
        <v>56</v>
      </c>
      <c r="H1968" t="s">
        <v>23</v>
      </c>
      <c r="I1968" t="s">
        <v>24</v>
      </c>
      <c r="J1968" t="s">
        <v>43</v>
      </c>
      <c r="K1968" t="s">
        <v>26</v>
      </c>
      <c r="L1968" t="s">
        <v>37</v>
      </c>
      <c r="M1968">
        <v>25</v>
      </c>
      <c r="N1968" s="2">
        <v>26</v>
      </c>
      <c r="O1968" s="3">
        <v>16649</v>
      </c>
      <c r="P1968">
        <v>0</v>
      </c>
      <c r="Q1968">
        <v>4</v>
      </c>
      <c r="R1968" t="s">
        <v>33</v>
      </c>
      <c r="S1968">
        <v>1</v>
      </c>
    </row>
    <row r="1969" spans="1:19" ht="16.5" x14ac:dyDescent="0.3">
      <c r="A1969" t="s">
        <v>2030</v>
      </c>
      <c r="B1969" s="1">
        <v>45566</v>
      </c>
      <c r="C1969" s="1">
        <v>45569</v>
      </c>
      <c r="D1969">
        <v>2024</v>
      </c>
      <c r="E1969" t="s">
        <v>2026</v>
      </c>
      <c r="F1969" t="s">
        <v>2027</v>
      </c>
      <c r="G1969" t="s">
        <v>56</v>
      </c>
      <c r="H1969" t="s">
        <v>35</v>
      </c>
      <c r="I1969" t="s">
        <v>24</v>
      </c>
      <c r="J1969" t="s">
        <v>25</v>
      </c>
      <c r="K1969" t="s">
        <v>36</v>
      </c>
      <c r="L1969" t="s">
        <v>27</v>
      </c>
      <c r="M1969">
        <v>3</v>
      </c>
      <c r="N1969" s="2">
        <v>70</v>
      </c>
      <c r="O1969" s="3">
        <v>3716</v>
      </c>
      <c r="P1969">
        <v>0</v>
      </c>
      <c r="Q1969">
        <v>5</v>
      </c>
      <c r="R1969" t="s">
        <v>28</v>
      </c>
      <c r="S1969">
        <v>1</v>
      </c>
    </row>
    <row r="1970" spans="1:19" ht="16.5" x14ac:dyDescent="0.3">
      <c r="A1970" t="s">
        <v>2031</v>
      </c>
      <c r="B1970" s="1">
        <v>45566</v>
      </c>
      <c r="C1970" s="1">
        <v>45568</v>
      </c>
      <c r="D1970">
        <v>2024</v>
      </c>
      <c r="E1970" t="s">
        <v>2026</v>
      </c>
      <c r="F1970" t="s">
        <v>2027</v>
      </c>
      <c r="G1970" t="s">
        <v>56</v>
      </c>
      <c r="H1970" t="s">
        <v>39</v>
      </c>
      <c r="I1970" t="s">
        <v>24</v>
      </c>
      <c r="J1970" t="s">
        <v>25</v>
      </c>
      <c r="K1970" t="s">
        <v>41</v>
      </c>
      <c r="L1970" t="s">
        <v>27</v>
      </c>
      <c r="M1970">
        <v>2</v>
      </c>
      <c r="N1970" s="2">
        <v>21</v>
      </c>
      <c r="O1970" s="3">
        <v>1838</v>
      </c>
      <c r="P1970">
        <v>0</v>
      </c>
      <c r="Q1970">
        <v>4</v>
      </c>
      <c r="R1970" t="s">
        <v>33</v>
      </c>
      <c r="S1970">
        <v>1</v>
      </c>
    </row>
    <row r="1971" spans="1:19" ht="16.5" x14ac:dyDescent="0.3">
      <c r="A1971" t="s">
        <v>2032</v>
      </c>
      <c r="B1971" s="1">
        <v>45566</v>
      </c>
      <c r="C1971" s="1">
        <v>45569</v>
      </c>
      <c r="D1971">
        <v>2024</v>
      </c>
      <c r="E1971" t="s">
        <v>2026</v>
      </c>
      <c r="F1971" t="s">
        <v>2027</v>
      </c>
      <c r="G1971" t="s">
        <v>56</v>
      </c>
      <c r="H1971" t="s">
        <v>30</v>
      </c>
      <c r="I1971" t="s">
        <v>40</v>
      </c>
      <c r="J1971" t="s">
        <v>25</v>
      </c>
      <c r="K1971" t="s">
        <v>53</v>
      </c>
      <c r="L1971" t="s">
        <v>37</v>
      </c>
      <c r="M1971">
        <v>3</v>
      </c>
      <c r="N1971" s="2"/>
      <c r="O1971" s="3">
        <v>4049</v>
      </c>
      <c r="P1971">
        <v>1</v>
      </c>
      <c r="Q1971">
        <v>4</v>
      </c>
      <c r="R1971" t="s">
        <v>33</v>
      </c>
      <c r="S1971">
        <v>1</v>
      </c>
    </row>
    <row r="1972" spans="1:19" ht="16.5" x14ac:dyDescent="0.3">
      <c r="A1972" t="s">
        <v>2033</v>
      </c>
      <c r="B1972" s="1">
        <v>45566</v>
      </c>
      <c r="C1972" s="1">
        <v>45572</v>
      </c>
      <c r="D1972">
        <v>2024</v>
      </c>
      <c r="E1972" t="s">
        <v>2026</v>
      </c>
      <c r="F1972" t="s">
        <v>2027</v>
      </c>
      <c r="G1972" t="s">
        <v>56</v>
      </c>
      <c r="H1972" t="s">
        <v>35</v>
      </c>
      <c r="I1972" t="s">
        <v>24</v>
      </c>
      <c r="J1972" t="s">
        <v>25</v>
      </c>
      <c r="K1972" t="s">
        <v>36</v>
      </c>
      <c r="L1972" t="s">
        <v>44</v>
      </c>
      <c r="M1972">
        <v>6</v>
      </c>
      <c r="N1972" s="2">
        <v>18</v>
      </c>
      <c r="O1972" s="3">
        <v>5757</v>
      </c>
      <c r="P1972">
        <v>0</v>
      </c>
      <c r="Q1972">
        <v>3</v>
      </c>
      <c r="R1972" t="s">
        <v>33</v>
      </c>
      <c r="S1972">
        <v>1</v>
      </c>
    </row>
    <row r="1973" spans="1:19" ht="16.5" x14ac:dyDescent="0.3">
      <c r="A1973" t="s">
        <v>2034</v>
      </c>
      <c r="B1973" s="1">
        <v>45567</v>
      </c>
      <c r="C1973" s="1">
        <v>45569</v>
      </c>
      <c r="D1973">
        <v>2024</v>
      </c>
      <c r="E1973" t="s">
        <v>2026</v>
      </c>
      <c r="F1973" t="s">
        <v>2027</v>
      </c>
      <c r="G1973" t="s">
        <v>70</v>
      </c>
      <c r="H1973" t="s">
        <v>30</v>
      </c>
      <c r="I1973" t="s">
        <v>40</v>
      </c>
      <c r="J1973" t="s">
        <v>43</v>
      </c>
      <c r="K1973" t="s">
        <v>32</v>
      </c>
      <c r="L1973" t="s">
        <v>27</v>
      </c>
      <c r="M1973">
        <v>2</v>
      </c>
      <c r="N1973" s="2"/>
      <c r="O1973" s="3">
        <v>2557</v>
      </c>
      <c r="P1973">
        <v>1</v>
      </c>
      <c r="Q1973">
        <v>5</v>
      </c>
      <c r="R1973" t="s">
        <v>33</v>
      </c>
      <c r="S1973">
        <v>1</v>
      </c>
    </row>
    <row r="1974" spans="1:19" ht="16.5" x14ac:dyDescent="0.3">
      <c r="A1974" t="s">
        <v>2035</v>
      </c>
      <c r="B1974" s="1">
        <v>45567</v>
      </c>
      <c r="C1974" s="1">
        <v>45571</v>
      </c>
      <c r="D1974">
        <v>2024</v>
      </c>
      <c r="E1974" t="s">
        <v>2026</v>
      </c>
      <c r="F1974" t="s">
        <v>2027</v>
      </c>
      <c r="G1974" t="s">
        <v>70</v>
      </c>
      <c r="H1974" t="s">
        <v>39</v>
      </c>
      <c r="I1974" t="s">
        <v>24</v>
      </c>
      <c r="J1974" t="s">
        <v>43</v>
      </c>
      <c r="K1974" t="s">
        <v>41</v>
      </c>
      <c r="L1974" t="s">
        <v>44</v>
      </c>
      <c r="M1974">
        <v>4</v>
      </c>
      <c r="N1974" s="2">
        <v>95</v>
      </c>
      <c r="O1974" s="3">
        <v>3449</v>
      </c>
      <c r="P1974">
        <v>0</v>
      </c>
      <c r="Q1974">
        <v>4</v>
      </c>
      <c r="R1974" t="s">
        <v>33</v>
      </c>
      <c r="S1974">
        <v>1</v>
      </c>
    </row>
    <row r="1975" spans="1:19" ht="16.5" x14ac:dyDescent="0.3">
      <c r="A1975" t="s">
        <v>2036</v>
      </c>
      <c r="B1975" s="1">
        <v>45567</v>
      </c>
      <c r="C1975" s="1">
        <v>45569</v>
      </c>
      <c r="D1975">
        <v>2024</v>
      </c>
      <c r="E1975" t="s">
        <v>2026</v>
      </c>
      <c r="F1975" t="s">
        <v>2027</v>
      </c>
      <c r="G1975" t="s">
        <v>70</v>
      </c>
      <c r="H1975" t="s">
        <v>30</v>
      </c>
      <c r="I1975" t="s">
        <v>40</v>
      </c>
      <c r="J1975" t="s">
        <v>43</v>
      </c>
      <c r="K1975" t="s">
        <v>32</v>
      </c>
      <c r="L1975" t="s">
        <v>44</v>
      </c>
      <c r="M1975">
        <v>2</v>
      </c>
      <c r="N1975" s="2"/>
      <c r="O1975" s="3">
        <v>2848</v>
      </c>
      <c r="P1975">
        <v>0</v>
      </c>
      <c r="Q1975">
        <v>4</v>
      </c>
      <c r="R1975" t="s">
        <v>33</v>
      </c>
      <c r="S1975">
        <v>1</v>
      </c>
    </row>
    <row r="1976" spans="1:19" ht="16.5" x14ac:dyDescent="0.3">
      <c r="A1976" t="s">
        <v>2037</v>
      </c>
      <c r="B1976" s="1">
        <v>45567</v>
      </c>
      <c r="C1976" s="1">
        <v>45568</v>
      </c>
      <c r="D1976">
        <v>2024</v>
      </c>
      <c r="E1976" t="s">
        <v>2026</v>
      </c>
      <c r="F1976" t="s">
        <v>2027</v>
      </c>
      <c r="G1976" t="s">
        <v>70</v>
      </c>
      <c r="H1976" t="s">
        <v>30</v>
      </c>
      <c r="I1976" t="s">
        <v>40</v>
      </c>
      <c r="J1976" t="s">
        <v>25</v>
      </c>
      <c r="K1976" t="s">
        <v>32</v>
      </c>
      <c r="L1976" t="s">
        <v>44</v>
      </c>
      <c r="M1976">
        <v>1</v>
      </c>
      <c r="N1976" s="2"/>
      <c r="O1976" s="3">
        <v>1600</v>
      </c>
      <c r="P1976">
        <v>0</v>
      </c>
      <c r="Q1976">
        <v>4</v>
      </c>
      <c r="R1976" t="s">
        <v>33</v>
      </c>
      <c r="S1976">
        <v>1</v>
      </c>
    </row>
    <row r="1977" spans="1:19" ht="16.5" x14ac:dyDescent="0.3">
      <c r="A1977" t="s">
        <v>2038</v>
      </c>
      <c r="B1977" s="1">
        <v>45567</v>
      </c>
      <c r="C1977" s="1">
        <v>45572</v>
      </c>
      <c r="D1977">
        <v>2024</v>
      </c>
      <c r="E1977" t="s">
        <v>2026</v>
      </c>
      <c r="F1977" t="s">
        <v>2027</v>
      </c>
      <c r="G1977" t="s">
        <v>70</v>
      </c>
      <c r="H1977" t="s">
        <v>50</v>
      </c>
      <c r="I1977" t="s">
        <v>24</v>
      </c>
      <c r="J1977" t="s">
        <v>25</v>
      </c>
      <c r="K1977" t="s">
        <v>26</v>
      </c>
      <c r="L1977" t="s">
        <v>44</v>
      </c>
      <c r="M1977">
        <v>5</v>
      </c>
      <c r="N1977" s="2">
        <v>31</v>
      </c>
      <c r="O1977" s="3">
        <v>5832</v>
      </c>
      <c r="P1977">
        <v>0</v>
      </c>
      <c r="Q1977">
        <v>5</v>
      </c>
      <c r="R1977" t="s">
        <v>33</v>
      </c>
      <c r="S1977">
        <v>1</v>
      </c>
    </row>
    <row r="1978" spans="1:19" ht="16.5" x14ac:dyDescent="0.3">
      <c r="A1978" t="s">
        <v>2039</v>
      </c>
      <c r="B1978" s="1">
        <v>45567</v>
      </c>
      <c r="C1978" s="1">
        <v>45571</v>
      </c>
      <c r="D1978">
        <v>2024</v>
      </c>
      <c r="E1978" t="s">
        <v>2026</v>
      </c>
      <c r="F1978" t="s">
        <v>2027</v>
      </c>
      <c r="G1978" t="s">
        <v>70</v>
      </c>
      <c r="H1978" t="s">
        <v>35</v>
      </c>
      <c r="I1978" t="s">
        <v>24</v>
      </c>
      <c r="J1978" t="s">
        <v>25</v>
      </c>
      <c r="K1978" t="s">
        <v>36</v>
      </c>
      <c r="L1978" t="s">
        <v>44</v>
      </c>
      <c r="M1978">
        <v>4</v>
      </c>
      <c r="N1978" s="2">
        <v>119</v>
      </c>
      <c r="O1978" s="3">
        <v>3527</v>
      </c>
      <c r="P1978">
        <v>0</v>
      </c>
      <c r="Q1978">
        <v>3</v>
      </c>
      <c r="R1978" t="s">
        <v>33</v>
      </c>
      <c r="S1978">
        <v>1</v>
      </c>
    </row>
    <row r="1979" spans="1:19" ht="16.5" x14ac:dyDescent="0.3">
      <c r="A1979" t="s">
        <v>2040</v>
      </c>
      <c r="B1979" s="1">
        <v>45567</v>
      </c>
      <c r="C1979" s="1">
        <v>45571</v>
      </c>
      <c r="D1979">
        <v>2024</v>
      </c>
      <c r="E1979" t="s">
        <v>2026</v>
      </c>
      <c r="F1979" t="s">
        <v>2027</v>
      </c>
      <c r="G1979" t="s">
        <v>70</v>
      </c>
      <c r="H1979" t="s">
        <v>23</v>
      </c>
      <c r="I1979" t="s">
        <v>24</v>
      </c>
      <c r="J1979" t="s">
        <v>25</v>
      </c>
      <c r="K1979" t="s">
        <v>26</v>
      </c>
      <c r="L1979" t="s">
        <v>44</v>
      </c>
      <c r="M1979">
        <v>4</v>
      </c>
      <c r="N1979" s="2">
        <v>55</v>
      </c>
      <c r="O1979" s="3">
        <v>3901</v>
      </c>
      <c r="P1979">
        <v>1</v>
      </c>
      <c r="Q1979">
        <v>4</v>
      </c>
      <c r="R1979" t="s">
        <v>33</v>
      </c>
      <c r="S1979">
        <v>1</v>
      </c>
    </row>
    <row r="1980" spans="1:19" ht="16.5" x14ac:dyDescent="0.3">
      <c r="A1980" t="s">
        <v>2041</v>
      </c>
      <c r="B1980" s="1">
        <v>45568</v>
      </c>
      <c r="C1980" s="1">
        <v>45571</v>
      </c>
      <c r="D1980">
        <v>2024</v>
      </c>
      <c r="E1980" t="s">
        <v>2026</v>
      </c>
      <c r="F1980" t="s">
        <v>2027</v>
      </c>
      <c r="G1980" t="s">
        <v>78</v>
      </c>
      <c r="H1980" t="s">
        <v>39</v>
      </c>
      <c r="I1980" t="s">
        <v>24</v>
      </c>
      <c r="J1980" t="s">
        <v>25</v>
      </c>
      <c r="K1980" t="s">
        <v>41</v>
      </c>
      <c r="L1980" t="s">
        <v>44</v>
      </c>
      <c r="M1980">
        <v>3</v>
      </c>
      <c r="N1980" s="2">
        <v>58</v>
      </c>
      <c r="O1980" s="3">
        <v>2199</v>
      </c>
      <c r="P1980">
        <v>0</v>
      </c>
      <c r="Q1980">
        <v>5</v>
      </c>
      <c r="R1980" t="s">
        <v>33</v>
      </c>
      <c r="S1980">
        <v>1</v>
      </c>
    </row>
    <row r="1981" spans="1:19" ht="16.5" x14ac:dyDescent="0.3">
      <c r="A1981" t="s">
        <v>2042</v>
      </c>
      <c r="B1981" s="1">
        <v>45568</v>
      </c>
      <c r="C1981" s="1">
        <v>45571</v>
      </c>
      <c r="D1981">
        <v>2024</v>
      </c>
      <c r="E1981" t="s">
        <v>2026</v>
      </c>
      <c r="F1981" t="s">
        <v>2027</v>
      </c>
      <c r="G1981" t="s">
        <v>78</v>
      </c>
      <c r="H1981" t="s">
        <v>35</v>
      </c>
      <c r="I1981" t="s">
        <v>24</v>
      </c>
      <c r="J1981" t="s">
        <v>25</v>
      </c>
      <c r="K1981" t="s">
        <v>36</v>
      </c>
      <c r="L1981" t="s">
        <v>27</v>
      </c>
      <c r="M1981">
        <v>3</v>
      </c>
      <c r="N1981" s="2">
        <v>46</v>
      </c>
      <c r="O1981" s="3">
        <v>2474</v>
      </c>
      <c r="P1981">
        <v>0</v>
      </c>
      <c r="Q1981">
        <v>3</v>
      </c>
      <c r="R1981" t="s">
        <v>33</v>
      </c>
      <c r="S1981">
        <v>1</v>
      </c>
    </row>
    <row r="1982" spans="1:19" ht="16.5" x14ac:dyDescent="0.3">
      <c r="A1982" t="s">
        <v>2043</v>
      </c>
      <c r="B1982" s="1">
        <v>45568</v>
      </c>
      <c r="C1982" s="1">
        <v>45584</v>
      </c>
      <c r="D1982">
        <v>2024</v>
      </c>
      <c r="E1982" t="s">
        <v>2026</v>
      </c>
      <c r="F1982" t="s">
        <v>2027</v>
      </c>
      <c r="G1982" t="s">
        <v>78</v>
      </c>
      <c r="H1982" t="s">
        <v>50</v>
      </c>
      <c r="I1982" t="s">
        <v>24</v>
      </c>
      <c r="J1982" t="s">
        <v>25</v>
      </c>
      <c r="K1982" t="s">
        <v>26</v>
      </c>
      <c r="L1982" t="s">
        <v>37</v>
      </c>
      <c r="M1982">
        <v>16</v>
      </c>
      <c r="N1982" s="2">
        <v>103</v>
      </c>
      <c r="O1982" s="3">
        <v>17424</v>
      </c>
      <c r="P1982">
        <v>0</v>
      </c>
      <c r="Q1982">
        <v>3</v>
      </c>
      <c r="R1982" t="s">
        <v>33</v>
      </c>
      <c r="S1982">
        <v>1</v>
      </c>
    </row>
    <row r="1983" spans="1:19" ht="16.5" x14ac:dyDescent="0.3">
      <c r="A1983" t="s">
        <v>2044</v>
      </c>
      <c r="B1983" s="1">
        <v>45568</v>
      </c>
      <c r="C1983" s="1">
        <v>45569</v>
      </c>
      <c r="D1983">
        <v>2024</v>
      </c>
      <c r="E1983" t="s">
        <v>2026</v>
      </c>
      <c r="F1983" t="s">
        <v>2027</v>
      </c>
      <c r="G1983" t="s">
        <v>78</v>
      </c>
      <c r="H1983" t="s">
        <v>50</v>
      </c>
      <c r="I1983" t="s">
        <v>40</v>
      </c>
      <c r="J1983" t="s">
        <v>25</v>
      </c>
      <c r="K1983" t="s">
        <v>36</v>
      </c>
      <c r="L1983" t="s">
        <v>27</v>
      </c>
      <c r="M1983">
        <v>1</v>
      </c>
      <c r="N1983" s="2"/>
      <c r="O1983" s="3">
        <v>2604</v>
      </c>
      <c r="P1983">
        <v>1</v>
      </c>
      <c r="Q1983">
        <v>4</v>
      </c>
      <c r="R1983" t="s">
        <v>33</v>
      </c>
      <c r="S1983">
        <v>1</v>
      </c>
    </row>
    <row r="1984" spans="1:19" ht="16.5" x14ac:dyDescent="0.3">
      <c r="A1984" t="s">
        <v>2045</v>
      </c>
      <c r="B1984" s="1">
        <v>45568</v>
      </c>
      <c r="C1984" s="1">
        <v>45574</v>
      </c>
      <c r="D1984">
        <v>2024</v>
      </c>
      <c r="E1984" t="s">
        <v>2026</v>
      </c>
      <c r="F1984" t="s">
        <v>2027</v>
      </c>
      <c r="G1984" t="s">
        <v>78</v>
      </c>
      <c r="H1984" t="s">
        <v>23</v>
      </c>
      <c r="I1984" t="s">
        <v>40</v>
      </c>
      <c r="J1984" t="s">
        <v>43</v>
      </c>
      <c r="K1984" t="s">
        <v>26</v>
      </c>
      <c r="L1984" t="s">
        <v>44</v>
      </c>
      <c r="M1984">
        <v>6</v>
      </c>
      <c r="N1984" s="2"/>
      <c r="O1984" s="3">
        <v>4036</v>
      </c>
      <c r="P1984">
        <v>0</v>
      </c>
      <c r="Q1984">
        <v>5</v>
      </c>
      <c r="R1984" t="s">
        <v>33</v>
      </c>
      <c r="S1984">
        <v>1</v>
      </c>
    </row>
    <row r="1985" spans="1:19" ht="16.5" x14ac:dyDescent="0.3">
      <c r="A1985" t="s">
        <v>2046</v>
      </c>
      <c r="B1985" s="1">
        <v>45568</v>
      </c>
      <c r="C1985" s="1">
        <v>45570</v>
      </c>
      <c r="D1985">
        <v>2024</v>
      </c>
      <c r="E1985" t="s">
        <v>2026</v>
      </c>
      <c r="F1985" t="s">
        <v>2027</v>
      </c>
      <c r="G1985" t="s">
        <v>78</v>
      </c>
      <c r="H1985" t="s">
        <v>35</v>
      </c>
      <c r="I1985" t="s">
        <v>24</v>
      </c>
      <c r="J1985" t="s">
        <v>25</v>
      </c>
      <c r="K1985" t="s">
        <v>32</v>
      </c>
      <c r="L1985" t="s">
        <v>44</v>
      </c>
      <c r="M1985">
        <v>2</v>
      </c>
      <c r="N1985" s="2">
        <v>91</v>
      </c>
      <c r="O1985" s="3">
        <v>2782</v>
      </c>
      <c r="P1985">
        <v>0</v>
      </c>
      <c r="Q1985">
        <v>3</v>
      </c>
      <c r="R1985" t="s">
        <v>33</v>
      </c>
      <c r="S1985">
        <v>1</v>
      </c>
    </row>
    <row r="1986" spans="1:19" ht="16.5" x14ac:dyDescent="0.3">
      <c r="A1986" t="s">
        <v>2047</v>
      </c>
      <c r="B1986" s="1">
        <v>45568</v>
      </c>
      <c r="C1986" s="1">
        <v>45570</v>
      </c>
      <c r="D1986">
        <v>2024</v>
      </c>
      <c r="E1986" t="s">
        <v>2026</v>
      </c>
      <c r="F1986" t="s">
        <v>2027</v>
      </c>
      <c r="G1986" t="s">
        <v>78</v>
      </c>
      <c r="H1986" t="s">
        <v>39</v>
      </c>
      <c r="I1986" t="s">
        <v>31</v>
      </c>
      <c r="J1986" t="s">
        <v>43</v>
      </c>
      <c r="K1986" t="s">
        <v>41</v>
      </c>
      <c r="L1986" t="s">
        <v>44</v>
      </c>
      <c r="M1986">
        <v>2</v>
      </c>
      <c r="N1986" s="2"/>
      <c r="O1986" s="3">
        <v>2381</v>
      </c>
      <c r="P1986">
        <v>0</v>
      </c>
      <c r="Q1986">
        <v>5</v>
      </c>
      <c r="R1986" t="s">
        <v>59</v>
      </c>
      <c r="S1986">
        <v>1</v>
      </c>
    </row>
    <row r="1987" spans="1:19" ht="16.5" x14ac:dyDescent="0.3">
      <c r="A1987" t="s">
        <v>2048</v>
      </c>
      <c r="B1987" s="1">
        <v>45568</v>
      </c>
      <c r="C1987" s="1">
        <v>45571</v>
      </c>
      <c r="D1987">
        <v>2024</v>
      </c>
      <c r="E1987" t="s">
        <v>2026</v>
      </c>
      <c r="F1987" t="s">
        <v>2027</v>
      </c>
      <c r="G1987" t="s">
        <v>78</v>
      </c>
      <c r="H1987" t="s">
        <v>23</v>
      </c>
      <c r="I1987" t="s">
        <v>40</v>
      </c>
      <c r="J1987" t="s">
        <v>43</v>
      </c>
      <c r="K1987" t="s">
        <v>53</v>
      </c>
      <c r="L1987" t="s">
        <v>37</v>
      </c>
      <c r="M1987">
        <v>3</v>
      </c>
      <c r="N1987" s="2"/>
      <c r="O1987" s="3">
        <v>2395</v>
      </c>
      <c r="P1987">
        <v>0</v>
      </c>
      <c r="Q1987">
        <v>4</v>
      </c>
      <c r="R1987" t="s">
        <v>28</v>
      </c>
      <c r="S1987">
        <v>1</v>
      </c>
    </row>
    <row r="1988" spans="1:19" ht="16.5" x14ac:dyDescent="0.3">
      <c r="A1988" t="s">
        <v>2049</v>
      </c>
      <c r="B1988" s="1">
        <v>45569</v>
      </c>
      <c r="C1988" s="1">
        <v>45576</v>
      </c>
      <c r="D1988">
        <v>2024</v>
      </c>
      <c r="E1988" t="s">
        <v>2026</v>
      </c>
      <c r="F1988" t="s">
        <v>2027</v>
      </c>
      <c r="G1988" t="s">
        <v>83</v>
      </c>
      <c r="H1988" t="s">
        <v>50</v>
      </c>
      <c r="I1988" t="s">
        <v>24</v>
      </c>
      <c r="J1988" t="s">
        <v>43</v>
      </c>
      <c r="K1988" t="s">
        <v>26</v>
      </c>
      <c r="L1988" t="s">
        <v>27</v>
      </c>
      <c r="M1988">
        <v>7</v>
      </c>
      <c r="N1988" s="2">
        <v>77</v>
      </c>
      <c r="O1988" s="3">
        <v>8647</v>
      </c>
      <c r="P1988">
        <v>0</v>
      </c>
      <c r="Q1988">
        <v>3</v>
      </c>
      <c r="R1988" t="s">
        <v>28</v>
      </c>
      <c r="S1988">
        <v>1</v>
      </c>
    </row>
    <row r="1989" spans="1:19" ht="16.5" x14ac:dyDescent="0.3">
      <c r="A1989" t="s">
        <v>2050</v>
      </c>
      <c r="B1989" s="1">
        <v>45569</v>
      </c>
      <c r="C1989" s="1">
        <v>45574</v>
      </c>
      <c r="D1989">
        <v>2024</v>
      </c>
      <c r="E1989" t="s">
        <v>2026</v>
      </c>
      <c r="F1989" t="s">
        <v>2027</v>
      </c>
      <c r="G1989" t="s">
        <v>83</v>
      </c>
      <c r="H1989" t="s">
        <v>30</v>
      </c>
      <c r="I1989" t="s">
        <v>40</v>
      </c>
      <c r="J1989" t="s">
        <v>43</v>
      </c>
      <c r="K1989" t="s">
        <v>26</v>
      </c>
      <c r="L1989" t="s">
        <v>37</v>
      </c>
      <c r="M1989">
        <v>5</v>
      </c>
      <c r="N1989" s="2"/>
      <c r="O1989" s="3">
        <v>5576</v>
      </c>
      <c r="P1989">
        <v>0</v>
      </c>
      <c r="Q1989">
        <v>4</v>
      </c>
      <c r="R1989" t="s">
        <v>33</v>
      </c>
      <c r="S1989">
        <v>1</v>
      </c>
    </row>
    <row r="1990" spans="1:19" ht="16.5" x14ac:dyDescent="0.3">
      <c r="A1990" t="s">
        <v>2051</v>
      </c>
      <c r="B1990" s="1">
        <v>45569</v>
      </c>
      <c r="C1990" s="1">
        <v>45571</v>
      </c>
      <c r="D1990">
        <v>2024</v>
      </c>
      <c r="E1990" t="s">
        <v>2026</v>
      </c>
      <c r="F1990" t="s">
        <v>2027</v>
      </c>
      <c r="G1990" t="s">
        <v>83</v>
      </c>
      <c r="H1990" t="s">
        <v>39</v>
      </c>
      <c r="I1990" t="s">
        <v>40</v>
      </c>
      <c r="J1990" t="s">
        <v>43</v>
      </c>
      <c r="K1990" t="s">
        <v>41</v>
      </c>
      <c r="L1990" t="s">
        <v>27</v>
      </c>
      <c r="M1990">
        <v>2</v>
      </c>
      <c r="N1990" s="2"/>
      <c r="O1990" s="3">
        <v>1747</v>
      </c>
      <c r="P1990">
        <v>0</v>
      </c>
      <c r="Q1990">
        <v>4</v>
      </c>
      <c r="R1990" t="s">
        <v>33</v>
      </c>
      <c r="S1990">
        <v>1</v>
      </c>
    </row>
    <row r="1991" spans="1:19" ht="16.5" x14ac:dyDescent="0.3">
      <c r="A1991" t="s">
        <v>2052</v>
      </c>
      <c r="B1991" s="1">
        <v>45569</v>
      </c>
      <c r="C1991" s="1">
        <v>45570</v>
      </c>
      <c r="D1991">
        <v>2024</v>
      </c>
      <c r="E1991" t="s">
        <v>2026</v>
      </c>
      <c r="F1991" t="s">
        <v>2027</v>
      </c>
      <c r="G1991" t="s">
        <v>83</v>
      </c>
      <c r="H1991" t="s">
        <v>50</v>
      </c>
      <c r="I1991" t="s">
        <v>24</v>
      </c>
      <c r="J1991" t="s">
        <v>25</v>
      </c>
      <c r="K1991" t="s">
        <v>32</v>
      </c>
      <c r="L1991" t="s">
        <v>44</v>
      </c>
      <c r="M1991">
        <v>1</v>
      </c>
      <c r="N1991" s="2">
        <v>58</v>
      </c>
      <c r="O1991" s="3">
        <v>1695</v>
      </c>
      <c r="P1991">
        <v>0</v>
      </c>
      <c r="Q1991">
        <v>4</v>
      </c>
      <c r="R1991" t="s">
        <v>28</v>
      </c>
      <c r="S1991">
        <v>1</v>
      </c>
    </row>
    <row r="1992" spans="1:19" ht="16.5" x14ac:dyDescent="0.3">
      <c r="A1992" t="s">
        <v>2053</v>
      </c>
      <c r="B1992" s="1">
        <v>45569</v>
      </c>
      <c r="C1992" s="1">
        <v>45573</v>
      </c>
      <c r="D1992">
        <v>2024</v>
      </c>
      <c r="E1992" t="s">
        <v>2026</v>
      </c>
      <c r="F1992" t="s">
        <v>2027</v>
      </c>
      <c r="G1992" t="s">
        <v>83</v>
      </c>
      <c r="H1992" t="s">
        <v>35</v>
      </c>
      <c r="I1992" t="s">
        <v>24</v>
      </c>
      <c r="J1992" t="s">
        <v>25</v>
      </c>
      <c r="K1992" t="s">
        <v>32</v>
      </c>
      <c r="L1992" t="s">
        <v>44</v>
      </c>
      <c r="M1992">
        <v>4</v>
      </c>
      <c r="N1992" s="2">
        <v>107</v>
      </c>
      <c r="O1992" s="3">
        <v>3344</v>
      </c>
      <c r="P1992">
        <v>0</v>
      </c>
      <c r="Q1992">
        <v>3</v>
      </c>
      <c r="R1992" t="s">
        <v>59</v>
      </c>
      <c r="S1992">
        <v>1</v>
      </c>
    </row>
    <row r="1993" spans="1:19" ht="16.5" x14ac:dyDescent="0.3">
      <c r="A1993" t="s">
        <v>2054</v>
      </c>
      <c r="B1993" s="1">
        <v>45569</v>
      </c>
      <c r="C1993" s="1">
        <v>45574</v>
      </c>
      <c r="D1993">
        <v>2024</v>
      </c>
      <c r="E1993" t="s">
        <v>2026</v>
      </c>
      <c r="F1993" t="s">
        <v>2027</v>
      </c>
      <c r="G1993" t="s">
        <v>83</v>
      </c>
      <c r="H1993" t="s">
        <v>50</v>
      </c>
      <c r="I1993" t="s">
        <v>24</v>
      </c>
      <c r="J1993" t="s">
        <v>43</v>
      </c>
      <c r="K1993" t="s">
        <v>32</v>
      </c>
      <c r="L1993" t="s">
        <v>44</v>
      </c>
      <c r="M1993">
        <v>5</v>
      </c>
      <c r="N1993" s="2">
        <v>89</v>
      </c>
      <c r="O1993" s="3">
        <v>8622</v>
      </c>
      <c r="P1993">
        <v>1</v>
      </c>
      <c r="Q1993">
        <v>4</v>
      </c>
      <c r="R1993" t="s">
        <v>28</v>
      </c>
      <c r="S1993">
        <v>1</v>
      </c>
    </row>
    <row r="1994" spans="1:19" ht="16.5" x14ac:dyDescent="0.3">
      <c r="A1994" t="s">
        <v>2055</v>
      </c>
      <c r="B1994" s="1">
        <v>45569</v>
      </c>
      <c r="C1994" s="1">
        <v>45573</v>
      </c>
      <c r="D1994">
        <v>2024</v>
      </c>
      <c r="E1994" t="s">
        <v>2026</v>
      </c>
      <c r="F1994" t="s">
        <v>2027</v>
      </c>
      <c r="G1994" t="s">
        <v>83</v>
      </c>
      <c r="H1994" t="s">
        <v>23</v>
      </c>
      <c r="I1994" t="s">
        <v>24</v>
      </c>
      <c r="J1994" t="s">
        <v>25</v>
      </c>
      <c r="K1994" t="s">
        <v>26</v>
      </c>
      <c r="L1994" t="s">
        <v>44</v>
      </c>
      <c r="M1994">
        <v>4</v>
      </c>
      <c r="N1994" s="2">
        <v>31</v>
      </c>
      <c r="O1994" s="3">
        <v>3833</v>
      </c>
      <c r="P1994">
        <v>0</v>
      </c>
      <c r="Q1994">
        <v>3</v>
      </c>
      <c r="R1994" t="s">
        <v>33</v>
      </c>
      <c r="S1994">
        <v>1</v>
      </c>
    </row>
    <row r="1995" spans="1:19" ht="16.5" x14ac:dyDescent="0.3">
      <c r="A1995" t="s">
        <v>2056</v>
      </c>
      <c r="B1995" s="1">
        <v>45569</v>
      </c>
      <c r="C1995" s="1">
        <v>45570</v>
      </c>
      <c r="D1995">
        <v>2024</v>
      </c>
      <c r="E1995" t="s">
        <v>2026</v>
      </c>
      <c r="F1995" t="s">
        <v>2027</v>
      </c>
      <c r="G1995" t="s">
        <v>83</v>
      </c>
      <c r="H1995" t="s">
        <v>52</v>
      </c>
      <c r="I1995" t="s">
        <v>40</v>
      </c>
      <c r="J1995" t="s">
        <v>25</v>
      </c>
      <c r="K1995" t="s">
        <v>26</v>
      </c>
      <c r="L1995" t="s">
        <v>44</v>
      </c>
      <c r="M1995">
        <v>1</v>
      </c>
      <c r="N1995" s="2"/>
      <c r="O1995" s="3">
        <v>1889</v>
      </c>
      <c r="P1995">
        <v>1</v>
      </c>
      <c r="Q1995">
        <v>5</v>
      </c>
      <c r="R1995" t="s">
        <v>33</v>
      </c>
      <c r="S1995">
        <v>1</v>
      </c>
    </row>
    <row r="1996" spans="1:19" ht="16.5" x14ac:dyDescent="0.3">
      <c r="A1996" t="s">
        <v>2057</v>
      </c>
      <c r="B1996" s="1">
        <v>45570</v>
      </c>
      <c r="C1996" s="1">
        <v>45571</v>
      </c>
      <c r="D1996">
        <v>2024</v>
      </c>
      <c r="E1996" t="s">
        <v>2026</v>
      </c>
      <c r="F1996" t="s">
        <v>2027</v>
      </c>
      <c r="G1996" t="s">
        <v>102</v>
      </c>
      <c r="H1996" t="s">
        <v>39</v>
      </c>
      <c r="I1996" t="s">
        <v>40</v>
      </c>
      <c r="J1996" t="s">
        <v>43</v>
      </c>
      <c r="K1996" t="s">
        <v>41</v>
      </c>
      <c r="L1996" t="s">
        <v>44</v>
      </c>
      <c r="M1996">
        <v>1</v>
      </c>
      <c r="N1996" s="2"/>
      <c r="O1996" s="3">
        <v>1298</v>
      </c>
      <c r="P1996">
        <v>1</v>
      </c>
      <c r="Q1996">
        <v>4</v>
      </c>
      <c r="R1996" t="s">
        <v>28</v>
      </c>
      <c r="S1996">
        <v>1</v>
      </c>
    </row>
    <row r="1997" spans="1:19" ht="16.5" x14ac:dyDescent="0.3">
      <c r="A1997" t="s">
        <v>2058</v>
      </c>
      <c r="B1997" s="1">
        <v>45570</v>
      </c>
      <c r="C1997" s="1">
        <v>45573</v>
      </c>
      <c r="D1997">
        <v>2024</v>
      </c>
      <c r="E1997" t="s">
        <v>2026</v>
      </c>
      <c r="F1997" t="s">
        <v>2027</v>
      </c>
      <c r="G1997" t="s">
        <v>102</v>
      </c>
      <c r="H1997" t="s">
        <v>23</v>
      </c>
      <c r="I1997" t="s">
        <v>24</v>
      </c>
      <c r="J1997" t="s">
        <v>43</v>
      </c>
      <c r="K1997" t="s">
        <v>32</v>
      </c>
      <c r="L1997" t="s">
        <v>44</v>
      </c>
      <c r="M1997">
        <v>3</v>
      </c>
      <c r="N1997" s="2">
        <v>56</v>
      </c>
      <c r="O1997" s="3">
        <v>2739</v>
      </c>
      <c r="P1997">
        <v>0</v>
      </c>
      <c r="Q1997">
        <v>5</v>
      </c>
      <c r="R1997" t="s">
        <v>28</v>
      </c>
      <c r="S1997">
        <v>1</v>
      </c>
    </row>
    <row r="1998" spans="1:19" ht="16.5" x14ac:dyDescent="0.3">
      <c r="A1998" t="s">
        <v>2059</v>
      </c>
      <c r="B1998" s="1">
        <v>45570</v>
      </c>
      <c r="C1998" s="1">
        <v>45577</v>
      </c>
      <c r="D1998">
        <v>2024</v>
      </c>
      <c r="E1998" t="s">
        <v>2026</v>
      </c>
      <c r="F1998" t="s">
        <v>2027</v>
      </c>
      <c r="G1998" t="s">
        <v>102</v>
      </c>
      <c r="H1998" t="s">
        <v>35</v>
      </c>
      <c r="I1998" t="s">
        <v>24</v>
      </c>
      <c r="J1998" t="s">
        <v>25</v>
      </c>
      <c r="K1998" t="s">
        <v>32</v>
      </c>
      <c r="L1998" t="s">
        <v>37</v>
      </c>
      <c r="M1998">
        <v>7</v>
      </c>
      <c r="N1998" s="2">
        <v>38</v>
      </c>
      <c r="O1998" s="3">
        <v>4076</v>
      </c>
      <c r="P1998">
        <v>0</v>
      </c>
      <c r="Q1998">
        <v>4</v>
      </c>
      <c r="R1998" t="s">
        <v>33</v>
      </c>
      <c r="S1998">
        <v>1</v>
      </c>
    </row>
    <row r="1999" spans="1:19" ht="16.5" x14ac:dyDescent="0.3">
      <c r="A1999" t="s">
        <v>2060</v>
      </c>
      <c r="B1999" s="1">
        <v>45570</v>
      </c>
      <c r="C1999" s="1">
        <v>45573</v>
      </c>
      <c r="D1999">
        <v>2024</v>
      </c>
      <c r="E1999" t="s">
        <v>2026</v>
      </c>
      <c r="F1999" t="s">
        <v>2027</v>
      </c>
      <c r="G1999" t="s">
        <v>102</v>
      </c>
      <c r="H1999" t="s">
        <v>23</v>
      </c>
      <c r="I1999" t="s">
        <v>24</v>
      </c>
      <c r="J1999" t="s">
        <v>25</v>
      </c>
      <c r="K1999" t="s">
        <v>26</v>
      </c>
      <c r="L1999" t="s">
        <v>27</v>
      </c>
      <c r="M1999">
        <v>3</v>
      </c>
      <c r="N1999" s="2">
        <v>90</v>
      </c>
      <c r="O1999" s="3">
        <v>2515</v>
      </c>
      <c r="P1999">
        <v>0</v>
      </c>
      <c r="Q1999">
        <v>4</v>
      </c>
      <c r="R1999" t="s">
        <v>33</v>
      </c>
      <c r="S1999">
        <v>1</v>
      </c>
    </row>
    <row r="2000" spans="1:19" ht="16.5" x14ac:dyDescent="0.3">
      <c r="A2000" t="s">
        <v>2061</v>
      </c>
      <c r="B2000" s="1">
        <v>45570</v>
      </c>
      <c r="C2000" s="1">
        <v>45574</v>
      </c>
      <c r="D2000">
        <v>2024</v>
      </c>
      <c r="E2000" t="s">
        <v>2026</v>
      </c>
      <c r="F2000" t="s">
        <v>2027</v>
      </c>
      <c r="G2000" t="s">
        <v>102</v>
      </c>
      <c r="H2000" t="s">
        <v>50</v>
      </c>
      <c r="I2000" t="s">
        <v>31</v>
      </c>
      <c r="J2000" t="s">
        <v>43</v>
      </c>
      <c r="K2000" t="s">
        <v>26</v>
      </c>
      <c r="L2000" t="s">
        <v>27</v>
      </c>
      <c r="M2000">
        <v>4</v>
      </c>
      <c r="N2000" s="2"/>
      <c r="O2000" s="3">
        <v>4352</v>
      </c>
      <c r="P2000">
        <v>0</v>
      </c>
      <c r="Q2000">
        <v>4</v>
      </c>
      <c r="R2000" t="s">
        <v>33</v>
      </c>
      <c r="S2000">
        <v>1</v>
      </c>
    </row>
    <row r="2001" spans="1:19" ht="16.5" x14ac:dyDescent="0.3">
      <c r="A2001" t="s">
        <v>2062</v>
      </c>
      <c r="B2001" s="1">
        <v>45571</v>
      </c>
      <c r="C2001" s="1">
        <v>45578</v>
      </c>
      <c r="D2001">
        <v>2024</v>
      </c>
      <c r="E2001" t="s">
        <v>2026</v>
      </c>
      <c r="F2001" t="s">
        <v>2027</v>
      </c>
      <c r="G2001" t="s">
        <v>112</v>
      </c>
      <c r="H2001" t="s">
        <v>52</v>
      </c>
      <c r="I2001" t="s">
        <v>40</v>
      </c>
      <c r="J2001" t="s">
        <v>43</v>
      </c>
      <c r="K2001" t="s">
        <v>26</v>
      </c>
      <c r="L2001" t="s">
        <v>27</v>
      </c>
      <c r="M2001">
        <v>7</v>
      </c>
      <c r="N2001" s="2"/>
      <c r="O2001" s="3">
        <v>7318</v>
      </c>
      <c r="P2001">
        <v>0</v>
      </c>
      <c r="Q2001">
        <v>5</v>
      </c>
      <c r="R2001" t="s">
        <v>28</v>
      </c>
      <c r="S2001">
        <v>1</v>
      </c>
    </row>
    <row r="2002" spans="1:19" ht="16.5" x14ac:dyDescent="0.3">
      <c r="A2002" t="s">
        <v>2063</v>
      </c>
      <c r="B2002" s="1">
        <v>45571</v>
      </c>
      <c r="C2002" s="1">
        <v>45577</v>
      </c>
      <c r="D2002">
        <v>2024</v>
      </c>
      <c r="E2002" t="s">
        <v>2026</v>
      </c>
      <c r="F2002" t="s">
        <v>2027</v>
      </c>
      <c r="G2002" t="s">
        <v>112</v>
      </c>
      <c r="H2002" t="s">
        <v>50</v>
      </c>
      <c r="I2002" t="s">
        <v>24</v>
      </c>
      <c r="J2002" t="s">
        <v>25</v>
      </c>
      <c r="K2002" t="s">
        <v>53</v>
      </c>
      <c r="L2002" t="s">
        <v>44</v>
      </c>
      <c r="M2002">
        <v>6</v>
      </c>
      <c r="N2002" s="2">
        <v>36</v>
      </c>
      <c r="O2002" s="3">
        <v>7063</v>
      </c>
      <c r="P2002">
        <v>0</v>
      </c>
      <c r="Q2002">
        <v>4</v>
      </c>
      <c r="R2002" t="s">
        <v>59</v>
      </c>
      <c r="S2002">
        <v>1</v>
      </c>
    </row>
    <row r="2003" spans="1:19" ht="16.5" x14ac:dyDescent="0.3">
      <c r="A2003" t="s">
        <v>2064</v>
      </c>
      <c r="B2003" s="1">
        <v>45571</v>
      </c>
      <c r="C2003" s="1">
        <v>45574</v>
      </c>
      <c r="D2003">
        <v>2024</v>
      </c>
      <c r="E2003" t="s">
        <v>2026</v>
      </c>
      <c r="F2003" t="s">
        <v>2027</v>
      </c>
      <c r="G2003" t="s">
        <v>112</v>
      </c>
      <c r="H2003" t="s">
        <v>39</v>
      </c>
      <c r="I2003" t="s">
        <v>40</v>
      </c>
      <c r="J2003" t="s">
        <v>43</v>
      </c>
      <c r="K2003" t="s">
        <v>41</v>
      </c>
      <c r="L2003" t="s">
        <v>27</v>
      </c>
      <c r="M2003">
        <v>3</v>
      </c>
      <c r="N2003" s="2"/>
      <c r="O2003" s="3">
        <v>2729</v>
      </c>
      <c r="P2003">
        <v>0</v>
      </c>
      <c r="Q2003">
        <v>4</v>
      </c>
      <c r="R2003" t="s">
        <v>33</v>
      </c>
      <c r="S2003">
        <v>1</v>
      </c>
    </row>
    <row r="2004" spans="1:19" ht="16.5" x14ac:dyDescent="0.3">
      <c r="A2004" t="s">
        <v>2065</v>
      </c>
      <c r="B2004" s="1">
        <v>45572</v>
      </c>
      <c r="C2004" s="1">
        <v>45575</v>
      </c>
      <c r="D2004">
        <v>2024</v>
      </c>
      <c r="E2004" t="s">
        <v>2026</v>
      </c>
      <c r="F2004" t="s">
        <v>2027</v>
      </c>
      <c r="G2004" t="s">
        <v>22</v>
      </c>
      <c r="H2004" t="s">
        <v>39</v>
      </c>
      <c r="I2004" t="s">
        <v>24</v>
      </c>
      <c r="J2004" t="s">
        <v>43</v>
      </c>
      <c r="K2004" t="s">
        <v>41</v>
      </c>
      <c r="L2004" t="s">
        <v>44</v>
      </c>
      <c r="M2004">
        <v>3</v>
      </c>
      <c r="N2004" s="2">
        <v>92</v>
      </c>
      <c r="O2004" s="3">
        <v>2432</v>
      </c>
      <c r="P2004">
        <v>0</v>
      </c>
      <c r="Q2004">
        <v>3</v>
      </c>
      <c r="R2004" t="s">
        <v>59</v>
      </c>
      <c r="S2004">
        <v>1</v>
      </c>
    </row>
    <row r="2005" spans="1:19" ht="16.5" x14ac:dyDescent="0.3">
      <c r="A2005" t="s">
        <v>2066</v>
      </c>
      <c r="B2005" s="1">
        <v>45572</v>
      </c>
      <c r="C2005" s="1">
        <v>45579</v>
      </c>
      <c r="D2005">
        <v>2024</v>
      </c>
      <c r="E2005" t="s">
        <v>2026</v>
      </c>
      <c r="F2005" t="s">
        <v>2027</v>
      </c>
      <c r="G2005" t="s">
        <v>22</v>
      </c>
      <c r="H2005" t="s">
        <v>23</v>
      </c>
      <c r="I2005" t="s">
        <v>24</v>
      </c>
      <c r="J2005" t="s">
        <v>43</v>
      </c>
      <c r="K2005" t="s">
        <v>26</v>
      </c>
      <c r="L2005" t="s">
        <v>44</v>
      </c>
      <c r="M2005">
        <v>7</v>
      </c>
      <c r="N2005" s="2">
        <v>123</v>
      </c>
      <c r="O2005" s="3">
        <v>5400</v>
      </c>
      <c r="P2005">
        <v>0</v>
      </c>
      <c r="Q2005">
        <v>5</v>
      </c>
      <c r="R2005" t="s">
        <v>33</v>
      </c>
      <c r="S2005">
        <v>1</v>
      </c>
    </row>
    <row r="2006" spans="1:19" ht="16.5" x14ac:dyDescent="0.3">
      <c r="A2006" t="s">
        <v>2067</v>
      </c>
      <c r="B2006" s="1">
        <v>45572</v>
      </c>
      <c r="C2006" s="1">
        <v>45573</v>
      </c>
      <c r="D2006">
        <v>2024</v>
      </c>
      <c r="E2006" t="s">
        <v>2026</v>
      </c>
      <c r="F2006" t="s">
        <v>2027</v>
      </c>
      <c r="G2006" t="s">
        <v>22</v>
      </c>
      <c r="H2006" t="s">
        <v>52</v>
      </c>
      <c r="I2006" t="s">
        <v>40</v>
      </c>
      <c r="J2006" t="s">
        <v>43</v>
      </c>
      <c r="K2006" t="s">
        <v>26</v>
      </c>
      <c r="L2006" t="s">
        <v>44</v>
      </c>
      <c r="M2006">
        <v>1</v>
      </c>
      <c r="N2006" s="2"/>
      <c r="O2006" s="3">
        <v>2013</v>
      </c>
      <c r="P2006">
        <v>0</v>
      </c>
      <c r="Q2006">
        <v>4</v>
      </c>
      <c r="R2006" t="s">
        <v>33</v>
      </c>
      <c r="S2006">
        <v>1</v>
      </c>
    </row>
    <row r="2007" spans="1:19" ht="16.5" x14ac:dyDescent="0.3">
      <c r="A2007" t="s">
        <v>2068</v>
      </c>
      <c r="B2007" s="1">
        <v>45572</v>
      </c>
      <c r="C2007" s="1">
        <v>45573</v>
      </c>
      <c r="D2007">
        <v>2024</v>
      </c>
      <c r="E2007" t="s">
        <v>2026</v>
      </c>
      <c r="F2007" t="s">
        <v>2027</v>
      </c>
      <c r="G2007" t="s">
        <v>22</v>
      </c>
      <c r="H2007" t="s">
        <v>52</v>
      </c>
      <c r="I2007" t="s">
        <v>24</v>
      </c>
      <c r="J2007" t="s">
        <v>25</v>
      </c>
      <c r="K2007" t="s">
        <v>32</v>
      </c>
      <c r="L2007" t="s">
        <v>27</v>
      </c>
      <c r="M2007">
        <v>1</v>
      </c>
      <c r="N2007" s="2">
        <v>88</v>
      </c>
      <c r="O2007" s="3">
        <v>1851</v>
      </c>
      <c r="P2007">
        <v>0</v>
      </c>
      <c r="Q2007">
        <v>5</v>
      </c>
      <c r="R2007" t="s">
        <v>33</v>
      </c>
      <c r="S2007">
        <v>1</v>
      </c>
    </row>
    <row r="2008" spans="1:19" ht="16.5" x14ac:dyDescent="0.3">
      <c r="A2008" t="s">
        <v>2069</v>
      </c>
      <c r="B2008" s="1">
        <v>45572</v>
      </c>
      <c r="C2008" s="1">
        <v>45578</v>
      </c>
      <c r="D2008">
        <v>2024</v>
      </c>
      <c r="E2008" t="s">
        <v>2026</v>
      </c>
      <c r="F2008" t="s">
        <v>2027</v>
      </c>
      <c r="G2008" t="s">
        <v>22</v>
      </c>
      <c r="H2008" t="s">
        <v>23</v>
      </c>
      <c r="I2008" t="s">
        <v>24</v>
      </c>
      <c r="J2008" t="s">
        <v>25</v>
      </c>
      <c r="K2008" t="s">
        <v>53</v>
      </c>
      <c r="L2008" t="s">
        <v>27</v>
      </c>
      <c r="M2008">
        <v>6</v>
      </c>
      <c r="N2008" s="2">
        <v>44</v>
      </c>
      <c r="O2008" s="3">
        <v>4546</v>
      </c>
      <c r="P2008">
        <v>0</v>
      </c>
      <c r="Q2008">
        <v>4</v>
      </c>
      <c r="R2008" t="s">
        <v>59</v>
      </c>
      <c r="S2008">
        <v>1</v>
      </c>
    </row>
    <row r="2009" spans="1:19" ht="16.5" x14ac:dyDescent="0.3">
      <c r="A2009" t="s">
        <v>2070</v>
      </c>
      <c r="B2009" s="1">
        <v>45572</v>
      </c>
      <c r="C2009" s="1">
        <v>45574</v>
      </c>
      <c r="D2009">
        <v>2024</v>
      </c>
      <c r="E2009" t="s">
        <v>2026</v>
      </c>
      <c r="F2009" t="s">
        <v>2027</v>
      </c>
      <c r="G2009" t="s">
        <v>22</v>
      </c>
      <c r="H2009" t="s">
        <v>30</v>
      </c>
      <c r="I2009" t="s">
        <v>24</v>
      </c>
      <c r="J2009" t="s">
        <v>43</v>
      </c>
      <c r="K2009" t="s">
        <v>53</v>
      </c>
      <c r="L2009" t="s">
        <v>44</v>
      </c>
      <c r="M2009">
        <v>2</v>
      </c>
      <c r="N2009" s="2">
        <v>43</v>
      </c>
      <c r="O2009" s="3">
        <v>2883</v>
      </c>
      <c r="P2009">
        <v>0</v>
      </c>
      <c r="Q2009">
        <v>4</v>
      </c>
      <c r="R2009" t="s">
        <v>59</v>
      </c>
      <c r="S2009">
        <v>1</v>
      </c>
    </row>
    <row r="2010" spans="1:19" ht="16.5" x14ac:dyDescent="0.3">
      <c r="A2010" t="s">
        <v>2071</v>
      </c>
      <c r="B2010" s="1">
        <v>45573</v>
      </c>
      <c r="C2010" s="1">
        <v>45575</v>
      </c>
      <c r="D2010">
        <v>2024</v>
      </c>
      <c r="E2010" t="s">
        <v>2026</v>
      </c>
      <c r="F2010" t="s">
        <v>2027</v>
      </c>
      <c r="G2010" t="s">
        <v>56</v>
      </c>
      <c r="H2010" t="s">
        <v>23</v>
      </c>
      <c r="I2010" t="s">
        <v>24</v>
      </c>
      <c r="J2010" t="s">
        <v>25</v>
      </c>
      <c r="K2010" t="s">
        <v>26</v>
      </c>
      <c r="L2010" t="s">
        <v>44</v>
      </c>
      <c r="M2010">
        <v>2</v>
      </c>
      <c r="N2010" s="2">
        <v>15</v>
      </c>
      <c r="O2010" s="3">
        <v>1958</v>
      </c>
      <c r="P2010">
        <v>0</v>
      </c>
      <c r="Q2010">
        <v>5</v>
      </c>
      <c r="R2010" t="s">
        <v>33</v>
      </c>
      <c r="S2010">
        <v>1</v>
      </c>
    </row>
    <row r="2011" spans="1:19" ht="16.5" x14ac:dyDescent="0.3">
      <c r="A2011" t="s">
        <v>2072</v>
      </c>
      <c r="B2011" s="1">
        <v>45573</v>
      </c>
      <c r="C2011" s="1">
        <v>45577</v>
      </c>
      <c r="D2011">
        <v>2024</v>
      </c>
      <c r="E2011" t="s">
        <v>2026</v>
      </c>
      <c r="F2011" t="s">
        <v>2027</v>
      </c>
      <c r="G2011" t="s">
        <v>56</v>
      </c>
      <c r="H2011" t="s">
        <v>39</v>
      </c>
      <c r="I2011" t="s">
        <v>40</v>
      </c>
      <c r="J2011" t="s">
        <v>43</v>
      </c>
      <c r="K2011" t="s">
        <v>41</v>
      </c>
      <c r="L2011" t="s">
        <v>27</v>
      </c>
      <c r="M2011">
        <v>4</v>
      </c>
      <c r="N2011" s="2"/>
      <c r="O2011" s="3">
        <v>3808</v>
      </c>
      <c r="P2011">
        <v>0</v>
      </c>
      <c r="Q2011">
        <v>5</v>
      </c>
      <c r="R2011" t="s">
        <v>33</v>
      </c>
      <c r="S2011">
        <v>1</v>
      </c>
    </row>
    <row r="2012" spans="1:19" ht="16.5" x14ac:dyDescent="0.3">
      <c r="A2012" t="s">
        <v>2073</v>
      </c>
      <c r="B2012" s="1">
        <v>45573</v>
      </c>
      <c r="C2012" s="1">
        <v>45577</v>
      </c>
      <c r="D2012">
        <v>2024</v>
      </c>
      <c r="E2012" t="s">
        <v>2026</v>
      </c>
      <c r="F2012" t="s">
        <v>2027</v>
      </c>
      <c r="G2012" t="s">
        <v>56</v>
      </c>
      <c r="H2012" t="s">
        <v>39</v>
      </c>
      <c r="I2012" t="s">
        <v>31</v>
      </c>
      <c r="J2012" t="s">
        <v>43</v>
      </c>
      <c r="K2012" t="s">
        <v>41</v>
      </c>
      <c r="L2012" t="s">
        <v>44</v>
      </c>
      <c r="M2012">
        <v>4</v>
      </c>
      <c r="N2012" s="2"/>
      <c r="O2012" s="3">
        <v>2687</v>
      </c>
      <c r="P2012">
        <v>0</v>
      </c>
      <c r="Q2012">
        <v>4</v>
      </c>
      <c r="R2012" t="s">
        <v>28</v>
      </c>
      <c r="S2012">
        <v>1</v>
      </c>
    </row>
    <row r="2013" spans="1:19" ht="16.5" x14ac:dyDescent="0.3">
      <c r="A2013" t="s">
        <v>2074</v>
      </c>
      <c r="B2013" s="1">
        <v>45573</v>
      </c>
      <c r="C2013" s="1">
        <v>45576</v>
      </c>
      <c r="D2013">
        <v>2024</v>
      </c>
      <c r="E2013" t="s">
        <v>2026</v>
      </c>
      <c r="F2013" t="s">
        <v>2027</v>
      </c>
      <c r="G2013" t="s">
        <v>56</v>
      </c>
      <c r="H2013" t="s">
        <v>50</v>
      </c>
      <c r="I2013" t="s">
        <v>24</v>
      </c>
      <c r="J2013" t="s">
        <v>25</v>
      </c>
      <c r="K2013" t="s">
        <v>26</v>
      </c>
      <c r="L2013" t="s">
        <v>44</v>
      </c>
      <c r="M2013">
        <v>3</v>
      </c>
      <c r="N2013" s="2">
        <v>37</v>
      </c>
      <c r="O2013" s="3">
        <v>4453</v>
      </c>
      <c r="P2013">
        <v>0</v>
      </c>
      <c r="Q2013">
        <v>4</v>
      </c>
      <c r="R2013" t="s">
        <v>33</v>
      </c>
      <c r="S2013">
        <v>1</v>
      </c>
    </row>
    <row r="2014" spans="1:19" ht="16.5" x14ac:dyDescent="0.3">
      <c r="A2014" t="s">
        <v>2075</v>
      </c>
      <c r="B2014" s="1">
        <v>45573</v>
      </c>
      <c r="C2014" s="1">
        <v>45583</v>
      </c>
      <c r="D2014">
        <v>2024</v>
      </c>
      <c r="E2014" t="s">
        <v>2026</v>
      </c>
      <c r="F2014" t="s">
        <v>2027</v>
      </c>
      <c r="G2014" t="s">
        <v>56</v>
      </c>
      <c r="H2014" t="s">
        <v>50</v>
      </c>
      <c r="I2014" t="s">
        <v>24</v>
      </c>
      <c r="J2014" t="s">
        <v>43</v>
      </c>
      <c r="K2014" t="s">
        <v>53</v>
      </c>
      <c r="L2014" t="s">
        <v>27</v>
      </c>
      <c r="M2014">
        <v>10</v>
      </c>
      <c r="N2014" s="2">
        <v>59</v>
      </c>
      <c r="O2014" s="3">
        <v>15457</v>
      </c>
      <c r="P2014">
        <v>0</v>
      </c>
      <c r="Q2014">
        <v>4</v>
      </c>
      <c r="R2014" t="s">
        <v>33</v>
      </c>
      <c r="S2014">
        <v>1</v>
      </c>
    </row>
    <row r="2015" spans="1:19" ht="16.5" x14ac:dyDescent="0.3">
      <c r="A2015" t="s">
        <v>2076</v>
      </c>
      <c r="B2015" s="1">
        <v>45573</v>
      </c>
      <c r="C2015" s="1">
        <v>45575</v>
      </c>
      <c r="D2015">
        <v>2024</v>
      </c>
      <c r="E2015" t="s">
        <v>2026</v>
      </c>
      <c r="F2015" t="s">
        <v>2027</v>
      </c>
      <c r="G2015" t="s">
        <v>56</v>
      </c>
      <c r="H2015" t="s">
        <v>35</v>
      </c>
      <c r="I2015" t="s">
        <v>40</v>
      </c>
      <c r="J2015" t="s">
        <v>25</v>
      </c>
      <c r="K2015" t="s">
        <v>36</v>
      </c>
      <c r="L2015" t="s">
        <v>27</v>
      </c>
      <c r="M2015">
        <v>2</v>
      </c>
      <c r="N2015" s="2"/>
      <c r="O2015" s="3">
        <v>1845</v>
      </c>
      <c r="P2015">
        <v>0</v>
      </c>
      <c r="Q2015">
        <v>4</v>
      </c>
      <c r="R2015" t="s">
        <v>33</v>
      </c>
      <c r="S2015">
        <v>1</v>
      </c>
    </row>
    <row r="2016" spans="1:19" ht="16.5" x14ac:dyDescent="0.3">
      <c r="A2016" t="s">
        <v>2077</v>
      </c>
      <c r="B2016" s="1">
        <v>45573</v>
      </c>
      <c r="C2016" s="1">
        <v>45578</v>
      </c>
      <c r="D2016">
        <v>2024</v>
      </c>
      <c r="E2016" t="s">
        <v>2026</v>
      </c>
      <c r="F2016" t="s">
        <v>2027</v>
      </c>
      <c r="G2016" t="s">
        <v>56</v>
      </c>
      <c r="H2016" t="s">
        <v>30</v>
      </c>
      <c r="I2016" t="s">
        <v>24</v>
      </c>
      <c r="J2016" t="s">
        <v>43</v>
      </c>
      <c r="K2016" t="s">
        <v>32</v>
      </c>
      <c r="L2016" t="s">
        <v>37</v>
      </c>
      <c r="M2016">
        <v>5</v>
      </c>
      <c r="N2016" s="2">
        <v>122</v>
      </c>
      <c r="O2016" s="3">
        <v>5705</v>
      </c>
      <c r="P2016">
        <v>0</v>
      </c>
      <c r="Q2016">
        <v>4</v>
      </c>
      <c r="R2016" t="s">
        <v>28</v>
      </c>
      <c r="S2016">
        <v>1</v>
      </c>
    </row>
    <row r="2017" spans="1:19" ht="16.5" x14ac:dyDescent="0.3">
      <c r="A2017" t="s">
        <v>2078</v>
      </c>
      <c r="B2017" s="1">
        <v>45574</v>
      </c>
      <c r="C2017" s="1">
        <v>45578</v>
      </c>
      <c r="D2017">
        <v>2024</v>
      </c>
      <c r="E2017" t="s">
        <v>2026</v>
      </c>
      <c r="F2017" t="s">
        <v>2027</v>
      </c>
      <c r="G2017" t="s">
        <v>70</v>
      </c>
      <c r="H2017" t="s">
        <v>39</v>
      </c>
      <c r="I2017" t="s">
        <v>24</v>
      </c>
      <c r="J2017" t="s">
        <v>43</v>
      </c>
      <c r="K2017" t="s">
        <v>41</v>
      </c>
      <c r="L2017" t="s">
        <v>44</v>
      </c>
      <c r="M2017">
        <v>4</v>
      </c>
      <c r="N2017" s="2">
        <v>19</v>
      </c>
      <c r="O2017" s="3">
        <v>3458</v>
      </c>
      <c r="P2017">
        <v>0</v>
      </c>
      <c r="Q2017">
        <v>4</v>
      </c>
      <c r="R2017" t="s">
        <v>33</v>
      </c>
      <c r="S2017">
        <v>1</v>
      </c>
    </row>
    <row r="2018" spans="1:19" ht="16.5" x14ac:dyDescent="0.3">
      <c r="A2018" t="s">
        <v>2079</v>
      </c>
      <c r="B2018" s="1">
        <v>45574</v>
      </c>
      <c r="C2018" s="1">
        <v>45578</v>
      </c>
      <c r="D2018">
        <v>2024</v>
      </c>
      <c r="E2018" t="s">
        <v>2026</v>
      </c>
      <c r="F2018" t="s">
        <v>2027</v>
      </c>
      <c r="G2018" t="s">
        <v>70</v>
      </c>
      <c r="H2018" t="s">
        <v>52</v>
      </c>
      <c r="I2018" t="s">
        <v>40</v>
      </c>
      <c r="J2018" t="s">
        <v>25</v>
      </c>
      <c r="K2018" t="s">
        <v>32</v>
      </c>
      <c r="L2018" t="s">
        <v>27</v>
      </c>
      <c r="M2018">
        <v>4</v>
      </c>
      <c r="N2018" s="2"/>
      <c r="O2018" s="3">
        <v>5084</v>
      </c>
      <c r="P2018">
        <v>1</v>
      </c>
      <c r="Q2018">
        <v>3</v>
      </c>
      <c r="R2018" t="s">
        <v>33</v>
      </c>
      <c r="S2018">
        <v>1</v>
      </c>
    </row>
    <row r="2019" spans="1:19" ht="16.5" x14ac:dyDescent="0.3">
      <c r="A2019" t="s">
        <v>2080</v>
      </c>
      <c r="B2019" s="1">
        <v>45574</v>
      </c>
      <c r="C2019" s="1">
        <v>45578</v>
      </c>
      <c r="D2019">
        <v>2024</v>
      </c>
      <c r="E2019" t="s">
        <v>2026</v>
      </c>
      <c r="F2019" t="s">
        <v>2027</v>
      </c>
      <c r="G2019" t="s">
        <v>70</v>
      </c>
      <c r="H2019" t="s">
        <v>39</v>
      </c>
      <c r="I2019" t="s">
        <v>31</v>
      </c>
      <c r="J2019" t="s">
        <v>25</v>
      </c>
      <c r="K2019" t="s">
        <v>41</v>
      </c>
      <c r="L2019" t="s">
        <v>27</v>
      </c>
      <c r="M2019">
        <v>4</v>
      </c>
      <c r="N2019" s="2"/>
      <c r="O2019" s="3">
        <v>2956</v>
      </c>
      <c r="P2019">
        <v>0</v>
      </c>
      <c r="Q2019">
        <v>5</v>
      </c>
      <c r="R2019" t="s">
        <v>28</v>
      </c>
      <c r="S2019">
        <v>1</v>
      </c>
    </row>
    <row r="2020" spans="1:19" ht="16.5" x14ac:dyDescent="0.3">
      <c r="A2020" t="s">
        <v>2081</v>
      </c>
      <c r="B2020" s="1">
        <v>45574</v>
      </c>
      <c r="C2020" s="1">
        <v>45579</v>
      </c>
      <c r="D2020">
        <v>2024</v>
      </c>
      <c r="E2020" t="s">
        <v>2026</v>
      </c>
      <c r="F2020" t="s">
        <v>2027</v>
      </c>
      <c r="G2020" t="s">
        <v>70</v>
      </c>
      <c r="H2020" t="s">
        <v>30</v>
      </c>
      <c r="I2020" t="s">
        <v>40</v>
      </c>
      <c r="J2020" t="s">
        <v>43</v>
      </c>
      <c r="K2020" t="s">
        <v>36</v>
      </c>
      <c r="L2020" t="s">
        <v>44</v>
      </c>
      <c r="M2020">
        <v>5</v>
      </c>
      <c r="N2020" s="2"/>
      <c r="O2020" s="3">
        <v>5458</v>
      </c>
      <c r="P2020">
        <v>0</v>
      </c>
      <c r="Q2020">
        <v>3</v>
      </c>
      <c r="R2020" t="s">
        <v>28</v>
      </c>
      <c r="S2020">
        <v>1</v>
      </c>
    </row>
    <row r="2021" spans="1:19" ht="16.5" x14ac:dyDescent="0.3">
      <c r="A2021" t="s">
        <v>2082</v>
      </c>
      <c r="B2021" s="1">
        <v>45574</v>
      </c>
      <c r="C2021" s="1">
        <v>45576</v>
      </c>
      <c r="D2021">
        <v>2024</v>
      </c>
      <c r="E2021" t="s">
        <v>2026</v>
      </c>
      <c r="F2021" t="s">
        <v>2027</v>
      </c>
      <c r="G2021" t="s">
        <v>70</v>
      </c>
      <c r="H2021" t="s">
        <v>30</v>
      </c>
      <c r="I2021" t="s">
        <v>40</v>
      </c>
      <c r="J2021" t="s">
        <v>25</v>
      </c>
      <c r="K2021" t="s">
        <v>32</v>
      </c>
      <c r="L2021" t="s">
        <v>27</v>
      </c>
      <c r="M2021">
        <v>2</v>
      </c>
      <c r="N2021" s="2"/>
      <c r="O2021" s="3">
        <v>2662</v>
      </c>
      <c r="P2021">
        <v>0</v>
      </c>
      <c r="Q2021">
        <v>5</v>
      </c>
      <c r="R2021" t="s">
        <v>59</v>
      </c>
      <c r="S2021">
        <v>1</v>
      </c>
    </row>
    <row r="2022" spans="1:19" ht="16.5" x14ac:dyDescent="0.3">
      <c r="A2022" t="s">
        <v>2083</v>
      </c>
      <c r="B2022" s="1">
        <v>45574</v>
      </c>
      <c r="C2022" s="1">
        <v>45581</v>
      </c>
      <c r="D2022">
        <v>2024</v>
      </c>
      <c r="E2022" t="s">
        <v>2026</v>
      </c>
      <c r="F2022" t="s">
        <v>2027</v>
      </c>
      <c r="G2022" t="s">
        <v>70</v>
      </c>
      <c r="H2022" t="s">
        <v>52</v>
      </c>
      <c r="I2022" t="s">
        <v>24</v>
      </c>
      <c r="J2022" t="s">
        <v>43</v>
      </c>
      <c r="K2022" t="s">
        <v>36</v>
      </c>
      <c r="L2022" t="s">
        <v>44</v>
      </c>
      <c r="M2022">
        <v>7</v>
      </c>
      <c r="N2022" s="2">
        <v>93</v>
      </c>
      <c r="O2022" s="3">
        <v>8093</v>
      </c>
      <c r="P2022">
        <v>0</v>
      </c>
      <c r="Q2022">
        <v>3</v>
      </c>
      <c r="R2022" t="s">
        <v>33</v>
      </c>
      <c r="S2022">
        <v>1</v>
      </c>
    </row>
    <row r="2023" spans="1:19" ht="16.5" x14ac:dyDescent="0.3">
      <c r="A2023" t="s">
        <v>2084</v>
      </c>
      <c r="B2023" s="1">
        <v>45574</v>
      </c>
      <c r="C2023" s="1">
        <v>45578</v>
      </c>
      <c r="D2023">
        <v>2024</v>
      </c>
      <c r="E2023" t="s">
        <v>2026</v>
      </c>
      <c r="F2023" t="s">
        <v>2027</v>
      </c>
      <c r="G2023" t="s">
        <v>70</v>
      </c>
      <c r="H2023" t="s">
        <v>50</v>
      </c>
      <c r="I2023" t="s">
        <v>40</v>
      </c>
      <c r="J2023" t="s">
        <v>43</v>
      </c>
      <c r="K2023" t="s">
        <v>26</v>
      </c>
      <c r="L2023" t="s">
        <v>44</v>
      </c>
      <c r="M2023">
        <v>4</v>
      </c>
      <c r="N2023" s="2"/>
      <c r="O2023" s="3">
        <v>4414</v>
      </c>
      <c r="P2023">
        <v>1</v>
      </c>
      <c r="Q2023">
        <v>4</v>
      </c>
      <c r="R2023" t="s">
        <v>59</v>
      </c>
      <c r="S2023">
        <v>1</v>
      </c>
    </row>
    <row r="2024" spans="1:19" ht="16.5" x14ac:dyDescent="0.3">
      <c r="A2024" t="s">
        <v>2085</v>
      </c>
      <c r="B2024" s="1">
        <v>45574</v>
      </c>
      <c r="C2024" s="1">
        <v>45578</v>
      </c>
      <c r="D2024">
        <v>2024</v>
      </c>
      <c r="E2024" t="s">
        <v>2026</v>
      </c>
      <c r="F2024" t="s">
        <v>2027</v>
      </c>
      <c r="G2024" t="s">
        <v>70</v>
      </c>
      <c r="H2024" t="s">
        <v>50</v>
      </c>
      <c r="I2024" t="s">
        <v>24</v>
      </c>
      <c r="J2024" t="s">
        <v>43</v>
      </c>
      <c r="K2024" t="s">
        <v>26</v>
      </c>
      <c r="L2024" t="s">
        <v>27</v>
      </c>
      <c r="M2024">
        <v>4</v>
      </c>
      <c r="N2024" s="2">
        <v>104</v>
      </c>
      <c r="O2024" s="3">
        <v>5488</v>
      </c>
      <c r="P2024">
        <v>0</v>
      </c>
      <c r="Q2024">
        <v>4</v>
      </c>
      <c r="R2024" t="s">
        <v>28</v>
      </c>
      <c r="S2024">
        <v>1</v>
      </c>
    </row>
    <row r="2025" spans="1:19" ht="16.5" x14ac:dyDescent="0.3">
      <c r="A2025" t="s">
        <v>2086</v>
      </c>
      <c r="B2025" s="1">
        <v>45574</v>
      </c>
      <c r="C2025" s="1">
        <v>45587</v>
      </c>
      <c r="D2025">
        <v>2024</v>
      </c>
      <c r="E2025" t="s">
        <v>2026</v>
      </c>
      <c r="F2025" t="s">
        <v>2027</v>
      </c>
      <c r="G2025" t="s">
        <v>70</v>
      </c>
      <c r="H2025" t="s">
        <v>50</v>
      </c>
      <c r="I2025" t="s">
        <v>24</v>
      </c>
      <c r="J2025" t="s">
        <v>43</v>
      </c>
      <c r="K2025" t="s">
        <v>26</v>
      </c>
      <c r="L2025" t="s">
        <v>27</v>
      </c>
      <c r="M2025">
        <v>13</v>
      </c>
      <c r="N2025" s="2">
        <v>86</v>
      </c>
      <c r="O2025" s="3">
        <v>17177</v>
      </c>
      <c r="P2025">
        <v>1</v>
      </c>
      <c r="Q2025">
        <v>5</v>
      </c>
      <c r="R2025" t="s">
        <v>28</v>
      </c>
      <c r="S2025">
        <v>1</v>
      </c>
    </row>
    <row r="2026" spans="1:19" ht="16.5" x14ac:dyDescent="0.3">
      <c r="A2026" t="s">
        <v>2087</v>
      </c>
      <c r="B2026" s="1">
        <v>45574</v>
      </c>
      <c r="C2026" s="1">
        <v>45580</v>
      </c>
      <c r="D2026">
        <v>2024</v>
      </c>
      <c r="E2026" t="s">
        <v>2026</v>
      </c>
      <c r="F2026" t="s">
        <v>2027</v>
      </c>
      <c r="G2026" t="s">
        <v>70</v>
      </c>
      <c r="H2026" t="s">
        <v>30</v>
      </c>
      <c r="I2026" t="s">
        <v>40</v>
      </c>
      <c r="J2026" t="s">
        <v>43</v>
      </c>
      <c r="K2026" t="s">
        <v>26</v>
      </c>
      <c r="L2026" t="s">
        <v>27</v>
      </c>
      <c r="M2026">
        <v>6</v>
      </c>
      <c r="N2026" s="2"/>
      <c r="O2026" s="3">
        <v>7236</v>
      </c>
      <c r="P2026">
        <v>0</v>
      </c>
      <c r="Q2026">
        <v>4</v>
      </c>
      <c r="R2026" t="s">
        <v>33</v>
      </c>
      <c r="S2026">
        <v>1</v>
      </c>
    </row>
    <row r="2027" spans="1:19" ht="16.5" x14ac:dyDescent="0.3">
      <c r="A2027" t="s">
        <v>2088</v>
      </c>
      <c r="B2027" s="1">
        <v>45574</v>
      </c>
      <c r="C2027" s="1">
        <v>45577</v>
      </c>
      <c r="D2027">
        <v>2024</v>
      </c>
      <c r="E2027" t="s">
        <v>2026</v>
      </c>
      <c r="F2027" t="s">
        <v>2027</v>
      </c>
      <c r="G2027" t="s">
        <v>70</v>
      </c>
      <c r="H2027" t="s">
        <v>52</v>
      </c>
      <c r="I2027" t="s">
        <v>40</v>
      </c>
      <c r="J2027" t="s">
        <v>43</v>
      </c>
      <c r="K2027" t="s">
        <v>26</v>
      </c>
      <c r="L2027" t="s">
        <v>37</v>
      </c>
      <c r="M2027">
        <v>3</v>
      </c>
      <c r="N2027" s="2"/>
      <c r="O2027" s="3">
        <v>3097</v>
      </c>
      <c r="P2027">
        <v>0</v>
      </c>
      <c r="Q2027">
        <v>5</v>
      </c>
      <c r="R2027" t="s">
        <v>28</v>
      </c>
      <c r="S2027">
        <v>1</v>
      </c>
    </row>
    <row r="2028" spans="1:19" ht="16.5" x14ac:dyDescent="0.3">
      <c r="A2028" t="s">
        <v>2089</v>
      </c>
      <c r="B2028" s="1">
        <v>45574</v>
      </c>
      <c r="C2028" s="1">
        <v>45587</v>
      </c>
      <c r="D2028">
        <v>2024</v>
      </c>
      <c r="E2028" t="s">
        <v>2026</v>
      </c>
      <c r="F2028" t="s">
        <v>2027</v>
      </c>
      <c r="G2028" t="s">
        <v>70</v>
      </c>
      <c r="H2028" t="s">
        <v>23</v>
      </c>
      <c r="I2028" t="s">
        <v>24</v>
      </c>
      <c r="J2028" t="s">
        <v>25</v>
      </c>
      <c r="K2028" t="s">
        <v>26</v>
      </c>
      <c r="L2028" t="s">
        <v>27</v>
      </c>
      <c r="M2028">
        <v>13</v>
      </c>
      <c r="N2028" s="2">
        <v>98</v>
      </c>
      <c r="O2028" s="3">
        <v>9235</v>
      </c>
      <c r="P2028">
        <v>0</v>
      </c>
      <c r="Q2028">
        <v>3</v>
      </c>
      <c r="R2028" t="s">
        <v>28</v>
      </c>
      <c r="S2028">
        <v>1</v>
      </c>
    </row>
    <row r="2029" spans="1:19" ht="16.5" x14ac:dyDescent="0.3">
      <c r="A2029" t="s">
        <v>2090</v>
      </c>
      <c r="B2029" s="1">
        <v>45575</v>
      </c>
      <c r="C2029" s="1">
        <v>45576</v>
      </c>
      <c r="D2029">
        <v>2024</v>
      </c>
      <c r="E2029" t="s">
        <v>2026</v>
      </c>
      <c r="F2029" t="s">
        <v>2027</v>
      </c>
      <c r="G2029" t="s">
        <v>78</v>
      </c>
      <c r="H2029" t="s">
        <v>35</v>
      </c>
      <c r="I2029" t="s">
        <v>24</v>
      </c>
      <c r="J2029" t="s">
        <v>25</v>
      </c>
      <c r="K2029" t="s">
        <v>32</v>
      </c>
      <c r="L2029" t="s">
        <v>27</v>
      </c>
      <c r="M2029">
        <v>1</v>
      </c>
      <c r="N2029" s="2">
        <v>40</v>
      </c>
      <c r="O2029" s="3">
        <v>1548</v>
      </c>
      <c r="P2029">
        <v>0</v>
      </c>
      <c r="Q2029">
        <v>5</v>
      </c>
      <c r="R2029" t="s">
        <v>33</v>
      </c>
      <c r="S2029">
        <v>1</v>
      </c>
    </row>
    <row r="2030" spans="1:19" ht="16.5" x14ac:dyDescent="0.3">
      <c r="A2030" t="s">
        <v>2091</v>
      </c>
      <c r="B2030" s="1">
        <v>45575</v>
      </c>
      <c r="C2030" s="1">
        <v>45585</v>
      </c>
      <c r="D2030">
        <v>2024</v>
      </c>
      <c r="E2030" t="s">
        <v>2026</v>
      </c>
      <c r="F2030" t="s">
        <v>2027</v>
      </c>
      <c r="G2030" t="s">
        <v>78</v>
      </c>
      <c r="H2030" t="s">
        <v>50</v>
      </c>
      <c r="I2030" t="s">
        <v>24</v>
      </c>
      <c r="J2030" t="s">
        <v>25</v>
      </c>
      <c r="K2030" t="s">
        <v>32</v>
      </c>
      <c r="L2030" t="s">
        <v>44</v>
      </c>
      <c r="M2030">
        <v>10</v>
      </c>
      <c r="N2030" s="2">
        <v>80</v>
      </c>
      <c r="O2030" s="3">
        <v>12403</v>
      </c>
      <c r="P2030">
        <v>0</v>
      </c>
      <c r="Q2030">
        <v>5</v>
      </c>
      <c r="R2030" t="s">
        <v>28</v>
      </c>
      <c r="S2030">
        <v>1</v>
      </c>
    </row>
    <row r="2031" spans="1:19" ht="16.5" x14ac:dyDescent="0.3">
      <c r="A2031" t="s">
        <v>2092</v>
      </c>
      <c r="B2031" s="1">
        <v>45575</v>
      </c>
      <c r="C2031" s="1">
        <v>45579</v>
      </c>
      <c r="D2031">
        <v>2024</v>
      </c>
      <c r="E2031" t="s">
        <v>2026</v>
      </c>
      <c r="F2031" t="s">
        <v>2027</v>
      </c>
      <c r="G2031" t="s">
        <v>78</v>
      </c>
      <c r="H2031" t="s">
        <v>30</v>
      </c>
      <c r="I2031" t="s">
        <v>40</v>
      </c>
      <c r="J2031" t="s">
        <v>43</v>
      </c>
      <c r="K2031" t="s">
        <v>53</v>
      </c>
      <c r="L2031" t="s">
        <v>44</v>
      </c>
      <c r="M2031">
        <v>4</v>
      </c>
      <c r="N2031" s="2"/>
      <c r="O2031" s="3">
        <v>5965</v>
      </c>
      <c r="P2031">
        <v>0</v>
      </c>
      <c r="Q2031">
        <v>4</v>
      </c>
      <c r="R2031" t="s">
        <v>28</v>
      </c>
      <c r="S2031">
        <v>1</v>
      </c>
    </row>
    <row r="2032" spans="1:19" ht="16.5" x14ac:dyDescent="0.3">
      <c r="A2032" t="s">
        <v>2093</v>
      </c>
      <c r="B2032" s="1">
        <v>45575</v>
      </c>
      <c r="C2032" s="1">
        <v>45580</v>
      </c>
      <c r="D2032">
        <v>2024</v>
      </c>
      <c r="E2032" t="s">
        <v>2026</v>
      </c>
      <c r="F2032" t="s">
        <v>2027</v>
      </c>
      <c r="G2032" t="s">
        <v>78</v>
      </c>
      <c r="H2032" t="s">
        <v>39</v>
      </c>
      <c r="I2032" t="s">
        <v>24</v>
      </c>
      <c r="J2032" t="s">
        <v>25</v>
      </c>
      <c r="K2032" t="s">
        <v>41</v>
      </c>
      <c r="L2032" t="s">
        <v>27</v>
      </c>
      <c r="M2032">
        <v>5</v>
      </c>
      <c r="N2032" s="2">
        <v>40</v>
      </c>
      <c r="O2032" s="3">
        <v>4148</v>
      </c>
      <c r="P2032">
        <v>0</v>
      </c>
      <c r="Q2032">
        <v>4</v>
      </c>
      <c r="R2032" t="s">
        <v>28</v>
      </c>
      <c r="S2032">
        <v>1</v>
      </c>
    </row>
    <row r="2033" spans="1:19" ht="16.5" x14ac:dyDescent="0.3">
      <c r="A2033" t="s">
        <v>2094</v>
      </c>
      <c r="B2033" s="1">
        <v>45575</v>
      </c>
      <c r="C2033" s="1">
        <v>45579</v>
      </c>
      <c r="D2033">
        <v>2024</v>
      </c>
      <c r="E2033" t="s">
        <v>2026</v>
      </c>
      <c r="F2033" t="s">
        <v>2027</v>
      </c>
      <c r="G2033" t="s">
        <v>78</v>
      </c>
      <c r="H2033" t="s">
        <v>23</v>
      </c>
      <c r="I2033" t="s">
        <v>40</v>
      </c>
      <c r="J2033" t="s">
        <v>25</v>
      </c>
      <c r="K2033" t="s">
        <v>53</v>
      </c>
      <c r="L2033" t="s">
        <v>27</v>
      </c>
      <c r="M2033">
        <v>4</v>
      </c>
      <c r="N2033" s="2"/>
      <c r="O2033" s="3">
        <v>3538</v>
      </c>
      <c r="P2033">
        <v>0</v>
      </c>
      <c r="Q2033">
        <v>5</v>
      </c>
      <c r="R2033" t="s">
        <v>33</v>
      </c>
      <c r="S2033">
        <v>1</v>
      </c>
    </row>
    <row r="2034" spans="1:19" ht="16.5" x14ac:dyDescent="0.3">
      <c r="A2034" t="s">
        <v>2095</v>
      </c>
      <c r="B2034" s="1">
        <v>45575</v>
      </c>
      <c r="C2034" s="1">
        <v>45579</v>
      </c>
      <c r="D2034">
        <v>2024</v>
      </c>
      <c r="E2034" t="s">
        <v>2026</v>
      </c>
      <c r="F2034" t="s">
        <v>2027</v>
      </c>
      <c r="G2034" t="s">
        <v>78</v>
      </c>
      <c r="H2034" t="s">
        <v>52</v>
      </c>
      <c r="I2034" t="s">
        <v>40</v>
      </c>
      <c r="J2034" t="s">
        <v>43</v>
      </c>
      <c r="K2034" t="s">
        <v>36</v>
      </c>
      <c r="L2034" t="s">
        <v>44</v>
      </c>
      <c r="M2034">
        <v>4</v>
      </c>
      <c r="N2034" s="2"/>
      <c r="O2034" s="3">
        <v>5002</v>
      </c>
      <c r="P2034">
        <v>0</v>
      </c>
      <c r="Q2034">
        <v>5</v>
      </c>
      <c r="R2034" t="s">
        <v>33</v>
      </c>
      <c r="S2034">
        <v>1</v>
      </c>
    </row>
    <row r="2035" spans="1:19" ht="16.5" x14ac:dyDescent="0.3">
      <c r="A2035" t="s">
        <v>2096</v>
      </c>
      <c r="B2035" s="1">
        <v>45575</v>
      </c>
      <c r="C2035" s="1">
        <v>45579</v>
      </c>
      <c r="D2035">
        <v>2024</v>
      </c>
      <c r="E2035" t="s">
        <v>2026</v>
      </c>
      <c r="F2035" t="s">
        <v>2027</v>
      </c>
      <c r="G2035" t="s">
        <v>78</v>
      </c>
      <c r="H2035" t="s">
        <v>39</v>
      </c>
      <c r="I2035" t="s">
        <v>24</v>
      </c>
      <c r="J2035" t="s">
        <v>43</v>
      </c>
      <c r="K2035" t="s">
        <v>41</v>
      </c>
      <c r="L2035" t="s">
        <v>27</v>
      </c>
      <c r="M2035">
        <v>4</v>
      </c>
      <c r="N2035" s="2">
        <v>57</v>
      </c>
      <c r="O2035" s="3">
        <v>2909</v>
      </c>
      <c r="P2035">
        <v>0</v>
      </c>
      <c r="Q2035">
        <v>4</v>
      </c>
      <c r="R2035" t="s">
        <v>28</v>
      </c>
      <c r="S2035">
        <v>1</v>
      </c>
    </row>
    <row r="2036" spans="1:19" ht="16.5" x14ac:dyDescent="0.3">
      <c r="A2036" t="s">
        <v>2097</v>
      </c>
      <c r="B2036" s="1">
        <v>45575</v>
      </c>
      <c r="C2036" s="1">
        <v>45580</v>
      </c>
      <c r="D2036">
        <v>2024</v>
      </c>
      <c r="E2036" t="s">
        <v>2026</v>
      </c>
      <c r="F2036" t="s">
        <v>2027</v>
      </c>
      <c r="G2036" t="s">
        <v>78</v>
      </c>
      <c r="H2036" t="s">
        <v>30</v>
      </c>
      <c r="I2036" t="s">
        <v>40</v>
      </c>
      <c r="J2036" t="s">
        <v>25</v>
      </c>
      <c r="K2036" t="s">
        <v>53</v>
      </c>
      <c r="L2036" t="s">
        <v>44</v>
      </c>
      <c r="M2036">
        <v>5</v>
      </c>
      <c r="N2036" s="2"/>
      <c r="O2036" s="3">
        <v>4932</v>
      </c>
      <c r="P2036">
        <v>0</v>
      </c>
      <c r="Q2036">
        <v>4</v>
      </c>
      <c r="R2036" t="s">
        <v>28</v>
      </c>
      <c r="S2036">
        <v>1</v>
      </c>
    </row>
    <row r="2037" spans="1:19" ht="16.5" x14ac:dyDescent="0.3">
      <c r="A2037" t="s">
        <v>2098</v>
      </c>
      <c r="B2037" s="1">
        <v>45575</v>
      </c>
      <c r="C2037" s="1">
        <v>45584</v>
      </c>
      <c r="D2037">
        <v>2024</v>
      </c>
      <c r="E2037" t="s">
        <v>2026</v>
      </c>
      <c r="F2037" t="s">
        <v>2027</v>
      </c>
      <c r="G2037" t="s">
        <v>78</v>
      </c>
      <c r="H2037" t="s">
        <v>30</v>
      </c>
      <c r="I2037" t="s">
        <v>24</v>
      </c>
      <c r="J2037" t="s">
        <v>25</v>
      </c>
      <c r="K2037" t="s">
        <v>26</v>
      </c>
      <c r="L2037" t="s">
        <v>37</v>
      </c>
      <c r="M2037">
        <v>9</v>
      </c>
      <c r="N2037" s="2">
        <v>61</v>
      </c>
      <c r="O2037" s="3">
        <v>8810</v>
      </c>
      <c r="P2037">
        <v>0</v>
      </c>
      <c r="Q2037">
        <v>4</v>
      </c>
      <c r="R2037" t="s">
        <v>33</v>
      </c>
      <c r="S2037">
        <v>1</v>
      </c>
    </row>
    <row r="2038" spans="1:19" ht="16.5" x14ac:dyDescent="0.3">
      <c r="A2038" t="s">
        <v>2099</v>
      </c>
      <c r="B2038" s="1">
        <v>45575</v>
      </c>
      <c r="C2038" s="1">
        <v>45576</v>
      </c>
      <c r="D2038">
        <v>2024</v>
      </c>
      <c r="E2038" t="s">
        <v>2026</v>
      </c>
      <c r="F2038" t="s">
        <v>2027</v>
      </c>
      <c r="G2038" t="s">
        <v>78</v>
      </c>
      <c r="H2038" t="s">
        <v>35</v>
      </c>
      <c r="I2038" t="s">
        <v>24</v>
      </c>
      <c r="J2038" t="s">
        <v>25</v>
      </c>
      <c r="K2038" t="s">
        <v>36</v>
      </c>
      <c r="L2038" t="s">
        <v>44</v>
      </c>
      <c r="M2038">
        <v>1</v>
      </c>
      <c r="N2038" s="2">
        <v>102</v>
      </c>
      <c r="O2038" s="3">
        <v>1220</v>
      </c>
      <c r="P2038">
        <v>1</v>
      </c>
      <c r="Q2038">
        <v>3</v>
      </c>
      <c r="R2038" t="s">
        <v>33</v>
      </c>
      <c r="S2038">
        <v>1</v>
      </c>
    </row>
    <row r="2039" spans="1:19" ht="16.5" x14ac:dyDescent="0.3">
      <c r="A2039" t="s">
        <v>2100</v>
      </c>
      <c r="B2039" s="1">
        <v>45576</v>
      </c>
      <c r="C2039" s="1">
        <v>45589</v>
      </c>
      <c r="D2039">
        <v>2024</v>
      </c>
      <c r="E2039" t="s">
        <v>2026</v>
      </c>
      <c r="F2039" t="s">
        <v>2027</v>
      </c>
      <c r="G2039" t="s">
        <v>83</v>
      </c>
      <c r="H2039" t="s">
        <v>50</v>
      </c>
      <c r="I2039" t="s">
        <v>24</v>
      </c>
      <c r="J2039" t="s">
        <v>43</v>
      </c>
      <c r="K2039" t="s">
        <v>26</v>
      </c>
      <c r="L2039" t="s">
        <v>44</v>
      </c>
      <c r="M2039">
        <v>13</v>
      </c>
      <c r="N2039" s="2">
        <v>93</v>
      </c>
      <c r="O2039" s="3">
        <v>17401</v>
      </c>
      <c r="P2039">
        <v>0</v>
      </c>
      <c r="Q2039">
        <v>3</v>
      </c>
      <c r="R2039" t="s">
        <v>33</v>
      </c>
      <c r="S2039">
        <v>1</v>
      </c>
    </row>
    <row r="2040" spans="1:19" ht="16.5" x14ac:dyDescent="0.3">
      <c r="A2040" t="s">
        <v>2101</v>
      </c>
      <c r="B2040" s="1">
        <v>45576</v>
      </c>
      <c r="C2040" s="1">
        <v>45577</v>
      </c>
      <c r="D2040">
        <v>2024</v>
      </c>
      <c r="E2040" t="s">
        <v>2026</v>
      </c>
      <c r="F2040" t="s">
        <v>2027</v>
      </c>
      <c r="G2040" t="s">
        <v>83</v>
      </c>
      <c r="H2040" t="s">
        <v>35</v>
      </c>
      <c r="I2040" t="s">
        <v>24</v>
      </c>
      <c r="J2040" t="s">
        <v>25</v>
      </c>
      <c r="K2040" t="s">
        <v>32</v>
      </c>
      <c r="L2040" t="s">
        <v>44</v>
      </c>
      <c r="M2040">
        <v>1</v>
      </c>
      <c r="N2040" s="2">
        <v>56</v>
      </c>
      <c r="O2040" s="3">
        <v>785</v>
      </c>
      <c r="P2040">
        <v>0</v>
      </c>
      <c r="Q2040">
        <v>3</v>
      </c>
      <c r="R2040" t="s">
        <v>33</v>
      </c>
      <c r="S2040">
        <v>1</v>
      </c>
    </row>
    <row r="2041" spans="1:19" ht="16.5" x14ac:dyDescent="0.3">
      <c r="A2041" t="s">
        <v>2102</v>
      </c>
      <c r="B2041" s="1">
        <v>45576</v>
      </c>
      <c r="C2041" s="1">
        <v>45578</v>
      </c>
      <c r="D2041">
        <v>2024</v>
      </c>
      <c r="E2041" t="s">
        <v>2026</v>
      </c>
      <c r="F2041" t="s">
        <v>2027</v>
      </c>
      <c r="G2041" t="s">
        <v>83</v>
      </c>
      <c r="H2041" t="s">
        <v>52</v>
      </c>
      <c r="I2041" t="s">
        <v>40</v>
      </c>
      <c r="J2041" t="s">
        <v>25</v>
      </c>
      <c r="K2041" t="s">
        <v>32</v>
      </c>
      <c r="L2041" t="s">
        <v>27</v>
      </c>
      <c r="M2041">
        <v>2</v>
      </c>
      <c r="N2041" s="2"/>
      <c r="O2041" s="3">
        <v>2217</v>
      </c>
      <c r="P2041">
        <v>1</v>
      </c>
      <c r="Q2041">
        <v>4</v>
      </c>
      <c r="R2041" t="s">
        <v>33</v>
      </c>
      <c r="S2041">
        <v>1</v>
      </c>
    </row>
    <row r="2042" spans="1:19" ht="16.5" x14ac:dyDescent="0.3">
      <c r="A2042" t="s">
        <v>2103</v>
      </c>
      <c r="B2042" s="1">
        <v>45576</v>
      </c>
      <c r="C2042" s="1">
        <v>45581</v>
      </c>
      <c r="D2042">
        <v>2024</v>
      </c>
      <c r="E2042" t="s">
        <v>2026</v>
      </c>
      <c r="F2042" t="s">
        <v>2027</v>
      </c>
      <c r="G2042" t="s">
        <v>83</v>
      </c>
      <c r="H2042" t="s">
        <v>50</v>
      </c>
      <c r="I2042" t="s">
        <v>24</v>
      </c>
      <c r="J2042" t="s">
        <v>43</v>
      </c>
      <c r="K2042" t="s">
        <v>32</v>
      </c>
      <c r="L2042" t="s">
        <v>27</v>
      </c>
      <c r="M2042">
        <v>5</v>
      </c>
      <c r="N2042" s="2">
        <v>47</v>
      </c>
      <c r="O2042" s="3">
        <v>5460</v>
      </c>
      <c r="P2042">
        <v>0</v>
      </c>
      <c r="Q2042">
        <v>4</v>
      </c>
      <c r="R2042" t="s">
        <v>33</v>
      </c>
      <c r="S2042">
        <v>1</v>
      </c>
    </row>
    <row r="2043" spans="1:19" ht="16.5" x14ac:dyDescent="0.3">
      <c r="A2043" t="s">
        <v>2104</v>
      </c>
      <c r="B2043" s="1">
        <v>45576</v>
      </c>
      <c r="C2043" s="1">
        <v>45587</v>
      </c>
      <c r="D2043">
        <v>2024</v>
      </c>
      <c r="E2043" t="s">
        <v>2026</v>
      </c>
      <c r="F2043" t="s">
        <v>2027</v>
      </c>
      <c r="G2043" t="s">
        <v>83</v>
      </c>
      <c r="H2043" t="s">
        <v>52</v>
      </c>
      <c r="I2043" t="s">
        <v>24</v>
      </c>
      <c r="J2043" t="s">
        <v>43</v>
      </c>
      <c r="K2043" t="s">
        <v>53</v>
      </c>
      <c r="L2043" t="s">
        <v>44</v>
      </c>
      <c r="M2043">
        <v>11</v>
      </c>
      <c r="N2043" s="2">
        <v>24</v>
      </c>
      <c r="O2043" s="3">
        <v>12412</v>
      </c>
      <c r="P2043">
        <v>1</v>
      </c>
      <c r="Q2043">
        <v>3</v>
      </c>
      <c r="R2043" t="s">
        <v>28</v>
      </c>
      <c r="S2043">
        <v>1</v>
      </c>
    </row>
    <row r="2044" spans="1:19" ht="16.5" x14ac:dyDescent="0.3">
      <c r="A2044" t="s">
        <v>2105</v>
      </c>
      <c r="B2044" s="1">
        <v>45576</v>
      </c>
      <c r="C2044" s="1">
        <v>45579</v>
      </c>
      <c r="D2044">
        <v>2024</v>
      </c>
      <c r="E2044" t="s">
        <v>2026</v>
      </c>
      <c r="F2044" t="s">
        <v>2027</v>
      </c>
      <c r="G2044" t="s">
        <v>83</v>
      </c>
      <c r="H2044" t="s">
        <v>35</v>
      </c>
      <c r="I2044" t="s">
        <v>24</v>
      </c>
      <c r="J2044" t="s">
        <v>25</v>
      </c>
      <c r="K2044" t="s">
        <v>36</v>
      </c>
      <c r="L2044" t="s">
        <v>27</v>
      </c>
      <c r="M2044">
        <v>3</v>
      </c>
      <c r="N2044" s="2">
        <v>43</v>
      </c>
      <c r="O2044" s="3">
        <v>2476</v>
      </c>
      <c r="P2044">
        <v>0</v>
      </c>
      <c r="Q2044">
        <v>4</v>
      </c>
      <c r="R2044" t="s">
        <v>28</v>
      </c>
      <c r="S2044">
        <v>1</v>
      </c>
    </row>
    <row r="2045" spans="1:19" ht="16.5" x14ac:dyDescent="0.3">
      <c r="A2045" t="s">
        <v>2106</v>
      </c>
      <c r="B2045" s="1">
        <v>45576</v>
      </c>
      <c r="C2045" s="1">
        <v>45581</v>
      </c>
      <c r="D2045">
        <v>2024</v>
      </c>
      <c r="E2045" t="s">
        <v>2026</v>
      </c>
      <c r="F2045" t="s">
        <v>2027</v>
      </c>
      <c r="G2045" t="s">
        <v>83</v>
      </c>
      <c r="H2045" t="s">
        <v>23</v>
      </c>
      <c r="I2045" t="s">
        <v>40</v>
      </c>
      <c r="J2045" t="s">
        <v>25</v>
      </c>
      <c r="K2045" t="s">
        <v>26</v>
      </c>
      <c r="L2045" t="s">
        <v>37</v>
      </c>
      <c r="M2045">
        <v>5</v>
      </c>
      <c r="N2045" s="2"/>
      <c r="O2045" s="3">
        <v>3367</v>
      </c>
      <c r="P2045">
        <v>1</v>
      </c>
      <c r="Q2045">
        <v>5</v>
      </c>
      <c r="R2045" t="s">
        <v>28</v>
      </c>
      <c r="S2045">
        <v>1</v>
      </c>
    </row>
    <row r="2046" spans="1:19" ht="16.5" x14ac:dyDescent="0.3">
      <c r="A2046" t="s">
        <v>2107</v>
      </c>
      <c r="B2046" s="1">
        <v>45576</v>
      </c>
      <c r="C2046" s="1">
        <v>45579</v>
      </c>
      <c r="D2046">
        <v>2024</v>
      </c>
      <c r="E2046" t="s">
        <v>2026</v>
      </c>
      <c r="F2046" t="s">
        <v>2027</v>
      </c>
      <c r="G2046" t="s">
        <v>83</v>
      </c>
      <c r="H2046" t="s">
        <v>50</v>
      </c>
      <c r="I2046" t="s">
        <v>40</v>
      </c>
      <c r="J2046" t="s">
        <v>43</v>
      </c>
      <c r="K2046" t="s">
        <v>53</v>
      </c>
      <c r="L2046" t="s">
        <v>44</v>
      </c>
      <c r="M2046">
        <v>3</v>
      </c>
      <c r="N2046" s="2"/>
      <c r="O2046" s="3">
        <v>5194</v>
      </c>
      <c r="P2046">
        <v>0</v>
      </c>
      <c r="Q2046">
        <v>4</v>
      </c>
      <c r="R2046" t="s">
        <v>33</v>
      </c>
      <c r="S2046">
        <v>1</v>
      </c>
    </row>
    <row r="2047" spans="1:19" ht="16.5" x14ac:dyDescent="0.3">
      <c r="A2047" t="s">
        <v>2108</v>
      </c>
      <c r="B2047" s="1">
        <v>45576</v>
      </c>
      <c r="C2047" s="1">
        <v>45579</v>
      </c>
      <c r="D2047">
        <v>2024</v>
      </c>
      <c r="E2047" t="s">
        <v>2026</v>
      </c>
      <c r="F2047" t="s">
        <v>2027</v>
      </c>
      <c r="G2047" t="s">
        <v>83</v>
      </c>
      <c r="H2047" t="s">
        <v>23</v>
      </c>
      <c r="I2047" t="s">
        <v>40</v>
      </c>
      <c r="J2047" t="s">
        <v>43</v>
      </c>
      <c r="K2047" t="s">
        <v>36</v>
      </c>
      <c r="L2047" t="s">
        <v>27</v>
      </c>
      <c r="M2047">
        <v>3</v>
      </c>
      <c r="N2047" s="2"/>
      <c r="O2047" s="3">
        <v>2763</v>
      </c>
      <c r="P2047">
        <v>0</v>
      </c>
      <c r="Q2047">
        <v>5</v>
      </c>
      <c r="R2047" t="s">
        <v>28</v>
      </c>
      <c r="S2047">
        <v>1</v>
      </c>
    </row>
    <row r="2048" spans="1:19" ht="16.5" x14ac:dyDescent="0.3">
      <c r="A2048" t="s">
        <v>2109</v>
      </c>
      <c r="B2048" s="1">
        <v>45576</v>
      </c>
      <c r="C2048" s="1">
        <v>45581</v>
      </c>
      <c r="D2048">
        <v>2024</v>
      </c>
      <c r="E2048" t="s">
        <v>2026</v>
      </c>
      <c r="F2048" t="s">
        <v>2027</v>
      </c>
      <c r="G2048" t="s">
        <v>83</v>
      </c>
      <c r="H2048" t="s">
        <v>30</v>
      </c>
      <c r="I2048" t="s">
        <v>40</v>
      </c>
      <c r="J2048" t="s">
        <v>25</v>
      </c>
      <c r="K2048" t="s">
        <v>26</v>
      </c>
      <c r="L2048" t="s">
        <v>44</v>
      </c>
      <c r="M2048">
        <v>5</v>
      </c>
      <c r="N2048" s="2"/>
      <c r="O2048" s="3">
        <v>5544</v>
      </c>
      <c r="P2048">
        <v>0</v>
      </c>
      <c r="Q2048">
        <v>4</v>
      </c>
      <c r="R2048" t="s">
        <v>33</v>
      </c>
      <c r="S2048">
        <v>1</v>
      </c>
    </row>
    <row r="2049" spans="1:19" ht="16.5" x14ac:dyDescent="0.3">
      <c r="A2049" t="s">
        <v>2110</v>
      </c>
      <c r="B2049" s="1">
        <v>45576</v>
      </c>
      <c r="C2049" s="1">
        <v>45578</v>
      </c>
      <c r="D2049">
        <v>2024</v>
      </c>
      <c r="E2049" t="s">
        <v>2026</v>
      </c>
      <c r="F2049" t="s">
        <v>2027</v>
      </c>
      <c r="G2049" t="s">
        <v>83</v>
      </c>
      <c r="H2049" t="s">
        <v>35</v>
      </c>
      <c r="I2049" t="s">
        <v>24</v>
      </c>
      <c r="J2049" t="s">
        <v>25</v>
      </c>
      <c r="K2049" t="s">
        <v>36</v>
      </c>
      <c r="L2049" t="s">
        <v>27</v>
      </c>
      <c r="M2049">
        <v>2</v>
      </c>
      <c r="N2049" s="2">
        <v>44</v>
      </c>
      <c r="O2049" s="3">
        <v>2151</v>
      </c>
      <c r="P2049">
        <v>0</v>
      </c>
      <c r="Q2049">
        <v>4</v>
      </c>
      <c r="R2049" t="s">
        <v>33</v>
      </c>
      <c r="S2049">
        <v>1</v>
      </c>
    </row>
    <row r="2050" spans="1:19" ht="16.5" x14ac:dyDescent="0.3">
      <c r="A2050" t="s">
        <v>2111</v>
      </c>
      <c r="B2050" s="1">
        <v>45576</v>
      </c>
      <c r="C2050" s="1">
        <v>45579</v>
      </c>
      <c r="D2050">
        <v>2024</v>
      </c>
      <c r="E2050" t="s">
        <v>2026</v>
      </c>
      <c r="F2050" t="s">
        <v>2027</v>
      </c>
      <c r="G2050" t="s">
        <v>83</v>
      </c>
      <c r="H2050" t="s">
        <v>50</v>
      </c>
      <c r="I2050" t="s">
        <v>40</v>
      </c>
      <c r="J2050" t="s">
        <v>43</v>
      </c>
      <c r="K2050" t="s">
        <v>53</v>
      </c>
      <c r="L2050" t="s">
        <v>27</v>
      </c>
      <c r="M2050">
        <v>3</v>
      </c>
      <c r="N2050" s="2"/>
      <c r="O2050" s="3">
        <v>5667</v>
      </c>
      <c r="P2050">
        <v>0</v>
      </c>
      <c r="Q2050">
        <v>4</v>
      </c>
      <c r="R2050" t="s">
        <v>28</v>
      </c>
      <c r="S2050">
        <v>1</v>
      </c>
    </row>
    <row r="2051" spans="1:19" ht="16.5" x14ac:dyDescent="0.3">
      <c r="A2051" t="s">
        <v>2112</v>
      </c>
      <c r="B2051" s="1">
        <v>45576</v>
      </c>
      <c r="C2051" s="1">
        <v>45585</v>
      </c>
      <c r="D2051">
        <v>2024</v>
      </c>
      <c r="E2051" t="s">
        <v>2026</v>
      </c>
      <c r="F2051" t="s">
        <v>2027</v>
      </c>
      <c r="G2051" t="s">
        <v>83</v>
      </c>
      <c r="H2051" t="s">
        <v>52</v>
      </c>
      <c r="I2051" t="s">
        <v>24</v>
      </c>
      <c r="J2051" t="s">
        <v>43</v>
      </c>
      <c r="K2051" t="s">
        <v>53</v>
      </c>
      <c r="L2051" t="s">
        <v>44</v>
      </c>
      <c r="M2051">
        <v>9</v>
      </c>
      <c r="N2051" s="2">
        <v>122</v>
      </c>
      <c r="O2051" s="3">
        <v>7968</v>
      </c>
      <c r="P2051">
        <v>0</v>
      </c>
      <c r="Q2051">
        <v>4</v>
      </c>
      <c r="R2051" t="s">
        <v>165</v>
      </c>
      <c r="S2051">
        <v>1</v>
      </c>
    </row>
    <row r="2052" spans="1:19" ht="16.5" x14ac:dyDescent="0.3">
      <c r="A2052" t="s">
        <v>2113</v>
      </c>
      <c r="B2052" s="1">
        <v>45577</v>
      </c>
      <c r="C2052" s="1">
        <v>45588</v>
      </c>
      <c r="D2052">
        <v>2024</v>
      </c>
      <c r="E2052" t="s">
        <v>2026</v>
      </c>
      <c r="F2052" t="s">
        <v>2027</v>
      </c>
      <c r="G2052" t="s">
        <v>102</v>
      </c>
      <c r="H2052" t="s">
        <v>50</v>
      </c>
      <c r="I2052" t="s">
        <v>24</v>
      </c>
      <c r="J2052" t="s">
        <v>25</v>
      </c>
      <c r="K2052" t="s">
        <v>53</v>
      </c>
      <c r="L2052" t="s">
        <v>37</v>
      </c>
      <c r="M2052">
        <v>11</v>
      </c>
      <c r="N2052" s="2">
        <v>26</v>
      </c>
      <c r="O2052" s="3">
        <v>14912</v>
      </c>
      <c r="P2052">
        <v>0</v>
      </c>
      <c r="Q2052">
        <v>4</v>
      </c>
      <c r="R2052" t="s">
        <v>33</v>
      </c>
      <c r="S2052">
        <v>1</v>
      </c>
    </row>
    <row r="2053" spans="1:19" ht="16.5" x14ac:dyDescent="0.3">
      <c r="A2053" t="s">
        <v>2114</v>
      </c>
      <c r="B2053" s="1">
        <v>45577</v>
      </c>
      <c r="C2053" s="1">
        <v>45581</v>
      </c>
      <c r="D2053">
        <v>2024</v>
      </c>
      <c r="E2053" t="s">
        <v>2026</v>
      </c>
      <c r="F2053" t="s">
        <v>2027</v>
      </c>
      <c r="G2053" t="s">
        <v>102</v>
      </c>
      <c r="H2053" t="s">
        <v>52</v>
      </c>
      <c r="I2053" t="s">
        <v>40</v>
      </c>
      <c r="J2053" t="s">
        <v>43</v>
      </c>
      <c r="K2053" t="s">
        <v>32</v>
      </c>
      <c r="L2053" t="s">
        <v>27</v>
      </c>
      <c r="M2053">
        <v>4</v>
      </c>
      <c r="N2053" s="2"/>
      <c r="O2053" s="3">
        <v>4653</v>
      </c>
      <c r="P2053">
        <v>0</v>
      </c>
      <c r="Q2053">
        <v>4</v>
      </c>
      <c r="R2053" t="s">
        <v>28</v>
      </c>
      <c r="S2053">
        <v>1</v>
      </c>
    </row>
    <row r="2054" spans="1:19" ht="16.5" x14ac:dyDescent="0.3">
      <c r="A2054" t="s">
        <v>2115</v>
      </c>
      <c r="B2054" s="1">
        <v>45577</v>
      </c>
      <c r="C2054" s="1">
        <v>45578</v>
      </c>
      <c r="D2054">
        <v>2024</v>
      </c>
      <c r="E2054" t="s">
        <v>2026</v>
      </c>
      <c r="F2054" t="s">
        <v>2027</v>
      </c>
      <c r="G2054" t="s">
        <v>102</v>
      </c>
      <c r="H2054" t="s">
        <v>39</v>
      </c>
      <c r="I2054" t="s">
        <v>24</v>
      </c>
      <c r="J2054" t="s">
        <v>43</v>
      </c>
      <c r="K2054" t="s">
        <v>41</v>
      </c>
      <c r="L2054" t="s">
        <v>44</v>
      </c>
      <c r="M2054">
        <v>1</v>
      </c>
      <c r="N2054" s="2">
        <v>134</v>
      </c>
      <c r="O2054" s="3">
        <v>1529</v>
      </c>
      <c r="P2054">
        <v>0</v>
      </c>
      <c r="Q2054">
        <v>3</v>
      </c>
      <c r="R2054" t="s">
        <v>28</v>
      </c>
      <c r="S2054">
        <v>1</v>
      </c>
    </row>
    <row r="2055" spans="1:19" ht="16.5" x14ac:dyDescent="0.3">
      <c r="A2055" t="s">
        <v>2116</v>
      </c>
      <c r="B2055" s="1">
        <v>45578</v>
      </c>
      <c r="C2055" s="1">
        <v>45582</v>
      </c>
      <c r="D2055">
        <v>2024</v>
      </c>
      <c r="E2055" t="s">
        <v>2026</v>
      </c>
      <c r="F2055" t="s">
        <v>2027</v>
      </c>
      <c r="G2055" t="s">
        <v>112</v>
      </c>
      <c r="H2055" t="s">
        <v>39</v>
      </c>
      <c r="I2055" t="s">
        <v>24</v>
      </c>
      <c r="J2055" t="s">
        <v>25</v>
      </c>
      <c r="K2055" t="s">
        <v>41</v>
      </c>
      <c r="L2055" t="s">
        <v>27</v>
      </c>
      <c r="M2055">
        <v>4</v>
      </c>
      <c r="N2055" s="2">
        <v>106</v>
      </c>
      <c r="O2055" s="3">
        <v>3206</v>
      </c>
      <c r="P2055">
        <v>0</v>
      </c>
      <c r="Q2055">
        <v>4</v>
      </c>
      <c r="R2055" t="s">
        <v>33</v>
      </c>
      <c r="S2055">
        <v>1</v>
      </c>
    </row>
    <row r="2056" spans="1:19" ht="16.5" x14ac:dyDescent="0.3">
      <c r="A2056" t="s">
        <v>2117</v>
      </c>
      <c r="B2056" s="1">
        <v>45578</v>
      </c>
      <c r="C2056" s="1">
        <v>45586</v>
      </c>
      <c r="D2056">
        <v>2024</v>
      </c>
      <c r="E2056" t="s">
        <v>2026</v>
      </c>
      <c r="F2056" t="s">
        <v>2027</v>
      </c>
      <c r="G2056" t="s">
        <v>112</v>
      </c>
      <c r="H2056" t="s">
        <v>23</v>
      </c>
      <c r="I2056" t="s">
        <v>24</v>
      </c>
      <c r="J2056" t="s">
        <v>43</v>
      </c>
      <c r="K2056" t="s">
        <v>32</v>
      </c>
      <c r="L2056" t="s">
        <v>44</v>
      </c>
      <c r="M2056">
        <v>8</v>
      </c>
      <c r="N2056" s="2">
        <v>52</v>
      </c>
      <c r="O2056" s="3">
        <v>6321</v>
      </c>
      <c r="P2056">
        <v>0</v>
      </c>
      <c r="Q2056">
        <v>4</v>
      </c>
      <c r="R2056" t="s">
        <v>28</v>
      </c>
      <c r="S2056">
        <v>1</v>
      </c>
    </row>
    <row r="2057" spans="1:19" ht="16.5" x14ac:dyDescent="0.3">
      <c r="A2057" t="s">
        <v>2118</v>
      </c>
      <c r="B2057" s="1">
        <v>45578</v>
      </c>
      <c r="C2057" s="1">
        <v>45583</v>
      </c>
      <c r="D2057">
        <v>2024</v>
      </c>
      <c r="E2057" t="s">
        <v>2026</v>
      </c>
      <c r="F2057" t="s">
        <v>2027</v>
      </c>
      <c r="G2057" t="s">
        <v>112</v>
      </c>
      <c r="H2057" t="s">
        <v>23</v>
      </c>
      <c r="I2057" t="s">
        <v>40</v>
      </c>
      <c r="J2057" t="s">
        <v>25</v>
      </c>
      <c r="K2057" t="s">
        <v>53</v>
      </c>
      <c r="L2057" t="s">
        <v>44</v>
      </c>
      <c r="M2057">
        <v>5</v>
      </c>
      <c r="N2057" s="2"/>
      <c r="O2057" s="3">
        <v>2498</v>
      </c>
      <c r="P2057">
        <v>1</v>
      </c>
      <c r="Q2057">
        <v>4</v>
      </c>
      <c r="R2057" t="s">
        <v>33</v>
      </c>
      <c r="S2057">
        <v>1</v>
      </c>
    </row>
    <row r="2058" spans="1:19" ht="16.5" x14ac:dyDescent="0.3">
      <c r="A2058" t="s">
        <v>2119</v>
      </c>
      <c r="B2058" s="1">
        <v>45578</v>
      </c>
      <c r="C2058" s="1">
        <v>45579</v>
      </c>
      <c r="D2058">
        <v>2024</v>
      </c>
      <c r="E2058" t="s">
        <v>2026</v>
      </c>
      <c r="F2058" t="s">
        <v>2027</v>
      </c>
      <c r="G2058" t="s">
        <v>112</v>
      </c>
      <c r="H2058" t="s">
        <v>52</v>
      </c>
      <c r="I2058" t="s">
        <v>40</v>
      </c>
      <c r="J2058" t="s">
        <v>25</v>
      </c>
      <c r="K2058" t="s">
        <v>32</v>
      </c>
      <c r="L2058" t="s">
        <v>27</v>
      </c>
      <c r="M2058">
        <v>1</v>
      </c>
      <c r="N2058" s="2"/>
      <c r="O2058" s="3">
        <v>1934</v>
      </c>
      <c r="P2058">
        <v>1</v>
      </c>
      <c r="Q2058">
        <v>4</v>
      </c>
      <c r="R2058" t="s">
        <v>28</v>
      </c>
      <c r="S2058">
        <v>1</v>
      </c>
    </row>
    <row r="2059" spans="1:19" ht="16.5" x14ac:dyDescent="0.3">
      <c r="A2059" t="s">
        <v>2120</v>
      </c>
      <c r="B2059" s="1">
        <v>45579</v>
      </c>
      <c r="C2059" s="1">
        <v>45581</v>
      </c>
      <c r="D2059">
        <v>2024</v>
      </c>
      <c r="E2059" t="s">
        <v>2026</v>
      </c>
      <c r="F2059" t="s">
        <v>2027</v>
      </c>
      <c r="G2059" t="s">
        <v>22</v>
      </c>
      <c r="H2059" t="s">
        <v>50</v>
      </c>
      <c r="I2059" t="s">
        <v>31</v>
      </c>
      <c r="J2059" t="s">
        <v>43</v>
      </c>
      <c r="K2059" t="s">
        <v>36</v>
      </c>
      <c r="L2059" t="s">
        <v>27</v>
      </c>
      <c r="M2059">
        <v>2</v>
      </c>
      <c r="N2059" s="2"/>
      <c r="O2059" s="3">
        <v>2297</v>
      </c>
      <c r="P2059">
        <v>1</v>
      </c>
      <c r="Q2059">
        <v>4</v>
      </c>
      <c r="R2059" t="s">
        <v>33</v>
      </c>
      <c r="S2059">
        <v>1</v>
      </c>
    </row>
    <row r="2060" spans="1:19" ht="16.5" x14ac:dyDescent="0.3">
      <c r="A2060" t="s">
        <v>2121</v>
      </c>
      <c r="B2060" s="1">
        <v>45579</v>
      </c>
      <c r="C2060" s="1">
        <v>45582</v>
      </c>
      <c r="D2060">
        <v>2024</v>
      </c>
      <c r="E2060" t="s">
        <v>2026</v>
      </c>
      <c r="F2060" t="s">
        <v>2027</v>
      </c>
      <c r="G2060" t="s">
        <v>22</v>
      </c>
      <c r="H2060" t="s">
        <v>35</v>
      </c>
      <c r="I2060" t="s">
        <v>40</v>
      </c>
      <c r="J2060" t="s">
        <v>25</v>
      </c>
      <c r="K2060" t="s">
        <v>36</v>
      </c>
      <c r="L2060" t="s">
        <v>27</v>
      </c>
      <c r="M2060">
        <v>3</v>
      </c>
      <c r="N2060" s="2"/>
      <c r="O2060" s="3">
        <v>2611</v>
      </c>
      <c r="P2060">
        <v>0</v>
      </c>
      <c r="Q2060">
        <v>5</v>
      </c>
      <c r="R2060" t="s">
        <v>33</v>
      </c>
      <c r="S2060">
        <v>1</v>
      </c>
    </row>
    <row r="2061" spans="1:19" ht="16.5" x14ac:dyDescent="0.3">
      <c r="A2061" t="s">
        <v>2122</v>
      </c>
      <c r="B2061" s="1">
        <v>45579</v>
      </c>
      <c r="C2061" s="1">
        <v>45582</v>
      </c>
      <c r="D2061">
        <v>2024</v>
      </c>
      <c r="E2061" t="s">
        <v>2026</v>
      </c>
      <c r="F2061" t="s">
        <v>2027</v>
      </c>
      <c r="G2061" t="s">
        <v>22</v>
      </c>
      <c r="H2061" t="s">
        <v>23</v>
      </c>
      <c r="I2061" t="s">
        <v>24</v>
      </c>
      <c r="J2061" t="s">
        <v>43</v>
      </c>
      <c r="K2061" t="s">
        <v>32</v>
      </c>
      <c r="L2061" t="s">
        <v>44</v>
      </c>
      <c r="M2061">
        <v>3</v>
      </c>
      <c r="N2061" s="2">
        <v>39</v>
      </c>
      <c r="O2061" s="3">
        <v>3041</v>
      </c>
      <c r="P2061">
        <v>0</v>
      </c>
      <c r="Q2061">
        <v>5</v>
      </c>
      <c r="R2061" t="s">
        <v>33</v>
      </c>
      <c r="S2061">
        <v>1</v>
      </c>
    </row>
    <row r="2062" spans="1:19" ht="16.5" x14ac:dyDescent="0.3">
      <c r="A2062" t="s">
        <v>2123</v>
      </c>
      <c r="B2062" s="1">
        <v>45579</v>
      </c>
      <c r="C2062" s="1">
        <v>45580</v>
      </c>
      <c r="D2062">
        <v>2024</v>
      </c>
      <c r="E2062" t="s">
        <v>2026</v>
      </c>
      <c r="F2062" t="s">
        <v>2027</v>
      </c>
      <c r="G2062" t="s">
        <v>22</v>
      </c>
      <c r="H2062" t="s">
        <v>30</v>
      </c>
      <c r="I2062" t="s">
        <v>40</v>
      </c>
      <c r="J2062" t="s">
        <v>43</v>
      </c>
      <c r="K2062" t="s">
        <v>32</v>
      </c>
      <c r="L2062" t="s">
        <v>44</v>
      </c>
      <c r="M2062">
        <v>1</v>
      </c>
      <c r="N2062" s="2"/>
      <c r="O2062" s="3">
        <v>1477</v>
      </c>
      <c r="P2062">
        <v>1</v>
      </c>
      <c r="Q2062">
        <v>3</v>
      </c>
      <c r="R2062" t="s">
        <v>33</v>
      </c>
      <c r="S2062">
        <v>1</v>
      </c>
    </row>
    <row r="2063" spans="1:19" ht="16.5" x14ac:dyDescent="0.3">
      <c r="A2063" t="s">
        <v>2124</v>
      </c>
      <c r="B2063" s="1">
        <v>45579</v>
      </c>
      <c r="C2063" s="1">
        <v>45580</v>
      </c>
      <c r="D2063">
        <v>2024</v>
      </c>
      <c r="E2063" t="s">
        <v>2026</v>
      </c>
      <c r="F2063" t="s">
        <v>2027</v>
      </c>
      <c r="G2063" t="s">
        <v>22</v>
      </c>
      <c r="H2063" t="s">
        <v>35</v>
      </c>
      <c r="I2063" t="s">
        <v>40</v>
      </c>
      <c r="J2063" t="s">
        <v>25</v>
      </c>
      <c r="K2063" t="s">
        <v>32</v>
      </c>
      <c r="L2063" t="s">
        <v>44</v>
      </c>
      <c r="M2063">
        <v>1</v>
      </c>
      <c r="N2063" s="2"/>
      <c r="O2063" s="3">
        <v>1457</v>
      </c>
      <c r="P2063">
        <v>0</v>
      </c>
      <c r="Q2063">
        <v>4</v>
      </c>
      <c r="R2063" t="s">
        <v>33</v>
      </c>
      <c r="S2063">
        <v>1</v>
      </c>
    </row>
    <row r="2064" spans="1:19" ht="16.5" x14ac:dyDescent="0.3">
      <c r="A2064" t="s">
        <v>2125</v>
      </c>
      <c r="B2064" s="1">
        <v>45579</v>
      </c>
      <c r="C2064" s="1">
        <v>45584</v>
      </c>
      <c r="D2064">
        <v>2024</v>
      </c>
      <c r="E2064" t="s">
        <v>2026</v>
      </c>
      <c r="F2064" t="s">
        <v>2027</v>
      </c>
      <c r="G2064" t="s">
        <v>22</v>
      </c>
      <c r="H2064" t="s">
        <v>52</v>
      </c>
      <c r="I2064" t="s">
        <v>40</v>
      </c>
      <c r="J2064" t="s">
        <v>25</v>
      </c>
      <c r="K2064" t="s">
        <v>32</v>
      </c>
      <c r="L2064" t="s">
        <v>44</v>
      </c>
      <c r="M2064">
        <v>5</v>
      </c>
      <c r="N2064" s="2"/>
      <c r="O2064" s="3">
        <v>4393</v>
      </c>
      <c r="P2064">
        <v>0</v>
      </c>
      <c r="Q2064">
        <v>5</v>
      </c>
      <c r="R2064" t="s">
        <v>59</v>
      </c>
      <c r="S2064">
        <v>1</v>
      </c>
    </row>
    <row r="2065" spans="1:19" ht="16.5" x14ac:dyDescent="0.3">
      <c r="A2065" t="s">
        <v>2126</v>
      </c>
      <c r="B2065" s="1">
        <v>45579</v>
      </c>
      <c r="C2065" s="1">
        <v>45587</v>
      </c>
      <c r="D2065">
        <v>2024</v>
      </c>
      <c r="E2065" t="s">
        <v>2026</v>
      </c>
      <c r="F2065" t="s">
        <v>2027</v>
      </c>
      <c r="G2065" t="s">
        <v>22</v>
      </c>
      <c r="H2065" t="s">
        <v>50</v>
      </c>
      <c r="I2065" t="s">
        <v>24</v>
      </c>
      <c r="J2065" t="s">
        <v>25</v>
      </c>
      <c r="K2065" t="s">
        <v>26</v>
      </c>
      <c r="L2065" t="s">
        <v>27</v>
      </c>
      <c r="M2065">
        <v>8</v>
      </c>
      <c r="N2065" s="2">
        <v>35</v>
      </c>
      <c r="O2065" s="3">
        <v>9322</v>
      </c>
      <c r="P2065">
        <v>0</v>
      </c>
      <c r="Q2065">
        <v>3</v>
      </c>
      <c r="R2065" t="s">
        <v>33</v>
      </c>
      <c r="S2065">
        <v>1</v>
      </c>
    </row>
    <row r="2066" spans="1:19" ht="16.5" x14ac:dyDescent="0.3">
      <c r="A2066" t="s">
        <v>2127</v>
      </c>
      <c r="B2066" s="1">
        <v>45579</v>
      </c>
      <c r="C2066" s="1">
        <v>45581</v>
      </c>
      <c r="D2066">
        <v>2024</v>
      </c>
      <c r="E2066" t="s">
        <v>2026</v>
      </c>
      <c r="F2066" t="s">
        <v>2027</v>
      </c>
      <c r="G2066" t="s">
        <v>22</v>
      </c>
      <c r="H2066" t="s">
        <v>39</v>
      </c>
      <c r="I2066" t="s">
        <v>40</v>
      </c>
      <c r="J2066" t="s">
        <v>43</v>
      </c>
      <c r="K2066" t="s">
        <v>41</v>
      </c>
      <c r="L2066" t="s">
        <v>44</v>
      </c>
      <c r="M2066">
        <v>2</v>
      </c>
      <c r="N2066" s="2"/>
      <c r="O2066" s="3">
        <v>2042</v>
      </c>
      <c r="P2066">
        <v>0</v>
      </c>
      <c r="Q2066">
        <v>4</v>
      </c>
      <c r="R2066" t="s">
        <v>33</v>
      </c>
      <c r="S2066">
        <v>1</v>
      </c>
    </row>
    <row r="2067" spans="1:19" ht="16.5" x14ac:dyDescent="0.3">
      <c r="A2067" t="s">
        <v>2128</v>
      </c>
      <c r="B2067" s="1">
        <v>45579</v>
      </c>
      <c r="C2067" s="1">
        <v>45586</v>
      </c>
      <c r="D2067">
        <v>2024</v>
      </c>
      <c r="E2067" t="s">
        <v>2026</v>
      </c>
      <c r="F2067" t="s">
        <v>2027</v>
      </c>
      <c r="G2067" t="s">
        <v>22</v>
      </c>
      <c r="H2067" t="s">
        <v>30</v>
      </c>
      <c r="I2067" t="s">
        <v>40</v>
      </c>
      <c r="J2067" t="s">
        <v>43</v>
      </c>
      <c r="K2067" t="s">
        <v>32</v>
      </c>
      <c r="L2067" t="s">
        <v>44</v>
      </c>
      <c r="M2067">
        <v>7</v>
      </c>
      <c r="N2067" s="2"/>
      <c r="O2067" s="3">
        <v>8125</v>
      </c>
      <c r="P2067">
        <v>0</v>
      </c>
      <c r="Q2067">
        <v>4</v>
      </c>
      <c r="R2067" t="s">
        <v>28</v>
      </c>
      <c r="S2067">
        <v>1</v>
      </c>
    </row>
    <row r="2068" spans="1:19" ht="16.5" x14ac:dyDescent="0.3">
      <c r="A2068" t="s">
        <v>2129</v>
      </c>
      <c r="B2068" s="1">
        <v>45579</v>
      </c>
      <c r="C2068" s="1">
        <v>45582</v>
      </c>
      <c r="D2068">
        <v>2024</v>
      </c>
      <c r="E2068" t="s">
        <v>2026</v>
      </c>
      <c r="F2068" t="s">
        <v>2027</v>
      </c>
      <c r="G2068" t="s">
        <v>22</v>
      </c>
      <c r="H2068" t="s">
        <v>30</v>
      </c>
      <c r="I2068" t="s">
        <v>24</v>
      </c>
      <c r="J2068" t="s">
        <v>25</v>
      </c>
      <c r="K2068" t="s">
        <v>36</v>
      </c>
      <c r="L2068" t="s">
        <v>37</v>
      </c>
      <c r="M2068">
        <v>3</v>
      </c>
      <c r="N2068" s="2">
        <v>51</v>
      </c>
      <c r="O2068" s="3">
        <v>4262</v>
      </c>
      <c r="P2068">
        <v>1</v>
      </c>
      <c r="Q2068">
        <v>3</v>
      </c>
      <c r="R2068" t="s">
        <v>28</v>
      </c>
      <c r="S2068">
        <v>1</v>
      </c>
    </row>
    <row r="2069" spans="1:19" ht="16.5" x14ac:dyDescent="0.3">
      <c r="A2069" t="s">
        <v>2130</v>
      </c>
      <c r="B2069" s="1">
        <v>45580</v>
      </c>
      <c r="C2069" s="1">
        <v>45581</v>
      </c>
      <c r="D2069">
        <v>2024</v>
      </c>
      <c r="E2069" t="s">
        <v>2026</v>
      </c>
      <c r="F2069" t="s">
        <v>2027</v>
      </c>
      <c r="G2069" t="s">
        <v>56</v>
      </c>
      <c r="H2069" t="s">
        <v>50</v>
      </c>
      <c r="I2069" t="s">
        <v>24</v>
      </c>
      <c r="J2069" t="s">
        <v>43</v>
      </c>
      <c r="K2069" t="s">
        <v>32</v>
      </c>
      <c r="L2069" t="s">
        <v>27</v>
      </c>
      <c r="M2069">
        <v>1</v>
      </c>
      <c r="N2069" s="2">
        <v>48</v>
      </c>
      <c r="O2069" s="3">
        <v>2080</v>
      </c>
      <c r="P2069">
        <v>0</v>
      </c>
      <c r="Q2069">
        <v>5</v>
      </c>
      <c r="R2069" t="s">
        <v>28</v>
      </c>
      <c r="S2069">
        <v>1</v>
      </c>
    </row>
    <row r="2070" spans="1:19" ht="16.5" x14ac:dyDescent="0.3">
      <c r="A2070" t="s">
        <v>2131</v>
      </c>
      <c r="B2070" s="1">
        <v>45580</v>
      </c>
      <c r="C2070" s="1">
        <v>45582</v>
      </c>
      <c r="D2070">
        <v>2024</v>
      </c>
      <c r="E2070" t="s">
        <v>2026</v>
      </c>
      <c r="F2070" t="s">
        <v>2027</v>
      </c>
      <c r="G2070" t="s">
        <v>56</v>
      </c>
      <c r="H2070" t="s">
        <v>50</v>
      </c>
      <c r="I2070" t="s">
        <v>31</v>
      </c>
      <c r="J2070" t="s">
        <v>43</v>
      </c>
      <c r="K2070" t="s">
        <v>53</v>
      </c>
      <c r="L2070" t="s">
        <v>27</v>
      </c>
      <c r="M2070">
        <v>2</v>
      </c>
      <c r="N2070" s="2"/>
      <c r="O2070" s="3">
        <v>3406</v>
      </c>
      <c r="P2070">
        <v>0</v>
      </c>
      <c r="Q2070">
        <v>3</v>
      </c>
      <c r="R2070" t="s">
        <v>28</v>
      </c>
      <c r="S2070">
        <v>1</v>
      </c>
    </row>
    <row r="2071" spans="1:19" ht="16.5" x14ac:dyDescent="0.3">
      <c r="A2071" t="s">
        <v>2132</v>
      </c>
      <c r="B2071" s="1">
        <v>45580</v>
      </c>
      <c r="C2071" s="1">
        <v>45582</v>
      </c>
      <c r="D2071">
        <v>2024</v>
      </c>
      <c r="E2071" t="s">
        <v>2026</v>
      </c>
      <c r="F2071" t="s">
        <v>2027</v>
      </c>
      <c r="G2071" t="s">
        <v>56</v>
      </c>
      <c r="H2071" t="s">
        <v>30</v>
      </c>
      <c r="I2071" t="s">
        <v>40</v>
      </c>
      <c r="J2071" t="s">
        <v>25</v>
      </c>
      <c r="K2071" t="s">
        <v>26</v>
      </c>
      <c r="L2071" t="s">
        <v>44</v>
      </c>
      <c r="M2071">
        <v>2</v>
      </c>
      <c r="N2071" s="2"/>
      <c r="O2071" s="3">
        <v>3060</v>
      </c>
      <c r="P2071">
        <v>0</v>
      </c>
      <c r="Q2071">
        <v>5</v>
      </c>
      <c r="R2071" t="s">
        <v>33</v>
      </c>
      <c r="S2071">
        <v>1</v>
      </c>
    </row>
    <row r="2072" spans="1:19" ht="16.5" x14ac:dyDescent="0.3">
      <c r="A2072" t="s">
        <v>2133</v>
      </c>
      <c r="B2072" s="1">
        <v>45580</v>
      </c>
      <c r="C2072" s="1">
        <v>45581</v>
      </c>
      <c r="D2072">
        <v>2024</v>
      </c>
      <c r="E2072" t="s">
        <v>2026</v>
      </c>
      <c r="F2072" t="s">
        <v>2027</v>
      </c>
      <c r="G2072" t="s">
        <v>56</v>
      </c>
      <c r="H2072" t="s">
        <v>39</v>
      </c>
      <c r="I2072" t="s">
        <v>24</v>
      </c>
      <c r="J2072" t="s">
        <v>43</v>
      </c>
      <c r="K2072" t="s">
        <v>41</v>
      </c>
      <c r="L2072" t="s">
        <v>44</v>
      </c>
      <c r="M2072">
        <v>1</v>
      </c>
      <c r="N2072" s="2">
        <v>22</v>
      </c>
      <c r="O2072" s="3">
        <v>1226</v>
      </c>
      <c r="P2072">
        <v>0</v>
      </c>
      <c r="Q2072">
        <v>4</v>
      </c>
      <c r="R2072" t="s">
        <v>59</v>
      </c>
      <c r="S2072">
        <v>1</v>
      </c>
    </row>
    <row r="2073" spans="1:19" ht="16.5" x14ac:dyDescent="0.3">
      <c r="A2073" t="s">
        <v>2134</v>
      </c>
      <c r="B2073" s="1">
        <v>45580</v>
      </c>
      <c r="C2073" s="1">
        <v>45588</v>
      </c>
      <c r="D2073">
        <v>2024</v>
      </c>
      <c r="E2073" t="s">
        <v>2026</v>
      </c>
      <c r="F2073" t="s">
        <v>2027</v>
      </c>
      <c r="G2073" t="s">
        <v>56</v>
      </c>
      <c r="H2073" t="s">
        <v>35</v>
      </c>
      <c r="I2073" t="s">
        <v>40</v>
      </c>
      <c r="J2073" t="s">
        <v>25</v>
      </c>
      <c r="K2073" t="s">
        <v>36</v>
      </c>
      <c r="L2073" t="s">
        <v>44</v>
      </c>
      <c r="M2073">
        <v>8</v>
      </c>
      <c r="N2073" s="2"/>
      <c r="O2073" s="3">
        <v>4905</v>
      </c>
      <c r="P2073">
        <v>0</v>
      </c>
      <c r="Q2073">
        <v>4</v>
      </c>
      <c r="R2073" t="s">
        <v>33</v>
      </c>
      <c r="S2073">
        <v>1</v>
      </c>
    </row>
    <row r="2074" spans="1:19" ht="16.5" x14ac:dyDescent="0.3">
      <c r="A2074" t="s">
        <v>2135</v>
      </c>
      <c r="B2074" s="1">
        <v>45580</v>
      </c>
      <c r="C2074" s="1">
        <v>45585</v>
      </c>
      <c r="D2074">
        <v>2024</v>
      </c>
      <c r="E2074" t="s">
        <v>2026</v>
      </c>
      <c r="F2074" t="s">
        <v>2027</v>
      </c>
      <c r="G2074" t="s">
        <v>56</v>
      </c>
      <c r="H2074" t="s">
        <v>50</v>
      </c>
      <c r="I2074" t="s">
        <v>24</v>
      </c>
      <c r="J2074" t="s">
        <v>25</v>
      </c>
      <c r="K2074" t="s">
        <v>53</v>
      </c>
      <c r="L2074" t="s">
        <v>44</v>
      </c>
      <c r="M2074">
        <v>5</v>
      </c>
      <c r="N2074" s="2">
        <v>45</v>
      </c>
      <c r="O2074" s="3">
        <v>5947</v>
      </c>
      <c r="P2074">
        <v>0</v>
      </c>
      <c r="Q2074">
        <v>3</v>
      </c>
      <c r="R2074" t="s">
        <v>28</v>
      </c>
      <c r="S2074">
        <v>1</v>
      </c>
    </row>
    <row r="2075" spans="1:19" ht="16.5" x14ac:dyDescent="0.3">
      <c r="A2075" t="s">
        <v>2136</v>
      </c>
      <c r="B2075" s="1">
        <v>45581</v>
      </c>
      <c r="C2075" s="1">
        <v>45582</v>
      </c>
      <c r="D2075">
        <v>2024</v>
      </c>
      <c r="E2075" t="s">
        <v>2026</v>
      </c>
      <c r="F2075" t="s">
        <v>2027</v>
      </c>
      <c r="G2075" t="s">
        <v>70</v>
      </c>
      <c r="H2075" t="s">
        <v>35</v>
      </c>
      <c r="I2075" t="s">
        <v>24</v>
      </c>
      <c r="J2075" t="s">
        <v>25</v>
      </c>
      <c r="K2075" t="s">
        <v>36</v>
      </c>
      <c r="L2075" t="s">
        <v>27</v>
      </c>
      <c r="M2075">
        <v>1</v>
      </c>
      <c r="N2075" s="2">
        <v>81</v>
      </c>
      <c r="O2075" s="3">
        <v>1438</v>
      </c>
      <c r="P2075">
        <v>0</v>
      </c>
      <c r="Q2075">
        <v>4</v>
      </c>
      <c r="R2075" t="s">
        <v>33</v>
      </c>
      <c r="S2075">
        <v>1</v>
      </c>
    </row>
    <row r="2076" spans="1:19" ht="16.5" x14ac:dyDescent="0.3">
      <c r="A2076" t="s">
        <v>2137</v>
      </c>
      <c r="B2076" s="1">
        <v>45581</v>
      </c>
      <c r="C2076" s="1">
        <v>45591</v>
      </c>
      <c r="D2076">
        <v>2024</v>
      </c>
      <c r="E2076" t="s">
        <v>2026</v>
      </c>
      <c r="F2076" t="s">
        <v>2027</v>
      </c>
      <c r="G2076" t="s">
        <v>70</v>
      </c>
      <c r="H2076" t="s">
        <v>30</v>
      </c>
      <c r="I2076" t="s">
        <v>40</v>
      </c>
      <c r="J2076" t="s">
        <v>43</v>
      </c>
      <c r="K2076" t="s">
        <v>32</v>
      </c>
      <c r="L2076" t="s">
        <v>44</v>
      </c>
      <c r="M2076">
        <v>10</v>
      </c>
      <c r="N2076" s="2"/>
      <c r="O2076" s="3">
        <v>7887</v>
      </c>
      <c r="P2076">
        <v>0</v>
      </c>
      <c r="Q2076">
        <v>5</v>
      </c>
      <c r="R2076" t="s">
        <v>28</v>
      </c>
      <c r="S2076">
        <v>1</v>
      </c>
    </row>
    <row r="2077" spans="1:19" ht="16.5" x14ac:dyDescent="0.3">
      <c r="A2077" t="s">
        <v>2138</v>
      </c>
      <c r="B2077" s="1">
        <v>45581</v>
      </c>
      <c r="C2077" s="1">
        <v>45583</v>
      </c>
      <c r="D2077">
        <v>2024</v>
      </c>
      <c r="E2077" t="s">
        <v>2026</v>
      </c>
      <c r="F2077" t="s">
        <v>2027</v>
      </c>
      <c r="G2077" t="s">
        <v>70</v>
      </c>
      <c r="H2077" t="s">
        <v>23</v>
      </c>
      <c r="I2077" t="s">
        <v>40</v>
      </c>
      <c r="J2077" t="s">
        <v>43</v>
      </c>
      <c r="K2077" t="s">
        <v>26</v>
      </c>
      <c r="L2077" t="s">
        <v>27</v>
      </c>
      <c r="M2077">
        <v>2</v>
      </c>
      <c r="N2077" s="2"/>
      <c r="O2077" s="3">
        <v>1300</v>
      </c>
      <c r="P2077">
        <v>0</v>
      </c>
      <c r="Q2077">
        <v>5</v>
      </c>
      <c r="R2077" t="s">
        <v>28</v>
      </c>
      <c r="S2077">
        <v>1</v>
      </c>
    </row>
    <row r="2078" spans="1:19" ht="16.5" x14ac:dyDescent="0.3">
      <c r="A2078" t="s">
        <v>2139</v>
      </c>
      <c r="B2078" s="1">
        <v>45581</v>
      </c>
      <c r="C2078" s="1">
        <v>45584</v>
      </c>
      <c r="D2078">
        <v>2024</v>
      </c>
      <c r="E2078" t="s">
        <v>2026</v>
      </c>
      <c r="F2078" t="s">
        <v>2027</v>
      </c>
      <c r="G2078" t="s">
        <v>70</v>
      </c>
      <c r="H2078" t="s">
        <v>52</v>
      </c>
      <c r="I2078" t="s">
        <v>40</v>
      </c>
      <c r="J2078" t="s">
        <v>43</v>
      </c>
      <c r="K2078" t="s">
        <v>32</v>
      </c>
      <c r="L2078" t="s">
        <v>27</v>
      </c>
      <c r="M2078">
        <v>3</v>
      </c>
      <c r="N2078" s="2"/>
      <c r="O2078" s="3">
        <v>4982</v>
      </c>
      <c r="P2078">
        <v>1</v>
      </c>
      <c r="Q2078">
        <v>4</v>
      </c>
      <c r="R2078" t="s">
        <v>33</v>
      </c>
      <c r="S2078">
        <v>1</v>
      </c>
    </row>
    <row r="2079" spans="1:19" ht="16.5" x14ac:dyDescent="0.3">
      <c r="A2079" t="s">
        <v>2140</v>
      </c>
      <c r="B2079" s="1">
        <v>45581</v>
      </c>
      <c r="C2079" s="1">
        <v>45583</v>
      </c>
      <c r="D2079">
        <v>2024</v>
      </c>
      <c r="E2079" t="s">
        <v>2026</v>
      </c>
      <c r="F2079" t="s">
        <v>2027</v>
      </c>
      <c r="G2079" t="s">
        <v>70</v>
      </c>
      <c r="H2079" t="s">
        <v>35</v>
      </c>
      <c r="I2079" t="s">
        <v>24</v>
      </c>
      <c r="J2079" t="s">
        <v>25</v>
      </c>
      <c r="K2079" t="s">
        <v>36</v>
      </c>
      <c r="L2079" t="s">
        <v>27</v>
      </c>
      <c r="M2079">
        <v>2</v>
      </c>
      <c r="N2079" s="2">
        <v>86</v>
      </c>
      <c r="O2079" s="3">
        <v>1937</v>
      </c>
      <c r="P2079">
        <v>0</v>
      </c>
      <c r="Q2079">
        <v>4</v>
      </c>
      <c r="R2079" t="s">
        <v>33</v>
      </c>
      <c r="S2079">
        <v>1</v>
      </c>
    </row>
    <row r="2080" spans="1:19" ht="16.5" x14ac:dyDescent="0.3">
      <c r="A2080" t="s">
        <v>2141</v>
      </c>
      <c r="B2080" s="1">
        <v>45581</v>
      </c>
      <c r="C2080" s="1">
        <v>45586</v>
      </c>
      <c r="D2080">
        <v>2024</v>
      </c>
      <c r="E2080" t="s">
        <v>2026</v>
      </c>
      <c r="F2080" t="s">
        <v>2027</v>
      </c>
      <c r="G2080" t="s">
        <v>70</v>
      </c>
      <c r="H2080" t="s">
        <v>35</v>
      </c>
      <c r="I2080" t="s">
        <v>24</v>
      </c>
      <c r="J2080" t="s">
        <v>25</v>
      </c>
      <c r="K2080" t="s">
        <v>36</v>
      </c>
      <c r="L2080" t="s">
        <v>37</v>
      </c>
      <c r="M2080">
        <v>5</v>
      </c>
      <c r="N2080" s="2">
        <v>92</v>
      </c>
      <c r="O2080" s="3">
        <v>4852</v>
      </c>
      <c r="P2080">
        <v>0</v>
      </c>
      <c r="Q2080">
        <v>4</v>
      </c>
      <c r="R2080" t="s">
        <v>33</v>
      </c>
      <c r="S2080">
        <v>1</v>
      </c>
    </row>
    <row r="2081" spans="1:19" ht="16.5" x14ac:dyDescent="0.3">
      <c r="A2081" t="s">
        <v>2142</v>
      </c>
      <c r="B2081" s="1">
        <v>45581</v>
      </c>
      <c r="C2081" s="1">
        <v>45583</v>
      </c>
      <c r="D2081">
        <v>2024</v>
      </c>
      <c r="E2081" t="s">
        <v>2026</v>
      </c>
      <c r="F2081" t="s">
        <v>2027</v>
      </c>
      <c r="G2081" t="s">
        <v>70</v>
      </c>
      <c r="H2081" t="s">
        <v>23</v>
      </c>
      <c r="I2081" t="s">
        <v>31</v>
      </c>
      <c r="J2081" t="s">
        <v>25</v>
      </c>
      <c r="K2081" t="s">
        <v>53</v>
      </c>
      <c r="L2081" t="s">
        <v>27</v>
      </c>
      <c r="M2081">
        <v>2</v>
      </c>
      <c r="N2081" s="2"/>
      <c r="O2081" s="3">
        <v>2315</v>
      </c>
      <c r="P2081">
        <v>0</v>
      </c>
      <c r="Q2081">
        <v>5</v>
      </c>
      <c r="R2081" t="s">
        <v>33</v>
      </c>
      <c r="S2081">
        <v>1</v>
      </c>
    </row>
    <row r="2082" spans="1:19" ht="16.5" x14ac:dyDescent="0.3">
      <c r="A2082" t="s">
        <v>2143</v>
      </c>
      <c r="B2082" s="1">
        <v>45581</v>
      </c>
      <c r="C2082" s="1">
        <v>45589</v>
      </c>
      <c r="D2082">
        <v>2024</v>
      </c>
      <c r="E2082" t="s">
        <v>2026</v>
      </c>
      <c r="F2082" t="s">
        <v>2027</v>
      </c>
      <c r="G2082" t="s">
        <v>70</v>
      </c>
      <c r="H2082" t="s">
        <v>23</v>
      </c>
      <c r="I2082" t="s">
        <v>40</v>
      </c>
      <c r="J2082" t="s">
        <v>43</v>
      </c>
      <c r="K2082" t="s">
        <v>36</v>
      </c>
      <c r="L2082" t="s">
        <v>44</v>
      </c>
      <c r="M2082">
        <v>8</v>
      </c>
      <c r="N2082" s="2"/>
      <c r="O2082" s="3">
        <v>7077</v>
      </c>
      <c r="P2082">
        <v>0</v>
      </c>
      <c r="Q2082">
        <v>4</v>
      </c>
      <c r="R2082" t="s">
        <v>33</v>
      </c>
      <c r="S2082">
        <v>1</v>
      </c>
    </row>
    <row r="2083" spans="1:19" ht="16.5" x14ac:dyDescent="0.3">
      <c r="A2083" t="s">
        <v>2144</v>
      </c>
      <c r="B2083" s="1">
        <v>45581</v>
      </c>
      <c r="C2083" s="1">
        <v>45589</v>
      </c>
      <c r="D2083">
        <v>2024</v>
      </c>
      <c r="E2083" t="s">
        <v>2026</v>
      </c>
      <c r="F2083" t="s">
        <v>2027</v>
      </c>
      <c r="G2083" t="s">
        <v>70</v>
      </c>
      <c r="H2083" t="s">
        <v>50</v>
      </c>
      <c r="I2083" t="s">
        <v>24</v>
      </c>
      <c r="J2083" t="s">
        <v>43</v>
      </c>
      <c r="K2083" t="s">
        <v>26</v>
      </c>
      <c r="L2083" t="s">
        <v>44</v>
      </c>
      <c r="M2083">
        <v>8</v>
      </c>
      <c r="N2083" s="2">
        <v>108</v>
      </c>
      <c r="O2083" s="3">
        <v>11804</v>
      </c>
      <c r="P2083">
        <v>0</v>
      </c>
      <c r="Q2083">
        <v>3</v>
      </c>
      <c r="R2083" t="s">
        <v>33</v>
      </c>
      <c r="S2083">
        <v>1</v>
      </c>
    </row>
    <row r="2084" spans="1:19" ht="16.5" x14ac:dyDescent="0.3">
      <c r="A2084" t="s">
        <v>2145</v>
      </c>
      <c r="B2084" s="1">
        <v>45582</v>
      </c>
      <c r="C2084" s="1">
        <v>45591</v>
      </c>
      <c r="D2084">
        <v>2024</v>
      </c>
      <c r="E2084" t="s">
        <v>2026</v>
      </c>
      <c r="F2084" t="s">
        <v>2027</v>
      </c>
      <c r="G2084" t="s">
        <v>78</v>
      </c>
      <c r="H2084" t="s">
        <v>52</v>
      </c>
      <c r="I2084" t="s">
        <v>40</v>
      </c>
      <c r="J2084" t="s">
        <v>25</v>
      </c>
      <c r="K2084" t="s">
        <v>32</v>
      </c>
      <c r="L2084" t="s">
        <v>44</v>
      </c>
      <c r="M2084">
        <v>9</v>
      </c>
      <c r="N2084" s="2"/>
      <c r="O2084" s="3">
        <v>9661</v>
      </c>
      <c r="P2084">
        <v>0</v>
      </c>
      <c r="Q2084">
        <v>4</v>
      </c>
      <c r="R2084" t="s">
        <v>33</v>
      </c>
      <c r="S2084">
        <v>1</v>
      </c>
    </row>
    <row r="2085" spans="1:19" ht="16.5" x14ac:dyDescent="0.3">
      <c r="A2085" t="s">
        <v>2146</v>
      </c>
      <c r="B2085" s="1">
        <v>45582</v>
      </c>
      <c r="C2085" s="1">
        <v>45584</v>
      </c>
      <c r="D2085">
        <v>2024</v>
      </c>
      <c r="E2085" t="s">
        <v>2026</v>
      </c>
      <c r="F2085" t="s">
        <v>2027</v>
      </c>
      <c r="G2085" t="s">
        <v>78</v>
      </c>
      <c r="H2085" t="s">
        <v>52</v>
      </c>
      <c r="I2085" t="s">
        <v>40</v>
      </c>
      <c r="J2085" t="s">
        <v>25</v>
      </c>
      <c r="K2085" t="s">
        <v>53</v>
      </c>
      <c r="L2085" t="s">
        <v>27</v>
      </c>
      <c r="M2085">
        <v>2</v>
      </c>
      <c r="N2085" s="2"/>
      <c r="O2085" s="3">
        <v>2617</v>
      </c>
      <c r="P2085">
        <v>0</v>
      </c>
      <c r="Q2085">
        <v>5</v>
      </c>
      <c r="R2085" t="s">
        <v>28</v>
      </c>
      <c r="S2085">
        <v>1</v>
      </c>
    </row>
    <row r="2086" spans="1:19" ht="16.5" x14ac:dyDescent="0.3">
      <c r="A2086" t="s">
        <v>2147</v>
      </c>
      <c r="B2086" s="1">
        <v>45582</v>
      </c>
      <c r="C2086" s="1">
        <v>45588</v>
      </c>
      <c r="D2086">
        <v>2024</v>
      </c>
      <c r="E2086" t="s">
        <v>2026</v>
      </c>
      <c r="F2086" t="s">
        <v>2027</v>
      </c>
      <c r="G2086" t="s">
        <v>78</v>
      </c>
      <c r="H2086" t="s">
        <v>23</v>
      </c>
      <c r="I2086" t="s">
        <v>40</v>
      </c>
      <c r="J2086" t="s">
        <v>43</v>
      </c>
      <c r="K2086" t="s">
        <v>26</v>
      </c>
      <c r="L2086" t="s">
        <v>27</v>
      </c>
      <c r="M2086">
        <v>6</v>
      </c>
      <c r="N2086" s="2"/>
      <c r="O2086" s="3">
        <v>4189</v>
      </c>
      <c r="P2086">
        <v>1</v>
      </c>
      <c r="Q2086">
        <v>3</v>
      </c>
      <c r="R2086" t="s">
        <v>59</v>
      </c>
      <c r="S2086">
        <v>1</v>
      </c>
    </row>
    <row r="2087" spans="1:19" ht="16.5" x14ac:dyDescent="0.3">
      <c r="A2087" t="s">
        <v>2148</v>
      </c>
      <c r="B2087" s="1">
        <v>45582</v>
      </c>
      <c r="C2087" s="1">
        <v>45585</v>
      </c>
      <c r="D2087">
        <v>2024</v>
      </c>
      <c r="E2087" t="s">
        <v>2026</v>
      </c>
      <c r="F2087" t="s">
        <v>2027</v>
      </c>
      <c r="G2087" t="s">
        <v>78</v>
      </c>
      <c r="H2087" t="s">
        <v>30</v>
      </c>
      <c r="I2087" t="s">
        <v>40</v>
      </c>
      <c r="J2087" t="s">
        <v>43</v>
      </c>
      <c r="K2087" t="s">
        <v>26</v>
      </c>
      <c r="L2087" t="s">
        <v>27</v>
      </c>
      <c r="M2087">
        <v>3</v>
      </c>
      <c r="N2087" s="2"/>
      <c r="O2087" s="3">
        <v>3863</v>
      </c>
      <c r="P2087">
        <v>0</v>
      </c>
      <c r="Q2087">
        <v>4</v>
      </c>
      <c r="R2087" t="s">
        <v>33</v>
      </c>
      <c r="S2087">
        <v>1</v>
      </c>
    </row>
    <row r="2088" spans="1:19" ht="16.5" x14ac:dyDescent="0.3">
      <c r="A2088" t="s">
        <v>2149</v>
      </c>
      <c r="B2088" s="1">
        <v>45582</v>
      </c>
      <c r="C2088" s="1">
        <v>45590</v>
      </c>
      <c r="D2088">
        <v>2024</v>
      </c>
      <c r="E2088" t="s">
        <v>2026</v>
      </c>
      <c r="F2088" t="s">
        <v>2027</v>
      </c>
      <c r="G2088" t="s">
        <v>78</v>
      </c>
      <c r="H2088" t="s">
        <v>23</v>
      </c>
      <c r="I2088" t="s">
        <v>24</v>
      </c>
      <c r="J2088" t="s">
        <v>43</v>
      </c>
      <c r="K2088" t="s">
        <v>26</v>
      </c>
      <c r="L2088" t="s">
        <v>27</v>
      </c>
      <c r="M2088">
        <v>8</v>
      </c>
      <c r="N2088" s="2">
        <v>25</v>
      </c>
      <c r="O2088" s="3">
        <v>4277</v>
      </c>
      <c r="P2088">
        <v>0</v>
      </c>
      <c r="Q2088">
        <v>4</v>
      </c>
      <c r="R2088" t="s">
        <v>33</v>
      </c>
      <c r="S2088">
        <v>1</v>
      </c>
    </row>
    <row r="2089" spans="1:19" ht="16.5" x14ac:dyDescent="0.3">
      <c r="A2089" t="s">
        <v>2150</v>
      </c>
      <c r="B2089" s="1">
        <v>45582</v>
      </c>
      <c r="C2089" s="1">
        <v>45587</v>
      </c>
      <c r="D2089">
        <v>2024</v>
      </c>
      <c r="E2089" t="s">
        <v>2026</v>
      </c>
      <c r="F2089" t="s">
        <v>2027</v>
      </c>
      <c r="G2089" t="s">
        <v>78</v>
      </c>
      <c r="H2089" t="s">
        <v>50</v>
      </c>
      <c r="I2089" t="s">
        <v>40</v>
      </c>
      <c r="J2089" t="s">
        <v>25</v>
      </c>
      <c r="K2089" t="s">
        <v>26</v>
      </c>
      <c r="L2089" t="s">
        <v>27</v>
      </c>
      <c r="M2089">
        <v>5</v>
      </c>
      <c r="N2089" s="2"/>
      <c r="O2089" s="3">
        <v>7797</v>
      </c>
      <c r="P2089">
        <v>0</v>
      </c>
      <c r="Q2089">
        <v>5</v>
      </c>
      <c r="R2089" t="s">
        <v>28</v>
      </c>
      <c r="S2089">
        <v>1</v>
      </c>
    </row>
    <row r="2090" spans="1:19" ht="16.5" x14ac:dyDescent="0.3">
      <c r="A2090" t="s">
        <v>2151</v>
      </c>
      <c r="B2090" s="1">
        <v>45583</v>
      </c>
      <c r="C2090" s="1">
        <v>45586</v>
      </c>
      <c r="D2090">
        <v>2024</v>
      </c>
      <c r="E2090" t="s">
        <v>2026</v>
      </c>
      <c r="F2090" t="s">
        <v>2027</v>
      </c>
      <c r="G2090" t="s">
        <v>83</v>
      </c>
      <c r="H2090" t="s">
        <v>35</v>
      </c>
      <c r="I2090" t="s">
        <v>24</v>
      </c>
      <c r="J2090" t="s">
        <v>25</v>
      </c>
      <c r="K2090" t="s">
        <v>32</v>
      </c>
      <c r="L2090" t="s">
        <v>27</v>
      </c>
      <c r="M2090">
        <v>3</v>
      </c>
      <c r="N2090" s="2">
        <v>35</v>
      </c>
      <c r="O2090" s="3">
        <v>3023</v>
      </c>
      <c r="P2090">
        <v>0</v>
      </c>
      <c r="Q2090">
        <v>5</v>
      </c>
      <c r="R2090" t="s">
        <v>28</v>
      </c>
      <c r="S2090">
        <v>1</v>
      </c>
    </row>
    <row r="2091" spans="1:19" ht="16.5" x14ac:dyDescent="0.3">
      <c r="A2091" t="s">
        <v>2152</v>
      </c>
      <c r="B2091" s="1">
        <v>45583</v>
      </c>
      <c r="C2091" s="1">
        <v>45588</v>
      </c>
      <c r="D2091">
        <v>2024</v>
      </c>
      <c r="E2091" t="s">
        <v>2026</v>
      </c>
      <c r="F2091" t="s">
        <v>2027</v>
      </c>
      <c r="G2091" t="s">
        <v>83</v>
      </c>
      <c r="H2091" t="s">
        <v>23</v>
      </c>
      <c r="I2091" t="s">
        <v>24</v>
      </c>
      <c r="J2091" t="s">
        <v>43</v>
      </c>
      <c r="K2091" t="s">
        <v>53</v>
      </c>
      <c r="L2091" t="s">
        <v>44</v>
      </c>
      <c r="M2091">
        <v>5</v>
      </c>
      <c r="N2091" s="2">
        <v>50</v>
      </c>
      <c r="O2091" s="3">
        <v>4060</v>
      </c>
      <c r="P2091">
        <v>0</v>
      </c>
      <c r="Q2091">
        <v>5</v>
      </c>
      <c r="R2091" t="s">
        <v>28</v>
      </c>
      <c r="S2091">
        <v>1</v>
      </c>
    </row>
    <row r="2092" spans="1:19" ht="16.5" x14ac:dyDescent="0.3">
      <c r="A2092" t="s">
        <v>2153</v>
      </c>
      <c r="B2092" s="1">
        <v>45583</v>
      </c>
      <c r="C2092" s="1">
        <v>45591</v>
      </c>
      <c r="D2092">
        <v>2024</v>
      </c>
      <c r="E2092" t="s">
        <v>2026</v>
      </c>
      <c r="F2092" t="s">
        <v>2027</v>
      </c>
      <c r="G2092" t="s">
        <v>83</v>
      </c>
      <c r="H2092" t="s">
        <v>23</v>
      </c>
      <c r="I2092" t="s">
        <v>24</v>
      </c>
      <c r="J2092" t="s">
        <v>25</v>
      </c>
      <c r="K2092" t="s">
        <v>26</v>
      </c>
      <c r="L2092" t="s">
        <v>27</v>
      </c>
      <c r="M2092">
        <v>8</v>
      </c>
      <c r="N2092" s="2">
        <v>210</v>
      </c>
      <c r="O2092" s="3">
        <v>6656</v>
      </c>
      <c r="P2092">
        <v>0</v>
      </c>
      <c r="Q2092">
        <v>3</v>
      </c>
      <c r="R2092" t="s">
        <v>33</v>
      </c>
      <c r="S2092">
        <v>1</v>
      </c>
    </row>
    <row r="2093" spans="1:19" ht="16.5" x14ac:dyDescent="0.3">
      <c r="A2093" t="s">
        <v>2154</v>
      </c>
      <c r="B2093" s="1">
        <v>45583</v>
      </c>
      <c r="C2093" s="1">
        <v>45584</v>
      </c>
      <c r="D2093">
        <v>2024</v>
      </c>
      <c r="E2093" t="s">
        <v>2026</v>
      </c>
      <c r="F2093" t="s">
        <v>2027</v>
      </c>
      <c r="G2093" t="s">
        <v>83</v>
      </c>
      <c r="H2093" t="s">
        <v>30</v>
      </c>
      <c r="I2093" t="s">
        <v>40</v>
      </c>
      <c r="J2093" t="s">
        <v>25</v>
      </c>
      <c r="K2093" t="s">
        <v>26</v>
      </c>
      <c r="L2093" t="s">
        <v>27</v>
      </c>
      <c r="M2093">
        <v>1</v>
      </c>
      <c r="N2093" s="2"/>
      <c r="O2093" s="3">
        <v>1622</v>
      </c>
      <c r="P2093">
        <v>0</v>
      </c>
      <c r="Q2093">
        <v>5</v>
      </c>
      <c r="R2093" t="s">
        <v>33</v>
      </c>
      <c r="S2093">
        <v>1</v>
      </c>
    </row>
    <row r="2094" spans="1:19" ht="16.5" x14ac:dyDescent="0.3">
      <c r="A2094" t="s">
        <v>2155</v>
      </c>
      <c r="B2094" s="1">
        <v>45583</v>
      </c>
      <c r="C2094" s="1">
        <v>45590</v>
      </c>
      <c r="D2094">
        <v>2024</v>
      </c>
      <c r="E2094" t="s">
        <v>2026</v>
      </c>
      <c r="F2094" t="s">
        <v>2027</v>
      </c>
      <c r="G2094" t="s">
        <v>83</v>
      </c>
      <c r="H2094" t="s">
        <v>23</v>
      </c>
      <c r="I2094" t="s">
        <v>24</v>
      </c>
      <c r="J2094" t="s">
        <v>43</v>
      </c>
      <c r="K2094" t="s">
        <v>53</v>
      </c>
      <c r="L2094" t="s">
        <v>27</v>
      </c>
      <c r="M2094">
        <v>7</v>
      </c>
      <c r="N2094" s="2">
        <v>89</v>
      </c>
      <c r="O2094" s="3">
        <v>5616</v>
      </c>
      <c r="P2094">
        <v>0</v>
      </c>
      <c r="Q2094">
        <v>4</v>
      </c>
      <c r="R2094" t="s">
        <v>33</v>
      </c>
      <c r="S2094">
        <v>1</v>
      </c>
    </row>
    <row r="2095" spans="1:19" ht="16.5" x14ac:dyDescent="0.3">
      <c r="A2095" t="s">
        <v>2156</v>
      </c>
      <c r="B2095" s="1">
        <v>45583</v>
      </c>
      <c r="C2095" s="1">
        <v>45584</v>
      </c>
      <c r="D2095">
        <v>2024</v>
      </c>
      <c r="E2095" t="s">
        <v>2026</v>
      </c>
      <c r="F2095" t="s">
        <v>2027</v>
      </c>
      <c r="G2095" t="s">
        <v>83</v>
      </c>
      <c r="H2095" t="s">
        <v>52</v>
      </c>
      <c r="I2095" t="s">
        <v>40</v>
      </c>
      <c r="J2095" t="s">
        <v>43</v>
      </c>
      <c r="K2095" t="s">
        <v>53</v>
      </c>
      <c r="L2095" t="s">
        <v>37</v>
      </c>
      <c r="M2095">
        <v>1</v>
      </c>
      <c r="N2095" s="2"/>
      <c r="O2095" s="3">
        <v>1630</v>
      </c>
      <c r="P2095">
        <v>0</v>
      </c>
      <c r="Q2095">
        <v>5</v>
      </c>
      <c r="R2095" t="s">
        <v>28</v>
      </c>
      <c r="S2095">
        <v>1</v>
      </c>
    </row>
    <row r="2096" spans="1:19" ht="16.5" x14ac:dyDescent="0.3">
      <c r="A2096" t="s">
        <v>2157</v>
      </c>
      <c r="B2096" s="1">
        <v>45583</v>
      </c>
      <c r="C2096" s="1">
        <v>45601</v>
      </c>
      <c r="D2096">
        <v>2024</v>
      </c>
      <c r="E2096" t="s">
        <v>2026</v>
      </c>
      <c r="F2096" t="s">
        <v>2027</v>
      </c>
      <c r="G2096" t="s">
        <v>83</v>
      </c>
      <c r="H2096" t="s">
        <v>23</v>
      </c>
      <c r="I2096" t="s">
        <v>24</v>
      </c>
      <c r="J2096" t="s">
        <v>43</v>
      </c>
      <c r="K2096" t="s">
        <v>26</v>
      </c>
      <c r="L2096" t="s">
        <v>44</v>
      </c>
      <c r="M2096">
        <v>18</v>
      </c>
      <c r="N2096" s="2">
        <v>92</v>
      </c>
      <c r="O2096" s="3">
        <v>12967</v>
      </c>
      <c r="P2096">
        <v>0</v>
      </c>
      <c r="Q2096">
        <v>3</v>
      </c>
      <c r="R2096" t="s">
        <v>33</v>
      </c>
      <c r="S2096">
        <v>1</v>
      </c>
    </row>
    <row r="2097" spans="1:19" ht="16.5" x14ac:dyDescent="0.3">
      <c r="A2097" t="s">
        <v>2158</v>
      </c>
      <c r="B2097" s="1">
        <v>45583</v>
      </c>
      <c r="C2097" s="1">
        <v>45584</v>
      </c>
      <c r="D2097">
        <v>2024</v>
      </c>
      <c r="E2097" t="s">
        <v>2026</v>
      </c>
      <c r="F2097" t="s">
        <v>2027</v>
      </c>
      <c r="G2097" t="s">
        <v>83</v>
      </c>
      <c r="H2097" t="s">
        <v>30</v>
      </c>
      <c r="I2097" t="s">
        <v>40</v>
      </c>
      <c r="J2097" t="s">
        <v>43</v>
      </c>
      <c r="K2097" t="s">
        <v>53</v>
      </c>
      <c r="L2097" t="s">
        <v>44</v>
      </c>
      <c r="M2097">
        <v>1</v>
      </c>
      <c r="N2097" s="2"/>
      <c r="O2097" s="3">
        <v>1727</v>
      </c>
      <c r="P2097">
        <v>0</v>
      </c>
      <c r="Q2097">
        <v>5</v>
      </c>
      <c r="R2097" t="s">
        <v>33</v>
      </c>
      <c r="S2097">
        <v>1</v>
      </c>
    </row>
    <row r="2098" spans="1:19" ht="16.5" x14ac:dyDescent="0.3">
      <c r="A2098" t="s">
        <v>2159</v>
      </c>
      <c r="B2098" s="1">
        <v>45584</v>
      </c>
      <c r="C2098" s="1">
        <v>45591</v>
      </c>
      <c r="D2098">
        <v>2024</v>
      </c>
      <c r="E2098" t="s">
        <v>2026</v>
      </c>
      <c r="F2098" t="s">
        <v>2027</v>
      </c>
      <c r="G2098" t="s">
        <v>102</v>
      </c>
      <c r="H2098" t="s">
        <v>23</v>
      </c>
      <c r="I2098" t="s">
        <v>24</v>
      </c>
      <c r="J2098" t="s">
        <v>25</v>
      </c>
      <c r="K2098" t="s">
        <v>32</v>
      </c>
      <c r="L2098" t="s">
        <v>27</v>
      </c>
      <c r="M2098">
        <v>7</v>
      </c>
      <c r="N2098" s="2">
        <v>35</v>
      </c>
      <c r="O2098" s="3">
        <v>5679</v>
      </c>
      <c r="P2098">
        <v>0</v>
      </c>
      <c r="Q2098">
        <v>4</v>
      </c>
      <c r="R2098" t="s">
        <v>28</v>
      </c>
      <c r="S2098">
        <v>1</v>
      </c>
    </row>
    <row r="2099" spans="1:19" ht="16.5" x14ac:dyDescent="0.3">
      <c r="A2099" t="s">
        <v>2160</v>
      </c>
      <c r="B2099" s="1">
        <v>45584</v>
      </c>
      <c r="C2099" s="1">
        <v>45585</v>
      </c>
      <c r="D2099">
        <v>2024</v>
      </c>
      <c r="E2099" t="s">
        <v>2026</v>
      </c>
      <c r="F2099" t="s">
        <v>2027</v>
      </c>
      <c r="G2099" t="s">
        <v>102</v>
      </c>
      <c r="H2099" t="s">
        <v>52</v>
      </c>
      <c r="I2099" t="s">
        <v>40</v>
      </c>
      <c r="J2099" t="s">
        <v>25</v>
      </c>
      <c r="K2099" t="s">
        <v>26</v>
      </c>
      <c r="L2099" t="s">
        <v>44</v>
      </c>
      <c r="M2099">
        <v>1</v>
      </c>
      <c r="N2099" s="2"/>
      <c r="O2099" s="3">
        <v>1651</v>
      </c>
      <c r="P2099">
        <v>0</v>
      </c>
      <c r="Q2099">
        <v>4</v>
      </c>
      <c r="R2099" t="s">
        <v>33</v>
      </c>
      <c r="S2099">
        <v>1</v>
      </c>
    </row>
    <row r="2100" spans="1:19" ht="16.5" x14ac:dyDescent="0.3">
      <c r="A2100" t="s">
        <v>2161</v>
      </c>
      <c r="B2100" s="1">
        <v>45584</v>
      </c>
      <c r="C2100" s="1">
        <v>45585</v>
      </c>
      <c r="D2100">
        <v>2024</v>
      </c>
      <c r="E2100" t="s">
        <v>2026</v>
      </c>
      <c r="F2100" t="s">
        <v>2027</v>
      </c>
      <c r="G2100" t="s">
        <v>102</v>
      </c>
      <c r="H2100" t="s">
        <v>35</v>
      </c>
      <c r="I2100" t="s">
        <v>24</v>
      </c>
      <c r="J2100" t="s">
        <v>25</v>
      </c>
      <c r="K2100" t="s">
        <v>36</v>
      </c>
      <c r="L2100" t="s">
        <v>44</v>
      </c>
      <c r="M2100">
        <v>1</v>
      </c>
      <c r="N2100" s="2">
        <v>77</v>
      </c>
      <c r="O2100" s="3">
        <v>1976</v>
      </c>
      <c r="P2100">
        <v>0</v>
      </c>
      <c r="Q2100">
        <v>4</v>
      </c>
      <c r="R2100" t="s">
        <v>28</v>
      </c>
      <c r="S2100">
        <v>1</v>
      </c>
    </row>
    <row r="2101" spans="1:19" ht="16.5" x14ac:dyDescent="0.3">
      <c r="A2101" t="s">
        <v>2162</v>
      </c>
      <c r="B2101" s="1">
        <v>45584</v>
      </c>
      <c r="C2101" s="1">
        <v>45586</v>
      </c>
      <c r="D2101">
        <v>2024</v>
      </c>
      <c r="E2101" t="s">
        <v>2026</v>
      </c>
      <c r="F2101" t="s">
        <v>2027</v>
      </c>
      <c r="G2101" t="s">
        <v>102</v>
      </c>
      <c r="H2101" t="s">
        <v>39</v>
      </c>
      <c r="I2101" t="s">
        <v>24</v>
      </c>
      <c r="J2101" t="s">
        <v>43</v>
      </c>
      <c r="K2101" t="s">
        <v>41</v>
      </c>
      <c r="L2101" t="s">
        <v>27</v>
      </c>
      <c r="M2101">
        <v>2</v>
      </c>
      <c r="N2101" s="2">
        <v>27</v>
      </c>
      <c r="O2101" s="3">
        <v>2605</v>
      </c>
      <c r="P2101">
        <v>1</v>
      </c>
      <c r="Q2101">
        <v>5</v>
      </c>
      <c r="R2101" t="s">
        <v>33</v>
      </c>
      <c r="S2101">
        <v>1</v>
      </c>
    </row>
    <row r="2102" spans="1:19" ht="16.5" x14ac:dyDescent="0.3">
      <c r="A2102" t="s">
        <v>2163</v>
      </c>
      <c r="B2102" s="1">
        <v>45584</v>
      </c>
      <c r="C2102" s="1">
        <v>45595</v>
      </c>
      <c r="D2102">
        <v>2024</v>
      </c>
      <c r="E2102" t="s">
        <v>2026</v>
      </c>
      <c r="F2102" t="s">
        <v>2027</v>
      </c>
      <c r="G2102" t="s">
        <v>102</v>
      </c>
      <c r="H2102" t="s">
        <v>23</v>
      </c>
      <c r="I2102" t="s">
        <v>24</v>
      </c>
      <c r="J2102" t="s">
        <v>43</v>
      </c>
      <c r="K2102" t="s">
        <v>32</v>
      </c>
      <c r="L2102" t="s">
        <v>44</v>
      </c>
      <c r="M2102">
        <v>11</v>
      </c>
      <c r="N2102" s="2">
        <v>43</v>
      </c>
      <c r="O2102" s="3">
        <v>7272</v>
      </c>
      <c r="P2102">
        <v>0</v>
      </c>
      <c r="Q2102">
        <v>3</v>
      </c>
      <c r="R2102" t="s">
        <v>28</v>
      </c>
      <c r="S2102">
        <v>1</v>
      </c>
    </row>
    <row r="2103" spans="1:19" ht="16.5" x14ac:dyDescent="0.3">
      <c r="A2103" t="s">
        <v>2164</v>
      </c>
      <c r="B2103" s="1">
        <v>45584</v>
      </c>
      <c r="C2103" s="1">
        <v>45587</v>
      </c>
      <c r="D2103">
        <v>2024</v>
      </c>
      <c r="E2103" t="s">
        <v>2026</v>
      </c>
      <c r="F2103" t="s">
        <v>2027</v>
      </c>
      <c r="G2103" t="s">
        <v>102</v>
      </c>
      <c r="H2103" t="s">
        <v>39</v>
      </c>
      <c r="I2103" t="s">
        <v>24</v>
      </c>
      <c r="J2103" t="s">
        <v>25</v>
      </c>
      <c r="K2103" t="s">
        <v>41</v>
      </c>
      <c r="L2103" t="s">
        <v>37</v>
      </c>
      <c r="M2103">
        <v>3</v>
      </c>
      <c r="N2103" s="2">
        <v>286</v>
      </c>
      <c r="O2103" s="3">
        <v>2148</v>
      </c>
      <c r="P2103">
        <v>0</v>
      </c>
      <c r="Q2103">
        <v>3</v>
      </c>
      <c r="R2103" t="s">
        <v>33</v>
      </c>
      <c r="S2103">
        <v>1</v>
      </c>
    </row>
    <row r="2104" spans="1:19" ht="16.5" x14ac:dyDescent="0.3">
      <c r="A2104" t="s">
        <v>2165</v>
      </c>
      <c r="B2104" s="1">
        <v>45584</v>
      </c>
      <c r="C2104" s="1">
        <v>45587</v>
      </c>
      <c r="D2104">
        <v>2024</v>
      </c>
      <c r="E2104" t="s">
        <v>2026</v>
      </c>
      <c r="F2104" t="s">
        <v>2027</v>
      </c>
      <c r="G2104" t="s">
        <v>102</v>
      </c>
      <c r="H2104" t="s">
        <v>30</v>
      </c>
      <c r="I2104" t="s">
        <v>31</v>
      </c>
      <c r="J2104" t="s">
        <v>25</v>
      </c>
      <c r="K2104" t="s">
        <v>26</v>
      </c>
      <c r="L2104" t="s">
        <v>27</v>
      </c>
      <c r="M2104">
        <v>3</v>
      </c>
      <c r="N2104" s="2"/>
      <c r="O2104" s="3">
        <v>3554</v>
      </c>
      <c r="P2104">
        <v>0</v>
      </c>
      <c r="Q2104">
        <v>4</v>
      </c>
      <c r="R2104" t="s">
        <v>28</v>
      </c>
      <c r="S2104">
        <v>1</v>
      </c>
    </row>
    <row r="2105" spans="1:19" ht="16.5" x14ac:dyDescent="0.3">
      <c r="A2105" t="s">
        <v>2166</v>
      </c>
      <c r="B2105" s="1">
        <v>45584</v>
      </c>
      <c r="C2105" s="1">
        <v>45590</v>
      </c>
      <c r="D2105">
        <v>2024</v>
      </c>
      <c r="E2105" t="s">
        <v>2026</v>
      </c>
      <c r="F2105" t="s">
        <v>2027</v>
      </c>
      <c r="G2105" t="s">
        <v>102</v>
      </c>
      <c r="H2105" t="s">
        <v>52</v>
      </c>
      <c r="I2105" t="s">
        <v>24</v>
      </c>
      <c r="J2105" t="s">
        <v>43</v>
      </c>
      <c r="K2105" t="s">
        <v>26</v>
      </c>
      <c r="L2105" t="s">
        <v>27</v>
      </c>
      <c r="M2105">
        <v>6</v>
      </c>
      <c r="N2105" s="2">
        <v>34</v>
      </c>
      <c r="O2105" s="3">
        <v>5846</v>
      </c>
      <c r="P2105">
        <v>1</v>
      </c>
      <c r="Q2105">
        <v>4</v>
      </c>
      <c r="R2105" t="s">
        <v>33</v>
      </c>
      <c r="S2105">
        <v>1</v>
      </c>
    </row>
    <row r="2106" spans="1:19" ht="16.5" x14ac:dyDescent="0.3">
      <c r="A2106" t="s">
        <v>2167</v>
      </c>
      <c r="B2106" s="1">
        <v>45584</v>
      </c>
      <c r="C2106" s="1">
        <v>45591</v>
      </c>
      <c r="D2106">
        <v>2024</v>
      </c>
      <c r="E2106" t="s">
        <v>2026</v>
      </c>
      <c r="F2106" t="s">
        <v>2027</v>
      </c>
      <c r="G2106" t="s">
        <v>102</v>
      </c>
      <c r="H2106" t="s">
        <v>30</v>
      </c>
      <c r="I2106" t="s">
        <v>40</v>
      </c>
      <c r="J2106" t="s">
        <v>43</v>
      </c>
      <c r="K2106" t="s">
        <v>26</v>
      </c>
      <c r="L2106" t="s">
        <v>44</v>
      </c>
      <c r="M2106">
        <v>7</v>
      </c>
      <c r="N2106" s="2"/>
      <c r="O2106" s="3">
        <v>7567</v>
      </c>
      <c r="P2106">
        <v>1</v>
      </c>
      <c r="Q2106">
        <v>3</v>
      </c>
      <c r="R2106" t="s">
        <v>28</v>
      </c>
      <c r="S2106">
        <v>1</v>
      </c>
    </row>
    <row r="2107" spans="1:19" ht="16.5" x14ac:dyDescent="0.3">
      <c r="A2107" t="s">
        <v>2168</v>
      </c>
      <c r="B2107" s="1">
        <v>45584</v>
      </c>
      <c r="C2107" s="1">
        <v>45586</v>
      </c>
      <c r="D2107">
        <v>2024</v>
      </c>
      <c r="E2107" t="s">
        <v>2026</v>
      </c>
      <c r="F2107" t="s">
        <v>2027</v>
      </c>
      <c r="G2107" t="s">
        <v>102</v>
      </c>
      <c r="H2107" t="s">
        <v>35</v>
      </c>
      <c r="I2107" t="s">
        <v>24</v>
      </c>
      <c r="J2107" t="s">
        <v>25</v>
      </c>
      <c r="K2107" t="s">
        <v>32</v>
      </c>
      <c r="L2107" t="s">
        <v>44</v>
      </c>
      <c r="M2107">
        <v>2</v>
      </c>
      <c r="N2107" s="2">
        <v>58</v>
      </c>
      <c r="O2107" s="3">
        <v>2090</v>
      </c>
      <c r="P2107">
        <v>0</v>
      </c>
      <c r="Q2107">
        <v>5</v>
      </c>
      <c r="R2107" t="s">
        <v>59</v>
      </c>
      <c r="S2107">
        <v>1</v>
      </c>
    </row>
    <row r="2108" spans="1:19" ht="16.5" x14ac:dyDescent="0.3">
      <c r="A2108" t="s">
        <v>2169</v>
      </c>
      <c r="B2108" s="1">
        <v>45584</v>
      </c>
      <c r="C2108" s="1">
        <v>45590</v>
      </c>
      <c r="D2108">
        <v>2024</v>
      </c>
      <c r="E2108" t="s">
        <v>2026</v>
      </c>
      <c r="F2108" t="s">
        <v>2027</v>
      </c>
      <c r="G2108" t="s">
        <v>102</v>
      </c>
      <c r="H2108" t="s">
        <v>35</v>
      </c>
      <c r="I2108" t="s">
        <v>24</v>
      </c>
      <c r="J2108" t="s">
        <v>25</v>
      </c>
      <c r="K2108" t="s">
        <v>32</v>
      </c>
      <c r="L2108" t="s">
        <v>27</v>
      </c>
      <c r="M2108">
        <v>6</v>
      </c>
      <c r="N2108" s="2">
        <v>26</v>
      </c>
      <c r="O2108" s="3">
        <v>5008</v>
      </c>
      <c r="P2108">
        <v>0</v>
      </c>
      <c r="Q2108">
        <v>4</v>
      </c>
      <c r="R2108" t="s">
        <v>28</v>
      </c>
      <c r="S2108">
        <v>1</v>
      </c>
    </row>
    <row r="2109" spans="1:19" ht="16.5" x14ac:dyDescent="0.3">
      <c r="A2109" t="s">
        <v>2170</v>
      </c>
      <c r="B2109" s="1">
        <v>45585</v>
      </c>
      <c r="C2109" s="1">
        <v>45590</v>
      </c>
      <c r="D2109">
        <v>2024</v>
      </c>
      <c r="E2109" t="s">
        <v>2026</v>
      </c>
      <c r="F2109" t="s">
        <v>2027</v>
      </c>
      <c r="G2109" t="s">
        <v>112</v>
      </c>
      <c r="H2109" t="s">
        <v>52</v>
      </c>
      <c r="I2109" t="s">
        <v>40</v>
      </c>
      <c r="J2109" t="s">
        <v>25</v>
      </c>
      <c r="K2109" t="s">
        <v>26</v>
      </c>
      <c r="L2109" t="s">
        <v>27</v>
      </c>
      <c r="M2109">
        <v>5</v>
      </c>
      <c r="N2109" s="2"/>
      <c r="O2109" s="3">
        <v>5570</v>
      </c>
      <c r="P2109">
        <v>0</v>
      </c>
      <c r="Q2109">
        <v>5</v>
      </c>
      <c r="R2109" t="s">
        <v>28</v>
      </c>
      <c r="S2109">
        <v>1</v>
      </c>
    </row>
    <row r="2110" spans="1:19" ht="16.5" x14ac:dyDescent="0.3">
      <c r="A2110" t="s">
        <v>2171</v>
      </c>
      <c r="B2110" s="1">
        <v>45585</v>
      </c>
      <c r="C2110" s="1">
        <v>45604</v>
      </c>
      <c r="D2110">
        <v>2024</v>
      </c>
      <c r="E2110" t="s">
        <v>2026</v>
      </c>
      <c r="F2110" t="s">
        <v>2027</v>
      </c>
      <c r="G2110" t="s">
        <v>112</v>
      </c>
      <c r="H2110" t="s">
        <v>23</v>
      </c>
      <c r="I2110" t="s">
        <v>31</v>
      </c>
      <c r="J2110" t="s">
        <v>43</v>
      </c>
      <c r="K2110" t="s">
        <v>26</v>
      </c>
      <c r="L2110" t="s">
        <v>27</v>
      </c>
      <c r="M2110">
        <v>19</v>
      </c>
      <c r="N2110" s="2"/>
      <c r="O2110" s="3">
        <v>12536</v>
      </c>
      <c r="P2110">
        <v>0</v>
      </c>
      <c r="Q2110">
        <v>5</v>
      </c>
      <c r="R2110" t="s">
        <v>33</v>
      </c>
      <c r="S2110">
        <v>1</v>
      </c>
    </row>
    <row r="2111" spans="1:19" ht="16.5" x14ac:dyDescent="0.3">
      <c r="A2111" t="s">
        <v>2172</v>
      </c>
      <c r="B2111" s="1">
        <v>45585</v>
      </c>
      <c r="C2111" s="1">
        <v>45592</v>
      </c>
      <c r="D2111">
        <v>2024</v>
      </c>
      <c r="E2111" t="s">
        <v>2026</v>
      </c>
      <c r="F2111" t="s">
        <v>2027</v>
      </c>
      <c r="G2111" t="s">
        <v>112</v>
      </c>
      <c r="H2111" t="s">
        <v>50</v>
      </c>
      <c r="I2111" t="s">
        <v>40</v>
      </c>
      <c r="J2111" t="s">
        <v>25</v>
      </c>
      <c r="K2111" t="s">
        <v>53</v>
      </c>
      <c r="L2111" t="s">
        <v>27</v>
      </c>
      <c r="M2111">
        <v>7</v>
      </c>
      <c r="N2111" s="2"/>
      <c r="O2111" s="3">
        <v>10163</v>
      </c>
      <c r="P2111">
        <v>0</v>
      </c>
      <c r="Q2111">
        <v>5</v>
      </c>
      <c r="R2111" t="s">
        <v>33</v>
      </c>
      <c r="S2111">
        <v>1</v>
      </c>
    </row>
    <row r="2112" spans="1:19" ht="16.5" x14ac:dyDescent="0.3">
      <c r="A2112" t="s">
        <v>2173</v>
      </c>
      <c r="B2112" s="1">
        <v>45585</v>
      </c>
      <c r="C2112" s="1">
        <v>45587</v>
      </c>
      <c r="D2112">
        <v>2024</v>
      </c>
      <c r="E2112" t="s">
        <v>2026</v>
      </c>
      <c r="F2112" t="s">
        <v>2027</v>
      </c>
      <c r="G2112" t="s">
        <v>112</v>
      </c>
      <c r="H2112" t="s">
        <v>30</v>
      </c>
      <c r="I2112" t="s">
        <v>40</v>
      </c>
      <c r="J2112" t="s">
        <v>25</v>
      </c>
      <c r="K2112" t="s">
        <v>36</v>
      </c>
      <c r="L2112" t="s">
        <v>27</v>
      </c>
      <c r="M2112">
        <v>2</v>
      </c>
      <c r="N2112" s="2"/>
      <c r="O2112" s="3">
        <v>3010</v>
      </c>
      <c r="P2112">
        <v>0</v>
      </c>
      <c r="Q2112">
        <v>4</v>
      </c>
      <c r="R2112" t="s">
        <v>59</v>
      </c>
      <c r="S2112">
        <v>1</v>
      </c>
    </row>
    <row r="2113" spans="1:19" ht="16.5" x14ac:dyDescent="0.3">
      <c r="A2113" t="s">
        <v>2174</v>
      </c>
      <c r="B2113" s="1">
        <v>45585</v>
      </c>
      <c r="C2113" s="1">
        <v>45596</v>
      </c>
      <c r="D2113">
        <v>2024</v>
      </c>
      <c r="E2113" t="s">
        <v>2026</v>
      </c>
      <c r="F2113" t="s">
        <v>2027</v>
      </c>
      <c r="G2113" t="s">
        <v>112</v>
      </c>
      <c r="H2113" t="s">
        <v>35</v>
      </c>
      <c r="I2113" t="s">
        <v>24</v>
      </c>
      <c r="J2113" t="s">
        <v>25</v>
      </c>
      <c r="K2113" t="s">
        <v>32</v>
      </c>
      <c r="L2113" t="s">
        <v>27</v>
      </c>
      <c r="M2113">
        <v>11</v>
      </c>
      <c r="N2113" s="2">
        <v>193</v>
      </c>
      <c r="O2113" s="3">
        <v>6736</v>
      </c>
      <c r="P2113">
        <v>0</v>
      </c>
      <c r="Q2113">
        <v>3</v>
      </c>
      <c r="R2113" t="s">
        <v>59</v>
      </c>
      <c r="S2113">
        <v>1</v>
      </c>
    </row>
    <row r="2114" spans="1:19" ht="16.5" x14ac:dyDescent="0.3">
      <c r="A2114" t="s">
        <v>2175</v>
      </c>
      <c r="B2114" s="1">
        <v>45585</v>
      </c>
      <c r="C2114" s="1">
        <v>45590</v>
      </c>
      <c r="D2114">
        <v>2024</v>
      </c>
      <c r="E2114" t="s">
        <v>2026</v>
      </c>
      <c r="F2114" t="s">
        <v>2027</v>
      </c>
      <c r="G2114" t="s">
        <v>112</v>
      </c>
      <c r="H2114" t="s">
        <v>23</v>
      </c>
      <c r="I2114" t="s">
        <v>24</v>
      </c>
      <c r="J2114" t="s">
        <v>25</v>
      </c>
      <c r="K2114" t="s">
        <v>32</v>
      </c>
      <c r="L2114" t="s">
        <v>27</v>
      </c>
      <c r="M2114">
        <v>5</v>
      </c>
      <c r="N2114" s="2">
        <v>26</v>
      </c>
      <c r="O2114" s="3">
        <v>3449</v>
      </c>
      <c r="P2114">
        <v>0</v>
      </c>
      <c r="Q2114">
        <v>4</v>
      </c>
      <c r="R2114" t="s">
        <v>28</v>
      </c>
      <c r="S2114">
        <v>1</v>
      </c>
    </row>
    <row r="2115" spans="1:19" ht="16.5" x14ac:dyDescent="0.3">
      <c r="A2115" t="s">
        <v>2176</v>
      </c>
      <c r="B2115" s="1">
        <v>45585</v>
      </c>
      <c r="C2115" s="1">
        <v>45590</v>
      </c>
      <c r="D2115">
        <v>2024</v>
      </c>
      <c r="E2115" t="s">
        <v>2026</v>
      </c>
      <c r="F2115" t="s">
        <v>2027</v>
      </c>
      <c r="G2115" t="s">
        <v>112</v>
      </c>
      <c r="H2115" t="s">
        <v>52</v>
      </c>
      <c r="I2115" t="s">
        <v>31</v>
      </c>
      <c r="J2115" t="s">
        <v>43</v>
      </c>
      <c r="K2115" t="s">
        <v>36</v>
      </c>
      <c r="L2115" t="s">
        <v>27</v>
      </c>
      <c r="M2115">
        <v>5</v>
      </c>
      <c r="N2115" s="2"/>
      <c r="O2115" s="3">
        <v>5597</v>
      </c>
      <c r="P2115">
        <v>0</v>
      </c>
      <c r="Q2115">
        <v>5</v>
      </c>
      <c r="R2115" t="s">
        <v>28</v>
      </c>
      <c r="S2115">
        <v>1</v>
      </c>
    </row>
    <row r="2116" spans="1:19" ht="16.5" x14ac:dyDescent="0.3">
      <c r="A2116" t="s">
        <v>2177</v>
      </c>
      <c r="B2116" s="1">
        <v>45586</v>
      </c>
      <c r="C2116" s="1">
        <v>45590</v>
      </c>
      <c r="D2116">
        <v>2024</v>
      </c>
      <c r="E2116" t="s">
        <v>2026</v>
      </c>
      <c r="F2116" t="s">
        <v>2027</v>
      </c>
      <c r="G2116" t="s">
        <v>22</v>
      </c>
      <c r="H2116" t="s">
        <v>52</v>
      </c>
      <c r="I2116" t="s">
        <v>40</v>
      </c>
      <c r="J2116" t="s">
        <v>25</v>
      </c>
      <c r="K2116" t="s">
        <v>32</v>
      </c>
      <c r="L2116" t="s">
        <v>37</v>
      </c>
      <c r="M2116">
        <v>4</v>
      </c>
      <c r="N2116" s="2"/>
      <c r="O2116" s="3">
        <v>4261</v>
      </c>
      <c r="P2116">
        <v>0</v>
      </c>
      <c r="Q2116">
        <v>5</v>
      </c>
      <c r="R2116" t="s">
        <v>33</v>
      </c>
      <c r="S2116">
        <v>1</v>
      </c>
    </row>
    <row r="2117" spans="1:19" ht="16.5" x14ac:dyDescent="0.3">
      <c r="A2117" t="s">
        <v>2178</v>
      </c>
      <c r="B2117" s="1">
        <v>45586</v>
      </c>
      <c r="C2117" s="1">
        <v>45590</v>
      </c>
      <c r="D2117">
        <v>2024</v>
      </c>
      <c r="E2117" t="s">
        <v>2026</v>
      </c>
      <c r="F2117" t="s">
        <v>2027</v>
      </c>
      <c r="G2117" t="s">
        <v>22</v>
      </c>
      <c r="H2117" t="s">
        <v>23</v>
      </c>
      <c r="I2117" t="s">
        <v>24</v>
      </c>
      <c r="J2117" t="s">
        <v>25</v>
      </c>
      <c r="K2117" t="s">
        <v>26</v>
      </c>
      <c r="L2117" t="s">
        <v>27</v>
      </c>
      <c r="M2117">
        <v>4</v>
      </c>
      <c r="N2117" s="2">
        <v>40</v>
      </c>
      <c r="O2117" s="3">
        <v>3816</v>
      </c>
      <c r="P2117">
        <v>0</v>
      </c>
      <c r="Q2117">
        <v>5</v>
      </c>
      <c r="R2117" t="s">
        <v>28</v>
      </c>
      <c r="S2117">
        <v>1</v>
      </c>
    </row>
    <row r="2118" spans="1:19" ht="16.5" x14ac:dyDescent="0.3">
      <c r="A2118" t="s">
        <v>2179</v>
      </c>
      <c r="B2118" s="1">
        <v>45586</v>
      </c>
      <c r="C2118" s="1">
        <v>45588</v>
      </c>
      <c r="D2118">
        <v>2024</v>
      </c>
      <c r="E2118" t="s">
        <v>2026</v>
      </c>
      <c r="F2118" t="s">
        <v>2027</v>
      </c>
      <c r="G2118" t="s">
        <v>22</v>
      </c>
      <c r="H2118" t="s">
        <v>52</v>
      </c>
      <c r="I2118" t="s">
        <v>40</v>
      </c>
      <c r="J2118" t="s">
        <v>25</v>
      </c>
      <c r="K2118" t="s">
        <v>36</v>
      </c>
      <c r="L2118" t="s">
        <v>44</v>
      </c>
      <c r="M2118">
        <v>2</v>
      </c>
      <c r="N2118" s="2"/>
      <c r="O2118" s="3">
        <v>2887</v>
      </c>
      <c r="P2118">
        <v>0</v>
      </c>
      <c r="Q2118">
        <v>5</v>
      </c>
      <c r="R2118" t="s">
        <v>33</v>
      </c>
      <c r="S2118">
        <v>1</v>
      </c>
    </row>
    <row r="2119" spans="1:19" ht="16.5" x14ac:dyDescent="0.3">
      <c r="A2119" t="s">
        <v>2180</v>
      </c>
      <c r="B2119" s="1">
        <v>45586</v>
      </c>
      <c r="C2119" s="1">
        <v>45587</v>
      </c>
      <c r="D2119">
        <v>2024</v>
      </c>
      <c r="E2119" t="s">
        <v>2026</v>
      </c>
      <c r="F2119" t="s">
        <v>2027</v>
      </c>
      <c r="G2119" t="s">
        <v>22</v>
      </c>
      <c r="H2119" t="s">
        <v>23</v>
      </c>
      <c r="I2119" t="s">
        <v>40</v>
      </c>
      <c r="J2119" t="s">
        <v>43</v>
      </c>
      <c r="K2119" t="s">
        <v>26</v>
      </c>
      <c r="L2119" t="s">
        <v>37</v>
      </c>
      <c r="M2119">
        <v>1</v>
      </c>
      <c r="N2119" s="2"/>
      <c r="O2119" s="3">
        <v>1663</v>
      </c>
      <c r="P2119">
        <v>0</v>
      </c>
      <c r="Q2119">
        <v>4</v>
      </c>
      <c r="R2119" t="s">
        <v>33</v>
      </c>
      <c r="S2119">
        <v>1</v>
      </c>
    </row>
    <row r="2120" spans="1:19" ht="16.5" x14ac:dyDescent="0.3">
      <c r="A2120" t="s">
        <v>2181</v>
      </c>
      <c r="B2120" s="1">
        <v>45586</v>
      </c>
      <c r="C2120" s="1">
        <v>45587</v>
      </c>
      <c r="D2120">
        <v>2024</v>
      </c>
      <c r="E2120" t="s">
        <v>2026</v>
      </c>
      <c r="F2120" t="s">
        <v>2027</v>
      </c>
      <c r="G2120" t="s">
        <v>22</v>
      </c>
      <c r="H2120" t="s">
        <v>39</v>
      </c>
      <c r="I2120" t="s">
        <v>40</v>
      </c>
      <c r="J2120" t="s">
        <v>43</v>
      </c>
      <c r="K2120" t="s">
        <v>41</v>
      </c>
      <c r="L2120" t="s">
        <v>44</v>
      </c>
      <c r="M2120">
        <v>1</v>
      </c>
      <c r="N2120" s="2"/>
      <c r="O2120" s="3">
        <v>1342</v>
      </c>
      <c r="P2120">
        <v>0</v>
      </c>
      <c r="Q2120">
        <v>3</v>
      </c>
      <c r="R2120" t="s">
        <v>33</v>
      </c>
      <c r="S2120">
        <v>1</v>
      </c>
    </row>
    <row r="2121" spans="1:19" ht="16.5" x14ac:dyDescent="0.3">
      <c r="A2121" t="s">
        <v>2182</v>
      </c>
      <c r="B2121" s="1">
        <v>45586</v>
      </c>
      <c r="C2121" s="1">
        <v>45591</v>
      </c>
      <c r="D2121">
        <v>2024</v>
      </c>
      <c r="E2121" t="s">
        <v>2026</v>
      </c>
      <c r="F2121" t="s">
        <v>2027</v>
      </c>
      <c r="G2121" t="s">
        <v>22</v>
      </c>
      <c r="H2121" t="s">
        <v>50</v>
      </c>
      <c r="I2121" t="s">
        <v>24</v>
      </c>
      <c r="J2121" t="s">
        <v>43</v>
      </c>
      <c r="K2121" t="s">
        <v>26</v>
      </c>
      <c r="L2121" t="s">
        <v>37</v>
      </c>
      <c r="M2121">
        <v>5</v>
      </c>
      <c r="N2121" s="2">
        <v>44</v>
      </c>
      <c r="O2121" s="3">
        <v>5036</v>
      </c>
      <c r="P2121">
        <v>0</v>
      </c>
      <c r="Q2121">
        <v>4</v>
      </c>
      <c r="R2121" t="s">
        <v>28</v>
      </c>
      <c r="S2121">
        <v>1</v>
      </c>
    </row>
    <row r="2122" spans="1:19" ht="16.5" x14ac:dyDescent="0.3">
      <c r="A2122" t="s">
        <v>2183</v>
      </c>
      <c r="B2122" s="1">
        <v>45587</v>
      </c>
      <c r="C2122" s="1">
        <v>45590</v>
      </c>
      <c r="D2122">
        <v>2024</v>
      </c>
      <c r="E2122" t="s">
        <v>2026</v>
      </c>
      <c r="F2122" t="s">
        <v>2027</v>
      </c>
      <c r="G2122" t="s">
        <v>56</v>
      </c>
      <c r="H2122" t="s">
        <v>52</v>
      </c>
      <c r="I2122" t="s">
        <v>24</v>
      </c>
      <c r="J2122" t="s">
        <v>43</v>
      </c>
      <c r="K2122" t="s">
        <v>32</v>
      </c>
      <c r="L2122" t="s">
        <v>27</v>
      </c>
      <c r="M2122">
        <v>3</v>
      </c>
      <c r="N2122" s="2">
        <v>26</v>
      </c>
      <c r="O2122" s="3">
        <v>3709</v>
      </c>
      <c r="P2122">
        <v>0</v>
      </c>
      <c r="Q2122">
        <v>4</v>
      </c>
      <c r="R2122" t="s">
        <v>33</v>
      </c>
      <c r="S2122">
        <v>1</v>
      </c>
    </row>
    <row r="2123" spans="1:19" ht="16.5" x14ac:dyDescent="0.3">
      <c r="A2123" t="s">
        <v>2184</v>
      </c>
      <c r="B2123" s="1">
        <v>45587</v>
      </c>
      <c r="C2123" s="1">
        <v>45591</v>
      </c>
      <c r="D2123">
        <v>2024</v>
      </c>
      <c r="E2123" t="s">
        <v>2026</v>
      </c>
      <c r="F2123" t="s">
        <v>2027</v>
      </c>
      <c r="G2123" t="s">
        <v>56</v>
      </c>
      <c r="H2123" t="s">
        <v>30</v>
      </c>
      <c r="I2123" t="s">
        <v>40</v>
      </c>
      <c r="J2123" t="s">
        <v>25</v>
      </c>
      <c r="K2123" t="s">
        <v>53</v>
      </c>
      <c r="L2123" t="s">
        <v>27</v>
      </c>
      <c r="M2123">
        <v>4</v>
      </c>
      <c r="N2123" s="2"/>
      <c r="O2123" s="3">
        <v>4983</v>
      </c>
      <c r="P2123">
        <v>0</v>
      </c>
      <c r="Q2123">
        <v>5</v>
      </c>
      <c r="R2123" t="s">
        <v>165</v>
      </c>
      <c r="S2123">
        <v>1</v>
      </c>
    </row>
    <row r="2124" spans="1:19" ht="16.5" x14ac:dyDescent="0.3">
      <c r="A2124" t="s">
        <v>2185</v>
      </c>
      <c r="B2124" s="1">
        <v>45587</v>
      </c>
      <c r="C2124" s="1">
        <v>45595</v>
      </c>
      <c r="D2124">
        <v>2024</v>
      </c>
      <c r="E2124" t="s">
        <v>2026</v>
      </c>
      <c r="F2124" t="s">
        <v>2027</v>
      </c>
      <c r="G2124" t="s">
        <v>56</v>
      </c>
      <c r="H2124" t="s">
        <v>30</v>
      </c>
      <c r="I2124" t="s">
        <v>31</v>
      </c>
      <c r="J2124" t="s">
        <v>25</v>
      </c>
      <c r="K2124" t="s">
        <v>26</v>
      </c>
      <c r="L2124" t="s">
        <v>44</v>
      </c>
      <c r="M2124">
        <v>8</v>
      </c>
      <c r="N2124" s="2"/>
      <c r="O2124" s="3">
        <v>8652</v>
      </c>
      <c r="P2124">
        <v>0</v>
      </c>
      <c r="Q2124">
        <v>4</v>
      </c>
      <c r="R2124" t="s">
        <v>28</v>
      </c>
      <c r="S2124">
        <v>1</v>
      </c>
    </row>
    <row r="2125" spans="1:19" ht="16.5" x14ac:dyDescent="0.3">
      <c r="A2125" t="s">
        <v>2186</v>
      </c>
      <c r="B2125" s="1">
        <v>45588</v>
      </c>
      <c r="C2125" s="1">
        <v>45591</v>
      </c>
      <c r="D2125">
        <v>2024</v>
      </c>
      <c r="E2125" t="s">
        <v>2026</v>
      </c>
      <c r="F2125" t="s">
        <v>2027</v>
      </c>
      <c r="G2125" t="s">
        <v>70</v>
      </c>
      <c r="H2125" t="s">
        <v>23</v>
      </c>
      <c r="I2125" t="s">
        <v>24</v>
      </c>
      <c r="J2125" t="s">
        <v>43</v>
      </c>
      <c r="K2125" t="s">
        <v>26</v>
      </c>
      <c r="L2125" t="s">
        <v>44</v>
      </c>
      <c r="M2125">
        <v>3</v>
      </c>
      <c r="N2125" s="2">
        <v>84</v>
      </c>
      <c r="O2125" s="3">
        <v>2986</v>
      </c>
      <c r="P2125">
        <v>0</v>
      </c>
      <c r="Q2125">
        <v>4</v>
      </c>
      <c r="R2125" t="s">
        <v>28</v>
      </c>
      <c r="S2125">
        <v>1</v>
      </c>
    </row>
    <row r="2126" spans="1:19" ht="16.5" x14ac:dyDescent="0.3">
      <c r="A2126" t="s">
        <v>2187</v>
      </c>
      <c r="B2126" s="1">
        <v>45588</v>
      </c>
      <c r="C2126" s="1">
        <v>45592</v>
      </c>
      <c r="D2126">
        <v>2024</v>
      </c>
      <c r="E2126" t="s">
        <v>2026</v>
      </c>
      <c r="F2126" t="s">
        <v>2027</v>
      </c>
      <c r="G2126" t="s">
        <v>70</v>
      </c>
      <c r="H2126" t="s">
        <v>52</v>
      </c>
      <c r="I2126" t="s">
        <v>40</v>
      </c>
      <c r="J2126" t="s">
        <v>43</v>
      </c>
      <c r="K2126" t="s">
        <v>36</v>
      </c>
      <c r="L2126" t="s">
        <v>27</v>
      </c>
      <c r="M2126">
        <v>4</v>
      </c>
      <c r="N2126" s="2"/>
      <c r="O2126" s="3">
        <v>4002</v>
      </c>
      <c r="P2126">
        <v>0</v>
      </c>
      <c r="Q2126">
        <v>5</v>
      </c>
      <c r="R2126" t="s">
        <v>28</v>
      </c>
      <c r="S2126">
        <v>1</v>
      </c>
    </row>
    <row r="2127" spans="1:19" ht="16.5" x14ac:dyDescent="0.3">
      <c r="A2127" t="s">
        <v>2188</v>
      </c>
      <c r="B2127" s="1">
        <v>45588</v>
      </c>
      <c r="C2127" s="1">
        <v>45590</v>
      </c>
      <c r="D2127">
        <v>2024</v>
      </c>
      <c r="E2127" t="s">
        <v>2026</v>
      </c>
      <c r="F2127" t="s">
        <v>2027</v>
      </c>
      <c r="G2127" t="s">
        <v>70</v>
      </c>
      <c r="H2127" t="s">
        <v>52</v>
      </c>
      <c r="I2127" t="s">
        <v>40</v>
      </c>
      <c r="J2127" t="s">
        <v>25</v>
      </c>
      <c r="K2127" t="s">
        <v>36</v>
      </c>
      <c r="L2127" t="s">
        <v>27</v>
      </c>
      <c r="M2127">
        <v>2</v>
      </c>
      <c r="N2127" s="2"/>
      <c r="O2127" s="3">
        <v>2990</v>
      </c>
      <c r="P2127">
        <v>0</v>
      </c>
      <c r="Q2127">
        <v>5</v>
      </c>
      <c r="R2127" t="s">
        <v>33</v>
      </c>
      <c r="S2127">
        <v>1</v>
      </c>
    </row>
    <row r="2128" spans="1:19" ht="16.5" x14ac:dyDescent="0.3">
      <c r="A2128" t="s">
        <v>2189</v>
      </c>
      <c r="B2128" s="1">
        <v>45588</v>
      </c>
      <c r="C2128" s="1">
        <v>45589</v>
      </c>
      <c r="D2128">
        <v>2024</v>
      </c>
      <c r="E2128" t="s">
        <v>2026</v>
      </c>
      <c r="F2128" t="s">
        <v>2027</v>
      </c>
      <c r="G2128" t="s">
        <v>70</v>
      </c>
      <c r="H2128" t="s">
        <v>35</v>
      </c>
      <c r="I2128" t="s">
        <v>40</v>
      </c>
      <c r="J2128" t="s">
        <v>25</v>
      </c>
      <c r="K2128" t="s">
        <v>36</v>
      </c>
      <c r="L2128" t="s">
        <v>44</v>
      </c>
      <c r="M2128">
        <v>1</v>
      </c>
      <c r="N2128" s="2"/>
      <c r="O2128" s="3">
        <v>1512</v>
      </c>
      <c r="P2128">
        <v>0</v>
      </c>
      <c r="Q2128">
        <v>3</v>
      </c>
      <c r="R2128" t="s">
        <v>28</v>
      </c>
      <c r="S2128">
        <v>1</v>
      </c>
    </row>
    <row r="2129" spans="1:19" ht="16.5" x14ac:dyDescent="0.3">
      <c r="A2129" t="s">
        <v>2190</v>
      </c>
      <c r="B2129" s="1">
        <v>45588</v>
      </c>
      <c r="C2129" s="1">
        <v>45589</v>
      </c>
      <c r="D2129">
        <v>2024</v>
      </c>
      <c r="E2129" t="s">
        <v>2026</v>
      </c>
      <c r="F2129" t="s">
        <v>2027</v>
      </c>
      <c r="G2129" t="s">
        <v>70</v>
      </c>
      <c r="H2129" t="s">
        <v>39</v>
      </c>
      <c r="I2129" t="s">
        <v>31</v>
      </c>
      <c r="J2129" t="s">
        <v>43</v>
      </c>
      <c r="K2129" t="s">
        <v>41</v>
      </c>
      <c r="L2129" t="s">
        <v>37</v>
      </c>
      <c r="M2129">
        <v>1</v>
      </c>
      <c r="N2129" s="2"/>
      <c r="O2129" s="3">
        <v>1508</v>
      </c>
      <c r="P2129">
        <v>0</v>
      </c>
      <c r="Q2129">
        <v>5</v>
      </c>
      <c r="R2129" t="s">
        <v>33</v>
      </c>
      <c r="S2129">
        <v>1</v>
      </c>
    </row>
    <row r="2130" spans="1:19" ht="16.5" x14ac:dyDescent="0.3">
      <c r="A2130" t="s">
        <v>2191</v>
      </c>
      <c r="B2130" s="1">
        <v>45588</v>
      </c>
      <c r="C2130" s="1">
        <v>45598</v>
      </c>
      <c r="D2130">
        <v>2024</v>
      </c>
      <c r="E2130" t="s">
        <v>2026</v>
      </c>
      <c r="F2130" t="s">
        <v>2027</v>
      </c>
      <c r="G2130" t="s">
        <v>70</v>
      </c>
      <c r="H2130" t="s">
        <v>23</v>
      </c>
      <c r="I2130" t="s">
        <v>24</v>
      </c>
      <c r="J2130" t="s">
        <v>25</v>
      </c>
      <c r="K2130" t="s">
        <v>36</v>
      </c>
      <c r="L2130" t="s">
        <v>27</v>
      </c>
      <c r="M2130">
        <v>10</v>
      </c>
      <c r="N2130" s="2">
        <v>16</v>
      </c>
      <c r="O2130" s="3">
        <v>6311</v>
      </c>
      <c r="P2130">
        <v>0</v>
      </c>
      <c r="Q2130">
        <v>4</v>
      </c>
      <c r="R2130" t="s">
        <v>33</v>
      </c>
      <c r="S2130">
        <v>1</v>
      </c>
    </row>
    <row r="2131" spans="1:19" ht="16.5" x14ac:dyDescent="0.3">
      <c r="A2131" t="s">
        <v>2192</v>
      </c>
      <c r="B2131" s="1">
        <v>45588</v>
      </c>
      <c r="C2131" s="1">
        <v>45593</v>
      </c>
      <c r="D2131">
        <v>2024</v>
      </c>
      <c r="E2131" t="s">
        <v>2026</v>
      </c>
      <c r="F2131" t="s">
        <v>2027</v>
      </c>
      <c r="G2131" t="s">
        <v>70</v>
      </c>
      <c r="H2131" t="s">
        <v>23</v>
      </c>
      <c r="I2131" t="s">
        <v>40</v>
      </c>
      <c r="J2131" t="s">
        <v>25</v>
      </c>
      <c r="K2131" t="s">
        <v>26</v>
      </c>
      <c r="L2131" t="s">
        <v>27</v>
      </c>
      <c r="M2131">
        <v>5</v>
      </c>
      <c r="N2131" s="2"/>
      <c r="O2131" s="3">
        <v>4147</v>
      </c>
      <c r="P2131">
        <v>0</v>
      </c>
      <c r="Q2131">
        <v>4</v>
      </c>
      <c r="R2131" t="s">
        <v>28</v>
      </c>
      <c r="S2131">
        <v>1</v>
      </c>
    </row>
    <row r="2132" spans="1:19" ht="16.5" x14ac:dyDescent="0.3">
      <c r="A2132" t="s">
        <v>2193</v>
      </c>
      <c r="B2132" s="1">
        <v>45588</v>
      </c>
      <c r="C2132" s="1">
        <v>45596</v>
      </c>
      <c r="D2132">
        <v>2024</v>
      </c>
      <c r="E2132" t="s">
        <v>2026</v>
      </c>
      <c r="F2132" t="s">
        <v>2027</v>
      </c>
      <c r="G2132" t="s">
        <v>70</v>
      </c>
      <c r="H2132" t="s">
        <v>52</v>
      </c>
      <c r="I2132" t="s">
        <v>24</v>
      </c>
      <c r="J2132" t="s">
        <v>43</v>
      </c>
      <c r="K2132" t="s">
        <v>53</v>
      </c>
      <c r="L2132" t="s">
        <v>27</v>
      </c>
      <c r="M2132">
        <v>8</v>
      </c>
      <c r="N2132" s="2">
        <v>139</v>
      </c>
      <c r="O2132" s="3">
        <v>8574</v>
      </c>
      <c r="P2132">
        <v>0</v>
      </c>
      <c r="Q2132">
        <v>4</v>
      </c>
      <c r="R2132" t="s">
        <v>33</v>
      </c>
      <c r="S2132">
        <v>1</v>
      </c>
    </row>
    <row r="2133" spans="1:19" ht="16.5" x14ac:dyDescent="0.3">
      <c r="A2133" t="s">
        <v>2194</v>
      </c>
      <c r="B2133" s="1">
        <v>45589</v>
      </c>
      <c r="C2133" s="1">
        <v>45590</v>
      </c>
      <c r="D2133">
        <v>2024</v>
      </c>
      <c r="E2133" t="s">
        <v>2026</v>
      </c>
      <c r="F2133" t="s">
        <v>2027</v>
      </c>
      <c r="G2133" t="s">
        <v>78</v>
      </c>
      <c r="H2133" t="s">
        <v>39</v>
      </c>
      <c r="I2133" t="s">
        <v>24</v>
      </c>
      <c r="J2133" t="s">
        <v>43</v>
      </c>
      <c r="K2133" t="s">
        <v>41</v>
      </c>
      <c r="L2133" t="s">
        <v>44</v>
      </c>
      <c r="M2133">
        <v>1</v>
      </c>
      <c r="N2133" s="2">
        <v>15</v>
      </c>
      <c r="O2133" s="3">
        <v>1315</v>
      </c>
      <c r="P2133">
        <v>1</v>
      </c>
      <c r="Q2133">
        <v>3</v>
      </c>
      <c r="R2133" t="s">
        <v>59</v>
      </c>
      <c r="S2133">
        <v>1</v>
      </c>
    </row>
    <row r="2134" spans="1:19" ht="16.5" x14ac:dyDescent="0.3">
      <c r="A2134" t="s">
        <v>2195</v>
      </c>
      <c r="B2134" s="1">
        <v>45589</v>
      </c>
      <c r="C2134" s="1">
        <v>45600</v>
      </c>
      <c r="D2134">
        <v>2024</v>
      </c>
      <c r="E2134" t="s">
        <v>2026</v>
      </c>
      <c r="F2134" t="s">
        <v>2027</v>
      </c>
      <c r="G2134" t="s">
        <v>78</v>
      </c>
      <c r="H2134" t="s">
        <v>50</v>
      </c>
      <c r="I2134" t="s">
        <v>24</v>
      </c>
      <c r="J2134" t="s">
        <v>25</v>
      </c>
      <c r="K2134" t="s">
        <v>26</v>
      </c>
      <c r="L2134" t="s">
        <v>44</v>
      </c>
      <c r="M2134">
        <v>11</v>
      </c>
      <c r="N2134" s="2">
        <v>37</v>
      </c>
      <c r="O2134" s="3">
        <v>14187</v>
      </c>
      <c r="P2134">
        <v>0</v>
      </c>
      <c r="Q2134">
        <v>4</v>
      </c>
      <c r="R2134" t="s">
        <v>33</v>
      </c>
      <c r="S2134">
        <v>1</v>
      </c>
    </row>
    <row r="2135" spans="1:19" ht="16.5" x14ac:dyDescent="0.3">
      <c r="A2135" t="s">
        <v>2196</v>
      </c>
      <c r="B2135" s="1">
        <v>45589</v>
      </c>
      <c r="C2135" s="1">
        <v>45594</v>
      </c>
      <c r="D2135">
        <v>2024</v>
      </c>
      <c r="E2135" t="s">
        <v>2026</v>
      </c>
      <c r="F2135" t="s">
        <v>2027</v>
      </c>
      <c r="G2135" t="s">
        <v>78</v>
      </c>
      <c r="H2135" t="s">
        <v>30</v>
      </c>
      <c r="I2135" t="s">
        <v>40</v>
      </c>
      <c r="J2135" t="s">
        <v>25</v>
      </c>
      <c r="K2135" t="s">
        <v>26</v>
      </c>
      <c r="L2135" t="s">
        <v>27</v>
      </c>
      <c r="M2135">
        <v>5</v>
      </c>
      <c r="N2135" s="2"/>
      <c r="O2135" s="3">
        <v>3817</v>
      </c>
      <c r="P2135">
        <v>0</v>
      </c>
      <c r="Q2135">
        <v>4</v>
      </c>
      <c r="R2135" t="s">
        <v>33</v>
      </c>
      <c r="S2135">
        <v>1</v>
      </c>
    </row>
    <row r="2136" spans="1:19" ht="16.5" x14ac:dyDescent="0.3">
      <c r="A2136" t="s">
        <v>2197</v>
      </c>
      <c r="B2136" s="1">
        <v>45589</v>
      </c>
      <c r="C2136" s="1">
        <v>45595</v>
      </c>
      <c r="D2136">
        <v>2024</v>
      </c>
      <c r="E2136" t="s">
        <v>2026</v>
      </c>
      <c r="F2136" t="s">
        <v>2027</v>
      </c>
      <c r="G2136" t="s">
        <v>78</v>
      </c>
      <c r="H2136" t="s">
        <v>23</v>
      </c>
      <c r="I2136" t="s">
        <v>24</v>
      </c>
      <c r="J2136" t="s">
        <v>25</v>
      </c>
      <c r="K2136" t="s">
        <v>53</v>
      </c>
      <c r="L2136" t="s">
        <v>27</v>
      </c>
      <c r="M2136">
        <v>6</v>
      </c>
      <c r="N2136" s="2">
        <v>19</v>
      </c>
      <c r="O2136" s="3">
        <v>4080</v>
      </c>
      <c r="P2136">
        <v>0</v>
      </c>
      <c r="Q2136">
        <v>4</v>
      </c>
      <c r="R2136" t="s">
        <v>33</v>
      </c>
      <c r="S2136">
        <v>1</v>
      </c>
    </row>
    <row r="2137" spans="1:19" ht="16.5" x14ac:dyDescent="0.3">
      <c r="A2137" t="s">
        <v>2198</v>
      </c>
      <c r="B2137" s="1">
        <v>45589</v>
      </c>
      <c r="C2137" s="1">
        <v>45592</v>
      </c>
      <c r="D2137">
        <v>2024</v>
      </c>
      <c r="E2137" t="s">
        <v>2026</v>
      </c>
      <c r="F2137" t="s">
        <v>2027</v>
      </c>
      <c r="G2137" t="s">
        <v>78</v>
      </c>
      <c r="H2137" t="s">
        <v>35</v>
      </c>
      <c r="I2137" t="s">
        <v>24</v>
      </c>
      <c r="J2137" t="s">
        <v>25</v>
      </c>
      <c r="K2137" t="s">
        <v>32</v>
      </c>
      <c r="L2137" t="s">
        <v>37</v>
      </c>
      <c r="M2137">
        <v>3</v>
      </c>
      <c r="N2137" s="2">
        <v>50</v>
      </c>
      <c r="O2137" s="3">
        <v>1921</v>
      </c>
      <c r="P2137">
        <v>0</v>
      </c>
      <c r="Q2137">
        <v>4</v>
      </c>
      <c r="R2137" t="s">
        <v>33</v>
      </c>
      <c r="S2137">
        <v>1</v>
      </c>
    </row>
    <row r="2138" spans="1:19" ht="16.5" x14ac:dyDescent="0.3">
      <c r="A2138" t="s">
        <v>2199</v>
      </c>
      <c r="B2138" s="1">
        <v>45589</v>
      </c>
      <c r="C2138" s="1">
        <v>45592</v>
      </c>
      <c r="D2138">
        <v>2024</v>
      </c>
      <c r="E2138" t="s">
        <v>2026</v>
      </c>
      <c r="F2138" t="s">
        <v>2027</v>
      </c>
      <c r="G2138" t="s">
        <v>78</v>
      </c>
      <c r="H2138" t="s">
        <v>39</v>
      </c>
      <c r="I2138" t="s">
        <v>40</v>
      </c>
      <c r="J2138" t="s">
        <v>43</v>
      </c>
      <c r="K2138" t="s">
        <v>41</v>
      </c>
      <c r="L2138" t="s">
        <v>27</v>
      </c>
      <c r="M2138">
        <v>3</v>
      </c>
      <c r="N2138" s="2"/>
      <c r="O2138" s="3">
        <v>2697</v>
      </c>
      <c r="P2138">
        <v>0</v>
      </c>
      <c r="Q2138">
        <v>4</v>
      </c>
      <c r="R2138" t="s">
        <v>33</v>
      </c>
      <c r="S2138">
        <v>1</v>
      </c>
    </row>
    <row r="2139" spans="1:19" ht="16.5" x14ac:dyDescent="0.3">
      <c r="A2139" t="s">
        <v>2200</v>
      </c>
      <c r="B2139" s="1">
        <v>45589</v>
      </c>
      <c r="C2139" s="1">
        <v>45596</v>
      </c>
      <c r="D2139">
        <v>2024</v>
      </c>
      <c r="E2139" t="s">
        <v>2026</v>
      </c>
      <c r="F2139" t="s">
        <v>2027</v>
      </c>
      <c r="G2139" t="s">
        <v>78</v>
      </c>
      <c r="H2139" t="s">
        <v>39</v>
      </c>
      <c r="I2139" t="s">
        <v>24</v>
      </c>
      <c r="J2139" t="s">
        <v>25</v>
      </c>
      <c r="K2139" t="s">
        <v>41</v>
      </c>
      <c r="L2139" t="s">
        <v>44</v>
      </c>
      <c r="M2139">
        <v>7</v>
      </c>
      <c r="N2139" s="2">
        <v>102</v>
      </c>
      <c r="O2139" s="3">
        <v>6224</v>
      </c>
      <c r="P2139">
        <v>0</v>
      </c>
      <c r="Q2139">
        <v>3</v>
      </c>
      <c r="R2139" t="s">
        <v>28</v>
      </c>
      <c r="S2139">
        <v>1</v>
      </c>
    </row>
    <row r="2140" spans="1:19" ht="16.5" x14ac:dyDescent="0.3">
      <c r="A2140" t="s">
        <v>2201</v>
      </c>
      <c r="B2140" s="1">
        <v>45589</v>
      </c>
      <c r="C2140" s="1">
        <v>45594</v>
      </c>
      <c r="D2140">
        <v>2024</v>
      </c>
      <c r="E2140" t="s">
        <v>2026</v>
      </c>
      <c r="F2140" t="s">
        <v>2027</v>
      </c>
      <c r="G2140" t="s">
        <v>78</v>
      </c>
      <c r="H2140" t="s">
        <v>30</v>
      </c>
      <c r="I2140" t="s">
        <v>31</v>
      </c>
      <c r="J2140" t="s">
        <v>25</v>
      </c>
      <c r="K2140" t="s">
        <v>32</v>
      </c>
      <c r="L2140" t="s">
        <v>27</v>
      </c>
      <c r="M2140">
        <v>5</v>
      </c>
      <c r="N2140" s="2"/>
      <c r="O2140" s="3">
        <v>5623</v>
      </c>
      <c r="P2140">
        <v>0</v>
      </c>
      <c r="Q2140">
        <v>5</v>
      </c>
      <c r="R2140" t="s">
        <v>28</v>
      </c>
      <c r="S2140">
        <v>1</v>
      </c>
    </row>
    <row r="2141" spans="1:19" ht="16.5" x14ac:dyDescent="0.3">
      <c r="A2141" t="s">
        <v>2202</v>
      </c>
      <c r="B2141" s="1">
        <v>45590</v>
      </c>
      <c r="C2141" s="1">
        <v>45593</v>
      </c>
      <c r="D2141">
        <v>2024</v>
      </c>
      <c r="E2141" t="s">
        <v>2026</v>
      </c>
      <c r="F2141" t="s">
        <v>2027</v>
      </c>
      <c r="G2141" t="s">
        <v>83</v>
      </c>
      <c r="H2141" t="s">
        <v>50</v>
      </c>
      <c r="I2141" t="s">
        <v>24</v>
      </c>
      <c r="J2141" t="s">
        <v>25</v>
      </c>
      <c r="K2141" t="s">
        <v>26</v>
      </c>
      <c r="L2141" t="s">
        <v>44</v>
      </c>
      <c r="M2141">
        <v>3</v>
      </c>
      <c r="N2141" s="2">
        <v>97</v>
      </c>
      <c r="O2141" s="3">
        <v>4988</v>
      </c>
      <c r="P2141">
        <v>0</v>
      </c>
      <c r="Q2141">
        <v>4</v>
      </c>
      <c r="R2141" t="s">
        <v>33</v>
      </c>
      <c r="S2141">
        <v>1</v>
      </c>
    </row>
    <row r="2142" spans="1:19" ht="16.5" x14ac:dyDescent="0.3">
      <c r="A2142" t="s">
        <v>2203</v>
      </c>
      <c r="B2142" s="1">
        <v>45590</v>
      </c>
      <c r="C2142" s="1">
        <v>45598</v>
      </c>
      <c r="D2142">
        <v>2024</v>
      </c>
      <c r="E2142" t="s">
        <v>2026</v>
      </c>
      <c r="F2142" t="s">
        <v>2027</v>
      </c>
      <c r="G2142" t="s">
        <v>83</v>
      </c>
      <c r="H2142" t="s">
        <v>23</v>
      </c>
      <c r="I2142" t="s">
        <v>24</v>
      </c>
      <c r="J2142" t="s">
        <v>43</v>
      </c>
      <c r="K2142" t="s">
        <v>26</v>
      </c>
      <c r="L2142" t="s">
        <v>44</v>
      </c>
      <c r="M2142">
        <v>8</v>
      </c>
      <c r="N2142" s="2">
        <v>166</v>
      </c>
      <c r="O2142" s="3">
        <v>5308</v>
      </c>
      <c r="P2142">
        <v>1</v>
      </c>
      <c r="Q2142">
        <v>2</v>
      </c>
      <c r="R2142" t="s">
        <v>33</v>
      </c>
      <c r="S2142">
        <v>1</v>
      </c>
    </row>
    <row r="2143" spans="1:19" ht="16.5" x14ac:dyDescent="0.3">
      <c r="A2143" t="s">
        <v>2204</v>
      </c>
      <c r="B2143" s="1">
        <v>45590</v>
      </c>
      <c r="C2143" s="1">
        <v>45592</v>
      </c>
      <c r="D2143">
        <v>2024</v>
      </c>
      <c r="E2143" t="s">
        <v>2026</v>
      </c>
      <c r="F2143" t="s">
        <v>2027</v>
      </c>
      <c r="G2143" t="s">
        <v>83</v>
      </c>
      <c r="H2143" t="s">
        <v>35</v>
      </c>
      <c r="I2143" t="s">
        <v>40</v>
      </c>
      <c r="J2143" t="s">
        <v>25</v>
      </c>
      <c r="K2143" t="s">
        <v>32</v>
      </c>
      <c r="L2143" t="s">
        <v>44</v>
      </c>
      <c r="M2143">
        <v>2</v>
      </c>
      <c r="N2143" s="2"/>
      <c r="O2143" s="3">
        <v>1772</v>
      </c>
      <c r="P2143">
        <v>0</v>
      </c>
      <c r="Q2143">
        <v>5</v>
      </c>
      <c r="R2143" t="s">
        <v>33</v>
      </c>
      <c r="S2143">
        <v>1</v>
      </c>
    </row>
    <row r="2144" spans="1:19" ht="16.5" x14ac:dyDescent="0.3">
      <c r="A2144" t="s">
        <v>2205</v>
      </c>
      <c r="B2144" s="1">
        <v>45590</v>
      </c>
      <c r="C2144" s="1">
        <v>45593</v>
      </c>
      <c r="D2144">
        <v>2024</v>
      </c>
      <c r="E2144" t="s">
        <v>2026</v>
      </c>
      <c r="F2144" t="s">
        <v>2027</v>
      </c>
      <c r="G2144" t="s">
        <v>83</v>
      </c>
      <c r="H2144" t="s">
        <v>35</v>
      </c>
      <c r="I2144" t="s">
        <v>40</v>
      </c>
      <c r="J2144" t="s">
        <v>25</v>
      </c>
      <c r="K2144" t="s">
        <v>32</v>
      </c>
      <c r="L2144" t="s">
        <v>44</v>
      </c>
      <c r="M2144">
        <v>3</v>
      </c>
      <c r="N2144" s="2"/>
      <c r="O2144" s="3">
        <v>2416</v>
      </c>
      <c r="P2144">
        <v>0</v>
      </c>
      <c r="Q2144">
        <v>4</v>
      </c>
      <c r="R2144" t="s">
        <v>59</v>
      </c>
      <c r="S2144">
        <v>1</v>
      </c>
    </row>
    <row r="2145" spans="1:19" ht="16.5" x14ac:dyDescent="0.3">
      <c r="A2145" t="s">
        <v>2206</v>
      </c>
      <c r="B2145" s="1">
        <v>45590</v>
      </c>
      <c r="C2145" s="1">
        <v>45602</v>
      </c>
      <c r="D2145">
        <v>2024</v>
      </c>
      <c r="E2145" t="s">
        <v>2026</v>
      </c>
      <c r="F2145" t="s">
        <v>2027</v>
      </c>
      <c r="G2145" t="s">
        <v>83</v>
      </c>
      <c r="H2145" t="s">
        <v>50</v>
      </c>
      <c r="I2145" t="s">
        <v>40</v>
      </c>
      <c r="J2145" t="s">
        <v>43</v>
      </c>
      <c r="K2145" t="s">
        <v>26</v>
      </c>
      <c r="L2145" t="s">
        <v>27</v>
      </c>
      <c r="M2145">
        <v>12</v>
      </c>
      <c r="N2145" s="2"/>
      <c r="O2145" s="3">
        <v>12321</v>
      </c>
      <c r="P2145">
        <v>0</v>
      </c>
      <c r="Q2145">
        <v>5</v>
      </c>
      <c r="R2145" t="s">
        <v>28</v>
      </c>
      <c r="S2145">
        <v>1</v>
      </c>
    </row>
    <row r="2146" spans="1:19" ht="16.5" x14ac:dyDescent="0.3">
      <c r="A2146" t="s">
        <v>2207</v>
      </c>
      <c r="B2146" s="1">
        <v>45590</v>
      </c>
      <c r="C2146" s="1">
        <v>45596</v>
      </c>
      <c r="D2146">
        <v>2024</v>
      </c>
      <c r="E2146" t="s">
        <v>2026</v>
      </c>
      <c r="F2146" t="s">
        <v>2027</v>
      </c>
      <c r="G2146" t="s">
        <v>83</v>
      </c>
      <c r="H2146" t="s">
        <v>50</v>
      </c>
      <c r="I2146" t="s">
        <v>24</v>
      </c>
      <c r="J2146" t="s">
        <v>25</v>
      </c>
      <c r="K2146" t="s">
        <v>36</v>
      </c>
      <c r="L2146" t="s">
        <v>37</v>
      </c>
      <c r="M2146">
        <v>6</v>
      </c>
      <c r="N2146" s="2">
        <v>79</v>
      </c>
      <c r="O2146" s="3">
        <v>8615</v>
      </c>
      <c r="P2146">
        <v>0</v>
      </c>
      <c r="Q2146">
        <v>5</v>
      </c>
      <c r="R2146" t="s">
        <v>33</v>
      </c>
      <c r="S2146">
        <v>1</v>
      </c>
    </row>
    <row r="2147" spans="1:19" ht="16.5" x14ac:dyDescent="0.3">
      <c r="A2147" t="s">
        <v>2208</v>
      </c>
      <c r="B2147" s="1">
        <v>45590</v>
      </c>
      <c r="C2147" s="1">
        <v>45592</v>
      </c>
      <c r="D2147">
        <v>2024</v>
      </c>
      <c r="E2147" t="s">
        <v>2026</v>
      </c>
      <c r="F2147" t="s">
        <v>2027</v>
      </c>
      <c r="G2147" t="s">
        <v>83</v>
      </c>
      <c r="H2147" t="s">
        <v>39</v>
      </c>
      <c r="I2147" t="s">
        <v>24</v>
      </c>
      <c r="J2147" t="s">
        <v>43</v>
      </c>
      <c r="K2147" t="s">
        <v>41</v>
      </c>
      <c r="L2147" t="s">
        <v>44</v>
      </c>
      <c r="M2147">
        <v>2</v>
      </c>
      <c r="N2147" s="2">
        <v>91</v>
      </c>
      <c r="O2147" s="3">
        <v>2181</v>
      </c>
      <c r="P2147">
        <v>0</v>
      </c>
      <c r="Q2147">
        <v>3</v>
      </c>
      <c r="R2147" t="s">
        <v>28</v>
      </c>
      <c r="S2147">
        <v>1</v>
      </c>
    </row>
    <row r="2148" spans="1:19" ht="16.5" x14ac:dyDescent="0.3">
      <c r="A2148" t="s">
        <v>2209</v>
      </c>
      <c r="B2148" s="1">
        <v>45590</v>
      </c>
      <c r="C2148" s="1">
        <v>45593</v>
      </c>
      <c r="D2148">
        <v>2024</v>
      </c>
      <c r="E2148" t="s">
        <v>2026</v>
      </c>
      <c r="F2148" t="s">
        <v>2027</v>
      </c>
      <c r="G2148" t="s">
        <v>83</v>
      </c>
      <c r="H2148" t="s">
        <v>23</v>
      </c>
      <c r="I2148" t="s">
        <v>24</v>
      </c>
      <c r="J2148" t="s">
        <v>25</v>
      </c>
      <c r="K2148" t="s">
        <v>53</v>
      </c>
      <c r="L2148" t="s">
        <v>27</v>
      </c>
      <c r="M2148">
        <v>3</v>
      </c>
      <c r="N2148" s="2">
        <v>70</v>
      </c>
      <c r="O2148" s="3">
        <v>2849</v>
      </c>
      <c r="P2148">
        <v>0</v>
      </c>
      <c r="Q2148">
        <v>4</v>
      </c>
      <c r="R2148" t="s">
        <v>28</v>
      </c>
      <c r="S2148">
        <v>1</v>
      </c>
    </row>
    <row r="2149" spans="1:19" ht="16.5" x14ac:dyDescent="0.3">
      <c r="A2149" t="s">
        <v>2210</v>
      </c>
      <c r="B2149" s="1">
        <v>45590</v>
      </c>
      <c r="C2149" s="1">
        <v>45591</v>
      </c>
      <c r="D2149">
        <v>2024</v>
      </c>
      <c r="E2149" t="s">
        <v>2026</v>
      </c>
      <c r="F2149" t="s">
        <v>2027</v>
      </c>
      <c r="G2149" t="s">
        <v>83</v>
      </c>
      <c r="H2149" t="s">
        <v>35</v>
      </c>
      <c r="I2149" t="s">
        <v>24</v>
      </c>
      <c r="J2149" t="s">
        <v>25</v>
      </c>
      <c r="K2149" t="s">
        <v>32</v>
      </c>
      <c r="L2149" t="s">
        <v>27</v>
      </c>
      <c r="M2149">
        <v>1</v>
      </c>
      <c r="N2149" s="2">
        <v>51</v>
      </c>
      <c r="O2149" s="3">
        <v>1635</v>
      </c>
      <c r="P2149">
        <v>0</v>
      </c>
      <c r="Q2149">
        <v>4</v>
      </c>
      <c r="R2149" t="s">
        <v>33</v>
      </c>
      <c r="S2149">
        <v>1</v>
      </c>
    </row>
    <row r="2150" spans="1:19" ht="16.5" x14ac:dyDescent="0.3">
      <c r="A2150" t="s">
        <v>2211</v>
      </c>
      <c r="B2150" s="1">
        <v>45591</v>
      </c>
      <c r="C2150" s="1">
        <v>45598</v>
      </c>
      <c r="D2150">
        <v>2024</v>
      </c>
      <c r="E2150" t="s">
        <v>2026</v>
      </c>
      <c r="F2150" t="s">
        <v>2027</v>
      </c>
      <c r="G2150" t="s">
        <v>102</v>
      </c>
      <c r="H2150" t="s">
        <v>30</v>
      </c>
      <c r="I2150" t="s">
        <v>40</v>
      </c>
      <c r="J2150" t="s">
        <v>25</v>
      </c>
      <c r="K2150" t="s">
        <v>26</v>
      </c>
      <c r="L2150" t="s">
        <v>27</v>
      </c>
      <c r="M2150">
        <v>7</v>
      </c>
      <c r="N2150" s="2"/>
      <c r="O2150" s="3">
        <v>9592</v>
      </c>
      <c r="P2150">
        <v>0</v>
      </c>
      <c r="Q2150">
        <v>5</v>
      </c>
      <c r="R2150" t="s">
        <v>28</v>
      </c>
      <c r="S2150">
        <v>1</v>
      </c>
    </row>
    <row r="2151" spans="1:19" ht="16.5" x14ac:dyDescent="0.3">
      <c r="A2151" t="s">
        <v>2212</v>
      </c>
      <c r="B2151" s="1">
        <v>45591</v>
      </c>
      <c r="C2151" s="1">
        <v>45597</v>
      </c>
      <c r="D2151">
        <v>2024</v>
      </c>
      <c r="E2151" t="s">
        <v>2026</v>
      </c>
      <c r="F2151" t="s">
        <v>2027</v>
      </c>
      <c r="G2151" t="s">
        <v>102</v>
      </c>
      <c r="H2151" t="s">
        <v>35</v>
      </c>
      <c r="I2151" t="s">
        <v>24</v>
      </c>
      <c r="J2151" t="s">
        <v>25</v>
      </c>
      <c r="K2151" t="s">
        <v>36</v>
      </c>
      <c r="L2151" t="s">
        <v>27</v>
      </c>
      <c r="M2151">
        <v>6</v>
      </c>
      <c r="N2151" s="2">
        <v>106</v>
      </c>
      <c r="O2151" s="3">
        <v>3909</v>
      </c>
      <c r="P2151">
        <v>0</v>
      </c>
      <c r="Q2151">
        <v>4</v>
      </c>
      <c r="R2151" t="s">
        <v>33</v>
      </c>
      <c r="S2151">
        <v>1</v>
      </c>
    </row>
    <row r="2152" spans="1:19" ht="16.5" x14ac:dyDescent="0.3">
      <c r="A2152" t="s">
        <v>2213</v>
      </c>
      <c r="B2152" s="1">
        <v>45591</v>
      </c>
      <c r="C2152" s="1">
        <v>45594</v>
      </c>
      <c r="D2152">
        <v>2024</v>
      </c>
      <c r="E2152" t="s">
        <v>2026</v>
      </c>
      <c r="F2152" t="s">
        <v>2027</v>
      </c>
      <c r="G2152" t="s">
        <v>102</v>
      </c>
      <c r="H2152" t="s">
        <v>35</v>
      </c>
      <c r="I2152" t="s">
        <v>31</v>
      </c>
      <c r="J2152" t="s">
        <v>25</v>
      </c>
      <c r="K2152" t="s">
        <v>36</v>
      </c>
      <c r="L2152" t="s">
        <v>44</v>
      </c>
      <c r="M2152">
        <v>3</v>
      </c>
      <c r="N2152" s="2"/>
      <c r="O2152" s="3">
        <v>2306</v>
      </c>
      <c r="P2152">
        <v>0</v>
      </c>
      <c r="Q2152">
        <v>5</v>
      </c>
      <c r="R2152" t="s">
        <v>28</v>
      </c>
      <c r="S2152">
        <v>1</v>
      </c>
    </row>
    <row r="2153" spans="1:19" ht="16.5" x14ac:dyDescent="0.3">
      <c r="A2153" t="s">
        <v>2214</v>
      </c>
      <c r="B2153" s="1">
        <v>45591</v>
      </c>
      <c r="C2153" s="1">
        <v>45597</v>
      </c>
      <c r="D2153">
        <v>2024</v>
      </c>
      <c r="E2153" t="s">
        <v>2026</v>
      </c>
      <c r="F2153" t="s">
        <v>2027</v>
      </c>
      <c r="G2153" t="s">
        <v>102</v>
      </c>
      <c r="H2153" t="s">
        <v>52</v>
      </c>
      <c r="I2153" t="s">
        <v>40</v>
      </c>
      <c r="J2153" t="s">
        <v>25</v>
      </c>
      <c r="K2153" t="s">
        <v>26</v>
      </c>
      <c r="L2153" t="s">
        <v>27</v>
      </c>
      <c r="M2153">
        <v>6</v>
      </c>
      <c r="N2153" s="2"/>
      <c r="O2153" s="3">
        <v>7060</v>
      </c>
      <c r="P2153">
        <v>0</v>
      </c>
      <c r="Q2153">
        <v>4</v>
      </c>
      <c r="R2153" t="s">
        <v>33</v>
      </c>
      <c r="S2153">
        <v>1</v>
      </c>
    </row>
    <row r="2154" spans="1:19" ht="16.5" x14ac:dyDescent="0.3">
      <c r="A2154" t="s">
        <v>2215</v>
      </c>
      <c r="B2154" s="1">
        <v>45591</v>
      </c>
      <c r="C2154" s="1">
        <v>45597</v>
      </c>
      <c r="D2154">
        <v>2024</v>
      </c>
      <c r="E2154" t="s">
        <v>2026</v>
      </c>
      <c r="F2154" t="s">
        <v>2027</v>
      </c>
      <c r="G2154" t="s">
        <v>102</v>
      </c>
      <c r="H2154" t="s">
        <v>50</v>
      </c>
      <c r="I2154" t="s">
        <v>24</v>
      </c>
      <c r="J2154" t="s">
        <v>25</v>
      </c>
      <c r="K2154" t="s">
        <v>32</v>
      </c>
      <c r="L2154" t="s">
        <v>44</v>
      </c>
      <c r="M2154">
        <v>6</v>
      </c>
      <c r="N2154" s="2">
        <v>16</v>
      </c>
      <c r="O2154" s="3">
        <v>5253</v>
      </c>
      <c r="P2154">
        <v>0</v>
      </c>
      <c r="Q2154">
        <v>5</v>
      </c>
      <c r="R2154" t="s">
        <v>33</v>
      </c>
      <c r="S2154">
        <v>1</v>
      </c>
    </row>
    <row r="2155" spans="1:19" ht="16.5" x14ac:dyDescent="0.3">
      <c r="A2155" t="s">
        <v>2216</v>
      </c>
      <c r="B2155" s="1">
        <v>45591</v>
      </c>
      <c r="C2155" s="1">
        <v>45593</v>
      </c>
      <c r="D2155">
        <v>2024</v>
      </c>
      <c r="E2155" t="s">
        <v>2026</v>
      </c>
      <c r="F2155" t="s">
        <v>2027</v>
      </c>
      <c r="G2155" t="s">
        <v>102</v>
      </c>
      <c r="H2155" t="s">
        <v>30</v>
      </c>
      <c r="I2155" t="s">
        <v>31</v>
      </c>
      <c r="J2155" t="s">
        <v>25</v>
      </c>
      <c r="K2155" t="s">
        <v>26</v>
      </c>
      <c r="L2155" t="s">
        <v>27</v>
      </c>
      <c r="M2155">
        <v>2</v>
      </c>
      <c r="N2155" s="2"/>
      <c r="O2155" s="3">
        <v>2863</v>
      </c>
      <c r="P2155">
        <v>0</v>
      </c>
      <c r="Q2155">
        <v>4</v>
      </c>
      <c r="R2155" t="s">
        <v>33</v>
      </c>
      <c r="S2155">
        <v>1</v>
      </c>
    </row>
    <row r="2156" spans="1:19" ht="16.5" x14ac:dyDescent="0.3">
      <c r="A2156" t="s">
        <v>2217</v>
      </c>
      <c r="B2156" s="1">
        <v>45591</v>
      </c>
      <c r="C2156" s="1">
        <v>45594</v>
      </c>
      <c r="D2156">
        <v>2024</v>
      </c>
      <c r="E2156" t="s">
        <v>2026</v>
      </c>
      <c r="F2156" t="s">
        <v>2027</v>
      </c>
      <c r="G2156" t="s">
        <v>102</v>
      </c>
      <c r="H2156" t="s">
        <v>30</v>
      </c>
      <c r="I2156" t="s">
        <v>40</v>
      </c>
      <c r="J2156" t="s">
        <v>43</v>
      </c>
      <c r="K2156" t="s">
        <v>36</v>
      </c>
      <c r="L2156" t="s">
        <v>37</v>
      </c>
      <c r="M2156">
        <v>3</v>
      </c>
      <c r="N2156" s="2"/>
      <c r="O2156" s="3">
        <v>4303</v>
      </c>
      <c r="P2156">
        <v>0</v>
      </c>
      <c r="Q2156">
        <v>5</v>
      </c>
      <c r="R2156" t="s">
        <v>33</v>
      </c>
      <c r="S2156">
        <v>1</v>
      </c>
    </row>
    <row r="2157" spans="1:19" ht="16.5" x14ac:dyDescent="0.3">
      <c r="A2157" t="s">
        <v>2218</v>
      </c>
      <c r="B2157" s="1">
        <v>45592</v>
      </c>
      <c r="C2157" s="1">
        <v>45593</v>
      </c>
      <c r="D2157">
        <v>2024</v>
      </c>
      <c r="E2157" t="s">
        <v>2026</v>
      </c>
      <c r="F2157" t="s">
        <v>2027</v>
      </c>
      <c r="G2157" t="s">
        <v>112</v>
      </c>
      <c r="H2157" t="s">
        <v>39</v>
      </c>
      <c r="I2157" t="s">
        <v>31</v>
      </c>
      <c r="J2157" t="s">
        <v>43</v>
      </c>
      <c r="K2157" t="s">
        <v>41</v>
      </c>
      <c r="L2157" t="s">
        <v>44</v>
      </c>
      <c r="M2157">
        <v>1</v>
      </c>
      <c r="N2157" s="2"/>
      <c r="O2157" s="3">
        <v>1643</v>
      </c>
      <c r="P2157">
        <v>0</v>
      </c>
      <c r="Q2157">
        <v>4</v>
      </c>
      <c r="R2157" t="s">
        <v>33</v>
      </c>
      <c r="S2157">
        <v>1</v>
      </c>
    </row>
    <row r="2158" spans="1:19" ht="16.5" x14ac:dyDescent="0.3">
      <c r="A2158" t="s">
        <v>2219</v>
      </c>
      <c r="B2158" s="1">
        <v>45592</v>
      </c>
      <c r="C2158" s="1">
        <v>45593</v>
      </c>
      <c r="D2158">
        <v>2024</v>
      </c>
      <c r="E2158" t="s">
        <v>2026</v>
      </c>
      <c r="F2158" t="s">
        <v>2027</v>
      </c>
      <c r="G2158" t="s">
        <v>112</v>
      </c>
      <c r="H2158" t="s">
        <v>30</v>
      </c>
      <c r="I2158" t="s">
        <v>40</v>
      </c>
      <c r="J2158" t="s">
        <v>25</v>
      </c>
      <c r="K2158" t="s">
        <v>26</v>
      </c>
      <c r="L2158" t="s">
        <v>27</v>
      </c>
      <c r="M2158">
        <v>1</v>
      </c>
      <c r="N2158" s="2"/>
      <c r="O2158" s="3">
        <v>1776</v>
      </c>
      <c r="P2158">
        <v>1</v>
      </c>
      <c r="Q2158">
        <v>4</v>
      </c>
      <c r="R2158" t="s">
        <v>33</v>
      </c>
      <c r="S2158">
        <v>1</v>
      </c>
    </row>
    <row r="2159" spans="1:19" ht="16.5" x14ac:dyDescent="0.3">
      <c r="A2159" t="s">
        <v>2220</v>
      </c>
      <c r="B2159" s="1">
        <v>45592</v>
      </c>
      <c r="C2159" s="1">
        <v>45594</v>
      </c>
      <c r="D2159">
        <v>2024</v>
      </c>
      <c r="E2159" t="s">
        <v>2026</v>
      </c>
      <c r="F2159" t="s">
        <v>2027</v>
      </c>
      <c r="G2159" t="s">
        <v>112</v>
      </c>
      <c r="H2159" t="s">
        <v>52</v>
      </c>
      <c r="I2159" t="s">
        <v>40</v>
      </c>
      <c r="J2159" t="s">
        <v>43</v>
      </c>
      <c r="K2159" t="s">
        <v>53</v>
      </c>
      <c r="L2159" t="s">
        <v>27</v>
      </c>
      <c r="M2159">
        <v>2</v>
      </c>
      <c r="N2159" s="2"/>
      <c r="O2159" s="3">
        <v>2795</v>
      </c>
      <c r="P2159">
        <v>1</v>
      </c>
      <c r="Q2159">
        <v>5</v>
      </c>
      <c r="R2159" t="s">
        <v>28</v>
      </c>
      <c r="S2159">
        <v>1</v>
      </c>
    </row>
    <row r="2160" spans="1:19" ht="16.5" x14ac:dyDescent="0.3">
      <c r="A2160" t="s">
        <v>2221</v>
      </c>
      <c r="B2160" s="1">
        <v>45592</v>
      </c>
      <c r="C2160" s="1">
        <v>45599</v>
      </c>
      <c r="D2160">
        <v>2024</v>
      </c>
      <c r="E2160" t="s">
        <v>2026</v>
      </c>
      <c r="F2160" t="s">
        <v>2027</v>
      </c>
      <c r="G2160" t="s">
        <v>112</v>
      </c>
      <c r="H2160" t="s">
        <v>52</v>
      </c>
      <c r="I2160" t="s">
        <v>24</v>
      </c>
      <c r="J2160" t="s">
        <v>43</v>
      </c>
      <c r="K2160" t="s">
        <v>53</v>
      </c>
      <c r="L2160" t="s">
        <v>27</v>
      </c>
      <c r="M2160">
        <v>7</v>
      </c>
      <c r="N2160" s="2">
        <v>35</v>
      </c>
      <c r="O2160" s="3">
        <v>8053</v>
      </c>
      <c r="P2160">
        <v>0</v>
      </c>
      <c r="Q2160">
        <v>5</v>
      </c>
      <c r="R2160" t="s">
        <v>33</v>
      </c>
      <c r="S2160">
        <v>1</v>
      </c>
    </row>
    <row r="2161" spans="1:19" ht="16.5" x14ac:dyDescent="0.3">
      <c r="A2161" t="s">
        <v>2222</v>
      </c>
      <c r="B2161" s="1">
        <v>45592</v>
      </c>
      <c r="C2161" s="1">
        <v>45596</v>
      </c>
      <c r="D2161">
        <v>2024</v>
      </c>
      <c r="E2161" t="s">
        <v>2026</v>
      </c>
      <c r="F2161" t="s">
        <v>2027</v>
      </c>
      <c r="G2161" t="s">
        <v>112</v>
      </c>
      <c r="H2161" t="s">
        <v>23</v>
      </c>
      <c r="I2161" t="s">
        <v>24</v>
      </c>
      <c r="J2161" t="s">
        <v>25</v>
      </c>
      <c r="K2161" t="s">
        <v>53</v>
      </c>
      <c r="L2161" t="s">
        <v>27</v>
      </c>
      <c r="M2161">
        <v>4</v>
      </c>
      <c r="N2161" s="2">
        <v>134</v>
      </c>
      <c r="O2161" s="3">
        <v>3376</v>
      </c>
      <c r="P2161">
        <v>0</v>
      </c>
      <c r="Q2161">
        <v>3</v>
      </c>
      <c r="R2161" t="s">
        <v>28</v>
      </c>
      <c r="S2161">
        <v>1</v>
      </c>
    </row>
    <row r="2162" spans="1:19" ht="16.5" x14ac:dyDescent="0.3">
      <c r="A2162" t="s">
        <v>2223</v>
      </c>
      <c r="B2162" s="1">
        <v>45592</v>
      </c>
      <c r="C2162" s="1">
        <v>45594</v>
      </c>
      <c r="D2162">
        <v>2024</v>
      </c>
      <c r="E2162" t="s">
        <v>2026</v>
      </c>
      <c r="F2162" t="s">
        <v>2027</v>
      </c>
      <c r="G2162" t="s">
        <v>112</v>
      </c>
      <c r="H2162" t="s">
        <v>39</v>
      </c>
      <c r="I2162" t="s">
        <v>40</v>
      </c>
      <c r="J2162" t="s">
        <v>43</v>
      </c>
      <c r="K2162" t="s">
        <v>41</v>
      </c>
      <c r="L2162" t="s">
        <v>44</v>
      </c>
      <c r="M2162">
        <v>2</v>
      </c>
      <c r="N2162" s="2"/>
      <c r="O2162" s="3">
        <v>1223</v>
      </c>
      <c r="P2162">
        <v>1</v>
      </c>
      <c r="Q2162">
        <v>3</v>
      </c>
      <c r="R2162" t="s">
        <v>28</v>
      </c>
      <c r="S2162">
        <v>1</v>
      </c>
    </row>
    <row r="2163" spans="1:19" ht="16.5" x14ac:dyDescent="0.3">
      <c r="A2163" t="s">
        <v>2224</v>
      </c>
      <c r="B2163" s="1">
        <v>45593</v>
      </c>
      <c r="C2163" s="1">
        <v>45598</v>
      </c>
      <c r="D2163">
        <v>2024</v>
      </c>
      <c r="E2163" t="s">
        <v>2026</v>
      </c>
      <c r="F2163" t="s">
        <v>2027</v>
      </c>
      <c r="G2163" t="s">
        <v>22</v>
      </c>
      <c r="H2163" t="s">
        <v>50</v>
      </c>
      <c r="I2163" t="s">
        <v>24</v>
      </c>
      <c r="J2163" t="s">
        <v>43</v>
      </c>
      <c r="K2163" t="s">
        <v>26</v>
      </c>
      <c r="L2163" t="s">
        <v>37</v>
      </c>
      <c r="M2163">
        <v>5</v>
      </c>
      <c r="N2163" s="2">
        <v>60</v>
      </c>
      <c r="O2163" s="3">
        <v>8778</v>
      </c>
      <c r="P2163">
        <v>0</v>
      </c>
      <c r="Q2163">
        <v>5</v>
      </c>
      <c r="R2163" t="s">
        <v>33</v>
      </c>
      <c r="S2163">
        <v>1</v>
      </c>
    </row>
    <row r="2164" spans="1:19" ht="16.5" x14ac:dyDescent="0.3">
      <c r="A2164" t="s">
        <v>2225</v>
      </c>
      <c r="B2164" s="1">
        <v>45593</v>
      </c>
      <c r="C2164" s="1">
        <v>45596</v>
      </c>
      <c r="D2164">
        <v>2024</v>
      </c>
      <c r="E2164" t="s">
        <v>2026</v>
      </c>
      <c r="F2164" t="s">
        <v>2027</v>
      </c>
      <c r="G2164" t="s">
        <v>22</v>
      </c>
      <c r="H2164" t="s">
        <v>52</v>
      </c>
      <c r="I2164" t="s">
        <v>40</v>
      </c>
      <c r="J2164" t="s">
        <v>25</v>
      </c>
      <c r="K2164" t="s">
        <v>26</v>
      </c>
      <c r="L2164" t="s">
        <v>44</v>
      </c>
      <c r="M2164">
        <v>3</v>
      </c>
      <c r="N2164" s="2"/>
      <c r="O2164" s="3">
        <v>4113</v>
      </c>
      <c r="P2164">
        <v>0</v>
      </c>
      <c r="Q2164">
        <v>4</v>
      </c>
      <c r="R2164" t="s">
        <v>28</v>
      </c>
      <c r="S2164">
        <v>1</v>
      </c>
    </row>
    <row r="2165" spans="1:19" ht="16.5" x14ac:dyDescent="0.3">
      <c r="A2165" t="s">
        <v>2226</v>
      </c>
      <c r="B2165" s="1">
        <v>45593</v>
      </c>
      <c r="C2165" s="1">
        <v>45596</v>
      </c>
      <c r="D2165">
        <v>2024</v>
      </c>
      <c r="E2165" t="s">
        <v>2026</v>
      </c>
      <c r="F2165" t="s">
        <v>2027</v>
      </c>
      <c r="G2165" t="s">
        <v>22</v>
      </c>
      <c r="H2165" t="s">
        <v>35</v>
      </c>
      <c r="I2165" t="s">
        <v>24</v>
      </c>
      <c r="J2165" t="s">
        <v>25</v>
      </c>
      <c r="K2165" t="s">
        <v>36</v>
      </c>
      <c r="L2165" t="s">
        <v>44</v>
      </c>
      <c r="M2165">
        <v>3</v>
      </c>
      <c r="N2165" s="2">
        <v>26</v>
      </c>
      <c r="O2165" s="3">
        <v>3742</v>
      </c>
      <c r="P2165">
        <v>0</v>
      </c>
      <c r="Q2165">
        <v>4</v>
      </c>
      <c r="R2165" t="s">
        <v>28</v>
      </c>
      <c r="S2165">
        <v>1</v>
      </c>
    </row>
    <row r="2166" spans="1:19" ht="16.5" x14ac:dyDescent="0.3">
      <c r="A2166" t="s">
        <v>2227</v>
      </c>
      <c r="B2166" s="1">
        <v>45593</v>
      </c>
      <c r="C2166" s="1">
        <v>45597</v>
      </c>
      <c r="D2166">
        <v>2024</v>
      </c>
      <c r="E2166" t="s">
        <v>2026</v>
      </c>
      <c r="F2166" t="s">
        <v>2027</v>
      </c>
      <c r="G2166" t="s">
        <v>22</v>
      </c>
      <c r="H2166" t="s">
        <v>23</v>
      </c>
      <c r="I2166" t="s">
        <v>31</v>
      </c>
      <c r="J2166" t="s">
        <v>43</v>
      </c>
      <c r="K2166" t="s">
        <v>36</v>
      </c>
      <c r="L2166" t="s">
        <v>44</v>
      </c>
      <c r="M2166">
        <v>4</v>
      </c>
      <c r="N2166" s="2"/>
      <c r="O2166" s="3">
        <v>2531</v>
      </c>
      <c r="P2166">
        <v>0</v>
      </c>
      <c r="Q2166">
        <v>5</v>
      </c>
      <c r="R2166" t="s">
        <v>33</v>
      </c>
      <c r="S2166">
        <v>1</v>
      </c>
    </row>
    <row r="2167" spans="1:19" ht="16.5" x14ac:dyDescent="0.3">
      <c r="A2167" t="s">
        <v>2228</v>
      </c>
      <c r="B2167" s="1">
        <v>45593</v>
      </c>
      <c r="C2167" s="1">
        <v>45598</v>
      </c>
      <c r="D2167">
        <v>2024</v>
      </c>
      <c r="E2167" t="s">
        <v>2026</v>
      </c>
      <c r="F2167" t="s">
        <v>2027</v>
      </c>
      <c r="G2167" t="s">
        <v>22</v>
      </c>
      <c r="H2167" t="s">
        <v>39</v>
      </c>
      <c r="I2167" t="s">
        <v>24</v>
      </c>
      <c r="J2167" t="s">
        <v>25</v>
      </c>
      <c r="K2167" t="s">
        <v>41</v>
      </c>
      <c r="L2167" t="s">
        <v>44</v>
      </c>
      <c r="M2167">
        <v>5</v>
      </c>
      <c r="N2167" s="2">
        <v>42</v>
      </c>
      <c r="O2167" s="3">
        <v>3853</v>
      </c>
      <c r="P2167">
        <v>0</v>
      </c>
      <c r="Q2167">
        <v>4</v>
      </c>
      <c r="R2167" t="s">
        <v>33</v>
      </c>
      <c r="S2167">
        <v>1</v>
      </c>
    </row>
    <row r="2168" spans="1:19" ht="16.5" x14ac:dyDescent="0.3">
      <c r="A2168" t="s">
        <v>2229</v>
      </c>
      <c r="B2168" s="1">
        <v>45593</v>
      </c>
      <c r="C2168" s="1">
        <v>45595</v>
      </c>
      <c r="D2168">
        <v>2024</v>
      </c>
      <c r="E2168" t="s">
        <v>2026</v>
      </c>
      <c r="F2168" t="s">
        <v>2027</v>
      </c>
      <c r="G2168" t="s">
        <v>22</v>
      </c>
      <c r="H2168" t="s">
        <v>39</v>
      </c>
      <c r="I2168" t="s">
        <v>24</v>
      </c>
      <c r="J2168" t="s">
        <v>25</v>
      </c>
      <c r="K2168" t="s">
        <v>41</v>
      </c>
      <c r="L2168" t="s">
        <v>27</v>
      </c>
      <c r="M2168">
        <v>2</v>
      </c>
      <c r="N2168" s="2">
        <v>46</v>
      </c>
      <c r="O2168" s="3">
        <v>1977</v>
      </c>
      <c r="P2168">
        <v>0</v>
      </c>
      <c r="Q2168">
        <v>4</v>
      </c>
      <c r="R2168" t="s">
        <v>28</v>
      </c>
      <c r="S2168">
        <v>1</v>
      </c>
    </row>
    <row r="2169" spans="1:19" ht="16.5" x14ac:dyDescent="0.3">
      <c r="A2169" t="s">
        <v>2230</v>
      </c>
      <c r="B2169" s="1">
        <v>45594</v>
      </c>
      <c r="C2169" s="1">
        <v>45598</v>
      </c>
      <c r="D2169">
        <v>2024</v>
      </c>
      <c r="E2169" t="s">
        <v>2026</v>
      </c>
      <c r="F2169" t="s">
        <v>2027</v>
      </c>
      <c r="G2169" t="s">
        <v>56</v>
      </c>
      <c r="H2169" t="s">
        <v>35</v>
      </c>
      <c r="I2169" t="s">
        <v>31</v>
      </c>
      <c r="J2169" t="s">
        <v>25</v>
      </c>
      <c r="K2169" t="s">
        <v>32</v>
      </c>
      <c r="L2169" t="s">
        <v>44</v>
      </c>
      <c r="M2169">
        <v>4</v>
      </c>
      <c r="N2169" s="2"/>
      <c r="O2169" s="3">
        <v>4318</v>
      </c>
      <c r="P2169">
        <v>0</v>
      </c>
      <c r="Q2169">
        <v>5</v>
      </c>
      <c r="R2169" t="s">
        <v>33</v>
      </c>
      <c r="S2169">
        <v>1</v>
      </c>
    </row>
    <row r="2170" spans="1:19" ht="16.5" x14ac:dyDescent="0.3">
      <c r="A2170" t="s">
        <v>2231</v>
      </c>
      <c r="B2170" s="1">
        <v>45594</v>
      </c>
      <c r="C2170" s="1">
        <v>45595</v>
      </c>
      <c r="D2170">
        <v>2024</v>
      </c>
      <c r="E2170" t="s">
        <v>2026</v>
      </c>
      <c r="F2170" t="s">
        <v>2027</v>
      </c>
      <c r="G2170" t="s">
        <v>56</v>
      </c>
      <c r="H2170" t="s">
        <v>30</v>
      </c>
      <c r="I2170" t="s">
        <v>40</v>
      </c>
      <c r="J2170" t="s">
        <v>25</v>
      </c>
      <c r="K2170" t="s">
        <v>53</v>
      </c>
      <c r="L2170" t="s">
        <v>44</v>
      </c>
      <c r="M2170">
        <v>1</v>
      </c>
      <c r="N2170" s="2"/>
      <c r="O2170" s="3">
        <v>1731</v>
      </c>
      <c r="P2170">
        <v>1</v>
      </c>
      <c r="Q2170">
        <v>3</v>
      </c>
      <c r="R2170" t="s">
        <v>33</v>
      </c>
      <c r="S2170">
        <v>1</v>
      </c>
    </row>
    <row r="2171" spans="1:19" ht="16.5" x14ac:dyDescent="0.3">
      <c r="A2171" t="s">
        <v>2232</v>
      </c>
      <c r="B2171" s="1">
        <v>45594</v>
      </c>
      <c r="C2171" s="1">
        <v>45595</v>
      </c>
      <c r="D2171">
        <v>2024</v>
      </c>
      <c r="E2171" t="s">
        <v>2026</v>
      </c>
      <c r="F2171" t="s">
        <v>2027</v>
      </c>
      <c r="G2171" t="s">
        <v>56</v>
      </c>
      <c r="H2171" t="s">
        <v>39</v>
      </c>
      <c r="I2171" t="s">
        <v>24</v>
      </c>
      <c r="J2171" t="s">
        <v>25</v>
      </c>
      <c r="K2171" t="s">
        <v>41</v>
      </c>
      <c r="L2171" t="s">
        <v>44</v>
      </c>
      <c r="M2171">
        <v>1</v>
      </c>
      <c r="N2171" s="2">
        <v>72</v>
      </c>
      <c r="O2171" s="3">
        <v>1226</v>
      </c>
      <c r="P2171">
        <v>0</v>
      </c>
      <c r="Q2171">
        <v>3</v>
      </c>
      <c r="R2171" t="s">
        <v>28</v>
      </c>
      <c r="S2171">
        <v>1</v>
      </c>
    </row>
    <row r="2172" spans="1:19" ht="16.5" x14ac:dyDescent="0.3">
      <c r="A2172" t="s">
        <v>2233</v>
      </c>
      <c r="B2172" s="1">
        <v>45594</v>
      </c>
      <c r="C2172" s="1">
        <v>45597</v>
      </c>
      <c r="D2172">
        <v>2024</v>
      </c>
      <c r="E2172" t="s">
        <v>2026</v>
      </c>
      <c r="F2172" t="s">
        <v>2027</v>
      </c>
      <c r="G2172" t="s">
        <v>56</v>
      </c>
      <c r="H2172" t="s">
        <v>23</v>
      </c>
      <c r="I2172" t="s">
        <v>24</v>
      </c>
      <c r="J2172" t="s">
        <v>43</v>
      </c>
      <c r="K2172" t="s">
        <v>26</v>
      </c>
      <c r="L2172" t="s">
        <v>27</v>
      </c>
      <c r="M2172">
        <v>3</v>
      </c>
      <c r="N2172" s="2">
        <v>26</v>
      </c>
      <c r="O2172" s="3">
        <v>2547</v>
      </c>
      <c r="P2172">
        <v>0</v>
      </c>
      <c r="Q2172">
        <v>4</v>
      </c>
      <c r="R2172" t="s">
        <v>33</v>
      </c>
      <c r="S2172">
        <v>1</v>
      </c>
    </row>
    <row r="2173" spans="1:19" ht="16.5" x14ac:dyDescent="0.3">
      <c r="A2173" t="s">
        <v>2234</v>
      </c>
      <c r="B2173" s="1">
        <v>45594</v>
      </c>
      <c r="C2173" s="1">
        <v>45608</v>
      </c>
      <c r="D2173">
        <v>2024</v>
      </c>
      <c r="E2173" t="s">
        <v>2026</v>
      </c>
      <c r="F2173" t="s">
        <v>2027</v>
      </c>
      <c r="G2173" t="s">
        <v>56</v>
      </c>
      <c r="H2173" t="s">
        <v>23</v>
      </c>
      <c r="I2173" t="s">
        <v>24</v>
      </c>
      <c r="J2173" t="s">
        <v>25</v>
      </c>
      <c r="K2173" t="s">
        <v>26</v>
      </c>
      <c r="L2173" t="s">
        <v>37</v>
      </c>
      <c r="M2173">
        <v>14</v>
      </c>
      <c r="N2173" s="2">
        <v>42</v>
      </c>
      <c r="O2173" s="3">
        <v>10183</v>
      </c>
      <c r="P2173">
        <v>0</v>
      </c>
      <c r="Q2173">
        <v>4</v>
      </c>
      <c r="R2173" t="s">
        <v>28</v>
      </c>
      <c r="S2173">
        <v>1</v>
      </c>
    </row>
    <row r="2174" spans="1:19" ht="16.5" x14ac:dyDescent="0.3">
      <c r="A2174" t="s">
        <v>2235</v>
      </c>
      <c r="B2174" s="1">
        <v>45594</v>
      </c>
      <c r="C2174" s="1">
        <v>45598</v>
      </c>
      <c r="D2174">
        <v>2024</v>
      </c>
      <c r="E2174" t="s">
        <v>2026</v>
      </c>
      <c r="F2174" t="s">
        <v>2027</v>
      </c>
      <c r="G2174" t="s">
        <v>56</v>
      </c>
      <c r="H2174" t="s">
        <v>30</v>
      </c>
      <c r="I2174" t="s">
        <v>40</v>
      </c>
      <c r="J2174" t="s">
        <v>43</v>
      </c>
      <c r="K2174" t="s">
        <v>53</v>
      </c>
      <c r="L2174" t="s">
        <v>27</v>
      </c>
      <c r="M2174">
        <v>4</v>
      </c>
      <c r="N2174" s="2"/>
      <c r="O2174" s="3">
        <v>3913</v>
      </c>
      <c r="P2174">
        <v>0</v>
      </c>
      <c r="Q2174">
        <v>5</v>
      </c>
      <c r="R2174" t="s">
        <v>33</v>
      </c>
      <c r="S2174">
        <v>1</v>
      </c>
    </row>
    <row r="2175" spans="1:19" ht="16.5" x14ac:dyDescent="0.3">
      <c r="A2175" t="s">
        <v>2236</v>
      </c>
      <c r="B2175" s="1">
        <v>45595</v>
      </c>
      <c r="C2175" s="1">
        <v>45599</v>
      </c>
      <c r="D2175">
        <v>2024</v>
      </c>
      <c r="E2175" t="s">
        <v>2026</v>
      </c>
      <c r="F2175" t="s">
        <v>2027</v>
      </c>
      <c r="G2175" t="s">
        <v>70</v>
      </c>
      <c r="H2175" t="s">
        <v>23</v>
      </c>
      <c r="I2175" t="s">
        <v>24</v>
      </c>
      <c r="J2175" t="s">
        <v>25</v>
      </c>
      <c r="K2175" t="s">
        <v>53</v>
      </c>
      <c r="L2175" t="s">
        <v>44</v>
      </c>
      <c r="M2175">
        <v>4</v>
      </c>
      <c r="N2175" s="2">
        <v>40</v>
      </c>
      <c r="O2175" s="3">
        <v>4641</v>
      </c>
      <c r="P2175">
        <v>0</v>
      </c>
      <c r="Q2175">
        <v>3</v>
      </c>
      <c r="R2175" t="s">
        <v>33</v>
      </c>
      <c r="S2175">
        <v>1</v>
      </c>
    </row>
    <row r="2176" spans="1:19" ht="16.5" x14ac:dyDescent="0.3">
      <c r="A2176" t="s">
        <v>2237</v>
      </c>
      <c r="B2176" s="1">
        <v>45595</v>
      </c>
      <c r="C2176" s="1">
        <v>45601</v>
      </c>
      <c r="D2176">
        <v>2024</v>
      </c>
      <c r="E2176" t="s">
        <v>2026</v>
      </c>
      <c r="F2176" t="s">
        <v>2027</v>
      </c>
      <c r="G2176" t="s">
        <v>70</v>
      </c>
      <c r="H2176" t="s">
        <v>23</v>
      </c>
      <c r="I2176" t="s">
        <v>24</v>
      </c>
      <c r="J2176" t="s">
        <v>43</v>
      </c>
      <c r="K2176" t="s">
        <v>26</v>
      </c>
      <c r="L2176" t="s">
        <v>44</v>
      </c>
      <c r="M2176">
        <v>6</v>
      </c>
      <c r="N2176" s="2">
        <v>75</v>
      </c>
      <c r="O2176" s="3">
        <v>4798</v>
      </c>
      <c r="P2176">
        <v>1</v>
      </c>
      <c r="Q2176">
        <v>3</v>
      </c>
      <c r="R2176" t="s">
        <v>28</v>
      </c>
      <c r="S2176">
        <v>1</v>
      </c>
    </row>
    <row r="2177" spans="1:19" ht="16.5" x14ac:dyDescent="0.3">
      <c r="A2177" t="s">
        <v>2238</v>
      </c>
      <c r="B2177" s="1">
        <v>45595</v>
      </c>
      <c r="C2177" s="1">
        <v>45596</v>
      </c>
      <c r="D2177">
        <v>2024</v>
      </c>
      <c r="E2177" t="s">
        <v>2026</v>
      </c>
      <c r="F2177" t="s">
        <v>2027</v>
      </c>
      <c r="G2177" t="s">
        <v>70</v>
      </c>
      <c r="H2177" t="s">
        <v>30</v>
      </c>
      <c r="I2177" t="s">
        <v>40</v>
      </c>
      <c r="J2177" t="s">
        <v>43</v>
      </c>
      <c r="K2177" t="s">
        <v>26</v>
      </c>
      <c r="L2177" t="s">
        <v>27</v>
      </c>
      <c r="M2177">
        <v>1</v>
      </c>
      <c r="N2177" s="2"/>
      <c r="O2177" s="3">
        <v>1353</v>
      </c>
      <c r="P2177">
        <v>0</v>
      </c>
      <c r="Q2177">
        <v>4</v>
      </c>
      <c r="R2177" t="s">
        <v>33</v>
      </c>
      <c r="S2177">
        <v>1</v>
      </c>
    </row>
    <row r="2178" spans="1:19" ht="16.5" x14ac:dyDescent="0.3">
      <c r="A2178" t="s">
        <v>2239</v>
      </c>
      <c r="B2178" s="1">
        <v>45595</v>
      </c>
      <c r="C2178" s="1">
        <v>45597</v>
      </c>
      <c r="D2178">
        <v>2024</v>
      </c>
      <c r="E2178" t="s">
        <v>2026</v>
      </c>
      <c r="F2178" t="s">
        <v>2027</v>
      </c>
      <c r="G2178" t="s">
        <v>70</v>
      </c>
      <c r="H2178" t="s">
        <v>30</v>
      </c>
      <c r="I2178" t="s">
        <v>24</v>
      </c>
      <c r="J2178" t="s">
        <v>25</v>
      </c>
      <c r="K2178" t="s">
        <v>26</v>
      </c>
      <c r="L2178" t="s">
        <v>44</v>
      </c>
      <c r="M2178">
        <v>2</v>
      </c>
      <c r="N2178" s="2">
        <v>56</v>
      </c>
      <c r="O2178" s="3">
        <v>2945</v>
      </c>
      <c r="P2178">
        <v>0</v>
      </c>
      <c r="Q2178">
        <v>4</v>
      </c>
      <c r="R2178" t="s">
        <v>28</v>
      </c>
      <c r="S2178">
        <v>1</v>
      </c>
    </row>
    <row r="2179" spans="1:19" ht="16.5" x14ac:dyDescent="0.3">
      <c r="A2179" t="s">
        <v>2240</v>
      </c>
      <c r="B2179" s="1">
        <v>45595</v>
      </c>
      <c r="C2179" s="1">
        <v>45601</v>
      </c>
      <c r="D2179">
        <v>2024</v>
      </c>
      <c r="E2179" t="s">
        <v>2026</v>
      </c>
      <c r="F2179" t="s">
        <v>2027</v>
      </c>
      <c r="G2179" t="s">
        <v>70</v>
      </c>
      <c r="H2179" t="s">
        <v>30</v>
      </c>
      <c r="I2179" t="s">
        <v>40</v>
      </c>
      <c r="J2179" t="s">
        <v>43</v>
      </c>
      <c r="K2179" t="s">
        <v>36</v>
      </c>
      <c r="L2179" t="s">
        <v>27</v>
      </c>
      <c r="M2179">
        <v>6</v>
      </c>
      <c r="N2179" s="2"/>
      <c r="O2179" s="3">
        <v>6472</v>
      </c>
      <c r="P2179">
        <v>0</v>
      </c>
      <c r="Q2179">
        <v>4</v>
      </c>
      <c r="R2179" t="s">
        <v>33</v>
      </c>
      <c r="S2179">
        <v>1</v>
      </c>
    </row>
    <row r="2180" spans="1:19" ht="16.5" x14ac:dyDescent="0.3">
      <c r="A2180" t="s">
        <v>2241</v>
      </c>
      <c r="B2180" s="1">
        <v>45595</v>
      </c>
      <c r="C2180" s="1">
        <v>45596</v>
      </c>
      <c r="D2180">
        <v>2024</v>
      </c>
      <c r="E2180" t="s">
        <v>2026</v>
      </c>
      <c r="F2180" t="s">
        <v>2027</v>
      </c>
      <c r="G2180" t="s">
        <v>70</v>
      </c>
      <c r="H2180" t="s">
        <v>23</v>
      </c>
      <c r="I2180" t="s">
        <v>24</v>
      </c>
      <c r="J2180" t="s">
        <v>43</v>
      </c>
      <c r="K2180" t="s">
        <v>26</v>
      </c>
      <c r="L2180" t="s">
        <v>37</v>
      </c>
      <c r="M2180">
        <v>1</v>
      </c>
      <c r="N2180" s="2">
        <v>72</v>
      </c>
      <c r="O2180" s="3">
        <v>1695</v>
      </c>
      <c r="P2180">
        <v>0</v>
      </c>
      <c r="Q2180">
        <v>5</v>
      </c>
      <c r="R2180" t="s">
        <v>33</v>
      </c>
      <c r="S2180">
        <v>1</v>
      </c>
    </row>
    <row r="2181" spans="1:19" ht="16.5" x14ac:dyDescent="0.3">
      <c r="A2181" t="s">
        <v>2242</v>
      </c>
      <c r="B2181" s="1">
        <v>45595</v>
      </c>
      <c r="C2181" s="1">
        <v>45598</v>
      </c>
      <c r="D2181">
        <v>2024</v>
      </c>
      <c r="E2181" t="s">
        <v>2026</v>
      </c>
      <c r="F2181" t="s">
        <v>2027</v>
      </c>
      <c r="G2181" t="s">
        <v>70</v>
      </c>
      <c r="H2181" t="s">
        <v>50</v>
      </c>
      <c r="I2181" t="s">
        <v>24</v>
      </c>
      <c r="J2181" t="s">
        <v>25</v>
      </c>
      <c r="K2181" t="s">
        <v>36</v>
      </c>
      <c r="L2181" t="s">
        <v>27</v>
      </c>
      <c r="M2181">
        <v>3</v>
      </c>
      <c r="N2181" s="2">
        <v>33</v>
      </c>
      <c r="O2181" s="3">
        <v>3958</v>
      </c>
      <c r="P2181">
        <v>0</v>
      </c>
      <c r="Q2181">
        <v>5</v>
      </c>
      <c r="R2181" t="s">
        <v>33</v>
      </c>
      <c r="S2181">
        <v>1</v>
      </c>
    </row>
    <row r="2182" spans="1:19" ht="16.5" x14ac:dyDescent="0.3">
      <c r="A2182" t="s">
        <v>2243</v>
      </c>
      <c r="B2182" s="1">
        <v>45595</v>
      </c>
      <c r="C2182" s="1">
        <v>45599</v>
      </c>
      <c r="D2182">
        <v>2024</v>
      </c>
      <c r="E2182" t="s">
        <v>2026</v>
      </c>
      <c r="F2182" t="s">
        <v>2027</v>
      </c>
      <c r="G2182" t="s">
        <v>70</v>
      </c>
      <c r="H2182" t="s">
        <v>39</v>
      </c>
      <c r="I2182" t="s">
        <v>24</v>
      </c>
      <c r="J2182" t="s">
        <v>43</v>
      </c>
      <c r="K2182" t="s">
        <v>41</v>
      </c>
      <c r="L2182" t="s">
        <v>44</v>
      </c>
      <c r="M2182">
        <v>4</v>
      </c>
      <c r="N2182" s="2">
        <v>70</v>
      </c>
      <c r="O2182" s="3">
        <v>3105</v>
      </c>
      <c r="P2182">
        <v>0</v>
      </c>
      <c r="Q2182">
        <v>5</v>
      </c>
      <c r="R2182" t="s">
        <v>33</v>
      </c>
      <c r="S2182">
        <v>1</v>
      </c>
    </row>
    <row r="2183" spans="1:19" ht="16.5" x14ac:dyDescent="0.3">
      <c r="A2183" t="s">
        <v>2244</v>
      </c>
      <c r="B2183" s="1">
        <v>45595</v>
      </c>
      <c r="C2183" s="1">
        <v>45599</v>
      </c>
      <c r="D2183">
        <v>2024</v>
      </c>
      <c r="E2183" t="s">
        <v>2026</v>
      </c>
      <c r="F2183" t="s">
        <v>2027</v>
      </c>
      <c r="G2183" t="s">
        <v>70</v>
      </c>
      <c r="H2183" t="s">
        <v>23</v>
      </c>
      <c r="I2183" t="s">
        <v>24</v>
      </c>
      <c r="J2183" t="s">
        <v>43</v>
      </c>
      <c r="K2183" t="s">
        <v>53</v>
      </c>
      <c r="L2183" t="s">
        <v>44</v>
      </c>
      <c r="M2183">
        <v>4</v>
      </c>
      <c r="N2183" s="2">
        <v>42</v>
      </c>
      <c r="O2183" s="3">
        <v>3399</v>
      </c>
      <c r="P2183">
        <v>0</v>
      </c>
      <c r="Q2183">
        <v>5</v>
      </c>
      <c r="R2183" t="s">
        <v>33</v>
      </c>
      <c r="S2183">
        <v>1</v>
      </c>
    </row>
    <row r="2184" spans="1:19" ht="16.5" x14ac:dyDescent="0.3">
      <c r="A2184" t="s">
        <v>2245</v>
      </c>
      <c r="B2184" s="1">
        <v>45595</v>
      </c>
      <c r="C2184" s="1">
        <v>45599</v>
      </c>
      <c r="D2184">
        <v>2024</v>
      </c>
      <c r="E2184" t="s">
        <v>2026</v>
      </c>
      <c r="F2184" t="s">
        <v>2027</v>
      </c>
      <c r="G2184" t="s">
        <v>70</v>
      </c>
      <c r="H2184" t="s">
        <v>52</v>
      </c>
      <c r="I2184" t="s">
        <v>40</v>
      </c>
      <c r="J2184" t="s">
        <v>25</v>
      </c>
      <c r="K2184" t="s">
        <v>36</v>
      </c>
      <c r="L2184" t="s">
        <v>44</v>
      </c>
      <c r="M2184">
        <v>4</v>
      </c>
      <c r="N2184" s="2"/>
      <c r="O2184" s="3">
        <v>4161</v>
      </c>
      <c r="P2184">
        <v>0</v>
      </c>
      <c r="Q2184">
        <v>4</v>
      </c>
      <c r="R2184" t="s">
        <v>28</v>
      </c>
      <c r="S2184">
        <v>1</v>
      </c>
    </row>
    <row r="2185" spans="1:19" ht="16.5" x14ac:dyDescent="0.3">
      <c r="A2185" t="s">
        <v>2246</v>
      </c>
      <c r="B2185" s="1">
        <v>45595</v>
      </c>
      <c r="C2185" s="1">
        <v>45599</v>
      </c>
      <c r="D2185">
        <v>2024</v>
      </c>
      <c r="E2185" t="s">
        <v>2026</v>
      </c>
      <c r="F2185" t="s">
        <v>2027</v>
      </c>
      <c r="G2185" t="s">
        <v>70</v>
      </c>
      <c r="H2185" t="s">
        <v>39</v>
      </c>
      <c r="I2185" t="s">
        <v>24</v>
      </c>
      <c r="J2185" t="s">
        <v>43</v>
      </c>
      <c r="K2185" t="s">
        <v>41</v>
      </c>
      <c r="L2185" t="s">
        <v>37</v>
      </c>
      <c r="M2185">
        <v>4</v>
      </c>
      <c r="N2185" s="2">
        <v>17</v>
      </c>
      <c r="O2185" s="3">
        <v>2925</v>
      </c>
      <c r="P2185">
        <v>0</v>
      </c>
      <c r="Q2185">
        <v>4</v>
      </c>
      <c r="R2185" t="s">
        <v>33</v>
      </c>
      <c r="S2185">
        <v>1</v>
      </c>
    </row>
    <row r="2186" spans="1:19" ht="16.5" x14ac:dyDescent="0.3">
      <c r="A2186" t="s">
        <v>2247</v>
      </c>
      <c r="B2186" s="1">
        <v>45595</v>
      </c>
      <c r="C2186" s="1">
        <v>45599</v>
      </c>
      <c r="D2186">
        <v>2024</v>
      </c>
      <c r="E2186" t="s">
        <v>2026</v>
      </c>
      <c r="F2186" t="s">
        <v>2027</v>
      </c>
      <c r="G2186" t="s">
        <v>70</v>
      </c>
      <c r="H2186" t="s">
        <v>50</v>
      </c>
      <c r="I2186" t="s">
        <v>24</v>
      </c>
      <c r="J2186" t="s">
        <v>43</v>
      </c>
      <c r="K2186" t="s">
        <v>32</v>
      </c>
      <c r="L2186" t="s">
        <v>44</v>
      </c>
      <c r="M2186">
        <v>4</v>
      </c>
      <c r="N2186" s="2">
        <v>15</v>
      </c>
      <c r="O2186" s="3">
        <v>4735</v>
      </c>
      <c r="P2186">
        <v>0</v>
      </c>
      <c r="Q2186">
        <v>5</v>
      </c>
      <c r="R2186" t="s">
        <v>28</v>
      </c>
      <c r="S2186">
        <v>1</v>
      </c>
    </row>
    <row r="2187" spans="1:19" ht="16.5" x14ac:dyDescent="0.3">
      <c r="A2187" t="s">
        <v>2248</v>
      </c>
      <c r="B2187" s="1">
        <v>45595</v>
      </c>
      <c r="C2187" s="1">
        <v>45600</v>
      </c>
      <c r="D2187">
        <v>2024</v>
      </c>
      <c r="E2187" t="s">
        <v>2026</v>
      </c>
      <c r="F2187" t="s">
        <v>2027</v>
      </c>
      <c r="G2187" t="s">
        <v>70</v>
      </c>
      <c r="H2187" t="s">
        <v>30</v>
      </c>
      <c r="I2187" t="s">
        <v>40</v>
      </c>
      <c r="J2187" t="s">
        <v>25</v>
      </c>
      <c r="K2187" t="s">
        <v>32</v>
      </c>
      <c r="L2187" t="s">
        <v>37</v>
      </c>
      <c r="M2187">
        <v>5</v>
      </c>
      <c r="N2187" s="2"/>
      <c r="O2187" s="3">
        <v>5281</v>
      </c>
      <c r="P2187">
        <v>0</v>
      </c>
      <c r="Q2187">
        <v>5</v>
      </c>
      <c r="R2187" t="s">
        <v>33</v>
      </c>
      <c r="S2187">
        <v>1</v>
      </c>
    </row>
    <row r="2188" spans="1:19" ht="16.5" x14ac:dyDescent="0.3">
      <c r="A2188" t="s">
        <v>2249</v>
      </c>
      <c r="B2188" s="1">
        <v>45595</v>
      </c>
      <c r="C2188" s="1">
        <v>45597</v>
      </c>
      <c r="D2188">
        <v>2024</v>
      </c>
      <c r="E2188" t="s">
        <v>2026</v>
      </c>
      <c r="F2188" t="s">
        <v>2027</v>
      </c>
      <c r="G2188" t="s">
        <v>70</v>
      </c>
      <c r="H2188" t="s">
        <v>30</v>
      </c>
      <c r="I2188" t="s">
        <v>40</v>
      </c>
      <c r="J2188" t="s">
        <v>43</v>
      </c>
      <c r="K2188" t="s">
        <v>53</v>
      </c>
      <c r="L2188" t="s">
        <v>27</v>
      </c>
      <c r="M2188">
        <v>2</v>
      </c>
      <c r="N2188" s="2"/>
      <c r="O2188" s="3">
        <v>2863</v>
      </c>
      <c r="P2188">
        <v>0</v>
      </c>
      <c r="Q2188">
        <v>5</v>
      </c>
      <c r="R2188" t="s">
        <v>33</v>
      </c>
      <c r="S2188">
        <v>1</v>
      </c>
    </row>
    <row r="2189" spans="1:19" ht="16.5" x14ac:dyDescent="0.3">
      <c r="A2189" t="s">
        <v>2250</v>
      </c>
      <c r="B2189" s="1">
        <v>45595</v>
      </c>
      <c r="C2189" s="1">
        <v>45605</v>
      </c>
      <c r="D2189">
        <v>2024</v>
      </c>
      <c r="E2189" t="s">
        <v>2026</v>
      </c>
      <c r="F2189" t="s">
        <v>2027</v>
      </c>
      <c r="G2189" t="s">
        <v>70</v>
      </c>
      <c r="H2189" t="s">
        <v>50</v>
      </c>
      <c r="I2189" t="s">
        <v>40</v>
      </c>
      <c r="J2189" t="s">
        <v>25</v>
      </c>
      <c r="K2189" t="s">
        <v>26</v>
      </c>
      <c r="L2189" t="s">
        <v>44</v>
      </c>
      <c r="M2189">
        <v>10</v>
      </c>
      <c r="N2189" s="2"/>
      <c r="O2189" s="3">
        <v>10016</v>
      </c>
      <c r="P2189">
        <v>0</v>
      </c>
      <c r="Q2189">
        <v>5</v>
      </c>
      <c r="R2189" t="s">
        <v>33</v>
      </c>
      <c r="S2189">
        <v>1</v>
      </c>
    </row>
    <row r="2190" spans="1:19" ht="16.5" x14ac:dyDescent="0.3">
      <c r="A2190" t="s">
        <v>2251</v>
      </c>
      <c r="B2190" s="1">
        <v>45595</v>
      </c>
      <c r="C2190" s="1">
        <v>45599</v>
      </c>
      <c r="D2190">
        <v>2024</v>
      </c>
      <c r="E2190" t="s">
        <v>2026</v>
      </c>
      <c r="F2190" t="s">
        <v>2027</v>
      </c>
      <c r="G2190" t="s">
        <v>70</v>
      </c>
      <c r="H2190" t="s">
        <v>23</v>
      </c>
      <c r="I2190" t="s">
        <v>24</v>
      </c>
      <c r="J2190" t="s">
        <v>25</v>
      </c>
      <c r="K2190" t="s">
        <v>32</v>
      </c>
      <c r="L2190" t="s">
        <v>27</v>
      </c>
      <c r="M2190">
        <v>4</v>
      </c>
      <c r="N2190" s="2">
        <v>135</v>
      </c>
      <c r="O2190" s="3">
        <v>3715</v>
      </c>
      <c r="P2190">
        <v>0</v>
      </c>
      <c r="Q2190">
        <v>3</v>
      </c>
      <c r="R2190" t="s">
        <v>28</v>
      </c>
      <c r="S2190">
        <v>1</v>
      </c>
    </row>
    <row r="2191" spans="1:19" ht="16.5" x14ac:dyDescent="0.3">
      <c r="A2191" t="s">
        <v>2252</v>
      </c>
      <c r="B2191" s="1">
        <v>45595</v>
      </c>
      <c r="C2191" s="1">
        <v>45599</v>
      </c>
      <c r="D2191">
        <v>2024</v>
      </c>
      <c r="E2191" t="s">
        <v>2026</v>
      </c>
      <c r="F2191" t="s">
        <v>2027</v>
      </c>
      <c r="G2191" t="s">
        <v>70</v>
      </c>
      <c r="H2191" t="s">
        <v>30</v>
      </c>
      <c r="I2191" t="s">
        <v>40</v>
      </c>
      <c r="J2191" t="s">
        <v>25</v>
      </c>
      <c r="K2191" t="s">
        <v>36</v>
      </c>
      <c r="L2191" t="s">
        <v>27</v>
      </c>
      <c r="M2191">
        <v>4</v>
      </c>
      <c r="N2191" s="2"/>
      <c r="O2191" s="3">
        <v>3476</v>
      </c>
      <c r="P2191">
        <v>0</v>
      </c>
      <c r="Q2191">
        <v>5</v>
      </c>
      <c r="R2191" t="s">
        <v>28</v>
      </c>
      <c r="S2191">
        <v>1</v>
      </c>
    </row>
    <row r="2192" spans="1:19" ht="16.5" x14ac:dyDescent="0.3">
      <c r="A2192" t="s">
        <v>2253</v>
      </c>
      <c r="B2192" s="1">
        <v>45596</v>
      </c>
      <c r="C2192" s="1">
        <v>45597</v>
      </c>
      <c r="D2192">
        <v>2024</v>
      </c>
      <c r="E2192" t="s">
        <v>2026</v>
      </c>
      <c r="F2192" t="s">
        <v>2027</v>
      </c>
      <c r="G2192" t="s">
        <v>78</v>
      </c>
      <c r="H2192" t="s">
        <v>23</v>
      </c>
      <c r="I2192" t="s">
        <v>24</v>
      </c>
      <c r="J2192" t="s">
        <v>43</v>
      </c>
      <c r="K2192" t="s">
        <v>32</v>
      </c>
      <c r="L2192" t="s">
        <v>27</v>
      </c>
      <c r="M2192">
        <v>1</v>
      </c>
      <c r="N2192" s="2">
        <v>76</v>
      </c>
      <c r="O2192" s="3">
        <v>2008</v>
      </c>
      <c r="P2192">
        <v>0</v>
      </c>
      <c r="Q2192">
        <v>3</v>
      </c>
      <c r="R2192" t="s">
        <v>33</v>
      </c>
      <c r="S2192">
        <v>1</v>
      </c>
    </row>
    <row r="2193" spans="1:19" ht="16.5" x14ac:dyDescent="0.3">
      <c r="A2193" t="s">
        <v>2254</v>
      </c>
      <c r="B2193" s="1">
        <v>45596</v>
      </c>
      <c r="C2193" s="1">
        <v>45598</v>
      </c>
      <c r="D2193">
        <v>2024</v>
      </c>
      <c r="E2193" t="s">
        <v>2026</v>
      </c>
      <c r="F2193" t="s">
        <v>2027</v>
      </c>
      <c r="G2193" t="s">
        <v>78</v>
      </c>
      <c r="H2193" t="s">
        <v>30</v>
      </c>
      <c r="I2193" t="s">
        <v>40</v>
      </c>
      <c r="J2193" t="s">
        <v>25</v>
      </c>
      <c r="K2193" t="s">
        <v>26</v>
      </c>
      <c r="L2193" t="s">
        <v>27</v>
      </c>
      <c r="M2193">
        <v>2</v>
      </c>
      <c r="N2193" s="2"/>
      <c r="O2193" s="3">
        <v>2227</v>
      </c>
      <c r="P2193">
        <v>0</v>
      </c>
      <c r="Q2193">
        <v>5</v>
      </c>
      <c r="R2193" t="s">
        <v>33</v>
      </c>
      <c r="S2193">
        <v>1</v>
      </c>
    </row>
    <row r="2194" spans="1:19" ht="16.5" x14ac:dyDescent="0.3">
      <c r="A2194" t="s">
        <v>2255</v>
      </c>
      <c r="B2194" s="1">
        <v>45596</v>
      </c>
      <c r="C2194" s="1">
        <v>45599</v>
      </c>
      <c r="D2194">
        <v>2024</v>
      </c>
      <c r="E2194" t="s">
        <v>2026</v>
      </c>
      <c r="F2194" t="s">
        <v>2027</v>
      </c>
      <c r="G2194" t="s">
        <v>78</v>
      </c>
      <c r="H2194" t="s">
        <v>39</v>
      </c>
      <c r="I2194" t="s">
        <v>40</v>
      </c>
      <c r="J2194" t="s">
        <v>43</v>
      </c>
      <c r="K2194" t="s">
        <v>41</v>
      </c>
      <c r="L2194" t="s">
        <v>27</v>
      </c>
      <c r="M2194">
        <v>3</v>
      </c>
      <c r="N2194" s="2"/>
      <c r="O2194" s="3">
        <v>2918</v>
      </c>
      <c r="P2194">
        <v>0</v>
      </c>
      <c r="Q2194">
        <v>4</v>
      </c>
      <c r="R2194" t="s">
        <v>33</v>
      </c>
      <c r="S2194">
        <v>1</v>
      </c>
    </row>
    <row r="2195" spans="1:19" ht="16.5" x14ac:dyDescent="0.3">
      <c r="A2195" t="s">
        <v>2256</v>
      </c>
      <c r="B2195" s="1">
        <v>45596</v>
      </c>
      <c r="C2195" s="1">
        <v>45601</v>
      </c>
      <c r="D2195">
        <v>2024</v>
      </c>
      <c r="E2195" t="s">
        <v>2026</v>
      </c>
      <c r="F2195" t="s">
        <v>2027</v>
      </c>
      <c r="G2195" t="s">
        <v>78</v>
      </c>
      <c r="H2195" t="s">
        <v>23</v>
      </c>
      <c r="I2195" t="s">
        <v>24</v>
      </c>
      <c r="J2195" t="s">
        <v>43</v>
      </c>
      <c r="K2195" t="s">
        <v>32</v>
      </c>
      <c r="L2195" t="s">
        <v>27</v>
      </c>
      <c r="M2195">
        <v>5</v>
      </c>
      <c r="N2195" s="2">
        <v>48</v>
      </c>
      <c r="O2195" s="3">
        <v>4229</v>
      </c>
      <c r="P2195">
        <v>0</v>
      </c>
      <c r="Q2195">
        <v>4</v>
      </c>
      <c r="R2195" t="s">
        <v>28</v>
      </c>
      <c r="S2195">
        <v>1</v>
      </c>
    </row>
    <row r="2196" spans="1:19" ht="16.5" x14ac:dyDescent="0.3">
      <c r="A2196" t="s">
        <v>2257</v>
      </c>
      <c r="B2196" s="1">
        <v>45596</v>
      </c>
      <c r="C2196" s="1">
        <v>45597</v>
      </c>
      <c r="D2196">
        <v>2024</v>
      </c>
      <c r="E2196" t="s">
        <v>2026</v>
      </c>
      <c r="F2196" t="s">
        <v>2027</v>
      </c>
      <c r="G2196" t="s">
        <v>78</v>
      </c>
      <c r="H2196" t="s">
        <v>52</v>
      </c>
      <c r="I2196" t="s">
        <v>40</v>
      </c>
      <c r="J2196" t="s">
        <v>43</v>
      </c>
      <c r="K2196" t="s">
        <v>26</v>
      </c>
      <c r="L2196" t="s">
        <v>44</v>
      </c>
      <c r="M2196">
        <v>1</v>
      </c>
      <c r="N2196" s="2"/>
      <c r="O2196" s="3">
        <v>2035</v>
      </c>
      <c r="P2196">
        <v>0</v>
      </c>
      <c r="Q2196">
        <v>5</v>
      </c>
      <c r="R2196" t="s">
        <v>28</v>
      </c>
      <c r="S2196">
        <v>1</v>
      </c>
    </row>
    <row r="2197" spans="1:19" ht="16.5" x14ac:dyDescent="0.3">
      <c r="A2197" t="s">
        <v>2258</v>
      </c>
      <c r="B2197" s="1">
        <v>45596</v>
      </c>
      <c r="C2197" s="1">
        <v>45598</v>
      </c>
      <c r="D2197">
        <v>2024</v>
      </c>
      <c r="E2197" t="s">
        <v>2026</v>
      </c>
      <c r="F2197" t="s">
        <v>2027</v>
      </c>
      <c r="G2197" t="s">
        <v>78</v>
      </c>
      <c r="H2197" t="s">
        <v>35</v>
      </c>
      <c r="I2197" t="s">
        <v>31</v>
      </c>
      <c r="J2197" t="s">
        <v>25</v>
      </c>
      <c r="K2197" t="s">
        <v>32</v>
      </c>
      <c r="L2197" t="s">
        <v>37</v>
      </c>
      <c r="M2197">
        <v>2</v>
      </c>
      <c r="N2197" s="2"/>
      <c r="O2197" s="3">
        <v>2282</v>
      </c>
      <c r="P2197">
        <v>0</v>
      </c>
      <c r="Q2197">
        <v>5</v>
      </c>
      <c r="R2197" t="s">
        <v>33</v>
      </c>
      <c r="S2197">
        <v>1</v>
      </c>
    </row>
    <row r="2198" spans="1:19" ht="16.5" x14ac:dyDescent="0.3">
      <c r="A2198" t="s">
        <v>2259</v>
      </c>
      <c r="B2198" s="1">
        <v>45597</v>
      </c>
      <c r="C2198" s="1">
        <v>45598</v>
      </c>
      <c r="D2198">
        <v>2024</v>
      </c>
      <c r="E2198" t="s">
        <v>2026</v>
      </c>
      <c r="F2198" t="s">
        <v>2260</v>
      </c>
      <c r="G2198" t="s">
        <v>83</v>
      </c>
      <c r="H2198" t="s">
        <v>39</v>
      </c>
      <c r="I2198" t="s">
        <v>24</v>
      </c>
      <c r="J2198" t="s">
        <v>43</v>
      </c>
      <c r="K2198" t="s">
        <v>41</v>
      </c>
      <c r="L2198" t="s">
        <v>44</v>
      </c>
      <c r="M2198">
        <v>1</v>
      </c>
      <c r="N2198" s="2">
        <v>27</v>
      </c>
      <c r="O2198" s="3">
        <v>1495</v>
      </c>
      <c r="P2198">
        <v>0</v>
      </c>
      <c r="Q2198">
        <v>5</v>
      </c>
      <c r="R2198" t="s">
        <v>33</v>
      </c>
      <c r="S2198">
        <v>1</v>
      </c>
    </row>
    <row r="2199" spans="1:19" ht="16.5" x14ac:dyDescent="0.3">
      <c r="A2199" t="s">
        <v>2261</v>
      </c>
      <c r="B2199" s="1">
        <v>45597</v>
      </c>
      <c r="C2199" s="1">
        <v>45606</v>
      </c>
      <c r="D2199">
        <v>2024</v>
      </c>
      <c r="E2199" t="s">
        <v>2026</v>
      </c>
      <c r="F2199" t="s">
        <v>2260</v>
      </c>
      <c r="G2199" t="s">
        <v>83</v>
      </c>
      <c r="H2199" t="s">
        <v>50</v>
      </c>
      <c r="I2199" t="s">
        <v>24</v>
      </c>
      <c r="J2199" t="s">
        <v>25</v>
      </c>
      <c r="K2199" t="s">
        <v>32</v>
      </c>
      <c r="L2199" t="s">
        <v>27</v>
      </c>
      <c r="M2199">
        <v>9</v>
      </c>
      <c r="N2199" s="2">
        <v>46</v>
      </c>
      <c r="O2199" s="3">
        <v>11576</v>
      </c>
      <c r="P2199">
        <v>0</v>
      </c>
      <c r="Q2199">
        <v>5</v>
      </c>
      <c r="R2199" t="s">
        <v>28</v>
      </c>
      <c r="S2199">
        <v>1</v>
      </c>
    </row>
    <row r="2200" spans="1:19" ht="16.5" x14ac:dyDescent="0.3">
      <c r="A2200" t="s">
        <v>2262</v>
      </c>
      <c r="B2200" s="1">
        <v>45597</v>
      </c>
      <c r="C2200" s="1">
        <v>45599</v>
      </c>
      <c r="D2200">
        <v>2024</v>
      </c>
      <c r="E2200" t="s">
        <v>2026</v>
      </c>
      <c r="F2200" t="s">
        <v>2260</v>
      </c>
      <c r="G2200" t="s">
        <v>83</v>
      </c>
      <c r="H2200" t="s">
        <v>39</v>
      </c>
      <c r="I2200" t="s">
        <v>24</v>
      </c>
      <c r="J2200" t="s">
        <v>43</v>
      </c>
      <c r="K2200" t="s">
        <v>41</v>
      </c>
      <c r="L2200" t="s">
        <v>27</v>
      </c>
      <c r="M2200">
        <v>2</v>
      </c>
      <c r="N2200" s="2">
        <v>85</v>
      </c>
      <c r="O2200" s="3">
        <v>1948</v>
      </c>
      <c r="P2200">
        <v>0</v>
      </c>
      <c r="Q2200">
        <v>5</v>
      </c>
      <c r="R2200" t="s">
        <v>33</v>
      </c>
      <c r="S2200">
        <v>1</v>
      </c>
    </row>
    <row r="2201" spans="1:19" ht="16.5" x14ac:dyDescent="0.3">
      <c r="A2201" t="s">
        <v>2263</v>
      </c>
      <c r="B2201" s="1">
        <v>45597</v>
      </c>
      <c r="C2201" s="1">
        <v>45598</v>
      </c>
      <c r="D2201">
        <v>2024</v>
      </c>
      <c r="E2201" t="s">
        <v>2026</v>
      </c>
      <c r="F2201" t="s">
        <v>2260</v>
      </c>
      <c r="G2201" t="s">
        <v>83</v>
      </c>
      <c r="H2201" t="s">
        <v>39</v>
      </c>
      <c r="I2201" t="s">
        <v>24</v>
      </c>
      <c r="J2201" t="s">
        <v>25</v>
      </c>
      <c r="K2201" t="s">
        <v>41</v>
      </c>
      <c r="L2201" t="s">
        <v>44</v>
      </c>
      <c r="M2201">
        <v>1</v>
      </c>
      <c r="N2201" s="2">
        <v>72</v>
      </c>
      <c r="O2201" s="3">
        <v>1320</v>
      </c>
      <c r="P2201">
        <v>1</v>
      </c>
      <c r="Q2201">
        <v>5</v>
      </c>
      <c r="R2201" t="s">
        <v>33</v>
      </c>
      <c r="S2201">
        <v>1</v>
      </c>
    </row>
    <row r="2202" spans="1:19" ht="16.5" x14ac:dyDescent="0.3">
      <c r="A2202" t="s">
        <v>2264</v>
      </c>
      <c r="B2202" s="1">
        <v>45597</v>
      </c>
      <c r="C2202" s="1">
        <v>45612</v>
      </c>
      <c r="D2202">
        <v>2024</v>
      </c>
      <c r="E2202" t="s">
        <v>2026</v>
      </c>
      <c r="F2202" t="s">
        <v>2260</v>
      </c>
      <c r="G2202" t="s">
        <v>83</v>
      </c>
      <c r="H2202" t="s">
        <v>23</v>
      </c>
      <c r="I2202" t="s">
        <v>24</v>
      </c>
      <c r="J2202" t="s">
        <v>25</v>
      </c>
      <c r="K2202" t="s">
        <v>32</v>
      </c>
      <c r="L2202" t="s">
        <v>44</v>
      </c>
      <c r="M2202">
        <v>15</v>
      </c>
      <c r="N2202" s="2">
        <v>37</v>
      </c>
      <c r="O2202" s="3">
        <v>5330</v>
      </c>
      <c r="P2202">
        <v>0</v>
      </c>
      <c r="Q2202">
        <v>4</v>
      </c>
      <c r="R2202" t="s">
        <v>33</v>
      </c>
      <c r="S2202">
        <v>1</v>
      </c>
    </row>
    <row r="2203" spans="1:19" ht="16.5" x14ac:dyDescent="0.3">
      <c r="A2203" t="s">
        <v>2265</v>
      </c>
      <c r="B2203" s="1">
        <v>45597</v>
      </c>
      <c r="C2203" s="1">
        <v>45601</v>
      </c>
      <c r="D2203">
        <v>2024</v>
      </c>
      <c r="E2203" t="s">
        <v>2026</v>
      </c>
      <c r="F2203" t="s">
        <v>2260</v>
      </c>
      <c r="G2203" t="s">
        <v>83</v>
      </c>
      <c r="H2203" t="s">
        <v>39</v>
      </c>
      <c r="I2203" t="s">
        <v>24</v>
      </c>
      <c r="J2203" t="s">
        <v>25</v>
      </c>
      <c r="K2203" t="s">
        <v>41</v>
      </c>
      <c r="L2203" t="s">
        <v>27</v>
      </c>
      <c r="M2203">
        <v>4</v>
      </c>
      <c r="N2203" s="2">
        <v>54</v>
      </c>
      <c r="O2203" s="3">
        <v>3407</v>
      </c>
      <c r="P2203">
        <v>0</v>
      </c>
      <c r="Q2203">
        <v>4</v>
      </c>
      <c r="R2203" t="s">
        <v>59</v>
      </c>
      <c r="S2203">
        <v>1</v>
      </c>
    </row>
    <row r="2204" spans="1:19" ht="16.5" x14ac:dyDescent="0.3">
      <c r="A2204" t="s">
        <v>2266</v>
      </c>
      <c r="B2204" s="1">
        <v>45597</v>
      </c>
      <c r="C2204" s="1">
        <v>45603</v>
      </c>
      <c r="D2204">
        <v>2024</v>
      </c>
      <c r="E2204" t="s">
        <v>2026</v>
      </c>
      <c r="F2204" t="s">
        <v>2260</v>
      </c>
      <c r="G2204" t="s">
        <v>83</v>
      </c>
      <c r="H2204" t="s">
        <v>23</v>
      </c>
      <c r="I2204" t="s">
        <v>40</v>
      </c>
      <c r="J2204" t="s">
        <v>43</v>
      </c>
      <c r="K2204" t="s">
        <v>26</v>
      </c>
      <c r="L2204" t="s">
        <v>27</v>
      </c>
      <c r="M2204">
        <v>6</v>
      </c>
      <c r="N2204" s="2"/>
      <c r="O2204" s="3">
        <v>5260</v>
      </c>
      <c r="P2204">
        <v>0</v>
      </c>
      <c r="Q2204">
        <v>4</v>
      </c>
      <c r="R2204" t="s">
        <v>33</v>
      </c>
      <c r="S2204">
        <v>1</v>
      </c>
    </row>
    <row r="2205" spans="1:19" ht="16.5" x14ac:dyDescent="0.3">
      <c r="A2205" t="s">
        <v>2267</v>
      </c>
      <c r="B2205" s="1">
        <v>45598</v>
      </c>
      <c r="C2205" s="1">
        <v>45600</v>
      </c>
      <c r="D2205">
        <v>2024</v>
      </c>
      <c r="E2205" t="s">
        <v>2026</v>
      </c>
      <c r="F2205" t="s">
        <v>2260</v>
      </c>
      <c r="G2205" t="s">
        <v>102</v>
      </c>
      <c r="H2205" t="s">
        <v>30</v>
      </c>
      <c r="I2205" t="s">
        <v>24</v>
      </c>
      <c r="J2205" t="s">
        <v>43</v>
      </c>
      <c r="K2205" t="s">
        <v>32</v>
      </c>
      <c r="L2205" t="s">
        <v>44</v>
      </c>
      <c r="M2205">
        <v>2</v>
      </c>
      <c r="N2205" s="2">
        <v>71</v>
      </c>
      <c r="O2205" s="3">
        <v>2779</v>
      </c>
      <c r="P2205">
        <v>0</v>
      </c>
      <c r="Q2205">
        <v>5</v>
      </c>
      <c r="R2205" t="s">
        <v>33</v>
      </c>
      <c r="S2205">
        <v>1</v>
      </c>
    </row>
    <row r="2206" spans="1:19" ht="16.5" x14ac:dyDescent="0.3">
      <c r="A2206" t="s">
        <v>2268</v>
      </c>
      <c r="B2206" s="1">
        <v>45598</v>
      </c>
      <c r="C2206" s="1">
        <v>45600</v>
      </c>
      <c r="D2206">
        <v>2024</v>
      </c>
      <c r="E2206" t="s">
        <v>2026</v>
      </c>
      <c r="F2206" t="s">
        <v>2260</v>
      </c>
      <c r="G2206" t="s">
        <v>102</v>
      </c>
      <c r="H2206" t="s">
        <v>30</v>
      </c>
      <c r="I2206" t="s">
        <v>40</v>
      </c>
      <c r="J2206" t="s">
        <v>43</v>
      </c>
      <c r="K2206" t="s">
        <v>53</v>
      </c>
      <c r="L2206" t="s">
        <v>37</v>
      </c>
      <c r="M2206">
        <v>2</v>
      </c>
      <c r="N2206" s="2"/>
      <c r="O2206" s="3">
        <v>2915</v>
      </c>
      <c r="P2206">
        <v>0</v>
      </c>
      <c r="Q2206">
        <v>3</v>
      </c>
      <c r="R2206" t="s">
        <v>33</v>
      </c>
      <c r="S2206">
        <v>1</v>
      </c>
    </row>
    <row r="2207" spans="1:19" ht="16.5" x14ac:dyDescent="0.3">
      <c r="A2207" t="s">
        <v>2269</v>
      </c>
      <c r="B2207" s="1">
        <v>45598</v>
      </c>
      <c r="C2207" s="1">
        <v>45600</v>
      </c>
      <c r="D2207">
        <v>2024</v>
      </c>
      <c r="E2207" t="s">
        <v>2026</v>
      </c>
      <c r="F2207" t="s">
        <v>2260</v>
      </c>
      <c r="G2207" t="s">
        <v>102</v>
      </c>
      <c r="H2207" t="s">
        <v>50</v>
      </c>
      <c r="I2207" t="s">
        <v>40</v>
      </c>
      <c r="J2207" t="s">
        <v>43</v>
      </c>
      <c r="K2207" t="s">
        <v>53</v>
      </c>
      <c r="L2207" t="s">
        <v>44</v>
      </c>
      <c r="M2207">
        <v>2</v>
      </c>
      <c r="N2207" s="2"/>
      <c r="O2207" s="3">
        <v>4186</v>
      </c>
      <c r="P2207">
        <v>1</v>
      </c>
      <c r="Q2207">
        <v>4</v>
      </c>
      <c r="R2207" t="s">
        <v>28</v>
      </c>
      <c r="S2207">
        <v>1</v>
      </c>
    </row>
    <row r="2208" spans="1:19" ht="16.5" x14ac:dyDescent="0.3">
      <c r="A2208" t="s">
        <v>2270</v>
      </c>
      <c r="B2208" s="1">
        <v>45598</v>
      </c>
      <c r="C2208" s="1">
        <v>45602</v>
      </c>
      <c r="D2208">
        <v>2024</v>
      </c>
      <c r="E2208" t="s">
        <v>2026</v>
      </c>
      <c r="F2208" t="s">
        <v>2260</v>
      </c>
      <c r="G2208" t="s">
        <v>102</v>
      </c>
      <c r="H2208" t="s">
        <v>35</v>
      </c>
      <c r="I2208" t="s">
        <v>24</v>
      </c>
      <c r="J2208" t="s">
        <v>25</v>
      </c>
      <c r="K2208" t="s">
        <v>36</v>
      </c>
      <c r="L2208" t="s">
        <v>44</v>
      </c>
      <c r="M2208">
        <v>4</v>
      </c>
      <c r="N2208" s="2">
        <v>20</v>
      </c>
      <c r="O2208" s="3">
        <v>3913</v>
      </c>
      <c r="P2208">
        <v>0</v>
      </c>
      <c r="Q2208">
        <v>4</v>
      </c>
      <c r="R2208" t="s">
        <v>59</v>
      </c>
      <c r="S2208">
        <v>1</v>
      </c>
    </row>
    <row r="2209" spans="1:19" ht="16.5" x14ac:dyDescent="0.3">
      <c r="A2209" t="s">
        <v>2271</v>
      </c>
      <c r="B2209" s="1">
        <v>45598</v>
      </c>
      <c r="C2209" s="1">
        <v>45605</v>
      </c>
      <c r="D2209">
        <v>2024</v>
      </c>
      <c r="E2209" t="s">
        <v>2026</v>
      </c>
      <c r="F2209" t="s">
        <v>2260</v>
      </c>
      <c r="G2209" t="s">
        <v>102</v>
      </c>
      <c r="H2209" t="s">
        <v>52</v>
      </c>
      <c r="I2209" t="s">
        <v>40</v>
      </c>
      <c r="J2209" t="s">
        <v>43</v>
      </c>
      <c r="K2209" t="s">
        <v>53</v>
      </c>
      <c r="L2209" t="s">
        <v>44</v>
      </c>
      <c r="M2209">
        <v>7</v>
      </c>
      <c r="N2209" s="2"/>
      <c r="O2209" s="3">
        <v>7072</v>
      </c>
      <c r="P2209">
        <v>0</v>
      </c>
      <c r="Q2209">
        <v>5</v>
      </c>
      <c r="R2209" t="s">
        <v>33</v>
      </c>
      <c r="S2209">
        <v>1</v>
      </c>
    </row>
    <row r="2210" spans="1:19" ht="16.5" x14ac:dyDescent="0.3">
      <c r="A2210" t="s">
        <v>2272</v>
      </c>
      <c r="B2210" s="1">
        <v>45598</v>
      </c>
      <c r="C2210" s="1">
        <v>45605</v>
      </c>
      <c r="D2210">
        <v>2024</v>
      </c>
      <c r="E2210" t="s">
        <v>2026</v>
      </c>
      <c r="F2210" t="s">
        <v>2260</v>
      </c>
      <c r="G2210" t="s">
        <v>102</v>
      </c>
      <c r="H2210" t="s">
        <v>23</v>
      </c>
      <c r="I2210" t="s">
        <v>24</v>
      </c>
      <c r="J2210" t="s">
        <v>43</v>
      </c>
      <c r="K2210" t="s">
        <v>53</v>
      </c>
      <c r="L2210" t="s">
        <v>37</v>
      </c>
      <c r="M2210">
        <v>7</v>
      </c>
      <c r="N2210" s="2">
        <v>66</v>
      </c>
      <c r="O2210" s="3">
        <v>5398</v>
      </c>
      <c r="P2210">
        <v>0</v>
      </c>
      <c r="Q2210">
        <v>5</v>
      </c>
      <c r="R2210" t="s">
        <v>33</v>
      </c>
      <c r="S2210">
        <v>1</v>
      </c>
    </row>
    <row r="2211" spans="1:19" ht="16.5" x14ac:dyDescent="0.3">
      <c r="A2211" t="s">
        <v>2273</v>
      </c>
      <c r="B2211" s="1">
        <v>45598</v>
      </c>
      <c r="C2211" s="1">
        <v>45599</v>
      </c>
      <c r="D2211">
        <v>2024</v>
      </c>
      <c r="E2211" t="s">
        <v>2026</v>
      </c>
      <c r="F2211" t="s">
        <v>2260</v>
      </c>
      <c r="G2211" t="s">
        <v>102</v>
      </c>
      <c r="H2211" t="s">
        <v>35</v>
      </c>
      <c r="I2211" t="s">
        <v>24</v>
      </c>
      <c r="J2211" t="s">
        <v>25</v>
      </c>
      <c r="K2211" t="s">
        <v>32</v>
      </c>
      <c r="L2211" t="s">
        <v>44</v>
      </c>
      <c r="M2211">
        <v>1</v>
      </c>
      <c r="N2211" s="2">
        <v>27</v>
      </c>
      <c r="O2211" s="3">
        <v>1578</v>
      </c>
      <c r="P2211">
        <v>0</v>
      </c>
      <c r="Q2211">
        <v>4</v>
      </c>
      <c r="R2211" t="s">
        <v>33</v>
      </c>
      <c r="S2211">
        <v>1</v>
      </c>
    </row>
    <row r="2212" spans="1:19" ht="16.5" x14ac:dyDescent="0.3">
      <c r="A2212" t="s">
        <v>2274</v>
      </c>
      <c r="B2212" s="1">
        <v>45598</v>
      </c>
      <c r="C2212" s="1">
        <v>45608</v>
      </c>
      <c r="D2212">
        <v>2024</v>
      </c>
      <c r="E2212" t="s">
        <v>2026</v>
      </c>
      <c r="F2212" t="s">
        <v>2260</v>
      </c>
      <c r="G2212" t="s">
        <v>102</v>
      </c>
      <c r="H2212" t="s">
        <v>23</v>
      </c>
      <c r="I2212" t="s">
        <v>40</v>
      </c>
      <c r="J2212" t="s">
        <v>43</v>
      </c>
      <c r="K2212" t="s">
        <v>53</v>
      </c>
      <c r="L2212" t="s">
        <v>44</v>
      </c>
      <c r="M2212">
        <v>10</v>
      </c>
      <c r="N2212" s="2"/>
      <c r="O2212" s="3">
        <v>8299</v>
      </c>
      <c r="P2212">
        <v>0</v>
      </c>
      <c r="Q2212">
        <v>5</v>
      </c>
      <c r="R2212" t="s">
        <v>28</v>
      </c>
      <c r="S2212">
        <v>1</v>
      </c>
    </row>
    <row r="2213" spans="1:19" ht="16.5" x14ac:dyDescent="0.3">
      <c r="A2213" t="s">
        <v>2275</v>
      </c>
      <c r="B2213" s="1">
        <v>45598</v>
      </c>
      <c r="C2213" s="1">
        <v>45600</v>
      </c>
      <c r="D2213">
        <v>2024</v>
      </c>
      <c r="E2213" t="s">
        <v>2026</v>
      </c>
      <c r="F2213" t="s">
        <v>2260</v>
      </c>
      <c r="G2213" t="s">
        <v>102</v>
      </c>
      <c r="H2213" t="s">
        <v>50</v>
      </c>
      <c r="I2213" t="s">
        <v>40</v>
      </c>
      <c r="J2213" t="s">
        <v>43</v>
      </c>
      <c r="K2213" t="s">
        <v>32</v>
      </c>
      <c r="L2213" t="s">
        <v>27</v>
      </c>
      <c r="M2213">
        <v>2</v>
      </c>
      <c r="N2213" s="2"/>
      <c r="O2213" s="3">
        <v>2678</v>
      </c>
      <c r="P2213">
        <v>0</v>
      </c>
      <c r="Q2213">
        <v>4</v>
      </c>
      <c r="R2213" t="s">
        <v>59</v>
      </c>
      <c r="S2213">
        <v>1</v>
      </c>
    </row>
    <row r="2214" spans="1:19" ht="16.5" x14ac:dyDescent="0.3">
      <c r="A2214" t="s">
        <v>2276</v>
      </c>
      <c r="B2214" s="1">
        <v>45599</v>
      </c>
      <c r="C2214" s="1">
        <v>45606</v>
      </c>
      <c r="D2214">
        <v>2024</v>
      </c>
      <c r="E2214" t="s">
        <v>2026</v>
      </c>
      <c r="F2214" t="s">
        <v>2260</v>
      </c>
      <c r="G2214" t="s">
        <v>112</v>
      </c>
      <c r="H2214" t="s">
        <v>50</v>
      </c>
      <c r="I2214" t="s">
        <v>24</v>
      </c>
      <c r="J2214" t="s">
        <v>25</v>
      </c>
      <c r="K2214" t="s">
        <v>36</v>
      </c>
      <c r="L2214" t="s">
        <v>27</v>
      </c>
      <c r="M2214">
        <v>7</v>
      </c>
      <c r="N2214" s="2">
        <v>39</v>
      </c>
      <c r="O2214" s="3">
        <v>8167</v>
      </c>
      <c r="P2214">
        <v>0</v>
      </c>
      <c r="Q2214">
        <v>4</v>
      </c>
      <c r="R2214" t="s">
        <v>33</v>
      </c>
      <c r="S2214">
        <v>1</v>
      </c>
    </row>
    <row r="2215" spans="1:19" ht="16.5" x14ac:dyDescent="0.3">
      <c r="A2215" t="s">
        <v>2277</v>
      </c>
      <c r="B2215" s="1">
        <v>45599</v>
      </c>
      <c r="C2215" s="1">
        <v>45602</v>
      </c>
      <c r="D2215">
        <v>2024</v>
      </c>
      <c r="E2215" t="s">
        <v>2026</v>
      </c>
      <c r="F2215" t="s">
        <v>2260</v>
      </c>
      <c r="G2215" t="s">
        <v>112</v>
      </c>
      <c r="H2215" t="s">
        <v>39</v>
      </c>
      <c r="I2215" t="s">
        <v>40</v>
      </c>
      <c r="J2215" t="s">
        <v>25</v>
      </c>
      <c r="K2215" t="s">
        <v>41</v>
      </c>
      <c r="L2215" t="s">
        <v>27</v>
      </c>
      <c r="M2215">
        <v>3</v>
      </c>
      <c r="N2215" s="2"/>
      <c r="O2215" s="3">
        <v>1997</v>
      </c>
      <c r="P2215">
        <v>0</v>
      </c>
      <c r="Q2215">
        <v>4</v>
      </c>
      <c r="R2215" t="s">
        <v>33</v>
      </c>
      <c r="S2215">
        <v>1</v>
      </c>
    </row>
    <row r="2216" spans="1:19" ht="16.5" x14ac:dyDescent="0.3">
      <c r="A2216" t="s">
        <v>2278</v>
      </c>
      <c r="B2216" s="1">
        <v>45599</v>
      </c>
      <c r="C2216" s="1">
        <v>45603</v>
      </c>
      <c r="D2216">
        <v>2024</v>
      </c>
      <c r="E2216" t="s">
        <v>2026</v>
      </c>
      <c r="F2216" t="s">
        <v>2260</v>
      </c>
      <c r="G2216" t="s">
        <v>112</v>
      </c>
      <c r="H2216" t="s">
        <v>30</v>
      </c>
      <c r="I2216" t="s">
        <v>40</v>
      </c>
      <c r="J2216" t="s">
        <v>43</v>
      </c>
      <c r="K2216" t="s">
        <v>32</v>
      </c>
      <c r="L2216" t="s">
        <v>44</v>
      </c>
      <c r="M2216">
        <v>4</v>
      </c>
      <c r="N2216" s="2"/>
      <c r="O2216" s="3">
        <v>5099</v>
      </c>
      <c r="P2216">
        <v>1</v>
      </c>
      <c r="Q2216">
        <v>4</v>
      </c>
      <c r="R2216" t="s">
        <v>28</v>
      </c>
      <c r="S2216">
        <v>1</v>
      </c>
    </row>
    <row r="2217" spans="1:19" ht="16.5" x14ac:dyDescent="0.3">
      <c r="A2217" t="s">
        <v>2279</v>
      </c>
      <c r="B2217" s="1">
        <v>45599</v>
      </c>
      <c r="C2217" s="1">
        <v>45605</v>
      </c>
      <c r="D2217">
        <v>2024</v>
      </c>
      <c r="E2217" t="s">
        <v>2026</v>
      </c>
      <c r="F2217" t="s">
        <v>2260</v>
      </c>
      <c r="G2217" t="s">
        <v>112</v>
      </c>
      <c r="H2217" t="s">
        <v>50</v>
      </c>
      <c r="I2217" t="s">
        <v>24</v>
      </c>
      <c r="J2217" t="s">
        <v>25</v>
      </c>
      <c r="K2217" t="s">
        <v>53</v>
      </c>
      <c r="L2217" t="s">
        <v>27</v>
      </c>
      <c r="M2217">
        <v>6</v>
      </c>
      <c r="N2217" s="2">
        <v>36</v>
      </c>
      <c r="O2217" s="3">
        <v>9106</v>
      </c>
      <c r="P2217">
        <v>0</v>
      </c>
      <c r="Q2217">
        <v>3</v>
      </c>
      <c r="R2217" t="s">
        <v>33</v>
      </c>
      <c r="S2217">
        <v>1</v>
      </c>
    </row>
    <row r="2218" spans="1:19" ht="16.5" x14ac:dyDescent="0.3">
      <c r="A2218" t="s">
        <v>2280</v>
      </c>
      <c r="B2218" s="1">
        <v>45599</v>
      </c>
      <c r="C2218" s="1">
        <v>45602</v>
      </c>
      <c r="D2218">
        <v>2024</v>
      </c>
      <c r="E2218" t="s">
        <v>2026</v>
      </c>
      <c r="F2218" t="s">
        <v>2260</v>
      </c>
      <c r="G2218" t="s">
        <v>112</v>
      </c>
      <c r="H2218" t="s">
        <v>35</v>
      </c>
      <c r="I2218" t="s">
        <v>24</v>
      </c>
      <c r="J2218" t="s">
        <v>25</v>
      </c>
      <c r="K2218" t="s">
        <v>36</v>
      </c>
      <c r="L2218" t="s">
        <v>44</v>
      </c>
      <c r="M2218">
        <v>3</v>
      </c>
      <c r="N2218" s="2">
        <v>19</v>
      </c>
      <c r="O2218" s="3">
        <v>2554</v>
      </c>
      <c r="P2218">
        <v>0</v>
      </c>
      <c r="Q2218">
        <v>3</v>
      </c>
      <c r="R2218" t="s">
        <v>28</v>
      </c>
      <c r="S2218">
        <v>1</v>
      </c>
    </row>
    <row r="2219" spans="1:19" ht="16.5" x14ac:dyDescent="0.3">
      <c r="A2219" t="s">
        <v>2281</v>
      </c>
      <c r="B2219" s="1">
        <v>45599</v>
      </c>
      <c r="C2219" s="1">
        <v>45605</v>
      </c>
      <c r="D2219">
        <v>2024</v>
      </c>
      <c r="E2219" t="s">
        <v>2026</v>
      </c>
      <c r="F2219" t="s">
        <v>2260</v>
      </c>
      <c r="G2219" t="s">
        <v>112</v>
      </c>
      <c r="H2219" t="s">
        <v>50</v>
      </c>
      <c r="I2219" t="s">
        <v>24</v>
      </c>
      <c r="J2219" t="s">
        <v>43</v>
      </c>
      <c r="K2219" t="s">
        <v>32</v>
      </c>
      <c r="L2219" t="s">
        <v>44</v>
      </c>
      <c r="M2219">
        <v>6</v>
      </c>
      <c r="N2219" s="2">
        <v>20</v>
      </c>
      <c r="O2219" s="3">
        <v>8900</v>
      </c>
      <c r="P2219">
        <v>0</v>
      </c>
      <c r="Q2219">
        <v>5</v>
      </c>
      <c r="R2219" t="s">
        <v>33</v>
      </c>
      <c r="S2219">
        <v>1</v>
      </c>
    </row>
    <row r="2220" spans="1:19" ht="16.5" x14ac:dyDescent="0.3">
      <c r="A2220" t="s">
        <v>2282</v>
      </c>
      <c r="B2220" s="1">
        <v>45600</v>
      </c>
      <c r="C2220" s="1">
        <v>45604</v>
      </c>
      <c r="D2220">
        <v>2024</v>
      </c>
      <c r="E2220" t="s">
        <v>2026</v>
      </c>
      <c r="F2220" t="s">
        <v>2260</v>
      </c>
      <c r="G2220" t="s">
        <v>22</v>
      </c>
      <c r="H2220" t="s">
        <v>50</v>
      </c>
      <c r="I2220" t="s">
        <v>40</v>
      </c>
      <c r="J2220" t="s">
        <v>25</v>
      </c>
      <c r="K2220" t="s">
        <v>53</v>
      </c>
      <c r="L2220" t="s">
        <v>27</v>
      </c>
      <c r="M2220">
        <v>4</v>
      </c>
      <c r="N2220" s="2"/>
      <c r="O2220" s="3">
        <v>5595</v>
      </c>
      <c r="P2220">
        <v>1</v>
      </c>
      <c r="Q2220">
        <v>5</v>
      </c>
      <c r="R2220" t="s">
        <v>33</v>
      </c>
      <c r="S2220">
        <v>1</v>
      </c>
    </row>
    <row r="2221" spans="1:19" ht="16.5" x14ac:dyDescent="0.3">
      <c r="A2221" t="s">
        <v>2283</v>
      </c>
      <c r="B2221" s="1">
        <v>45600</v>
      </c>
      <c r="C2221" s="1">
        <v>45603</v>
      </c>
      <c r="D2221">
        <v>2024</v>
      </c>
      <c r="E2221" t="s">
        <v>2026</v>
      </c>
      <c r="F2221" t="s">
        <v>2260</v>
      </c>
      <c r="G2221" t="s">
        <v>22</v>
      </c>
      <c r="H2221" t="s">
        <v>52</v>
      </c>
      <c r="I2221" t="s">
        <v>24</v>
      </c>
      <c r="J2221" t="s">
        <v>43</v>
      </c>
      <c r="K2221" t="s">
        <v>26</v>
      </c>
      <c r="L2221" t="s">
        <v>27</v>
      </c>
      <c r="M2221">
        <v>3</v>
      </c>
      <c r="N2221" s="2">
        <v>30</v>
      </c>
      <c r="O2221" s="3">
        <v>3580</v>
      </c>
      <c r="P2221">
        <v>0</v>
      </c>
      <c r="Q2221">
        <v>4</v>
      </c>
      <c r="R2221" t="s">
        <v>33</v>
      </c>
      <c r="S2221">
        <v>1</v>
      </c>
    </row>
    <row r="2222" spans="1:19" ht="16.5" x14ac:dyDescent="0.3">
      <c r="A2222" t="s">
        <v>2284</v>
      </c>
      <c r="B2222" s="1">
        <v>45600</v>
      </c>
      <c r="C2222" s="1">
        <v>45609</v>
      </c>
      <c r="D2222">
        <v>2024</v>
      </c>
      <c r="E2222" t="s">
        <v>2026</v>
      </c>
      <c r="F2222" t="s">
        <v>2260</v>
      </c>
      <c r="G2222" t="s">
        <v>22</v>
      </c>
      <c r="H2222" t="s">
        <v>30</v>
      </c>
      <c r="I2222" t="s">
        <v>40</v>
      </c>
      <c r="J2222" t="s">
        <v>25</v>
      </c>
      <c r="K2222" t="s">
        <v>26</v>
      </c>
      <c r="L2222" t="s">
        <v>37</v>
      </c>
      <c r="M2222">
        <v>9</v>
      </c>
      <c r="N2222" s="2"/>
      <c r="O2222" s="3">
        <v>6065</v>
      </c>
      <c r="P2222">
        <v>0</v>
      </c>
      <c r="Q2222">
        <v>4</v>
      </c>
      <c r="R2222" t="s">
        <v>28</v>
      </c>
      <c r="S2222">
        <v>1</v>
      </c>
    </row>
    <row r="2223" spans="1:19" ht="16.5" x14ac:dyDescent="0.3">
      <c r="A2223" t="s">
        <v>2285</v>
      </c>
      <c r="B2223" s="1">
        <v>45600</v>
      </c>
      <c r="C2223" s="1">
        <v>45602</v>
      </c>
      <c r="D2223">
        <v>2024</v>
      </c>
      <c r="E2223" t="s">
        <v>2026</v>
      </c>
      <c r="F2223" t="s">
        <v>2260</v>
      </c>
      <c r="G2223" t="s">
        <v>22</v>
      </c>
      <c r="H2223" t="s">
        <v>52</v>
      </c>
      <c r="I2223" t="s">
        <v>31</v>
      </c>
      <c r="J2223" t="s">
        <v>43</v>
      </c>
      <c r="K2223" t="s">
        <v>32</v>
      </c>
      <c r="L2223" t="s">
        <v>44</v>
      </c>
      <c r="M2223">
        <v>2</v>
      </c>
      <c r="N2223" s="2"/>
      <c r="O2223" s="3">
        <v>2567</v>
      </c>
      <c r="P2223">
        <v>0</v>
      </c>
      <c r="Q2223">
        <v>3</v>
      </c>
      <c r="R2223" t="s">
        <v>33</v>
      </c>
      <c r="S2223">
        <v>1</v>
      </c>
    </row>
    <row r="2224" spans="1:19" ht="16.5" x14ac:dyDescent="0.3">
      <c r="A2224" t="s">
        <v>2286</v>
      </c>
      <c r="B2224" s="1">
        <v>45600</v>
      </c>
      <c r="C2224" s="1">
        <v>45605</v>
      </c>
      <c r="D2224">
        <v>2024</v>
      </c>
      <c r="E2224" t="s">
        <v>2026</v>
      </c>
      <c r="F2224" t="s">
        <v>2260</v>
      </c>
      <c r="G2224" t="s">
        <v>22</v>
      </c>
      <c r="H2224" t="s">
        <v>35</v>
      </c>
      <c r="I2224" t="s">
        <v>31</v>
      </c>
      <c r="J2224" t="s">
        <v>25</v>
      </c>
      <c r="K2224" t="s">
        <v>32</v>
      </c>
      <c r="L2224" t="s">
        <v>27</v>
      </c>
      <c r="M2224">
        <v>5</v>
      </c>
      <c r="N2224" s="2"/>
      <c r="O2224" s="3">
        <v>4787</v>
      </c>
      <c r="P2224">
        <v>0</v>
      </c>
      <c r="Q2224">
        <v>4</v>
      </c>
      <c r="R2224" t="s">
        <v>33</v>
      </c>
      <c r="S2224">
        <v>1</v>
      </c>
    </row>
    <row r="2225" spans="1:19" ht="16.5" x14ac:dyDescent="0.3">
      <c r="A2225" t="s">
        <v>2287</v>
      </c>
      <c r="B2225" s="1">
        <v>45600</v>
      </c>
      <c r="C2225" s="1">
        <v>45604</v>
      </c>
      <c r="D2225">
        <v>2024</v>
      </c>
      <c r="E2225" t="s">
        <v>2026</v>
      </c>
      <c r="F2225" t="s">
        <v>2260</v>
      </c>
      <c r="G2225" t="s">
        <v>22</v>
      </c>
      <c r="H2225" t="s">
        <v>23</v>
      </c>
      <c r="I2225" t="s">
        <v>31</v>
      </c>
      <c r="J2225" t="s">
        <v>43</v>
      </c>
      <c r="K2225" t="s">
        <v>26</v>
      </c>
      <c r="L2225" t="s">
        <v>44</v>
      </c>
      <c r="M2225">
        <v>4</v>
      </c>
      <c r="N2225" s="2"/>
      <c r="O2225" s="3">
        <v>3074</v>
      </c>
      <c r="P2225">
        <v>0</v>
      </c>
      <c r="Q2225">
        <v>3</v>
      </c>
      <c r="R2225" t="s">
        <v>33</v>
      </c>
      <c r="S2225">
        <v>1</v>
      </c>
    </row>
    <row r="2226" spans="1:19" ht="16.5" x14ac:dyDescent="0.3">
      <c r="A2226" t="s">
        <v>2288</v>
      </c>
      <c r="B2226" s="1">
        <v>45600</v>
      </c>
      <c r="C2226" s="1">
        <v>45605</v>
      </c>
      <c r="D2226">
        <v>2024</v>
      </c>
      <c r="E2226" t="s">
        <v>2026</v>
      </c>
      <c r="F2226" t="s">
        <v>2260</v>
      </c>
      <c r="G2226" t="s">
        <v>22</v>
      </c>
      <c r="H2226" t="s">
        <v>52</v>
      </c>
      <c r="I2226" t="s">
        <v>40</v>
      </c>
      <c r="J2226" t="s">
        <v>43</v>
      </c>
      <c r="K2226" t="s">
        <v>26</v>
      </c>
      <c r="L2226" t="s">
        <v>44</v>
      </c>
      <c r="M2226">
        <v>5</v>
      </c>
      <c r="N2226" s="2"/>
      <c r="O2226" s="3">
        <v>3948</v>
      </c>
      <c r="P2226">
        <v>0</v>
      </c>
      <c r="Q2226">
        <v>4</v>
      </c>
      <c r="R2226" t="s">
        <v>33</v>
      </c>
      <c r="S2226">
        <v>1</v>
      </c>
    </row>
    <row r="2227" spans="1:19" ht="16.5" x14ac:dyDescent="0.3">
      <c r="A2227" t="s">
        <v>2289</v>
      </c>
      <c r="B2227" s="1">
        <v>45600</v>
      </c>
      <c r="C2227" s="1">
        <v>45620</v>
      </c>
      <c r="D2227">
        <v>2024</v>
      </c>
      <c r="E2227" t="s">
        <v>2026</v>
      </c>
      <c r="F2227" t="s">
        <v>2260</v>
      </c>
      <c r="G2227" t="s">
        <v>22</v>
      </c>
      <c r="H2227" t="s">
        <v>23</v>
      </c>
      <c r="I2227" t="s">
        <v>40</v>
      </c>
      <c r="J2227" t="s">
        <v>25</v>
      </c>
      <c r="K2227" t="s">
        <v>26</v>
      </c>
      <c r="L2227" t="s">
        <v>44</v>
      </c>
      <c r="M2227">
        <v>20</v>
      </c>
      <c r="N2227" s="2"/>
      <c r="O2227" s="3">
        <v>13000</v>
      </c>
      <c r="P2227">
        <v>0</v>
      </c>
      <c r="Q2227">
        <v>5</v>
      </c>
      <c r="R2227" t="s">
        <v>28</v>
      </c>
      <c r="S2227">
        <v>1</v>
      </c>
    </row>
    <row r="2228" spans="1:19" ht="16.5" x14ac:dyDescent="0.3">
      <c r="A2228" t="s">
        <v>2290</v>
      </c>
      <c r="B2228" s="1">
        <v>45601</v>
      </c>
      <c r="C2228" s="1">
        <v>45604</v>
      </c>
      <c r="D2228">
        <v>2024</v>
      </c>
      <c r="E2228" t="s">
        <v>2026</v>
      </c>
      <c r="F2228" t="s">
        <v>2260</v>
      </c>
      <c r="G2228" t="s">
        <v>56</v>
      </c>
      <c r="H2228" t="s">
        <v>39</v>
      </c>
      <c r="I2228" t="s">
        <v>24</v>
      </c>
      <c r="J2228" t="s">
        <v>43</v>
      </c>
      <c r="K2228" t="s">
        <v>41</v>
      </c>
      <c r="L2228" t="s">
        <v>37</v>
      </c>
      <c r="M2228">
        <v>3</v>
      </c>
      <c r="N2228" s="2">
        <v>48</v>
      </c>
      <c r="O2228" s="3">
        <v>1918</v>
      </c>
      <c r="P2228">
        <v>0</v>
      </c>
      <c r="Q2228">
        <v>5</v>
      </c>
      <c r="R2228" t="s">
        <v>33</v>
      </c>
      <c r="S2228">
        <v>1</v>
      </c>
    </row>
    <row r="2229" spans="1:19" ht="16.5" x14ac:dyDescent="0.3">
      <c r="A2229" t="s">
        <v>2291</v>
      </c>
      <c r="B2229" s="1">
        <v>45601</v>
      </c>
      <c r="C2229" s="1">
        <v>45602</v>
      </c>
      <c r="D2229">
        <v>2024</v>
      </c>
      <c r="E2229" t="s">
        <v>2026</v>
      </c>
      <c r="F2229" t="s">
        <v>2260</v>
      </c>
      <c r="G2229" t="s">
        <v>56</v>
      </c>
      <c r="H2229" t="s">
        <v>39</v>
      </c>
      <c r="I2229" t="s">
        <v>24</v>
      </c>
      <c r="J2229" t="s">
        <v>43</v>
      </c>
      <c r="K2229" t="s">
        <v>41</v>
      </c>
      <c r="L2229" t="s">
        <v>44</v>
      </c>
      <c r="M2229">
        <v>1</v>
      </c>
      <c r="N2229" s="2">
        <v>64</v>
      </c>
      <c r="O2229" s="3">
        <v>1552</v>
      </c>
      <c r="P2229">
        <v>0</v>
      </c>
      <c r="Q2229">
        <v>4</v>
      </c>
      <c r="R2229" t="s">
        <v>33</v>
      </c>
      <c r="S2229">
        <v>1</v>
      </c>
    </row>
    <row r="2230" spans="1:19" ht="16.5" x14ac:dyDescent="0.3">
      <c r="A2230" t="s">
        <v>2292</v>
      </c>
      <c r="B2230" s="1">
        <v>45601</v>
      </c>
      <c r="C2230" s="1">
        <v>45602</v>
      </c>
      <c r="D2230">
        <v>2024</v>
      </c>
      <c r="E2230" t="s">
        <v>2026</v>
      </c>
      <c r="F2230" t="s">
        <v>2260</v>
      </c>
      <c r="G2230" t="s">
        <v>56</v>
      </c>
      <c r="H2230" t="s">
        <v>50</v>
      </c>
      <c r="I2230" t="s">
        <v>40</v>
      </c>
      <c r="J2230" t="s">
        <v>25</v>
      </c>
      <c r="K2230" t="s">
        <v>32</v>
      </c>
      <c r="L2230" t="s">
        <v>44</v>
      </c>
      <c r="M2230">
        <v>1</v>
      </c>
      <c r="N2230" s="2"/>
      <c r="O2230" s="3">
        <v>2606</v>
      </c>
      <c r="P2230">
        <v>0</v>
      </c>
      <c r="Q2230">
        <v>3</v>
      </c>
      <c r="R2230" t="s">
        <v>33</v>
      </c>
      <c r="S2230">
        <v>1</v>
      </c>
    </row>
    <row r="2231" spans="1:19" ht="16.5" x14ac:dyDescent="0.3">
      <c r="A2231" t="s">
        <v>2293</v>
      </c>
      <c r="B2231" s="1">
        <v>45601</v>
      </c>
      <c r="C2231" s="1">
        <v>45612</v>
      </c>
      <c r="D2231">
        <v>2024</v>
      </c>
      <c r="E2231" t="s">
        <v>2026</v>
      </c>
      <c r="F2231" t="s">
        <v>2260</v>
      </c>
      <c r="G2231" t="s">
        <v>56</v>
      </c>
      <c r="H2231" t="s">
        <v>23</v>
      </c>
      <c r="I2231" t="s">
        <v>24</v>
      </c>
      <c r="J2231" t="s">
        <v>25</v>
      </c>
      <c r="K2231" t="s">
        <v>32</v>
      </c>
      <c r="L2231" t="s">
        <v>44</v>
      </c>
      <c r="M2231">
        <v>11</v>
      </c>
      <c r="N2231" s="2">
        <v>30</v>
      </c>
      <c r="O2231" s="3">
        <v>7092</v>
      </c>
      <c r="P2231">
        <v>0</v>
      </c>
      <c r="Q2231">
        <v>5</v>
      </c>
      <c r="R2231" t="s">
        <v>33</v>
      </c>
      <c r="S2231">
        <v>1</v>
      </c>
    </row>
    <row r="2232" spans="1:19" ht="16.5" x14ac:dyDescent="0.3">
      <c r="A2232" t="s">
        <v>2294</v>
      </c>
      <c r="B2232" s="1">
        <v>45601</v>
      </c>
      <c r="C2232" s="1">
        <v>45605</v>
      </c>
      <c r="D2232">
        <v>2024</v>
      </c>
      <c r="E2232" t="s">
        <v>2026</v>
      </c>
      <c r="F2232" t="s">
        <v>2260</v>
      </c>
      <c r="G2232" t="s">
        <v>56</v>
      </c>
      <c r="H2232" t="s">
        <v>35</v>
      </c>
      <c r="I2232" t="s">
        <v>24</v>
      </c>
      <c r="J2232" t="s">
        <v>25</v>
      </c>
      <c r="K2232" t="s">
        <v>36</v>
      </c>
      <c r="L2232" t="s">
        <v>44</v>
      </c>
      <c r="M2232">
        <v>4</v>
      </c>
      <c r="N2232" s="2">
        <v>29</v>
      </c>
      <c r="O2232" s="3">
        <v>3158</v>
      </c>
      <c r="P2232">
        <v>1</v>
      </c>
      <c r="Q2232">
        <v>3</v>
      </c>
      <c r="R2232" t="s">
        <v>33</v>
      </c>
      <c r="S2232">
        <v>1</v>
      </c>
    </row>
    <row r="2233" spans="1:19" ht="16.5" x14ac:dyDescent="0.3">
      <c r="A2233" t="s">
        <v>2295</v>
      </c>
      <c r="B2233" s="1">
        <v>45601</v>
      </c>
      <c r="C2233" s="1">
        <v>45604</v>
      </c>
      <c r="D2233">
        <v>2024</v>
      </c>
      <c r="E2233" t="s">
        <v>2026</v>
      </c>
      <c r="F2233" t="s">
        <v>2260</v>
      </c>
      <c r="G2233" t="s">
        <v>56</v>
      </c>
      <c r="H2233" t="s">
        <v>23</v>
      </c>
      <c r="I2233" t="s">
        <v>24</v>
      </c>
      <c r="J2233" t="s">
        <v>25</v>
      </c>
      <c r="K2233" t="s">
        <v>53</v>
      </c>
      <c r="L2233" t="s">
        <v>27</v>
      </c>
      <c r="M2233">
        <v>3</v>
      </c>
      <c r="N2233" s="2">
        <v>92</v>
      </c>
      <c r="O2233" s="3">
        <v>3187</v>
      </c>
      <c r="P2233">
        <v>0</v>
      </c>
      <c r="Q2233">
        <v>3</v>
      </c>
      <c r="R2233" t="s">
        <v>28</v>
      </c>
      <c r="S2233">
        <v>1</v>
      </c>
    </row>
    <row r="2234" spans="1:19" ht="16.5" x14ac:dyDescent="0.3">
      <c r="A2234" t="s">
        <v>2296</v>
      </c>
      <c r="B2234" s="1">
        <v>45602</v>
      </c>
      <c r="C2234" s="1">
        <v>45614</v>
      </c>
      <c r="D2234">
        <v>2024</v>
      </c>
      <c r="E2234" t="s">
        <v>2026</v>
      </c>
      <c r="F2234" t="s">
        <v>2260</v>
      </c>
      <c r="G2234" t="s">
        <v>70</v>
      </c>
      <c r="H2234" t="s">
        <v>23</v>
      </c>
      <c r="I2234" t="s">
        <v>24</v>
      </c>
      <c r="J2234" t="s">
        <v>25</v>
      </c>
      <c r="K2234" t="s">
        <v>26</v>
      </c>
      <c r="L2234" t="s">
        <v>44</v>
      </c>
      <c r="M2234">
        <v>12</v>
      </c>
      <c r="N2234" s="2">
        <v>121</v>
      </c>
      <c r="O2234" s="3">
        <v>9661</v>
      </c>
      <c r="P2234">
        <v>0</v>
      </c>
      <c r="Q2234">
        <v>5</v>
      </c>
      <c r="R2234" t="s">
        <v>33</v>
      </c>
      <c r="S2234">
        <v>1</v>
      </c>
    </row>
    <row r="2235" spans="1:19" ht="16.5" x14ac:dyDescent="0.3">
      <c r="A2235" t="s">
        <v>2297</v>
      </c>
      <c r="B2235" s="1">
        <v>45602</v>
      </c>
      <c r="C2235" s="1">
        <v>45606</v>
      </c>
      <c r="D2235">
        <v>2024</v>
      </c>
      <c r="E2235" t="s">
        <v>2026</v>
      </c>
      <c r="F2235" t="s">
        <v>2260</v>
      </c>
      <c r="G2235" t="s">
        <v>70</v>
      </c>
      <c r="H2235" t="s">
        <v>35</v>
      </c>
      <c r="I2235" t="s">
        <v>24</v>
      </c>
      <c r="J2235" t="s">
        <v>25</v>
      </c>
      <c r="K2235" t="s">
        <v>36</v>
      </c>
      <c r="L2235" t="s">
        <v>44</v>
      </c>
      <c r="M2235">
        <v>4</v>
      </c>
      <c r="N2235" s="2">
        <v>53</v>
      </c>
      <c r="O2235" s="3">
        <v>2799</v>
      </c>
      <c r="P2235">
        <v>0</v>
      </c>
      <c r="Q2235">
        <v>4</v>
      </c>
      <c r="R2235" t="s">
        <v>28</v>
      </c>
      <c r="S2235">
        <v>1</v>
      </c>
    </row>
    <row r="2236" spans="1:19" ht="16.5" x14ac:dyDescent="0.3">
      <c r="A2236" t="s">
        <v>2298</v>
      </c>
      <c r="B2236" s="1">
        <v>45602</v>
      </c>
      <c r="C2236" s="1">
        <v>45604</v>
      </c>
      <c r="D2236">
        <v>2024</v>
      </c>
      <c r="E2236" t="s">
        <v>2026</v>
      </c>
      <c r="F2236" t="s">
        <v>2260</v>
      </c>
      <c r="G2236" t="s">
        <v>70</v>
      </c>
      <c r="H2236" t="s">
        <v>23</v>
      </c>
      <c r="I2236" t="s">
        <v>40</v>
      </c>
      <c r="J2236" t="s">
        <v>43</v>
      </c>
      <c r="K2236" t="s">
        <v>53</v>
      </c>
      <c r="L2236" t="s">
        <v>37</v>
      </c>
      <c r="M2236">
        <v>2</v>
      </c>
      <c r="N2236" s="2"/>
      <c r="O2236" s="3">
        <v>2038</v>
      </c>
      <c r="P2236">
        <v>0</v>
      </c>
      <c r="Q2236">
        <v>4</v>
      </c>
      <c r="R2236" t="s">
        <v>33</v>
      </c>
      <c r="S2236">
        <v>1</v>
      </c>
    </row>
    <row r="2237" spans="1:19" ht="16.5" x14ac:dyDescent="0.3">
      <c r="A2237" t="s">
        <v>2299</v>
      </c>
      <c r="B2237" s="1">
        <v>45602</v>
      </c>
      <c r="C2237" s="1">
        <v>45611</v>
      </c>
      <c r="D2237">
        <v>2024</v>
      </c>
      <c r="E2237" t="s">
        <v>2026</v>
      </c>
      <c r="F2237" t="s">
        <v>2260</v>
      </c>
      <c r="G2237" t="s">
        <v>70</v>
      </c>
      <c r="H2237" t="s">
        <v>50</v>
      </c>
      <c r="I2237" t="s">
        <v>24</v>
      </c>
      <c r="J2237" t="s">
        <v>43</v>
      </c>
      <c r="K2237" t="s">
        <v>53</v>
      </c>
      <c r="L2237" t="s">
        <v>44</v>
      </c>
      <c r="M2237">
        <v>9</v>
      </c>
      <c r="N2237" s="2">
        <v>45</v>
      </c>
      <c r="O2237" s="3">
        <v>12576</v>
      </c>
      <c r="P2237">
        <v>0</v>
      </c>
      <c r="Q2237">
        <v>4</v>
      </c>
      <c r="R2237" t="s">
        <v>33</v>
      </c>
      <c r="S2237">
        <v>1</v>
      </c>
    </row>
    <row r="2238" spans="1:19" ht="16.5" x14ac:dyDescent="0.3">
      <c r="A2238" t="s">
        <v>2300</v>
      </c>
      <c r="B2238" s="1">
        <v>45602</v>
      </c>
      <c r="C2238" s="1">
        <v>45603</v>
      </c>
      <c r="D2238">
        <v>2024</v>
      </c>
      <c r="E2238" t="s">
        <v>2026</v>
      </c>
      <c r="F2238" t="s">
        <v>2260</v>
      </c>
      <c r="G2238" t="s">
        <v>70</v>
      </c>
      <c r="H2238" t="s">
        <v>39</v>
      </c>
      <c r="I2238" t="s">
        <v>24</v>
      </c>
      <c r="J2238" t="s">
        <v>43</v>
      </c>
      <c r="K2238" t="s">
        <v>41</v>
      </c>
      <c r="L2238" t="s">
        <v>27</v>
      </c>
      <c r="M2238">
        <v>1</v>
      </c>
      <c r="N2238" s="2">
        <v>32</v>
      </c>
      <c r="O2238" s="3">
        <v>1058</v>
      </c>
      <c r="P2238">
        <v>1</v>
      </c>
      <c r="Q2238">
        <v>4</v>
      </c>
      <c r="R2238" t="s">
        <v>33</v>
      </c>
      <c r="S2238">
        <v>1</v>
      </c>
    </row>
    <row r="2239" spans="1:19" ht="16.5" x14ac:dyDescent="0.3">
      <c r="A2239" t="s">
        <v>2301</v>
      </c>
      <c r="B2239" s="1">
        <v>45603</v>
      </c>
      <c r="C2239" s="1">
        <v>45610</v>
      </c>
      <c r="D2239">
        <v>2024</v>
      </c>
      <c r="E2239" t="s">
        <v>2026</v>
      </c>
      <c r="F2239" t="s">
        <v>2260</v>
      </c>
      <c r="G2239" t="s">
        <v>78</v>
      </c>
      <c r="H2239" t="s">
        <v>50</v>
      </c>
      <c r="I2239" t="s">
        <v>24</v>
      </c>
      <c r="J2239" t="s">
        <v>43</v>
      </c>
      <c r="K2239" t="s">
        <v>36</v>
      </c>
      <c r="L2239" t="s">
        <v>27</v>
      </c>
      <c r="M2239">
        <v>7</v>
      </c>
      <c r="N2239" s="2">
        <v>31</v>
      </c>
      <c r="O2239" s="3">
        <v>8923</v>
      </c>
      <c r="P2239">
        <v>1</v>
      </c>
      <c r="Q2239">
        <v>4</v>
      </c>
      <c r="R2239" t="s">
        <v>33</v>
      </c>
      <c r="S2239">
        <v>1</v>
      </c>
    </row>
    <row r="2240" spans="1:19" ht="16.5" x14ac:dyDescent="0.3">
      <c r="A2240" t="s">
        <v>2302</v>
      </c>
      <c r="B2240" s="1">
        <v>45603</v>
      </c>
      <c r="C2240" s="1">
        <v>45611</v>
      </c>
      <c r="D2240">
        <v>2024</v>
      </c>
      <c r="E2240" t="s">
        <v>2026</v>
      </c>
      <c r="F2240" t="s">
        <v>2260</v>
      </c>
      <c r="G2240" t="s">
        <v>78</v>
      </c>
      <c r="H2240" t="s">
        <v>50</v>
      </c>
      <c r="I2240" t="s">
        <v>24</v>
      </c>
      <c r="J2240" t="s">
        <v>43</v>
      </c>
      <c r="K2240" t="s">
        <v>36</v>
      </c>
      <c r="L2240" t="s">
        <v>27</v>
      </c>
      <c r="M2240">
        <v>8</v>
      </c>
      <c r="N2240" s="2">
        <v>53</v>
      </c>
      <c r="O2240" s="3">
        <v>7424</v>
      </c>
      <c r="P2240">
        <v>0</v>
      </c>
      <c r="Q2240">
        <v>5</v>
      </c>
      <c r="R2240" t="s">
        <v>33</v>
      </c>
      <c r="S2240">
        <v>1</v>
      </c>
    </row>
    <row r="2241" spans="1:19" ht="16.5" x14ac:dyDescent="0.3">
      <c r="A2241" t="s">
        <v>2303</v>
      </c>
      <c r="B2241" s="1">
        <v>45603</v>
      </c>
      <c r="C2241" s="1">
        <v>45610</v>
      </c>
      <c r="D2241">
        <v>2024</v>
      </c>
      <c r="E2241" t="s">
        <v>2026</v>
      </c>
      <c r="F2241" t="s">
        <v>2260</v>
      </c>
      <c r="G2241" t="s">
        <v>78</v>
      </c>
      <c r="H2241" t="s">
        <v>23</v>
      </c>
      <c r="I2241" t="s">
        <v>24</v>
      </c>
      <c r="J2241" t="s">
        <v>43</v>
      </c>
      <c r="K2241" t="s">
        <v>32</v>
      </c>
      <c r="L2241" t="s">
        <v>37</v>
      </c>
      <c r="M2241">
        <v>7</v>
      </c>
      <c r="N2241" s="2">
        <v>68</v>
      </c>
      <c r="O2241" s="3">
        <v>6412</v>
      </c>
      <c r="P2241">
        <v>0</v>
      </c>
      <c r="Q2241">
        <v>3</v>
      </c>
      <c r="R2241" t="s">
        <v>28</v>
      </c>
      <c r="S2241">
        <v>1</v>
      </c>
    </row>
    <row r="2242" spans="1:19" ht="16.5" x14ac:dyDescent="0.3">
      <c r="A2242" t="s">
        <v>2304</v>
      </c>
      <c r="B2242" s="1">
        <v>45603</v>
      </c>
      <c r="C2242" s="1">
        <v>45609</v>
      </c>
      <c r="D2242">
        <v>2024</v>
      </c>
      <c r="E2242" t="s">
        <v>2026</v>
      </c>
      <c r="F2242" t="s">
        <v>2260</v>
      </c>
      <c r="G2242" t="s">
        <v>78</v>
      </c>
      <c r="H2242" t="s">
        <v>23</v>
      </c>
      <c r="I2242" t="s">
        <v>24</v>
      </c>
      <c r="J2242" t="s">
        <v>25</v>
      </c>
      <c r="K2242" t="s">
        <v>53</v>
      </c>
      <c r="L2242" t="s">
        <v>44</v>
      </c>
      <c r="M2242">
        <v>6</v>
      </c>
      <c r="N2242" s="2">
        <v>106</v>
      </c>
      <c r="O2242" s="3">
        <v>4994</v>
      </c>
      <c r="P2242">
        <v>0</v>
      </c>
      <c r="Q2242">
        <v>4</v>
      </c>
      <c r="R2242" t="s">
        <v>33</v>
      </c>
      <c r="S2242">
        <v>1</v>
      </c>
    </row>
    <row r="2243" spans="1:19" ht="16.5" x14ac:dyDescent="0.3">
      <c r="A2243" t="s">
        <v>2305</v>
      </c>
      <c r="B2243" s="1">
        <v>45603</v>
      </c>
      <c r="C2243" s="1">
        <v>45617</v>
      </c>
      <c r="D2243">
        <v>2024</v>
      </c>
      <c r="E2243" t="s">
        <v>2026</v>
      </c>
      <c r="F2243" t="s">
        <v>2260</v>
      </c>
      <c r="G2243" t="s">
        <v>78</v>
      </c>
      <c r="H2243" t="s">
        <v>52</v>
      </c>
      <c r="I2243" t="s">
        <v>24</v>
      </c>
      <c r="J2243" t="s">
        <v>25</v>
      </c>
      <c r="K2243" t="s">
        <v>26</v>
      </c>
      <c r="L2243" t="s">
        <v>27</v>
      </c>
      <c r="M2243">
        <v>14</v>
      </c>
      <c r="N2243" s="2">
        <v>71</v>
      </c>
      <c r="O2243" s="3">
        <v>12547</v>
      </c>
      <c r="P2243">
        <v>0</v>
      </c>
      <c r="Q2243">
        <v>5</v>
      </c>
      <c r="R2243" t="s">
        <v>28</v>
      </c>
      <c r="S2243">
        <v>1</v>
      </c>
    </row>
    <row r="2244" spans="1:19" ht="16.5" x14ac:dyDescent="0.3">
      <c r="A2244" t="s">
        <v>2306</v>
      </c>
      <c r="B2244" s="1">
        <v>45603</v>
      </c>
      <c r="C2244" s="1">
        <v>45606</v>
      </c>
      <c r="D2244">
        <v>2024</v>
      </c>
      <c r="E2244" t="s">
        <v>2026</v>
      </c>
      <c r="F2244" t="s">
        <v>2260</v>
      </c>
      <c r="G2244" t="s">
        <v>78</v>
      </c>
      <c r="H2244" t="s">
        <v>39</v>
      </c>
      <c r="I2244" t="s">
        <v>40</v>
      </c>
      <c r="J2244" t="s">
        <v>25</v>
      </c>
      <c r="K2244" t="s">
        <v>41</v>
      </c>
      <c r="L2244" t="s">
        <v>44</v>
      </c>
      <c r="M2244">
        <v>3</v>
      </c>
      <c r="N2244" s="2"/>
      <c r="O2244" s="3">
        <v>3162</v>
      </c>
      <c r="P2244">
        <v>0</v>
      </c>
      <c r="Q2244">
        <v>4</v>
      </c>
      <c r="R2244" t="s">
        <v>33</v>
      </c>
      <c r="S2244">
        <v>1</v>
      </c>
    </row>
    <row r="2245" spans="1:19" ht="16.5" x14ac:dyDescent="0.3">
      <c r="A2245" t="s">
        <v>2307</v>
      </c>
      <c r="B2245" s="1">
        <v>45604</v>
      </c>
      <c r="C2245" s="1">
        <v>45606</v>
      </c>
      <c r="D2245">
        <v>2024</v>
      </c>
      <c r="E2245" t="s">
        <v>2026</v>
      </c>
      <c r="F2245" t="s">
        <v>2260</v>
      </c>
      <c r="G2245" t="s">
        <v>83</v>
      </c>
      <c r="H2245" t="s">
        <v>52</v>
      </c>
      <c r="I2245" t="s">
        <v>40</v>
      </c>
      <c r="J2245" t="s">
        <v>43</v>
      </c>
      <c r="K2245" t="s">
        <v>53</v>
      </c>
      <c r="L2245" t="s">
        <v>27</v>
      </c>
      <c r="M2245">
        <v>2</v>
      </c>
      <c r="N2245" s="2"/>
      <c r="O2245" s="3">
        <v>1693</v>
      </c>
      <c r="P2245">
        <v>0</v>
      </c>
      <c r="Q2245">
        <v>4</v>
      </c>
      <c r="R2245" t="s">
        <v>28</v>
      </c>
      <c r="S2245">
        <v>1</v>
      </c>
    </row>
    <row r="2246" spans="1:19" ht="16.5" x14ac:dyDescent="0.3">
      <c r="A2246" t="s">
        <v>2308</v>
      </c>
      <c r="B2246" s="1">
        <v>45604</v>
      </c>
      <c r="C2246" s="1">
        <v>45624</v>
      </c>
      <c r="D2246">
        <v>2024</v>
      </c>
      <c r="E2246" t="s">
        <v>2026</v>
      </c>
      <c r="F2246" t="s">
        <v>2260</v>
      </c>
      <c r="G2246" t="s">
        <v>83</v>
      </c>
      <c r="H2246" t="s">
        <v>23</v>
      </c>
      <c r="I2246" t="s">
        <v>24</v>
      </c>
      <c r="J2246" t="s">
        <v>25</v>
      </c>
      <c r="K2246" t="s">
        <v>26</v>
      </c>
      <c r="L2246" t="s">
        <v>44</v>
      </c>
      <c r="M2246">
        <v>20</v>
      </c>
      <c r="N2246" s="2">
        <v>119</v>
      </c>
      <c r="O2246" s="3">
        <v>14479</v>
      </c>
      <c r="P2246">
        <v>0</v>
      </c>
      <c r="Q2246">
        <v>3</v>
      </c>
      <c r="R2246" t="s">
        <v>28</v>
      </c>
      <c r="S2246">
        <v>1</v>
      </c>
    </row>
    <row r="2247" spans="1:19" ht="16.5" x14ac:dyDescent="0.3">
      <c r="A2247" t="s">
        <v>2309</v>
      </c>
      <c r="B2247" s="1">
        <v>45604</v>
      </c>
      <c r="C2247" s="1">
        <v>45605</v>
      </c>
      <c r="D2247">
        <v>2024</v>
      </c>
      <c r="E2247" t="s">
        <v>2026</v>
      </c>
      <c r="F2247" t="s">
        <v>2260</v>
      </c>
      <c r="G2247" t="s">
        <v>83</v>
      </c>
      <c r="H2247" t="s">
        <v>35</v>
      </c>
      <c r="I2247" t="s">
        <v>24</v>
      </c>
      <c r="J2247" t="s">
        <v>25</v>
      </c>
      <c r="K2247" t="s">
        <v>32</v>
      </c>
      <c r="L2247" t="s">
        <v>27</v>
      </c>
      <c r="M2247">
        <v>1</v>
      </c>
      <c r="N2247" s="2">
        <v>35</v>
      </c>
      <c r="O2247" s="3">
        <v>1250</v>
      </c>
      <c r="P2247">
        <v>0</v>
      </c>
      <c r="Q2247">
        <v>4</v>
      </c>
      <c r="R2247" t="s">
        <v>33</v>
      </c>
      <c r="S2247">
        <v>1</v>
      </c>
    </row>
    <row r="2248" spans="1:19" ht="16.5" x14ac:dyDescent="0.3">
      <c r="A2248" t="s">
        <v>2310</v>
      </c>
      <c r="B2248" s="1">
        <v>45604</v>
      </c>
      <c r="C2248" s="1">
        <v>45607</v>
      </c>
      <c r="D2248">
        <v>2024</v>
      </c>
      <c r="E2248" t="s">
        <v>2026</v>
      </c>
      <c r="F2248" t="s">
        <v>2260</v>
      </c>
      <c r="G2248" t="s">
        <v>83</v>
      </c>
      <c r="H2248" t="s">
        <v>30</v>
      </c>
      <c r="I2248" t="s">
        <v>40</v>
      </c>
      <c r="J2248" t="s">
        <v>25</v>
      </c>
      <c r="K2248" t="s">
        <v>32</v>
      </c>
      <c r="L2248" t="s">
        <v>37</v>
      </c>
      <c r="M2248">
        <v>3</v>
      </c>
      <c r="N2248" s="2"/>
      <c r="O2248" s="3">
        <v>3280</v>
      </c>
      <c r="P2248">
        <v>0</v>
      </c>
      <c r="Q2248">
        <v>5</v>
      </c>
      <c r="R2248" t="s">
        <v>33</v>
      </c>
      <c r="S2248">
        <v>1</v>
      </c>
    </row>
    <row r="2249" spans="1:19" ht="16.5" x14ac:dyDescent="0.3">
      <c r="A2249" t="s">
        <v>2311</v>
      </c>
      <c r="B2249" s="1">
        <v>45604</v>
      </c>
      <c r="C2249" s="1">
        <v>45605</v>
      </c>
      <c r="D2249">
        <v>2024</v>
      </c>
      <c r="E2249" t="s">
        <v>2026</v>
      </c>
      <c r="F2249" t="s">
        <v>2260</v>
      </c>
      <c r="G2249" t="s">
        <v>83</v>
      </c>
      <c r="H2249" t="s">
        <v>52</v>
      </c>
      <c r="I2249" t="s">
        <v>40</v>
      </c>
      <c r="J2249" t="s">
        <v>43</v>
      </c>
      <c r="K2249" t="s">
        <v>26</v>
      </c>
      <c r="L2249" t="s">
        <v>44</v>
      </c>
      <c r="M2249">
        <v>1</v>
      </c>
      <c r="N2249" s="2"/>
      <c r="O2249" s="3">
        <v>1841</v>
      </c>
      <c r="P2249">
        <v>0</v>
      </c>
      <c r="Q2249">
        <v>4</v>
      </c>
      <c r="R2249" t="s">
        <v>28</v>
      </c>
      <c r="S2249">
        <v>1</v>
      </c>
    </row>
    <row r="2250" spans="1:19" ht="16.5" x14ac:dyDescent="0.3">
      <c r="A2250" t="s">
        <v>2312</v>
      </c>
      <c r="B2250" s="1">
        <v>45604</v>
      </c>
      <c r="C2250" s="1">
        <v>45609</v>
      </c>
      <c r="D2250">
        <v>2024</v>
      </c>
      <c r="E2250" t="s">
        <v>2026</v>
      </c>
      <c r="F2250" t="s">
        <v>2260</v>
      </c>
      <c r="G2250" t="s">
        <v>83</v>
      </c>
      <c r="H2250" t="s">
        <v>30</v>
      </c>
      <c r="I2250" t="s">
        <v>40</v>
      </c>
      <c r="J2250" t="s">
        <v>43</v>
      </c>
      <c r="K2250" t="s">
        <v>26</v>
      </c>
      <c r="L2250" t="s">
        <v>44</v>
      </c>
      <c r="M2250">
        <v>5</v>
      </c>
      <c r="N2250" s="2"/>
      <c r="O2250" s="3">
        <v>6131</v>
      </c>
      <c r="P2250">
        <v>0</v>
      </c>
      <c r="Q2250">
        <v>4</v>
      </c>
      <c r="R2250" t="s">
        <v>28</v>
      </c>
      <c r="S2250">
        <v>1</v>
      </c>
    </row>
    <row r="2251" spans="1:19" ht="16.5" x14ac:dyDescent="0.3">
      <c r="A2251" t="s">
        <v>2313</v>
      </c>
      <c r="B2251" s="1">
        <v>45605</v>
      </c>
      <c r="C2251" s="1">
        <v>45608</v>
      </c>
      <c r="D2251">
        <v>2024</v>
      </c>
      <c r="E2251" t="s">
        <v>2026</v>
      </c>
      <c r="F2251" t="s">
        <v>2260</v>
      </c>
      <c r="G2251" t="s">
        <v>102</v>
      </c>
      <c r="H2251" t="s">
        <v>30</v>
      </c>
      <c r="I2251" t="s">
        <v>40</v>
      </c>
      <c r="J2251" t="s">
        <v>25</v>
      </c>
      <c r="K2251" t="s">
        <v>32</v>
      </c>
      <c r="L2251" t="s">
        <v>44</v>
      </c>
      <c r="M2251">
        <v>3</v>
      </c>
      <c r="N2251" s="2"/>
      <c r="O2251" s="3">
        <v>4245</v>
      </c>
      <c r="P2251">
        <v>0</v>
      </c>
      <c r="Q2251">
        <v>4</v>
      </c>
      <c r="R2251" t="s">
        <v>28</v>
      </c>
      <c r="S2251">
        <v>1</v>
      </c>
    </row>
    <row r="2252" spans="1:19" ht="16.5" x14ac:dyDescent="0.3">
      <c r="A2252" t="s">
        <v>2314</v>
      </c>
      <c r="B2252" s="1">
        <v>45605</v>
      </c>
      <c r="C2252" s="1">
        <v>45608</v>
      </c>
      <c r="D2252">
        <v>2024</v>
      </c>
      <c r="E2252" t="s">
        <v>2026</v>
      </c>
      <c r="F2252" t="s">
        <v>2260</v>
      </c>
      <c r="G2252" t="s">
        <v>102</v>
      </c>
      <c r="H2252" t="s">
        <v>30</v>
      </c>
      <c r="I2252" t="s">
        <v>24</v>
      </c>
      <c r="J2252" t="s">
        <v>25</v>
      </c>
      <c r="K2252" t="s">
        <v>36</v>
      </c>
      <c r="L2252" t="s">
        <v>44</v>
      </c>
      <c r="M2252">
        <v>3</v>
      </c>
      <c r="N2252" s="2">
        <v>40</v>
      </c>
      <c r="O2252" s="3">
        <v>3494</v>
      </c>
      <c r="P2252">
        <v>0</v>
      </c>
      <c r="Q2252">
        <v>3</v>
      </c>
      <c r="R2252" t="s">
        <v>28</v>
      </c>
      <c r="S2252">
        <v>1</v>
      </c>
    </row>
    <row r="2253" spans="1:19" ht="16.5" x14ac:dyDescent="0.3">
      <c r="A2253" t="s">
        <v>2315</v>
      </c>
      <c r="B2253" s="1">
        <v>45605</v>
      </c>
      <c r="C2253" s="1">
        <v>45606</v>
      </c>
      <c r="D2253">
        <v>2024</v>
      </c>
      <c r="E2253" t="s">
        <v>2026</v>
      </c>
      <c r="F2253" t="s">
        <v>2260</v>
      </c>
      <c r="G2253" t="s">
        <v>102</v>
      </c>
      <c r="H2253" t="s">
        <v>39</v>
      </c>
      <c r="I2253" t="s">
        <v>24</v>
      </c>
      <c r="J2253" t="s">
        <v>43</v>
      </c>
      <c r="K2253" t="s">
        <v>41</v>
      </c>
      <c r="L2253" t="s">
        <v>44</v>
      </c>
      <c r="M2253">
        <v>1</v>
      </c>
      <c r="N2253" s="2">
        <v>60</v>
      </c>
      <c r="O2253" s="3">
        <v>1264</v>
      </c>
      <c r="P2253">
        <v>1</v>
      </c>
      <c r="Q2253">
        <v>3</v>
      </c>
      <c r="R2253" t="s">
        <v>33</v>
      </c>
      <c r="S2253">
        <v>1</v>
      </c>
    </row>
    <row r="2254" spans="1:19" ht="16.5" x14ac:dyDescent="0.3">
      <c r="A2254" t="s">
        <v>2316</v>
      </c>
      <c r="B2254" s="1">
        <v>45605</v>
      </c>
      <c r="C2254" s="1">
        <v>45606</v>
      </c>
      <c r="D2254">
        <v>2024</v>
      </c>
      <c r="E2254" t="s">
        <v>2026</v>
      </c>
      <c r="F2254" t="s">
        <v>2260</v>
      </c>
      <c r="G2254" t="s">
        <v>102</v>
      </c>
      <c r="H2254" t="s">
        <v>30</v>
      </c>
      <c r="I2254" t="s">
        <v>24</v>
      </c>
      <c r="J2254" t="s">
        <v>43</v>
      </c>
      <c r="K2254" t="s">
        <v>36</v>
      </c>
      <c r="L2254" t="s">
        <v>44</v>
      </c>
      <c r="M2254">
        <v>1</v>
      </c>
      <c r="N2254" s="2">
        <v>35</v>
      </c>
      <c r="O2254" s="3">
        <v>1574</v>
      </c>
      <c r="P2254">
        <v>0</v>
      </c>
      <c r="Q2254">
        <v>5</v>
      </c>
      <c r="R2254" t="s">
        <v>33</v>
      </c>
      <c r="S2254">
        <v>1</v>
      </c>
    </row>
    <row r="2255" spans="1:19" ht="16.5" x14ac:dyDescent="0.3">
      <c r="A2255" t="s">
        <v>2317</v>
      </c>
      <c r="B2255" s="1">
        <v>45605</v>
      </c>
      <c r="C2255" s="1">
        <v>45606</v>
      </c>
      <c r="D2255">
        <v>2024</v>
      </c>
      <c r="E2255" t="s">
        <v>2026</v>
      </c>
      <c r="F2255" t="s">
        <v>2260</v>
      </c>
      <c r="G2255" t="s">
        <v>102</v>
      </c>
      <c r="H2255" t="s">
        <v>23</v>
      </c>
      <c r="I2255" t="s">
        <v>31</v>
      </c>
      <c r="J2255" t="s">
        <v>25</v>
      </c>
      <c r="K2255" t="s">
        <v>53</v>
      </c>
      <c r="L2255" t="s">
        <v>37</v>
      </c>
      <c r="M2255">
        <v>1</v>
      </c>
      <c r="N2255" s="2"/>
      <c r="O2255" s="3">
        <v>1566</v>
      </c>
      <c r="P2255">
        <v>1</v>
      </c>
      <c r="Q2255">
        <v>5</v>
      </c>
      <c r="R2255" t="s">
        <v>33</v>
      </c>
      <c r="S2255">
        <v>1</v>
      </c>
    </row>
    <row r="2256" spans="1:19" ht="16.5" x14ac:dyDescent="0.3">
      <c r="A2256" t="s">
        <v>2318</v>
      </c>
      <c r="B2256" s="1">
        <v>45606</v>
      </c>
      <c r="C2256" s="1">
        <v>45612</v>
      </c>
      <c r="D2256">
        <v>2024</v>
      </c>
      <c r="E2256" t="s">
        <v>2026</v>
      </c>
      <c r="F2256" t="s">
        <v>2260</v>
      </c>
      <c r="G2256" t="s">
        <v>112</v>
      </c>
      <c r="H2256" t="s">
        <v>23</v>
      </c>
      <c r="I2256" t="s">
        <v>24</v>
      </c>
      <c r="J2256" t="s">
        <v>43</v>
      </c>
      <c r="K2256" t="s">
        <v>32</v>
      </c>
      <c r="L2256" t="s">
        <v>27</v>
      </c>
      <c r="M2256">
        <v>6</v>
      </c>
      <c r="N2256" s="2">
        <v>52</v>
      </c>
      <c r="O2256" s="3">
        <v>4802</v>
      </c>
      <c r="P2256">
        <v>0</v>
      </c>
      <c r="Q2256">
        <v>4</v>
      </c>
      <c r="R2256" t="s">
        <v>33</v>
      </c>
      <c r="S2256">
        <v>1</v>
      </c>
    </row>
    <row r="2257" spans="1:19" ht="16.5" x14ac:dyDescent="0.3">
      <c r="A2257" t="s">
        <v>2319</v>
      </c>
      <c r="B2257" s="1">
        <v>45606</v>
      </c>
      <c r="C2257" s="1">
        <v>45609</v>
      </c>
      <c r="D2257">
        <v>2024</v>
      </c>
      <c r="E2257" t="s">
        <v>2026</v>
      </c>
      <c r="F2257" t="s">
        <v>2260</v>
      </c>
      <c r="G2257" t="s">
        <v>112</v>
      </c>
      <c r="H2257" t="s">
        <v>52</v>
      </c>
      <c r="I2257" t="s">
        <v>40</v>
      </c>
      <c r="J2257" t="s">
        <v>43</v>
      </c>
      <c r="K2257" t="s">
        <v>26</v>
      </c>
      <c r="L2257" t="s">
        <v>27</v>
      </c>
      <c r="M2257">
        <v>3</v>
      </c>
      <c r="N2257" s="2"/>
      <c r="O2257" s="3">
        <v>3633</v>
      </c>
      <c r="P2257">
        <v>1</v>
      </c>
      <c r="Q2257">
        <v>4</v>
      </c>
      <c r="R2257" t="s">
        <v>28</v>
      </c>
      <c r="S2257">
        <v>1</v>
      </c>
    </row>
    <row r="2258" spans="1:19" ht="16.5" x14ac:dyDescent="0.3">
      <c r="A2258" t="s">
        <v>2320</v>
      </c>
      <c r="B2258" s="1">
        <v>45606</v>
      </c>
      <c r="C2258" s="1">
        <v>45607</v>
      </c>
      <c r="D2258">
        <v>2024</v>
      </c>
      <c r="E2258" t="s">
        <v>2026</v>
      </c>
      <c r="F2258" t="s">
        <v>2260</v>
      </c>
      <c r="G2258" t="s">
        <v>112</v>
      </c>
      <c r="H2258" t="s">
        <v>30</v>
      </c>
      <c r="I2258" t="s">
        <v>40</v>
      </c>
      <c r="J2258" t="s">
        <v>43</v>
      </c>
      <c r="K2258" t="s">
        <v>36</v>
      </c>
      <c r="L2258" t="s">
        <v>44</v>
      </c>
      <c r="M2258">
        <v>1</v>
      </c>
      <c r="N2258" s="2"/>
      <c r="O2258" s="3">
        <v>1662</v>
      </c>
      <c r="P2258">
        <v>0</v>
      </c>
      <c r="Q2258">
        <v>4</v>
      </c>
      <c r="R2258" t="s">
        <v>33</v>
      </c>
      <c r="S2258">
        <v>1</v>
      </c>
    </row>
    <row r="2259" spans="1:19" ht="16.5" x14ac:dyDescent="0.3">
      <c r="A2259" t="s">
        <v>2321</v>
      </c>
      <c r="B2259" s="1">
        <v>45606</v>
      </c>
      <c r="C2259" s="1">
        <v>45622</v>
      </c>
      <c r="D2259">
        <v>2024</v>
      </c>
      <c r="E2259" t="s">
        <v>2026</v>
      </c>
      <c r="F2259" t="s">
        <v>2260</v>
      </c>
      <c r="G2259" t="s">
        <v>112</v>
      </c>
      <c r="H2259" t="s">
        <v>23</v>
      </c>
      <c r="I2259" t="s">
        <v>24</v>
      </c>
      <c r="J2259" t="s">
        <v>25</v>
      </c>
      <c r="K2259" t="s">
        <v>26</v>
      </c>
      <c r="L2259" t="s">
        <v>27</v>
      </c>
      <c r="M2259">
        <v>16</v>
      </c>
      <c r="N2259" s="2">
        <v>18</v>
      </c>
      <c r="O2259" s="3">
        <v>10792</v>
      </c>
      <c r="P2259">
        <v>0</v>
      </c>
      <c r="Q2259">
        <v>4</v>
      </c>
      <c r="R2259" t="s">
        <v>33</v>
      </c>
      <c r="S2259">
        <v>1</v>
      </c>
    </row>
    <row r="2260" spans="1:19" ht="16.5" x14ac:dyDescent="0.3">
      <c r="A2260" t="s">
        <v>2322</v>
      </c>
      <c r="B2260" s="1">
        <v>45606</v>
      </c>
      <c r="C2260" s="1">
        <v>45615</v>
      </c>
      <c r="D2260">
        <v>2024</v>
      </c>
      <c r="E2260" t="s">
        <v>2026</v>
      </c>
      <c r="F2260" t="s">
        <v>2260</v>
      </c>
      <c r="G2260" t="s">
        <v>112</v>
      </c>
      <c r="H2260" t="s">
        <v>50</v>
      </c>
      <c r="I2260" t="s">
        <v>24</v>
      </c>
      <c r="J2260" t="s">
        <v>43</v>
      </c>
      <c r="K2260" t="s">
        <v>26</v>
      </c>
      <c r="L2260" t="s">
        <v>44</v>
      </c>
      <c r="M2260">
        <v>9</v>
      </c>
      <c r="N2260" s="2">
        <v>100</v>
      </c>
      <c r="O2260" s="3">
        <v>13763</v>
      </c>
      <c r="P2260">
        <v>0</v>
      </c>
      <c r="Q2260">
        <v>3</v>
      </c>
      <c r="R2260" t="s">
        <v>33</v>
      </c>
      <c r="S2260">
        <v>1</v>
      </c>
    </row>
    <row r="2261" spans="1:19" ht="16.5" x14ac:dyDescent="0.3">
      <c r="A2261" t="s">
        <v>2323</v>
      </c>
      <c r="B2261" s="1">
        <v>45606</v>
      </c>
      <c r="C2261" s="1">
        <v>45614</v>
      </c>
      <c r="D2261">
        <v>2024</v>
      </c>
      <c r="E2261" t="s">
        <v>2026</v>
      </c>
      <c r="F2261" t="s">
        <v>2260</v>
      </c>
      <c r="G2261" t="s">
        <v>112</v>
      </c>
      <c r="H2261" t="s">
        <v>23</v>
      </c>
      <c r="I2261" t="s">
        <v>24</v>
      </c>
      <c r="J2261" t="s">
        <v>43</v>
      </c>
      <c r="K2261" t="s">
        <v>36</v>
      </c>
      <c r="L2261" t="s">
        <v>44</v>
      </c>
      <c r="M2261">
        <v>8</v>
      </c>
      <c r="N2261" s="2">
        <v>95</v>
      </c>
      <c r="O2261" s="3">
        <v>5170</v>
      </c>
      <c r="P2261">
        <v>0</v>
      </c>
      <c r="Q2261">
        <v>4</v>
      </c>
      <c r="R2261" t="s">
        <v>33</v>
      </c>
      <c r="S2261">
        <v>1</v>
      </c>
    </row>
    <row r="2262" spans="1:19" ht="16.5" x14ac:dyDescent="0.3">
      <c r="A2262" t="s">
        <v>2324</v>
      </c>
      <c r="B2262" s="1">
        <v>45606</v>
      </c>
      <c r="C2262" s="1">
        <v>45608</v>
      </c>
      <c r="D2262">
        <v>2024</v>
      </c>
      <c r="E2262" t="s">
        <v>2026</v>
      </c>
      <c r="F2262" t="s">
        <v>2260</v>
      </c>
      <c r="G2262" t="s">
        <v>112</v>
      </c>
      <c r="H2262" t="s">
        <v>39</v>
      </c>
      <c r="I2262" t="s">
        <v>40</v>
      </c>
      <c r="J2262" t="s">
        <v>25</v>
      </c>
      <c r="K2262" t="s">
        <v>41</v>
      </c>
      <c r="L2262" t="s">
        <v>44</v>
      </c>
      <c r="M2262">
        <v>2</v>
      </c>
      <c r="N2262" s="2"/>
      <c r="O2262" s="3">
        <v>1924</v>
      </c>
      <c r="P2262">
        <v>0</v>
      </c>
      <c r="Q2262">
        <v>4</v>
      </c>
      <c r="R2262" t="s">
        <v>33</v>
      </c>
      <c r="S2262">
        <v>1</v>
      </c>
    </row>
    <row r="2263" spans="1:19" ht="16.5" x14ac:dyDescent="0.3">
      <c r="A2263" t="s">
        <v>2325</v>
      </c>
      <c r="B2263" s="1">
        <v>45606</v>
      </c>
      <c r="C2263" s="1">
        <v>45609</v>
      </c>
      <c r="D2263">
        <v>2024</v>
      </c>
      <c r="E2263" t="s">
        <v>2026</v>
      </c>
      <c r="F2263" t="s">
        <v>2260</v>
      </c>
      <c r="G2263" t="s">
        <v>112</v>
      </c>
      <c r="H2263" t="s">
        <v>39</v>
      </c>
      <c r="I2263" t="s">
        <v>24</v>
      </c>
      <c r="J2263" t="s">
        <v>43</v>
      </c>
      <c r="K2263" t="s">
        <v>41</v>
      </c>
      <c r="L2263" t="s">
        <v>27</v>
      </c>
      <c r="M2263">
        <v>3</v>
      </c>
      <c r="N2263" s="2">
        <v>53</v>
      </c>
      <c r="O2263" s="3">
        <v>1651</v>
      </c>
      <c r="P2263">
        <v>0</v>
      </c>
      <c r="Q2263">
        <v>4</v>
      </c>
      <c r="R2263" t="s">
        <v>33</v>
      </c>
      <c r="S2263">
        <v>1</v>
      </c>
    </row>
    <row r="2264" spans="1:19" ht="16.5" x14ac:dyDescent="0.3">
      <c r="A2264" t="s">
        <v>2326</v>
      </c>
      <c r="B2264" s="1">
        <v>45606</v>
      </c>
      <c r="C2264" s="1">
        <v>45608</v>
      </c>
      <c r="D2264">
        <v>2024</v>
      </c>
      <c r="E2264" t="s">
        <v>2026</v>
      </c>
      <c r="F2264" t="s">
        <v>2260</v>
      </c>
      <c r="G2264" t="s">
        <v>112</v>
      </c>
      <c r="H2264" t="s">
        <v>35</v>
      </c>
      <c r="I2264" t="s">
        <v>24</v>
      </c>
      <c r="J2264" t="s">
        <v>25</v>
      </c>
      <c r="K2264" t="s">
        <v>36</v>
      </c>
      <c r="L2264" t="s">
        <v>44</v>
      </c>
      <c r="M2264">
        <v>2</v>
      </c>
      <c r="N2264" s="2">
        <v>92</v>
      </c>
      <c r="O2264" s="3">
        <v>2250</v>
      </c>
      <c r="P2264">
        <v>0</v>
      </c>
      <c r="Q2264">
        <v>4</v>
      </c>
      <c r="R2264" t="s">
        <v>33</v>
      </c>
      <c r="S2264">
        <v>1</v>
      </c>
    </row>
    <row r="2265" spans="1:19" ht="16.5" x14ac:dyDescent="0.3">
      <c r="A2265" t="s">
        <v>2327</v>
      </c>
      <c r="B2265" s="1">
        <v>45606</v>
      </c>
      <c r="C2265" s="1">
        <v>45607</v>
      </c>
      <c r="D2265">
        <v>2024</v>
      </c>
      <c r="E2265" t="s">
        <v>2026</v>
      </c>
      <c r="F2265" t="s">
        <v>2260</v>
      </c>
      <c r="G2265" t="s">
        <v>112</v>
      </c>
      <c r="H2265" t="s">
        <v>23</v>
      </c>
      <c r="I2265" t="s">
        <v>24</v>
      </c>
      <c r="J2265" t="s">
        <v>43</v>
      </c>
      <c r="K2265" t="s">
        <v>53</v>
      </c>
      <c r="L2265" t="s">
        <v>44</v>
      </c>
      <c r="M2265">
        <v>1</v>
      </c>
      <c r="N2265" s="2">
        <v>44</v>
      </c>
      <c r="O2265" s="3">
        <v>1219</v>
      </c>
      <c r="P2265">
        <v>0</v>
      </c>
      <c r="Q2265">
        <v>5</v>
      </c>
      <c r="R2265" t="s">
        <v>33</v>
      </c>
      <c r="S2265">
        <v>1</v>
      </c>
    </row>
    <row r="2266" spans="1:19" ht="16.5" x14ac:dyDescent="0.3">
      <c r="A2266" t="s">
        <v>2328</v>
      </c>
      <c r="B2266" s="1">
        <v>45606</v>
      </c>
      <c r="C2266" s="1">
        <v>45609</v>
      </c>
      <c r="D2266">
        <v>2024</v>
      </c>
      <c r="E2266" t="s">
        <v>2026</v>
      </c>
      <c r="F2266" t="s">
        <v>2260</v>
      </c>
      <c r="G2266" t="s">
        <v>112</v>
      </c>
      <c r="H2266" t="s">
        <v>30</v>
      </c>
      <c r="I2266" t="s">
        <v>40</v>
      </c>
      <c r="J2266" t="s">
        <v>25</v>
      </c>
      <c r="K2266" t="s">
        <v>26</v>
      </c>
      <c r="L2266" t="s">
        <v>27</v>
      </c>
      <c r="M2266">
        <v>3</v>
      </c>
      <c r="N2266" s="2"/>
      <c r="O2266" s="3">
        <v>3612</v>
      </c>
      <c r="P2266">
        <v>0</v>
      </c>
      <c r="Q2266">
        <v>5</v>
      </c>
      <c r="R2266" t="s">
        <v>28</v>
      </c>
      <c r="S2266">
        <v>1</v>
      </c>
    </row>
    <row r="2267" spans="1:19" ht="16.5" x14ac:dyDescent="0.3">
      <c r="A2267" t="s">
        <v>2329</v>
      </c>
      <c r="B2267" s="1">
        <v>45606</v>
      </c>
      <c r="C2267" s="1">
        <v>45607</v>
      </c>
      <c r="D2267">
        <v>2024</v>
      </c>
      <c r="E2267" t="s">
        <v>2026</v>
      </c>
      <c r="F2267" t="s">
        <v>2260</v>
      </c>
      <c r="G2267" t="s">
        <v>112</v>
      </c>
      <c r="H2267" t="s">
        <v>23</v>
      </c>
      <c r="I2267" t="s">
        <v>40</v>
      </c>
      <c r="J2267" t="s">
        <v>25</v>
      </c>
      <c r="K2267" t="s">
        <v>53</v>
      </c>
      <c r="L2267" t="s">
        <v>44</v>
      </c>
      <c r="M2267">
        <v>1</v>
      </c>
      <c r="N2267" s="2"/>
      <c r="O2267" s="3">
        <v>1474</v>
      </c>
      <c r="P2267">
        <v>0</v>
      </c>
      <c r="Q2267">
        <v>3</v>
      </c>
      <c r="R2267" t="s">
        <v>28</v>
      </c>
      <c r="S2267">
        <v>1</v>
      </c>
    </row>
    <row r="2268" spans="1:19" ht="16.5" x14ac:dyDescent="0.3">
      <c r="A2268" t="s">
        <v>2330</v>
      </c>
      <c r="B2268" s="1">
        <v>45606</v>
      </c>
      <c r="C2268" s="1">
        <v>45621</v>
      </c>
      <c r="D2268">
        <v>2024</v>
      </c>
      <c r="E2268" t="s">
        <v>2026</v>
      </c>
      <c r="F2268" t="s">
        <v>2260</v>
      </c>
      <c r="G2268" t="s">
        <v>112</v>
      </c>
      <c r="H2268" t="s">
        <v>50</v>
      </c>
      <c r="I2268" t="s">
        <v>24</v>
      </c>
      <c r="J2268" t="s">
        <v>43</v>
      </c>
      <c r="K2268" t="s">
        <v>32</v>
      </c>
      <c r="L2268" t="s">
        <v>44</v>
      </c>
      <c r="M2268">
        <v>15</v>
      </c>
      <c r="N2268" s="2">
        <v>21</v>
      </c>
      <c r="O2268" s="3">
        <v>15546</v>
      </c>
      <c r="P2268">
        <v>0</v>
      </c>
      <c r="Q2268">
        <v>4</v>
      </c>
      <c r="R2268" t="s">
        <v>33</v>
      </c>
      <c r="S2268">
        <v>1</v>
      </c>
    </row>
    <row r="2269" spans="1:19" ht="16.5" x14ac:dyDescent="0.3">
      <c r="A2269" t="s">
        <v>2331</v>
      </c>
      <c r="B2269" s="1">
        <v>45606</v>
      </c>
      <c r="C2269" s="1">
        <v>45622</v>
      </c>
      <c r="D2269">
        <v>2024</v>
      </c>
      <c r="E2269" t="s">
        <v>2026</v>
      </c>
      <c r="F2269" t="s">
        <v>2260</v>
      </c>
      <c r="G2269" t="s">
        <v>112</v>
      </c>
      <c r="H2269" t="s">
        <v>50</v>
      </c>
      <c r="I2269" t="s">
        <v>24</v>
      </c>
      <c r="J2269" t="s">
        <v>43</v>
      </c>
      <c r="K2269" t="s">
        <v>26</v>
      </c>
      <c r="L2269" t="s">
        <v>27</v>
      </c>
      <c r="M2269">
        <v>16</v>
      </c>
      <c r="N2269" s="2">
        <v>46</v>
      </c>
      <c r="O2269" s="3">
        <v>21577</v>
      </c>
      <c r="P2269">
        <v>1</v>
      </c>
      <c r="Q2269">
        <v>4</v>
      </c>
      <c r="R2269" t="s">
        <v>28</v>
      </c>
      <c r="S2269">
        <v>1</v>
      </c>
    </row>
    <row r="2270" spans="1:19" ht="16.5" x14ac:dyDescent="0.3">
      <c r="A2270" t="s">
        <v>2332</v>
      </c>
      <c r="B2270" s="1">
        <v>45606</v>
      </c>
      <c r="C2270" s="1">
        <v>45610</v>
      </c>
      <c r="D2270">
        <v>2024</v>
      </c>
      <c r="E2270" t="s">
        <v>2026</v>
      </c>
      <c r="F2270" t="s">
        <v>2260</v>
      </c>
      <c r="G2270" t="s">
        <v>112</v>
      </c>
      <c r="H2270" t="s">
        <v>52</v>
      </c>
      <c r="I2270" t="s">
        <v>24</v>
      </c>
      <c r="J2270" t="s">
        <v>43</v>
      </c>
      <c r="K2270" t="s">
        <v>36</v>
      </c>
      <c r="L2270" t="s">
        <v>27</v>
      </c>
      <c r="M2270">
        <v>4</v>
      </c>
      <c r="N2270" s="2">
        <v>21</v>
      </c>
      <c r="O2270" s="3">
        <v>3960</v>
      </c>
      <c r="P2270">
        <v>0</v>
      </c>
      <c r="Q2270">
        <v>5</v>
      </c>
      <c r="R2270" t="s">
        <v>33</v>
      </c>
      <c r="S2270">
        <v>1</v>
      </c>
    </row>
    <row r="2271" spans="1:19" ht="16.5" x14ac:dyDescent="0.3">
      <c r="A2271" t="s">
        <v>2333</v>
      </c>
      <c r="B2271" s="1">
        <v>45607</v>
      </c>
      <c r="C2271" s="1">
        <v>45609</v>
      </c>
      <c r="D2271">
        <v>2024</v>
      </c>
      <c r="E2271" t="s">
        <v>2026</v>
      </c>
      <c r="F2271" t="s">
        <v>2260</v>
      </c>
      <c r="G2271" t="s">
        <v>22</v>
      </c>
      <c r="H2271" t="s">
        <v>23</v>
      </c>
      <c r="I2271" t="s">
        <v>40</v>
      </c>
      <c r="J2271" t="s">
        <v>25</v>
      </c>
      <c r="K2271" t="s">
        <v>53</v>
      </c>
      <c r="L2271" t="s">
        <v>44</v>
      </c>
      <c r="M2271">
        <v>2</v>
      </c>
      <c r="N2271" s="2"/>
      <c r="O2271" s="3">
        <v>2215</v>
      </c>
      <c r="P2271">
        <v>0</v>
      </c>
      <c r="Q2271">
        <v>4</v>
      </c>
      <c r="R2271" t="s">
        <v>28</v>
      </c>
      <c r="S2271">
        <v>1</v>
      </c>
    </row>
    <row r="2272" spans="1:19" ht="16.5" x14ac:dyDescent="0.3">
      <c r="A2272" t="s">
        <v>2334</v>
      </c>
      <c r="B2272" s="1">
        <v>45607</v>
      </c>
      <c r="C2272" s="1">
        <v>45608</v>
      </c>
      <c r="D2272">
        <v>2024</v>
      </c>
      <c r="E2272" t="s">
        <v>2026</v>
      </c>
      <c r="F2272" t="s">
        <v>2260</v>
      </c>
      <c r="G2272" t="s">
        <v>22</v>
      </c>
      <c r="H2272" t="s">
        <v>39</v>
      </c>
      <c r="I2272" t="s">
        <v>24</v>
      </c>
      <c r="J2272" t="s">
        <v>43</v>
      </c>
      <c r="K2272" t="s">
        <v>41</v>
      </c>
      <c r="L2272" t="s">
        <v>27</v>
      </c>
      <c r="M2272">
        <v>1</v>
      </c>
      <c r="N2272" s="2">
        <v>29</v>
      </c>
      <c r="O2272" s="3">
        <v>1168</v>
      </c>
      <c r="P2272">
        <v>0</v>
      </c>
      <c r="Q2272">
        <v>5</v>
      </c>
      <c r="R2272" t="s">
        <v>33</v>
      </c>
      <c r="S2272">
        <v>1</v>
      </c>
    </row>
    <row r="2273" spans="1:19" ht="16.5" x14ac:dyDescent="0.3">
      <c r="A2273" t="s">
        <v>2335</v>
      </c>
      <c r="B2273" s="1">
        <v>45607</v>
      </c>
      <c r="C2273" s="1">
        <v>45610</v>
      </c>
      <c r="D2273">
        <v>2024</v>
      </c>
      <c r="E2273" t="s">
        <v>2026</v>
      </c>
      <c r="F2273" t="s">
        <v>2260</v>
      </c>
      <c r="G2273" t="s">
        <v>22</v>
      </c>
      <c r="H2273" t="s">
        <v>52</v>
      </c>
      <c r="I2273" t="s">
        <v>40</v>
      </c>
      <c r="J2273" t="s">
        <v>25</v>
      </c>
      <c r="K2273" t="s">
        <v>26</v>
      </c>
      <c r="L2273" t="s">
        <v>27</v>
      </c>
      <c r="M2273">
        <v>3</v>
      </c>
      <c r="N2273" s="2"/>
      <c r="O2273" s="3">
        <v>3648</v>
      </c>
      <c r="P2273">
        <v>0</v>
      </c>
      <c r="Q2273">
        <v>4</v>
      </c>
      <c r="R2273" t="s">
        <v>28</v>
      </c>
      <c r="S2273">
        <v>1</v>
      </c>
    </row>
    <row r="2274" spans="1:19" ht="16.5" x14ac:dyDescent="0.3">
      <c r="A2274" t="s">
        <v>2336</v>
      </c>
      <c r="B2274" s="1">
        <v>45607</v>
      </c>
      <c r="C2274" s="1">
        <v>45608</v>
      </c>
      <c r="D2274">
        <v>2024</v>
      </c>
      <c r="E2274" t="s">
        <v>2026</v>
      </c>
      <c r="F2274" t="s">
        <v>2260</v>
      </c>
      <c r="G2274" t="s">
        <v>22</v>
      </c>
      <c r="H2274" t="s">
        <v>39</v>
      </c>
      <c r="I2274" t="s">
        <v>24</v>
      </c>
      <c r="J2274" t="s">
        <v>25</v>
      </c>
      <c r="K2274" t="s">
        <v>41</v>
      </c>
      <c r="L2274" t="s">
        <v>44</v>
      </c>
      <c r="M2274">
        <v>1</v>
      </c>
      <c r="N2274" s="2">
        <v>13</v>
      </c>
      <c r="O2274" s="3">
        <v>1845</v>
      </c>
      <c r="P2274">
        <v>0</v>
      </c>
      <c r="Q2274">
        <v>5</v>
      </c>
      <c r="R2274" t="s">
        <v>28</v>
      </c>
      <c r="S2274">
        <v>1</v>
      </c>
    </row>
    <row r="2275" spans="1:19" ht="16.5" x14ac:dyDescent="0.3">
      <c r="A2275" t="s">
        <v>2337</v>
      </c>
      <c r="B2275" s="1">
        <v>45607</v>
      </c>
      <c r="C2275" s="1">
        <v>45623</v>
      </c>
      <c r="D2275">
        <v>2024</v>
      </c>
      <c r="E2275" t="s">
        <v>2026</v>
      </c>
      <c r="F2275" t="s">
        <v>2260</v>
      </c>
      <c r="G2275" t="s">
        <v>22</v>
      </c>
      <c r="H2275" t="s">
        <v>23</v>
      </c>
      <c r="I2275" t="s">
        <v>24</v>
      </c>
      <c r="J2275" t="s">
        <v>25</v>
      </c>
      <c r="K2275" t="s">
        <v>26</v>
      </c>
      <c r="L2275" t="s">
        <v>44</v>
      </c>
      <c r="M2275">
        <v>16</v>
      </c>
      <c r="N2275" s="2">
        <v>45</v>
      </c>
      <c r="O2275" s="3">
        <v>12592</v>
      </c>
      <c r="P2275">
        <v>0</v>
      </c>
      <c r="Q2275">
        <v>5</v>
      </c>
      <c r="R2275" t="s">
        <v>33</v>
      </c>
      <c r="S2275">
        <v>1</v>
      </c>
    </row>
    <row r="2276" spans="1:19" ht="16.5" x14ac:dyDescent="0.3">
      <c r="A2276" t="s">
        <v>2338</v>
      </c>
      <c r="B2276" s="1">
        <v>45607</v>
      </c>
      <c r="C2276" s="1">
        <v>45611</v>
      </c>
      <c r="D2276">
        <v>2024</v>
      </c>
      <c r="E2276" t="s">
        <v>2026</v>
      </c>
      <c r="F2276" t="s">
        <v>2260</v>
      </c>
      <c r="G2276" t="s">
        <v>22</v>
      </c>
      <c r="H2276" t="s">
        <v>35</v>
      </c>
      <c r="I2276" t="s">
        <v>24</v>
      </c>
      <c r="J2276" t="s">
        <v>25</v>
      </c>
      <c r="K2276" t="s">
        <v>32</v>
      </c>
      <c r="L2276" t="s">
        <v>27</v>
      </c>
      <c r="M2276">
        <v>4</v>
      </c>
      <c r="N2276" s="2">
        <v>13</v>
      </c>
      <c r="O2276" s="3">
        <v>3873</v>
      </c>
      <c r="P2276">
        <v>0</v>
      </c>
      <c r="Q2276">
        <v>3</v>
      </c>
      <c r="R2276" t="s">
        <v>33</v>
      </c>
      <c r="S2276">
        <v>1</v>
      </c>
    </row>
    <row r="2277" spans="1:19" ht="16.5" x14ac:dyDescent="0.3">
      <c r="A2277" t="s">
        <v>2339</v>
      </c>
      <c r="B2277" s="1">
        <v>45607</v>
      </c>
      <c r="C2277" s="1">
        <v>45611</v>
      </c>
      <c r="D2277">
        <v>2024</v>
      </c>
      <c r="E2277" t="s">
        <v>2026</v>
      </c>
      <c r="F2277" t="s">
        <v>2260</v>
      </c>
      <c r="G2277" t="s">
        <v>22</v>
      </c>
      <c r="H2277" t="s">
        <v>35</v>
      </c>
      <c r="I2277" t="s">
        <v>40</v>
      </c>
      <c r="J2277" t="s">
        <v>25</v>
      </c>
      <c r="K2277" t="s">
        <v>32</v>
      </c>
      <c r="L2277" t="s">
        <v>44</v>
      </c>
      <c r="M2277">
        <v>4</v>
      </c>
      <c r="N2277" s="2"/>
      <c r="O2277" s="3">
        <v>2458</v>
      </c>
      <c r="P2277">
        <v>0</v>
      </c>
      <c r="Q2277">
        <v>5</v>
      </c>
      <c r="R2277" t="s">
        <v>33</v>
      </c>
      <c r="S2277">
        <v>1</v>
      </c>
    </row>
    <row r="2278" spans="1:19" ht="16.5" x14ac:dyDescent="0.3">
      <c r="A2278" t="s">
        <v>2340</v>
      </c>
      <c r="B2278" s="1">
        <v>45607</v>
      </c>
      <c r="C2278" s="1">
        <v>45611</v>
      </c>
      <c r="D2278">
        <v>2024</v>
      </c>
      <c r="E2278" t="s">
        <v>2026</v>
      </c>
      <c r="F2278" t="s">
        <v>2260</v>
      </c>
      <c r="G2278" t="s">
        <v>22</v>
      </c>
      <c r="H2278" t="s">
        <v>30</v>
      </c>
      <c r="I2278" t="s">
        <v>40</v>
      </c>
      <c r="J2278" t="s">
        <v>25</v>
      </c>
      <c r="K2278" t="s">
        <v>26</v>
      </c>
      <c r="L2278" t="s">
        <v>27</v>
      </c>
      <c r="M2278">
        <v>4</v>
      </c>
      <c r="N2278" s="2"/>
      <c r="O2278" s="3">
        <v>3500</v>
      </c>
      <c r="P2278">
        <v>0</v>
      </c>
      <c r="Q2278">
        <v>3</v>
      </c>
      <c r="R2278" t="s">
        <v>28</v>
      </c>
      <c r="S2278">
        <v>1</v>
      </c>
    </row>
    <row r="2279" spans="1:19" ht="16.5" x14ac:dyDescent="0.3">
      <c r="A2279" t="s">
        <v>2341</v>
      </c>
      <c r="B2279" s="1">
        <v>45607</v>
      </c>
      <c r="C2279" s="1">
        <v>45610</v>
      </c>
      <c r="D2279">
        <v>2024</v>
      </c>
      <c r="E2279" t="s">
        <v>2026</v>
      </c>
      <c r="F2279" t="s">
        <v>2260</v>
      </c>
      <c r="G2279" t="s">
        <v>22</v>
      </c>
      <c r="H2279" t="s">
        <v>39</v>
      </c>
      <c r="I2279" t="s">
        <v>24</v>
      </c>
      <c r="J2279" t="s">
        <v>43</v>
      </c>
      <c r="K2279" t="s">
        <v>41</v>
      </c>
      <c r="L2279" t="s">
        <v>37</v>
      </c>
      <c r="M2279">
        <v>3</v>
      </c>
      <c r="N2279" s="2">
        <v>50</v>
      </c>
      <c r="O2279" s="3">
        <v>2866</v>
      </c>
      <c r="P2279">
        <v>0</v>
      </c>
      <c r="Q2279">
        <v>4</v>
      </c>
      <c r="R2279" t="s">
        <v>165</v>
      </c>
      <c r="S2279">
        <v>1</v>
      </c>
    </row>
    <row r="2280" spans="1:19" ht="16.5" x14ac:dyDescent="0.3">
      <c r="A2280" t="s">
        <v>2342</v>
      </c>
      <c r="B2280" s="1">
        <v>45607</v>
      </c>
      <c r="C2280" s="1">
        <v>45608</v>
      </c>
      <c r="D2280">
        <v>2024</v>
      </c>
      <c r="E2280" t="s">
        <v>2026</v>
      </c>
      <c r="F2280" t="s">
        <v>2260</v>
      </c>
      <c r="G2280" t="s">
        <v>22</v>
      </c>
      <c r="H2280" t="s">
        <v>39</v>
      </c>
      <c r="I2280" t="s">
        <v>24</v>
      </c>
      <c r="J2280" t="s">
        <v>43</v>
      </c>
      <c r="K2280" t="s">
        <v>41</v>
      </c>
      <c r="L2280" t="s">
        <v>27</v>
      </c>
      <c r="M2280">
        <v>1</v>
      </c>
      <c r="N2280" s="2">
        <v>38</v>
      </c>
      <c r="O2280" s="3">
        <v>1213</v>
      </c>
      <c r="P2280">
        <v>0</v>
      </c>
      <c r="Q2280">
        <v>5</v>
      </c>
      <c r="R2280" t="s">
        <v>28</v>
      </c>
      <c r="S2280">
        <v>1</v>
      </c>
    </row>
    <row r="2281" spans="1:19" ht="16.5" x14ac:dyDescent="0.3">
      <c r="A2281" t="s">
        <v>2343</v>
      </c>
      <c r="B2281" s="1">
        <v>45608</v>
      </c>
      <c r="C2281" s="1">
        <v>45630</v>
      </c>
      <c r="D2281">
        <v>2024</v>
      </c>
      <c r="E2281" t="s">
        <v>2026</v>
      </c>
      <c r="F2281" t="s">
        <v>2260</v>
      </c>
      <c r="G2281" t="s">
        <v>56</v>
      </c>
      <c r="H2281" t="s">
        <v>23</v>
      </c>
      <c r="I2281" t="s">
        <v>24</v>
      </c>
      <c r="J2281" t="s">
        <v>43</v>
      </c>
      <c r="K2281" t="s">
        <v>26</v>
      </c>
      <c r="L2281" t="s">
        <v>37</v>
      </c>
      <c r="M2281">
        <v>22</v>
      </c>
      <c r="N2281" s="2">
        <v>36</v>
      </c>
      <c r="O2281" s="3">
        <v>12281</v>
      </c>
      <c r="P2281">
        <v>0</v>
      </c>
      <c r="Q2281">
        <v>4</v>
      </c>
      <c r="R2281" t="s">
        <v>28</v>
      </c>
      <c r="S2281">
        <v>1</v>
      </c>
    </row>
    <row r="2282" spans="1:19" ht="16.5" x14ac:dyDescent="0.3">
      <c r="A2282" t="s">
        <v>2344</v>
      </c>
      <c r="B2282" s="1">
        <v>45608</v>
      </c>
      <c r="C2282" s="1">
        <v>45610</v>
      </c>
      <c r="D2282">
        <v>2024</v>
      </c>
      <c r="E2282" t="s">
        <v>2026</v>
      </c>
      <c r="F2282" t="s">
        <v>2260</v>
      </c>
      <c r="G2282" t="s">
        <v>56</v>
      </c>
      <c r="H2282" t="s">
        <v>30</v>
      </c>
      <c r="I2282" t="s">
        <v>40</v>
      </c>
      <c r="J2282" t="s">
        <v>25</v>
      </c>
      <c r="K2282" t="s">
        <v>32</v>
      </c>
      <c r="L2282" t="s">
        <v>27</v>
      </c>
      <c r="M2282">
        <v>2</v>
      </c>
      <c r="N2282" s="2"/>
      <c r="O2282" s="3">
        <v>3259</v>
      </c>
      <c r="P2282">
        <v>0</v>
      </c>
      <c r="Q2282">
        <v>5</v>
      </c>
      <c r="R2282" t="s">
        <v>33</v>
      </c>
      <c r="S2282">
        <v>1</v>
      </c>
    </row>
    <row r="2283" spans="1:19" ht="16.5" x14ac:dyDescent="0.3">
      <c r="A2283" t="s">
        <v>2345</v>
      </c>
      <c r="B2283" s="1">
        <v>45608</v>
      </c>
      <c r="C2283" s="1">
        <v>45610</v>
      </c>
      <c r="D2283">
        <v>2024</v>
      </c>
      <c r="E2283" t="s">
        <v>2026</v>
      </c>
      <c r="F2283" t="s">
        <v>2260</v>
      </c>
      <c r="G2283" t="s">
        <v>56</v>
      </c>
      <c r="H2283" t="s">
        <v>39</v>
      </c>
      <c r="I2283" t="s">
        <v>24</v>
      </c>
      <c r="J2283" t="s">
        <v>43</v>
      </c>
      <c r="K2283" t="s">
        <v>41</v>
      </c>
      <c r="L2283" t="s">
        <v>44</v>
      </c>
      <c r="M2283">
        <v>2</v>
      </c>
      <c r="N2283" s="2">
        <v>11</v>
      </c>
      <c r="O2283" s="3">
        <v>2001</v>
      </c>
      <c r="P2283">
        <v>0</v>
      </c>
      <c r="Q2283">
        <v>4</v>
      </c>
      <c r="R2283" t="s">
        <v>33</v>
      </c>
      <c r="S2283">
        <v>1</v>
      </c>
    </row>
    <row r="2284" spans="1:19" ht="16.5" x14ac:dyDescent="0.3">
      <c r="A2284" t="s">
        <v>2346</v>
      </c>
      <c r="B2284" s="1">
        <v>45608</v>
      </c>
      <c r="C2284" s="1">
        <v>45612</v>
      </c>
      <c r="D2284">
        <v>2024</v>
      </c>
      <c r="E2284" t="s">
        <v>2026</v>
      </c>
      <c r="F2284" t="s">
        <v>2260</v>
      </c>
      <c r="G2284" t="s">
        <v>56</v>
      </c>
      <c r="H2284" t="s">
        <v>39</v>
      </c>
      <c r="I2284" t="s">
        <v>40</v>
      </c>
      <c r="J2284" t="s">
        <v>43</v>
      </c>
      <c r="K2284" t="s">
        <v>41</v>
      </c>
      <c r="L2284" t="s">
        <v>27</v>
      </c>
      <c r="M2284">
        <v>4</v>
      </c>
      <c r="N2284" s="2"/>
      <c r="O2284" s="3">
        <v>3262</v>
      </c>
      <c r="P2284">
        <v>0</v>
      </c>
      <c r="Q2284">
        <v>4</v>
      </c>
      <c r="R2284" t="s">
        <v>33</v>
      </c>
      <c r="S2284">
        <v>1</v>
      </c>
    </row>
    <row r="2285" spans="1:19" ht="16.5" x14ac:dyDescent="0.3">
      <c r="A2285" t="s">
        <v>2347</v>
      </c>
      <c r="B2285" s="1">
        <v>45608</v>
      </c>
      <c r="C2285" s="1">
        <v>45611</v>
      </c>
      <c r="D2285">
        <v>2024</v>
      </c>
      <c r="E2285" t="s">
        <v>2026</v>
      </c>
      <c r="F2285" t="s">
        <v>2260</v>
      </c>
      <c r="G2285" t="s">
        <v>56</v>
      </c>
      <c r="H2285" t="s">
        <v>23</v>
      </c>
      <c r="I2285" t="s">
        <v>24</v>
      </c>
      <c r="J2285" t="s">
        <v>25</v>
      </c>
      <c r="K2285" t="s">
        <v>32</v>
      </c>
      <c r="L2285" t="s">
        <v>44</v>
      </c>
      <c r="M2285">
        <v>3</v>
      </c>
      <c r="N2285" s="2">
        <v>46</v>
      </c>
      <c r="O2285" s="3">
        <v>2153</v>
      </c>
      <c r="P2285">
        <v>0</v>
      </c>
      <c r="Q2285">
        <v>5</v>
      </c>
      <c r="R2285" t="s">
        <v>28</v>
      </c>
      <c r="S2285">
        <v>1</v>
      </c>
    </row>
    <row r="2286" spans="1:19" ht="16.5" x14ac:dyDescent="0.3">
      <c r="A2286" t="s">
        <v>2348</v>
      </c>
      <c r="B2286" s="1">
        <v>45608</v>
      </c>
      <c r="C2286" s="1">
        <v>45609</v>
      </c>
      <c r="D2286">
        <v>2024</v>
      </c>
      <c r="E2286" t="s">
        <v>2026</v>
      </c>
      <c r="F2286" t="s">
        <v>2260</v>
      </c>
      <c r="G2286" t="s">
        <v>56</v>
      </c>
      <c r="H2286" t="s">
        <v>30</v>
      </c>
      <c r="I2286" t="s">
        <v>40</v>
      </c>
      <c r="J2286" t="s">
        <v>25</v>
      </c>
      <c r="K2286" t="s">
        <v>26</v>
      </c>
      <c r="L2286" t="s">
        <v>44</v>
      </c>
      <c r="M2286">
        <v>1</v>
      </c>
      <c r="N2286" s="2"/>
      <c r="O2286" s="3">
        <v>1782</v>
      </c>
      <c r="P2286">
        <v>1</v>
      </c>
      <c r="Q2286">
        <v>3</v>
      </c>
      <c r="R2286" t="s">
        <v>28</v>
      </c>
      <c r="S2286">
        <v>1</v>
      </c>
    </row>
    <row r="2287" spans="1:19" ht="16.5" x14ac:dyDescent="0.3">
      <c r="A2287" t="s">
        <v>2349</v>
      </c>
      <c r="B2287" s="1">
        <v>45608</v>
      </c>
      <c r="C2287" s="1">
        <v>45613</v>
      </c>
      <c r="D2287">
        <v>2024</v>
      </c>
      <c r="E2287" t="s">
        <v>2026</v>
      </c>
      <c r="F2287" t="s">
        <v>2260</v>
      </c>
      <c r="G2287" t="s">
        <v>56</v>
      </c>
      <c r="H2287" t="s">
        <v>23</v>
      </c>
      <c r="I2287" t="s">
        <v>24</v>
      </c>
      <c r="J2287" t="s">
        <v>43</v>
      </c>
      <c r="K2287" t="s">
        <v>26</v>
      </c>
      <c r="L2287" t="s">
        <v>27</v>
      </c>
      <c r="M2287">
        <v>5</v>
      </c>
      <c r="N2287" s="2">
        <v>41</v>
      </c>
      <c r="O2287" s="3">
        <v>3258</v>
      </c>
      <c r="P2287">
        <v>0</v>
      </c>
      <c r="Q2287">
        <v>4</v>
      </c>
      <c r="R2287" t="s">
        <v>33</v>
      </c>
      <c r="S2287">
        <v>1</v>
      </c>
    </row>
    <row r="2288" spans="1:19" ht="16.5" x14ac:dyDescent="0.3">
      <c r="A2288" t="s">
        <v>2350</v>
      </c>
      <c r="B2288" s="1">
        <v>45608</v>
      </c>
      <c r="C2288" s="1">
        <v>45610</v>
      </c>
      <c r="D2288">
        <v>2024</v>
      </c>
      <c r="E2288" t="s">
        <v>2026</v>
      </c>
      <c r="F2288" t="s">
        <v>2260</v>
      </c>
      <c r="G2288" t="s">
        <v>56</v>
      </c>
      <c r="H2288" t="s">
        <v>39</v>
      </c>
      <c r="I2288" t="s">
        <v>24</v>
      </c>
      <c r="J2288" t="s">
        <v>43</v>
      </c>
      <c r="K2288" t="s">
        <v>41</v>
      </c>
      <c r="L2288" t="s">
        <v>27</v>
      </c>
      <c r="M2288">
        <v>2</v>
      </c>
      <c r="N2288" s="2">
        <v>33</v>
      </c>
      <c r="O2288" s="3">
        <v>1980</v>
      </c>
      <c r="P2288">
        <v>0</v>
      </c>
      <c r="Q2288">
        <v>4</v>
      </c>
      <c r="R2288" t="s">
        <v>59</v>
      </c>
      <c r="S2288">
        <v>1</v>
      </c>
    </row>
    <row r="2289" spans="1:19" ht="16.5" x14ac:dyDescent="0.3">
      <c r="A2289" t="s">
        <v>2351</v>
      </c>
      <c r="B2289" s="1">
        <v>45609</v>
      </c>
      <c r="C2289" s="1">
        <v>45612</v>
      </c>
      <c r="D2289">
        <v>2024</v>
      </c>
      <c r="E2289" t="s">
        <v>2026</v>
      </c>
      <c r="F2289" t="s">
        <v>2260</v>
      </c>
      <c r="G2289" t="s">
        <v>70</v>
      </c>
      <c r="H2289" t="s">
        <v>39</v>
      </c>
      <c r="I2289" t="s">
        <v>24</v>
      </c>
      <c r="J2289" t="s">
        <v>43</v>
      </c>
      <c r="K2289" t="s">
        <v>41</v>
      </c>
      <c r="L2289" t="s">
        <v>27</v>
      </c>
      <c r="M2289">
        <v>3</v>
      </c>
      <c r="N2289" s="2">
        <v>21</v>
      </c>
      <c r="O2289" s="3">
        <v>2367</v>
      </c>
      <c r="P2289">
        <v>0</v>
      </c>
      <c r="Q2289">
        <v>4</v>
      </c>
      <c r="R2289" t="s">
        <v>33</v>
      </c>
      <c r="S2289">
        <v>1</v>
      </c>
    </row>
    <row r="2290" spans="1:19" ht="16.5" x14ac:dyDescent="0.3">
      <c r="A2290" t="s">
        <v>2352</v>
      </c>
      <c r="B2290" s="1">
        <v>45609</v>
      </c>
      <c r="C2290" s="1">
        <v>45612</v>
      </c>
      <c r="D2290">
        <v>2024</v>
      </c>
      <c r="E2290" t="s">
        <v>2026</v>
      </c>
      <c r="F2290" t="s">
        <v>2260</v>
      </c>
      <c r="G2290" t="s">
        <v>70</v>
      </c>
      <c r="H2290" t="s">
        <v>30</v>
      </c>
      <c r="I2290" t="s">
        <v>40</v>
      </c>
      <c r="J2290" t="s">
        <v>25</v>
      </c>
      <c r="K2290" t="s">
        <v>53</v>
      </c>
      <c r="L2290" t="s">
        <v>44</v>
      </c>
      <c r="M2290">
        <v>3</v>
      </c>
      <c r="N2290" s="2"/>
      <c r="O2290" s="3">
        <v>3436</v>
      </c>
      <c r="P2290">
        <v>0</v>
      </c>
      <c r="Q2290">
        <v>5</v>
      </c>
      <c r="R2290" t="s">
        <v>28</v>
      </c>
      <c r="S2290">
        <v>1</v>
      </c>
    </row>
    <row r="2291" spans="1:19" ht="16.5" x14ac:dyDescent="0.3">
      <c r="A2291" t="s">
        <v>2353</v>
      </c>
      <c r="B2291" s="1">
        <v>45609</v>
      </c>
      <c r="C2291" s="1">
        <v>45614</v>
      </c>
      <c r="D2291">
        <v>2024</v>
      </c>
      <c r="E2291" t="s">
        <v>2026</v>
      </c>
      <c r="F2291" t="s">
        <v>2260</v>
      </c>
      <c r="G2291" t="s">
        <v>70</v>
      </c>
      <c r="H2291" t="s">
        <v>35</v>
      </c>
      <c r="I2291" t="s">
        <v>24</v>
      </c>
      <c r="J2291" t="s">
        <v>25</v>
      </c>
      <c r="K2291" t="s">
        <v>32</v>
      </c>
      <c r="L2291" t="s">
        <v>27</v>
      </c>
      <c r="M2291">
        <v>5</v>
      </c>
      <c r="N2291" s="2">
        <v>48</v>
      </c>
      <c r="O2291" s="3">
        <v>3286</v>
      </c>
      <c r="P2291">
        <v>0</v>
      </c>
      <c r="Q2291">
        <v>5</v>
      </c>
      <c r="R2291" t="s">
        <v>28</v>
      </c>
      <c r="S2291">
        <v>1</v>
      </c>
    </row>
    <row r="2292" spans="1:19" ht="16.5" x14ac:dyDescent="0.3">
      <c r="A2292" t="s">
        <v>2354</v>
      </c>
      <c r="B2292" s="1">
        <v>45609</v>
      </c>
      <c r="C2292" s="1">
        <v>45611</v>
      </c>
      <c r="D2292">
        <v>2024</v>
      </c>
      <c r="E2292" t="s">
        <v>2026</v>
      </c>
      <c r="F2292" t="s">
        <v>2260</v>
      </c>
      <c r="G2292" t="s">
        <v>70</v>
      </c>
      <c r="H2292" t="s">
        <v>50</v>
      </c>
      <c r="I2292" t="s">
        <v>24</v>
      </c>
      <c r="J2292" t="s">
        <v>25</v>
      </c>
      <c r="K2292" t="s">
        <v>36</v>
      </c>
      <c r="L2292" t="s">
        <v>44</v>
      </c>
      <c r="M2292">
        <v>2</v>
      </c>
      <c r="N2292" s="2">
        <v>37</v>
      </c>
      <c r="O2292" s="3">
        <v>2998</v>
      </c>
      <c r="P2292">
        <v>0</v>
      </c>
      <c r="Q2292">
        <v>4</v>
      </c>
      <c r="R2292" t="s">
        <v>28</v>
      </c>
      <c r="S2292">
        <v>1</v>
      </c>
    </row>
    <row r="2293" spans="1:19" ht="16.5" x14ac:dyDescent="0.3">
      <c r="A2293" t="s">
        <v>2355</v>
      </c>
      <c r="B2293" s="1">
        <v>45609</v>
      </c>
      <c r="C2293" s="1">
        <v>45611</v>
      </c>
      <c r="D2293">
        <v>2024</v>
      </c>
      <c r="E2293" t="s">
        <v>2026</v>
      </c>
      <c r="F2293" t="s">
        <v>2260</v>
      </c>
      <c r="G2293" t="s">
        <v>70</v>
      </c>
      <c r="H2293" t="s">
        <v>30</v>
      </c>
      <c r="I2293" t="s">
        <v>40</v>
      </c>
      <c r="J2293" t="s">
        <v>25</v>
      </c>
      <c r="K2293" t="s">
        <v>32</v>
      </c>
      <c r="L2293" t="s">
        <v>44</v>
      </c>
      <c r="M2293">
        <v>2</v>
      </c>
      <c r="N2293" s="2"/>
      <c r="O2293" s="3">
        <v>4107</v>
      </c>
      <c r="P2293">
        <v>0</v>
      </c>
      <c r="Q2293">
        <v>4</v>
      </c>
      <c r="R2293" t="s">
        <v>28</v>
      </c>
      <c r="S2293">
        <v>1</v>
      </c>
    </row>
    <row r="2294" spans="1:19" ht="16.5" x14ac:dyDescent="0.3">
      <c r="A2294" t="s">
        <v>2356</v>
      </c>
      <c r="B2294" s="1">
        <v>45609</v>
      </c>
      <c r="C2294" s="1">
        <v>45615</v>
      </c>
      <c r="D2294">
        <v>2024</v>
      </c>
      <c r="E2294" t="s">
        <v>2026</v>
      </c>
      <c r="F2294" t="s">
        <v>2260</v>
      </c>
      <c r="G2294" t="s">
        <v>70</v>
      </c>
      <c r="H2294" t="s">
        <v>50</v>
      </c>
      <c r="I2294" t="s">
        <v>24</v>
      </c>
      <c r="J2294" t="s">
        <v>43</v>
      </c>
      <c r="K2294" t="s">
        <v>36</v>
      </c>
      <c r="L2294" t="s">
        <v>44</v>
      </c>
      <c r="M2294">
        <v>6</v>
      </c>
      <c r="N2294" s="2">
        <v>28</v>
      </c>
      <c r="O2294" s="3">
        <v>7184</v>
      </c>
      <c r="P2294">
        <v>0</v>
      </c>
      <c r="Q2294">
        <v>5</v>
      </c>
      <c r="R2294" t="s">
        <v>33</v>
      </c>
      <c r="S2294">
        <v>1</v>
      </c>
    </row>
    <row r="2295" spans="1:19" ht="16.5" x14ac:dyDescent="0.3">
      <c r="A2295" t="s">
        <v>2357</v>
      </c>
      <c r="B2295" s="1">
        <v>45610</v>
      </c>
      <c r="C2295" s="1">
        <v>45612</v>
      </c>
      <c r="D2295">
        <v>2024</v>
      </c>
      <c r="E2295" t="s">
        <v>2026</v>
      </c>
      <c r="F2295" t="s">
        <v>2260</v>
      </c>
      <c r="G2295" t="s">
        <v>78</v>
      </c>
      <c r="H2295" t="s">
        <v>39</v>
      </c>
      <c r="I2295" t="s">
        <v>24</v>
      </c>
      <c r="J2295" t="s">
        <v>25</v>
      </c>
      <c r="K2295" t="s">
        <v>41</v>
      </c>
      <c r="L2295" t="s">
        <v>44</v>
      </c>
      <c r="M2295">
        <v>2</v>
      </c>
      <c r="N2295" s="2">
        <v>41</v>
      </c>
      <c r="O2295" s="3">
        <v>1841</v>
      </c>
      <c r="P2295">
        <v>0</v>
      </c>
      <c r="Q2295">
        <v>4</v>
      </c>
      <c r="R2295" t="s">
        <v>33</v>
      </c>
      <c r="S2295">
        <v>1</v>
      </c>
    </row>
    <row r="2296" spans="1:19" ht="16.5" x14ac:dyDescent="0.3">
      <c r="A2296" t="s">
        <v>2358</v>
      </c>
      <c r="B2296" s="1">
        <v>45610</v>
      </c>
      <c r="C2296" s="1">
        <v>45611</v>
      </c>
      <c r="D2296">
        <v>2024</v>
      </c>
      <c r="E2296" t="s">
        <v>2026</v>
      </c>
      <c r="F2296" t="s">
        <v>2260</v>
      </c>
      <c r="G2296" t="s">
        <v>78</v>
      </c>
      <c r="H2296" t="s">
        <v>35</v>
      </c>
      <c r="I2296" t="s">
        <v>31</v>
      </c>
      <c r="J2296" t="s">
        <v>25</v>
      </c>
      <c r="K2296" t="s">
        <v>36</v>
      </c>
      <c r="L2296" t="s">
        <v>44</v>
      </c>
      <c r="M2296">
        <v>1</v>
      </c>
      <c r="N2296" s="2"/>
      <c r="O2296" s="3">
        <v>1334</v>
      </c>
      <c r="P2296">
        <v>0</v>
      </c>
      <c r="Q2296">
        <v>5</v>
      </c>
      <c r="R2296" t="s">
        <v>28</v>
      </c>
      <c r="S2296">
        <v>1</v>
      </c>
    </row>
    <row r="2297" spans="1:19" ht="16.5" x14ac:dyDescent="0.3">
      <c r="A2297" t="s">
        <v>2359</v>
      </c>
      <c r="B2297" s="1">
        <v>45610</v>
      </c>
      <c r="C2297" s="1">
        <v>45617</v>
      </c>
      <c r="D2297">
        <v>2024</v>
      </c>
      <c r="E2297" t="s">
        <v>2026</v>
      </c>
      <c r="F2297" t="s">
        <v>2260</v>
      </c>
      <c r="G2297" t="s">
        <v>78</v>
      </c>
      <c r="H2297" t="s">
        <v>50</v>
      </c>
      <c r="I2297" t="s">
        <v>24</v>
      </c>
      <c r="J2297" t="s">
        <v>25</v>
      </c>
      <c r="K2297" t="s">
        <v>53</v>
      </c>
      <c r="L2297" t="s">
        <v>44</v>
      </c>
      <c r="M2297">
        <v>7</v>
      </c>
      <c r="N2297" s="2">
        <v>118</v>
      </c>
      <c r="O2297" s="3">
        <v>10147</v>
      </c>
      <c r="P2297">
        <v>0</v>
      </c>
      <c r="Q2297">
        <v>3</v>
      </c>
      <c r="R2297" t="s">
        <v>33</v>
      </c>
      <c r="S2297">
        <v>1</v>
      </c>
    </row>
    <row r="2298" spans="1:19" ht="16.5" x14ac:dyDescent="0.3">
      <c r="A2298" t="s">
        <v>2360</v>
      </c>
      <c r="B2298" s="1">
        <v>45610</v>
      </c>
      <c r="C2298" s="1">
        <v>45611</v>
      </c>
      <c r="D2298">
        <v>2024</v>
      </c>
      <c r="E2298" t="s">
        <v>2026</v>
      </c>
      <c r="F2298" t="s">
        <v>2260</v>
      </c>
      <c r="G2298" t="s">
        <v>78</v>
      </c>
      <c r="H2298" t="s">
        <v>35</v>
      </c>
      <c r="I2298" t="s">
        <v>24</v>
      </c>
      <c r="J2298" t="s">
        <v>25</v>
      </c>
      <c r="K2298" t="s">
        <v>36</v>
      </c>
      <c r="L2298" t="s">
        <v>44</v>
      </c>
      <c r="M2298">
        <v>1</v>
      </c>
      <c r="N2298" s="2">
        <v>56</v>
      </c>
      <c r="O2298" s="3">
        <v>1477</v>
      </c>
      <c r="P2298">
        <v>0</v>
      </c>
      <c r="Q2298">
        <v>5</v>
      </c>
      <c r="R2298" t="s">
        <v>33</v>
      </c>
      <c r="S2298">
        <v>1</v>
      </c>
    </row>
    <row r="2299" spans="1:19" ht="16.5" x14ac:dyDescent="0.3">
      <c r="A2299" t="s">
        <v>2361</v>
      </c>
      <c r="B2299" s="1">
        <v>45610</v>
      </c>
      <c r="C2299" s="1">
        <v>45615</v>
      </c>
      <c r="D2299">
        <v>2024</v>
      </c>
      <c r="E2299" t="s">
        <v>2026</v>
      </c>
      <c r="F2299" t="s">
        <v>2260</v>
      </c>
      <c r="G2299" t="s">
        <v>78</v>
      </c>
      <c r="H2299" t="s">
        <v>39</v>
      </c>
      <c r="I2299" t="s">
        <v>24</v>
      </c>
      <c r="J2299" t="s">
        <v>43</v>
      </c>
      <c r="K2299" t="s">
        <v>41</v>
      </c>
      <c r="L2299" t="s">
        <v>44</v>
      </c>
      <c r="M2299">
        <v>5</v>
      </c>
      <c r="N2299" s="2">
        <v>52</v>
      </c>
      <c r="O2299" s="3">
        <v>3661</v>
      </c>
      <c r="P2299">
        <v>0</v>
      </c>
      <c r="Q2299">
        <v>4</v>
      </c>
      <c r="R2299" t="s">
        <v>33</v>
      </c>
      <c r="S2299">
        <v>1</v>
      </c>
    </row>
    <row r="2300" spans="1:19" ht="16.5" x14ac:dyDescent="0.3">
      <c r="A2300" t="s">
        <v>2362</v>
      </c>
      <c r="B2300" s="1">
        <v>45610</v>
      </c>
      <c r="C2300" s="1">
        <v>45617</v>
      </c>
      <c r="D2300">
        <v>2024</v>
      </c>
      <c r="E2300" t="s">
        <v>2026</v>
      </c>
      <c r="F2300" t="s">
        <v>2260</v>
      </c>
      <c r="G2300" t="s">
        <v>78</v>
      </c>
      <c r="H2300" t="s">
        <v>50</v>
      </c>
      <c r="I2300" t="s">
        <v>24</v>
      </c>
      <c r="J2300" t="s">
        <v>25</v>
      </c>
      <c r="K2300" t="s">
        <v>53</v>
      </c>
      <c r="L2300" t="s">
        <v>27</v>
      </c>
      <c r="M2300">
        <v>7</v>
      </c>
      <c r="N2300" s="2">
        <v>36</v>
      </c>
      <c r="O2300" s="3">
        <v>7176</v>
      </c>
      <c r="P2300">
        <v>0</v>
      </c>
      <c r="Q2300">
        <v>4</v>
      </c>
      <c r="R2300" t="s">
        <v>33</v>
      </c>
      <c r="S2300">
        <v>1</v>
      </c>
    </row>
    <row r="2301" spans="1:19" ht="16.5" x14ac:dyDescent="0.3">
      <c r="A2301" t="s">
        <v>2363</v>
      </c>
      <c r="B2301" s="1">
        <v>45610</v>
      </c>
      <c r="C2301" s="1">
        <v>45613</v>
      </c>
      <c r="D2301">
        <v>2024</v>
      </c>
      <c r="E2301" t="s">
        <v>2026</v>
      </c>
      <c r="F2301" t="s">
        <v>2260</v>
      </c>
      <c r="G2301" t="s">
        <v>78</v>
      </c>
      <c r="H2301" t="s">
        <v>52</v>
      </c>
      <c r="I2301" t="s">
        <v>40</v>
      </c>
      <c r="J2301" t="s">
        <v>25</v>
      </c>
      <c r="K2301" t="s">
        <v>36</v>
      </c>
      <c r="L2301" t="s">
        <v>44</v>
      </c>
      <c r="M2301">
        <v>3</v>
      </c>
      <c r="N2301" s="2"/>
      <c r="O2301" s="3">
        <v>3710</v>
      </c>
      <c r="P2301">
        <v>0</v>
      </c>
      <c r="Q2301">
        <v>4</v>
      </c>
      <c r="R2301" t="s">
        <v>33</v>
      </c>
      <c r="S2301">
        <v>1</v>
      </c>
    </row>
    <row r="2302" spans="1:19" ht="16.5" x14ac:dyDescent="0.3">
      <c r="A2302" t="s">
        <v>2364</v>
      </c>
      <c r="B2302" s="1">
        <v>45610</v>
      </c>
      <c r="C2302" s="1">
        <v>45619</v>
      </c>
      <c r="D2302">
        <v>2024</v>
      </c>
      <c r="E2302" t="s">
        <v>2026</v>
      </c>
      <c r="F2302" t="s">
        <v>2260</v>
      </c>
      <c r="G2302" t="s">
        <v>78</v>
      </c>
      <c r="H2302" t="s">
        <v>50</v>
      </c>
      <c r="I2302" t="s">
        <v>24</v>
      </c>
      <c r="J2302" t="s">
        <v>25</v>
      </c>
      <c r="K2302" t="s">
        <v>26</v>
      </c>
      <c r="L2302" t="s">
        <v>27</v>
      </c>
      <c r="M2302">
        <v>9</v>
      </c>
      <c r="N2302" s="2">
        <v>33</v>
      </c>
      <c r="O2302" s="3">
        <v>11325</v>
      </c>
      <c r="P2302">
        <v>0</v>
      </c>
      <c r="Q2302">
        <v>5</v>
      </c>
      <c r="R2302" t="s">
        <v>28</v>
      </c>
      <c r="S2302">
        <v>1</v>
      </c>
    </row>
    <row r="2303" spans="1:19" ht="16.5" x14ac:dyDescent="0.3">
      <c r="A2303" t="s">
        <v>2365</v>
      </c>
      <c r="B2303" s="1">
        <v>45611</v>
      </c>
      <c r="C2303" s="1">
        <v>45613</v>
      </c>
      <c r="D2303">
        <v>2024</v>
      </c>
      <c r="E2303" t="s">
        <v>2026</v>
      </c>
      <c r="F2303" t="s">
        <v>2260</v>
      </c>
      <c r="G2303" t="s">
        <v>83</v>
      </c>
      <c r="H2303" t="s">
        <v>52</v>
      </c>
      <c r="I2303" t="s">
        <v>40</v>
      </c>
      <c r="J2303" t="s">
        <v>25</v>
      </c>
      <c r="K2303" t="s">
        <v>32</v>
      </c>
      <c r="L2303" t="s">
        <v>44</v>
      </c>
      <c r="M2303">
        <v>2</v>
      </c>
      <c r="N2303" s="2"/>
      <c r="O2303" s="3">
        <v>2497</v>
      </c>
      <c r="P2303">
        <v>0</v>
      </c>
      <c r="Q2303">
        <v>4</v>
      </c>
      <c r="R2303" t="s">
        <v>28</v>
      </c>
      <c r="S2303">
        <v>1</v>
      </c>
    </row>
    <row r="2304" spans="1:19" ht="16.5" x14ac:dyDescent="0.3">
      <c r="A2304" t="s">
        <v>2366</v>
      </c>
      <c r="B2304" s="1">
        <v>45611</v>
      </c>
      <c r="C2304" s="1">
        <v>45623</v>
      </c>
      <c r="D2304">
        <v>2024</v>
      </c>
      <c r="E2304" t="s">
        <v>2026</v>
      </c>
      <c r="F2304" t="s">
        <v>2260</v>
      </c>
      <c r="G2304" t="s">
        <v>83</v>
      </c>
      <c r="H2304" t="s">
        <v>30</v>
      </c>
      <c r="I2304" t="s">
        <v>24</v>
      </c>
      <c r="J2304" t="s">
        <v>43</v>
      </c>
      <c r="K2304" t="s">
        <v>26</v>
      </c>
      <c r="L2304" t="s">
        <v>44</v>
      </c>
      <c r="M2304">
        <v>12</v>
      </c>
      <c r="N2304" s="2">
        <v>42</v>
      </c>
      <c r="O2304" s="3">
        <v>13406</v>
      </c>
      <c r="P2304">
        <v>0</v>
      </c>
      <c r="Q2304">
        <v>4</v>
      </c>
      <c r="R2304" t="s">
        <v>28</v>
      </c>
      <c r="S2304">
        <v>1</v>
      </c>
    </row>
    <row r="2305" spans="1:19" ht="16.5" x14ac:dyDescent="0.3">
      <c r="A2305" t="s">
        <v>2367</v>
      </c>
      <c r="B2305" s="1">
        <v>45611</v>
      </c>
      <c r="C2305" s="1">
        <v>45614</v>
      </c>
      <c r="D2305">
        <v>2024</v>
      </c>
      <c r="E2305" t="s">
        <v>2026</v>
      </c>
      <c r="F2305" t="s">
        <v>2260</v>
      </c>
      <c r="G2305" t="s">
        <v>83</v>
      </c>
      <c r="H2305" t="s">
        <v>30</v>
      </c>
      <c r="I2305" t="s">
        <v>40</v>
      </c>
      <c r="J2305" t="s">
        <v>25</v>
      </c>
      <c r="K2305" t="s">
        <v>32</v>
      </c>
      <c r="L2305" t="s">
        <v>27</v>
      </c>
      <c r="M2305">
        <v>3</v>
      </c>
      <c r="N2305" s="2"/>
      <c r="O2305" s="3">
        <v>5247</v>
      </c>
      <c r="P2305">
        <v>1</v>
      </c>
      <c r="Q2305">
        <v>3</v>
      </c>
      <c r="R2305" t="s">
        <v>28</v>
      </c>
      <c r="S2305">
        <v>1</v>
      </c>
    </row>
    <row r="2306" spans="1:19" ht="16.5" x14ac:dyDescent="0.3">
      <c r="A2306" t="s">
        <v>2368</v>
      </c>
      <c r="B2306" s="1">
        <v>45611</v>
      </c>
      <c r="C2306" s="1">
        <v>45617</v>
      </c>
      <c r="D2306">
        <v>2024</v>
      </c>
      <c r="E2306" t="s">
        <v>2026</v>
      </c>
      <c r="F2306" t="s">
        <v>2260</v>
      </c>
      <c r="G2306" t="s">
        <v>83</v>
      </c>
      <c r="H2306" t="s">
        <v>23</v>
      </c>
      <c r="I2306" t="s">
        <v>24</v>
      </c>
      <c r="J2306" t="s">
        <v>43</v>
      </c>
      <c r="K2306" t="s">
        <v>36</v>
      </c>
      <c r="L2306" t="s">
        <v>27</v>
      </c>
      <c r="M2306">
        <v>6</v>
      </c>
      <c r="N2306" s="2">
        <v>95</v>
      </c>
      <c r="O2306" s="3">
        <v>4044</v>
      </c>
      <c r="P2306">
        <v>0</v>
      </c>
      <c r="Q2306">
        <v>2</v>
      </c>
      <c r="R2306" t="s">
        <v>33</v>
      </c>
      <c r="S2306">
        <v>1</v>
      </c>
    </row>
    <row r="2307" spans="1:19" ht="16.5" x14ac:dyDescent="0.3">
      <c r="A2307" t="s">
        <v>2369</v>
      </c>
      <c r="B2307" s="1">
        <v>45611</v>
      </c>
      <c r="C2307" s="1">
        <v>45614</v>
      </c>
      <c r="D2307">
        <v>2024</v>
      </c>
      <c r="E2307" t="s">
        <v>2026</v>
      </c>
      <c r="F2307" t="s">
        <v>2260</v>
      </c>
      <c r="G2307" t="s">
        <v>83</v>
      </c>
      <c r="H2307" t="s">
        <v>39</v>
      </c>
      <c r="I2307" t="s">
        <v>40</v>
      </c>
      <c r="J2307" t="s">
        <v>43</v>
      </c>
      <c r="K2307" t="s">
        <v>41</v>
      </c>
      <c r="L2307" t="s">
        <v>27</v>
      </c>
      <c r="M2307">
        <v>3</v>
      </c>
      <c r="N2307" s="2"/>
      <c r="O2307" s="3">
        <v>2745</v>
      </c>
      <c r="P2307">
        <v>0</v>
      </c>
      <c r="Q2307">
        <v>5</v>
      </c>
      <c r="R2307" t="s">
        <v>33</v>
      </c>
      <c r="S2307">
        <v>1</v>
      </c>
    </row>
    <row r="2308" spans="1:19" ht="16.5" x14ac:dyDescent="0.3">
      <c r="A2308" t="s">
        <v>2370</v>
      </c>
      <c r="B2308" s="1">
        <v>45611</v>
      </c>
      <c r="C2308" s="1">
        <v>45613</v>
      </c>
      <c r="D2308">
        <v>2024</v>
      </c>
      <c r="E2308" t="s">
        <v>2026</v>
      </c>
      <c r="F2308" t="s">
        <v>2260</v>
      </c>
      <c r="G2308" t="s">
        <v>83</v>
      </c>
      <c r="H2308" t="s">
        <v>23</v>
      </c>
      <c r="I2308" t="s">
        <v>24</v>
      </c>
      <c r="J2308" t="s">
        <v>25</v>
      </c>
      <c r="K2308" t="s">
        <v>53</v>
      </c>
      <c r="L2308" t="s">
        <v>27</v>
      </c>
      <c r="M2308">
        <v>2</v>
      </c>
      <c r="N2308" s="2">
        <v>96</v>
      </c>
      <c r="O2308" s="3">
        <v>1827</v>
      </c>
      <c r="P2308">
        <v>1</v>
      </c>
      <c r="Q2308">
        <v>3</v>
      </c>
      <c r="R2308" t="s">
        <v>28</v>
      </c>
      <c r="S2308">
        <v>1</v>
      </c>
    </row>
    <row r="2309" spans="1:19" ht="16.5" x14ac:dyDescent="0.3">
      <c r="A2309" t="s">
        <v>2371</v>
      </c>
      <c r="B2309" s="1">
        <v>45611</v>
      </c>
      <c r="C2309" s="1">
        <v>45615</v>
      </c>
      <c r="D2309">
        <v>2024</v>
      </c>
      <c r="E2309" t="s">
        <v>2026</v>
      </c>
      <c r="F2309" t="s">
        <v>2260</v>
      </c>
      <c r="G2309" t="s">
        <v>83</v>
      </c>
      <c r="H2309" t="s">
        <v>23</v>
      </c>
      <c r="I2309" t="s">
        <v>40</v>
      </c>
      <c r="J2309" t="s">
        <v>25</v>
      </c>
      <c r="K2309" t="s">
        <v>53</v>
      </c>
      <c r="L2309" t="s">
        <v>27</v>
      </c>
      <c r="M2309">
        <v>4</v>
      </c>
      <c r="N2309" s="2"/>
      <c r="O2309" s="3">
        <v>3909</v>
      </c>
      <c r="P2309">
        <v>0</v>
      </c>
      <c r="Q2309">
        <v>4</v>
      </c>
      <c r="R2309" t="s">
        <v>33</v>
      </c>
      <c r="S2309">
        <v>1</v>
      </c>
    </row>
    <row r="2310" spans="1:19" ht="16.5" x14ac:dyDescent="0.3">
      <c r="A2310" t="s">
        <v>2372</v>
      </c>
      <c r="B2310" s="1">
        <v>45611</v>
      </c>
      <c r="C2310" s="1">
        <v>45614</v>
      </c>
      <c r="D2310">
        <v>2024</v>
      </c>
      <c r="E2310" t="s">
        <v>2026</v>
      </c>
      <c r="F2310" t="s">
        <v>2260</v>
      </c>
      <c r="G2310" t="s">
        <v>83</v>
      </c>
      <c r="H2310" t="s">
        <v>39</v>
      </c>
      <c r="I2310" t="s">
        <v>24</v>
      </c>
      <c r="J2310" t="s">
        <v>43</v>
      </c>
      <c r="K2310" t="s">
        <v>41</v>
      </c>
      <c r="L2310" t="s">
        <v>27</v>
      </c>
      <c r="M2310">
        <v>3</v>
      </c>
      <c r="N2310" s="2">
        <v>35</v>
      </c>
      <c r="O2310" s="3">
        <v>2633</v>
      </c>
      <c r="P2310">
        <v>0</v>
      </c>
      <c r="Q2310">
        <v>5</v>
      </c>
      <c r="R2310" t="s">
        <v>28</v>
      </c>
      <c r="S2310">
        <v>1</v>
      </c>
    </row>
    <row r="2311" spans="1:19" ht="16.5" x14ac:dyDescent="0.3">
      <c r="A2311" t="s">
        <v>2373</v>
      </c>
      <c r="B2311" s="1">
        <v>45611</v>
      </c>
      <c r="C2311" s="1">
        <v>45613</v>
      </c>
      <c r="D2311">
        <v>2024</v>
      </c>
      <c r="E2311" t="s">
        <v>2026</v>
      </c>
      <c r="F2311" t="s">
        <v>2260</v>
      </c>
      <c r="G2311" t="s">
        <v>83</v>
      </c>
      <c r="H2311" t="s">
        <v>50</v>
      </c>
      <c r="I2311" t="s">
        <v>24</v>
      </c>
      <c r="J2311" t="s">
        <v>25</v>
      </c>
      <c r="K2311" t="s">
        <v>32</v>
      </c>
      <c r="L2311" t="s">
        <v>44</v>
      </c>
      <c r="M2311">
        <v>2</v>
      </c>
      <c r="N2311" s="2">
        <v>42</v>
      </c>
      <c r="O2311" s="3">
        <v>2693</v>
      </c>
      <c r="P2311">
        <v>1</v>
      </c>
      <c r="Q2311">
        <v>4</v>
      </c>
      <c r="R2311" t="s">
        <v>28</v>
      </c>
      <c r="S2311">
        <v>1</v>
      </c>
    </row>
    <row r="2312" spans="1:19" ht="16.5" x14ac:dyDescent="0.3">
      <c r="A2312" t="s">
        <v>2374</v>
      </c>
      <c r="B2312" s="1">
        <v>45611</v>
      </c>
      <c r="C2312" s="1">
        <v>45615</v>
      </c>
      <c r="D2312">
        <v>2024</v>
      </c>
      <c r="E2312" t="s">
        <v>2026</v>
      </c>
      <c r="F2312" t="s">
        <v>2260</v>
      </c>
      <c r="G2312" t="s">
        <v>83</v>
      </c>
      <c r="H2312" t="s">
        <v>39</v>
      </c>
      <c r="I2312" t="s">
        <v>24</v>
      </c>
      <c r="J2312" t="s">
        <v>43</v>
      </c>
      <c r="K2312" t="s">
        <v>41</v>
      </c>
      <c r="L2312" t="s">
        <v>27</v>
      </c>
      <c r="M2312">
        <v>4</v>
      </c>
      <c r="N2312" s="2">
        <v>90</v>
      </c>
      <c r="O2312" s="3">
        <v>2917</v>
      </c>
      <c r="P2312">
        <v>0</v>
      </c>
      <c r="Q2312">
        <v>4</v>
      </c>
      <c r="R2312" t="s">
        <v>33</v>
      </c>
      <c r="S2312">
        <v>1</v>
      </c>
    </row>
    <row r="2313" spans="1:19" ht="16.5" x14ac:dyDescent="0.3">
      <c r="A2313" t="s">
        <v>2375</v>
      </c>
      <c r="B2313" s="1">
        <v>45612</v>
      </c>
      <c r="C2313" s="1">
        <v>45613</v>
      </c>
      <c r="D2313">
        <v>2024</v>
      </c>
      <c r="E2313" t="s">
        <v>2026</v>
      </c>
      <c r="F2313" t="s">
        <v>2260</v>
      </c>
      <c r="G2313" t="s">
        <v>102</v>
      </c>
      <c r="H2313" t="s">
        <v>23</v>
      </c>
      <c r="I2313" t="s">
        <v>40</v>
      </c>
      <c r="J2313" t="s">
        <v>25</v>
      </c>
      <c r="K2313" t="s">
        <v>53</v>
      </c>
      <c r="L2313" t="s">
        <v>27</v>
      </c>
      <c r="M2313">
        <v>1</v>
      </c>
      <c r="N2313" s="2"/>
      <c r="O2313" s="3">
        <v>1083</v>
      </c>
      <c r="P2313">
        <v>1</v>
      </c>
      <c r="Q2313">
        <v>4</v>
      </c>
      <c r="R2313" t="s">
        <v>28</v>
      </c>
      <c r="S2313">
        <v>1</v>
      </c>
    </row>
    <row r="2314" spans="1:19" ht="16.5" x14ac:dyDescent="0.3">
      <c r="A2314" t="s">
        <v>2376</v>
      </c>
      <c r="B2314" s="1">
        <v>45612</v>
      </c>
      <c r="C2314" s="1">
        <v>45616</v>
      </c>
      <c r="D2314">
        <v>2024</v>
      </c>
      <c r="E2314" t="s">
        <v>2026</v>
      </c>
      <c r="F2314" t="s">
        <v>2260</v>
      </c>
      <c r="G2314" t="s">
        <v>102</v>
      </c>
      <c r="H2314" t="s">
        <v>39</v>
      </c>
      <c r="I2314" t="s">
        <v>24</v>
      </c>
      <c r="J2314" t="s">
        <v>43</v>
      </c>
      <c r="K2314" t="s">
        <v>41</v>
      </c>
      <c r="L2314" t="s">
        <v>44</v>
      </c>
      <c r="M2314">
        <v>4</v>
      </c>
      <c r="N2314" s="2">
        <v>176</v>
      </c>
      <c r="O2314" s="3">
        <v>3019</v>
      </c>
      <c r="P2314">
        <v>0</v>
      </c>
      <c r="Q2314">
        <v>3</v>
      </c>
      <c r="R2314" t="s">
        <v>33</v>
      </c>
      <c r="S2314">
        <v>1</v>
      </c>
    </row>
    <row r="2315" spans="1:19" ht="16.5" x14ac:dyDescent="0.3">
      <c r="A2315" t="s">
        <v>2377</v>
      </c>
      <c r="B2315" s="1">
        <v>45612</v>
      </c>
      <c r="C2315" s="1">
        <v>45618</v>
      </c>
      <c r="D2315">
        <v>2024</v>
      </c>
      <c r="E2315" t="s">
        <v>2026</v>
      </c>
      <c r="F2315" t="s">
        <v>2260</v>
      </c>
      <c r="G2315" t="s">
        <v>102</v>
      </c>
      <c r="H2315" t="s">
        <v>39</v>
      </c>
      <c r="I2315" t="s">
        <v>24</v>
      </c>
      <c r="J2315" t="s">
        <v>43</v>
      </c>
      <c r="K2315" t="s">
        <v>41</v>
      </c>
      <c r="L2315" t="s">
        <v>37</v>
      </c>
      <c r="M2315">
        <v>6</v>
      </c>
      <c r="N2315" s="2">
        <v>43</v>
      </c>
      <c r="O2315" s="3">
        <v>2913</v>
      </c>
      <c r="P2315">
        <v>0</v>
      </c>
      <c r="Q2315">
        <v>5</v>
      </c>
      <c r="R2315" t="s">
        <v>33</v>
      </c>
      <c r="S2315">
        <v>1</v>
      </c>
    </row>
    <row r="2316" spans="1:19" ht="16.5" x14ac:dyDescent="0.3">
      <c r="A2316" t="s">
        <v>2378</v>
      </c>
      <c r="B2316" s="1">
        <v>45612</v>
      </c>
      <c r="C2316" s="1">
        <v>45614</v>
      </c>
      <c r="D2316">
        <v>2024</v>
      </c>
      <c r="E2316" t="s">
        <v>2026</v>
      </c>
      <c r="F2316" t="s">
        <v>2260</v>
      </c>
      <c r="G2316" t="s">
        <v>102</v>
      </c>
      <c r="H2316" t="s">
        <v>30</v>
      </c>
      <c r="I2316" t="s">
        <v>40</v>
      </c>
      <c r="J2316" t="s">
        <v>43</v>
      </c>
      <c r="K2316" t="s">
        <v>26</v>
      </c>
      <c r="L2316" t="s">
        <v>27</v>
      </c>
      <c r="M2316">
        <v>2</v>
      </c>
      <c r="N2316" s="2"/>
      <c r="O2316" s="3">
        <v>2771</v>
      </c>
      <c r="P2316">
        <v>0</v>
      </c>
      <c r="Q2316">
        <v>5</v>
      </c>
      <c r="R2316" t="s">
        <v>33</v>
      </c>
      <c r="S2316">
        <v>1</v>
      </c>
    </row>
    <row r="2317" spans="1:19" ht="16.5" x14ac:dyDescent="0.3">
      <c r="A2317" t="s">
        <v>2379</v>
      </c>
      <c r="B2317" s="1">
        <v>45612</v>
      </c>
      <c r="C2317" s="1">
        <v>45613</v>
      </c>
      <c r="D2317">
        <v>2024</v>
      </c>
      <c r="E2317" t="s">
        <v>2026</v>
      </c>
      <c r="F2317" t="s">
        <v>2260</v>
      </c>
      <c r="G2317" t="s">
        <v>102</v>
      </c>
      <c r="H2317" t="s">
        <v>52</v>
      </c>
      <c r="I2317" t="s">
        <v>40</v>
      </c>
      <c r="J2317" t="s">
        <v>25</v>
      </c>
      <c r="K2317" t="s">
        <v>36</v>
      </c>
      <c r="L2317" t="s">
        <v>27</v>
      </c>
      <c r="M2317">
        <v>1</v>
      </c>
      <c r="N2317" s="2"/>
      <c r="O2317" s="3">
        <v>2018</v>
      </c>
      <c r="P2317">
        <v>0</v>
      </c>
      <c r="Q2317">
        <v>5</v>
      </c>
      <c r="R2317" t="s">
        <v>33</v>
      </c>
      <c r="S2317">
        <v>1</v>
      </c>
    </row>
    <row r="2318" spans="1:19" ht="16.5" x14ac:dyDescent="0.3">
      <c r="A2318" t="s">
        <v>2380</v>
      </c>
      <c r="B2318" s="1">
        <v>45613</v>
      </c>
      <c r="C2318" s="1">
        <v>45619</v>
      </c>
      <c r="D2318">
        <v>2024</v>
      </c>
      <c r="E2318" t="s">
        <v>2026</v>
      </c>
      <c r="F2318" t="s">
        <v>2260</v>
      </c>
      <c r="G2318" t="s">
        <v>112</v>
      </c>
      <c r="H2318" t="s">
        <v>39</v>
      </c>
      <c r="I2318" t="s">
        <v>24</v>
      </c>
      <c r="J2318" t="s">
        <v>43</v>
      </c>
      <c r="K2318" t="s">
        <v>41</v>
      </c>
      <c r="L2318" t="s">
        <v>27</v>
      </c>
      <c r="M2318">
        <v>6</v>
      </c>
      <c r="N2318" s="2">
        <v>72</v>
      </c>
      <c r="O2318" s="3">
        <v>4349</v>
      </c>
      <c r="P2318">
        <v>0</v>
      </c>
      <c r="Q2318">
        <v>4</v>
      </c>
      <c r="R2318" t="s">
        <v>33</v>
      </c>
      <c r="S2318">
        <v>1</v>
      </c>
    </row>
    <row r="2319" spans="1:19" ht="16.5" x14ac:dyDescent="0.3">
      <c r="A2319" t="s">
        <v>2381</v>
      </c>
      <c r="B2319" s="1">
        <v>45613</v>
      </c>
      <c r="C2319" s="1">
        <v>45620</v>
      </c>
      <c r="D2319">
        <v>2024</v>
      </c>
      <c r="E2319" t="s">
        <v>2026</v>
      </c>
      <c r="F2319" t="s">
        <v>2260</v>
      </c>
      <c r="G2319" t="s">
        <v>112</v>
      </c>
      <c r="H2319" t="s">
        <v>52</v>
      </c>
      <c r="I2319" t="s">
        <v>24</v>
      </c>
      <c r="J2319" t="s">
        <v>43</v>
      </c>
      <c r="K2319" t="s">
        <v>26</v>
      </c>
      <c r="L2319" t="s">
        <v>27</v>
      </c>
      <c r="M2319">
        <v>7</v>
      </c>
      <c r="N2319" s="2">
        <v>39</v>
      </c>
      <c r="O2319" s="3">
        <v>5502</v>
      </c>
      <c r="P2319">
        <v>0</v>
      </c>
      <c r="Q2319">
        <v>5</v>
      </c>
      <c r="R2319" t="s">
        <v>33</v>
      </c>
      <c r="S2319">
        <v>1</v>
      </c>
    </row>
    <row r="2320" spans="1:19" ht="16.5" x14ac:dyDescent="0.3">
      <c r="A2320" t="s">
        <v>2382</v>
      </c>
      <c r="B2320" s="1">
        <v>45613</v>
      </c>
      <c r="C2320" s="1">
        <v>45617</v>
      </c>
      <c r="D2320">
        <v>2024</v>
      </c>
      <c r="E2320" t="s">
        <v>2026</v>
      </c>
      <c r="F2320" t="s">
        <v>2260</v>
      </c>
      <c r="G2320" t="s">
        <v>112</v>
      </c>
      <c r="H2320" t="s">
        <v>35</v>
      </c>
      <c r="I2320" t="s">
        <v>31</v>
      </c>
      <c r="J2320" t="s">
        <v>25</v>
      </c>
      <c r="K2320" t="s">
        <v>36</v>
      </c>
      <c r="L2320" t="s">
        <v>44</v>
      </c>
      <c r="M2320">
        <v>4</v>
      </c>
      <c r="N2320" s="2"/>
      <c r="O2320" s="3">
        <v>4692</v>
      </c>
      <c r="P2320">
        <v>0</v>
      </c>
      <c r="Q2320">
        <v>4</v>
      </c>
      <c r="R2320" t="s">
        <v>33</v>
      </c>
      <c r="S2320">
        <v>1</v>
      </c>
    </row>
    <row r="2321" spans="1:19" ht="16.5" x14ac:dyDescent="0.3">
      <c r="A2321" t="s">
        <v>2383</v>
      </c>
      <c r="B2321" s="1">
        <v>45613</v>
      </c>
      <c r="C2321" s="1">
        <v>45619</v>
      </c>
      <c r="D2321">
        <v>2024</v>
      </c>
      <c r="E2321" t="s">
        <v>2026</v>
      </c>
      <c r="F2321" t="s">
        <v>2260</v>
      </c>
      <c r="G2321" t="s">
        <v>112</v>
      </c>
      <c r="H2321" t="s">
        <v>50</v>
      </c>
      <c r="I2321" t="s">
        <v>24</v>
      </c>
      <c r="J2321" t="s">
        <v>43</v>
      </c>
      <c r="K2321" t="s">
        <v>36</v>
      </c>
      <c r="L2321" t="s">
        <v>37</v>
      </c>
      <c r="M2321">
        <v>6</v>
      </c>
      <c r="N2321" s="2">
        <v>61</v>
      </c>
      <c r="O2321" s="3">
        <v>8510</v>
      </c>
      <c r="P2321">
        <v>0</v>
      </c>
      <c r="Q2321">
        <v>5</v>
      </c>
      <c r="R2321" t="s">
        <v>28</v>
      </c>
      <c r="S2321">
        <v>1</v>
      </c>
    </row>
    <row r="2322" spans="1:19" ht="16.5" x14ac:dyDescent="0.3">
      <c r="A2322" t="s">
        <v>2384</v>
      </c>
      <c r="B2322" s="1">
        <v>45613</v>
      </c>
      <c r="C2322" s="1">
        <v>45617</v>
      </c>
      <c r="D2322">
        <v>2024</v>
      </c>
      <c r="E2322" t="s">
        <v>2026</v>
      </c>
      <c r="F2322" t="s">
        <v>2260</v>
      </c>
      <c r="G2322" t="s">
        <v>112</v>
      </c>
      <c r="H2322" t="s">
        <v>23</v>
      </c>
      <c r="I2322" t="s">
        <v>31</v>
      </c>
      <c r="J2322" t="s">
        <v>25</v>
      </c>
      <c r="K2322" t="s">
        <v>53</v>
      </c>
      <c r="L2322" t="s">
        <v>27</v>
      </c>
      <c r="M2322">
        <v>4</v>
      </c>
      <c r="N2322" s="2"/>
      <c r="O2322" s="3">
        <v>3210</v>
      </c>
      <c r="P2322">
        <v>0</v>
      </c>
      <c r="Q2322">
        <v>4</v>
      </c>
      <c r="R2322" t="s">
        <v>33</v>
      </c>
      <c r="S2322">
        <v>1</v>
      </c>
    </row>
    <row r="2323" spans="1:19" ht="16.5" x14ac:dyDescent="0.3">
      <c r="A2323" t="s">
        <v>2385</v>
      </c>
      <c r="B2323" s="1">
        <v>45613</v>
      </c>
      <c r="C2323" s="1">
        <v>45615</v>
      </c>
      <c r="D2323">
        <v>2024</v>
      </c>
      <c r="E2323" t="s">
        <v>2026</v>
      </c>
      <c r="F2323" t="s">
        <v>2260</v>
      </c>
      <c r="G2323" t="s">
        <v>112</v>
      </c>
      <c r="H2323" t="s">
        <v>52</v>
      </c>
      <c r="I2323" t="s">
        <v>24</v>
      </c>
      <c r="J2323" t="s">
        <v>43</v>
      </c>
      <c r="K2323" t="s">
        <v>32</v>
      </c>
      <c r="L2323" t="s">
        <v>27</v>
      </c>
      <c r="M2323">
        <v>2</v>
      </c>
      <c r="N2323" s="2">
        <v>22</v>
      </c>
      <c r="O2323" s="3">
        <v>3746</v>
      </c>
      <c r="P2323">
        <v>0</v>
      </c>
      <c r="Q2323">
        <v>5</v>
      </c>
      <c r="R2323" t="s">
        <v>33</v>
      </c>
      <c r="S2323">
        <v>1</v>
      </c>
    </row>
    <row r="2324" spans="1:19" ht="16.5" x14ac:dyDescent="0.3">
      <c r="A2324" t="s">
        <v>2386</v>
      </c>
      <c r="B2324" s="1">
        <v>45613</v>
      </c>
      <c r="C2324" s="1">
        <v>45622</v>
      </c>
      <c r="D2324">
        <v>2024</v>
      </c>
      <c r="E2324" t="s">
        <v>2026</v>
      </c>
      <c r="F2324" t="s">
        <v>2260</v>
      </c>
      <c r="G2324" t="s">
        <v>112</v>
      </c>
      <c r="H2324" t="s">
        <v>39</v>
      </c>
      <c r="I2324" t="s">
        <v>24</v>
      </c>
      <c r="J2324" t="s">
        <v>25</v>
      </c>
      <c r="K2324" t="s">
        <v>41</v>
      </c>
      <c r="L2324" t="s">
        <v>44</v>
      </c>
      <c r="M2324">
        <v>9</v>
      </c>
      <c r="N2324" s="2">
        <v>37</v>
      </c>
      <c r="O2324" s="3">
        <v>5925</v>
      </c>
      <c r="P2324">
        <v>0</v>
      </c>
      <c r="Q2324">
        <v>4</v>
      </c>
      <c r="R2324" t="s">
        <v>33</v>
      </c>
      <c r="S2324">
        <v>1</v>
      </c>
    </row>
    <row r="2325" spans="1:19" ht="16.5" x14ac:dyDescent="0.3">
      <c r="A2325" t="s">
        <v>2387</v>
      </c>
      <c r="B2325" s="1">
        <v>45613</v>
      </c>
      <c r="C2325" s="1">
        <v>45617</v>
      </c>
      <c r="D2325">
        <v>2024</v>
      </c>
      <c r="E2325" t="s">
        <v>2026</v>
      </c>
      <c r="F2325" t="s">
        <v>2260</v>
      </c>
      <c r="G2325" t="s">
        <v>112</v>
      </c>
      <c r="H2325" t="s">
        <v>39</v>
      </c>
      <c r="I2325" t="s">
        <v>24</v>
      </c>
      <c r="J2325" t="s">
        <v>25</v>
      </c>
      <c r="K2325" t="s">
        <v>41</v>
      </c>
      <c r="L2325" t="s">
        <v>37</v>
      </c>
      <c r="M2325">
        <v>4</v>
      </c>
      <c r="N2325" s="2">
        <v>106</v>
      </c>
      <c r="O2325" s="3">
        <v>2183</v>
      </c>
      <c r="P2325">
        <v>0</v>
      </c>
      <c r="Q2325">
        <v>4</v>
      </c>
      <c r="R2325" t="s">
        <v>33</v>
      </c>
      <c r="S2325">
        <v>1</v>
      </c>
    </row>
    <row r="2326" spans="1:19" ht="16.5" x14ac:dyDescent="0.3">
      <c r="A2326" t="s">
        <v>2388</v>
      </c>
      <c r="B2326" s="1">
        <v>45613</v>
      </c>
      <c r="C2326" s="1">
        <v>45622</v>
      </c>
      <c r="D2326">
        <v>2024</v>
      </c>
      <c r="E2326" t="s">
        <v>2026</v>
      </c>
      <c r="F2326" t="s">
        <v>2260</v>
      </c>
      <c r="G2326" t="s">
        <v>112</v>
      </c>
      <c r="H2326" t="s">
        <v>23</v>
      </c>
      <c r="I2326" t="s">
        <v>24</v>
      </c>
      <c r="J2326" t="s">
        <v>25</v>
      </c>
      <c r="K2326" t="s">
        <v>32</v>
      </c>
      <c r="L2326" t="s">
        <v>27</v>
      </c>
      <c r="M2326">
        <v>9</v>
      </c>
      <c r="N2326" s="2">
        <v>31</v>
      </c>
      <c r="O2326" s="3">
        <v>6172</v>
      </c>
      <c r="P2326">
        <v>0</v>
      </c>
      <c r="Q2326">
        <v>5</v>
      </c>
      <c r="R2326" t="s">
        <v>33</v>
      </c>
      <c r="S2326">
        <v>1</v>
      </c>
    </row>
    <row r="2327" spans="1:19" ht="16.5" x14ac:dyDescent="0.3">
      <c r="A2327" t="s">
        <v>2389</v>
      </c>
      <c r="B2327" s="1">
        <v>45614</v>
      </c>
      <c r="C2327" s="1">
        <v>45617</v>
      </c>
      <c r="D2327">
        <v>2024</v>
      </c>
      <c r="E2327" t="s">
        <v>2026</v>
      </c>
      <c r="F2327" t="s">
        <v>2260</v>
      </c>
      <c r="G2327" t="s">
        <v>22</v>
      </c>
      <c r="H2327" t="s">
        <v>52</v>
      </c>
      <c r="I2327" t="s">
        <v>40</v>
      </c>
      <c r="J2327" t="s">
        <v>43</v>
      </c>
      <c r="K2327" t="s">
        <v>53</v>
      </c>
      <c r="L2327" t="s">
        <v>27</v>
      </c>
      <c r="M2327">
        <v>3</v>
      </c>
      <c r="N2327" s="2"/>
      <c r="O2327" s="3">
        <v>2785</v>
      </c>
      <c r="P2327">
        <v>0</v>
      </c>
      <c r="Q2327">
        <v>5</v>
      </c>
      <c r="R2327" t="s">
        <v>28</v>
      </c>
      <c r="S2327">
        <v>1</v>
      </c>
    </row>
    <row r="2328" spans="1:19" ht="16.5" x14ac:dyDescent="0.3">
      <c r="A2328" t="s">
        <v>2390</v>
      </c>
      <c r="B2328" s="1">
        <v>45614</v>
      </c>
      <c r="C2328" s="1">
        <v>45617</v>
      </c>
      <c r="D2328">
        <v>2024</v>
      </c>
      <c r="E2328" t="s">
        <v>2026</v>
      </c>
      <c r="F2328" t="s">
        <v>2260</v>
      </c>
      <c r="G2328" t="s">
        <v>22</v>
      </c>
      <c r="H2328" t="s">
        <v>23</v>
      </c>
      <c r="I2328" t="s">
        <v>24</v>
      </c>
      <c r="J2328" t="s">
        <v>25</v>
      </c>
      <c r="K2328" t="s">
        <v>53</v>
      </c>
      <c r="L2328" t="s">
        <v>27</v>
      </c>
      <c r="M2328">
        <v>3</v>
      </c>
      <c r="N2328" s="2">
        <v>109</v>
      </c>
      <c r="O2328" s="3">
        <v>1870</v>
      </c>
      <c r="P2328">
        <v>0</v>
      </c>
      <c r="Q2328">
        <v>5</v>
      </c>
      <c r="R2328" t="s">
        <v>33</v>
      </c>
      <c r="S2328">
        <v>1</v>
      </c>
    </row>
    <row r="2329" spans="1:19" ht="16.5" x14ac:dyDescent="0.3">
      <c r="A2329" t="s">
        <v>2391</v>
      </c>
      <c r="B2329" s="1">
        <v>45614</v>
      </c>
      <c r="C2329" s="1">
        <v>45616</v>
      </c>
      <c r="D2329">
        <v>2024</v>
      </c>
      <c r="E2329" t="s">
        <v>2026</v>
      </c>
      <c r="F2329" t="s">
        <v>2260</v>
      </c>
      <c r="G2329" t="s">
        <v>22</v>
      </c>
      <c r="H2329" t="s">
        <v>35</v>
      </c>
      <c r="I2329" t="s">
        <v>24</v>
      </c>
      <c r="J2329" t="s">
        <v>25</v>
      </c>
      <c r="K2329" t="s">
        <v>36</v>
      </c>
      <c r="L2329" t="s">
        <v>44</v>
      </c>
      <c r="M2329">
        <v>2</v>
      </c>
      <c r="N2329" s="2">
        <v>20</v>
      </c>
      <c r="O2329" s="3">
        <v>2034</v>
      </c>
      <c r="P2329">
        <v>0</v>
      </c>
      <c r="Q2329">
        <v>4</v>
      </c>
      <c r="R2329" t="s">
        <v>59</v>
      </c>
      <c r="S2329">
        <v>1</v>
      </c>
    </row>
    <row r="2330" spans="1:19" ht="16.5" x14ac:dyDescent="0.3">
      <c r="A2330" t="s">
        <v>2392</v>
      </c>
      <c r="B2330" s="1">
        <v>45614</v>
      </c>
      <c r="C2330" s="1">
        <v>45618</v>
      </c>
      <c r="D2330">
        <v>2024</v>
      </c>
      <c r="E2330" t="s">
        <v>2026</v>
      </c>
      <c r="F2330" t="s">
        <v>2260</v>
      </c>
      <c r="G2330" t="s">
        <v>22</v>
      </c>
      <c r="H2330" t="s">
        <v>50</v>
      </c>
      <c r="I2330" t="s">
        <v>24</v>
      </c>
      <c r="J2330" t="s">
        <v>43</v>
      </c>
      <c r="K2330" t="s">
        <v>32</v>
      </c>
      <c r="L2330" t="s">
        <v>27</v>
      </c>
      <c r="M2330">
        <v>4</v>
      </c>
      <c r="N2330" s="2">
        <v>45</v>
      </c>
      <c r="O2330" s="3">
        <v>4879</v>
      </c>
      <c r="P2330">
        <v>0</v>
      </c>
      <c r="Q2330">
        <v>4</v>
      </c>
      <c r="R2330" t="s">
        <v>33</v>
      </c>
      <c r="S2330">
        <v>1</v>
      </c>
    </row>
    <row r="2331" spans="1:19" ht="16.5" x14ac:dyDescent="0.3">
      <c r="A2331" t="s">
        <v>2393</v>
      </c>
      <c r="B2331" s="1">
        <v>45614</v>
      </c>
      <c r="C2331" s="1">
        <v>45615</v>
      </c>
      <c r="D2331">
        <v>2024</v>
      </c>
      <c r="E2331" t="s">
        <v>2026</v>
      </c>
      <c r="F2331" t="s">
        <v>2260</v>
      </c>
      <c r="G2331" t="s">
        <v>22</v>
      </c>
      <c r="H2331" t="s">
        <v>23</v>
      </c>
      <c r="I2331" t="s">
        <v>24</v>
      </c>
      <c r="J2331" t="s">
        <v>25</v>
      </c>
      <c r="K2331" t="s">
        <v>32</v>
      </c>
      <c r="L2331" t="s">
        <v>27</v>
      </c>
      <c r="M2331">
        <v>1</v>
      </c>
      <c r="N2331" s="2">
        <v>107</v>
      </c>
      <c r="O2331" s="3">
        <v>1784</v>
      </c>
      <c r="P2331">
        <v>0</v>
      </c>
      <c r="Q2331">
        <v>3</v>
      </c>
      <c r="R2331" t="s">
        <v>33</v>
      </c>
      <c r="S2331">
        <v>1</v>
      </c>
    </row>
    <row r="2332" spans="1:19" ht="16.5" x14ac:dyDescent="0.3">
      <c r="A2332" t="s">
        <v>2394</v>
      </c>
      <c r="B2332" s="1">
        <v>45614</v>
      </c>
      <c r="C2332" s="1">
        <v>45620</v>
      </c>
      <c r="D2332">
        <v>2024</v>
      </c>
      <c r="E2332" t="s">
        <v>2026</v>
      </c>
      <c r="F2332" t="s">
        <v>2260</v>
      </c>
      <c r="G2332" t="s">
        <v>22</v>
      </c>
      <c r="H2332" t="s">
        <v>50</v>
      </c>
      <c r="I2332" t="s">
        <v>40</v>
      </c>
      <c r="J2332" t="s">
        <v>25</v>
      </c>
      <c r="K2332" t="s">
        <v>26</v>
      </c>
      <c r="L2332" t="s">
        <v>27</v>
      </c>
      <c r="M2332">
        <v>6</v>
      </c>
      <c r="N2332" s="2"/>
      <c r="O2332" s="3">
        <v>8447</v>
      </c>
      <c r="P2332">
        <v>0</v>
      </c>
      <c r="Q2332">
        <v>3</v>
      </c>
      <c r="R2332" t="s">
        <v>33</v>
      </c>
      <c r="S2332">
        <v>1</v>
      </c>
    </row>
    <row r="2333" spans="1:19" ht="16.5" x14ac:dyDescent="0.3">
      <c r="A2333" t="s">
        <v>2395</v>
      </c>
      <c r="B2333" s="1">
        <v>45614</v>
      </c>
      <c r="C2333" s="1">
        <v>45616</v>
      </c>
      <c r="D2333">
        <v>2024</v>
      </c>
      <c r="E2333" t="s">
        <v>2026</v>
      </c>
      <c r="F2333" t="s">
        <v>2260</v>
      </c>
      <c r="G2333" t="s">
        <v>22</v>
      </c>
      <c r="H2333" t="s">
        <v>23</v>
      </c>
      <c r="I2333" t="s">
        <v>40</v>
      </c>
      <c r="J2333" t="s">
        <v>25</v>
      </c>
      <c r="K2333" t="s">
        <v>26</v>
      </c>
      <c r="L2333" t="s">
        <v>44</v>
      </c>
      <c r="M2333">
        <v>2</v>
      </c>
      <c r="N2333" s="2"/>
      <c r="O2333" s="3">
        <v>2124</v>
      </c>
      <c r="P2333">
        <v>0</v>
      </c>
      <c r="Q2333">
        <v>4</v>
      </c>
      <c r="R2333" t="s">
        <v>28</v>
      </c>
      <c r="S2333">
        <v>1</v>
      </c>
    </row>
    <row r="2334" spans="1:19" ht="16.5" x14ac:dyDescent="0.3">
      <c r="A2334" t="s">
        <v>2396</v>
      </c>
      <c r="B2334" s="1">
        <v>45614</v>
      </c>
      <c r="C2334" s="1">
        <v>45627</v>
      </c>
      <c r="D2334">
        <v>2024</v>
      </c>
      <c r="E2334" t="s">
        <v>2026</v>
      </c>
      <c r="F2334" t="s">
        <v>2260</v>
      </c>
      <c r="G2334" t="s">
        <v>22</v>
      </c>
      <c r="H2334" t="s">
        <v>23</v>
      </c>
      <c r="I2334" t="s">
        <v>24</v>
      </c>
      <c r="J2334" t="s">
        <v>25</v>
      </c>
      <c r="K2334" t="s">
        <v>32</v>
      </c>
      <c r="L2334" t="s">
        <v>44</v>
      </c>
      <c r="M2334">
        <v>13</v>
      </c>
      <c r="N2334" s="2">
        <v>66</v>
      </c>
      <c r="O2334" s="3">
        <v>8019</v>
      </c>
      <c r="P2334">
        <v>0</v>
      </c>
      <c r="Q2334">
        <v>4</v>
      </c>
      <c r="R2334" t="s">
        <v>33</v>
      </c>
      <c r="S2334">
        <v>1</v>
      </c>
    </row>
    <row r="2335" spans="1:19" ht="16.5" x14ac:dyDescent="0.3">
      <c r="A2335" t="s">
        <v>2397</v>
      </c>
      <c r="B2335" s="1">
        <v>45614</v>
      </c>
      <c r="C2335" s="1">
        <v>45616</v>
      </c>
      <c r="D2335">
        <v>2024</v>
      </c>
      <c r="E2335" t="s">
        <v>2026</v>
      </c>
      <c r="F2335" t="s">
        <v>2260</v>
      </c>
      <c r="G2335" t="s">
        <v>22</v>
      </c>
      <c r="H2335" t="s">
        <v>35</v>
      </c>
      <c r="I2335" t="s">
        <v>24</v>
      </c>
      <c r="J2335" t="s">
        <v>25</v>
      </c>
      <c r="K2335" t="s">
        <v>32</v>
      </c>
      <c r="L2335" t="s">
        <v>44</v>
      </c>
      <c r="M2335">
        <v>2</v>
      </c>
      <c r="N2335" s="2">
        <v>110</v>
      </c>
      <c r="O2335" s="3">
        <v>2490</v>
      </c>
      <c r="P2335">
        <v>0</v>
      </c>
      <c r="Q2335">
        <v>3</v>
      </c>
      <c r="R2335" t="s">
        <v>33</v>
      </c>
      <c r="S2335">
        <v>1</v>
      </c>
    </row>
    <row r="2336" spans="1:19" ht="16.5" x14ac:dyDescent="0.3">
      <c r="A2336" t="s">
        <v>2398</v>
      </c>
      <c r="B2336" s="1">
        <v>45614</v>
      </c>
      <c r="C2336" s="1">
        <v>45620</v>
      </c>
      <c r="D2336">
        <v>2024</v>
      </c>
      <c r="E2336" t="s">
        <v>2026</v>
      </c>
      <c r="F2336" t="s">
        <v>2260</v>
      </c>
      <c r="G2336" t="s">
        <v>22</v>
      </c>
      <c r="H2336" t="s">
        <v>50</v>
      </c>
      <c r="I2336" t="s">
        <v>24</v>
      </c>
      <c r="J2336" t="s">
        <v>43</v>
      </c>
      <c r="K2336" t="s">
        <v>36</v>
      </c>
      <c r="L2336" t="s">
        <v>44</v>
      </c>
      <c r="M2336">
        <v>6</v>
      </c>
      <c r="N2336" s="2">
        <v>24</v>
      </c>
      <c r="O2336" s="3">
        <v>8294</v>
      </c>
      <c r="P2336">
        <v>0</v>
      </c>
      <c r="Q2336">
        <v>4</v>
      </c>
      <c r="R2336" t="s">
        <v>28</v>
      </c>
      <c r="S2336">
        <v>1</v>
      </c>
    </row>
    <row r="2337" spans="1:19" ht="16.5" x14ac:dyDescent="0.3">
      <c r="A2337" t="s">
        <v>2399</v>
      </c>
      <c r="B2337" s="1">
        <v>45614</v>
      </c>
      <c r="C2337" s="1">
        <v>45620</v>
      </c>
      <c r="D2337">
        <v>2024</v>
      </c>
      <c r="E2337" t="s">
        <v>2026</v>
      </c>
      <c r="F2337" t="s">
        <v>2260</v>
      </c>
      <c r="G2337" t="s">
        <v>22</v>
      </c>
      <c r="H2337" t="s">
        <v>52</v>
      </c>
      <c r="I2337" t="s">
        <v>40</v>
      </c>
      <c r="J2337" t="s">
        <v>43</v>
      </c>
      <c r="K2337" t="s">
        <v>26</v>
      </c>
      <c r="L2337" t="s">
        <v>27</v>
      </c>
      <c r="M2337">
        <v>6</v>
      </c>
      <c r="N2337" s="2"/>
      <c r="O2337" s="3">
        <v>4500</v>
      </c>
      <c r="P2337">
        <v>0</v>
      </c>
      <c r="Q2337">
        <v>5</v>
      </c>
      <c r="R2337" t="s">
        <v>33</v>
      </c>
      <c r="S2337">
        <v>1</v>
      </c>
    </row>
    <row r="2338" spans="1:19" ht="16.5" x14ac:dyDescent="0.3">
      <c r="A2338" t="s">
        <v>2400</v>
      </c>
      <c r="B2338" s="1">
        <v>45614</v>
      </c>
      <c r="C2338" s="1">
        <v>45615</v>
      </c>
      <c r="D2338">
        <v>2024</v>
      </c>
      <c r="E2338" t="s">
        <v>2026</v>
      </c>
      <c r="F2338" t="s">
        <v>2260</v>
      </c>
      <c r="G2338" t="s">
        <v>22</v>
      </c>
      <c r="H2338" t="s">
        <v>23</v>
      </c>
      <c r="I2338" t="s">
        <v>24</v>
      </c>
      <c r="J2338" t="s">
        <v>25</v>
      </c>
      <c r="K2338" t="s">
        <v>53</v>
      </c>
      <c r="L2338" t="s">
        <v>27</v>
      </c>
      <c r="M2338">
        <v>1</v>
      </c>
      <c r="N2338" s="2">
        <v>33</v>
      </c>
      <c r="O2338" s="3">
        <v>1679</v>
      </c>
      <c r="P2338">
        <v>0</v>
      </c>
      <c r="Q2338">
        <v>5</v>
      </c>
      <c r="R2338" t="s">
        <v>33</v>
      </c>
      <c r="S2338">
        <v>1</v>
      </c>
    </row>
    <row r="2339" spans="1:19" ht="16.5" x14ac:dyDescent="0.3">
      <c r="A2339" t="s">
        <v>2401</v>
      </c>
      <c r="B2339" s="1">
        <v>45614</v>
      </c>
      <c r="C2339" s="1">
        <v>45618</v>
      </c>
      <c r="D2339">
        <v>2024</v>
      </c>
      <c r="E2339" t="s">
        <v>2026</v>
      </c>
      <c r="F2339" t="s">
        <v>2260</v>
      </c>
      <c r="G2339" t="s">
        <v>22</v>
      </c>
      <c r="H2339" t="s">
        <v>39</v>
      </c>
      <c r="I2339" t="s">
        <v>24</v>
      </c>
      <c r="J2339" t="s">
        <v>43</v>
      </c>
      <c r="K2339" t="s">
        <v>41</v>
      </c>
      <c r="L2339" t="s">
        <v>27</v>
      </c>
      <c r="M2339">
        <v>4</v>
      </c>
      <c r="N2339" s="2">
        <v>139</v>
      </c>
      <c r="O2339" s="3">
        <v>2851</v>
      </c>
      <c r="P2339">
        <v>0</v>
      </c>
      <c r="Q2339">
        <v>3</v>
      </c>
      <c r="R2339" t="s">
        <v>33</v>
      </c>
      <c r="S2339">
        <v>1</v>
      </c>
    </row>
    <row r="2340" spans="1:19" ht="16.5" x14ac:dyDescent="0.3">
      <c r="A2340" t="s">
        <v>2402</v>
      </c>
      <c r="B2340" s="1">
        <v>45614</v>
      </c>
      <c r="C2340" s="1">
        <v>45622</v>
      </c>
      <c r="D2340">
        <v>2024</v>
      </c>
      <c r="E2340" t="s">
        <v>2026</v>
      </c>
      <c r="F2340" t="s">
        <v>2260</v>
      </c>
      <c r="G2340" t="s">
        <v>22</v>
      </c>
      <c r="H2340" t="s">
        <v>50</v>
      </c>
      <c r="I2340" t="s">
        <v>24</v>
      </c>
      <c r="J2340" t="s">
        <v>43</v>
      </c>
      <c r="K2340" t="s">
        <v>26</v>
      </c>
      <c r="L2340" t="s">
        <v>27</v>
      </c>
      <c r="M2340">
        <v>8</v>
      </c>
      <c r="N2340" s="2">
        <v>47</v>
      </c>
      <c r="O2340" s="3">
        <v>10595</v>
      </c>
      <c r="P2340">
        <v>0</v>
      </c>
      <c r="Q2340">
        <v>5</v>
      </c>
      <c r="R2340" t="s">
        <v>28</v>
      </c>
      <c r="S2340">
        <v>1</v>
      </c>
    </row>
    <row r="2341" spans="1:19" ht="16.5" x14ac:dyDescent="0.3">
      <c r="A2341" t="s">
        <v>2403</v>
      </c>
      <c r="B2341" s="1">
        <v>45615</v>
      </c>
      <c r="C2341" s="1">
        <v>45618</v>
      </c>
      <c r="D2341">
        <v>2024</v>
      </c>
      <c r="E2341" t="s">
        <v>2026</v>
      </c>
      <c r="F2341" t="s">
        <v>2260</v>
      </c>
      <c r="G2341" t="s">
        <v>56</v>
      </c>
      <c r="H2341" t="s">
        <v>30</v>
      </c>
      <c r="I2341" t="s">
        <v>24</v>
      </c>
      <c r="J2341" t="s">
        <v>43</v>
      </c>
      <c r="K2341" t="s">
        <v>26</v>
      </c>
      <c r="L2341" t="s">
        <v>44</v>
      </c>
      <c r="M2341">
        <v>3</v>
      </c>
      <c r="N2341" s="2">
        <v>41</v>
      </c>
      <c r="O2341" s="3">
        <v>3227</v>
      </c>
      <c r="P2341">
        <v>0</v>
      </c>
      <c r="Q2341">
        <v>5</v>
      </c>
      <c r="R2341" t="s">
        <v>33</v>
      </c>
      <c r="S2341">
        <v>1</v>
      </c>
    </row>
    <row r="2342" spans="1:19" ht="16.5" x14ac:dyDescent="0.3">
      <c r="A2342" t="s">
        <v>2404</v>
      </c>
      <c r="B2342" s="1">
        <v>45615</v>
      </c>
      <c r="C2342" s="1">
        <v>45628</v>
      </c>
      <c r="D2342">
        <v>2024</v>
      </c>
      <c r="E2342" t="s">
        <v>2026</v>
      </c>
      <c r="F2342" t="s">
        <v>2260</v>
      </c>
      <c r="G2342" t="s">
        <v>56</v>
      </c>
      <c r="H2342" t="s">
        <v>23</v>
      </c>
      <c r="I2342" t="s">
        <v>24</v>
      </c>
      <c r="J2342" t="s">
        <v>25</v>
      </c>
      <c r="K2342" t="s">
        <v>26</v>
      </c>
      <c r="L2342" t="s">
        <v>37</v>
      </c>
      <c r="M2342">
        <v>13</v>
      </c>
      <c r="N2342" s="2">
        <v>54</v>
      </c>
      <c r="O2342" s="3">
        <v>9228</v>
      </c>
      <c r="P2342">
        <v>1</v>
      </c>
      <c r="Q2342">
        <v>3</v>
      </c>
      <c r="R2342" t="s">
        <v>33</v>
      </c>
      <c r="S2342">
        <v>1</v>
      </c>
    </row>
    <row r="2343" spans="1:19" ht="16.5" x14ac:dyDescent="0.3">
      <c r="A2343" t="s">
        <v>2405</v>
      </c>
      <c r="B2343" s="1">
        <v>45615</v>
      </c>
      <c r="C2343" s="1">
        <v>45618</v>
      </c>
      <c r="D2343">
        <v>2024</v>
      </c>
      <c r="E2343" t="s">
        <v>2026</v>
      </c>
      <c r="F2343" t="s">
        <v>2260</v>
      </c>
      <c r="G2343" t="s">
        <v>56</v>
      </c>
      <c r="H2343" t="s">
        <v>50</v>
      </c>
      <c r="I2343" t="s">
        <v>24</v>
      </c>
      <c r="J2343" t="s">
        <v>25</v>
      </c>
      <c r="K2343" t="s">
        <v>53</v>
      </c>
      <c r="L2343" t="s">
        <v>37</v>
      </c>
      <c r="M2343">
        <v>3</v>
      </c>
      <c r="N2343" s="2">
        <v>38</v>
      </c>
      <c r="O2343" s="3">
        <v>3612</v>
      </c>
      <c r="P2343">
        <v>0</v>
      </c>
      <c r="Q2343">
        <v>5</v>
      </c>
      <c r="R2343" t="s">
        <v>33</v>
      </c>
      <c r="S2343">
        <v>1</v>
      </c>
    </row>
    <row r="2344" spans="1:19" ht="16.5" x14ac:dyDescent="0.3">
      <c r="A2344" t="s">
        <v>2406</v>
      </c>
      <c r="B2344" s="1">
        <v>45615</v>
      </c>
      <c r="C2344" s="1">
        <v>45616</v>
      </c>
      <c r="D2344">
        <v>2024</v>
      </c>
      <c r="E2344" t="s">
        <v>2026</v>
      </c>
      <c r="F2344" t="s">
        <v>2260</v>
      </c>
      <c r="G2344" t="s">
        <v>56</v>
      </c>
      <c r="H2344" t="s">
        <v>23</v>
      </c>
      <c r="I2344" t="s">
        <v>40</v>
      </c>
      <c r="J2344" t="s">
        <v>25</v>
      </c>
      <c r="K2344" t="s">
        <v>53</v>
      </c>
      <c r="L2344" t="s">
        <v>27</v>
      </c>
      <c r="M2344">
        <v>1</v>
      </c>
      <c r="N2344" s="2"/>
      <c r="O2344" s="3">
        <v>1986</v>
      </c>
      <c r="P2344">
        <v>0</v>
      </c>
      <c r="Q2344">
        <v>2</v>
      </c>
      <c r="R2344" t="s">
        <v>33</v>
      </c>
      <c r="S2344">
        <v>1</v>
      </c>
    </row>
    <row r="2345" spans="1:19" ht="16.5" x14ac:dyDescent="0.3">
      <c r="A2345" t="s">
        <v>2407</v>
      </c>
      <c r="B2345" s="1">
        <v>45615</v>
      </c>
      <c r="C2345" s="1">
        <v>45621</v>
      </c>
      <c r="D2345">
        <v>2024</v>
      </c>
      <c r="E2345" t="s">
        <v>2026</v>
      </c>
      <c r="F2345" t="s">
        <v>2260</v>
      </c>
      <c r="G2345" t="s">
        <v>56</v>
      </c>
      <c r="H2345" t="s">
        <v>30</v>
      </c>
      <c r="I2345" t="s">
        <v>40</v>
      </c>
      <c r="J2345" t="s">
        <v>25</v>
      </c>
      <c r="K2345" t="s">
        <v>53</v>
      </c>
      <c r="L2345" t="s">
        <v>27</v>
      </c>
      <c r="M2345">
        <v>6</v>
      </c>
      <c r="N2345" s="2"/>
      <c r="O2345" s="3">
        <v>8172</v>
      </c>
      <c r="P2345">
        <v>0</v>
      </c>
      <c r="Q2345">
        <v>4</v>
      </c>
      <c r="R2345" t="s">
        <v>33</v>
      </c>
      <c r="S2345">
        <v>1</v>
      </c>
    </row>
    <row r="2346" spans="1:19" ht="16.5" x14ac:dyDescent="0.3">
      <c r="A2346" t="s">
        <v>2408</v>
      </c>
      <c r="B2346" s="1">
        <v>45615</v>
      </c>
      <c r="C2346" s="1">
        <v>45616</v>
      </c>
      <c r="D2346">
        <v>2024</v>
      </c>
      <c r="E2346" t="s">
        <v>2026</v>
      </c>
      <c r="F2346" t="s">
        <v>2260</v>
      </c>
      <c r="G2346" t="s">
        <v>56</v>
      </c>
      <c r="H2346" t="s">
        <v>35</v>
      </c>
      <c r="I2346" t="s">
        <v>24</v>
      </c>
      <c r="J2346" t="s">
        <v>25</v>
      </c>
      <c r="K2346" t="s">
        <v>36</v>
      </c>
      <c r="L2346" t="s">
        <v>44</v>
      </c>
      <c r="M2346">
        <v>1</v>
      </c>
      <c r="N2346" s="2">
        <v>166</v>
      </c>
      <c r="O2346" s="3">
        <v>1697</v>
      </c>
      <c r="P2346">
        <v>0</v>
      </c>
      <c r="Q2346">
        <v>2</v>
      </c>
      <c r="R2346" t="s">
        <v>33</v>
      </c>
      <c r="S2346">
        <v>1</v>
      </c>
    </row>
    <row r="2347" spans="1:19" ht="16.5" x14ac:dyDescent="0.3">
      <c r="A2347" t="s">
        <v>2409</v>
      </c>
      <c r="B2347" s="1">
        <v>45615</v>
      </c>
      <c r="C2347" s="1">
        <v>45617</v>
      </c>
      <c r="D2347">
        <v>2024</v>
      </c>
      <c r="E2347" t="s">
        <v>2026</v>
      </c>
      <c r="F2347" t="s">
        <v>2260</v>
      </c>
      <c r="G2347" t="s">
        <v>56</v>
      </c>
      <c r="H2347" t="s">
        <v>35</v>
      </c>
      <c r="I2347" t="s">
        <v>24</v>
      </c>
      <c r="J2347" t="s">
        <v>25</v>
      </c>
      <c r="K2347" t="s">
        <v>36</v>
      </c>
      <c r="L2347" t="s">
        <v>44</v>
      </c>
      <c r="M2347">
        <v>2</v>
      </c>
      <c r="N2347" s="2">
        <v>47</v>
      </c>
      <c r="O2347" s="3">
        <v>2720</v>
      </c>
      <c r="P2347">
        <v>0</v>
      </c>
      <c r="Q2347">
        <v>4</v>
      </c>
      <c r="R2347" t="s">
        <v>28</v>
      </c>
      <c r="S2347">
        <v>1</v>
      </c>
    </row>
    <row r="2348" spans="1:19" ht="16.5" x14ac:dyDescent="0.3">
      <c r="A2348" t="s">
        <v>2410</v>
      </c>
      <c r="B2348" s="1">
        <v>45615</v>
      </c>
      <c r="C2348" s="1">
        <v>45619</v>
      </c>
      <c r="D2348">
        <v>2024</v>
      </c>
      <c r="E2348" t="s">
        <v>2026</v>
      </c>
      <c r="F2348" t="s">
        <v>2260</v>
      </c>
      <c r="G2348" t="s">
        <v>56</v>
      </c>
      <c r="H2348" t="s">
        <v>35</v>
      </c>
      <c r="I2348" t="s">
        <v>40</v>
      </c>
      <c r="J2348" t="s">
        <v>25</v>
      </c>
      <c r="K2348" t="s">
        <v>32</v>
      </c>
      <c r="L2348" t="s">
        <v>37</v>
      </c>
      <c r="M2348">
        <v>4</v>
      </c>
      <c r="N2348" s="2"/>
      <c r="O2348" s="3">
        <v>2329</v>
      </c>
      <c r="P2348">
        <v>0</v>
      </c>
      <c r="Q2348">
        <v>5</v>
      </c>
      <c r="R2348" t="s">
        <v>33</v>
      </c>
      <c r="S2348">
        <v>1</v>
      </c>
    </row>
    <row r="2349" spans="1:19" ht="16.5" x14ac:dyDescent="0.3">
      <c r="A2349" t="s">
        <v>2411</v>
      </c>
      <c r="B2349" s="1">
        <v>45615</v>
      </c>
      <c r="C2349" s="1">
        <v>45621</v>
      </c>
      <c r="D2349">
        <v>2024</v>
      </c>
      <c r="E2349" t="s">
        <v>2026</v>
      </c>
      <c r="F2349" t="s">
        <v>2260</v>
      </c>
      <c r="G2349" t="s">
        <v>56</v>
      </c>
      <c r="H2349" t="s">
        <v>50</v>
      </c>
      <c r="I2349" t="s">
        <v>24</v>
      </c>
      <c r="J2349" t="s">
        <v>25</v>
      </c>
      <c r="K2349" t="s">
        <v>26</v>
      </c>
      <c r="L2349" t="s">
        <v>27</v>
      </c>
      <c r="M2349">
        <v>6</v>
      </c>
      <c r="N2349" s="2">
        <v>41</v>
      </c>
      <c r="O2349" s="3">
        <v>6878</v>
      </c>
      <c r="P2349">
        <v>1</v>
      </c>
      <c r="Q2349">
        <v>4</v>
      </c>
      <c r="R2349" t="s">
        <v>33</v>
      </c>
      <c r="S2349">
        <v>1</v>
      </c>
    </row>
    <row r="2350" spans="1:19" ht="16.5" x14ac:dyDescent="0.3">
      <c r="A2350" t="s">
        <v>2412</v>
      </c>
      <c r="B2350" s="1">
        <v>45615</v>
      </c>
      <c r="C2350" s="1">
        <v>45620</v>
      </c>
      <c r="D2350">
        <v>2024</v>
      </c>
      <c r="E2350" t="s">
        <v>2026</v>
      </c>
      <c r="F2350" t="s">
        <v>2260</v>
      </c>
      <c r="G2350" t="s">
        <v>56</v>
      </c>
      <c r="H2350" t="s">
        <v>35</v>
      </c>
      <c r="I2350" t="s">
        <v>24</v>
      </c>
      <c r="J2350" t="s">
        <v>25</v>
      </c>
      <c r="K2350" t="s">
        <v>36</v>
      </c>
      <c r="L2350" t="s">
        <v>44</v>
      </c>
      <c r="M2350">
        <v>5</v>
      </c>
      <c r="N2350" s="2">
        <v>103</v>
      </c>
      <c r="O2350" s="3">
        <v>4009</v>
      </c>
      <c r="P2350">
        <v>0</v>
      </c>
      <c r="Q2350">
        <v>3</v>
      </c>
      <c r="R2350" t="s">
        <v>33</v>
      </c>
      <c r="S2350">
        <v>1</v>
      </c>
    </row>
    <row r="2351" spans="1:19" ht="16.5" x14ac:dyDescent="0.3">
      <c r="A2351" t="s">
        <v>2413</v>
      </c>
      <c r="B2351" s="1">
        <v>45615</v>
      </c>
      <c r="C2351" s="1">
        <v>45623</v>
      </c>
      <c r="D2351">
        <v>2024</v>
      </c>
      <c r="E2351" t="s">
        <v>2026</v>
      </c>
      <c r="F2351" t="s">
        <v>2260</v>
      </c>
      <c r="G2351" t="s">
        <v>56</v>
      </c>
      <c r="H2351" t="s">
        <v>23</v>
      </c>
      <c r="I2351" t="s">
        <v>40</v>
      </c>
      <c r="J2351" t="s">
        <v>43</v>
      </c>
      <c r="K2351" t="s">
        <v>26</v>
      </c>
      <c r="L2351" t="s">
        <v>27</v>
      </c>
      <c r="M2351">
        <v>8</v>
      </c>
      <c r="N2351" s="2"/>
      <c r="O2351" s="3">
        <v>6105</v>
      </c>
      <c r="P2351">
        <v>0</v>
      </c>
      <c r="Q2351">
        <v>4</v>
      </c>
      <c r="R2351" t="s">
        <v>33</v>
      </c>
      <c r="S2351">
        <v>1</v>
      </c>
    </row>
    <row r="2352" spans="1:19" ht="16.5" x14ac:dyDescent="0.3">
      <c r="A2352" t="s">
        <v>2414</v>
      </c>
      <c r="B2352" s="1">
        <v>45615</v>
      </c>
      <c r="C2352" s="1">
        <v>45618</v>
      </c>
      <c r="D2352">
        <v>2024</v>
      </c>
      <c r="E2352" t="s">
        <v>2026</v>
      </c>
      <c r="F2352" t="s">
        <v>2260</v>
      </c>
      <c r="G2352" t="s">
        <v>56</v>
      </c>
      <c r="H2352" t="s">
        <v>30</v>
      </c>
      <c r="I2352" t="s">
        <v>40</v>
      </c>
      <c r="J2352" t="s">
        <v>43</v>
      </c>
      <c r="K2352" t="s">
        <v>26</v>
      </c>
      <c r="L2352" t="s">
        <v>37</v>
      </c>
      <c r="M2352">
        <v>3</v>
      </c>
      <c r="N2352" s="2"/>
      <c r="O2352" s="3">
        <v>3256</v>
      </c>
      <c r="P2352">
        <v>0</v>
      </c>
      <c r="Q2352">
        <v>5</v>
      </c>
      <c r="R2352" t="s">
        <v>33</v>
      </c>
      <c r="S2352">
        <v>1</v>
      </c>
    </row>
    <row r="2353" spans="1:19" ht="16.5" x14ac:dyDescent="0.3">
      <c r="A2353" t="s">
        <v>2415</v>
      </c>
      <c r="B2353" s="1">
        <v>45616</v>
      </c>
      <c r="C2353" s="1">
        <v>45619</v>
      </c>
      <c r="D2353">
        <v>2024</v>
      </c>
      <c r="E2353" t="s">
        <v>2026</v>
      </c>
      <c r="F2353" t="s">
        <v>2260</v>
      </c>
      <c r="G2353" t="s">
        <v>70</v>
      </c>
      <c r="H2353" t="s">
        <v>35</v>
      </c>
      <c r="I2353" t="s">
        <v>31</v>
      </c>
      <c r="J2353" t="s">
        <v>25</v>
      </c>
      <c r="K2353" t="s">
        <v>32</v>
      </c>
      <c r="L2353" t="s">
        <v>27</v>
      </c>
      <c r="M2353">
        <v>3</v>
      </c>
      <c r="N2353" s="2"/>
      <c r="O2353" s="3">
        <v>3605</v>
      </c>
      <c r="P2353">
        <v>0</v>
      </c>
      <c r="Q2353">
        <v>3</v>
      </c>
      <c r="R2353" t="s">
        <v>33</v>
      </c>
      <c r="S2353">
        <v>1</v>
      </c>
    </row>
    <row r="2354" spans="1:19" ht="16.5" x14ac:dyDescent="0.3">
      <c r="A2354" t="s">
        <v>2416</v>
      </c>
      <c r="B2354" s="1">
        <v>45616</v>
      </c>
      <c r="C2354" s="1">
        <v>45617</v>
      </c>
      <c r="D2354">
        <v>2024</v>
      </c>
      <c r="E2354" t="s">
        <v>2026</v>
      </c>
      <c r="F2354" t="s">
        <v>2260</v>
      </c>
      <c r="G2354" t="s">
        <v>70</v>
      </c>
      <c r="H2354" t="s">
        <v>30</v>
      </c>
      <c r="I2354" t="s">
        <v>40</v>
      </c>
      <c r="J2354" t="s">
        <v>43</v>
      </c>
      <c r="K2354" t="s">
        <v>26</v>
      </c>
      <c r="L2354" t="s">
        <v>44</v>
      </c>
      <c r="M2354">
        <v>1</v>
      </c>
      <c r="N2354" s="2"/>
      <c r="O2354" s="3">
        <v>1728</v>
      </c>
      <c r="P2354">
        <v>0</v>
      </c>
      <c r="Q2354">
        <v>4</v>
      </c>
      <c r="R2354" t="s">
        <v>33</v>
      </c>
      <c r="S2354">
        <v>1</v>
      </c>
    </row>
    <row r="2355" spans="1:19" ht="16.5" x14ac:dyDescent="0.3">
      <c r="A2355" t="s">
        <v>2417</v>
      </c>
      <c r="B2355" s="1">
        <v>45616</v>
      </c>
      <c r="C2355" s="1">
        <v>45625</v>
      </c>
      <c r="D2355">
        <v>2024</v>
      </c>
      <c r="E2355" t="s">
        <v>2026</v>
      </c>
      <c r="F2355" t="s">
        <v>2260</v>
      </c>
      <c r="G2355" t="s">
        <v>70</v>
      </c>
      <c r="H2355" t="s">
        <v>23</v>
      </c>
      <c r="I2355" t="s">
        <v>40</v>
      </c>
      <c r="J2355" t="s">
        <v>43</v>
      </c>
      <c r="K2355" t="s">
        <v>26</v>
      </c>
      <c r="L2355" t="s">
        <v>44</v>
      </c>
      <c r="M2355">
        <v>9</v>
      </c>
      <c r="N2355" s="2"/>
      <c r="O2355" s="3">
        <v>7317</v>
      </c>
      <c r="P2355">
        <v>1</v>
      </c>
      <c r="Q2355">
        <v>4</v>
      </c>
      <c r="R2355" t="s">
        <v>59</v>
      </c>
      <c r="S2355">
        <v>1</v>
      </c>
    </row>
    <row r="2356" spans="1:19" ht="16.5" x14ac:dyDescent="0.3">
      <c r="A2356" t="s">
        <v>2418</v>
      </c>
      <c r="B2356" s="1">
        <v>45616</v>
      </c>
      <c r="C2356" s="1">
        <v>45620</v>
      </c>
      <c r="D2356">
        <v>2024</v>
      </c>
      <c r="E2356" t="s">
        <v>2026</v>
      </c>
      <c r="F2356" t="s">
        <v>2260</v>
      </c>
      <c r="G2356" t="s">
        <v>70</v>
      </c>
      <c r="H2356" t="s">
        <v>30</v>
      </c>
      <c r="I2356" t="s">
        <v>31</v>
      </c>
      <c r="J2356" t="s">
        <v>43</v>
      </c>
      <c r="K2356" t="s">
        <v>32</v>
      </c>
      <c r="L2356" t="s">
        <v>44</v>
      </c>
      <c r="M2356">
        <v>4</v>
      </c>
      <c r="N2356" s="2"/>
      <c r="O2356" s="3">
        <v>4952</v>
      </c>
      <c r="P2356">
        <v>0</v>
      </c>
      <c r="Q2356">
        <v>5</v>
      </c>
      <c r="R2356" t="s">
        <v>33</v>
      </c>
      <c r="S2356">
        <v>1</v>
      </c>
    </row>
    <row r="2357" spans="1:19" ht="16.5" x14ac:dyDescent="0.3">
      <c r="A2357" t="s">
        <v>2419</v>
      </c>
      <c r="B2357" s="1">
        <v>45616</v>
      </c>
      <c r="C2357" s="1">
        <v>45618</v>
      </c>
      <c r="D2357">
        <v>2024</v>
      </c>
      <c r="E2357" t="s">
        <v>2026</v>
      </c>
      <c r="F2357" t="s">
        <v>2260</v>
      </c>
      <c r="G2357" t="s">
        <v>70</v>
      </c>
      <c r="H2357" t="s">
        <v>23</v>
      </c>
      <c r="I2357" t="s">
        <v>24</v>
      </c>
      <c r="J2357" t="s">
        <v>43</v>
      </c>
      <c r="K2357" t="s">
        <v>26</v>
      </c>
      <c r="L2357" t="s">
        <v>27</v>
      </c>
      <c r="M2357">
        <v>2</v>
      </c>
      <c r="N2357" s="2">
        <v>37</v>
      </c>
      <c r="O2357" s="3">
        <v>2152</v>
      </c>
      <c r="P2357">
        <v>1</v>
      </c>
      <c r="Q2357">
        <v>2</v>
      </c>
      <c r="R2357" t="s">
        <v>28</v>
      </c>
      <c r="S2357">
        <v>1</v>
      </c>
    </row>
    <row r="2358" spans="1:19" ht="16.5" x14ac:dyDescent="0.3">
      <c r="A2358" t="s">
        <v>2420</v>
      </c>
      <c r="B2358" s="1">
        <v>45616</v>
      </c>
      <c r="C2358" s="1">
        <v>45619</v>
      </c>
      <c r="D2358">
        <v>2024</v>
      </c>
      <c r="E2358" t="s">
        <v>2026</v>
      </c>
      <c r="F2358" t="s">
        <v>2260</v>
      </c>
      <c r="G2358" t="s">
        <v>70</v>
      </c>
      <c r="H2358" t="s">
        <v>50</v>
      </c>
      <c r="I2358" t="s">
        <v>40</v>
      </c>
      <c r="J2358" t="s">
        <v>25</v>
      </c>
      <c r="K2358" t="s">
        <v>26</v>
      </c>
      <c r="L2358" t="s">
        <v>27</v>
      </c>
      <c r="M2358">
        <v>3</v>
      </c>
      <c r="N2358" s="2"/>
      <c r="O2358" s="3">
        <v>4811</v>
      </c>
      <c r="P2358">
        <v>0</v>
      </c>
      <c r="Q2358">
        <v>4</v>
      </c>
      <c r="R2358" t="s">
        <v>33</v>
      </c>
      <c r="S2358">
        <v>1</v>
      </c>
    </row>
    <row r="2359" spans="1:19" ht="16.5" x14ac:dyDescent="0.3">
      <c r="A2359" t="s">
        <v>2421</v>
      </c>
      <c r="B2359" s="1">
        <v>45616</v>
      </c>
      <c r="C2359" s="1">
        <v>45617</v>
      </c>
      <c r="D2359">
        <v>2024</v>
      </c>
      <c r="E2359" t="s">
        <v>2026</v>
      </c>
      <c r="F2359" t="s">
        <v>2260</v>
      </c>
      <c r="G2359" t="s">
        <v>70</v>
      </c>
      <c r="H2359" t="s">
        <v>39</v>
      </c>
      <c r="I2359" t="s">
        <v>24</v>
      </c>
      <c r="J2359" t="s">
        <v>25</v>
      </c>
      <c r="K2359" t="s">
        <v>41</v>
      </c>
      <c r="L2359" t="s">
        <v>44</v>
      </c>
      <c r="M2359">
        <v>1</v>
      </c>
      <c r="N2359" s="2">
        <v>105</v>
      </c>
      <c r="O2359" s="3">
        <v>1794</v>
      </c>
      <c r="P2359">
        <v>0</v>
      </c>
      <c r="Q2359">
        <v>3</v>
      </c>
      <c r="R2359" t="s">
        <v>33</v>
      </c>
      <c r="S2359">
        <v>1</v>
      </c>
    </row>
    <row r="2360" spans="1:19" ht="16.5" x14ac:dyDescent="0.3">
      <c r="A2360" t="s">
        <v>2422</v>
      </c>
      <c r="B2360" s="1">
        <v>45616</v>
      </c>
      <c r="C2360" s="1">
        <v>45623</v>
      </c>
      <c r="D2360">
        <v>2024</v>
      </c>
      <c r="E2360" t="s">
        <v>2026</v>
      </c>
      <c r="F2360" t="s">
        <v>2260</v>
      </c>
      <c r="G2360" t="s">
        <v>70</v>
      </c>
      <c r="H2360" t="s">
        <v>23</v>
      </c>
      <c r="I2360" t="s">
        <v>24</v>
      </c>
      <c r="J2360" t="s">
        <v>43</v>
      </c>
      <c r="K2360" t="s">
        <v>26</v>
      </c>
      <c r="L2360" t="s">
        <v>44</v>
      </c>
      <c r="M2360">
        <v>7</v>
      </c>
      <c r="N2360" s="2">
        <v>93</v>
      </c>
      <c r="O2360" s="3">
        <v>5958</v>
      </c>
      <c r="P2360">
        <v>0</v>
      </c>
      <c r="Q2360">
        <v>3</v>
      </c>
      <c r="R2360" t="s">
        <v>33</v>
      </c>
      <c r="S2360">
        <v>1</v>
      </c>
    </row>
    <row r="2361" spans="1:19" ht="16.5" x14ac:dyDescent="0.3">
      <c r="A2361" t="s">
        <v>2423</v>
      </c>
      <c r="B2361" s="1">
        <v>45616</v>
      </c>
      <c r="C2361" s="1">
        <v>45619</v>
      </c>
      <c r="D2361">
        <v>2024</v>
      </c>
      <c r="E2361" t="s">
        <v>2026</v>
      </c>
      <c r="F2361" t="s">
        <v>2260</v>
      </c>
      <c r="G2361" t="s">
        <v>70</v>
      </c>
      <c r="H2361" t="s">
        <v>30</v>
      </c>
      <c r="I2361" t="s">
        <v>24</v>
      </c>
      <c r="J2361" t="s">
        <v>43</v>
      </c>
      <c r="K2361" t="s">
        <v>26</v>
      </c>
      <c r="L2361" t="s">
        <v>27</v>
      </c>
      <c r="M2361">
        <v>3</v>
      </c>
      <c r="N2361" s="2">
        <v>59</v>
      </c>
      <c r="O2361" s="3">
        <v>3739</v>
      </c>
      <c r="P2361">
        <v>0</v>
      </c>
      <c r="Q2361">
        <v>4</v>
      </c>
      <c r="R2361" t="s">
        <v>33</v>
      </c>
      <c r="S2361">
        <v>1</v>
      </c>
    </row>
    <row r="2362" spans="1:19" ht="16.5" x14ac:dyDescent="0.3">
      <c r="A2362" t="s">
        <v>2424</v>
      </c>
      <c r="B2362" s="1">
        <v>45616</v>
      </c>
      <c r="C2362" s="1">
        <v>45618</v>
      </c>
      <c r="D2362">
        <v>2024</v>
      </c>
      <c r="E2362" t="s">
        <v>2026</v>
      </c>
      <c r="F2362" t="s">
        <v>2260</v>
      </c>
      <c r="G2362" t="s">
        <v>70</v>
      </c>
      <c r="H2362" t="s">
        <v>50</v>
      </c>
      <c r="I2362" t="s">
        <v>24</v>
      </c>
      <c r="J2362" t="s">
        <v>43</v>
      </c>
      <c r="K2362" t="s">
        <v>36</v>
      </c>
      <c r="L2362" t="s">
        <v>44</v>
      </c>
      <c r="M2362">
        <v>2</v>
      </c>
      <c r="N2362" s="2">
        <v>81</v>
      </c>
      <c r="O2362" s="3">
        <v>3040</v>
      </c>
      <c r="P2362">
        <v>0</v>
      </c>
      <c r="Q2362">
        <v>4</v>
      </c>
      <c r="R2362" t="s">
        <v>33</v>
      </c>
      <c r="S2362">
        <v>1</v>
      </c>
    </row>
    <row r="2363" spans="1:19" ht="16.5" x14ac:dyDescent="0.3">
      <c r="A2363" t="s">
        <v>2425</v>
      </c>
      <c r="B2363" s="1">
        <v>45616</v>
      </c>
      <c r="C2363" s="1">
        <v>45619</v>
      </c>
      <c r="D2363">
        <v>2024</v>
      </c>
      <c r="E2363" t="s">
        <v>2026</v>
      </c>
      <c r="F2363" t="s">
        <v>2260</v>
      </c>
      <c r="G2363" t="s">
        <v>70</v>
      </c>
      <c r="H2363" t="s">
        <v>35</v>
      </c>
      <c r="I2363" t="s">
        <v>24</v>
      </c>
      <c r="J2363" t="s">
        <v>25</v>
      </c>
      <c r="K2363" t="s">
        <v>32</v>
      </c>
      <c r="L2363" t="s">
        <v>44</v>
      </c>
      <c r="M2363">
        <v>3</v>
      </c>
      <c r="N2363" s="2">
        <v>53</v>
      </c>
      <c r="O2363" s="3">
        <v>3183</v>
      </c>
      <c r="P2363">
        <v>0</v>
      </c>
      <c r="Q2363">
        <v>5</v>
      </c>
      <c r="R2363" t="s">
        <v>33</v>
      </c>
      <c r="S2363">
        <v>1</v>
      </c>
    </row>
    <row r="2364" spans="1:19" ht="16.5" x14ac:dyDescent="0.3">
      <c r="A2364" t="s">
        <v>2426</v>
      </c>
      <c r="B2364" s="1">
        <v>45616</v>
      </c>
      <c r="C2364" s="1">
        <v>45618</v>
      </c>
      <c r="D2364">
        <v>2024</v>
      </c>
      <c r="E2364" t="s">
        <v>2026</v>
      </c>
      <c r="F2364" t="s">
        <v>2260</v>
      </c>
      <c r="G2364" t="s">
        <v>70</v>
      </c>
      <c r="H2364" t="s">
        <v>35</v>
      </c>
      <c r="I2364" t="s">
        <v>31</v>
      </c>
      <c r="J2364" t="s">
        <v>25</v>
      </c>
      <c r="K2364" t="s">
        <v>32</v>
      </c>
      <c r="L2364" t="s">
        <v>27</v>
      </c>
      <c r="M2364">
        <v>2</v>
      </c>
      <c r="N2364" s="2"/>
      <c r="O2364" s="3">
        <v>2064</v>
      </c>
      <c r="P2364">
        <v>0</v>
      </c>
      <c r="Q2364">
        <v>5</v>
      </c>
      <c r="R2364" t="s">
        <v>33</v>
      </c>
      <c r="S2364">
        <v>1</v>
      </c>
    </row>
    <row r="2365" spans="1:19" ht="16.5" x14ac:dyDescent="0.3">
      <c r="A2365" t="s">
        <v>2427</v>
      </c>
      <c r="B2365" s="1">
        <v>45617</v>
      </c>
      <c r="C2365" s="1">
        <v>45622</v>
      </c>
      <c r="D2365">
        <v>2024</v>
      </c>
      <c r="E2365" t="s">
        <v>2026</v>
      </c>
      <c r="F2365" t="s">
        <v>2260</v>
      </c>
      <c r="G2365" t="s">
        <v>78</v>
      </c>
      <c r="H2365" t="s">
        <v>50</v>
      </c>
      <c r="I2365" t="s">
        <v>24</v>
      </c>
      <c r="J2365" t="s">
        <v>43</v>
      </c>
      <c r="K2365" t="s">
        <v>26</v>
      </c>
      <c r="L2365" t="s">
        <v>44</v>
      </c>
      <c r="M2365">
        <v>5</v>
      </c>
      <c r="N2365" s="2">
        <v>120</v>
      </c>
      <c r="O2365" s="3">
        <v>6501</v>
      </c>
      <c r="P2365">
        <v>0</v>
      </c>
      <c r="Q2365">
        <v>4</v>
      </c>
      <c r="R2365" t="s">
        <v>33</v>
      </c>
      <c r="S2365">
        <v>1</v>
      </c>
    </row>
    <row r="2366" spans="1:19" ht="16.5" x14ac:dyDescent="0.3">
      <c r="A2366" t="s">
        <v>2428</v>
      </c>
      <c r="B2366" s="1">
        <v>45617</v>
      </c>
      <c r="C2366" s="1">
        <v>45618</v>
      </c>
      <c r="D2366">
        <v>2024</v>
      </c>
      <c r="E2366" t="s">
        <v>2026</v>
      </c>
      <c r="F2366" t="s">
        <v>2260</v>
      </c>
      <c r="G2366" t="s">
        <v>78</v>
      </c>
      <c r="H2366" t="s">
        <v>30</v>
      </c>
      <c r="I2366" t="s">
        <v>40</v>
      </c>
      <c r="J2366" t="s">
        <v>43</v>
      </c>
      <c r="K2366" t="s">
        <v>53</v>
      </c>
      <c r="L2366" t="s">
        <v>44</v>
      </c>
      <c r="M2366">
        <v>1</v>
      </c>
      <c r="N2366" s="2"/>
      <c r="O2366" s="3">
        <v>2004</v>
      </c>
      <c r="P2366">
        <v>0</v>
      </c>
      <c r="Q2366">
        <v>5</v>
      </c>
      <c r="R2366" t="s">
        <v>33</v>
      </c>
      <c r="S2366">
        <v>1</v>
      </c>
    </row>
    <row r="2367" spans="1:19" ht="16.5" x14ac:dyDescent="0.3">
      <c r="A2367" t="s">
        <v>2429</v>
      </c>
      <c r="B2367" s="1">
        <v>45617</v>
      </c>
      <c r="C2367" s="1">
        <v>45618</v>
      </c>
      <c r="D2367">
        <v>2024</v>
      </c>
      <c r="E2367" t="s">
        <v>2026</v>
      </c>
      <c r="F2367" t="s">
        <v>2260</v>
      </c>
      <c r="G2367" t="s">
        <v>78</v>
      </c>
      <c r="H2367" t="s">
        <v>52</v>
      </c>
      <c r="I2367" t="s">
        <v>40</v>
      </c>
      <c r="J2367" t="s">
        <v>25</v>
      </c>
      <c r="K2367" t="s">
        <v>36</v>
      </c>
      <c r="L2367" t="s">
        <v>27</v>
      </c>
      <c r="M2367">
        <v>1</v>
      </c>
      <c r="N2367" s="2"/>
      <c r="O2367" s="3">
        <v>1866</v>
      </c>
      <c r="P2367">
        <v>0</v>
      </c>
      <c r="Q2367">
        <v>4</v>
      </c>
      <c r="R2367" t="s">
        <v>59</v>
      </c>
      <c r="S2367">
        <v>1</v>
      </c>
    </row>
    <row r="2368" spans="1:19" ht="16.5" x14ac:dyDescent="0.3">
      <c r="A2368" t="s">
        <v>2430</v>
      </c>
      <c r="B2368" s="1">
        <v>45617</v>
      </c>
      <c r="C2368" s="1">
        <v>45621</v>
      </c>
      <c r="D2368">
        <v>2024</v>
      </c>
      <c r="E2368" t="s">
        <v>2026</v>
      </c>
      <c r="F2368" t="s">
        <v>2260</v>
      </c>
      <c r="G2368" t="s">
        <v>78</v>
      </c>
      <c r="H2368" t="s">
        <v>35</v>
      </c>
      <c r="I2368" t="s">
        <v>40</v>
      </c>
      <c r="J2368" t="s">
        <v>25</v>
      </c>
      <c r="K2368" t="s">
        <v>36</v>
      </c>
      <c r="L2368" t="s">
        <v>44</v>
      </c>
      <c r="M2368">
        <v>4</v>
      </c>
      <c r="N2368" s="2"/>
      <c r="O2368" s="3">
        <v>3130</v>
      </c>
      <c r="P2368">
        <v>0</v>
      </c>
      <c r="Q2368">
        <v>2</v>
      </c>
      <c r="R2368" t="s">
        <v>59</v>
      </c>
      <c r="S2368">
        <v>1</v>
      </c>
    </row>
    <row r="2369" spans="1:19" ht="16.5" x14ac:dyDescent="0.3">
      <c r="A2369" t="s">
        <v>2431</v>
      </c>
      <c r="B2369" s="1">
        <v>45617</v>
      </c>
      <c r="C2369" s="1">
        <v>45620</v>
      </c>
      <c r="D2369">
        <v>2024</v>
      </c>
      <c r="E2369" t="s">
        <v>2026</v>
      </c>
      <c r="F2369" t="s">
        <v>2260</v>
      </c>
      <c r="G2369" t="s">
        <v>78</v>
      </c>
      <c r="H2369" t="s">
        <v>30</v>
      </c>
      <c r="I2369" t="s">
        <v>40</v>
      </c>
      <c r="J2369" t="s">
        <v>25</v>
      </c>
      <c r="K2369" t="s">
        <v>26</v>
      </c>
      <c r="L2369" t="s">
        <v>44</v>
      </c>
      <c r="M2369">
        <v>3</v>
      </c>
      <c r="N2369" s="2"/>
      <c r="O2369" s="3">
        <v>4795</v>
      </c>
      <c r="P2369">
        <v>0</v>
      </c>
      <c r="Q2369">
        <v>5</v>
      </c>
      <c r="R2369" t="s">
        <v>33</v>
      </c>
      <c r="S2369">
        <v>1</v>
      </c>
    </row>
    <row r="2370" spans="1:19" ht="16.5" x14ac:dyDescent="0.3">
      <c r="A2370" t="s">
        <v>2432</v>
      </c>
      <c r="B2370" s="1">
        <v>45617</v>
      </c>
      <c r="C2370" s="1">
        <v>45620</v>
      </c>
      <c r="D2370">
        <v>2024</v>
      </c>
      <c r="E2370" t="s">
        <v>2026</v>
      </c>
      <c r="F2370" t="s">
        <v>2260</v>
      </c>
      <c r="G2370" t="s">
        <v>78</v>
      </c>
      <c r="H2370" t="s">
        <v>39</v>
      </c>
      <c r="I2370" t="s">
        <v>24</v>
      </c>
      <c r="J2370" t="s">
        <v>43</v>
      </c>
      <c r="K2370" t="s">
        <v>41</v>
      </c>
      <c r="L2370" t="s">
        <v>37</v>
      </c>
      <c r="M2370">
        <v>3</v>
      </c>
      <c r="N2370" s="2">
        <v>36</v>
      </c>
      <c r="O2370" s="3">
        <v>2706</v>
      </c>
      <c r="P2370">
        <v>0</v>
      </c>
      <c r="Q2370">
        <v>4</v>
      </c>
      <c r="R2370" t="s">
        <v>28</v>
      </c>
      <c r="S2370">
        <v>1</v>
      </c>
    </row>
    <row r="2371" spans="1:19" ht="16.5" x14ac:dyDescent="0.3">
      <c r="A2371" t="s">
        <v>2433</v>
      </c>
      <c r="B2371" s="1">
        <v>45617</v>
      </c>
      <c r="C2371" s="1">
        <v>45627</v>
      </c>
      <c r="D2371">
        <v>2024</v>
      </c>
      <c r="E2371" t="s">
        <v>2026</v>
      </c>
      <c r="F2371" t="s">
        <v>2260</v>
      </c>
      <c r="G2371" t="s">
        <v>78</v>
      </c>
      <c r="H2371" t="s">
        <v>23</v>
      </c>
      <c r="I2371" t="s">
        <v>24</v>
      </c>
      <c r="J2371" t="s">
        <v>25</v>
      </c>
      <c r="K2371" t="s">
        <v>26</v>
      </c>
      <c r="L2371" t="s">
        <v>44</v>
      </c>
      <c r="M2371">
        <v>10</v>
      </c>
      <c r="N2371" s="2">
        <v>37</v>
      </c>
      <c r="O2371" s="3">
        <v>7738</v>
      </c>
      <c r="P2371">
        <v>0</v>
      </c>
      <c r="Q2371">
        <v>4</v>
      </c>
      <c r="R2371" t="s">
        <v>28</v>
      </c>
      <c r="S2371">
        <v>1</v>
      </c>
    </row>
    <row r="2372" spans="1:19" ht="16.5" x14ac:dyDescent="0.3">
      <c r="A2372" t="s">
        <v>2434</v>
      </c>
      <c r="B2372" s="1">
        <v>45618</v>
      </c>
      <c r="C2372" s="1">
        <v>45623</v>
      </c>
      <c r="D2372">
        <v>2024</v>
      </c>
      <c r="E2372" t="s">
        <v>2026</v>
      </c>
      <c r="F2372" t="s">
        <v>2260</v>
      </c>
      <c r="G2372" t="s">
        <v>83</v>
      </c>
      <c r="H2372" t="s">
        <v>52</v>
      </c>
      <c r="I2372" t="s">
        <v>24</v>
      </c>
      <c r="J2372" t="s">
        <v>25</v>
      </c>
      <c r="K2372" t="s">
        <v>26</v>
      </c>
      <c r="L2372" t="s">
        <v>44</v>
      </c>
      <c r="M2372">
        <v>5</v>
      </c>
      <c r="N2372" s="2">
        <v>86</v>
      </c>
      <c r="O2372" s="3">
        <v>6056</v>
      </c>
      <c r="P2372">
        <v>0</v>
      </c>
      <c r="Q2372">
        <v>4</v>
      </c>
      <c r="R2372" t="s">
        <v>28</v>
      </c>
      <c r="S2372">
        <v>1</v>
      </c>
    </row>
    <row r="2373" spans="1:19" ht="16.5" x14ac:dyDescent="0.3">
      <c r="A2373" t="s">
        <v>2435</v>
      </c>
      <c r="B2373" s="1">
        <v>45618</v>
      </c>
      <c r="C2373" s="1">
        <v>45623</v>
      </c>
      <c r="D2373">
        <v>2024</v>
      </c>
      <c r="E2373" t="s">
        <v>2026</v>
      </c>
      <c r="F2373" t="s">
        <v>2260</v>
      </c>
      <c r="G2373" t="s">
        <v>83</v>
      </c>
      <c r="H2373" t="s">
        <v>23</v>
      </c>
      <c r="I2373" t="s">
        <v>24</v>
      </c>
      <c r="J2373" t="s">
        <v>25</v>
      </c>
      <c r="K2373" t="s">
        <v>26</v>
      </c>
      <c r="L2373" t="s">
        <v>27</v>
      </c>
      <c r="M2373">
        <v>5</v>
      </c>
      <c r="N2373" s="2">
        <v>65</v>
      </c>
      <c r="O2373" s="3">
        <v>4348</v>
      </c>
      <c r="P2373">
        <v>0</v>
      </c>
      <c r="Q2373">
        <v>4</v>
      </c>
      <c r="R2373" t="s">
        <v>59</v>
      </c>
      <c r="S2373">
        <v>1</v>
      </c>
    </row>
    <row r="2374" spans="1:19" ht="16.5" x14ac:dyDescent="0.3">
      <c r="A2374" t="s">
        <v>2436</v>
      </c>
      <c r="B2374" s="1">
        <v>45618</v>
      </c>
      <c r="C2374" s="1">
        <v>45620</v>
      </c>
      <c r="D2374">
        <v>2024</v>
      </c>
      <c r="E2374" t="s">
        <v>2026</v>
      </c>
      <c r="F2374" t="s">
        <v>2260</v>
      </c>
      <c r="G2374" t="s">
        <v>83</v>
      </c>
      <c r="H2374" t="s">
        <v>39</v>
      </c>
      <c r="I2374" t="s">
        <v>24</v>
      </c>
      <c r="J2374" t="s">
        <v>25</v>
      </c>
      <c r="K2374" t="s">
        <v>41</v>
      </c>
      <c r="L2374" t="s">
        <v>27</v>
      </c>
      <c r="M2374">
        <v>2</v>
      </c>
      <c r="N2374" s="2">
        <v>49</v>
      </c>
      <c r="O2374" s="3">
        <v>1971</v>
      </c>
      <c r="P2374">
        <v>0</v>
      </c>
      <c r="Q2374">
        <v>4</v>
      </c>
      <c r="R2374" t="s">
        <v>33</v>
      </c>
      <c r="S2374">
        <v>1</v>
      </c>
    </row>
    <row r="2375" spans="1:19" ht="16.5" x14ac:dyDescent="0.3">
      <c r="A2375" t="s">
        <v>2437</v>
      </c>
      <c r="B2375" s="1">
        <v>45618</v>
      </c>
      <c r="C2375" s="1">
        <v>45631</v>
      </c>
      <c r="D2375">
        <v>2024</v>
      </c>
      <c r="E2375" t="s">
        <v>2026</v>
      </c>
      <c r="F2375" t="s">
        <v>2260</v>
      </c>
      <c r="G2375" t="s">
        <v>83</v>
      </c>
      <c r="H2375" t="s">
        <v>23</v>
      </c>
      <c r="I2375" t="s">
        <v>24</v>
      </c>
      <c r="J2375" t="s">
        <v>25</v>
      </c>
      <c r="K2375" t="s">
        <v>26</v>
      </c>
      <c r="L2375" t="s">
        <v>27</v>
      </c>
      <c r="M2375">
        <v>13</v>
      </c>
      <c r="N2375" s="2">
        <v>37</v>
      </c>
      <c r="O2375" s="3">
        <v>6124</v>
      </c>
      <c r="P2375">
        <v>1</v>
      </c>
      <c r="Q2375">
        <v>4</v>
      </c>
      <c r="R2375" t="s">
        <v>33</v>
      </c>
      <c r="S2375">
        <v>1</v>
      </c>
    </row>
    <row r="2376" spans="1:19" ht="16.5" x14ac:dyDescent="0.3">
      <c r="A2376" t="s">
        <v>2438</v>
      </c>
      <c r="B2376" s="1">
        <v>45618</v>
      </c>
      <c r="C2376" s="1">
        <v>45622</v>
      </c>
      <c r="D2376">
        <v>2024</v>
      </c>
      <c r="E2376" t="s">
        <v>2026</v>
      </c>
      <c r="F2376" t="s">
        <v>2260</v>
      </c>
      <c r="G2376" t="s">
        <v>83</v>
      </c>
      <c r="H2376" t="s">
        <v>52</v>
      </c>
      <c r="I2376" t="s">
        <v>40</v>
      </c>
      <c r="J2376" t="s">
        <v>25</v>
      </c>
      <c r="K2376" t="s">
        <v>32</v>
      </c>
      <c r="L2376" t="s">
        <v>44</v>
      </c>
      <c r="M2376">
        <v>4</v>
      </c>
      <c r="N2376" s="2"/>
      <c r="O2376" s="3">
        <v>4342</v>
      </c>
      <c r="P2376">
        <v>0</v>
      </c>
      <c r="Q2376">
        <v>4</v>
      </c>
      <c r="R2376" t="s">
        <v>33</v>
      </c>
      <c r="S2376">
        <v>1</v>
      </c>
    </row>
    <row r="2377" spans="1:19" ht="16.5" x14ac:dyDescent="0.3">
      <c r="A2377" t="s">
        <v>2439</v>
      </c>
      <c r="B2377" s="1">
        <v>45618</v>
      </c>
      <c r="C2377" s="1">
        <v>45620</v>
      </c>
      <c r="D2377">
        <v>2024</v>
      </c>
      <c r="E2377" t="s">
        <v>2026</v>
      </c>
      <c r="F2377" t="s">
        <v>2260</v>
      </c>
      <c r="G2377" t="s">
        <v>83</v>
      </c>
      <c r="H2377" t="s">
        <v>30</v>
      </c>
      <c r="I2377" t="s">
        <v>40</v>
      </c>
      <c r="J2377" t="s">
        <v>25</v>
      </c>
      <c r="K2377" t="s">
        <v>32</v>
      </c>
      <c r="L2377" t="s">
        <v>27</v>
      </c>
      <c r="M2377">
        <v>2</v>
      </c>
      <c r="N2377" s="2"/>
      <c r="O2377" s="3">
        <v>2351</v>
      </c>
      <c r="P2377">
        <v>0</v>
      </c>
      <c r="Q2377">
        <v>4</v>
      </c>
      <c r="R2377" t="s">
        <v>165</v>
      </c>
      <c r="S2377">
        <v>1</v>
      </c>
    </row>
    <row r="2378" spans="1:19" ht="16.5" x14ac:dyDescent="0.3">
      <c r="A2378" t="s">
        <v>2440</v>
      </c>
      <c r="B2378" s="1">
        <v>45619</v>
      </c>
      <c r="C2378" s="1">
        <v>45621</v>
      </c>
      <c r="D2378">
        <v>2024</v>
      </c>
      <c r="E2378" t="s">
        <v>2026</v>
      </c>
      <c r="F2378" t="s">
        <v>2260</v>
      </c>
      <c r="G2378" t="s">
        <v>102</v>
      </c>
      <c r="H2378" t="s">
        <v>23</v>
      </c>
      <c r="I2378" t="s">
        <v>24</v>
      </c>
      <c r="J2378" t="s">
        <v>25</v>
      </c>
      <c r="K2378" t="s">
        <v>36</v>
      </c>
      <c r="L2378" t="s">
        <v>44</v>
      </c>
      <c r="M2378">
        <v>2</v>
      </c>
      <c r="N2378" s="2">
        <v>44</v>
      </c>
      <c r="O2378" s="3">
        <v>2061</v>
      </c>
      <c r="P2378">
        <v>0</v>
      </c>
      <c r="Q2378">
        <v>4</v>
      </c>
      <c r="R2378" t="s">
        <v>33</v>
      </c>
      <c r="S2378">
        <v>1</v>
      </c>
    </row>
    <row r="2379" spans="1:19" ht="16.5" x14ac:dyDescent="0.3">
      <c r="A2379" t="s">
        <v>2441</v>
      </c>
      <c r="B2379" s="1">
        <v>45619</v>
      </c>
      <c r="C2379" s="1">
        <v>45624</v>
      </c>
      <c r="D2379">
        <v>2024</v>
      </c>
      <c r="E2379" t="s">
        <v>2026</v>
      </c>
      <c r="F2379" t="s">
        <v>2260</v>
      </c>
      <c r="G2379" t="s">
        <v>102</v>
      </c>
      <c r="H2379" t="s">
        <v>35</v>
      </c>
      <c r="I2379" t="s">
        <v>24</v>
      </c>
      <c r="J2379" t="s">
        <v>25</v>
      </c>
      <c r="K2379" t="s">
        <v>36</v>
      </c>
      <c r="L2379" t="s">
        <v>44</v>
      </c>
      <c r="M2379">
        <v>5</v>
      </c>
      <c r="N2379" s="2">
        <v>57</v>
      </c>
      <c r="O2379" s="3">
        <v>3843</v>
      </c>
      <c r="P2379">
        <v>0</v>
      </c>
      <c r="Q2379">
        <v>3</v>
      </c>
      <c r="R2379" t="s">
        <v>33</v>
      </c>
      <c r="S2379">
        <v>1</v>
      </c>
    </row>
    <row r="2380" spans="1:19" ht="16.5" x14ac:dyDescent="0.3">
      <c r="A2380" t="s">
        <v>2442</v>
      </c>
      <c r="B2380" s="1">
        <v>45619</v>
      </c>
      <c r="C2380" s="1">
        <v>45625</v>
      </c>
      <c r="D2380">
        <v>2024</v>
      </c>
      <c r="E2380" t="s">
        <v>2026</v>
      </c>
      <c r="F2380" t="s">
        <v>2260</v>
      </c>
      <c r="G2380" t="s">
        <v>102</v>
      </c>
      <c r="H2380" t="s">
        <v>52</v>
      </c>
      <c r="I2380" t="s">
        <v>40</v>
      </c>
      <c r="J2380" t="s">
        <v>43</v>
      </c>
      <c r="K2380" t="s">
        <v>26</v>
      </c>
      <c r="L2380" t="s">
        <v>27</v>
      </c>
      <c r="M2380">
        <v>6</v>
      </c>
      <c r="N2380" s="2"/>
      <c r="O2380" s="3">
        <v>7404</v>
      </c>
      <c r="P2380">
        <v>0</v>
      </c>
      <c r="Q2380">
        <v>5</v>
      </c>
      <c r="R2380" t="s">
        <v>28</v>
      </c>
      <c r="S2380">
        <v>1</v>
      </c>
    </row>
    <row r="2381" spans="1:19" ht="16.5" x14ac:dyDescent="0.3">
      <c r="A2381" t="s">
        <v>2443</v>
      </c>
      <c r="B2381" s="1">
        <v>45619</v>
      </c>
      <c r="C2381" s="1">
        <v>45622</v>
      </c>
      <c r="D2381">
        <v>2024</v>
      </c>
      <c r="E2381" t="s">
        <v>2026</v>
      </c>
      <c r="F2381" t="s">
        <v>2260</v>
      </c>
      <c r="G2381" t="s">
        <v>102</v>
      </c>
      <c r="H2381" t="s">
        <v>35</v>
      </c>
      <c r="I2381" t="s">
        <v>40</v>
      </c>
      <c r="J2381" t="s">
        <v>25</v>
      </c>
      <c r="K2381" t="s">
        <v>36</v>
      </c>
      <c r="L2381" t="s">
        <v>27</v>
      </c>
      <c r="M2381">
        <v>3</v>
      </c>
      <c r="N2381" s="2"/>
      <c r="O2381" s="3">
        <v>2721</v>
      </c>
      <c r="P2381">
        <v>0</v>
      </c>
      <c r="Q2381">
        <v>5</v>
      </c>
      <c r="R2381" t="s">
        <v>33</v>
      </c>
      <c r="S2381">
        <v>1</v>
      </c>
    </row>
    <row r="2382" spans="1:19" ht="16.5" x14ac:dyDescent="0.3">
      <c r="A2382" t="s">
        <v>2444</v>
      </c>
      <c r="B2382" s="1">
        <v>45619</v>
      </c>
      <c r="C2382" s="1">
        <v>45621</v>
      </c>
      <c r="D2382">
        <v>2024</v>
      </c>
      <c r="E2382" t="s">
        <v>2026</v>
      </c>
      <c r="F2382" t="s">
        <v>2260</v>
      </c>
      <c r="G2382" t="s">
        <v>102</v>
      </c>
      <c r="H2382" t="s">
        <v>35</v>
      </c>
      <c r="I2382" t="s">
        <v>24</v>
      </c>
      <c r="J2382" t="s">
        <v>25</v>
      </c>
      <c r="K2382" t="s">
        <v>36</v>
      </c>
      <c r="L2382" t="s">
        <v>44</v>
      </c>
      <c r="M2382">
        <v>2</v>
      </c>
      <c r="N2382" s="2">
        <v>52</v>
      </c>
      <c r="O2382" s="3">
        <v>1836</v>
      </c>
      <c r="P2382">
        <v>0</v>
      </c>
      <c r="Q2382">
        <v>5</v>
      </c>
      <c r="R2382" t="s">
        <v>33</v>
      </c>
      <c r="S2382">
        <v>1</v>
      </c>
    </row>
    <row r="2383" spans="1:19" ht="16.5" x14ac:dyDescent="0.3">
      <c r="A2383" t="s">
        <v>2445</v>
      </c>
      <c r="B2383" s="1">
        <v>45619</v>
      </c>
      <c r="C2383" s="1">
        <v>45625</v>
      </c>
      <c r="D2383">
        <v>2024</v>
      </c>
      <c r="E2383" t="s">
        <v>2026</v>
      </c>
      <c r="F2383" t="s">
        <v>2260</v>
      </c>
      <c r="G2383" t="s">
        <v>102</v>
      </c>
      <c r="H2383" t="s">
        <v>52</v>
      </c>
      <c r="I2383" t="s">
        <v>40</v>
      </c>
      <c r="J2383" t="s">
        <v>43</v>
      </c>
      <c r="K2383" t="s">
        <v>53</v>
      </c>
      <c r="L2383" t="s">
        <v>27</v>
      </c>
      <c r="M2383">
        <v>6</v>
      </c>
      <c r="N2383" s="2"/>
      <c r="O2383" s="3">
        <v>4033</v>
      </c>
      <c r="P2383">
        <v>0</v>
      </c>
      <c r="Q2383">
        <v>4</v>
      </c>
      <c r="R2383" t="s">
        <v>59</v>
      </c>
      <c r="S2383">
        <v>1</v>
      </c>
    </row>
    <row r="2384" spans="1:19" ht="16.5" x14ac:dyDescent="0.3">
      <c r="A2384" t="s">
        <v>2446</v>
      </c>
      <c r="B2384" s="1">
        <v>45620</v>
      </c>
      <c r="C2384" s="1">
        <v>45623</v>
      </c>
      <c r="D2384">
        <v>2024</v>
      </c>
      <c r="E2384" t="s">
        <v>2026</v>
      </c>
      <c r="F2384" t="s">
        <v>2260</v>
      </c>
      <c r="G2384" t="s">
        <v>112</v>
      </c>
      <c r="H2384" t="s">
        <v>39</v>
      </c>
      <c r="I2384" t="s">
        <v>40</v>
      </c>
      <c r="J2384" t="s">
        <v>43</v>
      </c>
      <c r="K2384" t="s">
        <v>41</v>
      </c>
      <c r="L2384" t="s">
        <v>37</v>
      </c>
      <c r="M2384">
        <v>3</v>
      </c>
      <c r="N2384" s="2"/>
      <c r="O2384" s="3">
        <v>2609</v>
      </c>
      <c r="P2384">
        <v>0</v>
      </c>
      <c r="Q2384">
        <v>4</v>
      </c>
      <c r="R2384" t="s">
        <v>28</v>
      </c>
      <c r="S2384">
        <v>1</v>
      </c>
    </row>
    <row r="2385" spans="1:19" ht="16.5" x14ac:dyDescent="0.3">
      <c r="A2385" t="s">
        <v>2447</v>
      </c>
      <c r="B2385" s="1">
        <v>45620</v>
      </c>
      <c r="C2385" s="1">
        <v>45621</v>
      </c>
      <c r="D2385">
        <v>2024</v>
      </c>
      <c r="E2385" t="s">
        <v>2026</v>
      </c>
      <c r="F2385" t="s">
        <v>2260</v>
      </c>
      <c r="G2385" t="s">
        <v>112</v>
      </c>
      <c r="H2385" t="s">
        <v>52</v>
      </c>
      <c r="I2385" t="s">
        <v>40</v>
      </c>
      <c r="J2385" t="s">
        <v>25</v>
      </c>
      <c r="K2385" t="s">
        <v>26</v>
      </c>
      <c r="L2385" t="s">
        <v>37</v>
      </c>
      <c r="M2385">
        <v>1</v>
      </c>
      <c r="N2385" s="2"/>
      <c r="O2385" s="3">
        <v>2114</v>
      </c>
      <c r="P2385">
        <v>0</v>
      </c>
      <c r="Q2385">
        <v>5</v>
      </c>
      <c r="R2385" t="s">
        <v>28</v>
      </c>
      <c r="S2385">
        <v>1</v>
      </c>
    </row>
    <row r="2386" spans="1:19" ht="16.5" x14ac:dyDescent="0.3">
      <c r="A2386" t="s">
        <v>2448</v>
      </c>
      <c r="B2386" s="1">
        <v>45620</v>
      </c>
      <c r="C2386" s="1">
        <v>45627</v>
      </c>
      <c r="D2386">
        <v>2024</v>
      </c>
      <c r="E2386" t="s">
        <v>2026</v>
      </c>
      <c r="F2386" t="s">
        <v>2260</v>
      </c>
      <c r="G2386" t="s">
        <v>112</v>
      </c>
      <c r="H2386" t="s">
        <v>50</v>
      </c>
      <c r="I2386" t="s">
        <v>24</v>
      </c>
      <c r="J2386" t="s">
        <v>25</v>
      </c>
      <c r="K2386" t="s">
        <v>53</v>
      </c>
      <c r="L2386" t="s">
        <v>44</v>
      </c>
      <c r="M2386">
        <v>7</v>
      </c>
      <c r="N2386" s="2">
        <v>40</v>
      </c>
      <c r="O2386" s="3">
        <v>8388</v>
      </c>
      <c r="P2386">
        <v>0</v>
      </c>
      <c r="Q2386">
        <v>3</v>
      </c>
      <c r="R2386" t="s">
        <v>28</v>
      </c>
      <c r="S2386">
        <v>1</v>
      </c>
    </row>
    <row r="2387" spans="1:19" ht="16.5" x14ac:dyDescent="0.3">
      <c r="A2387" t="s">
        <v>2449</v>
      </c>
      <c r="B2387" s="1">
        <v>45620</v>
      </c>
      <c r="C2387" s="1">
        <v>45621</v>
      </c>
      <c r="D2387">
        <v>2024</v>
      </c>
      <c r="E2387" t="s">
        <v>2026</v>
      </c>
      <c r="F2387" t="s">
        <v>2260</v>
      </c>
      <c r="G2387" t="s">
        <v>112</v>
      </c>
      <c r="H2387" t="s">
        <v>30</v>
      </c>
      <c r="I2387" t="s">
        <v>40</v>
      </c>
      <c r="J2387" t="s">
        <v>43</v>
      </c>
      <c r="K2387" t="s">
        <v>36</v>
      </c>
      <c r="L2387" t="s">
        <v>44</v>
      </c>
      <c r="M2387">
        <v>1</v>
      </c>
      <c r="N2387" s="2"/>
      <c r="O2387" s="3">
        <v>1014</v>
      </c>
      <c r="P2387">
        <v>0</v>
      </c>
      <c r="Q2387">
        <v>3</v>
      </c>
      <c r="R2387" t="s">
        <v>33</v>
      </c>
      <c r="S2387">
        <v>1</v>
      </c>
    </row>
    <row r="2388" spans="1:19" ht="16.5" x14ac:dyDescent="0.3">
      <c r="A2388" t="s">
        <v>2450</v>
      </c>
      <c r="B2388" s="1">
        <v>45620</v>
      </c>
      <c r="C2388" s="1">
        <v>45622</v>
      </c>
      <c r="D2388">
        <v>2024</v>
      </c>
      <c r="E2388" t="s">
        <v>2026</v>
      </c>
      <c r="F2388" t="s">
        <v>2260</v>
      </c>
      <c r="G2388" t="s">
        <v>112</v>
      </c>
      <c r="H2388" t="s">
        <v>23</v>
      </c>
      <c r="I2388" t="s">
        <v>31</v>
      </c>
      <c r="J2388" t="s">
        <v>25</v>
      </c>
      <c r="K2388" t="s">
        <v>53</v>
      </c>
      <c r="L2388" t="s">
        <v>27</v>
      </c>
      <c r="M2388">
        <v>2</v>
      </c>
      <c r="N2388" s="2"/>
      <c r="O2388" s="3">
        <v>2072</v>
      </c>
      <c r="P2388">
        <v>0</v>
      </c>
      <c r="Q2388">
        <v>4</v>
      </c>
      <c r="R2388" t="s">
        <v>33</v>
      </c>
      <c r="S2388">
        <v>1</v>
      </c>
    </row>
    <row r="2389" spans="1:19" ht="16.5" x14ac:dyDescent="0.3">
      <c r="A2389" t="s">
        <v>2451</v>
      </c>
      <c r="B2389" s="1">
        <v>45620</v>
      </c>
      <c r="C2389" s="1">
        <v>45622</v>
      </c>
      <c r="D2389">
        <v>2024</v>
      </c>
      <c r="E2389" t="s">
        <v>2026</v>
      </c>
      <c r="F2389" t="s">
        <v>2260</v>
      </c>
      <c r="G2389" t="s">
        <v>112</v>
      </c>
      <c r="H2389" t="s">
        <v>52</v>
      </c>
      <c r="I2389" t="s">
        <v>40</v>
      </c>
      <c r="J2389" t="s">
        <v>43</v>
      </c>
      <c r="K2389" t="s">
        <v>32</v>
      </c>
      <c r="L2389" t="s">
        <v>44</v>
      </c>
      <c r="M2389">
        <v>2</v>
      </c>
      <c r="N2389" s="2"/>
      <c r="O2389" s="3">
        <v>3380</v>
      </c>
      <c r="P2389">
        <v>1</v>
      </c>
      <c r="Q2389">
        <v>4</v>
      </c>
      <c r="R2389" t="s">
        <v>33</v>
      </c>
      <c r="S2389">
        <v>1</v>
      </c>
    </row>
    <row r="2390" spans="1:19" ht="16.5" x14ac:dyDescent="0.3">
      <c r="A2390" t="s">
        <v>2452</v>
      </c>
      <c r="B2390" s="1">
        <v>45620</v>
      </c>
      <c r="C2390" s="1">
        <v>45624</v>
      </c>
      <c r="D2390">
        <v>2024</v>
      </c>
      <c r="E2390" t="s">
        <v>2026</v>
      </c>
      <c r="F2390" t="s">
        <v>2260</v>
      </c>
      <c r="G2390" t="s">
        <v>112</v>
      </c>
      <c r="H2390" t="s">
        <v>52</v>
      </c>
      <c r="I2390" t="s">
        <v>40</v>
      </c>
      <c r="J2390" t="s">
        <v>43</v>
      </c>
      <c r="K2390" t="s">
        <v>53</v>
      </c>
      <c r="L2390" t="s">
        <v>37</v>
      </c>
      <c r="M2390">
        <v>4</v>
      </c>
      <c r="N2390" s="2"/>
      <c r="O2390" s="3">
        <v>3884</v>
      </c>
      <c r="P2390">
        <v>0</v>
      </c>
      <c r="Q2390">
        <v>4</v>
      </c>
      <c r="R2390" t="s">
        <v>28</v>
      </c>
      <c r="S2390">
        <v>1</v>
      </c>
    </row>
    <row r="2391" spans="1:19" ht="16.5" x14ac:dyDescent="0.3">
      <c r="A2391" t="s">
        <v>2453</v>
      </c>
      <c r="B2391" s="1">
        <v>45620</v>
      </c>
      <c r="C2391" s="1">
        <v>45622</v>
      </c>
      <c r="D2391">
        <v>2024</v>
      </c>
      <c r="E2391" t="s">
        <v>2026</v>
      </c>
      <c r="F2391" t="s">
        <v>2260</v>
      </c>
      <c r="G2391" t="s">
        <v>112</v>
      </c>
      <c r="H2391" t="s">
        <v>35</v>
      </c>
      <c r="I2391" t="s">
        <v>24</v>
      </c>
      <c r="J2391" t="s">
        <v>25</v>
      </c>
      <c r="K2391" t="s">
        <v>32</v>
      </c>
      <c r="L2391" t="s">
        <v>44</v>
      </c>
      <c r="M2391">
        <v>2</v>
      </c>
      <c r="N2391" s="2">
        <v>75</v>
      </c>
      <c r="O2391" s="3">
        <v>2084</v>
      </c>
      <c r="P2391">
        <v>0</v>
      </c>
      <c r="Q2391">
        <v>5</v>
      </c>
      <c r="R2391" t="s">
        <v>33</v>
      </c>
      <c r="S2391">
        <v>1</v>
      </c>
    </row>
    <row r="2392" spans="1:19" ht="16.5" x14ac:dyDescent="0.3">
      <c r="A2392" t="s">
        <v>2454</v>
      </c>
      <c r="B2392" s="1">
        <v>45621</v>
      </c>
      <c r="C2392" s="1">
        <v>45632</v>
      </c>
      <c r="D2392">
        <v>2024</v>
      </c>
      <c r="E2392" t="s">
        <v>2026</v>
      </c>
      <c r="F2392" t="s">
        <v>2260</v>
      </c>
      <c r="G2392" t="s">
        <v>22</v>
      </c>
      <c r="H2392" t="s">
        <v>23</v>
      </c>
      <c r="I2392" t="s">
        <v>24</v>
      </c>
      <c r="J2392" t="s">
        <v>25</v>
      </c>
      <c r="K2392" t="s">
        <v>26</v>
      </c>
      <c r="L2392" t="s">
        <v>27</v>
      </c>
      <c r="M2392">
        <v>11</v>
      </c>
      <c r="N2392" s="2">
        <v>56</v>
      </c>
      <c r="O2392" s="3">
        <v>7818</v>
      </c>
      <c r="P2392">
        <v>0</v>
      </c>
      <c r="Q2392">
        <v>4</v>
      </c>
      <c r="R2392" t="s">
        <v>33</v>
      </c>
      <c r="S2392">
        <v>1</v>
      </c>
    </row>
    <row r="2393" spans="1:19" ht="16.5" x14ac:dyDescent="0.3">
      <c r="A2393" t="s">
        <v>2455</v>
      </c>
      <c r="B2393" s="1">
        <v>45621</v>
      </c>
      <c r="C2393" s="1">
        <v>45623</v>
      </c>
      <c r="D2393">
        <v>2024</v>
      </c>
      <c r="E2393" t="s">
        <v>2026</v>
      </c>
      <c r="F2393" t="s">
        <v>2260</v>
      </c>
      <c r="G2393" t="s">
        <v>22</v>
      </c>
      <c r="H2393" t="s">
        <v>23</v>
      </c>
      <c r="I2393" t="s">
        <v>24</v>
      </c>
      <c r="J2393" t="s">
        <v>43</v>
      </c>
      <c r="K2393" t="s">
        <v>53</v>
      </c>
      <c r="L2393" t="s">
        <v>44</v>
      </c>
      <c r="M2393">
        <v>2</v>
      </c>
      <c r="N2393" s="2">
        <v>67</v>
      </c>
      <c r="O2393" s="3">
        <v>2353</v>
      </c>
      <c r="P2393">
        <v>0</v>
      </c>
      <c r="Q2393">
        <v>3</v>
      </c>
      <c r="R2393" t="s">
        <v>33</v>
      </c>
      <c r="S2393">
        <v>1</v>
      </c>
    </row>
    <row r="2394" spans="1:19" ht="16.5" x14ac:dyDescent="0.3">
      <c r="A2394" t="s">
        <v>2456</v>
      </c>
      <c r="B2394" s="1">
        <v>45621</v>
      </c>
      <c r="C2394" s="1">
        <v>45628</v>
      </c>
      <c r="D2394">
        <v>2024</v>
      </c>
      <c r="E2394" t="s">
        <v>2026</v>
      </c>
      <c r="F2394" t="s">
        <v>2260</v>
      </c>
      <c r="G2394" t="s">
        <v>22</v>
      </c>
      <c r="H2394" t="s">
        <v>23</v>
      </c>
      <c r="I2394" t="s">
        <v>40</v>
      </c>
      <c r="J2394" t="s">
        <v>25</v>
      </c>
      <c r="K2394" t="s">
        <v>26</v>
      </c>
      <c r="L2394" t="s">
        <v>37</v>
      </c>
      <c r="M2394">
        <v>7</v>
      </c>
      <c r="N2394" s="2"/>
      <c r="O2394" s="3">
        <v>5972</v>
      </c>
      <c r="P2394">
        <v>0</v>
      </c>
      <c r="Q2394">
        <v>4</v>
      </c>
      <c r="R2394" t="s">
        <v>33</v>
      </c>
      <c r="S2394">
        <v>1</v>
      </c>
    </row>
    <row r="2395" spans="1:19" ht="16.5" x14ac:dyDescent="0.3">
      <c r="A2395" t="s">
        <v>2457</v>
      </c>
      <c r="B2395" s="1">
        <v>45621</v>
      </c>
      <c r="C2395" s="1">
        <v>45622</v>
      </c>
      <c r="D2395">
        <v>2024</v>
      </c>
      <c r="E2395" t="s">
        <v>2026</v>
      </c>
      <c r="F2395" t="s">
        <v>2260</v>
      </c>
      <c r="G2395" t="s">
        <v>22</v>
      </c>
      <c r="H2395" t="s">
        <v>35</v>
      </c>
      <c r="I2395" t="s">
        <v>31</v>
      </c>
      <c r="J2395" t="s">
        <v>25</v>
      </c>
      <c r="K2395" t="s">
        <v>36</v>
      </c>
      <c r="L2395" t="s">
        <v>27</v>
      </c>
      <c r="M2395">
        <v>1</v>
      </c>
      <c r="N2395" s="2"/>
      <c r="O2395" s="3">
        <v>1400</v>
      </c>
      <c r="P2395">
        <v>0</v>
      </c>
      <c r="Q2395">
        <v>5</v>
      </c>
      <c r="R2395" t="s">
        <v>33</v>
      </c>
      <c r="S2395">
        <v>1</v>
      </c>
    </row>
    <row r="2396" spans="1:19" ht="16.5" x14ac:dyDescent="0.3">
      <c r="A2396" t="s">
        <v>2458</v>
      </c>
      <c r="B2396" s="1">
        <v>45621</v>
      </c>
      <c r="C2396" s="1">
        <v>45626</v>
      </c>
      <c r="D2396">
        <v>2024</v>
      </c>
      <c r="E2396" t="s">
        <v>2026</v>
      </c>
      <c r="F2396" t="s">
        <v>2260</v>
      </c>
      <c r="G2396" t="s">
        <v>22</v>
      </c>
      <c r="H2396" t="s">
        <v>39</v>
      </c>
      <c r="I2396" t="s">
        <v>24</v>
      </c>
      <c r="J2396" t="s">
        <v>43</v>
      </c>
      <c r="K2396" t="s">
        <v>41</v>
      </c>
      <c r="L2396" t="s">
        <v>44</v>
      </c>
      <c r="M2396">
        <v>5</v>
      </c>
      <c r="N2396" s="2">
        <v>29</v>
      </c>
      <c r="O2396" s="3">
        <v>2919</v>
      </c>
      <c r="P2396">
        <v>0</v>
      </c>
      <c r="Q2396">
        <v>5</v>
      </c>
      <c r="R2396" t="s">
        <v>28</v>
      </c>
      <c r="S2396">
        <v>1</v>
      </c>
    </row>
    <row r="2397" spans="1:19" ht="16.5" x14ac:dyDescent="0.3">
      <c r="A2397" t="s">
        <v>2459</v>
      </c>
      <c r="B2397" s="1">
        <v>45621</v>
      </c>
      <c r="C2397" s="1">
        <v>45626</v>
      </c>
      <c r="D2397">
        <v>2024</v>
      </c>
      <c r="E2397" t="s">
        <v>2026</v>
      </c>
      <c r="F2397" t="s">
        <v>2260</v>
      </c>
      <c r="G2397" t="s">
        <v>22</v>
      </c>
      <c r="H2397" t="s">
        <v>39</v>
      </c>
      <c r="I2397" t="s">
        <v>40</v>
      </c>
      <c r="J2397" t="s">
        <v>43</v>
      </c>
      <c r="K2397" t="s">
        <v>41</v>
      </c>
      <c r="L2397" t="s">
        <v>44</v>
      </c>
      <c r="M2397">
        <v>5</v>
      </c>
      <c r="N2397" s="2"/>
      <c r="O2397" s="3">
        <v>3639</v>
      </c>
      <c r="P2397">
        <v>0</v>
      </c>
      <c r="Q2397">
        <v>4</v>
      </c>
      <c r="R2397" t="s">
        <v>28</v>
      </c>
      <c r="S2397">
        <v>1</v>
      </c>
    </row>
    <row r="2398" spans="1:19" ht="16.5" x14ac:dyDescent="0.3">
      <c r="A2398" t="s">
        <v>2460</v>
      </c>
      <c r="B2398" s="1">
        <v>45621</v>
      </c>
      <c r="C2398" s="1">
        <v>45624</v>
      </c>
      <c r="D2398">
        <v>2024</v>
      </c>
      <c r="E2398" t="s">
        <v>2026</v>
      </c>
      <c r="F2398" t="s">
        <v>2260</v>
      </c>
      <c r="G2398" t="s">
        <v>22</v>
      </c>
      <c r="H2398" t="s">
        <v>30</v>
      </c>
      <c r="I2398" t="s">
        <v>40</v>
      </c>
      <c r="J2398" t="s">
        <v>43</v>
      </c>
      <c r="K2398" t="s">
        <v>53</v>
      </c>
      <c r="L2398" t="s">
        <v>44</v>
      </c>
      <c r="M2398">
        <v>3</v>
      </c>
      <c r="N2398" s="2"/>
      <c r="O2398" s="3">
        <v>4939</v>
      </c>
      <c r="P2398">
        <v>0</v>
      </c>
      <c r="Q2398">
        <v>4</v>
      </c>
      <c r="R2398" t="s">
        <v>33</v>
      </c>
      <c r="S2398">
        <v>1</v>
      </c>
    </row>
    <row r="2399" spans="1:19" ht="16.5" x14ac:dyDescent="0.3">
      <c r="A2399" t="s">
        <v>2461</v>
      </c>
      <c r="B2399" s="1">
        <v>45621</v>
      </c>
      <c r="C2399" s="1">
        <v>45626</v>
      </c>
      <c r="D2399">
        <v>2024</v>
      </c>
      <c r="E2399" t="s">
        <v>2026</v>
      </c>
      <c r="F2399" t="s">
        <v>2260</v>
      </c>
      <c r="G2399" t="s">
        <v>22</v>
      </c>
      <c r="H2399" t="s">
        <v>30</v>
      </c>
      <c r="I2399" t="s">
        <v>40</v>
      </c>
      <c r="J2399" t="s">
        <v>25</v>
      </c>
      <c r="K2399" t="s">
        <v>26</v>
      </c>
      <c r="L2399" t="s">
        <v>27</v>
      </c>
      <c r="M2399">
        <v>5</v>
      </c>
      <c r="N2399" s="2"/>
      <c r="O2399" s="3">
        <v>5788</v>
      </c>
      <c r="P2399">
        <v>0</v>
      </c>
      <c r="Q2399">
        <v>5</v>
      </c>
      <c r="R2399" t="s">
        <v>28</v>
      </c>
      <c r="S2399">
        <v>1</v>
      </c>
    </row>
    <row r="2400" spans="1:19" ht="16.5" x14ac:dyDescent="0.3">
      <c r="A2400" t="s">
        <v>2462</v>
      </c>
      <c r="B2400" s="1">
        <v>45621</v>
      </c>
      <c r="C2400" s="1">
        <v>45624</v>
      </c>
      <c r="D2400">
        <v>2024</v>
      </c>
      <c r="E2400" t="s">
        <v>2026</v>
      </c>
      <c r="F2400" t="s">
        <v>2260</v>
      </c>
      <c r="G2400" t="s">
        <v>22</v>
      </c>
      <c r="H2400" t="s">
        <v>50</v>
      </c>
      <c r="I2400" t="s">
        <v>24</v>
      </c>
      <c r="J2400" t="s">
        <v>43</v>
      </c>
      <c r="K2400" t="s">
        <v>53</v>
      </c>
      <c r="L2400" t="s">
        <v>37</v>
      </c>
      <c r="M2400">
        <v>3</v>
      </c>
      <c r="N2400" s="2">
        <v>49</v>
      </c>
      <c r="O2400" s="3">
        <v>4228</v>
      </c>
      <c r="P2400">
        <v>0</v>
      </c>
      <c r="Q2400">
        <v>5</v>
      </c>
      <c r="R2400" t="s">
        <v>33</v>
      </c>
      <c r="S2400">
        <v>1</v>
      </c>
    </row>
    <row r="2401" spans="1:19" ht="16.5" x14ac:dyDescent="0.3">
      <c r="A2401" t="s">
        <v>2463</v>
      </c>
      <c r="B2401" s="1">
        <v>45621</v>
      </c>
      <c r="C2401" s="1">
        <v>45622</v>
      </c>
      <c r="D2401">
        <v>2024</v>
      </c>
      <c r="E2401" t="s">
        <v>2026</v>
      </c>
      <c r="F2401" t="s">
        <v>2260</v>
      </c>
      <c r="G2401" t="s">
        <v>22</v>
      </c>
      <c r="H2401" t="s">
        <v>30</v>
      </c>
      <c r="I2401" t="s">
        <v>31</v>
      </c>
      <c r="J2401" t="s">
        <v>25</v>
      </c>
      <c r="K2401" t="s">
        <v>32</v>
      </c>
      <c r="L2401" t="s">
        <v>27</v>
      </c>
      <c r="M2401">
        <v>1</v>
      </c>
      <c r="N2401" s="2"/>
      <c r="O2401" s="3">
        <v>1951</v>
      </c>
      <c r="P2401">
        <v>0</v>
      </c>
      <c r="Q2401">
        <v>5</v>
      </c>
      <c r="R2401" t="s">
        <v>33</v>
      </c>
      <c r="S2401">
        <v>1</v>
      </c>
    </row>
    <row r="2402" spans="1:19" ht="16.5" x14ac:dyDescent="0.3">
      <c r="A2402" t="s">
        <v>2464</v>
      </c>
      <c r="B2402" s="1">
        <v>45621</v>
      </c>
      <c r="C2402" s="1">
        <v>45625</v>
      </c>
      <c r="D2402">
        <v>2024</v>
      </c>
      <c r="E2402" t="s">
        <v>2026</v>
      </c>
      <c r="F2402" t="s">
        <v>2260</v>
      </c>
      <c r="G2402" t="s">
        <v>22</v>
      </c>
      <c r="H2402" t="s">
        <v>30</v>
      </c>
      <c r="I2402" t="s">
        <v>31</v>
      </c>
      <c r="J2402" t="s">
        <v>25</v>
      </c>
      <c r="K2402" t="s">
        <v>53</v>
      </c>
      <c r="L2402" t="s">
        <v>27</v>
      </c>
      <c r="M2402">
        <v>4</v>
      </c>
      <c r="N2402" s="2"/>
      <c r="O2402" s="3">
        <v>6975</v>
      </c>
      <c r="P2402">
        <v>0</v>
      </c>
      <c r="Q2402">
        <v>5</v>
      </c>
      <c r="R2402" t="s">
        <v>33</v>
      </c>
      <c r="S2402">
        <v>1</v>
      </c>
    </row>
    <row r="2403" spans="1:19" ht="16.5" x14ac:dyDescent="0.3">
      <c r="A2403" t="s">
        <v>2465</v>
      </c>
      <c r="B2403" s="1">
        <v>45621</v>
      </c>
      <c r="C2403" s="1">
        <v>45623</v>
      </c>
      <c r="D2403">
        <v>2024</v>
      </c>
      <c r="E2403" t="s">
        <v>2026</v>
      </c>
      <c r="F2403" t="s">
        <v>2260</v>
      </c>
      <c r="G2403" t="s">
        <v>22</v>
      </c>
      <c r="H2403" t="s">
        <v>30</v>
      </c>
      <c r="I2403" t="s">
        <v>31</v>
      </c>
      <c r="J2403" t="s">
        <v>43</v>
      </c>
      <c r="K2403" t="s">
        <v>32</v>
      </c>
      <c r="L2403" t="s">
        <v>27</v>
      </c>
      <c r="M2403">
        <v>2</v>
      </c>
      <c r="N2403" s="2"/>
      <c r="O2403" s="3">
        <v>3158</v>
      </c>
      <c r="P2403">
        <v>0</v>
      </c>
      <c r="Q2403">
        <v>5</v>
      </c>
      <c r="R2403" t="s">
        <v>33</v>
      </c>
      <c r="S2403">
        <v>1</v>
      </c>
    </row>
    <row r="2404" spans="1:19" ht="16.5" x14ac:dyDescent="0.3">
      <c r="A2404" t="s">
        <v>2466</v>
      </c>
      <c r="B2404" s="1">
        <v>45622</v>
      </c>
      <c r="C2404" s="1">
        <v>45636</v>
      </c>
      <c r="D2404">
        <v>2024</v>
      </c>
      <c r="E2404" t="s">
        <v>2026</v>
      </c>
      <c r="F2404" t="s">
        <v>2260</v>
      </c>
      <c r="G2404" t="s">
        <v>56</v>
      </c>
      <c r="H2404" t="s">
        <v>23</v>
      </c>
      <c r="I2404" t="s">
        <v>24</v>
      </c>
      <c r="J2404" t="s">
        <v>43</v>
      </c>
      <c r="K2404" t="s">
        <v>32</v>
      </c>
      <c r="L2404" t="s">
        <v>27</v>
      </c>
      <c r="M2404">
        <v>14</v>
      </c>
      <c r="N2404" s="2">
        <v>31</v>
      </c>
      <c r="O2404" s="3">
        <v>8866</v>
      </c>
      <c r="P2404">
        <v>0</v>
      </c>
      <c r="Q2404">
        <v>3</v>
      </c>
      <c r="R2404" t="s">
        <v>33</v>
      </c>
      <c r="S2404">
        <v>1</v>
      </c>
    </row>
    <row r="2405" spans="1:19" ht="16.5" x14ac:dyDescent="0.3">
      <c r="A2405" t="s">
        <v>2467</v>
      </c>
      <c r="B2405" s="1">
        <v>45622</v>
      </c>
      <c r="C2405" s="1">
        <v>45625</v>
      </c>
      <c r="D2405">
        <v>2024</v>
      </c>
      <c r="E2405" t="s">
        <v>2026</v>
      </c>
      <c r="F2405" t="s">
        <v>2260</v>
      </c>
      <c r="G2405" t="s">
        <v>56</v>
      </c>
      <c r="H2405" t="s">
        <v>39</v>
      </c>
      <c r="I2405" t="s">
        <v>24</v>
      </c>
      <c r="J2405" t="s">
        <v>43</v>
      </c>
      <c r="K2405" t="s">
        <v>41</v>
      </c>
      <c r="L2405" t="s">
        <v>27</v>
      </c>
      <c r="M2405">
        <v>3</v>
      </c>
      <c r="N2405" s="2">
        <v>30</v>
      </c>
      <c r="O2405" s="3">
        <v>2914</v>
      </c>
      <c r="P2405">
        <v>0</v>
      </c>
      <c r="Q2405">
        <v>4</v>
      </c>
      <c r="R2405" t="s">
        <v>28</v>
      </c>
      <c r="S2405">
        <v>1</v>
      </c>
    </row>
    <row r="2406" spans="1:19" ht="16.5" x14ac:dyDescent="0.3">
      <c r="A2406" t="s">
        <v>2468</v>
      </c>
      <c r="B2406" s="1">
        <v>45623</v>
      </c>
      <c r="C2406" s="1">
        <v>45626</v>
      </c>
      <c r="D2406">
        <v>2024</v>
      </c>
      <c r="E2406" t="s">
        <v>2026</v>
      </c>
      <c r="F2406" t="s">
        <v>2260</v>
      </c>
      <c r="G2406" t="s">
        <v>70</v>
      </c>
      <c r="H2406" t="s">
        <v>30</v>
      </c>
      <c r="I2406" t="s">
        <v>24</v>
      </c>
      <c r="J2406" t="s">
        <v>43</v>
      </c>
      <c r="K2406" t="s">
        <v>26</v>
      </c>
      <c r="L2406" t="s">
        <v>37</v>
      </c>
      <c r="M2406">
        <v>3</v>
      </c>
      <c r="N2406" s="2">
        <v>34</v>
      </c>
      <c r="O2406" s="3">
        <v>4787</v>
      </c>
      <c r="P2406">
        <v>0</v>
      </c>
      <c r="Q2406">
        <v>4</v>
      </c>
      <c r="R2406" t="s">
        <v>33</v>
      </c>
      <c r="S2406">
        <v>1</v>
      </c>
    </row>
    <row r="2407" spans="1:19" ht="16.5" x14ac:dyDescent="0.3">
      <c r="A2407" t="s">
        <v>2469</v>
      </c>
      <c r="B2407" s="1">
        <v>45623</v>
      </c>
      <c r="C2407" s="1">
        <v>45627</v>
      </c>
      <c r="D2407">
        <v>2024</v>
      </c>
      <c r="E2407" t="s">
        <v>2026</v>
      </c>
      <c r="F2407" t="s">
        <v>2260</v>
      </c>
      <c r="G2407" t="s">
        <v>70</v>
      </c>
      <c r="H2407" t="s">
        <v>30</v>
      </c>
      <c r="I2407" t="s">
        <v>40</v>
      </c>
      <c r="J2407" t="s">
        <v>25</v>
      </c>
      <c r="K2407" t="s">
        <v>53</v>
      </c>
      <c r="L2407" t="s">
        <v>27</v>
      </c>
      <c r="M2407">
        <v>4</v>
      </c>
      <c r="N2407" s="2"/>
      <c r="O2407" s="3">
        <v>5036</v>
      </c>
      <c r="P2407">
        <v>0</v>
      </c>
      <c r="Q2407">
        <v>4</v>
      </c>
      <c r="R2407" t="s">
        <v>33</v>
      </c>
      <c r="S2407">
        <v>1</v>
      </c>
    </row>
    <row r="2408" spans="1:19" ht="16.5" x14ac:dyDescent="0.3">
      <c r="A2408" t="s">
        <v>2470</v>
      </c>
      <c r="B2408" s="1">
        <v>45623</v>
      </c>
      <c r="C2408" s="1">
        <v>45628</v>
      </c>
      <c r="D2408">
        <v>2024</v>
      </c>
      <c r="E2408" t="s">
        <v>2026</v>
      </c>
      <c r="F2408" t="s">
        <v>2260</v>
      </c>
      <c r="G2408" t="s">
        <v>70</v>
      </c>
      <c r="H2408" t="s">
        <v>39</v>
      </c>
      <c r="I2408" t="s">
        <v>24</v>
      </c>
      <c r="J2408" t="s">
        <v>43</v>
      </c>
      <c r="K2408" t="s">
        <v>41</v>
      </c>
      <c r="L2408" t="s">
        <v>37</v>
      </c>
      <c r="M2408">
        <v>5</v>
      </c>
      <c r="N2408" s="2">
        <v>62</v>
      </c>
      <c r="O2408" s="3">
        <v>3262</v>
      </c>
      <c r="P2408">
        <v>0</v>
      </c>
      <c r="Q2408">
        <v>4</v>
      </c>
      <c r="R2408" t="s">
        <v>28</v>
      </c>
      <c r="S2408">
        <v>1</v>
      </c>
    </row>
    <row r="2409" spans="1:19" ht="16.5" x14ac:dyDescent="0.3">
      <c r="A2409" t="s">
        <v>2471</v>
      </c>
      <c r="B2409" s="1">
        <v>45623</v>
      </c>
      <c r="C2409" s="1">
        <v>45627</v>
      </c>
      <c r="D2409">
        <v>2024</v>
      </c>
      <c r="E2409" t="s">
        <v>2026</v>
      </c>
      <c r="F2409" t="s">
        <v>2260</v>
      </c>
      <c r="G2409" t="s">
        <v>70</v>
      </c>
      <c r="H2409" t="s">
        <v>30</v>
      </c>
      <c r="I2409" t="s">
        <v>40</v>
      </c>
      <c r="J2409" t="s">
        <v>43</v>
      </c>
      <c r="K2409" t="s">
        <v>26</v>
      </c>
      <c r="L2409" t="s">
        <v>44</v>
      </c>
      <c r="M2409">
        <v>4</v>
      </c>
      <c r="N2409" s="2"/>
      <c r="O2409" s="3">
        <v>3981</v>
      </c>
      <c r="P2409">
        <v>0</v>
      </c>
      <c r="Q2409">
        <v>4</v>
      </c>
      <c r="R2409" t="s">
        <v>28</v>
      </c>
      <c r="S2409">
        <v>1</v>
      </c>
    </row>
    <row r="2410" spans="1:19" ht="16.5" x14ac:dyDescent="0.3">
      <c r="A2410" t="s">
        <v>2472</v>
      </c>
      <c r="B2410" s="1">
        <v>45623</v>
      </c>
      <c r="C2410" s="1">
        <v>45627</v>
      </c>
      <c r="D2410">
        <v>2024</v>
      </c>
      <c r="E2410" t="s">
        <v>2026</v>
      </c>
      <c r="F2410" t="s">
        <v>2260</v>
      </c>
      <c r="G2410" t="s">
        <v>70</v>
      </c>
      <c r="H2410" t="s">
        <v>23</v>
      </c>
      <c r="I2410" t="s">
        <v>40</v>
      </c>
      <c r="J2410" t="s">
        <v>25</v>
      </c>
      <c r="K2410" t="s">
        <v>53</v>
      </c>
      <c r="L2410" t="s">
        <v>37</v>
      </c>
      <c r="M2410">
        <v>4</v>
      </c>
      <c r="N2410" s="2"/>
      <c r="O2410" s="3">
        <v>3604</v>
      </c>
      <c r="P2410">
        <v>0</v>
      </c>
      <c r="Q2410">
        <v>4</v>
      </c>
      <c r="R2410" t="s">
        <v>33</v>
      </c>
      <c r="S2410">
        <v>1</v>
      </c>
    </row>
    <row r="2411" spans="1:19" ht="16.5" x14ac:dyDescent="0.3">
      <c r="A2411" t="s">
        <v>2473</v>
      </c>
      <c r="B2411" s="1">
        <v>45623</v>
      </c>
      <c r="C2411" s="1">
        <v>45626</v>
      </c>
      <c r="D2411">
        <v>2024</v>
      </c>
      <c r="E2411" t="s">
        <v>2026</v>
      </c>
      <c r="F2411" t="s">
        <v>2260</v>
      </c>
      <c r="G2411" t="s">
        <v>70</v>
      </c>
      <c r="H2411" t="s">
        <v>30</v>
      </c>
      <c r="I2411" t="s">
        <v>40</v>
      </c>
      <c r="J2411" t="s">
        <v>25</v>
      </c>
      <c r="K2411" t="s">
        <v>53</v>
      </c>
      <c r="L2411" t="s">
        <v>27</v>
      </c>
      <c r="M2411">
        <v>3</v>
      </c>
      <c r="N2411" s="2"/>
      <c r="O2411" s="3">
        <v>2333</v>
      </c>
      <c r="P2411">
        <v>0</v>
      </c>
      <c r="Q2411">
        <v>3</v>
      </c>
      <c r="R2411" t="s">
        <v>33</v>
      </c>
      <c r="S2411">
        <v>1</v>
      </c>
    </row>
    <row r="2412" spans="1:19" ht="16.5" x14ac:dyDescent="0.3">
      <c r="A2412" t="s">
        <v>2474</v>
      </c>
      <c r="B2412" s="1">
        <v>45623</v>
      </c>
      <c r="C2412" s="1">
        <v>45627</v>
      </c>
      <c r="D2412">
        <v>2024</v>
      </c>
      <c r="E2412" t="s">
        <v>2026</v>
      </c>
      <c r="F2412" t="s">
        <v>2260</v>
      </c>
      <c r="G2412" t="s">
        <v>70</v>
      </c>
      <c r="H2412" t="s">
        <v>35</v>
      </c>
      <c r="I2412" t="s">
        <v>40</v>
      </c>
      <c r="J2412" t="s">
        <v>25</v>
      </c>
      <c r="K2412" t="s">
        <v>36</v>
      </c>
      <c r="L2412" t="s">
        <v>44</v>
      </c>
      <c r="M2412">
        <v>4</v>
      </c>
      <c r="N2412" s="2"/>
      <c r="O2412" s="3">
        <v>2589</v>
      </c>
      <c r="P2412">
        <v>0</v>
      </c>
      <c r="Q2412">
        <v>5</v>
      </c>
      <c r="R2412" t="s">
        <v>33</v>
      </c>
      <c r="S2412">
        <v>1</v>
      </c>
    </row>
    <row r="2413" spans="1:19" ht="16.5" x14ac:dyDescent="0.3">
      <c r="A2413" t="s">
        <v>2475</v>
      </c>
      <c r="B2413" s="1">
        <v>45623</v>
      </c>
      <c r="C2413" s="1">
        <v>45629</v>
      </c>
      <c r="D2413">
        <v>2024</v>
      </c>
      <c r="E2413" t="s">
        <v>2026</v>
      </c>
      <c r="F2413" t="s">
        <v>2260</v>
      </c>
      <c r="G2413" t="s">
        <v>70</v>
      </c>
      <c r="H2413" t="s">
        <v>23</v>
      </c>
      <c r="I2413" t="s">
        <v>24</v>
      </c>
      <c r="J2413" t="s">
        <v>43</v>
      </c>
      <c r="K2413" t="s">
        <v>26</v>
      </c>
      <c r="L2413" t="s">
        <v>44</v>
      </c>
      <c r="M2413">
        <v>6</v>
      </c>
      <c r="N2413" s="2">
        <v>23</v>
      </c>
      <c r="O2413" s="3">
        <v>5568</v>
      </c>
      <c r="P2413">
        <v>1</v>
      </c>
      <c r="Q2413">
        <v>4</v>
      </c>
      <c r="R2413" t="s">
        <v>33</v>
      </c>
      <c r="S2413">
        <v>1</v>
      </c>
    </row>
    <row r="2414" spans="1:19" ht="16.5" x14ac:dyDescent="0.3">
      <c r="A2414" t="s">
        <v>2476</v>
      </c>
      <c r="B2414" s="1">
        <v>45623</v>
      </c>
      <c r="C2414" s="1">
        <v>45625</v>
      </c>
      <c r="D2414">
        <v>2024</v>
      </c>
      <c r="E2414" t="s">
        <v>2026</v>
      </c>
      <c r="F2414" t="s">
        <v>2260</v>
      </c>
      <c r="G2414" t="s">
        <v>70</v>
      </c>
      <c r="H2414" t="s">
        <v>23</v>
      </c>
      <c r="I2414" t="s">
        <v>24</v>
      </c>
      <c r="J2414" t="s">
        <v>43</v>
      </c>
      <c r="K2414" t="s">
        <v>53</v>
      </c>
      <c r="L2414" t="s">
        <v>27</v>
      </c>
      <c r="M2414">
        <v>2</v>
      </c>
      <c r="N2414" s="2">
        <v>38</v>
      </c>
      <c r="O2414" s="3">
        <v>2218</v>
      </c>
      <c r="P2414">
        <v>0</v>
      </c>
      <c r="Q2414">
        <v>4</v>
      </c>
      <c r="R2414" t="s">
        <v>28</v>
      </c>
      <c r="S2414">
        <v>1</v>
      </c>
    </row>
    <row r="2415" spans="1:19" ht="16.5" x14ac:dyDescent="0.3">
      <c r="A2415" t="s">
        <v>2477</v>
      </c>
      <c r="B2415" s="1">
        <v>45624</v>
      </c>
      <c r="C2415" s="1">
        <v>45628</v>
      </c>
      <c r="D2415">
        <v>2024</v>
      </c>
      <c r="E2415" t="s">
        <v>2026</v>
      </c>
      <c r="F2415" t="s">
        <v>2260</v>
      </c>
      <c r="G2415" t="s">
        <v>78</v>
      </c>
      <c r="H2415" t="s">
        <v>35</v>
      </c>
      <c r="I2415" t="s">
        <v>24</v>
      </c>
      <c r="J2415" t="s">
        <v>25</v>
      </c>
      <c r="K2415" t="s">
        <v>32</v>
      </c>
      <c r="L2415" t="s">
        <v>27</v>
      </c>
      <c r="M2415">
        <v>4</v>
      </c>
      <c r="N2415" s="2">
        <v>24</v>
      </c>
      <c r="O2415" s="3">
        <v>3780</v>
      </c>
      <c r="P2415">
        <v>0</v>
      </c>
      <c r="Q2415">
        <v>5</v>
      </c>
      <c r="R2415" t="s">
        <v>33</v>
      </c>
      <c r="S2415">
        <v>1</v>
      </c>
    </row>
    <row r="2416" spans="1:19" ht="16.5" x14ac:dyDescent="0.3">
      <c r="A2416" t="s">
        <v>2478</v>
      </c>
      <c r="B2416" s="1">
        <v>45624</v>
      </c>
      <c r="C2416" s="1">
        <v>45627</v>
      </c>
      <c r="D2416">
        <v>2024</v>
      </c>
      <c r="E2416" t="s">
        <v>2026</v>
      </c>
      <c r="F2416" t="s">
        <v>2260</v>
      </c>
      <c r="G2416" t="s">
        <v>78</v>
      </c>
      <c r="H2416" t="s">
        <v>52</v>
      </c>
      <c r="I2416" t="s">
        <v>40</v>
      </c>
      <c r="J2416" t="s">
        <v>43</v>
      </c>
      <c r="K2416" t="s">
        <v>36</v>
      </c>
      <c r="L2416" t="s">
        <v>37</v>
      </c>
      <c r="M2416">
        <v>3</v>
      </c>
      <c r="N2416" s="2"/>
      <c r="O2416" s="3">
        <v>4233</v>
      </c>
      <c r="P2416">
        <v>0</v>
      </c>
      <c r="Q2416">
        <v>3</v>
      </c>
      <c r="R2416" t="s">
        <v>28</v>
      </c>
      <c r="S2416">
        <v>1</v>
      </c>
    </row>
    <row r="2417" spans="1:19" ht="16.5" x14ac:dyDescent="0.3">
      <c r="A2417" t="s">
        <v>2479</v>
      </c>
      <c r="B2417" s="1">
        <v>45624</v>
      </c>
      <c r="C2417" s="1">
        <v>45625</v>
      </c>
      <c r="D2417">
        <v>2024</v>
      </c>
      <c r="E2417" t="s">
        <v>2026</v>
      </c>
      <c r="F2417" t="s">
        <v>2260</v>
      </c>
      <c r="G2417" t="s">
        <v>78</v>
      </c>
      <c r="H2417" t="s">
        <v>30</v>
      </c>
      <c r="I2417" t="s">
        <v>40</v>
      </c>
      <c r="J2417" t="s">
        <v>43</v>
      </c>
      <c r="K2417" t="s">
        <v>32</v>
      </c>
      <c r="L2417" t="s">
        <v>27</v>
      </c>
      <c r="M2417">
        <v>1</v>
      </c>
      <c r="N2417" s="2"/>
      <c r="O2417" s="3">
        <v>2176</v>
      </c>
      <c r="P2417">
        <v>0</v>
      </c>
      <c r="Q2417">
        <v>4</v>
      </c>
      <c r="R2417" t="s">
        <v>28</v>
      </c>
      <c r="S2417">
        <v>1</v>
      </c>
    </row>
    <row r="2418" spans="1:19" ht="16.5" x14ac:dyDescent="0.3">
      <c r="A2418" t="s">
        <v>2480</v>
      </c>
      <c r="B2418" s="1">
        <v>45624</v>
      </c>
      <c r="C2418" s="1">
        <v>45629</v>
      </c>
      <c r="D2418">
        <v>2024</v>
      </c>
      <c r="E2418" t="s">
        <v>2026</v>
      </c>
      <c r="F2418" t="s">
        <v>2260</v>
      </c>
      <c r="G2418" t="s">
        <v>78</v>
      </c>
      <c r="H2418" t="s">
        <v>35</v>
      </c>
      <c r="I2418" t="s">
        <v>24</v>
      </c>
      <c r="J2418" t="s">
        <v>25</v>
      </c>
      <c r="K2418" t="s">
        <v>36</v>
      </c>
      <c r="L2418" t="s">
        <v>27</v>
      </c>
      <c r="M2418">
        <v>5</v>
      </c>
      <c r="N2418" s="2">
        <v>55</v>
      </c>
      <c r="O2418" s="3">
        <v>3900</v>
      </c>
      <c r="P2418">
        <v>0</v>
      </c>
      <c r="Q2418">
        <v>4</v>
      </c>
      <c r="R2418" t="s">
        <v>33</v>
      </c>
      <c r="S2418">
        <v>1</v>
      </c>
    </row>
    <row r="2419" spans="1:19" ht="16.5" x14ac:dyDescent="0.3">
      <c r="A2419" t="s">
        <v>2481</v>
      </c>
      <c r="B2419" s="1">
        <v>45624</v>
      </c>
      <c r="C2419" s="1">
        <v>45633</v>
      </c>
      <c r="D2419">
        <v>2024</v>
      </c>
      <c r="E2419" t="s">
        <v>2026</v>
      </c>
      <c r="F2419" t="s">
        <v>2260</v>
      </c>
      <c r="G2419" t="s">
        <v>78</v>
      </c>
      <c r="H2419" t="s">
        <v>23</v>
      </c>
      <c r="I2419" t="s">
        <v>24</v>
      </c>
      <c r="J2419" t="s">
        <v>25</v>
      </c>
      <c r="K2419" t="s">
        <v>26</v>
      </c>
      <c r="L2419" t="s">
        <v>44</v>
      </c>
      <c r="M2419">
        <v>9</v>
      </c>
      <c r="N2419" s="2">
        <v>79</v>
      </c>
      <c r="O2419" s="3">
        <v>6558</v>
      </c>
      <c r="P2419">
        <v>0</v>
      </c>
      <c r="Q2419">
        <v>5</v>
      </c>
      <c r="R2419" t="s">
        <v>33</v>
      </c>
      <c r="S2419">
        <v>1</v>
      </c>
    </row>
    <row r="2420" spans="1:19" ht="16.5" x14ac:dyDescent="0.3">
      <c r="A2420" t="s">
        <v>2482</v>
      </c>
      <c r="B2420" s="1">
        <v>45625</v>
      </c>
      <c r="C2420" s="1">
        <v>45627</v>
      </c>
      <c r="D2420">
        <v>2024</v>
      </c>
      <c r="E2420" t="s">
        <v>2026</v>
      </c>
      <c r="F2420" t="s">
        <v>2260</v>
      </c>
      <c r="G2420" t="s">
        <v>83</v>
      </c>
      <c r="H2420" t="s">
        <v>35</v>
      </c>
      <c r="I2420" t="s">
        <v>40</v>
      </c>
      <c r="J2420" t="s">
        <v>25</v>
      </c>
      <c r="K2420" t="s">
        <v>32</v>
      </c>
      <c r="L2420" t="s">
        <v>27</v>
      </c>
      <c r="M2420">
        <v>2</v>
      </c>
      <c r="N2420" s="2"/>
      <c r="O2420" s="3">
        <v>2218</v>
      </c>
      <c r="P2420">
        <v>0</v>
      </c>
      <c r="Q2420">
        <v>4</v>
      </c>
      <c r="R2420" t="s">
        <v>28</v>
      </c>
      <c r="S2420">
        <v>1</v>
      </c>
    </row>
    <row r="2421" spans="1:19" ht="16.5" x14ac:dyDescent="0.3">
      <c r="A2421" t="s">
        <v>2483</v>
      </c>
      <c r="B2421" s="1">
        <v>45625</v>
      </c>
      <c r="C2421" s="1">
        <v>45635</v>
      </c>
      <c r="D2421">
        <v>2024</v>
      </c>
      <c r="E2421" t="s">
        <v>2026</v>
      </c>
      <c r="F2421" t="s">
        <v>2260</v>
      </c>
      <c r="G2421" t="s">
        <v>83</v>
      </c>
      <c r="H2421" t="s">
        <v>30</v>
      </c>
      <c r="I2421" t="s">
        <v>24</v>
      </c>
      <c r="J2421" t="s">
        <v>43</v>
      </c>
      <c r="K2421" t="s">
        <v>36</v>
      </c>
      <c r="L2421" t="s">
        <v>44</v>
      </c>
      <c r="M2421">
        <v>10</v>
      </c>
      <c r="N2421" s="2">
        <v>47</v>
      </c>
      <c r="O2421" s="3">
        <v>11559</v>
      </c>
      <c r="P2421">
        <v>0</v>
      </c>
      <c r="Q2421">
        <v>4</v>
      </c>
      <c r="R2421" t="s">
        <v>33</v>
      </c>
      <c r="S2421">
        <v>1</v>
      </c>
    </row>
    <row r="2422" spans="1:19" ht="16.5" x14ac:dyDescent="0.3">
      <c r="A2422" t="s">
        <v>2484</v>
      </c>
      <c r="B2422" s="1">
        <v>45625</v>
      </c>
      <c r="C2422" s="1">
        <v>45630</v>
      </c>
      <c r="D2422">
        <v>2024</v>
      </c>
      <c r="E2422" t="s">
        <v>2026</v>
      </c>
      <c r="F2422" t="s">
        <v>2260</v>
      </c>
      <c r="G2422" t="s">
        <v>83</v>
      </c>
      <c r="H2422" t="s">
        <v>50</v>
      </c>
      <c r="I2422" t="s">
        <v>24</v>
      </c>
      <c r="J2422" t="s">
        <v>25</v>
      </c>
      <c r="K2422" t="s">
        <v>32</v>
      </c>
      <c r="L2422" t="s">
        <v>27</v>
      </c>
      <c r="M2422">
        <v>5</v>
      </c>
      <c r="N2422" s="2">
        <v>35</v>
      </c>
      <c r="O2422" s="3">
        <v>8300</v>
      </c>
      <c r="P2422">
        <v>1</v>
      </c>
      <c r="Q2422">
        <v>4</v>
      </c>
      <c r="R2422" t="s">
        <v>33</v>
      </c>
      <c r="S2422">
        <v>1</v>
      </c>
    </row>
    <row r="2423" spans="1:19" ht="16.5" x14ac:dyDescent="0.3">
      <c r="A2423" t="s">
        <v>2485</v>
      </c>
      <c r="B2423" s="1">
        <v>45625</v>
      </c>
      <c r="C2423" s="1">
        <v>45626</v>
      </c>
      <c r="D2423">
        <v>2024</v>
      </c>
      <c r="E2423" t="s">
        <v>2026</v>
      </c>
      <c r="F2423" t="s">
        <v>2260</v>
      </c>
      <c r="G2423" t="s">
        <v>83</v>
      </c>
      <c r="H2423" t="s">
        <v>23</v>
      </c>
      <c r="I2423" t="s">
        <v>31</v>
      </c>
      <c r="J2423" t="s">
        <v>43</v>
      </c>
      <c r="K2423" t="s">
        <v>36</v>
      </c>
      <c r="L2423" t="s">
        <v>37</v>
      </c>
      <c r="M2423">
        <v>1</v>
      </c>
      <c r="N2423" s="2"/>
      <c r="O2423" s="3">
        <v>1533</v>
      </c>
      <c r="P2423">
        <v>0</v>
      </c>
      <c r="Q2423">
        <v>5</v>
      </c>
      <c r="R2423" t="s">
        <v>28</v>
      </c>
      <c r="S2423">
        <v>1</v>
      </c>
    </row>
    <row r="2424" spans="1:19" ht="16.5" x14ac:dyDescent="0.3">
      <c r="A2424" t="s">
        <v>2486</v>
      </c>
      <c r="B2424" s="1">
        <v>45625</v>
      </c>
      <c r="C2424" s="1">
        <v>45626</v>
      </c>
      <c r="D2424">
        <v>2024</v>
      </c>
      <c r="E2424" t="s">
        <v>2026</v>
      </c>
      <c r="F2424" t="s">
        <v>2260</v>
      </c>
      <c r="G2424" t="s">
        <v>83</v>
      </c>
      <c r="H2424" t="s">
        <v>50</v>
      </c>
      <c r="I2424" t="s">
        <v>24</v>
      </c>
      <c r="J2424" t="s">
        <v>25</v>
      </c>
      <c r="K2424" t="s">
        <v>53</v>
      </c>
      <c r="L2424" t="s">
        <v>27</v>
      </c>
      <c r="M2424">
        <v>1</v>
      </c>
      <c r="N2424" s="2">
        <v>90</v>
      </c>
      <c r="O2424" s="3">
        <v>2077</v>
      </c>
      <c r="P2424">
        <v>0</v>
      </c>
      <c r="Q2424">
        <v>3</v>
      </c>
      <c r="R2424" t="s">
        <v>28</v>
      </c>
      <c r="S2424">
        <v>1</v>
      </c>
    </row>
    <row r="2425" spans="1:19" ht="16.5" x14ac:dyDescent="0.3">
      <c r="A2425" t="s">
        <v>2487</v>
      </c>
      <c r="B2425" s="1">
        <v>45625</v>
      </c>
      <c r="C2425" s="1">
        <v>45626</v>
      </c>
      <c r="D2425">
        <v>2024</v>
      </c>
      <c r="E2425" t="s">
        <v>2026</v>
      </c>
      <c r="F2425" t="s">
        <v>2260</v>
      </c>
      <c r="G2425" t="s">
        <v>83</v>
      </c>
      <c r="H2425" t="s">
        <v>30</v>
      </c>
      <c r="I2425" t="s">
        <v>40</v>
      </c>
      <c r="J2425" t="s">
        <v>25</v>
      </c>
      <c r="K2425" t="s">
        <v>36</v>
      </c>
      <c r="L2425" t="s">
        <v>44</v>
      </c>
      <c r="M2425">
        <v>1</v>
      </c>
      <c r="N2425" s="2"/>
      <c r="O2425" s="3">
        <v>1973</v>
      </c>
      <c r="P2425">
        <v>0</v>
      </c>
      <c r="Q2425">
        <v>5</v>
      </c>
      <c r="R2425" t="s">
        <v>28</v>
      </c>
      <c r="S2425">
        <v>1</v>
      </c>
    </row>
    <row r="2426" spans="1:19" ht="16.5" x14ac:dyDescent="0.3">
      <c r="A2426" t="s">
        <v>2488</v>
      </c>
      <c r="B2426" s="1">
        <v>45625</v>
      </c>
      <c r="C2426" s="1">
        <v>45633</v>
      </c>
      <c r="D2426">
        <v>2024</v>
      </c>
      <c r="E2426" t="s">
        <v>2026</v>
      </c>
      <c r="F2426" t="s">
        <v>2260</v>
      </c>
      <c r="G2426" t="s">
        <v>83</v>
      </c>
      <c r="H2426" t="s">
        <v>23</v>
      </c>
      <c r="I2426" t="s">
        <v>24</v>
      </c>
      <c r="J2426" t="s">
        <v>43</v>
      </c>
      <c r="K2426" t="s">
        <v>36</v>
      </c>
      <c r="L2426" t="s">
        <v>44</v>
      </c>
      <c r="M2426">
        <v>8</v>
      </c>
      <c r="N2426" s="2">
        <v>93</v>
      </c>
      <c r="O2426" s="3">
        <v>5023</v>
      </c>
      <c r="P2426">
        <v>0</v>
      </c>
      <c r="Q2426">
        <v>4</v>
      </c>
      <c r="R2426" t="s">
        <v>33</v>
      </c>
      <c r="S2426">
        <v>1</v>
      </c>
    </row>
    <row r="2427" spans="1:19" ht="16.5" x14ac:dyDescent="0.3">
      <c r="A2427" t="s">
        <v>2489</v>
      </c>
      <c r="B2427" s="1">
        <v>45626</v>
      </c>
      <c r="C2427" s="1">
        <v>45627</v>
      </c>
      <c r="D2427">
        <v>2024</v>
      </c>
      <c r="E2427" t="s">
        <v>2026</v>
      </c>
      <c r="F2427" t="s">
        <v>2260</v>
      </c>
      <c r="G2427" t="s">
        <v>102</v>
      </c>
      <c r="H2427" t="s">
        <v>35</v>
      </c>
      <c r="I2427" t="s">
        <v>31</v>
      </c>
      <c r="J2427" t="s">
        <v>25</v>
      </c>
      <c r="K2427" t="s">
        <v>36</v>
      </c>
      <c r="L2427" t="s">
        <v>44</v>
      </c>
      <c r="M2427">
        <v>1</v>
      </c>
      <c r="N2427" s="2"/>
      <c r="O2427" s="3">
        <v>1406</v>
      </c>
      <c r="P2427">
        <v>0</v>
      </c>
      <c r="Q2427">
        <v>3</v>
      </c>
      <c r="R2427" t="s">
        <v>33</v>
      </c>
      <c r="S2427">
        <v>1</v>
      </c>
    </row>
    <row r="2428" spans="1:19" ht="16.5" x14ac:dyDescent="0.3">
      <c r="A2428" t="s">
        <v>2490</v>
      </c>
      <c r="B2428" s="1">
        <v>45626</v>
      </c>
      <c r="C2428" s="1">
        <v>45636</v>
      </c>
      <c r="D2428">
        <v>2024</v>
      </c>
      <c r="E2428" t="s">
        <v>2026</v>
      </c>
      <c r="F2428" t="s">
        <v>2260</v>
      </c>
      <c r="G2428" t="s">
        <v>102</v>
      </c>
      <c r="H2428" t="s">
        <v>30</v>
      </c>
      <c r="I2428" t="s">
        <v>40</v>
      </c>
      <c r="J2428" t="s">
        <v>25</v>
      </c>
      <c r="K2428" t="s">
        <v>26</v>
      </c>
      <c r="L2428" t="s">
        <v>44</v>
      </c>
      <c r="M2428">
        <v>10</v>
      </c>
      <c r="N2428" s="2"/>
      <c r="O2428" s="3">
        <v>10255</v>
      </c>
      <c r="P2428">
        <v>0</v>
      </c>
      <c r="Q2428">
        <v>5</v>
      </c>
      <c r="R2428" t="s">
        <v>33</v>
      </c>
      <c r="S2428">
        <v>1</v>
      </c>
    </row>
    <row r="2429" spans="1:19" ht="16.5" x14ac:dyDescent="0.3">
      <c r="A2429" t="s">
        <v>2491</v>
      </c>
      <c r="B2429" s="1">
        <v>45626</v>
      </c>
      <c r="C2429" s="1">
        <v>45631</v>
      </c>
      <c r="D2429">
        <v>2024</v>
      </c>
      <c r="E2429" t="s">
        <v>2026</v>
      </c>
      <c r="F2429" t="s">
        <v>2260</v>
      </c>
      <c r="G2429" t="s">
        <v>102</v>
      </c>
      <c r="H2429" t="s">
        <v>52</v>
      </c>
      <c r="I2429" t="s">
        <v>40</v>
      </c>
      <c r="J2429" t="s">
        <v>43</v>
      </c>
      <c r="K2429" t="s">
        <v>26</v>
      </c>
      <c r="L2429" t="s">
        <v>27</v>
      </c>
      <c r="M2429">
        <v>5</v>
      </c>
      <c r="N2429" s="2"/>
      <c r="O2429" s="3">
        <v>6257</v>
      </c>
      <c r="P2429">
        <v>0</v>
      </c>
      <c r="Q2429">
        <v>4</v>
      </c>
      <c r="R2429" t="s">
        <v>33</v>
      </c>
      <c r="S2429">
        <v>1</v>
      </c>
    </row>
    <row r="2430" spans="1:19" ht="16.5" x14ac:dyDescent="0.3">
      <c r="A2430" t="s">
        <v>2492</v>
      </c>
      <c r="B2430" s="1">
        <v>45626</v>
      </c>
      <c r="C2430" s="1">
        <v>45628</v>
      </c>
      <c r="D2430">
        <v>2024</v>
      </c>
      <c r="E2430" t="s">
        <v>2026</v>
      </c>
      <c r="F2430" t="s">
        <v>2260</v>
      </c>
      <c r="G2430" t="s">
        <v>102</v>
      </c>
      <c r="H2430" t="s">
        <v>35</v>
      </c>
      <c r="I2430" t="s">
        <v>31</v>
      </c>
      <c r="J2430" t="s">
        <v>25</v>
      </c>
      <c r="K2430" t="s">
        <v>36</v>
      </c>
      <c r="L2430" t="s">
        <v>44</v>
      </c>
      <c r="M2430">
        <v>2</v>
      </c>
      <c r="N2430" s="2"/>
      <c r="O2430" s="3">
        <v>2217</v>
      </c>
      <c r="P2430">
        <v>0</v>
      </c>
      <c r="Q2430">
        <v>4</v>
      </c>
      <c r="R2430" t="s">
        <v>28</v>
      </c>
      <c r="S2430">
        <v>1</v>
      </c>
    </row>
    <row r="2431" spans="1:19" ht="16.5" x14ac:dyDescent="0.3">
      <c r="A2431" t="s">
        <v>2493</v>
      </c>
      <c r="B2431" s="1">
        <v>45626</v>
      </c>
      <c r="C2431" s="1">
        <v>45634</v>
      </c>
      <c r="D2431">
        <v>2024</v>
      </c>
      <c r="E2431" t="s">
        <v>2026</v>
      </c>
      <c r="F2431" t="s">
        <v>2260</v>
      </c>
      <c r="G2431" t="s">
        <v>102</v>
      </c>
      <c r="H2431" t="s">
        <v>50</v>
      </c>
      <c r="I2431" t="s">
        <v>24</v>
      </c>
      <c r="J2431" t="s">
        <v>43</v>
      </c>
      <c r="K2431" t="s">
        <v>53</v>
      </c>
      <c r="L2431" t="s">
        <v>37</v>
      </c>
      <c r="M2431">
        <v>8</v>
      </c>
      <c r="N2431" s="2">
        <v>80</v>
      </c>
      <c r="O2431" s="3">
        <v>10165</v>
      </c>
      <c r="P2431">
        <v>1</v>
      </c>
      <c r="Q2431">
        <v>3</v>
      </c>
      <c r="R2431" t="s">
        <v>33</v>
      </c>
      <c r="S2431">
        <v>1</v>
      </c>
    </row>
    <row r="2432" spans="1:19" ht="16.5" x14ac:dyDescent="0.3">
      <c r="A2432" t="s">
        <v>2494</v>
      </c>
      <c r="B2432" s="1">
        <v>45626</v>
      </c>
      <c r="C2432" s="1">
        <v>45631</v>
      </c>
      <c r="D2432">
        <v>2024</v>
      </c>
      <c r="E2432" t="s">
        <v>2026</v>
      </c>
      <c r="F2432" t="s">
        <v>2260</v>
      </c>
      <c r="G2432" t="s">
        <v>102</v>
      </c>
      <c r="H2432" t="s">
        <v>39</v>
      </c>
      <c r="I2432" t="s">
        <v>24</v>
      </c>
      <c r="J2432" t="s">
        <v>43</v>
      </c>
      <c r="K2432" t="s">
        <v>41</v>
      </c>
      <c r="L2432" t="s">
        <v>27</v>
      </c>
      <c r="M2432">
        <v>5</v>
      </c>
      <c r="N2432" s="2">
        <v>34</v>
      </c>
      <c r="O2432" s="3">
        <v>3382</v>
      </c>
      <c r="P2432">
        <v>0</v>
      </c>
      <c r="Q2432">
        <v>5</v>
      </c>
      <c r="R2432" t="s">
        <v>33</v>
      </c>
      <c r="S2432">
        <v>1</v>
      </c>
    </row>
    <row r="2433" spans="1:19" ht="16.5" x14ac:dyDescent="0.3">
      <c r="A2433" t="s">
        <v>2495</v>
      </c>
      <c r="B2433" s="1">
        <v>45627</v>
      </c>
      <c r="C2433" s="1">
        <v>45631</v>
      </c>
      <c r="D2433">
        <v>2024</v>
      </c>
      <c r="E2433" t="s">
        <v>2026</v>
      </c>
      <c r="F2433" t="s">
        <v>2496</v>
      </c>
      <c r="G2433" t="s">
        <v>112</v>
      </c>
      <c r="H2433" t="s">
        <v>23</v>
      </c>
      <c r="I2433" t="s">
        <v>31</v>
      </c>
      <c r="J2433" t="s">
        <v>43</v>
      </c>
      <c r="K2433" t="s">
        <v>26</v>
      </c>
      <c r="L2433" t="s">
        <v>27</v>
      </c>
      <c r="M2433">
        <v>4</v>
      </c>
      <c r="N2433" s="2"/>
      <c r="O2433" s="3">
        <v>3049</v>
      </c>
      <c r="P2433">
        <v>0</v>
      </c>
      <c r="Q2433">
        <v>4</v>
      </c>
      <c r="R2433" t="s">
        <v>28</v>
      </c>
      <c r="S2433">
        <v>1</v>
      </c>
    </row>
    <row r="2434" spans="1:19" ht="16.5" x14ac:dyDescent="0.3">
      <c r="A2434" t="s">
        <v>2497</v>
      </c>
      <c r="B2434" s="1">
        <v>45627</v>
      </c>
      <c r="C2434" s="1">
        <v>45632</v>
      </c>
      <c r="D2434">
        <v>2024</v>
      </c>
      <c r="E2434" t="s">
        <v>2026</v>
      </c>
      <c r="F2434" t="s">
        <v>2496</v>
      </c>
      <c r="G2434" t="s">
        <v>112</v>
      </c>
      <c r="H2434" t="s">
        <v>23</v>
      </c>
      <c r="I2434" t="s">
        <v>24</v>
      </c>
      <c r="J2434" t="s">
        <v>25</v>
      </c>
      <c r="K2434" t="s">
        <v>26</v>
      </c>
      <c r="L2434" t="s">
        <v>27</v>
      </c>
      <c r="M2434">
        <v>5</v>
      </c>
      <c r="N2434" s="2">
        <v>49</v>
      </c>
      <c r="O2434" s="3">
        <v>4227</v>
      </c>
      <c r="P2434">
        <v>0</v>
      </c>
      <c r="Q2434">
        <v>4</v>
      </c>
      <c r="R2434" t="s">
        <v>33</v>
      </c>
      <c r="S2434">
        <v>1</v>
      </c>
    </row>
    <row r="2435" spans="1:19" ht="16.5" x14ac:dyDescent="0.3">
      <c r="A2435" t="s">
        <v>2498</v>
      </c>
      <c r="B2435" s="1">
        <v>45627</v>
      </c>
      <c r="C2435" s="1">
        <v>45629</v>
      </c>
      <c r="D2435">
        <v>2024</v>
      </c>
      <c r="E2435" t="s">
        <v>2026</v>
      </c>
      <c r="F2435" t="s">
        <v>2496</v>
      </c>
      <c r="G2435" t="s">
        <v>112</v>
      </c>
      <c r="H2435" t="s">
        <v>23</v>
      </c>
      <c r="I2435" t="s">
        <v>24</v>
      </c>
      <c r="J2435" t="s">
        <v>25</v>
      </c>
      <c r="K2435" t="s">
        <v>26</v>
      </c>
      <c r="L2435" t="s">
        <v>44</v>
      </c>
      <c r="M2435">
        <v>2</v>
      </c>
      <c r="N2435" s="2">
        <v>28</v>
      </c>
      <c r="O2435" s="3">
        <v>2602</v>
      </c>
      <c r="P2435">
        <v>0</v>
      </c>
      <c r="Q2435">
        <v>3</v>
      </c>
      <c r="R2435" t="s">
        <v>28</v>
      </c>
      <c r="S2435">
        <v>1</v>
      </c>
    </row>
    <row r="2436" spans="1:19" ht="16.5" x14ac:dyDescent="0.3">
      <c r="A2436" t="s">
        <v>2499</v>
      </c>
      <c r="B2436" s="1">
        <v>45627</v>
      </c>
      <c r="C2436" s="1">
        <v>45631</v>
      </c>
      <c r="D2436">
        <v>2024</v>
      </c>
      <c r="E2436" t="s">
        <v>2026</v>
      </c>
      <c r="F2436" t="s">
        <v>2496</v>
      </c>
      <c r="G2436" t="s">
        <v>112</v>
      </c>
      <c r="H2436" t="s">
        <v>50</v>
      </c>
      <c r="I2436" t="s">
        <v>40</v>
      </c>
      <c r="J2436" t="s">
        <v>43</v>
      </c>
      <c r="K2436" t="s">
        <v>53</v>
      </c>
      <c r="L2436" t="s">
        <v>44</v>
      </c>
      <c r="M2436">
        <v>4</v>
      </c>
      <c r="N2436" s="2"/>
      <c r="O2436" s="3">
        <v>5536</v>
      </c>
      <c r="P2436">
        <v>0</v>
      </c>
      <c r="Q2436">
        <v>4</v>
      </c>
      <c r="R2436" t="s">
        <v>28</v>
      </c>
      <c r="S2436">
        <v>1</v>
      </c>
    </row>
    <row r="2437" spans="1:19" ht="16.5" x14ac:dyDescent="0.3">
      <c r="A2437" t="s">
        <v>2500</v>
      </c>
      <c r="B2437" s="1">
        <v>45627</v>
      </c>
      <c r="C2437" s="1">
        <v>45632</v>
      </c>
      <c r="D2437">
        <v>2024</v>
      </c>
      <c r="E2437" t="s">
        <v>2026</v>
      </c>
      <c r="F2437" t="s">
        <v>2496</v>
      </c>
      <c r="G2437" t="s">
        <v>112</v>
      </c>
      <c r="H2437" t="s">
        <v>23</v>
      </c>
      <c r="I2437" t="s">
        <v>24</v>
      </c>
      <c r="J2437" t="s">
        <v>43</v>
      </c>
      <c r="K2437" t="s">
        <v>36</v>
      </c>
      <c r="L2437" t="s">
        <v>44</v>
      </c>
      <c r="M2437">
        <v>5</v>
      </c>
      <c r="N2437" s="2">
        <v>59</v>
      </c>
      <c r="O2437" s="3">
        <v>4049</v>
      </c>
      <c r="P2437">
        <v>1</v>
      </c>
      <c r="Q2437">
        <v>4</v>
      </c>
      <c r="R2437" t="s">
        <v>28</v>
      </c>
      <c r="S2437">
        <v>1</v>
      </c>
    </row>
    <row r="2438" spans="1:19" ht="16.5" x14ac:dyDescent="0.3">
      <c r="A2438" t="s">
        <v>2501</v>
      </c>
      <c r="B2438" s="1">
        <v>45627</v>
      </c>
      <c r="C2438" s="1">
        <v>45631</v>
      </c>
      <c r="D2438">
        <v>2024</v>
      </c>
      <c r="E2438" t="s">
        <v>2026</v>
      </c>
      <c r="F2438" t="s">
        <v>2496</v>
      </c>
      <c r="G2438" t="s">
        <v>112</v>
      </c>
      <c r="H2438" t="s">
        <v>23</v>
      </c>
      <c r="I2438" t="s">
        <v>24</v>
      </c>
      <c r="J2438" t="s">
        <v>25</v>
      </c>
      <c r="K2438" t="s">
        <v>26</v>
      </c>
      <c r="L2438" t="s">
        <v>44</v>
      </c>
      <c r="M2438">
        <v>4</v>
      </c>
      <c r="N2438" s="2">
        <v>95</v>
      </c>
      <c r="O2438" s="3">
        <v>2648</v>
      </c>
      <c r="P2438">
        <v>0</v>
      </c>
      <c r="Q2438">
        <v>4</v>
      </c>
      <c r="R2438" t="s">
        <v>28</v>
      </c>
      <c r="S2438">
        <v>1</v>
      </c>
    </row>
    <row r="2439" spans="1:19" ht="16.5" x14ac:dyDescent="0.3">
      <c r="A2439" t="s">
        <v>2502</v>
      </c>
      <c r="B2439" s="1">
        <v>45627</v>
      </c>
      <c r="C2439" s="1">
        <v>45628</v>
      </c>
      <c r="D2439">
        <v>2024</v>
      </c>
      <c r="E2439" t="s">
        <v>2026</v>
      </c>
      <c r="F2439" t="s">
        <v>2496</v>
      </c>
      <c r="G2439" t="s">
        <v>112</v>
      </c>
      <c r="H2439" t="s">
        <v>35</v>
      </c>
      <c r="I2439" t="s">
        <v>24</v>
      </c>
      <c r="J2439" t="s">
        <v>25</v>
      </c>
      <c r="K2439" t="s">
        <v>36</v>
      </c>
      <c r="L2439" t="s">
        <v>37</v>
      </c>
      <c r="M2439">
        <v>1</v>
      </c>
      <c r="N2439" s="2">
        <v>82</v>
      </c>
      <c r="O2439" s="3">
        <v>1764</v>
      </c>
      <c r="P2439">
        <v>0</v>
      </c>
      <c r="Q2439">
        <v>5</v>
      </c>
      <c r="R2439" t="s">
        <v>33</v>
      </c>
      <c r="S2439">
        <v>1</v>
      </c>
    </row>
    <row r="2440" spans="1:19" ht="16.5" x14ac:dyDescent="0.3">
      <c r="A2440" t="s">
        <v>2503</v>
      </c>
      <c r="B2440" s="1">
        <v>45628</v>
      </c>
      <c r="C2440" s="1">
        <v>45630</v>
      </c>
      <c r="D2440">
        <v>2024</v>
      </c>
      <c r="E2440" t="s">
        <v>2026</v>
      </c>
      <c r="F2440" t="s">
        <v>2496</v>
      </c>
      <c r="G2440" t="s">
        <v>22</v>
      </c>
      <c r="H2440" t="s">
        <v>39</v>
      </c>
      <c r="I2440" t="s">
        <v>40</v>
      </c>
      <c r="J2440" t="s">
        <v>25</v>
      </c>
      <c r="K2440" t="s">
        <v>41</v>
      </c>
      <c r="L2440" t="s">
        <v>44</v>
      </c>
      <c r="M2440">
        <v>2</v>
      </c>
      <c r="N2440" s="2"/>
      <c r="O2440" s="3">
        <v>1730</v>
      </c>
      <c r="P2440">
        <v>0</v>
      </c>
      <c r="Q2440">
        <v>4</v>
      </c>
      <c r="R2440" t="s">
        <v>28</v>
      </c>
      <c r="S2440">
        <v>1</v>
      </c>
    </row>
    <row r="2441" spans="1:19" ht="16.5" x14ac:dyDescent="0.3">
      <c r="A2441" t="s">
        <v>2504</v>
      </c>
      <c r="B2441" s="1">
        <v>45628</v>
      </c>
      <c r="C2441" s="1">
        <v>45636</v>
      </c>
      <c r="D2441">
        <v>2024</v>
      </c>
      <c r="E2441" t="s">
        <v>2026</v>
      </c>
      <c r="F2441" t="s">
        <v>2496</v>
      </c>
      <c r="G2441" t="s">
        <v>22</v>
      </c>
      <c r="H2441" t="s">
        <v>39</v>
      </c>
      <c r="I2441" t="s">
        <v>40</v>
      </c>
      <c r="J2441" t="s">
        <v>25</v>
      </c>
      <c r="K2441" t="s">
        <v>41</v>
      </c>
      <c r="L2441" t="s">
        <v>37</v>
      </c>
      <c r="M2441">
        <v>8</v>
      </c>
      <c r="N2441" s="2"/>
      <c r="O2441" s="3">
        <v>4649</v>
      </c>
      <c r="P2441">
        <v>0</v>
      </c>
      <c r="Q2441">
        <v>4</v>
      </c>
      <c r="R2441" t="s">
        <v>33</v>
      </c>
      <c r="S2441">
        <v>1</v>
      </c>
    </row>
    <row r="2442" spans="1:19" ht="16.5" x14ac:dyDescent="0.3">
      <c r="A2442" t="s">
        <v>2505</v>
      </c>
      <c r="B2442" s="1">
        <v>45628</v>
      </c>
      <c r="C2442" s="1">
        <v>45630</v>
      </c>
      <c r="D2442">
        <v>2024</v>
      </c>
      <c r="E2442" t="s">
        <v>2026</v>
      </c>
      <c r="F2442" t="s">
        <v>2496</v>
      </c>
      <c r="G2442" t="s">
        <v>22</v>
      </c>
      <c r="H2442" t="s">
        <v>39</v>
      </c>
      <c r="I2442" t="s">
        <v>24</v>
      </c>
      <c r="J2442" t="s">
        <v>43</v>
      </c>
      <c r="K2442" t="s">
        <v>41</v>
      </c>
      <c r="L2442" t="s">
        <v>44</v>
      </c>
      <c r="M2442">
        <v>2</v>
      </c>
      <c r="N2442" s="2">
        <v>66</v>
      </c>
      <c r="O2442" s="3">
        <v>1797</v>
      </c>
      <c r="P2442">
        <v>0</v>
      </c>
      <c r="Q2442">
        <v>5</v>
      </c>
      <c r="R2442" t="s">
        <v>33</v>
      </c>
      <c r="S2442">
        <v>1</v>
      </c>
    </row>
    <row r="2443" spans="1:19" ht="16.5" x14ac:dyDescent="0.3">
      <c r="A2443" t="s">
        <v>2506</v>
      </c>
      <c r="B2443" s="1">
        <v>45628</v>
      </c>
      <c r="C2443" s="1">
        <v>45629</v>
      </c>
      <c r="D2443">
        <v>2024</v>
      </c>
      <c r="E2443" t="s">
        <v>2026</v>
      </c>
      <c r="F2443" t="s">
        <v>2496</v>
      </c>
      <c r="G2443" t="s">
        <v>22</v>
      </c>
      <c r="H2443" t="s">
        <v>39</v>
      </c>
      <c r="I2443" t="s">
        <v>24</v>
      </c>
      <c r="J2443" t="s">
        <v>43</v>
      </c>
      <c r="K2443" t="s">
        <v>41</v>
      </c>
      <c r="L2443" t="s">
        <v>27</v>
      </c>
      <c r="M2443">
        <v>1</v>
      </c>
      <c r="N2443" s="2">
        <v>57</v>
      </c>
      <c r="O2443" s="3">
        <v>1355</v>
      </c>
      <c r="P2443">
        <v>0</v>
      </c>
      <c r="Q2443">
        <v>5</v>
      </c>
      <c r="R2443" t="s">
        <v>33</v>
      </c>
      <c r="S2443">
        <v>1</v>
      </c>
    </row>
    <row r="2444" spans="1:19" ht="16.5" x14ac:dyDescent="0.3">
      <c r="A2444" t="s">
        <v>2507</v>
      </c>
      <c r="B2444" s="1">
        <v>45628</v>
      </c>
      <c r="C2444" s="1">
        <v>45633</v>
      </c>
      <c r="D2444">
        <v>2024</v>
      </c>
      <c r="E2444" t="s">
        <v>2026</v>
      </c>
      <c r="F2444" t="s">
        <v>2496</v>
      </c>
      <c r="G2444" t="s">
        <v>22</v>
      </c>
      <c r="H2444" t="s">
        <v>39</v>
      </c>
      <c r="I2444" t="s">
        <v>24</v>
      </c>
      <c r="J2444" t="s">
        <v>43</v>
      </c>
      <c r="K2444" t="s">
        <v>41</v>
      </c>
      <c r="L2444" t="s">
        <v>27</v>
      </c>
      <c r="M2444">
        <v>5</v>
      </c>
      <c r="N2444" s="2">
        <v>31</v>
      </c>
      <c r="O2444" s="3">
        <v>4568</v>
      </c>
      <c r="P2444">
        <v>0</v>
      </c>
      <c r="Q2444">
        <v>4</v>
      </c>
      <c r="R2444" t="s">
        <v>33</v>
      </c>
      <c r="S2444">
        <v>1</v>
      </c>
    </row>
    <row r="2445" spans="1:19" ht="16.5" x14ac:dyDescent="0.3">
      <c r="A2445" t="s">
        <v>2508</v>
      </c>
      <c r="B2445" s="1">
        <v>45628</v>
      </c>
      <c r="C2445" s="1">
        <v>45635</v>
      </c>
      <c r="D2445">
        <v>2024</v>
      </c>
      <c r="E2445" t="s">
        <v>2026</v>
      </c>
      <c r="F2445" t="s">
        <v>2496</v>
      </c>
      <c r="G2445" t="s">
        <v>22</v>
      </c>
      <c r="H2445" t="s">
        <v>30</v>
      </c>
      <c r="I2445" t="s">
        <v>40</v>
      </c>
      <c r="J2445" t="s">
        <v>43</v>
      </c>
      <c r="K2445" t="s">
        <v>26</v>
      </c>
      <c r="L2445" t="s">
        <v>44</v>
      </c>
      <c r="M2445">
        <v>7</v>
      </c>
      <c r="N2445" s="2"/>
      <c r="O2445" s="3">
        <v>9671</v>
      </c>
      <c r="P2445">
        <v>0</v>
      </c>
      <c r="Q2445">
        <v>4</v>
      </c>
      <c r="R2445" t="s">
        <v>33</v>
      </c>
      <c r="S2445">
        <v>1</v>
      </c>
    </row>
    <row r="2446" spans="1:19" ht="16.5" x14ac:dyDescent="0.3">
      <c r="A2446" t="s">
        <v>2509</v>
      </c>
      <c r="B2446" s="1">
        <v>45628</v>
      </c>
      <c r="C2446" s="1">
        <v>45641</v>
      </c>
      <c r="D2446">
        <v>2024</v>
      </c>
      <c r="E2446" t="s">
        <v>2026</v>
      </c>
      <c r="F2446" t="s">
        <v>2496</v>
      </c>
      <c r="G2446" t="s">
        <v>22</v>
      </c>
      <c r="H2446" t="s">
        <v>23</v>
      </c>
      <c r="I2446" t="s">
        <v>24</v>
      </c>
      <c r="J2446" t="s">
        <v>25</v>
      </c>
      <c r="K2446" t="s">
        <v>26</v>
      </c>
      <c r="L2446" t="s">
        <v>44</v>
      </c>
      <c r="M2446">
        <v>13</v>
      </c>
      <c r="N2446" s="2">
        <v>79</v>
      </c>
      <c r="O2446" s="3">
        <v>9528</v>
      </c>
      <c r="P2446">
        <v>0</v>
      </c>
      <c r="Q2446">
        <v>4</v>
      </c>
      <c r="R2446" t="s">
        <v>59</v>
      </c>
      <c r="S2446">
        <v>1</v>
      </c>
    </row>
    <row r="2447" spans="1:19" ht="16.5" x14ac:dyDescent="0.3">
      <c r="A2447" t="s">
        <v>2510</v>
      </c>
      <c r="B2447" s="1">
        <v>45629</v>
      </c>
      <c r="C2447" s="1">
        <v>45637</v>
      </c>
      <c r="D2447">
        <v>2024</v>
      </c>
      <c r="E2447" t="s">
        <v>2026</v>
      </c>
      <c r="F2447" t="s">
        <v>2496</v>
      </c>
      <c r="G2447" t="s">
        <v>56</v>
      </c>
      <c r="H2447" t="s">
        <v>23</v>
      </c>
      <c r="I2447" t="s">
        <v>24</v>
      </c>
      <c r="J2447" t="s">
        <v>43</v>
      </c>
      <c r="K2447" t="s">
        <v>53</v>
      </c>
      <c r="L2447" t="s">
        <v>27</v>
      </c>
      <c r="M2447">
        <v>8</v>
      </c>
      <c r="N2447" s="2">
        <v>25</v>
      </c>
      <c r="O2447" s="3">
        <v>6675</v>
      </c>
      <c r="P2447">
        <v>1</v>
      </c>
      <c r="Q2447">
        <v>3</v>
      </c>
      <c r="R2447" t="s">
        <v>33</v>
      </c>
      <c r="S2447">
        <v>1</v>
      </c>
    </row>
    <row r="2448" spans="1:19" ht="16.5" x14ac:dyDescent="0.3">
      <c r="A2448" t="s">
        <v>2511</v>
      </c>
      <c r="B2448" s="1">
        <v>45629</v>
      </c>
      <c r="C2448" s="1">
        <v>45636</v>
      </c>
      <c r="D2448">
        <v>2024</v>
      </c>
      <c r="E2448" t="s">
        <v>2026</v>
      </c>
      <c r="F2448" t="s">
        <v>2496</v>
      </c>
      <c r="G2448" t="s">
        <v>56</v>
      </c>
      <c r="H2448" t="s">
        <v>23</v>
      </c>
      <c r="I2448" t="s">
        <v>24</v>
      </c>
      <c r="J2448" t="s">
        <v>25</v>
      </c>
      <c r="K2448" t="s">
        <v>32</v>
      </c>
      <c r="L2448" t="s">
        <v>27</v>
      </c>
      <c r="M2448">
        <v>7</v>
      </c>
      <c r="N2448" s="2">
        <v>56</v>
      </c>
      <c r="O2448" s="3">
        <v>4501</v>
      </c>
      <c r="P2448">
        <v>0</v>
      </c>
      <c r="Q2448">
        <v>5</v>
      </c>
      <c r="R2448" t="s">
        <v>33</v>
      </c>
      <c r="S2448">
        <v>1</v>
      </c>
    </row>
    <row r="2449" spans="1:19" ht="16.5" x14ac:dyDescent="0.3">
      <c r="A2449" t="s">
        <v>2512</v>
      </c>
      <c r="B2449" s="1">
        <v>45629</v>
      </c>
      <c r="C2449" s="1">
        <v>45631</v>
      </c>
      <c r="D2449">
        <v>2024</v>
      </c>
      <c r="E2449" t="s">
        <v>2026</v>
      </c>
      <c r="F2449" t="s">
        <v>2496</v>
      </c>
      <c r="G2449" t="s">
        <v>56</v>
      </c>
      <c r="H2449" t="s">
        <v>50</v>
      </c>
      <c r="I2449" t="s">
        <v>24</v>
      </c>
      <c r="J2449" t="s">
        <v>25</v>
      </c>
      <c r="K2449" t="s">
        <v>53</v>
      </c>
      <c r="L2449" t="s">
        <v>44</v>
      </c>
      <c r="M2449">
        <v>2</v>
      </c>
      <c r="N2449" s="2">
        <v>44</v>
      </c>
      <c r="O2449" s="3">
        <v>2562</v>
      </c>
      <c r="P2449">
        <v>0</v>
      </c>
      <c r="Q2449">
        <v>5</v>
      </c>
      <c r="R2449" t="s">
        <v>28</v>
      </c>
      <c r="S2449">
        <v>1</v>
      </c>
    </row>
    <row r="2450" spans="1:19" ht="16.5" x14ac:dyDescent="0.3">
      <c r="A2450" t="s">
        <v>2513</v>
      </c>
      <c r="B2450" s="1">
        <v>45629</v>
      </c>
      <c r="C2450" s="1">
        <v>45632</v>
      </c>
      <c r="D2450">
        <v>2024</v>
      </c>
      <c r="E2450" t="s">
        <v>2026</v>
      </c>
      <c r="F2450" t="s">
        <v>2496</v>
      </c>
      <c r="G2450" t="s">
        <v>56</v>
      </c>
      <c r="H2450" t="s">
        <v>23</v>
      </c>
      <c r="I2450" t="s">
        <v>40</v>
      </c>
      <c r="J2450" t="s">
        <v>43</v>
      </c>
      <c r="K2450" t="s">
        <v>53</v>
      </c>
      <c r="L2450" t="s">
        <v>44</v>
      </c>
      <c r="M2450">
        <v>3</v>
      </c>
      <c r="N2450" s="2"/>
      <c r="O2450" s="3">
        <v>2718</v>
      </c>
      <c r="P2450">
        <v>1</v>
      </c>
      <c r="Q2450">
        <v>4</v>
      </c>
      <c r="R2450" t="s">
        <v>165</v>
      </c>
      <c r="S2450">
        <v>1</v>
      </c>
    </row>
    <row r="2451" spans="1:19" ht="16.5" x14ac:dyDescent="0.3">
      <c r="A2451" t="s">
        <v>2514</v>
      </c>
      <c r="B2451" s="1">
        <v>45629</v>
      </c>
      <c r="C2451" s="1">
        <v>45638</v>
      </c>
      <c r="D2451">
        <v>2024</v>
      </c>
      <c r="E2451" t="s">
        <v>2026</v>
      </c>
      <c r="F2451" t="s">
        <v>2496</v>
      </c>
      <c r="G2451" t="s">
        <v>56</v>
      </c>
      <c r="H2451" t="s">
        <v>50</v>
      </c>
      <c r="I2451" t="s">
        <v>24</v>
      </c>
      <c r="J2451" t="s">
        <v>43</v>
      </c>
      <c r="K2451" t="s">
        <v>26</v>
      </c>
      <c r="L2451" t="s">
        <v>44</v>
      </c>
      <c r="M2451">
        <v>9</v>
      </c>
      <c r="N2451" s="2">
        <v>40</v>
      </c>
      <c r="O2451" s="3">
        <v>13751</v>
      </c>
      <c r="P2451">
        <v>1</v>
      </c>
      <c r="Q2451">
        <v>4</v>
      </c>
      <c r="R2451" t="s">
        <v>28</v>
      </c>
      <c r="S2451">
        <v>1</v>
      </c>
    </row>
    <row r="2452" spans="1:19" ht="16.5" x14ac:dyDescent="0.3">
      <c r="A2452" t="s">
        <v>2515</v>
      </c>
      <c r="B2452" s="1">
        <v>45629</v>
      </c>
      <c r="C2452" s="1">
        <v>45630</v>
      </c>
      <c r="D2452">
        <v>2024</v>
      </c>
      <c r="E2452" t="s">
        <v>2026</v>
      </c>
      <c r="F2452" t="s">
        <v>2496</v>
      </c>
      <c r="G2452" t="s">
        <v>56</v>
      </c>
      <c r="H2452" t="s">
        <v>50</v>
      </c>
      <c r="I2452" t="s">
        <v>24</v>
      </c>
      <c r="J2452" t="s">
        <v>43</v>
      </c>
      <c r="K2452" t="s">
        <v>36</v>
      </c>
      <c r="L2452" t="s">
        <v>44</v>
      </c>
      <c r="M2452">
        <v>1</v>
      </c>
      <c r="N2452" s="2">
        <v>36</v>
      </c>
      <c r="O2452" s="3">
        <v>1886</v>
      </c>
      <c r="P2452">
        <v>0</v>
      </c>
      <c r="Q2452">
        <v>5</v>
      </c>
      <c r="R2452" t="s">
        <v>28</v>
      </c>
      <c r="S2452">
        <v>1</v>
      </c>
    </row>
    <row r="2453" spans="1:19" ht="16.5" x14ac:dyDescent="0.3">
      <c r="A2453" t="s">
        <v>2516</v>
      </c>
      <c r="B2453" s="1">
        <v>45629</v>
      </c>
      <c r="C2453" s="1">
        <v>45636</v>
      </c>
      <c r="D2453">
        <v>2024</v>
      </c>
      <c r="E2453" t="s">
        <v>2026</v>
      </c>
      <c r="F2453" t="s">
        <v>2496</v>
      </c>
      <c r="G2453" t="s">
        <v>56</v>
      </c>
      <c r="H2453" t="s">
        <v>23</v>
      </c>
      <c r="I2453" t="s">
        <v>24</v>
      </c>
      <c r="J2453" t="s">
        <v>43</v>
      </c>
      <c r="K2453" t="s">
        <v>53</v>
      </c>
      <c r="L2453" t="s">
        <v>27</v>
      </c>
      <c r="M2453">
        <v>7</v>
      </c>
      <c r="N2453" s="2">
        <v>80</v>
      </c>
      <c r="O2453" s="3">
        <v>4201</v>
      </c>
      <c r="P2453">
        <v>0</v>
      </c>
      <c r="Q2453">
        <v>5</v>
      </c>
      <c r="R2453" t="s">
        <v>33</v>
      </c>
      <c r="S2453">
        <v>1</v>
      </c>
    </row>
    <row r="2454" spans="1:19" ht="16.5" x14ac:dyDescent="0.3">
      <c r="A2454" t="s">
        <v>2517</v>
      </c>
      <c r="B2454" s="1">
        <v>45629</v>
      </c>
      <c r="C2454" s="1">
        <v>45633</v>
      </c>
      <c r="D2454">
        <v>2024</v>
      </c>
      <c r="E2454" t="s">
        <v>2026</v>
      </c>
      <c r="F2454" t="s">
        <v>2496</v>
      </c>
      <c r="G2454" t="s">
        <v>56</v>
      </c>
      <c r="H2454" t="s">
        <v>30</v>
      </c>
      <c r="I2454" t="s">
        <v>40</v>
      </c>
      <c r="J2454" t="s">
        <v>25</v>
      </c>
      <c r="K2454" t="s">
        <v>53</v>
      </c>
      <c r="L2454" t="s">
        <v>44</v>
      </c>
      <c r="M2454">
        <v>4</v>
      </c>
      <c r="N2454" s="2"/>
      <c r="O2454" s="3">
        <v>5640</v>
      </c>
      <c r="P2454">
        <v>0</v>
      </c>
      <c r="Q2454">
        <v>5</v>
      </c>
      <c r="R2454" t="s">
        <v>33</v>
      </c>
      <c r="S2454">
        <v>1</v>
      </c>
    </row>
    <row r="2455" spans="1:19" ht="16.5" x14ac:dyDescent="0.3">
      <c r="A2455" t="s">
        <v>2518</v>
      </c>
      <c r="B2455" s="1">
        <v>45629</v>
      </c>
      <c r="C2455" s="1">
        <v>45631</v>
      </c>
      <c r="D2455">
        <v>2024</v>
      </c>
      <c r="E2455" t="s">
        <v>2026</v>
      </c>
      <c r="F2455" t="s">
        <v>2496</v>
      </c>
      <c r="G2455" t="s">
        <v>56</v>
      </c>
      <c r="H2455" t="s">
        <v>23</v>
      </c>
      <c r="I2455" t="s">
        <v>24</v>
      </c>
      <c r="J2455" t="s">
        <v>25</v>
      </c>
      <c r="K2455" t="s">
        <v>36</v>
      </c>
      <c r="L2455" t="s">
        <v>27</v>
      </c>
      <c r="M2455">
        <v>2</v>
      </c>
      <c r="N2455" s="2">
        <v>109</v>
      </c>
      <c r="O2455" s="3">
        <v>2334</v>
      </c>
      <c r="P2455">
        <v>0</v>
      </c>
      <c r="Q2455">
        <v>4</v>
      </c>
      <c r="R2455" t="s">
        <v>33</v>
      </c>
      <c r="S2455">
        <v>1</v>
      </c>
    </row>
    <row r="2456" spans="1:19" ht="16.5" x14ac:dyDescent="0.3">
      <c r="A2456" t="s">
        <v>2519</v>
      </c>
      <c r="B2456" s="1">
        <v>45629</v>
      </c>
      <c r="C2456" s="1">
        <v>45633</v>
      </c>
      <c r="D2456">
        <v>2024</v>
      </c>
      <c r="E2456" t="s">
        <v>2026</v>
      </c>
      <c r="F2456" t="s">
        <v>2496</v>
      </c>
      <c r="G2456" t="s">
        <v>56</v>
      </c>
      <c r="H2456" t="s">
        <v>39</v>
      </c>
      <c r="I2456" t="s">
        <v>24</v>
      </c>
      <c r="J2456" t="s">
        <v>43</v>
      </c>
      <c r="K2456" t="s">
        <v>41</v>
      </c>
      <c r="L2456" t="s">
        <v>44</v>
      </c>
      <c r="M2456">
        <v>4</v>
      </c>
      <c r="N2456" s="2">
        <v>52</v>
      </c>
      <c r="O2456" s="3">
        <v>3646</v>
      </c>
      <c r="P2456">
        <v>0</v>
      </c>
      <c r="Q2456">
        <v>4</v>
      </c>
      <c r="R2456" t="s">
        <v>28</v>
      </c>
      <c r="S2456">
        <v>1</v>
      </c>
    </row>
    <row r="2457" spans="1:19" ht="16.5" x14ac:dyDescent="0.3">
      <c r="A2457" t="s">
        <v>2520</v>
      </c>
      <c r="B2457" s="1">
        <v>45629</v>
      </c>
      <c r="C2457" s="1">
        <v>45634</v>
      </c>
      <c r="D2457">
        <v>2024</v>
      </c>
      <c r="E2457" t="s">
        <v>2026</v>
      </c>
      <c r="F2457" t="s">
        <v>2496</v>
      </c>
      <c r="G2457" t="s">
        <v>56</v>
      </c>
      <c r="H2457" t="s">
        <v>30</v>
      </c>
      <c r="I2457" t="s">
        <v>24</v>
      </c>
      <c r="J2457" t="s">
        <v>43</v>
      </c>
      <c r="K2457" t="s">
        <v>26</v>
      </c>
      <c r="L2457" t="s">
        <v>44</v>
      </c>
      <c r="M2457">
        <v>5</v>
      </c>
      <c r="N2457" s="2">
        <v>64</v>
      </c>
      <c r="O2457" s="3">
        <v>6299</v>
      </c>
      <c r="P2457">
        <v>0</v>
      </c>
      <c r="Q2457">
        <v>4</v>
      </c>
      <c r="R2457" t="s">
        <v>33</v>
      </c>
      <c r="S2457">
        <v>1</v>
      </c>
    </row>
    <row r="2458" spans="1:19" ht="16.5" x14ac:dyDescent="0.3">
      <c r="A2458" t="s">
        <v>2521</v>
      </c>
      <c r="B2458" s="1">
        <v>45629</v>
      </c>
      <c r="C2458" s="1">
        <v>45631</v>
      </c>
      <c r="D2458">
        <v>2024</v>
      </c>
      <c r="E2458" t="s">
        <v>2026</v>
      </c>
      <c r="F2458" t="s">
        <v>2496</v>
      </c>
      <c r="G2458" t="s">
        <v>56</v>
      </c>
      <c r="H2458" t="s">
        <v>35</v>
      </c>
      <c r="I2458" t="s">
        <v>24</v>
      </c>
      <c r="J2458" t="s">
        <v>25</v>
      </c>
      <c r="K2458" t="s">
        <v>36</v>
      </c>
      <c r="L2458" t="s">
        <v>27</v>
      </c>
      <c r="M2458">
        <v>2</v>
      </c>
      <c r="N2458" s="2">
        <v>156</v>
      </c>
      <c r="O2458" s="3">
        <v>1885</v>
      </c>
      <c r="P2458">
        <v>0</v>
      </c>
      <c r="Q2458">
        <v>4</v>
      </c>
      <c r="R2458" t="s">
        <v>33</v>
      </c>
      <c r="S2458">
        <v>1</v>
      </c>
    </row>
    <row r="2459" spans="1:19" ht="16.5" x14ac:dyDescent="0.3">
      <c r="A2459" t="s">
        <v>2522</v>
      </c>
      <c r="B2459" s="1">
        <v>45629</v>
      </c>
      <c r="C2459" s="1">
        <v>45630</v>
      </c>
      <c r="D2459">
        <v>2024</v>
      </c>
      <c r="E2459" t="s">
        <v>2026</v>
      </c>
      <c r="F2459" t="s">
        <v>2496</v>
      </c>
      <c r="G2459" t="s">
        <v>56</v>
      </c>
      <c r="H2459" t="s">
        <v>50</v>
      </c>
      <c r="I2459" t="s">
        <v>31</v>
      </c>
      <c r="J2459" t="s">
        <v>43</v>
      </c>
      <c r="K2459" t="s">
        <v>53</v>
      </c>
      <c r="L2459" t="s">
        <v>27</v>
      </c>
      <c r="M2459">
        <v>1</v>
      </c>
      <c r="N2459" s="2"/>
      <c r="O2459" s="3">
        <v>2152</v>
      </c>
      <c r="P2459">
        <v>0</v>
      </c>
      <c r="Q2459">
        <v>4</v>
      </c>
      <c r="R2459" t="s">
        <v>33</v>
      </c>
      <c r="S2459">
        <v>1</v>
      </c>
    </row>
    <row r="2460" spans="1:19" ht="16.5" x14ac:dyDescent="0.3">
      <c r="A2460" t="s">
        <v>2523</v>
      </c>
      <c r="B2460" s="1">
        <v>45629</v>
      </c>
      <c r="C2460" s="1">
        <v>45642</v>
      </c>
      <c r="D2460">
        <v>2024</v>
      </c>
      <c r="E2460" t="s">
        <v>2026</v>
      </c>
      <c r="F2460" t="s">
        <v>2496</v>
      </c>
      <c r="G2460" t="s">
        <v>56</v>
      </c>
      <c r="H2460" t="s">
        <v>23</v>
      </c>
      <c r="I2460" t="s">
        <v>24</v>
      </c>
      <c r="J2460" t="s">
        <v>43</v>
      </c>
      <c r="K2460" t="s">
        <v>53</v>
      </c>
      <c r="L2460" t="s">
        <v>27</v>
      </c>
      <c r="M2460">
        <v>13</v>
      </c>
      <c r="N2460" s="2">
        <v>75</v>
      </c>
      <c r="O2460" s="3">
        <v>9207</v>
      </c>
      <c r="P2460">
        <v>1</v>
      </c>
      <c r="Q2460">
        <v>3</v>
      </c>
      <c r="R2460" t="s">
        <v>33</v>
      </c>
      <c r="S2460">
        <v>1</v>
      </c>
    </row>
    <row r="2461" spans="1:19" ht="16.5" x14ac:dyDescent="0.3">
      <c r="A2461" t="s">
        <v>2524</v>
      </c>
      <c r="B2461" s="1">
        <v>45629</v>
      </c>
      <c r="C2461" s="1">
        <v>45631</v>
      </c>
      <c r="D2461">
        <v>2024</v>
      </c>
      <c r="E2461" t="s">
        <v>2026</v>
      </c>
      <c r="F2461" t="s">
        <v>2496</v>
      </c>
      <c r="G2461" t="s">
        <v>56</v>
      </c>
      <c r="H2461" t="s">
        <v>23</v>
      </c>
      <c r="I2461" t="s">
        <v>24</v>
      </c>
      <c r="J2461" t="s">
        <v>25</v>
      </c>
      <c r="K2461" t="s">
        <v>32</v>
      </c>
      <c r="L2461" t="s">
        <v>44</v>
      </c>
      <c r="M2461">
        <v>2</v>
      </c>
      <c r="N2461" s="2">
        <v>164</v>
      </c>
      <c r="O2461" s="3">
        <v>2416</v>
      </c>
      <c r="P2461">
        <v>0</v>
      </c>
      <c r="Q2461">
        <v>3</v>
      </c>
      <c r="R2461" t="s">
        <v>28</v>
      </c>
      <c r="S2461">
        <v>1</v>
      </c>
    </row>
    <row r="2462" spans="1:19" ht="16.5" x14ac:dyDescent="0.3">
      <c r="A2462" t="s">
        <v>2525</v>
      </c>
      <c r="B2462" s="1">
        <v>45630</v>
      </c>
      <c r="C2462" s="1">
        <v>45635</v>
      </c>
      <c r="D2462">
        <v>2024</v>
      </c>
      <c r="E2462" t="s">
        <v>2026</v>
      </c>
      <c r="F2462" t="s">
        <v>2496</v>
      </c>
      <c r="G2462" t="s">
        <v>70</v>
      </c>
      <c r="H2462" t="s">
        <v>52</v>
      </c>
      <c r="I2462" t="s">
        <v>24</v>
      </c>
      <c r="J2462" t="s">
        <v>25</v>
      </c>
      <c r="K2462" t="s">
        <v>53</v>
      </c>
      <c r="L2462" t="s">
        <v>44</v>
      </c>
      <c r="M2462">
        <v>5</v>
      </c>
      <c r="N2462" s="2">
        <v>184</v>
      </c>
      <c r="O2462" s="3">
        <v>5606</v>
      </c>
      <c r="P2462">
        <v>0</v>
      </c>
      <c r="Q2462">
        <v>2</v>
      </c>
      <c r="R2462" t="s">
        <v>33</v>
      </c>
      <c r="S2462">
        <v>1</v>
      </c>
    </row>
    <row r="2463" spans="1:19" ht="16.5" x14ac:dyDescent="0.3">
      <c r="A2463" t="s">
        <v>2526</v>
      </c>
      <c r="B2463" s="1">
        <v>45630</v>
      </c>
      <c r="C2463" s="1">
        <v>45631</v>
      </c>
      <c r="D2463">
        <v>2024</v>
      </c>
      <c r="E2463" t="s">
        <v>2026</v>
      </c>
      <c r="F2463" t="s">
        <v>2496</v>
      </c>
      <c r="G2463" t="s">
        <v>70</v>
      </c>
      <c r="H2463" t="s">
        <v>52</v>
      </c>
      <c r="I2463" t="s">
        <v>40</v>
      </c>
      <c r="J2463" t="s">
        <v>43</v>
      </c>
      <c r="K2463" t="s">
        <v>53</v>
      </c>
      <c r="L2463" t="s">
        <v>37</v>
      </c>
      <c r="M2463">
        <v>1</v>
      </c>
      <c r="N2463" s="2"/>
      <c r="O2463" s="3">
        <v>1237</v>
      </c>
      <c r="P2463">
        <v>0</v>
      </c>
      <c r="Q2463">
        <v>4</v>
      </c>
      <c r="R2463" t="s">
        <v>33</v>
      </c>
      <c r="S2463">
        <v>1</v>
      </c>
    </row>
    <row r="2464" spans="1:19" ht="16.5" x14ac:dyDescent="0.3">
      <c r="A2464" t="s">
        <v>2527</v>
      </c>
      <c r="B2464" s="1">
        <v>45630</v>
      </c>
      <c r="C2464" s="1">
        <v>45639</v>
      </c>
      <c r="D2464">
        <v>2024</v>
      </c>
      <c r="E2464" t="s">
        <v>2026</v>
      </c>
      <c r="F2464" t="s">
        <v>2496</v>
      </c>
      <c r="G2464" t="s">
        <v>70</v>
      </c>
      <c r="H2464" t="s">
        <v>23</v>
      </c>
      <c r="I2464" t="s">
        <v>24</v>
      </c>
      <c r="J2464" t="s">
        <v>25</v>
      </c>
      <c r="K2464" t="s">
        <v>26</v>
      </c>
      <c r="L2464" t="s">
        <v>27</v>
      </c>
      <c r="M2464">
        <v>9</v>
      </c>
      <c r="N2464" s="2">
        <v>55</v>
      </c>
      <c r="O2464" s="3">
        <v>6895</v>
      </c>
      <c r="P2464">
        <v>1</v>
      </c>
      <c r="Q2464">
        <v>3</v>
      </c>
      <c r="R2464" t="s">
        <v>33</v>
      </c>
      <c r="S2464">
        <v>1</v>
      </c>
    </row>
    <row r="2465" spans="1:19" ht="16.5" x14ac:dyDescent="0.3">
      <c r="A2465" t="s">
        <v>2528</v>
      </c>
      <c r="B2465" s="1">
        <v>45630</v>
      </c>
      <c r="C2465" s="1">
        <v>45635</v>
      </c>
      <c r="D2465">
        <v>2024</v>
      </c>
      <c r="E2465" t="s">
        <v>2026</v>
      </c>
      <c r="F2465" t="s">
        <v>2496</v>
      </c>
      <c r="G2465" t="s">
        <v>70</v>
      </c>
      <c r="H2465" t="s">
        <v>52</v>
      </c>
      <c r="I2465" t="s">
        <v>40</v>
      </c>
      <c r="J2465" t="s">
        <v>25</v>
      </c>
      <c r="K2465" t="s">
        <v>26</v>
      </c>
      <c r="L2465" t="s">
        <v>44</v>
      </c>
      <c r="M2465">
        <v>5</v>
      </c>
      <c r="N2465" s="2"/>
      <c r="O2465" s="3">
        <v>5596</v>
      </c>
      <c r="P2465">
        <v>0</v>
      </c>
      <c r="Q2465">
        <v>5</v>
      </c>
      <c r="R2465" t="s">
        <v>33</v>
      </c>
      <c r="S2465">
        <v>1</v>
      </c>
    </row>
    <row r="2466" spans="1:19" ht="16.5" x14ac:dyDescent="0.3">
      <c r="A2466" t="s">
        <v>2529</v>
      </c>
      <c r="B2466" s="1">
        <v>45630</v>
      </c>
      <c r="C2466" s="1">
        <v>45632</v>
      </c>
      <c r="D2466">
        <v>2024</v>
      </c>
      <c r="E2466" t="s">
        <v>2026</v>
      </c>
      <c r="F2466" t="s">
        <v>2496</v>
      </c>
      <c r="G2466" t="s">
        <v>70</v>
      </c>
      <c r="H2466" t="s">
        <v>30</v>
      </c>
      <c r="I2466" t="s">
        <v>40</v>
      </c>
      <c r="J2466" t="s">
        <v>25</v>
      </c>
      <c r="K2466" t="s">
        <v>32</v>
      </c>
      <c r="L2466" t="s">
        <v>44</v>
      </c>
      <c r="M2466">
        <v>2</v>
      </c>
      <c r="N2466" s="2"/>
      <c r="O2466" s="3">
        <v>3322</v>
      </c>
      <c r="P2466">
        <v>0</v>
      </c>
      <c r="Q2466">
        <v>4</v>
      </c>
      <c r="R2466" t="s">
        <v>33</v>
      </c>
      <c r="S2466">
        <v>1</v>
      </c>
    </row>
    <row r="2467" spans="1:19" ht="16.5" x14ac:dyDescent="0.3">
      <c r="A2467" t="s">
        <v>2530</v>
      </c>
      <c r="B2467" s="1">
        <v>45630</v>
      </c>
      <c r="C2467" s="1">
        <v>45632</v>
      </c>
      <c r="D2467">
        <v>2024</v>
      </c>
      <c r="E2467" t="s">
        <v>2026</v>
      </c>
      <c r="F2467" t="s">
        <v>2496</v>
      </c>
      <c r="G2467" t="s">
        <v>70</v>
      </c>
      <c r="H2467" t="s">
        <v>39</v>
      </c>
      <c r="I2467" t="s">
        <v>31</v>
      </c>
      <c r="J2467" t="s">
        <v>43</v>
      </c>
      <c r="K2467" t="s">
        <v>41</v>
      </c>
      <c r="L2467" t="s">
        <v>44</v>
      </c>
      <c r="M2467">
        <v>2</v>
      </c>
      <c r="N2467" s="2"/>
      <c r="O2467" s="3">
        <v>1312</v>
      </c>
      <c r="P2467">
        <v>0</v>
      </c>
      <c r="Q2467">
        <v>5</v>
      </c>
      <c r="R2467" t="s">
        <v>33</v>
      </c>
      <c r="S2467">
        <v>1</v>
      </c>
    </row>
    <row r="2468" spans="1:19" ht="16.5" x14ac:dyDescent="0.3">
      <c r="A2468" t="s">
        <v>2531</v>
      </c>
      <c r="B2468" s="1">
        <v>45630</v>
      </c>
      <c r="C2468" s="1">
        <v>45631</v>
      </c>
      <c r="D2468">
        <v>2024</v>
      </c>
      <c r="E2468" t="s">
        <v>2026</v>
      </c>
      <c r="F2468" t="s">
        <v>2496</v>
      </c>
      <c r="G2468" t="s">
        <v>70</v>
      </c>
      <c r="H2468" t="s">
        <v>39</v>
      </c>
      <c r="I2468" t="s">
        <v>31</v>
      </c>
      <c r="J2468" t="s">
        <v>25</v>
      </c>
      <c r="K2468" t="s">
        <v>41</v>
      </c>
      <c r="L2468" t="s">
        <v>44</v>
      </c>
      <c r="M2468">
        <v>1</v>
      </c>
      <c r="N2468" s="2"/>
      <c r="O2468" s="3">
        <v>1892</v>
      </c>
      <c r="P2468">
        <v>0</v>
      </c>
      <c r="Q2468">
        <v>4</v>
      </c>
      <c r="R2468" t="s">
        <v>28</v>
      </c>
      <c r="S2468">
        <v>1</v>
      </c>
    </row>
    <row r="2469" spans="1:19" ht="16.5" x14ac:dyDescent="0.3">
      <c r="A2469" t="s">
        <v>2532</v>
      </c>
      <c r="B2469" s="1">
        <v>45630</v>
      </c>
      <c r="C2469" s="1">
        <v>45635</v>
      </c>
      <c r="D2469">
        <v>2024</v>
      </c>
      <c r="E2469" t="s">
        <v>2026</v>
      </c>
      <c r="F2469" t="s">
        <v>2496</v>
      </c>
      <c r="G2469" t="s">
        <v>70</v>
      </c>
      <c r="H2469" t="s">
        <v>30</v>
      </c>
      <c r="I2469" t="s">
        <v>40</v>
      </c>
      <c r="J2469" t="s">
        <v>43</v>
      </c>
      <c r="K2469" t="s">
        <v>53</v>
      </c>
      <c r="L2469" t="s">
        <v>44</v>
      </c>
      <c r="M2469">
        <v>5</v>
      </c>
      <c r="N2469" s="2"/>
      <c r="O2469" s="3">
        <v>4927</v>
      </c>
      <c r="P2469">
        <v>0</v>
      </c>
      <c r="Q2469">
        <v>4</v>
      </c>
      <c r="R2469" t="s">
        <v>33</v>
      </c>
      <c r="S2469">
        <v>1</v>
      </c>
    </row>
    <row r="2470" spans="1:19" ht="16.5" x14ac:dyDescent="0.3">
      <c r="A2470" t="s">
        <v>2533</v>
      </c>
      <c r="B2470" s="1">
        <v>45631</v>
      </c>
      <c r="C2470" s="1">
        <v>45636</v>
      </c>
      <c r="D2470">
        <v>2024</v>
      </c>
      <c r="E2470" t="s">
        <v>2026</v>
      </c>
      <c r="F2470" t="s">
        <v>2496</v>
      </c>
      <c r="G2470" t="s">
        <v>78</v>
      </c>
      <c r="H2470" t="s">
        <v>35</v>
      </c>
      <c r="I2470" t="s">
        <v>24</v>
      </c>
      <c r="J2470" t="s">
        <v>25</v>
      </c>
      <c r="K2470" t="s">
        <v>32</v>
      </c>
      <c r="L2470" t="s">
        <v>27</v>
      </c>
      <c r="M2470">
        <v>5</v>
      </c>
      <c r="N2470" s="2">
        <v>69</v>
      </c>
      <c r="O2470" s="3">
        <v>4360</v>
      </c>
      <c r="P2470">
        <v>0</v>
      </c>
      <c r="Q2470">
        <v>5</v>
      </c>
      <c r="R2470" t="s">
        <v>28</v>
      </c>
      <c r="S2470">
        <v>1</v>
      </c>
    </row>
    <row r="2471" spans="1:19" ht="16.5" x14ac:dyDescent="0.3">
      <c r="A2471" t="s">
        <v>2534</v>
      </c>
      <c r="B2471" s="1">
        <v>45631</v>
      </c>
      <c r="C2471" s="1">
        <v>45643</v>
      </c>
      <c r="D2471">
        <v>2024</v>
      </c>
      <c r="E2471" t="s">
        <v>2026</v>
      </c>
      <c r="F2471" t="s">
        <v>2496</v>
      </c>
      <c r="G2471" t="s">
        <v>78</v>
      </c>
      <c r="H2471" t="s">
        <v>23</v>
      </c>
      <c r="I2471" t="s">
        <v>24</v>
      </c>
      <c r="J2471" t="s">
        <v>43</v>
      </c>
      <c r="K2471" t="s">
        <v>36</v>
      </c>
      <c r="L2471" t="s">
        <v>27</v>
      </c>
      <c r="M2471">
        <v>12</v>
      </c>
      <c r="N2471" s="2">
        <v>181</v>
      </c>
      <c r="O2471" s="3">
        <v>7227</v>
      </c>
      <c r="P2471">
        <v>0</v>
      </c>
      <c r="Q2471">
        <v>4</v>
      </c>
      <c r="R2471" t="s">
        <v>33</v>
      </c>
      <c r="S2471">
        <v>1</v>
      </c>
    </row>
    <row r="2472" spans="1:19" ht="16.5" x14ac:dyDescent="0.3">
      <c r="A2472" t="s">
        <v>2535</v>
      </c>
      <c r="B2472" s="1">
        <v>45631</v>
      </c>
      <c r="C2472" s="1">
        <v>45640</v>
      </c>
      <c r="D2472">
        <v>2024</v>
      </c>
      <c r="E2472" t="s">
        <v>2026</v>
      </c>
      <c r="F2472" t="s">
        <v>2496</v>
      </c>
      <c r="G2472" t="s">
        <v>78</v>
      </c>
      <c r="H2472" t="s">
        <v>23</v>
      </c>
      <c r="I2472" t="s">
        <v>31</v>
      </c>
      <c r="J2472" t="s">
        <v>25</v>
      </c>
      <c r="K2472" t="s">
        <v>26</v>
      </c>
      <c r="L2472" t="s">
        <v>27</v>
      </c>
      <c r="M2472">
        <v>9</v>
      </c>
      <c r="N2472" s="2"/>
      <c r="O2472" s="3">
        <v>5994</v>
      </c>
      <c r="P2472">
        <v>0</v>
      </c>
      <c r="Q2472">
        <v>4</v>
      </c>
      <c r="R2472" t="s">
        <v>33</v>
      </c>
      <c r="S2472">
        <v>1</v>
      </c>
    </row>
    <row r="2473" spans="1:19" ht="16.5" x14ac:dyDescent="0.3">
      <c r="A2473" t="s">
        <v>2536</v>
      </c>
      <c r="B2473" s="1">
        <v>45631</v>
      </c>
      <c r="C2473" s="1">
        <v>45636</v>
      </c>
      <c r="D2473">
        <v>2024</v>
      </c>
      <c r="E2473" t="s">
        <v>2026</v>
      </c>
      <c r="F2473" t="s">
        <v>2496</v>
      </c>
      <c r="G2473" t="s">
        <v>78</v>
      </c>
      <c r="H2473" t="s">
        <v>39</v>
      </c>
      <c r="I2473" t="s">
        <v>24</v>
      </c>
      <c r="J2473" t="s">
        <v>43</v>
      </c>
      <c r="K2473" t="s">
        <v>41</v>
      </c>
      <c r="L2473" t="s">
        <v>44</v>
      </c>
      <c r="M2473">
        <v>5</v>
      </c>
      <c r="N2473" s="2">
        <v>71</v>
      </c>
      <c r="O2473" s="3">
        <v>3293</v>
      </c>
      <c r="P2473">
        <v>0</v>
      </c>
      <c r="Q2473">
        <v>4</v>
      </c>
      <c r="R2473" t="s">
        <v>28</v>
      </c>
      <c r="S2473">
        <v>1</v>
      </c>
    </row>
    <row r="2474" spans="1:19" ht="16.5" x14ac:dyDescent="0.3">
      <c r="A2474" t="s">
        <v>2537</v>
      </c>
      <c r="B2474" s="1">
        <v>45631</v>
      </c>
      <c r="C2474" s="1">
        <v>45632</v>
      </c>
      <c r="D2474">
        <v>2024</v>
      </c>
      <c r="E2474" t="s">
        <v>2026</v>
      </c>
      <c r="F2474" t="s">
        <v>2496</v>
      </c>
      <c r="G2474" t="s">
        <v>78</v>
      </c>
      <c r="H2474" t="s">
        <v>39</v>
      </c>
      <c r="I2474" t="s">
        <v>24</v>
      </c>
      <c r="J2474" t="s">
        <v>43</v>
      </c>
      <c r="K2474" t="s">
        <v>41</v>
      </c>
      <c r="L2474" t="s">
        <v>27</v>
      </c>
      <c r="M2474">
        <v>1</v>
      </c>
      <c r="N2474" s="2">
        <v>33</v>
      </c>
      <c r="O2474" s="3">
        <v>1369</v>
      </c>
      <c r="P2474">
        <v>0</v>
      </c>
      <c r="Q2474">
        <v>4</v>
      </c>
      <c r="R2474" t="s">
        <v>28</v>
      </c>
      <c r="S2474">
        <v>1</v>
      </c>
    </row>
    <row r="2475" spans="1:19" ht="16.5" x14ac:dyDescent="0.3">
      <c r="A2475" t="s">
        <v>2538</v>
      </c>
      <c r="B2475" s="1">
        <v>45631</v>
      </c>
      <c r="C2475" s="1">
        <v>45634</v>
      </c>
      <c r="D2475">
        <v>2024</v>
      </c>
      <c r="E2475" t="s">
        <v>2026</v>
      </c>
      <c r="F2475" t="s">
        <v>2496</v>
      </c>
      <c r="G2475" t="s">
        <v>78</v>
      </c>
      <c r="H2475" t="s">
        <v>23</v>
      </c>
      <c r="I2475" t="s">
        <v>24</v>
      </c>
      <c r="J2475" t="s">
        <v>25</v>
      </c>
      <c r="K2475" t="s">
        <v>53</v>
      </c>
      <c r="L2475" t="s">
        <v>44</v>
      </c>
      <c r="M2475">
        <v>3</v>
      </c>
      <c r="N2475" s="2">
        <v>186</v>
      </c>
      <c r="O2475" s="3">
        <v>2403</v>
      </c>
      <c r="P2475">
        <v>0</v>
      </c>
      <c r="Q2475">
        <v>2</v>
      </c>
      <c r="R2475" t="s">
        <v>33</v>
      </c>
      <c r="S2475">
        <v>1</v>
      </c>
    </row>
    <row r="2476" spans="1:19" ht="16.5" x14ac:dyDescent="0.3">
      <c r="A2476" t="s">
        <v>2539</v>
      </c>
      <c r="B2476" s="1">
        <v>45631</v>
      </c>
      <c r="C2476" s="1">
        <v>45635</v>
      </c>
      <c r="D2476">
        <v>2024</v>
      </c>
      <c r="E2476" t="s">
        <v>2026</v>
      </c>
      <c r="F2476" t="s">
        <v>2496</v>
      </c>
      <c r="G2476" t="s">
        <v>78</v>
      </c>
      <c r="H2476" t="s">
        <v>30</v>
      </c>
      <c r="I2476" t="s">
        <v>40</v>
      </c>
      <c r="J2476" t="s">
        <v>25</v>
      </c>
      <c r="K2476" t="s">
        <v>36</v>
      </c>
      <c r="L2476" t="s">
        <v>27</v>
      </c>
      <c r="M2476">
        <v>4</v>
      </c>
      <c r="N2476" s="2"/>
      <c r="O2476" s="3">
        <v>5138</v>
      </c>
      <c r="P2476">
        <v>0</v>
      </c>
      <c r="Q2476">
        <v>4</v>
      </c>
      <c r="R2476" t="s">
        <v>28</v>
      </c>
      <c r="S2476">
        <v>1</v>
      </c>
    </row>
    <row r="2477" spans="1:19" ht="16.5" x14ac:dyDescent="0.3">
      <c r="A2477" t="s">
        <v>2540</v>
      </c>
      <c r="B2477" s="1">
        <v>45632</v>
      </c>
      <c r="C2477" s="1">
        <v>45635</v>
      </c>
      <c r="D2477">
        <v>2024</v>
      </c>
      <c r="E2477" t="s">
        <v>2026</v>
      </c>
      <c r="F2477" t="s">
        <v>2496</v>
      </c>
      <c r="G2477" t="s">
        <v>83</v>
      </c>
      <c r="H2477" t="s">
        <v>50</v>
      </c>
      <c r="I2477" t="s">
        <v>40</v>
      </c>
      <c r="J2477" t="s">
        <v>25</v>
      </c>
      <c r="K2477" t="s">
        <v>36</v>
      </c>
      <c r="L2477" t="s">
        <v>44</v>
      </c>
      <c r="M2477">
        <v>3</v>
      </c>
      <c r="N2477" s="2"/>
      <c r="O2477" s="3">
        <v>4889</v>
      </c>
      <c r="P2477">
        <v>0</v>
      </c>
      <c r="Q2477">
        <v>5</v>
      </c>
      <c r="R2477" t="s">
        <v>28</v>
      </c>
      <c r="S2477">
        <v>1</v>
      </c>
    </row>
    <row r="2478" spans="1:19" ht="16.5" x14ac:dyDescent="0.3">
      <c r="A2478" t="s">
        <v>2541</v>
      </c>
      <c r="B2478" s="1">
        <v>45632</v>
      </c>
      <c r="C2478" s="1">
        <v>45635</v>
      </c>
      <c r="D2478">
        <v>2024</v>
      </c>
      <c r="E2478" t="s">
        <v>2026</v>
      </c>
      <c r="F2478" t="s">
        <v>2496</v>
      </c>
      <c r="G2478" t="s">
        <v>83</v>
      </c>
      <c r="H2478" t="s">
        <v>23</v>
      </c>
      <c r="I2478" t="s">
        <v>24</v>
      </c>
      <c r="J2478" t="s">
        <v>25</v>
      </c>
      <c r="K2478" t="s">
        <v>32</v>
      </c>
      <c r="L2478" t="s">
        <v>44</v>
      </c>
      <c r="M2478">
        <v>3</v>
      </c>
      <c r="N2478" s="2">
        <v>61</v>
      </c>
      <c r="O2478" s="3">
        <v>2351</v>
      </c>
      <c r="P2478">
        <v>0</v>
      </c>
      <c r="Q2478">
        <v>4</v>
      </c>
      <c r="R2478" t="s">
        <v>28</v>
      </c>
      <c r="S2478">
        <v>1</v>
      </c>
    </row>
    <row r="2479" spans="1:19" ht="16.5" x14ac:dyDescent="0.3">
      <c r="A2479" t="s">
        <v>2542</v>
      </c>
      <c r="B2479" s="1">
        <v>45632</v>
      </c>
      <c r="C2479" s="1">
        <v>45635</v>
      </c>
      <c r="D2479">
        <v>2024</v>
      </c>
      <c r="E2479" t="s">
        <v>2026</v>
      </c>
      <c r="F2479" t="s">
        <v>2496</v>
      </c>
      <c r="G2479" t="s">
        <v>83</v>
      </c>
      <c r="H2479" t="s">
        <v>50</v>
      </c>
      <c r="I2479" t="s">
        <v>24</v>
      </c>
      <c r="J2479" t="s">
        <v>43</v>
      </c>
      <c r="K2479" t="s">
        <v>53</v>
      </c>
      <c r="L2479" t="s">
        <v>27</v>
      </c>
      <c r="M2479">
        <v>3</v>
      </c>
      <c r="N2479" s="2">
        <v>65</v>
      </c>
      <c r="O2479" s="3">
        <v>4096</v>
      </c>
      <c r="P2479">
        <v>1</v>
      </c>
      <c r="Q2479">
        <v>5</v>
      </c>
      <c r="R2479" t="s">
        <v>33</v>
      </c>
      <c r="S2479">
        <v>1</v>
      </c>
    </row>
    <row r="2480" spans="1:19" ht="16.5" x14ac:dyDescent="0.3">
      <c r="A2480" t="s">
        <v>2543</v>
      </c>
      <c r="B2480" s="1">
        <v>45632</v>
      </c>
      <c r="C2480" s="1">
        <v>45637</v>
      </c>
      <c r="D2480">
        <v>2024</v>
      </c>
      <c r="E2480" t="s">
        <v>2026</v>
      </c>
      <c r="F2480" t="s">
        <v>2496</v>
      </c>
      <c r="G2480" t="s">
        <v>83</v>
      </c>
      <c r="H2480" t="s">
        <v>30</v>
      </c>
      <c r="I2480" t="s">
        <v>40</v>
      </c>
      <c r="J2480" t="s">
        <v>43</v>
      </c>
      <c r="K2480" t="s">
        <v>26</v>
      </c>
      <c r="L2480" t="s">
        <v>44</v>
      </c>
      <c r="M2480">
        <v>5</v>
      </c>
      <c r="N2480" s="2"/>
      <c r="O2480" s="3">
        <v>6563</v>
      </c>
      <c r="P2480">
        <v>1</v>
      </c>
      <c r="Q2480">
        <v>4</v>
      </c>
      <c r="R2480" t="s">
        <v>33</v>
      </c>
      <c r="S2480">
        <v>1</v>
      </c>
    </row>
    <row r="2481" spans="1:19" ht="16.5" x14ac:dyDescent="0.3">
      <c r="A2481" t="s">
        <v>2544</v>
      </c>
      <c r="B2481" s="1">
        <v>45632</v>
      </c>
      <c r="C2481" s="1">
        <v>45645</v>
      </c>
      <c r="D2481">
        <v>2024</v>
      </c>
      <c r="E2481" t="s">
        <v>2026</v>
      </c>
      <c r="F2481" t="s">
        <v>2496</v>
      </c>
      <c r="G2481" t="s">
        <v>83</v>
      </c>
      <c r="H2481" t="s">
        <v>23</v>
      </c>
      <c r="I2481" t="s">
        <v>24</v>
      </c>
      <c r="J2481" t="s">
        <v>25</v>
      </c>
      <c r="K2481" t="s">
        <v>32</v>
      </c>
      <c r="L2481" t="s">
        <v>44</v>
      </c>
      <c r="M2481">
        <v>13</v>
      </c>
      <c r="N2481" s="2">
        <v>42</v>
      </c>
      <c r="O2481" s="3">
        <v>7133</v>
      </c>
      <c r="P2481">
        <v>0</v>
      </c>
      <c r="Q2481">
        <v>5</v>
      </c>
      <c r="R2481" t="s">
        <v>28</v>
      </c>
      <c r="S2481">
        <v>1</v>
      </c>
    </row>
    <row r="2482" spans="1:19" ht="16.5" x14ac:dyDescent="0.3">
      <c r="A2482" t="s">
        <v>2545</v>
      </c>
      <c r="B2482" s="1">
        <v>45632</v>
      </c>
      <c r="C2482" s="1">
        <v>45642</v>
      </c>
      <c r="D2482">
        <v>2024</v>
      </c>
      <c r="E2482" t="s">
        <v>2026</v>
      </c>
      <c r="F2482" t="s">
        <v>2496</v>
      </c>
      <c r="G2482" t="s">
        <v>83</v>
      </c>
      <c r="H2482" t="s">
        <v>23</v>
      </c>
      <c r="I2482" t="s">
        <v>24</v>
      </c>
      <c r="J2482" t="s">
        <v>25</v>
      </c>
      <c r="K2482" t="s">
        <v>26</v>
      </c>
      <c r="L2482" t="s">
        <v>44</v>
      </c>
      <c r="M2482">
        <v>10</v>
      </c>
      <c r="N2482" s="2">
        <v>98</v>
      </c>
      <c r="O2482" s="3">
        <v>6086</v>
      </c>
      <c r="P2482">
        <v>1</v>
      </c>
      <c r="Q2482">
        <v>1</v>
      </c>
      <c r="R2482" t="s">
        <v>28</v>
      </c>
      <c r="S2482">
        <v>1</v>
      </c>
    </row>
    <row r="2483" spans="1:19" ht="16.5" x14ac:dyDescent="0.3">
      <c r="A2483" t="s">
        <v>2546</v>
      </c>
      <c r="B2483" s="1">
        <v>45632</v>
      </c>
      <c r="C2483" s="1">
        <v>45643</v>
      </c>
      <c r="D2483">
        <v>2024</v>
      </c>
      <c r="E2483" t="s">
        <v>2026</v>
      </c>
      <c r="F2483" t="s">
        <v>2496</v>
      </c>
      <c r="G2483" t="s">
        <v>83</v>
      </c>
      <c r="H2483" t="s">
        <v>23</v>
      </c>
      <c r="I2483" t="s">
        <v>24</v>
      </c>
      <c r="J2483" t="s">
        <v>25</v>
      </c>
      <c r="K2483" t="s">
        <v>36</v>
      </c>
      <c r="L2483" t="s">
        <v>44</v>
      </c>
      <c r="M2483">
        <v>11</v>
      </c>
      <c r="N2483" s="2">
        <v>11</v>
      </c>
      <c r="O2483" s="3">
        <v>11051</v>
      </c>
      <c r="P2483">
        <v>0</v>
      </c>
      <c r="Q2483">
        <v>4</v>
      </c>
      <c r="R2483" t="s">
        <v>33</v>
      </c>
      <c r="S2483">
        <v>1</v>
      </c>
    </row>
    <row r="2484" spans="1:19" ht="16.5" x14ac:dyDescent="0.3">
      <c r="A2484" t="s">
        <v>2547</v>
      </c>
      <c r="B2484" s="1">
        <v>45632</v>
      </c>
      <c r="C2484" s="1">
        <v>45635</v>
      </c>
      <c r="D2484">
        <v>2024</v>
      </c>
      <c r="E2484" t="s">
        <v>2026</v>
      </c>
      <c r="F2484" t="s">
        <v>2496</v>
      </c>
      <c r="G2484" t="s">
        <v>83</v>
      </c>
      <c r="H2484" t="s">
        <v>35</v>
      </c>
      <c r="I2484" t="s">
        <v>24</v>
      </c>
      <c r="J2484" t="s">
        <v>25</v>
      </c>
      <c r="K2484" t="s">
        <v>32</v>
      </c>
      <c r="L2484" t="s">
        <v>27</v>
      </c>
      <c r="M2484">
        <v>3</v>
      </c>
      <c r="N2484" s="2">
        <v>15</v>
      </c>
      <c r="O2484" s="3">
        <v>2189</v>
      </c>
      <c r="P2484">
        <v>0</v>
      </c>
      <c r="Q2484">
        <v>4</v>
      </c>
      <c r="R2484" t="s">
        <v>33</v>
      </c>
      <c r="S2484">
        <v>1</v>
      </c>
    </row>
    <row r="2485" spans="1:19" ht="16.5" x14ac:dyDescent="0.3">
      <c r="A2485" t="s">
        <v>2548</v>
      </c>
      <c r="B2485" s="1">
        <v>45632</v>
      </c>
      <c r="C2485" s="1">
        <v>45638</v>
      </c>
      <c r="D2485">
        <v>2024</v>
      </c>
      <c r="E2485" t="s">
        <v>2026</v>
      </c>
      <c r="F2485" t="s">
        <v>2496</v>
      </c>
      <c r="G2485" t="s">
        <v>83</v>
      </c>
      <c r="H2485" t="s">
        <v>23</v>
      </c>
      <c r="I2485" t="s">
        <v>40</v>
      </c>
      <c r="J2485" t="s">
        <v>43</v>
      </c>
      <c r="K2485" t="s">
        <v>26</v>
      </c>
      <c r="L2485" t="s">
        <v>44</v>
      </c>
      <c r="M2485">
        <v>6</v>
      </c>
      <c r="N2485" s="2"/>
      <c r="O2485" s="3">
        <v>4854</v>
      </c>
      <c r="P2485">
        <v>0</v>
      </c>
      <c r="Q2485">
        <v>4</v>
      </c>
      <c r="R2485" t="s">
        <v>28</v>
      </c>
      <c r="S2485">
        <v>1</v>
      </c>
    </row>
    <row r="2486" spans="1:19" ht="16.5" x14ac:dyDescent="0.3">
      <c r="A2486" t="s">
        <v>2549</v>
      </c>
      <c r="B2486" s="1">
        <v>45632</v>
      </c>
      <c r="C2486" s="1">
        <v>45634</v>
      </c>
      <c r="D2486">
        <v>2024</v>
      </c>
      <c r="E2486" t="s">
        <v>2026</v>
      </c>
      <c r="F2486" t="s">
        <v>2496</v>
      </c>
      <c r="G2486" t="s">
        <v>83</v>
      </c>
      <c r="H2486" t="s">
        <v>23</v>
      </c>
      <c r="I2486" t="s">
        <v>40</v>
      </c>
      <c r="J2486" t="s">
        <v>43</v>
      </c>
      <c r="K2486" t="s">
        <v>53</v>
      </c>
      <c r="L2486" t="s">
        <v>27</v>
      </c>
      <c r="M2486">
        <v>2</v>
      </c>
      <c r="N2486" s="2"/>
      <c r="O2486" s="3">
        <v>2311</v>
      </c>
      <c r="P2486">
        <v>0</v>
      </c>
      <c r="Q2486">
        <v>4</v>
      </c>
      <c r="R2486" t="s">
        <v>33</v>
      </c>
      <c r="S2486">
        <v>1</v>
      </c>
    </row>
    <row r="2487" spans="1:19" ht="16.5" x14ac:dyDescent="0.3">
      <c r="A2487" t="s">
        <v>2550</v>
      </c>
      <c r="B2487" s="1">
        <v>45632</v>
      </c>
      <c r="C2487" s="1">
        <v>45634</v>
      </c>
      <c r="D2487">
        <v>2024</v>
      </c>
      <c r="E2487" t="s">
        <v>2026</v>
      </c>
      <c r="F2487" t="s">
        <v>2496</v>
      </c>
      <c r="G2487" t="s">
        <v>83</v>
      </c>
      <c r="H2487" t="s">
        <v>39</v>
      </c>
      <c r="I2487" t="s">
        <v>24</v>
      </c>
      <c r="J2487" t="s">
        <v>43</v>
      </c>
      <c r="K2487" t="s">
        <v>41</v>
      </c>
      <c r="L2487" t="s">
        <v>44</v>
      </c>
      <c r="M2487">
        <v>2</v>
      </c>
      <c r="N2487" s="2">
        <v>96</v>
      </c>
      <c r="O2487" s="3">
        <v>2040</v>
      </c>
      <c r="P2487">
        <v>0</v>
      </c>
      <c r="Q2487">
        <v>3</v>
      </c>
      <c r="R2487" t="s">
        <v>28</v>
      </c>
      <c r="S2487">
        <v>1</v>
      </c>
    </row>
    <row r="2488" spans="1:19" ht="16.5" x14ac:dyDescent="0.3">
      <c r="A2488" t="s">
        <v>2551</v>
      </c>
      <c r="B2488" s="1">
        <v>45632</v>
      </c>
      <c r="C2488" s="1">
        <v>45634</v>
      </c>
      <c r="D2488">
        <v>2024</v>
      </c>
      <c r="E2488" t="s">
        <v>2026</v>
      </c>
      <c r="F2488" t="s">
        <v>2496</v>
      </c>
      <c r="G2488" t="s">
        <v>83</v>
      </c>
      <c r="H2488" t="s">
        <v>23</v>
      </c>
      <c r="I2488" t="s">
        <v>24</v>
      </c>
      <c r="J2488" t="s">
        <v>25</v>
      </c>
      <c r="K2488" t="s">
        <v>53</v>
      </c>
      <c r="L2488" t="s">
        <v>44</v>
      </c>
      <c r="M2488">
        <v>2</v>
      </c>
      <c r="N2488" s="2">
        <v>61</v>
      </c>
      <c r="O2488" s="3">
        <v>2358</v>
      </c>
      <c r="P2488">
        <v>0</v>
      </c>
      <c r="Q2488">
        <v>5</v>
      </c>
      <c r="R2488" t="s">
        <v>59</v>
      </c>
      <c r="S2488">
        <v>1</v>
      </c>
    </row>
    <row r="2489" spans="1:19" ht="16.5" x14ac:dyDescent="0.3">
      <c r="A2489" t="s">
        <v>2552</v>
      </c>
      <c r="B2489" s="1">
        <v>45633</v>
      </c>
      <c r="C2489" s="1">
        <v>45635</v>
      </c>
      <c r="D2489">
        <v>2024</v>
      </c>
      <c r="E2489" t="s">
        <v>2026</v>
      </c>
      <c r="F2489" t="s">
        <v>2496</v>
      </c>
      <c r="G2489" t="s">
        <v>102</v>
      </c>
      <c r="H2489" t="s">
        <v>30</v>
      </c>
      <c r="I2489" t="s">
        <v>31</v>
      </c>
      <c r="J2489" t="s">
        <v>25</v>
      </c>
      <c r="K2489" t="s">
        <v>26</v>
      </c>
      <c r="L2489" t="s">
        <v>44</v>
      </c>
      <c r="M2489">
        <v>2</v>
      </c>
      <c r="N2489" s="2"/>
      <c r="O2489" s="3">
        <v>2456</v>
      </c>
      <c r="P2489">
        <v>0</v>
      </c>
      <c r="Q2489">
        <v>4</v>
      </c>
      <c r="R2489" t="s">
        <v>33</v>
      </c>
      <c r="S2489">
        <v>1</v>
      </c>
    </row>
    <row r="2490" spans="1:19" ht="16.5" x14ac:dyDescent="0.3">
      <c r="A2490" t="s">
        <v>2553</v>
      </c>
      <c r="B2490" s="1">
        <v>45633</v>
      </c>
      <c r="C2490" s="1">
        <v>45635</v>
      </c>
      <c r="D2490">
        <v>2024</v>
      </c>
      <c r="E2490" t="s">
        <v>2026</v>
      </c>
      <c r="F2490" t="s">
        <v>2496</v>
      </c>
      <c r="G2490" t="s">
        <v>102</v>
      </c>
      <c r="H2490" t="s">
        <v>39</v>
      </c>
      <c r="I2490" t="s">
        <v>24</v>
      </c>
      <c r="J2490" t="s">
        <v>25</v>
      </c>
      <c r="K2490" t="s">
        <v>41</v>
      </c>
      <c r="L2490" t="s">
        <v>44</v>
      </c>
      <c r="M2490">
        <v>2</v>
      </c>
      <c r="N2490" s="2">
        <v>76</v>
      </c>
      <c r="O2490" s="3">
        <v>2009</v>
      </c>
      <c r="P2490">
        <v>0</v>
      </c>
      <c r="Q2490">
        <v>3</v>
      </c>
      <c r="R2490" t="s">
        <v>28</v>
      </c>
      <c r="S2490">
        <v>1</v>
      </c>
    </row>
    <row r="2491" spans="1:19" ht="16.5" x14ac:dyDescent="0.3">
      <c r="A2491" t="s">
        <v>2554</v>
      </c>
      <c r="B2491" s="1">
        <v>45633</v>
      </c>
      <c r="C2491" s="1">
        <v>45639</v>
      </c>
      <c r="D2491">
        <v>2024</v>
      </c>
      <c r="E2491" t="s">
        <v>2026</v>
      </c>
      <c r="F2491" t="s">
        <v>2496</v>
      </c>
      <c r="G2491" t="s">
        <v>102</v>
      </c>
      <c r="H2491" t="s">
        <v>23</v>
      </c>
      <c r="I2491" t="s">
        <v>24</v>
      </c>
      <c r="J2491" t="s">
        <v>25</v>
      </c>
      <c r="K2491" t="s">
        <v>26</v>
      </c>
      <c r="L2491" t="s">
        <v>27</v>
      </c>
      <c r="M2491">
        <v>6</v>
      </c>
      <c r="N2491" s="2">
        <v>55</v>
      </c>
      <c r="O2491" s="3">
        <v>4014</v>
      </c>
      <c r="P2491">
        <v>0</v>
      </c>
      <c r="Q2491">
        <v>4</v>
      </c>
      <c r="R2491" t="s">
        <v>28</v>
      </c>
      <c r="S2491">
        <v>1</v>
      </c>
    </row>
    <row r="2492" spans="1:19" ht="16.5" x14ac:dyDescent="0.3">
      <c r="A2492" t="s">
        <v>2555</v>
      </c>
      <c r="B2492" s="1">
        <v>45633</v>
      </c>
      <c r="C2492" s="1">
        <v>45638</v>
      </c>
      <c r="D2492">
        <v>2024</v>
      </c>
      <c r="E2492" t="s">
        <v>2026</v>
      </c>
      <c r="F2492" t="s">
        <v>2496</v>
      </c>
      <c r="G2492" t="s">
        <v>102</v>
      </c>
      <c r="H2492" t="s">
        <v>52</v>
      </c>
      <c r="I2492" t="s">
        <v>40</v>
      </c>
      <c r="J2492" t="s">
        <v>25</v>
      </c>
      <c r="K2492" t="s">
        <v>32</v>
      </c>
      <c r="L2492" t="s">
        <v>27</v>
      </c>
      <c r="M2492">
        <v>5</v>
      </c>
      <c r="N2492" s="2"/>
      <c r="O2492" s="3">
        <v>6711</v>
      </c>
      <c r="P2492">
        <v>0</v>
      </c>
      <c r="Q2492">
        <v>5</v>
      </c>
      <c r="R2492" t="s">
        <v>33</v>
      </c>
      <c r="S2492">
        <v>1</v>
      </c>
    </row>
    <row r="2493" spans="1:19" ht="16.5" x14ac:dyDescent="0.3">
      <c r="A2493" t="s">
        <v>2556</v>
      </c>
      <c r="B2493" s="1">
        <v>45633</v>
      </c>
      <c r="C2493" s="1">
        <v>45634</v>
      </c>
      <c r="D2493">
        <v>2024</v>
      </c>
      <c r="E2493" t="s">
        <v>2026</v>
      </c>
      <c r="F2493" t="s">
        <v>2496</v>
      </c>
      <c r="G2493" t="s">
        <v>102</v>
      </c>
      <c r="H2493" t="s">
        <v>50</v>
      </c>
      <c r="I2493" t="s">
        <v>40</v>
      </c>
      <c r="J2493" t="s">
        <v>43</v>
      </c>
      <c r="K2493" t="s">
        <v>32</v>
      </c>
      <c r="L2493" t="s">
        <v>44</v>
      </c>
      <c r="M2493">
        <v>1</v>
      </c>
      <c r="N2493" s="2"/>
      <c r="O2493" s="3">
        <v>1693</v>
      </c>
      <c r="P2493">
        <v>1</v>
      </c>
      <c r="Q2493">
        <v>3</v>
      </c>
      <c r="R2493" t="s">
        <v>28</v>
      </c>
      <c r="S2493">
        <v>1</v>
      </c>
    </row>
    <row r="2494" spans="1:19" ht="16.5" x14ac:dyDescent="0.3">
      <c r="A2494" t="s">
        <v>2557</v>
      </c>
      <c r="B2494" s="1">
        <v>45633</v>
      </c>
      <c r="C2494" s="1">
        <v>45642</v>
      </c>
      <c r="D2494">
        <v>2024</v>
      </c>
      <c r="E2494" t="s">
        <v>2026</v>
      </c>
      <c r="F2494" t="s">
        <v>2496</v>
      </c>
      <c r="G2494" t="s">
        <v>102</v>
      </c>
      <c r="H2494" t="s">
        <v>23</v>
      </c>
      <c r="I2494" t="s">
        <v>31</v>
      </c>
      <c r="J2494" t="s">
        <v>25</v>
      </c>
      <c r="K2494" t="s">
        <v>32</v>
      </c>
      <c r="L2494" t="s">
        <v>44</v>
      </c>
      <c r="M2494">
        <v>9</v>
      </c>
      <c r="N2494" s="2"/>
      <c r="O2494" s="3">
        <v>7310</v>
      </c>
      <c r="P2494">
        <v>0</v>
      </c>
      <c r="Q2494">
        <v>4</v>
      </c>
      <c r="R2494" t="s">
        <v>33</v>
      </c>
      <c r="S2494">
        <v>1</v>
      </c>
    </row>
    <row r="2495" spans="1:19" ht="16.5" x14ac:dyDescent="0.3">
      <c r="A2495" t="s">
        <v>2558</v>
      </c>
      <c r="B2495" s="1">
        <v>45633</v>
      </c>
      <c r="C2495" s="1">
        <v>45634</v>
      </c>
      <c r="D2495">
        <v>2024</v>
      </c>
      <c r="E2495" t="s">
        <v>2026</v>
      </c>
      <c r="F2495" t="s">
        <v>2496</v>
      </c>
      <c r="G2495" t="s">
        <v>102</v>
      </c>
      <c r="H2495" t="s">
        <v>52</v>
      </c>
      <c r="I2495" t="s">
        <v>40</v>
      </c>
      <c r="J2495" t="s">
        <v>43</v>
      </c>
      <c r="K2495" t="s">
        <v>53</v>
      </c>
      <c r="L2495" t="s">
        <v>44</v>
      </c>
      <c r="M2495">
        <v>1</v>
      </c>
      <c r="N2495" s="2"/>
      <c r="O2495" s="3">
        <v>2387</v>
      </c>
      <c r="P2495">
        <v>0</v>
      </c>
      <c r="Q2495">
        <v>4</v>
      </c>
      <c r="R2495" t="s">
        <v>33</v>
      </c>
      <c r="S2495">
        <v>1</v>
      </c>
    </row>
    <row r="2496" spans="1:19" ht="16.5" x14ac:dyDescent="0.3">
      <c r="A2496" t="s">
        <v>2559</v>
      </c>
      <c r="B2496" s="1">
        <v>45633</v>
      </c>
      <c r="C2496" s="1">
        <v>45637</v>
      </c>
      <c r="D2496">
        <v>2024</v>
      </c>
      <c r="E2496" t="s">
        <v>2026</v>
      </c>
      <c r="F2496" t="s">
        <v>2496</v>
      </c>
      <c r="G2496" t="s">
        <v>102</v>
      </c>
      <c r="H2496" t="s">
        <v>30</v>
      </c>
      <c r="I2496" t="s">
        <v>40</v>
      </c>
      <c r="J2496" t="s">
        <v>25</v>
      </c>
      <c r="K2496" t="s">
        <v>32</v>
      </c>
      <c r="L2496" t="s">
        <v>27</v>
      </c>
      <c r="M2496">
        <v>4</v>
      </c>
      <c r="N2496" s="2"/>
      <c r="O2496" s="3">
        <v>4308</v>
      </c>
      <c r="P2496">
        <v>0</v>
      </c>
      <c r="Q2496">
        <v>4</v>
      </c>
      <c r="R2496" t="s">
        <v>33</v>
      </c>
      <c r="S2496">
        <v>1</v>
      </c>
    </row>
    <row r="2497" spans="1:19" ht="16.5" x14ac:dyDescent="0.3">
      <c r="A2497" t="s">
        <v>2560</v>
      </c>
      <c r="B2497" s="1">
        <v>45634</v>
      </c>
      <c r="C2497" s="1">
        <v>45639</v>
      </c>
      <c r="D2497">
        <v>2024</v>
      </c>
      <c r="E2497" t="s">
        <v>2026</v>
      </c>
      <c r="F2497" t="s">
        <v>2496</v>
      </c>
      <c r="G2497" t="s">
        <v>112</v>
      </c>
      <c r="H2497" t="s">
        <v>50</v>
      </c>
      <c r="I2497" t="s">
        <v>24</v>
      </c>
      <c r="J2497" t="s">
        <v>43</v>
      </c>
      <c r="K2497" t="s">
        <v>26</v>
      </c>
      <c r="L2497" t="s">
        <v>27</v>
      </c>
      <c r="M2497">
        <v>5</v>
      </c>
      <c r="N2497" s="2">
        <v>95</v>
      </c>
      <c r="O2497" s="3">
        <v>7238</v>
      </c>
      <c r="P2497">
        <v>0</v>
      </c>
      <c r="Q2497">
        <v>3</v>
      </c>
      <c r="R2497" t="s">
        <v>28</v>
      </c>
      <c r="S2497">
        <v>1</v>
      </c>
    </row>
    <row r="2498" spans="1:19" ht="16.5" x14ac:dyDescent="0.3">
      <c r="A2498" t="s">
        <v>2561</v>
      </c>
      <c r="B2498" s="1">
        <v>45634</v>
      </c>
      <c r="C2498" s="1">
        <v>45637</v>
      </c>
      <c r="D2498">
        <v>2024</v>
      </c>
      <c r="E2498" t="s">
        <v>2026</v>
      </c>
      <c r="F2498" t="s">
        <v>2496</v>
      </c>
      <c r="G2498" t="s">
        <v>112</v>
      </c>
      <c r="H2498" t="s">
        <v>23</v>
      </c>
      <c r="I2498" t="s">
        <v>40</v>
      </c>
      <c r="J2498" t="s">
        <v>43</v>
      </c>
      <c r="K2498" t="s">
        <v>32</v>
      </c>
      <c r="L2498" t="s">
        <v>27</v>
      </c>
      <c r="M2498">
        <v>3</v>
      </c>
      <c r="N2498" s="2"/>
      <c r="O2498" s="3">
        <v>3464</v>
      </c>
      <c r="P2498">
        <v>0</v>
      </c>
      <c r="Q2498">
        <v>3</v>
      </c>
      <c r="R2498" t="s">
        <v>59</v>
      </c>
      <c r="S2498">
        <v>1</v>
      </c>
    </row>
    <row r="2499" spans="1:19" ht="16.5" x14ac:dyDescent="0.3">
      <c r="A2499" t="s">
        <v>2562</v>
      </c>
      <c r="B2499" s="1">
        <v>45634</v>
      </c>
      <c r="C2499" s="1">
        <v>45639</v>
      </c>
      <c r="D2499">
        <v>2024</v>
      </c>
      <c r="E2499" t="s">
        <v>2026</v>
      </c>
      <c r="F2499" t="s">
        <v>2496</v>
      </c>
      <c r="G2499" t="s">
        <v>112</v>
      </c>
      <c r="H2499" t="s">
        <v>23</v>
      </c>
      <c r="I2499" t="s">
        <v>24</v>
      </c>
      <c r="J2499" t="s">
        <v>43</v>
      </c>
      <c r="K2499" t="s">
        <v>36</v>
      </c>
      <c r="L2499" t="s">
        <v>27</v>
      </c>
      <c r="M2499">
        <v>5</v>
      </c>
      <c r="N2499" s="2">
        <v>146</v>
      </c>
      <c r="O2499" s="3">
        <v>5172</v>
      </c>
      <c r="P2499">
        <v>0</v>
      </c>
      <c r="Q2499">
        <v>4</v>
      </c>
      <c r="R2499" t="s">
        <v>33</v>
      </c>
      <c r="S2499">
        <v>1</v>
      </c>
    </row>
    <row r="2500" spans="1:19" ht="16.5" x14ac:dyDescent="0.3">
      <c r="A2500" t="s">
        <v>2563</v>
      </c>
      <c r="B2500" s="1">
        <v>45634</v>
      </c>
      <c r="C2500" s="1">
        <v>45640</v>
      </c>
      <c r="D2500">
        <v>2024</v>
      </c>
      <c r="E2500" t="s">
        <v>2026</v>
      </c>
      <c r="F2500" t="s">
        <v>2496</v>
      </c>
      <c r="G2500" t="s">
        <v>112</v>
      </c>
      <c r="H2500" t="s">
        <v>50</v>
      </c>
      <c r="I2500" t="s">
        <v>40</v>
      </c>
      <c r="J2500" t="s">
        <v>43</v>
      </c>
      <c r="K2500" t="s">
        <v>53</v>
      </c>
      <c r="L2500" t="s">
        <v>44</v>
      </c>
      <c r="M2500">
        <v>6</v>
      </c>
      <c r="N2500" s="2"/>
      <c r="O2500" s="3">
        <v>6676</v>
      </c>
      <c r="P2500">
        <v>0</v>
      </c>
      <c r="Q2500">
        <v>4</v>
      </c>
      <c r="R2500" t="s">
        <v>28</v>
      </c>
      <c r="S2500">
        <v>1</v>
      </c>
    </row>
    <row r="2501" spans="1:19" ht="16.5" x14ac:dyDescent="0.3">
      <c r="A2501" t="s">
        <v>2564</v>
      </c>
      <c r="B2501" s="1">
        <v>45634</v>
      </c>
      <c r="C2501" s="1">
        <v>45635</v>
      </c>
      <c r="D2501">
        <v>2024</v>
      </c>
      <c r="E2501" t="s">
        <v>2026</v>
      </c>
      <c r="F2501" t="s">
        <v>2496</v>
      </c>
      <c r="G2501" t="s">
        <v>112</v>
      </c>
      <c r="H2501" t="s">
        <v>35</v>
      </c>
      <c r="I2501" t="s">
        <v>24</v>
      </c>
      <c r="J2501" t="s">
        <v>25</v>
      </c>
      <c r="K2501" t="s">
        <v>32</v>
      </c>
      <c r="L2501" t="s">
        <v>27</v>
      </c>
      <c r="M2501">
        <v>1</v>
      </c>
      <c r="N2501" s="2">
        <v>77</v>
      </c>
      <c r="O2501" s="3">
        <v>1344</v>
      </c>
      <c r="P2501">
        <v>0</v>
      </c>
      <c r="Q2501">
        <v>3</v>
      </c>
      <c r="R2501" t="s">
        <v>33</v>
      </c>
      <c r="S2501">
        <v>1</v>
      </c>
    </row>
    <row r="2502" spans="1:19" ht="16.5" x14ac:dyDescent="0.3">
      <c r="A2502" t="s">
        <v>2565</v>
      </c>
      <c r="B2502" s="1">
        <v>45634</v>
      </c>
      <c r="C2502" s="1">
        <v>45637</v>
      </c>
      <c r="D2502">
        <v>2024</v>
      </c>
      <c r="E2502" t="s">
        <v>2026</v>
      </c>
      <c r="F2502" t="s">
        <v>2496</v>
      </c>
      <c r="G2502" t="s">
        <v>112</v>
      </c>
      <c r="H2502" t="s">
        <v>52</v>
      </c>
      <c r="I2502" t="s">
        <v>40</v>
      </c>
      <c r="J2502" t="s">
        <v>25</v>
      </c>
      <c r="K2502" t="s">
        <v>53</v>
      </c>
      <c r="L2502" t="s">
        <v>44</v>
      </c>
      <c r="M2502">
        <v>3</v>
      </c>
      <c r="N2502" s="2"/>
      <c r="O2502" s="3">
        <v>3459</v>
      </c>
      <c r="P2502">
        <v>0</v>
      </c>
      <c r="Q2502">
        <v>5</v>
      </c>
      <c r="R2502" t="s">
        <v>33</v>
      </c>
      <c r="S2502">
        <v>1</v>
      </c>
    </row>
    <row r="2503" spans="1:19" ht="16.5" x14ac:dyDescent="0.3">
      <c r="A2503" t="s">
        <v>2566</v>
      </c>
      <c r="B2503" s="1">
        <v>45634</v>
      </c>
      <c r="C2503" s="1">
        <v>45636</v>
      </c>
      <c r="D2503">
        <v>2024</v>
      </c>
      <c r="E2503" t="s">
        <v>2026</v>
      </c>
      <c r="F2503" t="s">
        <v>2496</v>
      </c>
      <c r="G2503" t="s">
        <v>112</v>
      </c>
      <c r="H2503" t="s">
        <v>23</v>
      </c>
      <c r="I2503" t="s">
        <v>24</v>
      </c>
      <c r="J2503" t="s">
        <v>43</v>
      </c>
      <c r="K2503" t="s">
        <v>32</v>
      </c>
      <c r="L2503" t="s">
        <v>44</v>
      </c>
      <c r="M2503">
        <v>2</v>
      </c>
      <c r="N2503" s="2">
        <v>21</v>
      </c>
      <c r="O2503" s="3">
        <v>1977</v>
      </c>
      <c r="P2503">
        <v>0</v>
      </c>
      <c r="Q2503">
        <v>5</v>
      </c>
      <c r="R2503" t="s">
        <v>33</v>
      </c>
      <c r="S2503">
        <v>1</v>
      </c>
    </row>
    <row r="2504" spans="1:19" ht="16.5" x14ac:dyDescent="0.3">
      <c r="A2504" t="s">
        <v>2567</v>
      </c>
      <c r="B2504" s="1">
        <v>45634</v>
      </c>
      <c r="C2504" s="1">
        <v>45637</v>
      </c>
      <c r="D2504">
        <v>2024</v>
      </c>
      <c r="E2504" t="s">
        <v>2026</v>
      </c>
      <c r="F2504" t="s">
        <v>2496</v>
      </c>
      <c r="G2504" t="s">
        <v>112</v>
      </c>
      <c r="H2504" t="s">
        <v>23</v>
      </c>
      <c r="I2504" t="s">
        <v>40</v>
      </c>
      <c r="J2504" t="s">
        <v>43</v>
      </c>
      <c r="K2504" t="s">
        <v>53</v>
      </c>
      <c r="L2504" t="s">
        <v>27</v>
      </c>
      <c r="M2504">
        <v>3</v>
      </c>
      <c r="N2504" s="2"/>
      <c r="O2504" s="3">
        <v>2900</v>
      </c>
      <c r="P2504">
        <v>0</v>
      </c>
      <c r="Q2504">
        <v>4</v>
      </c>
      <c r="R2504" t="s">
        <v>33</v>
      </c>
      <c r="S2504">
        <v>1</v>
      </c>
    </row>
    <row r="2505" spans="1:19" ht="16.5" x14ac:dyDescent="0.3">
      <c r="A2505" t="s">
        <v>2568</v>
      </c>
      <c r="B2505" s="1">
        <v>45635</v>
      </c>
      <c r="C2505" s="1">
        <v>45636</v>
      </c>
      <c r="D2505">
        <v>2024</v>
      </c>
      <c r="E2505" t="s">
        <v>2026</v>
      </c>
      <c r="F2505" t="s">
        <v>2496</v>
      </c>
      <c r="G2505" t="s">
        <v>22</v>
      </c>
      <c r="H2505" t="s">
        <v>39</v>
      </c>
      <c r="I2505" t="s">
        <v>24</v>
      </c>
      <c r="J2505" t="s">
        <v>25</v>
      </c>
      <c r="K2505" t="s">
        <v>41</v>
      </c>
      <c r="L2505" t="s">
        <v>27</v>
      </c>
      <c r="M2505">
        <v>1</v>
      </c>
      <c r="N2505" s="2">
        <v>23</v>
      </c>
      <c r="O2505" s="3">
        <v>1634</v>
      </c>
      <c r="P2505">
        <v>0</v>
      </c>
      <c r="Q2505">
        <v>4</v>
      </c>
      <c r="R2505" t="s">
        <v>28</v>
      </c>
      <c r="S2505">
        <v>1</v>
      </c>
    </row>
    <row r="2506" spans="1:19" ht="16.5" x14ac:dyDescent="0.3">
      <c r="A2506" t="s">
        <v>2569</v>
      </c>
      <c r="B2506" s="1">
        <v>45635</v>
      </c>
      <c r="C2506" s="1">
        <v>45640</v>
      </c>
      <c r="D2506">
        <v>2024</v>
      </c>
      <c r="E2506" t="s">
        <v>2026</v>
      </c>
      <c r="F2506" t="s">
        <v>2496</v>
      </c>
      <c r="G2506" t="s">
        <v>22</v>
      </c>
      <c r="H2506" t="s">
        <v>23</v>
      </c>
      <c r="I2506" t="s">
        <v>24</v>
      </c>
      <c r="J2506" t="s">
        <v>43</v>
      </c>
      <c r="K2506" t="s">
        <v>36</v>
      </c>
      <c r="L2506" t="s">
        <v>44</v>
      </c>
      <c r="M2506">
        <v>5</v>
      </c>
      <c r="N2506" s="2">
        <v>71</v>
      </c>
      <c r="O2506" s="3">
        <v>4878</v>
      </c>
      <c r="P2506">
        <v>0</v>
      </c>
      <c r="Q2506">
        <v>3</v>
      </c>
      <c r="R2506" t="s">
        <v>33</v>
      </c>
      <c r="S2506">
        <v>1</v>
      </c>
    </row>
    <row r="2507" spans="1:19" ht="16.5" x14ac:dyDescent="0.3">
      <c r="A2507" t="s">
        <v>2570</v>
      </c>
      <c r="B2507" s="1">
        <v>45635</v>
      </c>
      <c r="C2507" s="1">
        <v>45639</v>
      </c>
      <c r="D2507">
        <v>2024</v>
      </c>
      <c r="E2507" t="s">
        <v>2026</v>
      </c>
      <c r="F2507" t="s">
        <v>2496</v>
      </c>
      <c r="G2507" t="s">
        <v>22</v>
      </c>
      <c r="H2507" t="s">
        <v>30</v>
      </c>
      <c r="I2507" t="s">
        <v>40</v>
      </c>
      <c r="J2507" t="s">
        <v>43</v>
      </c>
      <c r="K2507" t="s">
        <v>53</v>
      </c>
      <c r="L2507" t="s">
        <v>44</v>
      </c>
      <c r="M2507">
        <v>4</v>
      </c>
      <c r="N2507" s="2"/>
      <c r="O2507" s="3">
        <v>4723</v>
      </c>
      <c r="P2507">
        <v>0</v>
      </c>
      <c r="Q2507">
        <v>4</v>
      </c>
      <c r="R2507" t="s">
        <v>33</v>
      </c>
      <c r="S2507">
        <v>1</v>
      </c>
    </row>
    <row r="2508" spans="1:19" ht="16.5" x14ac:dyDescent="0.3">
      <c r="A2508" t="s">
        <v>2571</v>
      </c>
      <c r="B2508" s="1">
        <v>45635</v>
      </c>
      <c r="C2508" s="1">
        <v>45638</v>
      </c>
      <c r="D2508">
        <v>2024</v>
      </c>
      <c r="E2508" t="s">
        <v>2026</v>
      </c>
      <c r="F2508" t="s">
        <v>2496</v>
      </c>
      <c r="G2508" t="s">
        <v>22</v>
      </c>
      <c r="H2508" t="s">
        <v>50</v>
      </c>
      <c r="I2508" t="s">
        <v>24</v>
      </c>
      <c r="J2508" t="s">
        <v>25</v>
      </c>
      <c r="K2508" t="s">
        <v>32</v>
      </c>
      <c r="L2508" t="s">
        <v>44</v>
      </c>
      <c r="M2508">
        <v>3</v>
      </c>
      <c r="N2508" s="2">
        <v>28</v>
      </c>
      <c r="O2508" s="3">
        <v>4820</v>
      </c>
      <c r="P2508">
        <v>0</v>
      </c>
      <c r="Q2508">
        <v>4</v>
      </c>
      <c r="R2508" t="s">
        <v>28</v>
      </c>
      <c r="S2508">
        <v>1</v>
      </c>
    </row>
    <row r="2509" spans="1:19" ht="16.5" x14ac:dyDescent="0.3">
      <c r="A2509" t="s">
        <v>2572</v>
      </c>
      <c r="B2509" s="1">
        <v>45635</v>
      </c>
      <c r="C2509" s="1">
        <v>45637</v>
      </c>
      <c r="D2509">
        <v>2024</v>
      </c>
      <c r="E2509" t="s">
        <v>2026</v>
      </c>
      <c r="F2509" t="s">
        <v>2496</v>
      </c>
      <c r="G2509" t="s">
        <v>22</v>
      </c>
      <c r="H2509" t="s">
        <v>23</v>
      </c>
      <c r="I2509" t="s">
        <v>24</v>
      </c>
      <c r="J2509" t="s">
        <v>43</v>
      </c>
      <c r="K2509" t="s">
        <v>36</v>
      </c>
      <c r="L2509" t="s">
        <v>44</v>
      </c>
      <c r="M2509">
        <v>2</v>
      </c>
      <c r="N2509" s="2">
        <v>35</v>
      </c>
      <c r="O2509" s="3">
        <v>1996</v>
      </c>
      <c r="P2509">
        <v>1</v>
      </c>
      <c r="Q2509">
        <v>4</v>
      </c>
      <c r="R2509" t="s">
        <v>33</v>
      </c>
      <c r="S2509">
        <v>1</v>
      </c>
    </row>
    <row r="2510" spans="1:19" ht="16.5" x14ac:dyDescent="0.3">
      <c r="A2510" t="s">
        <v>2573</v>
      </c>
      <c r="B2510" s="1">
        <v>45635</v>
      </c>
      <c r="C2510" s="1">
        <v>45640</v>
      </c>
      <c r="D2510">
        <v>2024</v>
      </c>
      <c r="E2510" t="s">
        <v>2026</v>
      </c>
      <c r="F2510" t="s">
        <v>2496</v>
      </c>
      <c r="G2510" t="s">
        <v>22</v>
      </c>
      <c r="H2510" t="s">
        <v>30</v>
      </c>
      <c r="I2510" t="s">
        <v>40</v>
      </c>
      <c r="J2510" t="s">
        <v>43</v>
      </c>
      <c r="K2510" t="s">
        <v>53</v>
      </c>
      <c r="L2510" t="s">
        <v>44</v>
      </c>
      <c r="M2510">
        <v>5</v>
      </c>
      <c r="N2510" s="2"/>
      <c r="O2510" s="3">
        <v>5591</v>
      </c>
      <c r="P2510">
        <v>0</v>
      </c>
      <c r="Q2510">
        <v>5</v>
      </c>
      <c r="R2510" t="s">
        <v>28</v>
      </c>
      <c r="S2510">
        <v>1</v>
      </c>
    </row>
    <row r="2511" spans="1:19" ht="16.5" x14ac:dyDescent="0.3">
      <c r="A2511" t="s">
        <v>2574</v>
      </c>
      <c r="B2511" s="1">
        <v>45635</v>
      </c>
      <c r="C2511" s="1">
        <v>45644</v>
      </c>
      <c r="D2511">
        <v>2024</v>
      </c>
      <c r="E2511" t="s">
        <v>2026</v>
      </c>
      <c r="F2511" t="s">
        <v>2496</v>
      </c>
      <c r="G2511" t="s">
        <v>22</v>
      </c>
      <c r="H2511" t="s">
        <v>23</v>
      </c>
      <c r="I2511" t="s">
        <v>24</v>
      </c>
      <c r="J2511" t="s">
        <v>43</v>
      </c>
      <c r="K2511" t="s">
        <v>26</v>
      </c>
      <c r="L2511" t="s">
        <v>44</v>
      </c>
      <c r="M2511">
        <v>9</v>
      </c>
      <c r="N2511" s="2">
        <v>68</v>
      </c>
      <c r="O2511" s="3">
        <v>7118</v>
      </c>
      <c r="P2511">
        <v>1</v>
      </c>
      <c r="Q2511">
        <v>4</v>
      </c>
      <c r="R2511" t="s">
        <v>28</v>
      </c>
      <c r="S2511">
        <v>1</v>
      </c>
    </row>
    <row r="2512" spans="1:19" ht="16.5" x14ac:dyDescent="0.3">
      <c r="A2512" t="s">
        <v>2575</v>
      </c>
      <c r="B2512" s="1">
        <v>45635</v>
      </c>
      <c r="C2512" s="1">
        <v>45637</v>
      </c>
      <c r="D2512">
        <v>2024</v>
      </c>
      <c r="E2512" t="s">
        <v>2026</v>
      </c>
      <c r="F2512" t="s">
        <v>2496</v>
      </c>
      <c r="G2512" t="s">
        <v>22</v>
      </c>
      <c r="H2512" t="s">
        <v>52</v>
      </c>
      <c r="I2512" t="s">
        <v>24</v>
      </c>
      <c r="J2512" t="s">
        <v>25</v>
      </c>
      <c r="K2512" t="s">
        <v>32</v>
      </c>
      <c r="L2512" t="s">
        <v>44</v>
      </c>
      <c r="M2512">
        <v>2</v>
      </c>
      <c r="N2512" s="2">
        <v>57</v>
      </c>
      <c r="O2512" s="3">
        <v>3044</v>
      </c>
      <c r="P2512">
        <v>0</v>
      </c>
      <c r="Q2512">
        <v>4</v>
      </c>
      <c r="R2512" t="s">
        <v>33</v>
      </c>
      <c r="S2512">
        <v>1</v>
      </c>
    </row>
    <row r="2513" spans="1:19" ht="16.5" x14ac:dyDescent="0.3">
      <c r="A2513" t="s">
        <v>2576</v>
      </c>
      <c r="B2513" s="1">
        <v>45635</v>
      </c>
      <c r="C2513" s="1">
        <v>45646</v>
      </c>
      <c r="D2513">
        <v>2024</v>
      </c>
      <c r="E2513" t="s">
        <v>2026</v>
      </c>
      <c r="F2513" t="s">
        <v>2496</v>
      </c>
      <c r="G2513" t="s">
        <v>22</v>
      </c>
      <c r="H2513" t="s">
        <v>23</v>
      </c>
      <c r="I2513" t="s">
        <v>24</v>
      </c>
      <c r="J2513" t="s">
        <v>43</v>
      </c>
      <c r="K2513" t="s">
        <v>53</v>
      </c>
      <c r="L2513" t="s">
        <v>27</v>
      </c>
      <c r="M2513">
        <v>11</v>
      </c>
      <c r="N2513" s="2">
        <v>30</v>
      </c>
      <c r="O2513" s="3">
        <v>6711</v>
      </c>
      <c r="P2513">
        <v>0</v>
      </c>
      <c r="Q2513">
        <v>4</v>
      </c>
      <c r="R2513" t="s">
        <v>28</v>
      </c>
      <c r="S2513">
        <v>1</v>
      </c>
    </row>
    <row r="2514" spans="1:19" ht="16.5" x14ac:dyDescent="0.3">
      <c r="A2514" t="s">
        <v>2577</v>
      </c>
      <c r="B2514" s="1">
        <v>45635</v>
      </c>
      <c r="C2514" s="1">
        <v>45643</v>
      </c>
      <c r="D2514">
        <v>2024</v>
      </c>
      <c r="E2514" t="s">
        <v>2026</v>
      </c>
      <c r="F2514" t="s">
        <v>2496</v>
      </c>
      <c r="G2514" t="s">
        <v>22</v>
      </c>
      <c r="H2514" t="s">
        <v>23</v>
      </c>
      <c r="I2514" t="s">
        <v>24</v>
      </c>
      <c r="J2514" t="s">
        <v>43</v>
      </c>
      <c r="K2514" t="s">
        <v>36</v>
      </c>
      <c r="L2514" t="s">
        <v>44</v>
      </c>
      <c r="M2514">
        <v>8</v>
      </c>
      <c r="N2514" s="2">
        <v>75</v>
      </c>
      <c r="O2514" s="3">
        <v>6160</v>
      </c>
      <c r="P2514">
        <v>0</v>
      </c>
      <c r="Q2514">
        <v>4</v>
      </c>
      <c r="R2514" t="s">
        <v>28</v>
      </c>
      <c r="S2514">
        <v>1</v>
      </c>
    </row>
    <row r="2515" spans="1:19" ht="16.5" x14ac:dyDescent="0.3">
      <c r="A2515" t="s">
        <v>2578</v>
      </c>
      <c r="B2515" s="1">
        <v>45635</v>
      </c>
      <c r="C2515" s="1">
        <v>45646</v>
      </c>
      <c r="D2515">
        <v>2024</v>
      </c>
      <c r="E2515" t="s">
        <v>2026</v>
      </c>
      <c r="F2515" t="s">
        <v>2496</v>
      </c>
      <c r="G2515" t="s">
        <v>22</v>
      </c>
      <c r="H2515" t="s">
        <v>50</v>
      </c>
      <c r="I2515" t="s">
        <v>24</v>
      </c>
      <c r="J2515" t="s">
        <v>25</v>
      </c>
      <c r="K2515" t="s">
        <v>26</v>
      </c>
      <c r="L2515" t="s">
        <v>27</v>
      </c>
      <c r="M2515">
        <v>11</v>
      </c>
      <c r="N2515" s="2">
        <v>47</v>
      </c>
      <c r="O2515" s="3">
        <v>15758</v>
      </c>
      <c r="P2515">
        <v>0</v>
      </c>
      <c r="Q2515">
        <v>4</v>
      </c>
      <c r="R2515" t="s">
        <v>28</v>
      </c>
      <c r="S2515">
        <v>1</v>
      </c>
    </row>
    <row r="2516" spans="1:19" ht="16.5" x14ac:dyDescent="0.3">
      <c r="A2516" t="s">
        <v>2579</v>
      </c>
      <c r="B2516" s="1">
        <v>45636</v>
      </c>
      <c r="C2516" s="1">
        <v>45640</v>
      </c>
      <c r="D2516">
        <v>2024</v>
      </c>
      <c r="E2516" t="s">
        <v>2026</v>
      </c>
      <c r="F2516" t="s">
        <v>2496</v>
      </c>
      <c r="G2516" t="s">
        <v>56</v>
      </c>
      <c r="H2516" t="s">
        <v>52</v>
      </c>
      <c r="I2516" t="s">
        <v>40</v>
      </c>
      <c r="J2516" t="s">
        <v>25</v>
      </c>
      <c r="K2516" t="s">
        <v>53</v>
      </c>
      <c r="L2516" t="s">
        <v>27</v>
      </c>
      <c r="M2516">
        <v>4</v>
      </c>
      <c r="N2516" s="2"/>
      <c r="O2516" s="3">
        <v>4831</v>
      </c>
      <c r="P2516">
        <v>0</v>
      </c>
      <c r="Q2516">
        <v>3</v>
      </c>
      <c r="R2516" t="s">
        <v>28</v>
      </c>
      <c r="S2516">
        <v>1</v>
      </c>
    </row>
    <row r="2517" spans="1:19" ht="16.5" x14ac:dyDescent="0.3">
      <c r="A2517" t="s">
        <v>2580</v>
      </c>
      <c r="B2517" s="1">
        <v>45636</v>
      </c>
      <c r="C2517" s="1">
        <v>45637</v>
      </c>
      <c r="D2517">
        <v>2024</v>
      </c>
      <c r="E2517" t="s">
        <v>2026</v>
      </c>
      <c r="F2517" t="s">
        <v>2496</v>
      </c>
      <c r="G2517" t="s">
        <v>56</v>
      </c>
      <c r="H2517" t="s">
        <v>39</v>
      </c>
      <c r="I2517" t="s">
        <v>24</v>
      </c>
      <c r="J2517" t="s">
        <v>25</v>
      </c>
      <c r="K2517" t="s">
        <v>41</v>
      </c>
      <c r="L2517" t="s">
        <v>44</v>
      </c>
      <c r="M2517">
        <v>1</v>
      </c>
      <c r="N2517" s="2">
        <v>71</v>
      </c>
      <c r="O2517" s="3">
        <v>1135</v>
      </c>
      <c r="P2517">
        <v>0</v>
      </c>
      <c r="Q2517">
        <v>3</v>
      </c>
      <c r="R2517" t="s">
        <v>33</v>
      </c>
      <c r="S2517">
        <v>1</v>
      </c>
    </row>
    <row r="2518" spans="1:19" ht="16.5" x14ac:dyDescent="0.3">
      <c r="A2518" t="s">
        <v>2581</v>
      </c>
      <c r="B2518" s="1">
        <v>45636</v>
      </c>
      <c r="C2518" s="1">
        <v>45638</v>
      </c>
      <c r="D2518">
        <v>2024</v>
      </c>
      <c r="E2518" t="s">
        <v>2026</v>
      </c>
      <c r="F2518" t="s">
        <v>2496</v>
      </c>
      <c r="G2518" t="s">
        <v>56</v>
      </c>
      <c r="H2518" t="s">
        <v>39</v>
      </c>
      <c r="I2518" t="s">
        <v>24</v>
      </c>
      <c r="J2518" t="s">
        <v>43</v>
      </c>
      <c r="K2518" t="s">
        <v>41</v>
      </c>
      <c r="L2518" t="s">
        <v>27</v>
      </c>
      <c r="M2518">
        <v>2</v>
      </c>
      <c r="N2518" s="2">
        <v>48</v>
      </c>
      <c r="O2518" s="3">
        <v>2014</v>
      </c>
      <c r="P2518">
        <v>0</v>
      </c>
      <c r="Q2518">
        <v>4</v>
      </c>
      <c r="R2518" t="s">
        <v>33</v>
      </c>
      <c r="S2518">
        <v>1</v>
      </c>
    </row>
    <row r="2519" spans="1:19" ht="16.5" x14ac:dyDescent="0.3">
      <c r="A2519" t="s">
        <v>2582</v>
      </c>
      <c r="B2519" s="1">
        <v>45636</v>
      </c>
      <c r="C2519" s="1">
        <v>45654</v>
      </c>
      <c r="D2519">
        <v>2024</v>
      </c>
      <c r="E2519" t="s">
        <v>2026</v>
      </c>
      <c r="F2519" t="s">
        <v>2496</v>
      </c>
      <c r="G2519" t="s">
        <v>56</v>
      </c>
      <c r="H2519" t="s">
        <v>50</v>
      </c>
      <c r="I2519" t="s">
        <v>24</v>
      </c>
      <c r="J2519" t="s">
        <v>43</v>
      </c>
      <c r="K2519" t="s">
        <v>26</v>
      </c>
      <c r="L2519" t="s">
        <v>27</v>
      </c>
      <c r="M2519">
        <v>18</v>
      </c>
      <c r="N2519" s="2">
        <v>51</v>
      </c>
      <c r="O2519" s="3">
        <v>17498</v>
      </c>
      <c r="P2519">
        <v>0</v>
      </c>
      <c r="Q2519">
        <v>4</v>
      </c>
      <c r="R2519" t="s">
        <v>33</v>
      </c>
      <c r="S2519">
        <v>1</v>
      </c>
    </row>
    <row r="2520" spans="1:19" ht="16.5" x14ac:dyDescent="0.3">
      <c r="A2520" t="s">
        <v>2583</v>
      </c>
      <c r="B2520" s="1">
        <v>45636</v>
      </c>
      <c r="C2520" s="1">
        <v>45638</v>
      </c>
      <c r="D2520">
        <v>2024</v>
      </c>
      <c r="E2520" t="s">
        <v>2026</v>
      </c>
      <c r="F2520" t="s">
        <v>2496</v>
      </c>
      <c r="G2520" t="s">
        <v>56</v>
      </c>
      <c r="H2520" t="s">
        <v>39</v>
      </c>
      <c r="I2520" t="s">
        <v>40</v>
      </c>
      <c r="J2520" t="s">
        <v>43</v>
      </c>
      <c r="K2520" t="s">
        <v>41</v>
      </c>
      <c r="L2520" t="s">
        <v>44</v>
      </c>
      <c r="M2520">
        <v>2</v>
      </c>
      <c r="N2520" s="2"/>
      <c r="O2520" s="3">
        <v>1687</v>
      </c>
      <c r="P2520">
        <v>0</v>
      </c>
      <c r="Q2520">
        <v>5</v>
      </c>
      <c r="R2520" t="s">
        <v>33</v>
      </c>
      <c r="S2520">
        <v>1</v>
      </c>
    </row>
    <row r="2521" spans="1:19" ht="16.5" x14ac:dyDescent="0.3">
      <c r="A2521" t="s">
        <v>2584</v>
      </c>
      <c r="B2521" s="1">
        <v>45636</v>
      </c>
      <c r="C2521" s="1">
        <v>45638</v>
      </c>
      <c r="D2521">
        <v>2024</v>
      </c>
      <c r="E2521" t="s">
        <v>2026</v>
      </c>
      <c r="F2521" t="s">
        <v>2496</v>
      </c>
      <c r="G2521" t="s">
        <v>56</v>
      </c>
      <c r="H2521" t="s">
        <v>23</v>
      </c>
      <c r="I2521" t="s">
        <v>24</v>
      </c>
      <c r="J2521" t="s">
        <v>25</v>
      </c>
      <c r="K2521" t="s">
        <v>32</v>
      </c>
      <c r="L2521" t="s">
        <v>27</v>
      </c>
      <c r="M2521">
        <v>2</v>
      </c>
      <c r="N2521" s="2">
        <v>100</v>
      </c>
      <c r="O2521" s="3">
        <v>2320</v>
      </c>
      <c r="P2521">
        <v>0</v>
      </c>
      <c r="Q2521">
        <v>4</v>
      </c>
      <c r="R2521" t="s">
        <v>33</v>
      </c>
      <c r="S2521">
        <v>1</v>
      </c>
    </row>
    <row r="2522" spans="1:19" ht="16.5" x14ac:dyDescent="0.3">
      <c r="A2522" t="s">
        <v>2585</v>
      </c>
      <c r="B2522" s="1">
        <v>45636</v>
      </c>
      <c r="C2522" s="1">
        <v>45638</v>
      </c>
      <c r="D2522">
        <v>2024</v>
      </c>
      <c r="E2522" t="s">
        <v>2026</v>
      </c>
      <c r="F2522" t="s">
        <v>2496</v>
      </c>
      <c r="G2522" t="s">
        <v>56</v>
      </c>
      <c r="H2522" t="s">
        <v>50</v>
      </c>
      <c r="I2522" t="s">
        <v>40</v>
      </c>
      <c r="J2522" t="s">
        <v>43</v>
      </c>
      <c r="K2522" t="s">
        <v>36</v>
      </c>
      <c r="L2522" t="s">
        <v>37</v>
      </c>
      <c r="M2522">
        <v>2</v>
      </c>
      <c r="N2522" s="2"/>
      <c r="O2522" s="3">
        <v>2739</v>
      </c>
      <c r="P2522">
        <v>0</v>
      </c>
      <c r="Q2522">
        <v>4</v>
      </c>
      <c r="R2522" t="s">
        <v>33</v>
      </c>
      <c r="S2522">
        <v>1</v>
      </c>
    </row>
    <row r="2523" spans="1:19" ht="16.5" x14ac:dyDescent="0.3">
      <c r="A2523" t="s">
        <v>2586</v>
      </c>
      <c r="B2523" s="1">
        <v>45636</v>
      </c>
      <c r="C2523" s="1">
        <v>45640</v>
      </c>
      <c r="D2523">
        <v>2024</v>
      </c>
      <c r="E2523" t="s">
        <v>2026</v>
      </c>
      <c r="F2523" t="s">
        <v>2496</v>
      </c>
      <c r="G2523" t="s">
        <v>56</v>
      </c>
      <c r="H2523" t="s">
        <v>39</v>
      </c>
      <c r="I2523" t="s">
        <v>40</v>
      </c>
      <c r="J2523" t="s">
        <v>25</v>
      </c>
      <c r="K2523" t="s">
        <v>41</v>
      </c>
      <c r="L2523" t="s">
        <v>27</v>
      </c>
      <c r="M2523">
        <v>4</v>
      </c>
      <c r="N2523" s="2"/>
      <c r="O2523" s="3">
        <v>3282</v>
      </c>
      <c r="P2523">
        <v>0</v>
      </c>
      <c r="Q2523">
        <v>4</v>
      </c>
      <c r="R2523" t="s">
        <v>33</v>
      </c>
      <c r="S2523">
        <v>1</v>
      </c>
    </row>
    <row r="2524" spans="1:19" ht="16.5" x14ac:dyDescent="0.3">
      <c r="A2524" t="s">
        <v>2587</v>
      </c>
      <c r="B2524" s="1">
        <v>45637</v>
      </c>
      <c r="C2524" s="1">
        <v>45643</v>
      </c>
      <c r="D2524">
        <v>2024</v>
      </c>
      <c r="E2524" t="s">
        <v>2026</v>
      </c>
      <c r="F2524" t="s">
        <v>2496</v>
      </c>
      <c r="G2524" t="s">
        <v>70</v>
      </c>
      <c r="H2524" t="s">
        <v>23</v>
      </c>
      <c r="I2524" t="s">
        <v>24</v>
      </c>
      <c r="J2524" t="s">
        <v>25</v>
      </c>
      <c r="K2524" t="s">
        <v>53</v>
      </c>
      <c r="L2524" t="s">
        <v>27</v>
      </c>
      <c r="M2524">
        <v>6</v>
      </c>
      <c r="N2524" s="2">
        <v>46</v>
      </c>
      <c r="O2524" s="3">
        <v>5307</v>
      </c>
      <c r="P2524">
        <v>0</v>
      </c>
      <c r="Q2524">
        <v>4</v>
      </c>
      <c r="R2524" t="s">
        <v>165</v>
      </c>
      <c r="S2524">
        <v>1</v>
      </c>
    </row>
    <row r="2525" spans="1:19" ht="16.5" x14ac:dyDescent="0.3">
      <c r="A2525" t="s">
        <v>2588</v>
      </c>
      <c r="B2525" s="1">
        <v>45637</v>
      </c>
      <c r="C2525" s="1">
        <v>45644</v>
      </c>
      <c r="D2525">
        <v>2024</v>
      </c>
      <c r="E2525" t="s">
        <v>2026</v>
      </c>
      <c r="F2525" t="s">
        <v>2496</v>
      </c>
      <c r="G2525" t="s">
        <v>70</v>
      </c>
      <c r="H2525" t="s">
        <v>39</v>
      </c>
      <c r="I2525" t="s">
        <v>40</v>
      </c>
      <c r="J2525" t="s">
        <v>43</v>
      </c>
      <c r="K2525" t="s">
        <v>41</v>
      </c>
      <c r="L2525" t="s">
        <v>27</v>
      </c>
      <c r="M2525">
        <v>7</v>
      </c>
      <c r="N2525" s="2"/>
      <c r="O2525" s="3">
        <v>4545</v>
      </c>
      <c r="P2525">
        <v>0</v>
      </c>
      <c r="Q2525">
        <v>5</v>
      </c>
      <c r="R2525" t="s">
        <v>33</v>
      </c>
      <c r="S2525">
        <v>1</v>
      </c>
    </row>
    <row r="2526" spans="1:19" ht="16.5" x14ac:dyDescent="0.3">
      <c r="A2526" t="s">
        <v>2589</v>
      </c>
      <c r="B2526" s="1">
        <v>45637</v>
      </c>
      <c r="C2526" s="1">
        <v>45640</v>
      </c>
      <c r="D2526">
        <v>2024</v>
      </c>
      <c r="E2526" t="s">
        <v>2026</v>
      </c>
      <c r="F2526" t="s">
        <v>2496</v>
      </c>
      <c r="G2526" t="s">
        <v>70</v>
      </c>
      <c r="H2526" t="s">
        <v>52</v>
      </c>
      <c r="I2526" t="s">
        <v>24</v>
      </c>
      <c r="J2526" t="s">
        <v>25</v>
      </c>
      <c r="K2526" t="s">
        <v>32</v>
      </c>
      <c r="L2526" t="s">
        <v>44</v>
      </c>
      <c r="M2526">
        <v>3</v>
      </c>
      <c r="N2526" s="2">
        <v>21</v>
      </c>
      <c r="O2526" s="3">
        <v>3731</v>
      </c>
      <c r="P2526">
        <v>0</v>
      </c>
      <c r="Q2526">
        <v>5</v>
      </c>
      <c r="R2526" t="s">
        <v>33</v>
      </c>
      <c r="S2526">
        <v>1</v>
      </c>
    </row>
    <row r="2527" spans="1:19" ht="16.5" x14ac:dyDescent="0.3">
      <c r="A2527" t="s">
        <v>2590</v>
      </c>
      <c r="B2527" s="1">
        <v>45637</v>
      </c>
      <c r="C2527" s="1">
        <v>45642</v>
      </c>
      <c r="D2527">
        <v>2024</v>
      </c>
      <c r="E2527" t="s">
        <v>2026</v>
      </c>
      <c r="F2527" t="s">
        <v>2496</v>
      </c>
      <c r="G2527" t="s">
        <v>70</v>
      </c>
      <c r="H2527" t="s">
        <v>30</v>
      </c>
      <c r="I2527" t="s">
        <v>31</v>
      </c>
      <c r="J2527" t="s">
        <v>43</v>
      </c>
      <c r="K2527" t="s">
        <v>53</v>
      </c>
      <c r="L2527" t="s">
        <v>27</v>
      </c>
      <c r="M2527">
        <v>5</v>
      </c>
      <c r="N2527" s="2"/>
      <c r="O2527" s="3">
        <v>7260</v>
      </c>
      <c r="P2527">
        <v>0</v>
      </c>
      <c r="Q2527">
        <v>3</v>
      </c>
      <c r="R2527" t="s">
        <v>33</v>
      </c>
      <c r="S2527">
        <v>1</v>
      </c>
    </row>
    <row r="2528" spans="1:19" ht="16.5" x14ac:dyDescent="0.3">
      <c r="A2528" t="s">
        <v>2591</v>
      </c>
      <c r="B2528" s="1">
        <v>45637</v>
      </c>
      <c r="C2528" s="1">
        <v>45640</v>
      </c>
      <c r="D2528">
        <v>2024</v>
      </c>
      <c r="E2528" t="s">
        <v>2026</v>
      </c>
      <c r="F2528" t="s">
        <v>2496</v>
      </c>
      <c r="G2528" t="s">
        <v>70</v>
      </c>
      <c r="H2528" t="s">
        <v>23</v>
      </c>
      <c r="I2528" t="s">
        <v>24</v>
      </c>
      <c r="J2528" t="s">
        <v>25</v>
      </c>
      <c r="K2528" t="s">
        <v>32</v>
      </c>
      <c r="L2528" t="s">
        <v>44</v>
      </c>
      <c r="M2528">
        <v>3</v>
      </c>
      <c r="N2528" s="2">
        <v>31</v>
      </c>
      <c r="O2528" s="3">
        <v>2643</v>
      </c>
      <c r="P2528">
        <v>0</v>
      </c>
      <c r="Q2528">
        <v>4</v>
      </c>
      <c r="R2528" t="s">
        <v>28</v>
      </c>
      <c r="S2528">
        <v>1</v>
      </c>
    </row>
    <row r="2529" spans="1:19" ht="16.5" x14ac:dyDescent="0.3">
      <c r="A2529" t="s">
        <v>2592</v>
      </c>
      <c r="B2529" s="1">
        <v>45637</v>
      </c>
      <c r="C2529" s="1">
        <v>45644</v>
      </c>
      <c r="D2529">
        <v>2024</v>
      </c>
      <c r="E2529" t="s">
        <v>2026</v>
      </c>
      <c r="F2529" t="s">
        <v>2496</v>
      </c>
      <c r="G2529" t="s">
        <v>70</v>
      </c>
      <c r="H2529" t="s">
        <v>30</v>
      </c>
      <c r="I2529" t="s">
        <v>40</v>
      </c>
      <c r="J2529" t="s">
        <v>25</v>
      </c>
      <c r="K2529" t="s">
        <v>26</v>
      </c>
      <c r="L2529" t="s">
        <v>27</v>
      </c>
      <c r="M2529">
        <v>7</v>
      </c>
      <c r="N2529" s="2"/>
      <c r="O2529" s="3">
        <v>6972</v>
      </c>
      <c r="P2529">
        <v>0</v>
      </c>
      <c r="Q2529">
        <v>4</v>
      </c>
      <c r="R2529" t="s">
        <v>28</v>
      </c>
      <c r="S2529">
        <v>1</v>
      </c>
    </row>
    <row r="2530" spans="1:19" ht="16.5" x14ac:dyDescent="0.3">
      <c r="A2530" t="s">
        <v>2593</v>
      </c>
      <c r="B2530" s="1">
        <v>45637</v>
      </c>
      <c r="C2530" s="1">
        <v>45642</v>
      </c>
      <c r="D2530">
        <v>2024</v>
      </c>
      <c r="E2530" t="s">
        <v>2026</v>
      </c>
      <c r="F2530" t="s">
        <v>2496</v>
      </c>
      <c r="G2530" t="s">
        <v>70</v>
      </c>
      <c r="H2530" t="s">
        <v>35</v>
      </c>
      <c r="I2530" t="s">
        <v>24</v>
      </c>
      <c r="J2530" t="s">
        <v>25</v>
      </c>
      <c r="K2530" t="s">
        <v>32</v>
      </c>
      <c r="L2530" t="s">
        <v>44</v>
      </c>
      <c r="M2530">
        <v>5</v>
      </c>
      <c r="N2530" s="2">
        <v>88</v>
      </c>
      <c r="O2530" s="3">
        <v>3801</v>
      </c>
      <c r="P2530">
        <v>0</v>
      </c>
      <c r="Q2530">
        <v>5</v>
      </c>
      <c r="R2530" t="s">
        <v>33</v>
      </c>
      <c r="S2530">
        <v>1</v>
      </c>
    </row>
    <row r="2531" spans="1:19" ht="16.5" x14ac:dyDescent="0.3">
      <c r="A2531" t="s">
        <v>2594</v>
      </c>
      <c r="B2531" s="1">
        <v>45637</v>
      </c>
      <c r="C2531" s="1">
        <v>45640</v>
      </c>
      <c r="D2531">
        <v>2024</v>
      </c>
      <c r="E2531" t="s">
        <v>2026</v>
      </c>
      <c r="F2531" t="s">
        <v>2496</v>
      </c>
      <c r="G2531" t="s">
        <v>70</v>
      </c>
      <c r="H2531" t="s">
        <v>30</v>
      </c>
      <c r="I2531" t="s">
        <v>40</v>
      </c>
      <c r="J2531" t="s">
        <v>25</v>
      </c>
      <c r="K2531" t="s">
        <v>36</v>
      </c>
      <c r="L2531" t="s">
        <v>44</v>
      </c>
      <c r="M2531">
        <v>3</v>
      </c>
      <c r="N2531" s="2"/>
      <c r="O2531" s="3">
        <v>3004</v>
      </c>
      <c r="P2531">
        <v>1</v>
      </c>
      <c r="Q2531">
        <v>4</v>
      </c>
      <c r="R2531" t="s">
        <v>33</v>
      </c>
      <c r="S2531">
        <v>1</v>
      </c>
    </row>
    <row r="2532" spans="1:19" ht="16.5" x14ac:dyDescent="0.3">
      <c r="A2532" t="s">
        <v>2595</v>
      </c>
      <c r="B2532" s="1">
        <v>45637</v>
      </c>
      <c r="C2532" s="1">
        <v>45639</v>
      </c>
      <c r="D2532">
        <v>2024</v>
      </c>
      <c r="E2532" t="s">
        <v>2026</v>
      </c>
      <c r="F2532" t="s">
        <v>2496</v>
      </c>
      <c r="G2532" t="s">
        <v>70</v>
      </c>
      <c r="H2532" t="s">
        <v>52</v>
      </c>
      <c r="I2532" t="s">
        <v>40</v>
      </c>
      <c r="J2532" t="s">
        <v>43</v>
      </c>
      <c r="K2532" t="s">
        <v>53</v>
      </c>
      <c r="L2532" t="s">
        <v>27</v>
      </c>
      <c r="M2532">
        <v>2</v>
      </c>
      <c r="N2532" s="2"/>
      <c r="O2532" s="3">
        <v>2537</v>
      </c>
      <c r="P2532">
        <v>0</v>
      </c>
      <c r="Q2532">
        <v>3</v>
      </c>
      <c r="R2532" t="s">
        <v>33</v>
      </c>
      <c r="S2532">
        <v>1</v>
      </c>
    </row>
    <row r="2533" spans="1:19" ht="16.5" x14ac:dyDescent="0.3">
      <c r="A2533" t="s">
        <v>2596</v>
      </c>
      <c r="B2533" s="1">
        <v>45638</v>
      </c>
      <c r="C2533" s="1">
        <v>45639</v>
      </c>
      <c r="D2533">
        <v>2024</v>
      </c>
      <c r="E2533" t="s">
        <v>2026</v>
      </c>
      <c r="F2533" t="s">
        <v>2496</v>
      </c>
      <c r="G2533" t="s">
        <v>78</v>
      </c>
      <c r="H2533" t="s">
        <v>35</v>
      </c>
      <c r="I2533" t="s">
        <v>40</v>
      </c>
      <c r="J2533" t="s">
        <v>25</v>
      </c>
      <c r="K2533" t="s">
        <v>32</v>
      </c>
      <c r="L2533" t="s">
        <v>27</v>
      </c>
      <c r="M2533">
        <v>1</v>
      </c>
      <c r="N2533" s="2"/>
      <c r="O2533" s="3">
        <v>2082</v>
      </c>
      <c r="P2533">
        <v>0</v>
      </c>
      <c r="Q2533">
        <v>5</v>
      </c>
      <c r="R2533" t="s">
        <v>59</v>
      </c>
      <c r="S2533">
        <v>1</v>
      </c>
    </row>
    <row r="2534" spans="1:19" ht="16.5" x14ac:dyDescent="0.3">
      <c r="A2534" t="s">
        <v>2597</v>
      </c>
      <c r="B2534" s="1">
        <v>45638</v>
      </c>
      <c r="C2534" s="1">
        <v>45639</v>
      </c>
      <c r="D2534">
        <v>2024</v>
      </c>
      <c r="E2534" t="s">
        <v>2026</v>
      </c>
      <c r="F2534" t="s">
        <v>2496</v>
      </c>
      <c r="G2534" t="s">
        <v>78</v>
      </c>
      <c r="H2534" t="s">
        <v>35</v>
      </c>
      <c r="I2534" t="s">
        <v>31</v>
      </c>
      <c r="J2534" t="s">
        <v>25</v>
      </c>
      <c r="K2534" t="s">
        <v>32</v>
      </c>
      <c r="L2534" t="s">
        <v>27</v>
      </c>
      <c r="M2534">
        <v>1</v>
      </c>
      <c r="N2534" s="2"/>
      <c r="O2534" s="3">
        <v>1594</v>
      </c>
      <c r="P2534">
        <v>0</v>
      </c>
      <c r="Q2534">
        <v>5</v>
      </c>
      <c r="R2534" t="s">
        <v>33</v>
      </c>
      <c r="S2534">
        <v>1</v>
      </c>
    </row>
    <row r="2535" spans="1:19" ht="16.5" x14ac:dyDescent="0.3">
      <c r="A2535" t="s">
        <v>2598</v>
      </c>
      <c r="B2535" s="1">
        <v>45638</v>
      </c>
      <c r="C2535" s="1">
        <v>45640</v>
      </c>
      <c r="D2535">
        <v>2024</v>
      </c>
      <c r="E2535" t="s">
        <v>2026</v>
      </c>
      <c r="F2535" t="s">
        <v>2496</v>
      </c>
      <c r="G2535" t="s">
        <v>78</v>
      </c>
      <c r="H2535" t="s">
        <v>50</v>
      </c>
      <c r="I2535" t="s">
        <v>24</v>
      </c>
      <c r="J2535" t="s">
        <v>25</v>
      </c>
      <c r="K2535" t="s">
        <v>53</v>
      </c>
      <c r="L2535" t="s">
        <v>44</v>
      </c>
      <c r="M2535">
        <v>2</v>
      </c>
      <c r="N2535" s="2">
        <v>44</v>
      </c>
      <c r="O2535" s="3">
        <v>2575</v>
      </c>
      <c r="P2535">
        <v>0</v>
      </c>
      <c r="Q2535">
        <v>3</v>
      </c>
      <c r="R2535" t="s">
        <v>33</v>
      </c>
      <c r="S2535">
        <v>1</v>
      </c>
    </row>
    <row r="2536" spans="1:19" ht="16.5" x14ac:dyDescent="0.3">
      <c r="A2536" t="s">
        <v>2599</v>
      </c>
      <c r="B2536" s="1">
        <v>45638</v>
      </c>
      <c r="C2536" s="1">
        <v>45645</v>
      </c>
      <c r="D2536">
        <v>2024</v>
      </c>
      <c r="E2536" t="s">
        <v>2026</v>
      </c>
      <c r="F2536" t="s">
        <v>2496</v>
      </c>
      <c r="G2536" t="s">
        <v>78</v>
      </c>
      <c r="H2536" t="s">
        <v>30</v>
      </c>
      <c r="I2536" t="s">
        <v>24</v>
      </c>
      <c r="J2536" t="s">
        <v>25</v>
      </c>
      <c r="K2536" t="s">
        <v>32</v>
      </c>
      <c r="L2536" t="s">
        <v>37</v>
      </c>
      <c r="M2536">
        <v>7</v>
      </c>
      <c r="N2536" s="2">
        <v>137</v>
      </c>
      <c r="O2536" s="3">
        <v>9281</v>
      </c>
      <c r="P2536">
        <v>0</v>
      </c>
      <c r="Q2536">
        <v>3</v>
      </c>
      <c r="R2536" t="s">
        <v>28</v>
      </c>
      <c r="S2536">
        <v>1</v>
      </c>
    </row>
    <row r="2537" spans="1:19" ht="16.5" x14ac:dyDescent="0.3">
      <c r="A2537" t="s">
        <v>2600</v>
      </c>
      <c r="B2537" s="1">
        <v>45638</v>
      </c>
      <c r="C2537" s="1">
        <v>45641</v>
      </c>
      <c r="D2537">
        <v>2024</v>
      </c>
      <c r="E2537" t="s">
        <v>2026</v>
      </c>
      <c r="F2537" t="s">
        <v>2496</v>
      </c>
      <c r="G2537" t="s">
        <v>78</v>
      </c>
      <c r="H2537" t="s">
        <v>30</v>
      </c>
      <c r="I2537" t="s">
        <v>40</v>
      </c>
      <c r="J2537" t="s">
        <v>43</v>
      </c>
      <c r="K2537" t="s">
        <v>53</v>
      </c>
      <c r="L2537" t="s">
        <v>44</v>
      </c>
      <c r="M2537">
        <v>3</v>
      </c>
      <c r="N2537" s="2"/>
      <c r="O2537" s="3">
        <v>3285</v>
      </c>
      <c r="P2537">
        <v>0</v>
      </c>
      <c r="Q2537">
        <v>4</v>
      </c>
      <c r="R2537" t="s">
        <v>33</v>
      </c>
      <c r="S2537">
        <v>1</v>
      </c>
    </row>
    <row r="2538" spans="1:19" ht="16.5" x14ac:dyDescent="0.3">
      <c r="A2538" t="s">
        <v>2601</v>
      </c>
      <c r="B2538" s="1">
        <v>45638</v>
      </c>
      <c r="C2538" s="1">
        <v>45641</v>
      </c>
      <c r="D2538">
        <v>2024</v>
      </c>
      <c r="E2538" t="s">
        <v>2026</v>
      </c>
      <c r="F2538" t="s">
        <v>2496</v>
      </c>
      <c r="G2538" t="s">
        <v>78</v>
      </c>
      <c r="H2538" t="s">
        <v>23</v>
      </c>
      <c r="I2538" t="s">
        <v>24</v>
      </c>
      <c r="J2538" t="s">
        <v>25</v>
      </c>
      <c r="K2538" t="s">
        <v>53</v>
      </c>
      <c r="L2538" t="s">
        <v>44</v>
      </c>
      <c r="M2538">
        <v>3</v>
      </c>
      <c r="N2538" s="2">
        <v>31</v>
      </c>
      <c r="O2538" s="3">
        <v>2629</v>
      </c>
      <c r="P2538">
        <v>1</v>
      </c>
      <c r="Q2538">
        <v>4</v>
      </c>
      <c r="R2538" t="s">
        <v>33</v>
      </c>
      <c r="S2538">
        <v>1</v>
      </c>
    </row>
    <row r="2539" spans="1:19" ht="16.5" x14ac:dyDescent="0.3">
      <c r="A2539" t="s">
        <v>2602</v>
      </c>
      <c r="B2539" s="1">
        <v>45638</v>
      </c>
      <c r="C2539" s="1">
        <v>45645</v>
      </c>
      <c r="D2539">
        <v>2024</v>
      </c>
      <c r="E2539" t="s">
        <v>2026</v>
      </c>
      <c r="F2539" t="s">
        <v>2496</v>
      </c>
      <c r="G2539" t="s">
        <v>78</v>
      </c>
      <c r="H2539" t="s">
        <v>35</v>
      </c>
      <c r="I2539" t="s">
        <v>24</v>
      </c>
      <c r="J2539" t="s">
        <v>25</v>
      </c>
      <c r="K2539" t="s">
        <v>32</v>
      </c>
      <c r="L2539" t="s">
        <v>27</v>
      </c>
      <c r="M2539">
        <v>7</v>
      </c>
      <c r="N2539" s="2">
        <v>19</v>
      </c>
      <c r="O2539" s="3">
        <v>5839</v>
      </c>
      <c r="P2539">
        <v>0</v>
      </c>
      <c r="Q2539">
        <v>4</v>
      </c>
      <c r="R2539" t="s">
        <v>59</v>
      </c>
      <c r="S2539">
        <v>1</v>
      </c>
    </row>
    <row r="2540" spans="1:19" ht="16.5" x14ac:dyDescent="0.3">
      <c r="A2540" t="s">
        <v>2603</v>
      </c>
      <c r="B2540" s="1">
        <v>45638</v>
      </c>
      <c r="C2540" s="1">
        <v>45646</v>
      </c>
      <c r="D2540">
        <v>2024</v>
      </c>
      <c r="E2540" t="s">
        <v>2026</v>
      </c>
      <c r="F2540" t="s">
        <v>2496</v>
      </c>
      <c r="G2540" t="s">
        <v>78</v>
      </c>
      <c r="H2540" t="s">
        <v>23</v>
      </c>
      <c r="I2540" t="s">
        <v>24</v>
      </c>
      <c r="J2540" t="s">
        <v>43</v>
      </c>
      <c r="K2540" t="s">
        <v>53</v>
      </c>
      <c r="L2540" t="s">
        <v>44</v>
      </c>
      <c r="M2540">
        <v>8</v>
      </c>
      <c r="N2540" s="2">
        <v>109</v>
      </c>
      <c r="O2540" s="3">
        <v>5673</v>
      </c>
      <c r="P2540">
        <v>0</v>
      </c>
      <c r="Q2540">
        <v>4</v>
      </c>
      <c r="R2540" t="s">
        <v>28</v>
      </c>
      <c r="S2540">
        <v>1</v>
      </c>
    </row>
    <row r="2541" spans="1:19" ht="16.5" x14ac:dyDescent="0.3">
      <c r="A2541" t="s">
        <v>2604</v>
      </c>
      <c r="B2541" s="1">
        <v>45638</v>
      </c>
      <c r="C2541" s="1">
        <v>45648</v>
      </c>
      <c r="D2541">
        <v>2024</v>
      </c>
      <c r="E2541" t="s">
        <v>2026</v>
      </c>
      <c r="F2541" t="s">
        <v>2496</v>
      </c>
      <c r="G2541" t="s">
        <v>78</v>
      </c>
      <c r="H2541" t="s">
        <v>23</v>
      </c>
      <c r="I2541" t="s">
        <v>31</v>
      </c>
      <c r="J2541" t="s">
        <v>25</v>
      </c>
      <c r="K2541" t="s">
        <v>32</v>
      </c>
      <c r="L2541" t="s">
        <v>44</v>
      </c>
      <c r="M2541">
        <v>10</v>
      </c>
      <c r="N2541" s="2"/>
      <c r="O2541" s="3">
        <v>7658</v>
      </c>
      <c r="P2541">
        <v>0</v>
      </c>
      <c r="Q2541">
        <v>4</v>
      </c>
      <c r="R2541" t="s">
        <v>28</v>
      </c>
      <c r="S2541">
        <v>1</v>
      </c>
    </row>
    <row r="2542" spans="1:19" ht="16.5" x14ac:dyDescent="0.3">
      <c r="A2542" t="s">
        <v>2605</v>
      </c>
      <c r="B2542" s="1">
        <v>45639</v>
      </c>
      <c r="C2542" s="1">
        <v>45643</v>
      </c>
      <c r="D2542">
        <v>2024</v>
      </c>
      <c r="E2542" t="s">
        <v>2026</v>
      </c>
      <c r="F2542" t="s">
        <v>2496</v>
      </c>
      <c r="G2542" t="s">
        <v>83</v>
      </c>
      <c r="H2542" t="s">
        <v>35</v>
      </c>
      <c r="I2542" t="s">
        <v>24</v>
      </c>
      <c r="J2542" t="s">
        <v>25</v>
      </c>
      <c r="K2542" t="s">
        <v>36</v>
      </c>
      <c r="L2542" t="s">
        <v>44</v>
      </c>
      <c r="M2542">
        <v>4</v>
      </c>
      <c r="N2542" s="2">
        <v>42</v>
      </c>
      <c r="O2542" s="3">
        <v>3311</v>
      </c>
      <c r="P2542">
        <v>0</v>
      </c>
      <c r="Q2542">
        <v>4</v>
      </c>
      <c r="R2542" t="s">
        <v>33</v>
      </c>
      <c r="S2542">
        <v>1</v>
      </c>
    </row>
    <row r="2543" spans="1:19" ht="16.5" x14ac:dyDescent="0.3">
      <c r="A2543" t="s">
        <v>2606</v>
      </c>
      <c r="B2543" s="1">
        <v>45639</v>
      </c>
      <c r="C2543" s="1">
        <v>45641</v>
      </c>
      <c r="D2543">
        <v>2024</v>
      </c>
      <c r="E2543" t="s">
        <v>2026</v>
      </c>
      <c r="F2543" t="s">
        <v>2496</v>
      </c>
      <c r="G2543" t="s">
        <v>83</v>
      </c>
      <c r="H2543" t="s">
        <v>52</v>
      </c>
      <c r="I2543" t="s">
        <v>40</v>
      </c>
      <c r="J2543" t="s">
        <v>25</v>
      </c>
      <c r="K2543" t="s">
        <v>32</v>
      </c>
      <c r="L2543" t="s">
        <v>27</v>
      </c>
      <c r="M2543">
        <v>2</v>
      </c>
      <c r="N2543" s="2"/>
      <c r="O2543" s="3">
        <v>2339</v>
      </c>
      <c r="P2543">
        <v>0</v>
      </c>
      <c r="Q2543">
        <v>3</v>
      </c>
      <c r="R2543" t="s">
        <v>28</v>
      </c>
      <c r="S2543">
        <v>1</v>
      </c>
    </row>
    <row r="2544" spans="1:19" ht="16.5" x14ac:dyDescent="0.3">
      <c r="A2544" t="s">
        <v>2607</v>
      </c>
      <c r="B2544" s="1">
        <v>45639</v>
      </c>
      <c r="C2544" s="1">
        <v>45640</v>
      </c>
      <c r="D2544">
        <v>2024</v>
      </c>
      <c r="E2544" t="s">
        <v>2026</v>
      </c>
      <c r="F2544" t="s">
        <v>2496</v>
      </c>
      <c r="G2544" t="s">
        <v>83</v>
      </c>
      <c r="H2544" t="s">
        <v>35</v>
      </c>
      <c r="I2544" t="s">
        <v>24</v>
      </c>
      <c r="J2544" t="s">
        <v>25</v>
      </c>
      <c r="K2544" t="s">
        <v>36</v>
      </c>
      <c r="L2544" t="s">
        <v>27</v>
      </c>
      <c r="M2544">
        <v>1</v>
      </c>
      <c r="N2544" s="2">
        <v>68</v>
      </c>
      <c r="O2544" s="3">
        <v>1188</v>
      </c>
      <c r="P2544">
        <v>0</v>
      </c>
      <c r="Q2544">
        <v>4</v>
      </c>
      <c r="R2544" t="s">
        <v>59</v>
      </c>
      <c r="S2544">
        <v>1</v>
      </c>
    </row>
    <row r="2545" spans="1:19" ht="16.5" x14ac:dyDescent="0.3">
      <c r="A2545" t="s">
        <v>2608</v>
      </c>
      <c r="B2545" s="1">
        <v>45639</v>
      </c>
      <c r="C2545" s="1">
        <v>45652</v>
      </c>
      <c r="D2545">
        <v>2024</v>
      </c>
      <c r="E2545" t="s">
        <v>2026</v>
      </c>
      <c r="F2545" t="s">
        <v>2496</v>
      </c>
      <c r="G2545" t="s">
        <v>83</v>
      </c>
      <c r="H2545" t="s">
        <v>23</v>
      </c>
      <c r="I2545" t="s">
        <v>24</v>
      </c>
      <c r="J2545" t="s">
        <v>43</v>
      </c>
      <c r="K2545" t="s">
        <v>36</v>
      </c>
      <c r="L2545" t="s">
        <v>27</v>
      </c>
      <c r="M2545">
        <v>13</v>
      </c>
      <c r="N2545" s="2">
        <v>37</v>
      </c>
      <c r="O2545" s="3">
        <v>9397</v>
      </c>
      <c r="P2545">
        <v>0</v>
      </c>
      <c r="Q2545">
        <v>3</v>
      </c>
      <c r="R2545" t="s">
        <v>33</v>
      </c>
      <c r="S2545">
        <v>1</v>
      </c>
    </row>
    <row r="2546" spans="1:19" ht="16.5" x14ac:dyDescent="0.3">
      <c r="A2546" t="s">
        <v>2609</v>
      </c>
      <c r="B2546" s="1">
        <v>45639</v>
      </c>
      <c r="C2546" s="1">
        <v>45643</v>
      </c>
      <c r="D2546">
        <v>2024</v>
      </c>
      <c r="E2546" t="s">
        <v>2026</v>
      </c>
      <c r="F2546" t="s">
        <v>2496</v>
      </c>
      <c r="G2546" t="s">
        <v>83</v>
      </c>
      <c r="H2546" t="s">
        <v>52</v>
      </c>
      <c r="I2546" t="s">
        <v>40</v>
      </c>
      <c r="J2546" t="s">
        <v>25</v>
      </c>
      <c r="K2546" t="s">
        <v>53</v>
      </c>
      <c r="L2546" t="s">
        <v>27</v>
      </c>
      <c r="M2546">
        <v>4</v>
      </c>
      <c r="N2546" s="2"/>
      <c r="O2546" s="3">
        <v>4844</v>
      </c>
      <c r="P2546">
        <v>0</v>
      </c>
      <c r="Q2546">
        <v>4</v>
      </c>
      <c r="R2546" t="s">
        <v>33</v>
      </c>
      <c r="S2546">
        <v>1</v>
      </c>
    </row>
    <row r="2547" spans="1:19" ht="16.5" x14ac:dyDescent="0.3">
      <c r="A2547" t="s">
        <v>2610</v>
      </c>
      <c r="B2547" s="1">
        <v>45639</v>
      </c>
      <c r="C2547" s="1">
        <v>45650</v>
      </c>
      <c r="D2547">
        <v>2024</v>
      </c>
      <c r="E2547" t="s">
        <v>2026</v>
      </c>
      <c r="F2547" t="s">
        <v>2496</v>
      </c>
      <c r="G2547" t="s">
        <v>83</v>
      </c>
      <c r="H2547" t="s">
        <v>23</v>
      </c>
      <c r="I2547" t="s">
        <v>24</v>
      </c>
      <c r="J2547" t="s">
        <v>43</v>
      </c>
      <c r="K2547" t="s">
        <v>53</v>
      </c>
      <c r="L2547" t="s">
        <v>44</v>
      </c>
      <c r="M2547">
        <v>11</v>
      </c>
      <c r="N2547" s="2">
        <v>48</v>
      </c>
      <c r="O2547" s="3">
        <v>7505</v>
      </c>
      <c r="P2547">
        <v>0</v>
      </c>
      <c r="Q2547">
        <v>4</v>
      </c>
      <c r="R2547" t="s">
        <v>28</v>
      </c>
      <c r="S2547">
        <v>1</v>
      </c>
    </row>
    <row r="2548" spans="1:19" ht="16.5" x14ac:dyDescent="0.3">
      <c r="A2548" t="s">
        <v>2611</v>
      </c>
      <c r="B2548" s="1">
        <v>45639</v>
      </c>
      <c r="C2548" s="1">
        <v>45650</v>
      </c>
      <c r="D2548">
        <v>2024</v>
      </c>
      <c r="E2548" t="s">
        <v>2026</v>
      </c>
      <c r="F2548" t="s">
        <v>2496</v>
      </c>
      <c r="G2548" t="s">
        <v>83</v>
      </c>
      <c r="H2548" t="s">
        <v>23</v>
      </c>
      <c r="I2548" t="s">
        <v>24</v>
      </c>
      <c r="J2548" t="s">
        <v>25</v>
      </c>
      <c r="K2548" t="s">
        <v>32</v>
      </c>
      <c r="L2548" t="s">
        <v>27</v>
      </c>
      <c r="M2548">
        <v>11</v>
      </c>
      <c r="N2548" s="2">
        <v>53</v>
      </c>
      <c r="O2548" s="3">
        <v>6612</v>
      </c>
      <c r="P2548">
        <v>1</v>
      </c>
      <c r="Q2548">
        <v>4</v>
      </c>
      <c r="R2548" t="s">
        <v>33</v>
      </c>
      <c r="S2548">
        <v>1</v>
      </c>
    </row>
    <row r="2549" spans="1:19" ht="16.5" x14ac:dyDescent="0.3">
      <c r="A2549" t="s">
        <v>2612</v>
      </c>
      <c r="B2549" s="1">
        <v>45639</v>
      </c>
      <c r="C2549" s="1">
        <v>45643</v>
      </c>
      <c r="D2549">
        <v>2024</v>
      </c>
      <c r="E2549" t="s">
        <v>2026</v>
      </c>
      <c r="F2549" t="s">
        <v>2496</v>
      </c>
      <c r="G2549" t="s">
        <v>83</v>
      </c>
      <c r="H2549" t="s">
        <v>23</v>
      </c>
      <c r="I2549" t="s">
        <v>24</v>
      </c>
      <c r="J2549" t="s">
        <v>25</v>
      </c>
      <c r="K2549" t="s">
        <v>36</v>
      </c>
      <c r="L2549" t="s">
        <v>27</v>
      </c>
      <c r="M2549">
        <v>4</v>
      </c>
      <c r="N2549" s="2">
        <v>63</v>
      </c>
      <c r="O2549" s="3">
        <v>2616</v>
      </c>
      <c r="P2549">
        <v>0</v>
      </c>
      <c r="Q2549">
        <v>4</v>
      </c>
      <c r="R2549" t="s">
        <v>33</v>
      </c>
      <c r="S2549">
        <v>1</v>
      </c>
    </row>
    <row r="2550" spans="1:19" ht="16.5" x14ac:dyDescent="0.3">
      <c r="A2550" t="s">
        <v>2613</v>
      </c>
      <c r="B2550" s="1">
        <v>45639</v>
      </c>
      <c r="C2550" s="1">
        <v>45644</v>
      </c>
      <c r="D2550">
        <v>2024</v>
      </c>
      <c r="E2550" t="s">
        <v>2026</v>
      </c>
      <c r="F2550" t="s">
        <v>2496</v>
      </c>
      <c r="G2550" t="s">
        <v>83</v>
      </c>
      <c r="H2550" t="s">
        <v>52</v>
      </c>
      <c r="I2550" t="s">
        <v>40</v>
      </c>
      <c r="J2550" t="s">
        <v>25</v>
      </c>
      <c r="K2550" t="s">
        <v>36</v>
      </c>
      <c r="L2550" t="s">
        <v>27</v>
      </c>
      <c r="M2550">
        <v>5</v>
      </c>
      <c r="N2550" s="2"/>
      <c r="O2550" s="3">
        <v>5778</v>
      </c>
      <c r="P2550">
        <v>0</v>
      </c>
      <c r="Q2550">
        <v>4</v>
      </c>
      <c r="R2550" t="s">
        <v>28</v>
      </c>
      <c r="S2550">
        <v>1</v>
      </c>
    </row>
    <row r="2551" spans="1:19" ht="16.5" x14ac:dyDescent="0.3">
      <c r="A2551" t="s">
        <v>2614</v>
      </c>
      <c r="B2551" s="1">
        <v>45639</v>
      </c>
      <c r="C2551" s="1">
        <v>45642</v>
      </c>
      <c r="D2551">
        <v>2024</v>
      </c>
      <c r="E2551" t="s">
        <v>2026</v>
      </c>
      <c r="F2551" t="s">
        <v>2496</v>
      </c>
      <c r="G2551" t="s">
        <v>83</v>
      </c>
      <c r="H2551" t="s">
        <v>50</v>
      </c>
      <c r="I2551" t="s">
        <v>24</v>
      </c>
      <c r="J2551" t="s">
        <v>25</v>
      </c>
      <c r="K2551" t="s">
        <v>53</v>
      </c>
      <c r="L2551" t="s">
        <v>44</v>
      </c>
      <c r="M2551">
        <v>3</v>
      </c>
      <c r="N2551" s="2">
        <v>55</v>
      </c>
      <c r="O2551" s="3">
        <v>5282</v>
      </c>
      <c r="P2551">
        <v>0</v>
      </c>
      <c r="Q2551">
        <v>4</v>
      </c>
      <c r="R2551" t="s">
        <v>28</v>
      </c>
      <c r="S2551">
        <v>1</v>
      </c>
    </row>
    <row r="2552" spans="1:19" ht="16.5" x14ac:dyDescent="0.3">
      <c r="A2552" t="s">
        <v>2615</v>
      </c>
      <c r="B2552" s="1">
        <v>45639</v>
      </c>
      <c r="C2552" s="1">
        <v>45645</v>
      </c>
      <c r="D2552">
        <v>2024</v>
      </c>
      <c r="E2552" t="s">
        <v>2026</v>
      </c>
      <c r="F2552" t="s">
        <v>2496</v>
      </c>
      <c r="G2552" t="s">
        <v>83</v>
      </c>
      <c r="H2552" t="s">
        <v>23</v>
      </c>
      <c r="I2552" t="s">
        <v>24</v>
      </c>
      <c r="J2552" t="s">
        <v>43</v>
      </c>
      <c r="K2552" t="s">
        <v>26</v>
      </c>
      <c r="L2552" t="s">
        <v>37</v>
      </c>
      <c r="M2552">
        <v>6</v>
      </c>
      <c r="N2552" s="2">
        <v>35</v>
      </c>
      <c r="O2552" s="3">
        <v>4625</v>
      </c>
      <c r="P2552">
        <v>0</v>
      </c>
      <c r="Q2552">
        <v>4</v>
      </c>
      <c r="R2552" t="s">
        <v>33</v>
      </c>
      <c r="S2552">
        <v>1</v>
      </c>
    </row>
    <row r="2553" spans="1:19" ht="16.5" x14ac:dyDescent="0.3">
      <c r="A2553" t="s">
        <v>2616</v>
      </c>
      <c r="B2553" s="1">
        <v>45639</v>
      </c>
      <c r="C2553" s="1">
        <v>45644</v>
      </c>
      <c r="D2553">
        <v>2024</v>
      </c>
      <c r="E2553" t="s">
        <v>2026</v>
      </c>
      <c r="F2553" t="s">
        <v>2496</v>
      </c>
      <c r="G2553" t="s">
        <v>83</v>
      </c>
      <c r="H2553" t="s">
        <v>30</v>
      </c>
      <c r="I2553" t="s">
        <v>40</v>
      </c>
      <c r="J2553" t="s">
        <v>43</v>
      </c>
      <c r="K2553" t="s">
        <v>26</v>
      </c>
      <c r="L2553" t="s">
        <v>44</v>
      </c>
      <c r="M2553">
        <v>5</v>
      </c>
      <c r="N2553" s="2"/>
      <c r="O2553" s="3">
        <v>6685</v>
      </c>
      <c r="P2553">
        <v>0</v>
      </c>
      <c r="Q2553">
        <v>4</v>
      </c>
      <c r="R2553" t="s">
        <v>28</v>
      </c>
      <c r="S2553">
        <v>1</v>
      </c>
    </row>
    <row r="2554" spans="1:19" ht="16.5" x14ac:dyDescent="0.3">
      <c r="A2554" t="s">
        <v>2617</v>
      </c>
      <c r="B2554" s="1">
        <v>45639</v>
      </c>
      <c r="C2554" s="1">
        <v>45644</v>
      </c>
      <c r="D2554">
        <v>2024</v>
      </c>
      <c r="E2554" t="s">
        <v>2026</v>
      </c>
      <c r="F2554" t="s">
        <v>2496</v>
      </c>
      <c r="G2554" t="s">
        <v>83</v>
      </c>
      <c r="H2554" t="s">
        <v>30</v>
      </c>
      <c r="I2554" t="s">
        <v>40</v>
      </c>
      <c r="J2554" t="s">
        <v>43</v>
      </c>
      <c r="K2554" t="s">
        <v>53</v>
      </c>
      <c r="L2554" t="s">
        <v>44</v>
      </c>
      <c r="M2554">
        <v>5</v>
      </c>
      <c r="N2554" s="2"/>
      <c r="O2554" s="3">
        <v>7255</v>
      </c>
      <c r="P2554">
        <v>0</v>
      </c>
      <c r="Q2554">
        <v>4</v>
      </c>
      <c r="R2554" t="s">
        <v>28</v>
      </c>
      <c r="S2554">
        <v>1</v>
      </c>
    </row>
    <row r="2555" spans="1:19" ht="16.5" x14ac:dyDescent="0.3">
      <c r="A2555" t="s">
        <v>2618</v>
      </c>
      <c r="B2555" s="1">
        <v>45639</v>
      </c>
      <c r="C2555" s="1">
        <v>45644</v>
      </c>
      <c r="D2555">
        <v>2024</v>
      </c>
      <c r="E2555" t="s">
        <v>2026</v>
      </c>
      <c r="F2555" t="s">
        <v>2496</v>
      </c>
      <c r="G2555" t="s">
        <v>83</v>
      </c>
      <c r="H2555" t="s">
        <v>39</v>
      </c>
      <c r="I2555" t="s">
        <v>40</v>
      </c>
      <c r="J2555" t="s">
        <v>25</v>
      </c>
      <c r="K2555" t="s">
        <v>41</v>
      </c>
      <c r="L2555" t="s">
        <v>27</v>
      </c>
      <c r="M2555">
        <v>5</v>
      </c>
      <c r="N2555" s="2"/>
      <c r="O2555" s="3">
        <v>3820</v>
      </c>
      <c r="P2555">
        <v>0</v>
      </c>
      <c r="Q2555">
        <v>3</v>
      </c>
      <c r="R2555" t="s">
        <v>28</v>
      </c>
      <c r="S2555">
        <v>1</v>
      </c>
    </row>
    <row r="2556" spans="1:19" ht="16.5" x14ac:dyDescent="0.3">
      <c r="A2556" t="s">
        <v>2619</v>
      </c>
      <c r="B2556" s="1">
        <v>45639</v>
      </c>
      <c r="C2556" s="1">
        <v>45641</v>
      </c>
      <c r="D2556">
        <v>2024</v>
      </c>
      <c r="E2556" t="s">
        <v>2026</v>
      </c>
      <c r="F2556" t="s">
        <v>2496</v>
      </c>
      <c r="G2556" t="s">
        <v>83</v>
      </c>
      <c r="H2556" t="s">
        <v>52</v>
      </c>
      <c r="I2556" t="s">
        <v>40</v>
      </c>
      <c r="J2556" t="s">
        <v>43</v>
      </c>
      <c r="K2556" t="s">
        <v>32</v>
      </c>
      <c r="L2556" t="s">
        <v>44</v>
      </c>
      <c r="M2556">
        <v>2</v>
      </c>
      <c r="N2556" s="2"/>
      <c r="O2556" s="3">
        <v>2730</v>
      </c>
      <c r="P2556">
        <v>0</v>
      </c>
      <c r="Q2556">
        <v>4</v>
      </c>
      <c r="R2556" t="s">
        <v>33</v>
      </c>
      <c r="S2556">
        <v>1</v>
      </c>
    </row>
    <row r="2557" spans="1:19" ht="16.5" x14ac:dyDescent="0.3">
      <c r="A2557" t="s">
        <v>2620</v>
      </c>
      <c r="B2557" s="1">
        <v>45639</v>
      </c>
      <c r="C2557" s="1">
        <v>45653</v>
      </c>
      <c r="D2557">
        <v>2024</v>
      </c>
      <c r="E2557" t="s">
        <v>2026</v>
      </c>
      <c r="F2557" t="s">
        <v>2496</v>
      </c>
      <c r="G2557" t="s">
        <v>83</v>
      </c>
      <c r="H2557" t="s">
        <v>50</v>
      </c>
      <c r="I2557" t="s">
        <v>24</v>
      </c>
      <c r="J2557" t="s">
        <v>43</v>
      </c>
      <c r="K2557" t="s">
        <v>26</v>
      </c>
      <c r="L2557" t="s">
        <v>44</v>
      </c>
      <c r="M2557">
        <v>14</v>
      </c>
      <c r="N2557" s="2">
        <v>81</v>
      </c>
      <c r="O2557" s="3">
        <v>14205</v>
      </c>
      <c r="P2557">
        <v>0</v>
      </c>
      <c r="Q2557">
        <v>4</v>
      </c>
      <c r="R2557" t="s">
        <v>28</v>
      </c>
      <c r="S2557">
        <v>1</v>
      </c>
    </row>
    <row r="2558" spans="1:19" ht="16.5" x14ac:dyDescent="0.3">
      <c r="A2558" t="s">
        <v>2621</v>
      </c>
      <c r="B2558" s="1">
        <v>45639</v>
      </c>
      <c r="C2558" s="1">
        <v>45641</v>
      </c>
      <c r="D2558">
        <v>2024</v>
      </c>
      <c r="E2558" t="s">
        <v>2026</v>
      </c>
      <c r="F2558" t="s">
        <v>2496</v>
      </c>
      <c r="G2558" t="s">
        <v>83</v>
      </c>
      <c r="H2558" t="s">
        <v>52</v>
      </c>
      <c r="I2558" t="s">
        <v>40</v>
      </c>
      <c r="J2558" t="s">
        <v>43</v>
      </c>
      <c r="K2558" t="s">
        <v>32</v>
      </c>
      <c r="L2558" t="s">
        <v>27</v>
      </c>
      <c r="M2558">
        <v>2</v>
      </c>
      <c r="N2558" s="2"/>
      <c r="O2558" s="3">
        <v>1787</v>
      </c>
      <c r="P2558">
        <v>0</v>
      </c>
      <c r="Q2558">
        <v>4</v>
      </c>
      <c r="R2558" t="s">
        <v>28</v>
      </c>
      <c r="S2558">
        <v>1</v>
      </c>
    </row>
    <row r="2559" spans="1:19" ht="16.5" x14ac:dyDescent="0.3">
      <c r="A2559" t="s">
        <v>2622</v>
      </c>
      <c r="B2559" s="1">
        <v>45639</v>
      </c>
      <c r="C2559" s="1">
        <v>45644</v>
      </c>
      <c r="D2559">
        <v>2024</v>
      </c>
      <c r="E2559" t="s">
        <v>2026</v>
      </c>
      <c r="F2559" t="s">
        <v>2496</v>
      </c>
      <c r="G2559" t="s">
        <v>83</v>
      </c>
      <c r="H2559" t="s">
        <v>35</v>
      </c>
      <c r="I2559" t="s">
        <v>40</v>
      </c>
      <c r="J2559" t="s">
        <v>25</v>
      </c>
      <c r="K2559" t="s">
        <v>36</v>
      </c>
      <c r="L2559" t="s">
        <v>44</v>
      </c>
      <c r="M2559">
        <v>5</v>
      </c>
      <c r="N2559" s="2"/>
      <c r="O2559" s="3">
        <v>2646</v>
      </c>
      <c r="P2559">
        <v>0</v>
      </c>
      <c r="Q2559">
        <v>4</v>
      </c>
      <c r="R2559" t="s">
        <v>33</v>
      </c>
      <c r="S2559">
        <v>1</v>
      </c>
    </row>
    <row r="2560" spans="1:19" ht="16.5" x14ac:dyDescent="0.3">
      <c r="A2560" t="s">
        <v>2623</v>
      </c>
      <c r="B2560" s="1">
        <v>45639</v>
      </c>
      <c r="C2560" s="1">
        <v>45645</v>
      </c>
      <c r="D2560">
        <v>2024</v>
      </c>
      <c r="E2560" t="s">
        <v>2026</v>
      </c>
      <c r="F2560" t="s">
        <v>2496</v>
      </c>
      <c r="G2560" t="s">
        <v>83</v>
      </c>
      <c r="H2560" t="s">
        <v>39</v>
      </c>
      <c r="I2560" t="s">
        <v>24</v>
      </c>
      <c r="J2560" t="s">
        <v>43</v>
      </c>
      <c r="K2560" t="s">
        <v>41</v>
      </c>
      <c r="L2560" t="s">
        <v>37</v>
      </c>
      <c r="M2560">
        <v>6</v>
      </c>
      <c r="N2560" s="2">
        <v>236</v>
      </c>
      <c r="O2560" s="3">
        <v>4839</v>
      </c>
      <c r="P2560">
        <v>0</v>
      </c>
      <c r="Q2560">
        <v>4</v>
      </c>
      <c r="R2560" t="s">
        <v>33</v>
      </c>
      <c r="S2560">
        <v>1</v>
      </c>
    </row>
    <row r="2561" spans="1:19" ht="16.5" x14ac:dyDescent="0.3">
      <c r="A2561" t="s">
        <v>2624</v>
      </c>
      <c r="B2561" s="1">
        <v>45639</v>
      </c>
      <c r="C2561" s="1">
        <v>45641</v>
      </c>
      <c r="D2561">
        <v>2024</v>
      </c>
      <c r="E2561" t="s">
        <v>2026</v>
      </c>
      <c r="F2561" t="s">
        <v>2496</v>
      </c>
      <c r="G2561" t="s">
        <v>83</v>
      </c>
      <c r="H2561" t="s">
        <v>23</v>
      </c>
      <c r="I2561" t="s">
        <v>24</v>
      </c>
      <c r="J2561" t="s">
        <v>25</v>
      </c>
      <c r="K2561" t="s">
        <v>26</v>
      </c>
      <c r="L2561" t="s">
        <v>27</v>
      </c>
      <c r="M2561">
        <v>2</v>
      </c>
      <c r="N2561" s="2">
        <v>85</v>
      </c>
      <c r="O2561" s="3">
        <v>2102</v>
      </c>
      <c r="P2561">
        <v>0</v>
      </c>
      <c r="Q2561">
        <v>5</v>
      </c>
      <c r="R2561" t="s">
        <v>33</v>
      </c>
      <c r="S2561">
        <v>1</v>
      </c>
    </row>
    <row r="2562" spans="1:19" ht="16.5" x14ac:dyDescent="0.3">
      <c r="A2562" t="s">
        <v>2625</v>
      </c>
      <c r="B2562" s="1">
        <v>45639</v>
      </c>
      <c r="C2562" s="1">
        <v>45641</v>
      </c>
      <c r="D2562">
        <v>2024</v>
      </c>
      <c r="E2562" t="s">
        <v>2026</v>
      </c>
      <c r="F2562" t="s">
        <v>2496</v>
      </c>
      <c r="G2562" t="s">
        <v>83</v>
      </c>
      <c r="H2562" t="s">
        <v>30</v>
      </c>
      <c r="I2562" t="s">
        <v>40</v>
      </c>
      <c r="J2562" t="s">
        <v>25</v>
      </c>
      <c r="K2562" t="s">
        <v>26</v>
      </c>
      <c r="L2562" t="s">
        <v>27</v>
      </c>
      <c r="M2562">
        <v>2</v>
      </c>
      <c r="N2562" s="2"/>
      <c r="O2562" s="3">
        <v>3409</v>
      </c>
      <c r="P2562">
        <v>0</v>
      </c>
      <c r="Q2562">
        <v>3</v>
      </c>
      <c r="R2562" t="s">
        <v>28</v>
      </c>
      <c r="S2562">
        <v>1</v>
      </c>
    </row>
    <row r="2563" spans="1:19" ht="16.5" x14ac:dyDescent="0.3">
      <c r="A2563" t="s">
        <v>2626</v>
      </c>
      <c r="B2563" s="1">
        <v>45640</v>
      </c>
      <c r="C2563" s="1">
        <v>45645</v>
      </c>
      <c r="D2563">
        <v>2024</v>
      </c>
      <c r="E2563" t="s">
        <v>2026</v>
      </c>
      <c r="F2563" t="s">
        <v>2496</v>
      </c>
      <c r="G2563" t="s">
        <v>102</v>
      </c>
      <c r="H2563" t="s">
        <v>23</v>
      </c>
      <c r="I2563" t="s">
        <v>24</v>
      </c>
      <c r="J2563" t="s">
        <v>25</v>
      </c>
      <c r="K2563" t="s">
        <v>26</v>
      </c>
      <c r="L2563" t="s">
        <v>44</v>
      </c>
      <c r="M2563">
        <v>5</v>
      </c>
      <c r="N2563" s="2">
        <v>93</v>
      </c>
      <c r="O2563" s="3">
        <v>3534</v>
      </c>
      <c r="P2563">
        <v>0</v>
      </c>
      <c r="Q2563">
        <v>4</v>
      </c>
      <c r="R2563" t="s">
        <v>28</v>
      </c>
      <c r="S2563">
        <v>1</v>
      </c>
    </row>
    <row r="2564" spans="1:19" ht="16.5" x14ac:dyDescent="0.3">
      <c r="A2564" t="s">
        <v>2627</v>
      </c>
      <c r="B2564" s="1">
        <v>45640</v>
      </c>
      <c r="C2564" s="1">
        <v>45650</v>
      </c>
      <c r="D2564">
        <v>2024</v>
      </c>
      <c r="E2564" t="s">
        <v>2026</v>
      </c>
      <c r="F2564" t="s">
        <v>2496</v>
      </c>
      <c r="G2564" t="s">
        <v>102</v>
      </c>
      <c r="H2564" t="s">
        <v>50</v>
      </c>
      <c r="I2564" t="s">
        <v>24</v>
      </c>
      <c r="J2564" t="s">
        <v>43</v>
      </c>
      <c r="K2564" t="s">
        <v>36</v>
      </c>
      <c r="L2564" t="s">
        <v>37</v>
      </c>
      <c r="M2564">
        <v>10</v>
      </c>
      <c r="N2564" s="2">
        <v>102</v>
      </c>
      <c r="O2564" s="3">
        <v>15749</v>
      </c>
      <c r="P2564">
        <v>0</v>
      </c>
      <c r="Q2564">
        <v>3</v>
      </c>
      <c r="R2564" t="s">
        <v>28</v>
      </c>
      <c r="S2564">
        <v>1</v>
      </c>
    </row>
    <row r="2565" spans="1:19" ht="16.5" x14ac:dyDescent="0.3">
      <c r="A2565" t="s">
        <v>2628</v>
      </c>
      <c r="B2565" s="1">
        <v>45640</v>
      </c>
      <c r="C2565" s="1">
        <v>45646</v>
      </c>
      <c r="D2565">
        <v>2024</v>
      </c>
      <c r="E2565" t="s">
        <v>2026</v>
      </c>
      <c r="F2565" t="s">
        <v>2496</v>
      </c>
      <c r="G2565" t="s">
        <v>102</v>
      </c>
      <c r="H2565" t="s">
        <v>30</v>
      </c>
      <c r="I2565" t="s">
        <v>24</v>
      </c>
      <c r="J2565" t="s">
        <v>25</v>
      </c>
      <c r="K2565" t="s">
        <v>32</v>
      </c>
      <c r="L2565" t="s">
        <v>37</v>
      </c>
      <c r="M2565">
        <v>6</v>
      </c>
      <c r="N2565" s="2">
        <v>47</v>
      </c>
      <c r="O2565" s="3">
        <v>7654</v>
      </c>
      <c r="P2565">
        <v>0</v>
      </c>
      <c r="Q2565">
        <v>5</v>
      </c>
      <c r="R2565" t="s">
        <v>28</v>
      </c>
      <c r="S2565">
        <v>1</v>
      </c>
    </row>
    <row r="2566" spans="1:19" ht="16.5" x14ac:dyDescent="0.3">
      <c r="A2566" t="s">
        <v>2629</v>
      </c>
      <c r="B2566" s="1">
        <v>45640</v>
      </c>
      <c r="C2566" s="1">
        <v>45647</v>
      </c>
      <c r="D2566">
        <v>2024</v>
      </c>
      <c r="E2566" t="s">
        <v>2026</v>
      </c>
      <c r="F2566" t="s">
        <v>2496</v>
      </c>
      <c r="G2566" t="s">
        <v>102</v>
      </c>
      <c r="H2566" t="s">
        <v>30</v>
      </c>
      <c r="I2566" t="s">
        <v>40</v>
      </c>
      <c r="J2566" t="s">
        <v>43</v>
      </c>
      <c r="K2566" t="s">
        <v>26</v>
      </c>
      <c r="L2566" t="s">
        <v>44</v>
      </c>
      <c r="M2566">
        <v>7</v>
      </c>
      <c r="N2566" s="2"/>
      <c r="O2566" s="3">
        <v>7300</v>
      </c>
      <c r="P2566">
        <v>1</v>
      </c>
      <c r="Q2566">
        <v>4</v>
      </c>
      <c r="R2566" t="s">
        <v>28</v>
      </c>
      <c r="S2566">
        <v>1</v>
      </c>
    </row>
    <row r="2567" spans="1:19" ht="16.5" x14ac:dyDescent="0.3">
      <c r="A2567" t="s">
        <v>2630</v>
      </c>
      <c r="B2567" s="1">
        <v>45640</v>
      </c>
      <c r="C2567" s="1">
        <v>45646</v>
      </c>
      <c r="D2567">
        <v>2024</v>
      </c>
      <c r="E2567" t="s">
        <v>2026</v>
      </c>
      <c r="F2567" t="s">
        <v>2496</v>
      </c>
      <c r="G2567" t="s">
        <v>102</v>
      </c>
      <c r="H2567" t="s">
        <v>50</v>
      </c>
      <c r="I2567" t="s">
        <v>24</v>
      </c>
      <c r="J2567" t="s">
        <v>25</v>
      </c>
      <c r="K2567" t="s">
        <v>32</v>
      </c>
      <c r="L2567" t="s">
        <v>44</v>
      </c>
      <c r="M2567">
        <v>6</v>
      </c>
      <c r="N2567" s="2">
        <v>51</v>
      </c>
      <c r="O2567" s="3">
        <v>7571</v>
      </c>
      <c r="P2567">
        <v>0</v>
      </c>
      <c r="Q2567">
        <v>3</v>
      </c>
      <c r="R2567" t="s">
        <v>28</v>
      </c>
      <c r="S2567">
        <v>1</v>
      </c>
    </row>
    <row r="2568" spans="1:19" ht="16.5" x14ac:dyDescent="0.3">
      <c r="A2568" t="s">
        <v>2631</v>
      </c>
      <c r="B2568" s="1">
        <v>45640</v>
      </c>
      <c r="C2568" s="1">
        <v>45643</v>
      </c>
      <c r="D2568">
        <v>2024</v>
      </c>
      <c r="E2568" t="s">
        <v>2026</v>
      </c>
      <c r="F2568" t="s">
        <v>2496</v>
      </c>
      <c r="G2568" t="s">
        <v>102</v>
      </c>
      <c r="H2568" t="s">
        <v>39</v>
      </c>
      <c r="I2568" t="s">
        <v>24</v>
      </c>
      <c r="J2568" t="s">
        <v>25</v>
      </c>
      <c r="K2568" t="s">
        <v>41</v>
      </c>
      <c r="L2568" t="s">
        <v>27</v>
      </c>
      <c r="M2568">
        <v>3</v>
      </c>
      <c r="N2568" s="2">
        <v>20</v>
      </c>
      <c r="O2568" s="3">
        <v>2011</v>
      </c>
      <c r="P2568">
        <v>0</v>
      </c>
      <c r="Q2568">
        <v>4</v>
      </c>
      <c r="R2568" t="s">
        <v>33</v>
      </c>
      <c r="S2568">
        <v>1</v>
      </c>
    </row>
    <row r="2569" spans="1:19" ht="16.5" x14ac:dyDescent="0.3">
      <c r="A2569" t="s">
        <v>2632</v>
      </c>
      <c r="B2569" s="1">
        <v>45640</v>
      </c>
      <c r="C2569" s="1">
        <v>45650</v>
      </c>
      <c r="D2569">
        <v>2024</v>
      </c>
      <c r="E2569" t="s">
        <v>2026</v>
      </c>
      <c r="F2569" t="s">
        <v>2496</v>
      </c>
      <c r="G2569" t="s">
        <v>102</v>
      </c>
      <c r="H2569" t="s">
        <v>23</v>
      </c>
      <c r="I2569" t="s">
        <v>24</v>
      </c>
      <c r="J2569" t="s">
        <v>43</v>
      </c>
      <c r="K2569" t="s">
        <v>26</v>
      </c>
      <c r="L2569" t="s">
        <v>37</v>
      </c>
      <c r="M2569">
        <v>10</v>
      </c>
      <c r="N2569" s="2">
        <v>44</v>
      </c>
      <c r="O2569" s="3">
        <v>6639</v>
      </c>
      <c r="P2569">
        <v>0</v>
      </c>
      <c r="Q2569">
        <v>4</v>
      </c>
      <c r="R2569" t="s">
        <v>28</v>
      </c>
      <c r="S2569">
        <v>1</v>
      </c>
    </row>
    <row r="2570" spans="1:19" ht="16.5" x14ac:dyDescent="0.3">
      <c r="A2570" t="s">
        <v>2633</v>
      </c>
      <c r="B2570" s="1">
        <v>45640</v>
      </c>
      <c r="C2570" s="1">
        <v>45645</v>
      </c>
      <c r="D2570">
        <v>2024</v>
      </c>
      <c r="E2570" t="s">
        <v>2026</v>
      </c>
      <c r="F2570" t="s">
        <v>2496</v>
      </c>
      <c r="G2570" t="s">
        <v>102</v>
      </c>
      <c r="H2570" t="s">
        <v>30</v>
      </c>
      <c r="I2570" t="s">
        <v>40</v>
      </c>
      <c r="J2570" t="s">
        <v>25</v>
      </c>
      <c r="K2570" t="s">
        <v>36</v>
      </c>
      <c r="L2570" t="s">
        <v>44</v>
      </c>
      <c r="M2570">
        <v>5</v>
      </c>
      <c r="N2570" s="2"/>
      <c r="O2570" s="3">
        <v>7071</v>
      </c>
      <c r="P2570">
        <v>0</v>
      </c>
      <c r="Q2570">
        <v>5</v>
      </c>
      <c r="R2570" t="s">
        <v>33</v>
      </c>
      <c r="S2570">
        <v>1</v>
      </c>
    </row>
    <row r="2571" spans="1:19" ht="16.5" x14ac:dyDescent="0.3">
      <c r="A2571" t="s">
        <v>2634</v>
      </c>
      <c r="B2571" s="1">
        <v>45641</v>
      </c>
      <c r="C2571" s="1">
        <v>45645</v>
      </c>
      <c r="D2571">
        <v>2024</v>
      </c>
      <c r="E2571" t="s">
        <v>2026</v>
      </c>
      <c r="F2571" t="s">
        <v>2496</v>
      </c>
      <c r="G2571" t="s">
        <v>112</v>
      </c>
      <c r="H2571" t="s">
        <v>52</v>
      </c>
      <c r="I2571" t="s">
        <v>40</v>
      </c>
      <c r="J2571" t="s">
        <v>25</v>
      </c>
      <c r="K2571" t="s">
        <v>26</v>
      </c>
      <c r="L2571" t="s">
        <v>44</v>
      </c>
      <c r="M2571">
        <v>4</v>
      </c>
      <c r="N2571" s="2"/>
      <c r="O2571" s="3">
        <v>4604</v>
      </c>
      <c r="P2571">
        <v>0</v>
      </c>
      <c r="Q2571">
        <v>5</v>
      </c>
      <c r="R2571" t="s">
        <v>28</v>
      </c>
      <c r="S2571">
        <v>1</v>
      </c>
    </row>
    <row r="2572" spans="1:19" ht="16.5" x14ac:dyDescent="0.3">
      <c r="A2572" t="s">
        <v>2635</v>
      </c>
      <c r="B2572" s="1">
        <v>45641</v>
      </c>
      <c r="C2572" s="1">
        <v>45649</v>
      </c>
      <c r="D2572">
        <v>2024</v>
      </c>
      <c r="E2572" t="s">
        <v>2026</v>
      </c>
      <c r="F2572" t="s">
        <v>2496</v>
      </c>
      <c r="G2572" t="s">
        <v>112</v>
      </c>
      <c r="H2572" t="s">
        <v>30</v>
      </c>
      <c r="I2572" t="s">
        <v>40</v>
      </c>
      <c r="J2572" t="s">
        <v>43</v>
      </c>
      <c r="K2572" t="s">
        <v>53</v>
      </c>
      <c r="L2572" t="s">
        <v>44</v>
      </c>
      <c r="M2572">
        <v>8</v>
      </c>
      <c r="N2572" s="2"/>
      <c r="O2572" s="3">
        <v>6936</v>
      </c>
      <c r="P2572">
        <v>0</v>
      </c>
      <c r="Q2572">
        <v>4</v>
      </c>
      <c r="R2572" t="s">
        <v>33</v>
      </c>
      <c r="S2572">
        <v>1</v>
      </c>
    </row>
    <row r="2573" spans="1:19" ht="16.5" x14ac:dyDescent="0.3">
      <c r="A2573" t="s">
        <v>2636</v>
      </c>
      <c r="B2573" s="1">
        <v>45641</v>
      </c>
      <c r="C2573" s="1">
        <v>45655</v>
      </c>
      <c r="D2573">
        <v>2024</v>
      </c>
      <c r="E2573" t="s">
        <v>2026</v>
      </c>
      <c r="F2573" t="s">
        <v>2496</v>
      </c>
      <c r="G2573" t="s">
        <v>112</v>
      </c>
      <c r="H2573" t="s">
        <v>50</v>
      </c>
      <c r="I2573" t="s">
        <v>24</v>
      </c>
      <c r="J2573" t="s">
        <v>43</v>
      </c>
      <c r="K2573" t="s">
        <v>36</v>
      </c>
      <c r="L2573" t="s">
        <v>27</v>
      </c>
      <c r="M2573">
        <v>14</v>
      </c>
      <c r="N2573" s="2">
        <v>64</v>
      </c>
      <c r="O2573" s="3">
        <v>15114</v>
      </c>
      <c r="P2573">
        <v>0</v>
      </c>
      <c r="Q2573">
        <v>4</v>
      </c>
      <c r="R2573" t="s">
        <v>28</v>
      </c>
      <c r="S2573">
        <v>1</v>
      </c>
    </row>
    <row r="2574" spans="1:19" ht="16.5" x14ac:dyDescent="0.3">
      <c r="A2574" t="s">
        <v>2637</v>
      </c>
      <c r="B2574" s="1">
        <v>45641</v>
      </c>
      <c r="C2574" s="1">
        <v>45659</v>
      </c>
      <c r="D2574">
        <v>2024</v>
      </c>
      <c r="E2574" t="s">
        <v>2026</v>
      </c>
      <c r="F2574" t="s">
        <v>2496</v>
      </c>
      <c r="G2574" t="s">
        <v>112</v>
      </c>
      <c r="H2574" t="s">
        <v>50</v>
      </c>
      <c r="I2574" t="s">
        <v>24</v>
      </c>
      <c r="J2574" t="s">
        <v>25</v>
      </c>
      <c r="K2574" t="s">
        <v>26</v>
      </c>
      <c r="L2574" t="s">
        <v>27</v>
      </c>
      <c r="M2574">
        <v>18</v>
      </c>
      <c r="N2574" s="2">
        <v>61</v>
      </c>
      <c r="O2574" s="3">
        <v>21892</v>
      </c>
      <c r="P2574">
        <v>0</v>
      </c>
      <c r="Q2574">
        <v>5</v>
      </c>
      <c r="R2574" t="s">
        <v>33</v>
      </c>
      <c r="S2574">
        <v>1</v>
      </c>
    </row>
    <row r="2575" spans="1:19" ht="16.5" x14ac:dyDescent="0.3">
      <c r="A2575" t="s">
        <v>2638</v>
      </c>
      <c r="B2575" s="1">
        <v>45641</v>
      </c>
      <c r="C2575" s="1">
        <v>45650</v>
      </c>
      <c r="D2575">
        <v>2024</v>
      </c>
      <c r="E2575" t="s">
        <v>2026</v>
      </c>
      <c r="F2575" t="s">
        <v>2496</v>
      </c>
      <c r="G2575" t="s">
        <v>112</v>
      </c>
      <c r="H2575" t="s">
        <v>23</v>
      </c>
      <c r="I2575" t="s">
        <v>24</v>
      </c>
      <c r="J2575" t="s">
        <v>43</v>
      </c>
      <c r="K2575" t="s">
        <v>32</v>
      </c>
      <c r="L2575" t="s">
        <v>44</v>
      </c>
      <c r="M2575">
        <v>9</v>
      </c>
      <c r="N2575" s="2">
        <v>38</v>
      </c>
      <c r="O2575" s="3">
        <v>7221</v>
      </c>
      <c r="P2575">
        <v>1</v>
      </c>
      <c r="Q2575">
        <v>5</v>
      </c>
      <c r="R2575" t="s">
        <v>33</v>
      </c>
      <c r="S2575">
        <v>1</v>
      </c>
    </row>
    <row r="2576" spans="1:19" ht="16.5" x14ac:dyDescent="0.3">
      <c r="A2576" t="s">
        <v>2639</v>
      </c>
      <c r="B2576" s="1">
        <v>45641</v>
      </c>
      <c r="C2576" s="1">
        <v>45645</v>
      </c>
      <c r="D2576">
        <v>2024</v>
      </c>
      <c r="E2576" t="s">
        <v>2026</v>
      </c>
      <c r="F2576" t="s">
        <v>2496</v>
      </c>
      <c r="G2576" t="s">
        <v>112</v>
      </c>
      <c r="H2576" t="s">
        <v>39</v>
      </c>
      <c r="I2576" t="s">
        <v>24</v>
      </c>
      <c r="J2576" t="s">
        <v>43</v>
      </c>
      <c r="K2576" t="s">
        <v>41</v>
      </c>
      <c r="L2576" t="s">
        <v>44</v>
      </c>
      <c r="M2576">
        <v>4</v>
      </c>
      <c r="N2576" s="2">
        <v>62</v>
      </c>
      <c r="O2576" s="3">
        <v>3483</v>
      </c>
      <c r="P2576">
        <v>0</v>
      </c>
      <c r="Q2576">
        <v>4</v>
      </c>
      <c r="R2576" t="s">
        <v>59</v>
      </c>
      <c r="S2576">
        <v>1</v>
      </c>
    </row>
    <row r="2577" spans="1:19" ht="16.5" x14ac:dyDescent="0.3">
      <c r="A2577" t="s">
        <v>2640</v>
      </c>
      <c r="B2577" s="1">
        <v>45641</v>
      </c>
      <c r="C2577" s="1">
        <v>45643</v>
      </c>
      <c r="D2577">
        <v>2024</v>
      </c>
      <c r="E2577" t="s">
        <v>2026</v>
      </c>
      <c r="F2577" t="s">
        <v>2496</v>
      </c>
      <c r="G2577" t="s">
        <v>112</v>
      </c>
      <c r="H2577" t="s">
        <v>39</v>
      </c>
      <c r="I2577" t="s">
        <v>24</v>
      </c>
      <c r="J2577" t="s">
        <v>43</v>
      </c>
      <c r="K2577" t="s">
        <v>41</v>
      </c>
      <c r="L2577" t="s">
        <v>44</v>
      </c>
      <c r="M2577">
        <v>2</v>
      </c>
      <c r="N2577" s="2">
        <v>103</v>
      </c>
      <c r="O2577" s="3">
        <v>1433</v>
      </c>
      <c r="P2577">
        <v>0</v>
      </c>
      <c r="Q2577">
        <v>4</v>
      </c>
      <c r="R2577" t="s">
        <v>59</v>
      </c>
      <c r="S2577">
        <v>1</v>
      </c>
    </row>
    <row r="2578" spans="1:19" ht="16.5" x14ac:dyDescent="0.3">
      <c r="A2578" t="s">
        <v>2641</v>
      </c>
      <c r="B2578" s="1">
        <v>45641</v>
      </c>
      <c r="C2578" s="1">
        <v>45648</v>
      </c>
      <c r="D2578">
        <v>2024</v>
      </c>
      <c r="E2578" t="s">
        <v>2026</v>
      </c>
      <c r="F2578" t="s">
        <v>2496</v>
      </c>
      <c r="G2578" t="s">
        <v>112</v>
      </c>
      <c r="H2578" t="s">
        <v>30</v>
      </c>
      <c r="I2578" t="s">
        <v>40</v>
      </c>
      <c r="J2578" t="s">
        <v>43</v>
      </c>
      <c r="K2578" t="s">
        <v>32</v>
      </c>
      <c r="L2578" t="s">
        <v>27</v>
      </c>
      <c r="M2578">
        <v>7</v>
      </c>
      <c r="N2578" s="2"/>
      <c r="O2578" s="3">
        <v>8224</v>
      </c>
      <c r="P2578">
        <v>0</v>
      </c>
      <c r="Q2578">
        <v>4</v>
      </c>
      <c r="R2578" t="s">
        <v>165</v>
      </c>
      <c r="S2578">
        <v>1</v>
      </c>
    </row>
    <row r="2579" spans="1:19" ht="16.5" x14ac:dyDescent="0.3">
      <c r="A2579" t="s">
        <v>2642</v>
      </c>
      <c r="B2579" s="1">
        <v>45642</v>
      </c>
      <c r="C2579" s="1">
        <v>45644</v>
      </c>
      <c r="D2579">
        <v>2024</v>
      </c>
      <c r="E2579" t="s">
        <v>2026</v>
      </c>
      <c r="F2579" t="s">
        <v>2496</v>
      </c>
      <c r="G2579" t="s">
        <v>22</v>
      </c>
      <c r="H2579" t="s">
        <v>52</v>
      </c>
      <c r="I2579" t="s">
        <v>40</v>
      </c>
      <c r="J2579" t="s">
        <v>25</v>
      </c>
      <c r="K2579" t="s">
        <v>53</v>
      </c>
      <c r="L2579" t="s">
        <v>27</v>
      </c>
      <c r="M2579">
        <v>2</v>
      </c>
      <c r="N2579" s="2"/>
      <c r="O2579" s="3">
        <v>2907</v>
      </c>
      <c r="P2579">
        <v>0</v>
      </c>
      <c r="Q2579">
        <v>4</v>
      </c>
      <c r="R2579" t="s">
        <v>33</v>
      </c>
      <c r="S2579">
        <v>1</v>
      </c>
    </row>
    <row r="2580" spans="1:19" ht="16.5" x14ac:dyDescent="0.3">
      <c r="A2580" t="s">
        <v>2643</v>
      </c>
      <c r="B2580" s="1">
        <v>45642</v>
      </c>
      <c r="C2580" s="1">
        <v>45647</v>
      </c>
      <c r="D2580">
        <v>2024</v>
      </c>
      <c r="E2580" t="s">
        <v>2026</v>
      </c>
      <c r="F2580" t="s">
        <v>2496</v>
      </c>
      <c r="G2580" t="s">
        <v>22</v>
      </c>
      <c r="H2580" t="s">
        <v>30</v>
      </c>
      <c r="I2580" t="s">
        <v>40</v>
      </c>
      <c r="J2580" t="s">
        <v>25</v>
      </c>
      <c r="K2580" t="s">
        <v>26</v>
      </c>
      <c r="L2580" t="s">
        <v>27</v>
      </c>
      <c r="M2580">
        <v>5</v>
      </c>
      <c r="N2580" s="2"/>
      <c r="O2580" s="3">
        <v>6087</v>
      </c>
      <c r="P2580">
        <v>0</v>
      </c>
      <c r="Q2580">
        <v>5</v>
      </c>
      <c r="R2580" t="s">
        <v>28</v>
      </c>
      <c r="S2580">
        <v>1</v>
      </c>
    </row>
    <row r="2581" spans="1:19" ht="16.5" x14ac:dyDescent="0.3">
      <c r="A2581" t="s">
        <v>2644</v>
      </c>
      <c r="B2581" s="1">
        <v>45642</v>
      </c>
      <c r="C2581" s="1">
        <v>45665</v>
      </c>
      <c r="D2581">
        <v>2024</v>
      </c>
      <c r="E2581" t="s">
        <v>2026</v>
      </c>
      <c r="F2581" t="s">
        <v>2496</v>
      </c>
      <c r="G2581" t="s">
        <v>22</v>
      </c>
      <c r="H2581" t="s">
        <v>23</v>
      </c>
      <c r="I2581" t="s">
        <v>24</v>
      </c>
      <c r="J2581" t="s">
        <v>25</v>
      </c>
      <c r="K2581" t="s">
        <v>53</v>
      </c>
      <c r="L2581" t="s">
        <v>44</v>
      </c>
      <c r="M2581">
        <v>23</v>
      </c>
      <c r="N2581" s="2">
        <v>34</v>
      </c>
      <c r="O2581" s="3">
        <v>15036</v>
      </c>
      <c r="P2581">
        <v>0</v>
      </c>
      <c r="Q2581">
        <v>5</v>
      </c>
      <c r="R2581" t="s">
        <v>33</v>
      </c>
      <c r="S2581">
        <v>1</v>
      </c>
    </row>
    <row r="2582" spans="1:19" ht="16.5" x14ac:dyDescent="0.3">
      <c r="A2582" t="s">
        <v>2645</v>
      </c>
      <c r="B2582" s="1">
        <v>45642</v>
      </c>
      <c r="C2582" s="1">
        <v>45643</v>
      </c>
      <c r="D2582">
        <v>2024</v>
      </c>
      <c r="E2582" t="s">
        <v>2026</v>
      </c>
      <c r="F2582" t="s">
        <v>2496</v>
      </c>
      <c r="G2582" t="s">
        <v>22</v>
      </c>
      <c r="H2582" t="s">
        <v>39</v>
      </c>
      <c r="I2582" t="s">
        <v>40</v>
      </c>
      <c r="J2582" t="s">
        <v>43</v>
      </c>
      <c r="K2582" t="s">
        <v>41</v>
      </c>
      <c r="L2582" t="s">
        <v>44</v>
      </c>
      <c r="M2582">
        <v>1</v>
      </c>
      <c r="N2582" s="2"/>
      <c r="O2582" s="3">
        <v>929</v>
      </c>
      <c r="P2582">
        <v>0</v>
      </c>
      <c r="Q2582">
        <v>4</v>
      </c>
      <c r="R2582" t="s">
        <v>28</v>
      </c>
      <c r="S2582">
        <v>1</v>
      </c>
    </row>
    <row r="2583" spans="1:19" ht="16.5" x14ac:dyDescent="0.3">
      <c r="A2583" t="s">
        <v>2646</v>
      </c>
      <c r="B2583" s="1">
        <v>45642</v>
      </c>
      <c r="C2583" s="1">
        <v>45647</v>
      </c>
      <c r="D2583">
        <v>2024</v>
      </c>
      <c r="E2583" t="s">
        <v>2026</v>
      </c>
      <c r="F2583" t="s">
        <v>2496</v>
      </c>
      <c r="G2583" t="s">
        <v>22</v>
      </c>
      <c r="H2583" t="s">
        <v>35</v>
      </c>
      <c r="I2583" t="s">
        <v>40</v>
      </c>
      <c r="J2583" t="s">
        <v>25</v>
      </c>
      <c r="K2583" t="s">
        <v>32</v>
      </c>
      <c r="L2583" t="s">
        <v>27</v>
      </c>
      <c r="M2583">
        <v>5</v>
      </c>
      <c r="N2583" s="2"/>
      <c r="O2583" s="3">
        <v>3462</v>
      </c>
      <c r="P2583">
        <v>0</v>
      </c>
      <c r="Q2583">
        <v>5</v>
      </c>
      <c r="R2583" t="s">
        <v>33</v>
      </c>
      <c r="S2583">
        <v>1</v>
      </c>
    </row>
    <row r="2584" spans="1:19" ht="16.5" x14ac:dyDescent="0.3">
      <c r="A2584" t="s">
        <v>2647</v>
      </c>
      <c r="B2584" s="1">
        <v>45642</v>
      </c>
      <c r="C2584" s="1">
        <v>45643</v>
      </c>
      <c r="D2584">
        <v>2024</v>
      </c>
      <c r="E2584" t="s">
        <v>2026</v>
      </c>
      <c r="F2584" t="s">
        <v>2496</v>
      </c>
      <c r="G2584" t="s">
        <v>22</v>
      </c>
      <c r="H2584" t="s">
        <v>30</v>
      </c>
      <c r="I2584" t="s">
        <v>24</v>
      </c>
      <c r="J2584" t="s">
        <v>43</v>
      </c>
      <c r="K2584" t="s">
        <v>36</v>
      </c>
      <c r="L2584" t="s">
        <v>27</v>
      </c>
      <c r="M2584">
        <v>1</v>
      </c>
      <c r="N2584" s="2">
        <v>101</v>
      </c>
      <c r="O2584" s="3">
        <v>1906</v>
      </c>
      <c r="P2584">
        <v>0</v>
      </c>
      <c r="Q2584">
        <v>4</v>
      </c>
      <c r="R2584" t="s">
        <v>28</v>
      </c>
      <c r="S2584">
        <v>1</v>
      </c>
    </row>
    <row r="2585" spans="1:19" ht="16.5" x14ac:dyDescent="0.3">
      <c r="A2585" t="s">
        <v>2648</v>
      </c>
      <c r="B2585" s="1">
        <v>45642</v>
      </c>
      <c r="C2585" s="1">
        <v>45643</v>
      </c>
      <c r="D2585">
        <v>2024</v>
      </c>
      <c r="E2585" t="s">
        <v>2026</v>
      </c>
      <c r="F2585" t="s">
        <v>2496</v>
      </c>
      <c r="G2585" t="s">
        <v>22</v>
      </c>
      <c r="H2585" t="s">
        <v>23</v>
      </c>
      <c r="I2585" t="s">
        <v>40</v>
      </c>
      <c r="J2585" t="s">
        <v>25</v>
      </c>
      <c r="K2585" t="s">
        <v>53</v>
      </c>
      <c r="L2585" t="s">
        <v>44</v>
      </c>
      <c r="M2585">
        <v>1</v>
      </c>
      <c r="N2585" s="2"/>
      <c r="O2585" s="3">
        <v>1918</v>
      </c>
      <c r="P2585">
        <v>0</v>
      </c>
      <c r="Q2585">
        <v>4</v>
      </c>
      <c r="R2585" t="s">
        <v>28</v>
      </c>
      <c r="S2585">
        <v>1</v>
      </c>
    </row>
    <row r="2586" spans="1:19" ht="16.5" x14ac:dyDescent="0.3">
      <c r="A2586" t="s">
        <v>2649</v>
      </c>
      <c r="B2586" s="1">
        <v>45642</v>
      </c>
      <c r="C2586" s="1">
        <v>45644</v>
      </c>
      <c r="D2586">
        <v>2024</v>
      </c>
      <c r="E2586" t="s">
        <v>2026</v>
      </c>
      <c r="F2586" t="s">
        <v>2496</v>
      </c>
      <c r="G2586" t="s">
        <v>22</v>
      </c>
      <c r="H2586" t="s">
        <v>39</v>
      </c>
      <c r="I2586" t="s">
        <v>24</v>
      </c>
      <c r="J2586" t="s">
        <v>43</v>
      </c>
      <c r="K2586" t="s">
        <v>41</v>
      </c>
      <c r="L2586" t="s">
        <v>27</v>
      </c>
      <c r="M2586">
        <v>2</v>
      </c>
      <c r="N2586" s="2">
        <v>116</v>
      </c>
      <c r="O2586" s="3">
        <v>1794</v>
      </c>
      <c r="P2586">
        <v>0</v>
      </c>
      <c r="Q2586">
        <v>4</v>
      </c>
      <c r="R2586" t="s">
        <v>33</v>
      </c>
      <c r="S2586">
        <v>1</v>
      </c>
    </row>
    <row r="2587" spans="1:19" ht="16.5" x14ac:dyDescent="0.3">
      <c r="A2587" t="s">
        <v>2650</v>
      </c>
      <c r="B2587" s="1">
        <v>45642</v>
      </c>
      <c r="C2587" s="1">
        <v>45645</v>
      </c>
      <c r="D2587">
        <v>2024</v>
      </c>
      <c r="E2587" t="s">
        <v>2026</v>
      </c>
      <c r="F2587" t="s">
        <v>2496</v>
      </c>
      <c r="G2587" t="s">
        <v>22</v>
      </c>
      <c r="H2587" t="s">
        <v>30</v>
      </c>
      <c r="I2587" t="s">
        <v>40</v>
      </c>
      <c r="J2587" t="s">
        <v>43</v>
      </c>
      <c r="K2587" t="s">
        <v>26</v>
      </c>
      <c r="L2587" t="s">
        <v>44</v>
      </c>
      <c r="M2587">
        <v>3</v>
      </c>
      <c r="N2587" s="2"/>
      <c r="O2587" s="3">
        <v>5126</v>
      </c>
      <c r="P2587">
        <v>0</v>
      </c>
      <c r="Q2587">
        <v>4</v>
      </c>
      <c r="R2587" t="s">
        <v>33</v>
      </c>
      <c r="S2587">
        <v>1</v>
      </c>
    </row>
    <row r="2588" spans="1:19" ht="16.5" x14ac:dyDescent="0.3">
      <c r="A2588" t="s">
        <v>2651</v>
      </c>
      <c r="B2588" s="1">
        <v>45642</v>
      </c>
      <c r="C2588" s="1">
        <v>45650</v>
      </c>
      <c r="D2588">
        <v>2024</v>
      </c>
      <c r="E2588" t="s">
        <v>2026</v>
      </c>
      <c r="F2588" t="s">
        <v>2496</v>
      </c>
      <c r="G2588" t="s">
        <v>22</v>
      </c>
      <c r="H2588" t="s">
        <v>23</v>
      </c>
      <c r="I2588" t="s">
        <v>24</v>
      </c>
      <c r="J2588" t="s">
        <v>25</v>
      </c>
      <c r="K2588" t="s">
        <v>53</v>
      </c>
      <c r="L2588" t="s">
        <v>44</v>
      </c>
      <c r="M2588">
        <v>8</v>
      </c>
      <c r="N2588" s="2">
        <v>36</v>
      </c>
      <c r="O2588" s="3">
        <v>4858</v>
      </c>
      <c r="P2588">
        <v>0</v>
      </c>
      <c r="Q2588">
        <v>4</v>
      </c>
      <c r="R2588" t="s">
        <v>33</v>
      </c>
      <c r="S2588">
        <v>1</v>
      </c>
    </row>
    <row r="2589" spans="1:19" ht="16.5" x14ac:dyDescent="0.3">
      <c r="A2589" t="s">
        <v>2652</v>
      </c>
      <c r="B2589" s="1">
        <v>45642</v>
      </c>
      <c r="C2589" s="1">
        <v>45646</v>
      </c>
      <c r="D2589">
        <v>2024</v>
      </c>
      <c r="E2589" t="s">
        <v>2026</v>
      </c>
      <c r="F2589" t="s">
        <v>2496</v>
      </c>
      <c r="G2589" t="s">
        <v>22</v>
      </c>
      <c r="H2589" t="s">
        <v>50</v>
      </c>
      <c r="I2589" t="s">
        <v>24</v>
      </c>
      <c r="J2589" t="s">
        <v>43</v>
      </c>
      <c r="K2589" t="s">
        <v>53</v>
      </c>
      <c r="L2589" t="s">
        <v>44</v>
      </c>
      <c r="M2589">
        <v>4</v>
      </c>
      <c r="N2589" s="2">
        <v>54</v>
      </c>
      <c r="O2589" s="3">
        <v>6013</v>
      </c>
      <c r="P2589">
        <v>0</v>
      </c>
      <c r="Q2589">
        <v>5</v>
      </c>
      <c r="R2589" t="s">
        <v>28</v>
      </c>
      <c r="S2589">
        <v>1</v>
      </c>
    </row>
    <row r="2590" spans="1:19" ht="16.5" x14ac:dyDescent="0.3">
      <c r="A2590" t="s">
        <v>2653</v>
      </c>
      <c r="B2590" s="1">
        <v>45642</v>
      </c>
      <c r="C2590" s="1">
        <v>45644</v>
      </c>
      <c r="D2590">
        <v>2024</v>
      </c>
      <c r="E2590" t="s">
        <v>2026</v>
      </c>
      <c r="F2590" t="s">
        <v>2496</v>
      </c>
      <c r="G2590" t="s">
        <v>22</v>
      </c>
      <c r="H2590" t="s">
        <v>50</v>
      </c>
      <c r="I2590" t="s">
        <v>31</v>
      </c>
      <c r="J2590" t="s">
        <v>25</v>
      </c>
      <c r="K2590" t="s">
        <v>53</v>
      </c>
      <c r="L2590" t="s">
        <v>27</v>
      </c>
      <c r="M2590">
        <v>2</v>
      </c>
      <c r="N2590" s="2"/>
      <c r="O2590" s="3">
        <v>3026</v>
      </c>
      <c r="P2590">
        <v>0</v>
      </c>
      <c r="Q2590">
        <v>4</v>
      </c>
      <c r="R2590" t="s">
        <v>28</v>
      </c>
      <c r="S2590">
        <v>1</v>
      </c>
    </row>
    <row r="2591" spans="1:19" ht="16.5" x14ac:dyDescent="0.3">
      <c r="A2591" t="s">
        <v>2654</v>
      </c>
      <c r="B2591" s="1">
        <v>45642</v>
      </c>
      <c r="C2591" s="1">
        <v>45647</v>
      </c>
      <c r="D2591">
        <v>2024</v>
      </c>
      <c r="E2591" t="s">
        <v>2026</v>
      </c>
      <c r="F2591" t="s">
        <v>2496</v>
      </c>
      <c r="G2591" t="s">
        <v>22</v>
      </c>
      <c r="H2591" t="s">
        <v>50</v>
      </c>
      <c r="I2591" t="s">
        <v>24</v>
      </c>
      <c r="J2591" t="s">
        <v>25</v>
      </c>
      <c r="K2591" t="s">
        <v>53</v>
      </c>
      <c r="L2591" t="s">
        <v>44</v>
      </c>
      <c r="M2591">
        <v>5</v>
      </c>
      <c r="N2591" s="2">
        <v>89</v>
      </c>
      <c r="O2591" s="3">
        <v>6264</v>
      </c>
      <c r="P2591">
        <v>0</v>
      </c>
      <c r="Q2591">
        <v>4</v>
      </c>
      <c r="R2591" t="s">
        <v>28</v>
      </c>
      <c r="S2591">
        <v>1</v>
      </c>
    </row>
    <row r="2592" spans="1:19" ht="16.5" x14ac:dyDescent="0.3">
      <c r="A2592" t="s">
        <v>2655</v>
      </c>
      <c r="B2592" s="1">
        <v>45642</v>
      </c>
      <c r="C2592" s="1">
        <v>45643</v>
      </c>
      <c r="D2592">
        <v>2024</v>
      </c>
      <c r="E2592" t="s">
        <v>2026</v>
      </c>
      <c r="F2592" t="s">
        <v>2496</v>
      </c>
      <c r="G2592" t="s">
        <v>22</v>
      </c>
      <c r="H2592" t="s">
        <v>35</v>
      </c>
      <c r="I2592" t="s">
        <v>40</v>
      </c>
      <c r="J2592" t="s">
        <v>25</v>
      </c>
      <c r="K2592" t="s">
        <v>32</v>
      </c>
      <c r="L2592" t="s">
        <v>44</v>
      </c>
      <c r="M2592">
        <v>1</v>
      </c>
      <c r="N2592" s="2"/>
      <c r="O2592" s="3">
        <v>1221</v>
      </c>
      <c r="P2592">
        <v>0</v>
      </c>
      <c r="Q2592">
        <v>4</v>
      </c>
      <c r="R2592" t="s">
        <v>28</v>
      </c>
      <c r="S2592">
        <v>1</v>
      </c>
    </row>
    <row r="2593" spans="1:19" ht="16.5" x14ac:dyDescent="0.3">
      <c r="A2593" t="s">
        <v>2656</v>
      </c>
      <c r="B2593" s="1">
        <v>45642</v>
      </c>
      <c r="C2593" s="1">
        <v>45643</v>
      </c>
      <c r="D2593">
        <v>2024</v>
      </c>
      <c r="E2593" t="s">
        <v>2026</v>
      </c>
      <c r="F2593" t="s">
        <v>2496</v>
      </c>
      <c r="G2593" t="s">
        <v>22</v>
      </c>
      <c r="H2593" t="s">
        <v>35</v>
      </c>
      <c r="I2593" t="s">
        <v>24</v>
      </c>
      <c r="J2593" t="s">
        <v>25</v>
      </c>
      <c r="K2593" t="s">
        <v>36</v>
      </c>
      <c r="L2593" t="s">
        <v>44</v>
      </c>
      <c r="M2593">
        <v>1</v>
      </c>
      <c r="N2593" s="2">
        <v>64</v>
      </c>
      <c r="O2593" s="3">
        <v>1638</v>
      </c>
      <c r="P2593">
        <v>0</v>
      </c>
      <c r="Q2593">
        <v>5</v>
      </c>
      <c r="R2593" t="s">
        <v>28</v>
      </c>
      <c r="S2593">
        <v>1</v>
      </c>
    </row>
    <row r="2594" spans="1:19" ht="16.5" x14ac:dyDescent="0.3">
      <c r="A2594" t="s">
        <v>2657</v>
      </c>
      <c r="B2594" s="1">
        <v>45642</v>
      </c>
      <c r="C2594" s="1">
        <v>45646</v>
      </c>
      <c r="D2594">
        <v>2024</v>
      </c>
      <c r="E2594" t="s">
        <v>2026</v>
      </c>
      <c r="F2594" t="s">
        <v>2496</v>
      </c>
      <c r="G2594" t="s">
        <v>22</v>
      </c>
      <c r="H2594" t="s">
        <v>50</v>
      </c>
      <c r="I2594" t="s">
        <v>31</v>
      </c>
      <c r="J2594" t="s">
        <v>25</v>
      </c>
      <c r="K2594" t="s">
        <v>32</v>
      </c>
      <c r="L2594" t="s">
        <v>27</v>
      </c>
      <c r="M2594">
        <v>4</v>
      </c>
      <c r="N2594" s="2"/>
      <c r="O2594" s="3">
        <v>4993</v>
      </c>
      <c r="P2594">
        <v>0</v>
      </c>
      <c r="Q2594">
        <v>3</v>
      </c>
      <c r="R2594" t="s">
        <v>33</v>
      </c>
      <c r="S2594">
        <v>1</v>
      </c>
    </row>
    <row r="2595" spans="1:19" ht="16.5" x14ac:dyDescent="0.3">
      <c r="A2595" t="s">
        <v>2658</v>
      </c>
      <c r="B2595" s="1">
        <v>45643</v>
      </c>
      <c r="C2595" s="1">
        <v>45646</v>
      </c>
      <c r="D2595">
        <v>2024</v>
      </c>
      <c r="E2595" t="s">
        <v>2026</v>
      </c>
      <c r="F2595" t="s">
        <v>2496</v>
      </c>
      <c r="G2595" t="s">
        <v>56</v>
      </c>
      <c r="H2595" t="s">
        <v>23</v>
      </c>
      <c r="I2595" t="s">
        <v>31</v>
      </c>
      <c r="J2595" t="s">
        <v>25</v>
      </c>
      <c r="K2595" t="s">
        <v>53</v>
      </c>
      <c r="L2595" t="s">
        <v>44</v>
      </c>
      <c r="M2595">
        <v>3</v>
      </c>
      <c r="N2595" s="2"/>
      <c r="O2595" s="3">
        <v>2837</v>
      </c>
      <c r="P2595">
        <v>0</v>
      </c>
      <c r="Q2595">
        <v>5</v>
      </c>
      <c r="R2595" t="s">
        <v>59</v>
      </c>
      <c r="S2595">
        <v>1</v>
      </c>
    </row>
    <row r="2596" spans="1:19" ht="16.5" x14ac:dyDescent="0.3">
      <c r="A2596" t="s">
        <v>2659</v>
      </c>
      <c r="B2596" s="1">
        <v>45643</v>
      </c>
      <c r="C2596" s="1">
        <v>45649</v>
      </c>
      <c r="D2596">
        <v>2024</v>
      </c>
      <c r="E2596" t="s">
        <v>2026</v>
      </c>
      <c r="F2596" t="s">
        <v>2496</v>
      </c>
      <c r="G2596" t="s">
        <v>56</v>
      </c>
      <c r="H2596" t="s">
        <v>39</v>
      </c>
      <c r="I2596" t="s">
        <v>24</v>
      </c>
      <c r="J2596" t="s">
        <v>25</v>
      </c>
      <c r="K2596" t="s">
        <v>41</v>
      </c>
      <c r="L2596" t="s">
        <v>37</v>
      </c>
      <c r="M2596">
        <v>6</v>
      </c>
      <c r="N2596" s="2">
        <v>33</v>
      </c>
      <c r="O2596" s="3">
        <v>3761</v>
      </c>
      <c r="P2596">
        <v>1</v>
      </c>
      <c r="Q2596">
        <v>3</v>
      </c>
      <c r="R2596" t="s">
        <v>33</v>
      </c>
      <c r="S2596">
        <v>1</v>
      </c>
    </row>
    <row r="2597" spans="1:19" ht="16.5" x14ac:dyDescent="0.3">
      <c r="A2597" t="s">
        <v>2660</v>
      </c>
      <c r="B2597" s="1">
        <v>45643</v>
      </c>
      <c r="C2597" s="1">
        <v>45644</v>
      </c>
      <c r="D2597">
        <v>2024</v>
      </c>
      <c r="E2597" t="s">
        <v>2026</v>
      </c>
      <c r="F2597" t="s">
        <v>2496</v>
      </c>
      <c r="G2597" t="s">
        <v>56</v>
      </c>
      <c r="H2597" t="s">
        <v>52</v>
      </c>
      <c r="I2597" t="s">
        <v>40</v>
      </c>
      <c r="J2597" t="s">
        <v>43</v>
      </c>
      <c r="K2597" t="s">
        <v>53</v>
      </c>
      <c r="L2597" t="s">
        <v>44</v>
      </c>
      <c r="M2597">
        <v>1</v>
      </c>
      <c r="N2597" s="2"/>
      <c r="O2597" s="3">
        <v>1943</v>
      </c>
      <c r="P2597">
        <v>0</v>
      </c>
      <c r="Q2597">
        <v>4</v>
      </c>
      <c r="R2597" t="s">
        <v>33</v>
      </c>
      <c r="S2597">
        <v>1</v>
      </c>
    </row>
    <row r="2598" spans="1:19" ht="16.5" x14ac:dyDescent="0.3">
      <c r="A2598" t="s">
        <v>2661</v>
      </c>
      <c r="B2598" s="1">
        <v>45643</v>
      </c>
      <c r="C2598" s="1">
        <v>45651</v>
      </c>
      <c r="D2598">
        <v>2024</v>
      </c>
      <c r="E2598" t="s">
        <v>2026</v>
      </c>
      <c r="F2598" t="s">
        <v>2496</v>
      </c>
      <c r="G2598" t="s">
        <v>56</v>
      </c>
      <c r="H2598" t="s">
        <v>23</v>
      </c>
      <c r="I2598" t="s">
        <v>40</v>
      </c>
      <c r="J2598" t="s">
        <v>25</v>
      </c>
      <c r="K2598" t="s">
        <v>53</v>
      </c>
      <c r="L2598" t="s">
        <v>27</v>
      </c>
      <c r="M2598">
        <v>8</v>
      </c>
      <c r="N2598" s="2"/>
      <c r="O2598" s="3">
        <v>5144</v>
      </c>
      <c r="P2598">
        <v>0</v>
      </c>
      <c r="Q2598">
        <v>5</v>
      </c>
      <c r="R2598" t="s">
        <v>33</v>
      </c>
      <c r="S2598">
        <v>1</v>
      </c>
    </row>
    <row r="2599" spans="1:19" ht="16.5" x14ac:dyDescent="0.3">
      <c r="A2599" t="s">
        <v>2662</v>
      </c>
      <c r="B2599" s="1">
        <v>45643</v>
      </c>
      <c r="C2599" s="1">
        <v>45644</v>
      </c>
      <c r="D2599">
        <v>2024</v>
      </c>
      <c r="E2599" t="s">
        <v>2026</v>
      </c>
      <c r="F2599" t="s">
        <v>2496</v>
      </c>
      <c r="G2599" t="s">
        <v>56</v>
      </c>
      <c r="H2599" t="s">
        <v>39</v>
      </c>
      <c r="I2599" t="s">
        <v>24</v>
      </c>
      <c r="J2599" t="s">
        <v>25</v>
      </c>
      <c r="K2599" t="s">
        <v>41</v>
      </c>
      <c r="L2599" t="s">
        <v>44</v>
      </c>
      <c r="M2599">
        <v>1</v>
      </c>
      <c r="N2599" s="2">
        <v>76</v>
      </c>
      <c r="O2599" s="3">
        <v>859</v>
      </c>
      <c r="P2599">
        <v>0</v>
      </c>
      <c r="Q2599">
        <v>4</v>
      </c>
      <c r="R2599" t="s">
        <v>28</v>
      </c>
      <c r="S2599">
        <v>1</v>
      </c>
    </row>
    <row r="2600" spans="1:19" ht="16.5" x14ac:dyDescent="0.3">
      <c r="A2600" t="s">
        <v>2663</v>
      </c>
      <c r="B2600" s="1">
        <v>45643</v>
      </c>
      <c r="C2600" s="1">
        <v>45645</v>
      </c>
      <c r="D2600">
        <v>2024</v>
      </c>
      <c r="E2600" t="s">
        <v>2026</v>
      </c>
      <c r="F2600" t="s">
        <v>2496</v>
      </c>
      <c r="G2600" t="s">
        <v>56</v>
      </c>
      <c r="H2600" t="s">
        <v>52</v>
      </c>
      <c r="I2600" t="s">
        <v>40</v>
      </c>
      <c r="J2600" t="s">
        <v>25</v>
      </c>
      <c r="K2600" t="s">
        <v>53</v>
      </c>
      <c r="L2600" t="s">
        <v>44</v>
      </c>
      <c r="M2600">
        <v>2</v>
      </c>
      <c r="N2600" s="2"/>
      <c r="O2600" s="3">
        <v>3691</v>
      </c>
      <c r="P2600">
        <v>0</v>
      </c>
      <c r="Q2600">
        <v>4</v>
      </c>
      <c r="R2600" t="s">
        <v>33</v>
      </c>
      <c r="S2600">
        <v>1</v>
      </c>
    </row>
    <row r="2601" spans="1:19" ht="16.5" x14ac:dyDescent="0.3">
      <c r="A2601" t="s">
        <v>2664</v>
      </c>
      <c r="B2601" s="1">
        <v>45643</v>
      </c>
      <c r="C2601" s="1">
        <v>45649</v>
      </c>
      <c r="D2601">
        <v>2024</v>
      </c>
      <c r="E2601" t="s">
        <v>2026</v>
      </c>
      <c r="F2601" t="s">
        <v>2496</v>
      </c>
      <c r="G2601" t="s">
        <v>56</v>
      </c>
      <c r="H2601" t="s">
        <v>52</v>
      </c>
      <c r="I2601" t="s">
        <v>40</v>
      </c>
      <c r="J2601" t="s">
        <v>25</v>
      </c>
      <c r="K2601" t="s">
        <v>53</v>
      </c>
      <c r="L2601" t="s">
        <v>44</v>
      </c>
      <c r="M2601">
        <v>6</v>
      </c>
      <c r="N2601" s="2"/>
      <c r="O2601" s="3">
        <v>4960</v>
      </c>
      <c r="P2601">
        <v>0</v>
      </c>
      <c r="Q2601">
        <v>5</v>
      </c>
      <c r="R2601" t="s">
        <v>33</v>
      </c>
      <c r="S2601">
        <v>1</v>
      </c>
    </row>
    <row r="2602" spans="1:19" ht="16.5" x14ac:dyDescent="0.3">
      <c r="A2602" t="s">
        <v>2665</v>
      </c>
      <c r="B2602" s="1">
        <v>45643</v>
      </c>
      <c r="C2602" s="1">
        <v>45653</v>
      </c>
      <c r="D2602">
        <v>2024</v>
      </c>
      <c r="E2602" t="s">
        <v>2026</v>
      </c>
      <c r="F2602" t="s">
        <v>2496</v>
      </c>
      <c r="G2602" t="s">
        <v>56</v>
      </c>
      <c r="H2602" t="s">
        <v>23</v>
      </c>
      <c r="I2602" t="s">
        <v>40</v>
      </c>
      <c r="J2602" t="s">
        <v>25</v>
      </c>
      <c r="K2602" t="s">
        <v>53</v>
      </c>
      <c r="L2602" t="s">
        <v>44</v>
      </c>
      <c r="M2602">
        <v>10</v>
      </c>
      <c r="N2602" s="2"/>
      <c r="O2602" s="3">
        <v>6571</v>
      </c>
      <c r="P2602">
        <v>0</v>
      </c>
      <c r="Q2602">
        <v>3</v>
      </c>
      <c r="R2602" t="s">
        <v>28</v>
      </c>
      <c r="S2602">
        <v>1</v>
      </c>
    </row>
    <row r="2603" spans="1:19" ht="16.5" x14ac:dyDescent="0.3">
      <c r="A2603" t="s">
        <v>2666</v>
      </c>
      <c r="B2603" s="1">
        <v>45644</v>
      </c>
      <c r="C2603" s="1">
        <v>45645</v>
      </c>
      <c r="D2603">
        <v>2024</v>
      </c>
      <c r="E2603" t="s">
        <v>2026</v>
      </c>
      <c r="F2603" t="s">
        <v>2496</v>
      </c>
      <c r="G2603" t="s">
        <v>70</v>
      </c>
      <c r="H2603" t="s">
        <v>35</v>
      </c>
      <c r="I2603" t="s">
        <v>24</v>
      </c>
      <c r="J2603" t="s">
        <v>25</v>
      </c>
      <c r="K2603" t="s">
        <v>36</v>
      </c>
      <c r="L2603" t="s">
        <v>27</v>
      </c>
      <c r="M2603">
        <v>1</v>
      </c>
      <c r="N2603" s="2">
        <v>100</v>
      </c>
      <c r="O2603" s="3">
        <v>1573</v>
      </c>
      <c r="P2603">
        <v>0</v>
      </c>
      <c r="Q2603">
        <v>4</v>
      </c>
      <c r="R2603" t="s">
        <v>33</v>
      </c>
      <c r="S2603">
        <v>1</v>
      </c>
    </row>
    <row r="2604" spans="1:19" ht="16.5" x14ac:dyDescent="0.3">
      <c r="A2604" t="s">
        <v>2667</v>
      </c>
      <c r="B2604" s="1">
        <v>45644</v>
      </c>
      <c r="C2604" s="1">
        <v>45647</v>
      </c>
      <c r="D2604">
        <v>2024</v>
      </c>
      <c r="E2604" t="s">
        <v>2026</v>
      </c>
      <c r="F2604" t="s">
        <v>2496</v>
      </c>
      <c r="G2604" t="s">
        <v>70</v>
      </c>
      <c r="H2604" t="s">
        <v>50</v>
      </c>
      <c r="I2604" t="s">
        <v>24</v>
      </c>
      <c r="J2604" t="s">
        <v>43</v>
      </c>
      <c r="K2604" t="s">
        <v>32</v>
      </c>
      <c r="L2604" t="s">
        <v>27</v>
      </c>
      <c r="M2604">
        <v>3</v>
      </c>
      <c r="N2604" s="2">
        <v>48</v>
      </c>
      <c r="O2604" s="3">
        <v>4592</v>
      </c>
      <c r="P2604">
        <v>0</v>
      </c>
      <c r="Q2604">
        <v>3</v>
      </c>
      <c r="R2604" t="s">
        <v>28</v>
      </c>
      <c r="S2604">
        <v>1</v>
      </c>
    </row>
    <row r="2605" spans="1:19" ht="16.5" x14ac:dyDescent="0.3">
      <c r="A2605" t="s">
        <v>2668</v>
      </c>
      <c r="B2605" s="1">
        <v>45644</v>
      </c>
      <c r="C2605" s="1">
        <v>45648</v>
      </c>
      <c r="D2605">
        <v>2024</v>
      </c>
      <c r="E2605" t="s">
        <v>2026</v>
      </c>
      <c r="F2605" t="s">
        <v>2496</v>
      </c>
      <c r="G2605" t="s">
        <v>70</v>
      </c>
      <c r="H2605" t="s">
        <v>50</v>
      </c>
      <c r="I2605" t="s">
        <v>24</v>
      </c>
      <c r="J2605" t="s">
        <v>25</v>
      </c>
      <c r="K2605" t="s">
        <v>32</v>
      </c>
      <c r="L2605" t="s">
        <v>44</v>
      </c>
      <c r="M2605">
        <v>4</v>
      </c>
      <c r="N2605" s="2">
        <v>62</v>
      </c>
      <c r="O2605" s="3">
        <v>4746</v>
      </c>
      <c r="P2605">
        <v>0</v>
      </c>
      <c r="Q2605">
        <v>5</v>
      </c>
      <c r="R2605" t="s">
        <v>33</v>
      </c>
      <c r="S2605">
        <v>1</v>
      </c>
    </row>
    <row r="2606" spans="1:19" ht="16.5" x14ac:dyDescent="0.3">
      <c r="A2606" t="s">
        <v>2669</v>
      </c>
      <c r="B2606" s="1">
        <v>45644</v>
      </c>
      <c r="C2606" s="1">
        <v>45646</v>
      </c>
      <c r="D2606">
        <v>2024</v>
      </c>
      <c r="E2606" t="s">
        <v>2026</v>
      </c>
      <c r="F2606" t="s">
        <v>2496</v>
      </c>
      <c r="G2606" t="s">
        <v>70</v>
      </c>
      <c r="H2606" t="s">
        <v>39</v>
      </c>
      <c r="I2606" t="s">
        <v>40</v>
      </c>
      <c r="J2606" t="s">
        <v>43</v>
      </c>
      <c r="K2606" t="s">
        <v>41</v>
      </c>
      <c r="L2606" t="s">
        <v>27</v>
      </c>
      <c r="M2606">
        <v>2</v>
      </c>
      <c r="N2606" s="2"/>
      <c r="O2606" s="3">
        <v>2688</v>
      </c>
      <c r="P2606">
        <v>0</v>
      </c>
      <c r="Q2606">
        <v>4</v>
      </c>
      <c r="R2606" t="s">
        <v>33</v>
      </c>
      <c r="S2606">
        <v>1</v>
      </c>
    </row>
    <row r="2607" spans="1:19" ht="16.5" x14ac:dyDescent="0.3">
      <c r="A2607" t="s">
        <v>2670</v>
      </c>
      <c r="B2607" s="1">
        <v>45644</v>
      </c>
      <c r="C2607" s="1">
        <v>45648</v>
      </c>
      <c r="D2607">
        <v>2024</v>
      </c>
      <c r="E2607" t="s">
        <v>2026</v>
      </c>
      <c r="F2607" t="s">
        <v>2496</v>
      </c>
      <c r="G2607" t="s">
        <v>70</v>
      </c>
      <c r="H2607" t="s">
        <v>30</v>
      </c>
      <c r="I2607" t="s">
        <v>24</v>
      </c>
      <c r="J2607" t="s">
        <v>25</v>
      </c>
      <c r="K2607" t="s">
        <v>53</v>
      </c>
      <c r="L2607" t="s">
        <v>44</v>
      </c>
      <c r="M2607">
        <v>4</v>
      </c>
      <c r="N2607" s="2">
        <v>72</v>
      </c>
      <c r="O2607" s="3">
        <v>4069</v>
      </c>
      <c r="P2607">
        <v>0</v>
      </c>
      <c r="Q2607">
        <v>4</v>
      </c>
      <c r="R2607" t="s">
        <v>28</v>
      </c>
      <c r="S2607">
        <v>1</v>
      </c>
    </row>
    <row r="2608" spans="1:19" ht="16.5" x14ac:dyDescent="0.3">
      <c r="A2608" t="s">
        <v>2671</v>
      </c>
      <c r="B2608" s="1">
        <v>45644</v>
      </c>
      <c r="C2608" s="1">
        <v>45647</v>
      </c>
      <c r="D2608">
        <v>2024</v>
      </c>
      <c r="E2608" t="s">
        <v>2026</v>
      </c>
      <c r="F2608" t="s">
        <v>2496</v>
      </c>
      <c r="G2608" t="s">
        <v>70</v>
      </c>
      <c r="H2608" t="s">
        <v>39</v>
      </c>
      <c r="I2608" t="s">
        <v>24</v>
      </c>
      <c r="J2608" t="s">
        <v>25</v>
      </c>
      <c r="K2608" t="s">
        <v>41</v>
      </c>
      <c r="L2608" t="s">
        <v>44</v>
      </c>
      <c r="M2608">
        <v>3</v>
      </c>
      <c r="N2608" s="2">
        <v>97</v>
      </c>
      <c r="O2608" s="3">
        <v>3278</v>
      </c>
      <c r="P2608">
        <v>0</v>
      </c>
      <c r="Q2608">
        <v>3</v>
      </c>
      <c r="R2608" t="s">
        <v>33</v>
      </c>
      <c r="S2608">
        <v>1</v>
      </c>
    </row>
    <row r="2609" spans="1:19" ht="16.5" x14ac:dyDescent="0.3">
      <c r="A2609" t="s">
        <v>2672</v>
      </c>
      <c r="B2609" s="1">
        <v>45644</v>
      </c>
      <c r="C2609" s="1">
        <v>45653</v>
      </c>
      <c r="D2609">
        <v>2024</v>
      </c>
      <c r="E2609" t="s">
        <v>2026</v>
      </c>
      <c r="F2609" t="s">
        <v>2496</v>
      </c>
      <c r="G2609" t="s">
        <v>70</v>
      </c>
      <c r="H2609" t="s">
        <v>23</v>
      </c>
      <c r="I2609" t="s">
        <v>24</v>
      </c>
      <c r="J2609" t="s">
        <v>25</v>
      </c>
      <c r="K2609" t="s">
        <v>26</v>
      </c>
      <c r="L2609" t="s">
        <v>37</v>
      </c>
      <c r="M2609">
        <v>9</v>
      </c>
      <c r="N2609" s="2">
        <v>29</v>
      </c>
      <c r="O2609" s="3">
        <v>5432</v>
      </c>
      <c r="P2609">
        <v>0</v>
      </c>
      <c r="Q2609">
        <v>3</v>
      </c>
      <c r="R2609" t="s">
        <v>33</v>
      </c>
      <c r="S2609">
        <v>1</v>
      </c>
    </row>
    <row r="2610" spans="1:19" ht="16.5" x14ac:dyDescent="0.3">
      <c r="A2610" t="s">
        <v>2673</v>
      </c>
      <c r="B2610" s="1">
        <v>45644</v>
      </c>
      <c r="C2610" s="1">
        <v>45646</v>
      </c>
      <c r="D2610">
        <v>2024</v>
      </c>
      <c r="E2610" t="s">
        <v>2026</v>
      </c>
      <c r="F2610" t="s">
        <v>2496</v>
      </c>
      <c r="G2610" t="s">
        <v>70</v>
      </c>
      <c r="H2610" t="s">
        <v>39</v>
      </c>
      <c r="I2610" t="s">
        <v>24</v>
      </c>
      <c r="J2610" t="s">
        <v>43</v>
      </c>
      <c r="K2610" t="s">
        <v>41</v>
      </c>
      <c r="L2610" t="s">
        <v>44</v>
      </c>
      <c r="M2610">
        <v>2</v>
      </c>
      <c r="N2610" s="2">
        <v>74</v>
      </c>
      <c r="O2610" s="3">
        <v>2041</v>
      </c>
      <c r="P2610">
        <v>0</v>
      </c>
      <c r="Q2610">
        <v>3</v>
      </c>
      <c r="R2610" t="s">
        <v>33</v>
      </c>
      <c r="S2610">
        <v>1</v>
      </c>
    </row>
    <row r="2611" spans="1:19" ht="16.5" x14ac:dyDescent="0.3">
      <c r="A2611" t="s">
        <v>2674</v>
      </c>
      <c r="B2611" s="1">
        <v>45644</v>
      </c>
      <c r="C2611" s="1">
        <v>45645</v>
      </c>
      <c r="D2611">
        <v>2024</v>
      </c>
      <c r="E2611" t="s">
        <v>2026</v>
      </c>
      <c r="F2611" t="s">
        <v>2496</v>
      </c>
      <c r="G2611" t="s">
        <v>70</v>
      </c>
      <c r="H2611" t="s">
        <v>52</v>
      </c>
      <c r="I2611" t="s">
        <v>31</v>
      </c>
      <c r="J2611" t="s">
        <v>43</v>
      </c>
      <c r="K2611" t="s">
        <v>36</v>
      </c>
      <c r="L2611" t="s">
        <v>27</v>
      </c>
      <c r="M2611">
        <v>1</v>
      </c>
      <c r="N2611" s="2"/>
      <c r="O2611" s="3">
        <v>2080</v>
      </c>
      <c r="P2611">
        <v>0</v>
      </c>
      <c r="Q2611">
        <v>5</v>
      </c>
      <c r="R2611" t="s">
        <v>28</v>
      </c>
      <c r="S2611">
        <v>1</v>
      </c>
    </row>
    <row r="2612" spans="1:19" ht="16.5" x14ac:dyDescent="0.3">
      <c r="A2612" t="s">
        <v>2675</v>
      </c>
      <c r="B2612" s="1">
        <v>45644</v>
      </c>
      <c r="C2612" s="1">
        <v>45647</v>
      </c>
      <c r="D2612">
        <v>2024</v>
      </c>
      <c r="E2612" t="s">
        <v>2026</v>
      </c>
      <c r="F2612" t="s">
        <v>2496</v>
      </c>
      <c r="G2612" t="s">
        <v>70</v>
      </c>
      <c r="H2612" t="s">
        <v>50</v>
      </c>
      <c r="I2612" t="s">
        <v>24</v>
      </c>
      <c r="J2612" t="s">
        <v>43</v>
      </c>
      <c r="K2612" t="s">
        <v>53</v>
      </c>
      <c r="L2612" t="s">
        <v>27</v>
      </c>
      <c r="M2612">
        <v>3</v>
      </c>
      <c r="N2612" s="2">
        <v>53</v>
      </c>
      <c r="O2612" s="3">
        <v>4459</v>
      </c>
      <c r="P2612">
        <v>0</v>
      </c>
      <c r="Q2612">
        <v>4</v>
      </c>
      <c r="R2612" t="s">
        <v>33</v>
      </c>
      <c r="S2612">
        <v>1</v>
      </c>
    </row>
    <row r="2613" spans="1:19" ht="16.5" x14ac:dyDescent="0.3">
      <c r="A2613" t="s">
        <v>2676</v>
      </c>
      <c r="B2613" s="1">
        <v>45645</v>
      </c>
      <c r="C2613" s="1">
        <v>45647</v>
      </c>
      <c r="D2613">
        <v>2024</v>
      </c>
      <c r="E2613" t="s">
        <v>2026</v>
      </c>
      <c r="F2613" t="s">
        <v>2496</v>
      </c>
      <c r="G2613" t="s">
        <v>78</v>
      </c>
      <c r="H2613" t="s">
        <v>23</v>
      </c>
      <c r="I2613" t="s">
        <v>24</v>
      </c>
      <c r="J2613" t="s">
        <v>43</v>
      </c>
      <c r="K2613" t="s">
        <v>53</v>
      </c>
      <c r="L2613" t="s">
        <v>27</v>
      </c>
      <c r="M2613">
        <v>2</v>
      </c>
      <c r="N2613" s="2">
        <v>47</v>
      </c>
      <c r="O2613" s="3">
        <v>3172</v>
      </c>
      <c r="P2613">
        <v>0</v>
      </c>
      <c r="Q2613">
        <v>4</v>
      </c>
      <c r="R2613" t="s">
        <v>28</v>
      </c>
      <c r="S2613">
        <v>1</v>
      </c>
    </row>
    <row r="2614" spans="1:19" ht="16.5" x14ac:dyDescent="0.3">
      <c r="A2614" t="s">
        <v>2677</v>
      </c>
      <c r="B2614" s="1">
        <v>45645</v>
      </c>
      <c r="C2614" s="1">
        <v>45648</v>
      </c>
      <c r="D2614">
        <v>2024</v>
      </c>
      <c r="E2614" t="s">
        <v>2026</v>
      </c>
      <c r="F2614" t="s">
        <v>2496</v>
      </c>
      <c r="G2614" t="s">
        <v>78</v>
      </c>
      <c r="H2614" t="s">
        <v>50</v>
      </c>
      <c r="I2614" t="s">
        <v>40</v>
      </c>
      <c r="J2614" t="s">
        <v>43</v>
      </c>
      <c r="K2614" t="s">
        <v>53</v>
      </c>
      <c r="L2614" t="s">
        <v>37</v>
      </c>
      <c r="M2614">
        <v>3</v>
      </c>
      <c r="N2614" s="2"/>
      <c r="O2614" s="3">
        <v>3132</v>
      </c>
      <c r="P2614">
        <v>0</v>
      </c>
      <c r="Q2614">
        <v>4</v>
      </c>
      <c r="R2614" t="s">
        <v>28</v>
      </c>
      <c r="S2614">
        <v>1</v>
      </c>
    </row>
    <row r="2615" spans="1:19" ht="16.5" x14ac:dyDescent="0.3">
      <c r="A2615" t="s">
        <v>2678</v>
      </c>
      <c r="B2615" s="1">
        <v>45645</v>
      </c>
      <c r="C2615" s="1">
        <v>45648</v>
      </c>
      <c r="D2615">
        <v>2024</v>
      </c>
      <c r="E2615" t="s">
        <v>2026</v>
      </c>
      <c r="F2615" t="s">
        <v>2496</v>
      </c>
      <c r="G2615" t="s">
        <v>78</v>
      </c>
      <c r="H2615" t="s">
        <v>52</v>
      </c>
      <c r="I2615" t="s">
        <v>40</v>
      </c>
      <c r="J2615" t="s">
        <v>43</v>
      </c>
      <c r="K2615" t="s">
        <v>36</v>
      </c>
      <c r="L2615" t="s">
        <v>44</v>
      </c>
      <c r="M2615">
        <v>3</v>
      </c>
      <c r="N2615" s="2"/>
      <c r="O2615" s="3">
        <v>3252</v>
      </c>
      <c r="P2615">
        <v>0</v>
      </c>
      <c r="Q2615">
        <v>5</v>
      </c>
      <c r="R2615" t="s">
        <v>28</v>
      </c>
      <c r="S2615">
        <v>1</v>
      </c>
    </row>
    <row r="2616" spans="1:19" ht="16.5" x14ac:dyDescent="0.3">
      <c r="A2616" t="s">
        <v>2679</v>
      </c>
      <c r="B2616" s="1">
        <v>45645</v>
      </c>
      <c r="C2616" s="1">
        <v>45646</v>
      </c>
      <c r="D2616">
        <v>2024</v>
      </c>
      <c r="E2616" t="s">
        <v>2026</v>
      </c>
      <c r="F2616" t="s">
        <v>2496</v>
      </c>
      <c r="G2616" t="s">
        <v>78</v>
      </c>
      <c r="H2616" t="s">
        <v>50</v>
      </c>
      <c r="I2616" t="s">
        <v>31</v>
      </c>
      <c r="J2616" t="s">
        <v>25</v>
      </c>
      <c r="K2616" t="s">
        <v>26</v>
      </c>
      <c r="L2616" t="s">
        <v>27</v>
      </c>
      <c r="M2616">
        <v>1</v>
      </c>
      <c r="N2616" s="2"/>
      <c r="O2616" s="3">
        <v>2769</v>
      </c>
      <c r="P2616">
        <v>0</v>
      </c>
      <c r="Q2616">
        <v>5</v>
      </c>
      <c r="R2616" t="s">
        <v>33</v>
      </c>
      <c r="S2616">
        <v>1</v>
      </c>
    </row>
    <row r="2617" spans="1:19" ht="16.5" x14ac:dyDescent="0.3">
      <c r="A2617" t="s">
        <v>2680</v>
      </c>
      <c r="B2617" s="1">
        <v>45645</v>
      </c>
      <c r="C2617" s="1">
        <v>45650</v>
      </c>
      <c r="D2617">
        <v>2024</v>
      </c>
      <c r="E2617" t="s">
        <v>2026</v>
      </c>
      <c r="F2617" t="s">
        <v>2496</v>
      </c>
      <c r="G2617" t="s">
        <v>78</v>
      </c>
      <c r="H2617" t="s">
        <v>52</v>
      </c>
      <c r="I2617" t="s">
        <v>40</v>
      </c>
      <c r="J2617" t="s">
        <v>25</v>
      </c>
      <c r="K2617" t="s">
        <v>26</v>
      </c>
      <c r="L2617" t="s">
        <v>37</v>
      </c>
      <c r="M2617">
        <v>5</v>
      </c>
      <c r="N2617" s="2"/>
      <c r="O2617" s="3">
        <v>5772</v>
      </c>
      <c r="P2617">
        <v>0</v>
      </c>
      <c r="Q2617">
        <v>5</v>
      </c>
      <c r="R2617" t="s">
        <v>33</v>
      </c>
      <c r="S2617">
        <v>1</v>
      </c>
    </row>
    <row r="2618" spans="1:19" ht="16.5" x14ac:dyDescent="0.3">
      <c r="A2618" t="s">
        <v>2681</v>
      </c>
      <c r="B2618" s="1">
        <v>45645</v>
      </c>
      <c r="C2618" s="1">
        <v>45651</v>
      </c>
      <c r="D2618">
        <v>2024</v>
      </c>
      <c r="E2618" t="s">
        <v>2026</v>
      </c>
      <c r="F2618" t="s">
        <v>2496</v>
      </c>
      <c r="G2618" t="s">
        <v>78</v>
      </c>
      <c r="H2618" t="s">
        <v>23</v>
      </c>
      <c r="I2618" t="s">
        <v>24</v>
      </c>
      <c r="J2618" t="s">
        <v>25</v>
      </c>
      <c r="K2618" t="s">
        <v>36</v>
      </c>
      <c r="L2618" t="s">
        <v>27</v>
      </c>
      <c r="M2618">
        <v>6</v>
      </c>
      <c r="N2618" s="2">
        <v>147</v>
      </c>
      <c r="O2618" s="3">
        <v>4577</v>
      </c>
      <c r="P2618">
        <v>1</v>
      </c>
      <c r="Q2618">
        <v>2</v>
      </c>
      <c r="R2618" t="s">
        <v>59</v>
      </c>
      <c r="S2618">
        <v>1</v>
      </c>
    </row>
    <row r="2619" spans="1:19" ht="16.5" x14ac:dyDescent="0.3">
      <c r="A2619" t="s">
        <v>2682</v>
      </c>
      <c r="B2619" s="1">
        <v>45645</v>
      </c>
      <c r="C2619" s="1">
        <v>45647</v>
      </c>
      <c r="D2619">
        <v>2024</v>
      </c>
      <c r="E2619" t="s">
        <v>2026</v>
      </c>
      <c r="F2619" t="s">
        <v>2496</v>
      </c>
      <c r="G2619" t="s">
        <v>78</v>
      </c>
      <c r="H2619" t="s">
        <v>35</v>
      </c>
      <c r="I2619" t="s">
        <v>24</v>
      </c>
      <c r="J2619" t="s">
        <v>25</v>
      </c>
      <c r="K2619" t="s">
        <v>32</v>
      </c>
      <c r="L2619" t="s">
        <v>44</v>
      </c>
      <c r="M2619">
        <v>2</v>
      </c>
      <c r="N2619" s="2">
        <v>101</v>
      </c>
      <c r="O2619" s="3">
        <v>2148</v>
      </c>
      <c r="P2619">
        <v>0</v>
      </c>
      <c r="Q2619">
        <v>3</v>
      </c>
      <c r="R2619" t="s">
        <v>33</v>
      </c>
      <c r="S2619">
        <v>1</v>
      </c>
    </row>
    <row r="2620" spans="1:19" ht="16.5" x14ac:dyDescent="0.3">
      <c r="A2620" t="s">
        <v>2683</v>
      </c>
      <c r="B2620" s="1">
        <v>45646</v>
      </c>
      <c r="C2620" s="1">
        <v>45648</v>
      </c>
      <c r="D2620">
        <v>2024</v>
      </c>
      <c r="E2620" t="s">
        <v>2026</v>
      </c>
      <c r="F2620" t="s">
        <v>2496</v>
      </c>
      <c r="G2620" t="s">
        <v>83</v>
      </c>
      <c r="H2620" t="s">
        <v>30</v>
      </c>
      <c r="I2620" t="s">
        <v>40</v>
      </c>
      <c r="J2620" t="s">
        <v>25</v>
      </c>
      <c r="K2620" t="s">
        <v>53</v>
      </c>
      <c r="L2620" t="s">
        <v>37</v>
      </c>
      <c r="M2620">
        <v>2</v>
      </c>
      <c r="N2620" s="2"/>
      <c r="O2620" s="3">
        <v>2681</v>
      </c>
      <c r="P2620">
        <v>0</v>
      </c>
      <c r="Q2620">
        <v>4</v>
      </c>
      <c r="R2620" t="s">
        <v>59</v>
      </c>
      <c r="S2620">
        <v>1</v>
      </c>
    </row>
    <row r="2621" spans="1:19" ht="16.5" x14ac:dyDescent="0.3">
      <c r="A2621" t="s">
        <v>2684</v>
      </c>
      <c r="B2621" s="1">
        <v>45646</v>
      </c>
      <c r="C2621" s="1">
        <v>45647</v>
      </c>
      <c r="D2621">
        <v>2024</v>
      </c>
      <c r="E2621" t="s">
        <v>2026</v>
      </c>
      <c r="F2621" t="s">
        <v>2496</v>
      </c>
      <c r="G2621" t="s">
        <v>83</v>
      </c>
      <c r="H2621" t="s">
        <v>35</v>
      </c>
      <c r="I2621" t="s">
        <v>24</v>
      </c>
      <c r="J2621" t="s">
        <v>25</v>
      </c>
      <c r="K2621" t="s">
        <v>36</v>
      </c>
      <c r="L2621" t="s">
        <v>27</v>
      </c>
      <c r="M2621">
        <v>1</v>
      </c>
      <c r="N2621" s="2">
        <v>34</v>
      </c>
      <c r="O2621" s="3">
        <v>1341</v>
      </c>
      <c r="P2621">
        <v>0</v>
      </c>
      <c r="Q2621">
        <v>4</v>
      </c>
      <c r="R2621" t="s">
        <v>33</v>
      </c>
      <c r="S2621">
        <v>1</v>
      </c>
    </row>
    <row r="2622" spans="1:19" ht="16.5" x14ac:dyDescent="0.3">
      <c r="A2622" t="s">
        <v>2685</v>
      </c>
      <c r="B2622" s="1">
        <v>45646</v>
      </c>
      <c r="C2622" s="1">
        <v>45647</v>
      </c>
      <c r="D2622">
        <v>2024</v>
      </c>
      <c r="E2622" t="s">
        <v>2026</v>
      </c>
      <c r="F2622" t="s">
        <v>2496</v>
      </c>
      <c r="G2622" t="s">
        <v>83</v>
      </c>
      <c r="H2622" t="s">
        <v>35</v>
      </c>
      <c r="I2622" t="s">
        <v>24</v>
      </c>
      <c r="J2622" t="s">
        <v>25</v>
      </c>
      <c r="K2622" t="s">
        <v>32</v>
      </c>
      <c r="L2622" t="s">
        <v>27</v>
      </c>
      <c r="M2622">
        <v>1</v>
      </c>
      <c r="N2622" s="2">
        <v>98</v>
      </c>
      <c r="O2622" s="3">
        <v>1830</v>
      </c>
      <c r="P2622">
        <v>0</v>
      </c>
      <c r="Q2622">
        <v>2</v>
      </c>
      <c r="R2622" t="s">
        <v>33</v>
      </c>
      <c r="S2622">
        <v>1</v>
      </c>
    </row>
    <row r="2623" spans="1:19" ht="16.5" x14ac:dyDescent="0.3">
      <c r="A2623" t="s">
        <v>2686</v>
      </c>
      <c r="B2623" s="1">
        <v>45646</v>
      </c>
      <c r="C2623" s="1">
        <v>45648</v>
      </c>
      <c r="D2623">
        <v>2024</v>
      </c>
      <c r="E2623" t="s">
        <v>2026</v>
      </c>
      <c r="F2623" t="s">
        <v>2496</v>
      </c>
      <c r="G2623" t="s">
        <v>83</v>
      </c>
      <c r="H2623" t="s">
        <v>39</v>
      </c>
      <c r="I2623" t="s">
        <v>24</v>
      </c>
      <c r="J2623" t="s">
        <v>43</v>
      </c>
      <c r="K2623" t="s">
        <v>41</v>
      </c>
      <c r="L2623" t="s">
        <v>37</v>
      </c>
      <c r="M2623">
        <v>2</v>
      </c>
      <c r="N2623" s="2">
        <v>80</v>
      </c>
      <c r="O2623" s="3">
        <v>1776</v>
      </c>
      <c r="P2623">
        <v>0</v>
      </c>
      <c r="Q2623">
        <v>4</v>
      </c>
      <c r="R2623" t="s">
        <v>28</v>
      </c>
      <c r="S2623">
        <v>1</v>
      </c>
    </row>
    <row r="2624" spans="1:19" ht="16.5" x14ac:dyDescent="0.3">
      <c r="A2624" t="s">
        <v>2687</v>
      </c>
      <c r="B2624" s="1">
        <v>45646</v>
      </c>
      <c r="C2624" s="1">
        <v>45647</v>
      </c>
      <c r="D2624">
        <v>2024</v>
      </c>
      <c r="E2624" t="s">
        <v>2026</v>
      </c>
      <c r="F2624" t="s">
        <v>2496</v>
      </c>
      <c r="G2624" t="s">
        <v>83</v>
      </c>
      <c r="H2624" t="s">
        <v>35</v>
      </c>
      <c r="I2624" t="s">
        <v>40</v>
      </c>
      <c r="J2624" t="s">
        <v>25</v>
      </c>
      <c r="K2624" t="s">
        <v>32</v>
      </c>
      <c r="L2624" t="s">
        <v>37</v>
      </c>
      <c r="M2624">
        <v>1</v>
      </c>
      <c r="N2624" s="2"/>
      <c r="O2624" s="3">
        <v>1242</v>
      </c>
      <c r="P2624">
        <v>0</v>
      </c>
      <c r="Q2624">
        <v>5</v>
      </c>
      <c r="R2624" t="s">
        <v>28</v>
      </c>
      <c r="S2624">
        <v>1</v>
      </c>
    </row>
    <row r="2625" spans="1:19" ht="16.5" x14ac:dyDescent="0.3">
      <c r="A2625" t="s">
        <v>2688</v>
      </c>
      <c r="B2625" s="1">
        <v>45646</v>
      </c>
      <c r="C2625" s="1">
        <v>45648</v>
      </c>
      <c r="D2625">
        <v>2024</v>
      </c>
      <c r="E2625" t="s">
        <v>2026</v>
      </c>
      <c r="F2625" t="s">
        <v>2496</v>
      </c>
      <c r="G2625" t="s">
        <v>83</v>
      </c>
      <c r="H2625" t="s">
        <v>23</v>
      </c>
      <c r="I2625" t="s">
        <v>24</v>
      </c>
      <c r="J2625" t="s">
        <v>43</v>
      </c>
      <c r="K2625" t="s">
        <v>36</v>
      </c>
      <c r="L2625" t="s">
        <v>27</v>
      </c>
      <c r="M2625">
        <v>2</v>
      </c>
      <c r="N2625" s="2">
        <v>181</v>
      </c>
      <c r="O2625" s="3">
        <v>2465</v>
      </c>
      <c r="P2625">
        <v>0</v>
      </c>
      <c r="Q2625">
        <v>3</v>
      </c>
      <c r="R2625" t="s">
        <v>33</v>
      </c>
      <c r="S2625">
        <v>1</v>
      </c>
    </row>
    <row r="2626" spans="1:19" ht="16.5" x14ac:dyDescent="0.3">
      <c r="A2626" t="s">
        <v>2689</v>
      </c>
      <c r="B2626" s="1">
        <v>45647</v>
      </c>
      <c r="C2626" s="1">
        <v>45648</v>
      </c>
      <c r="D2626">
        <v>2024</v>
      </c>
      <c r="E2626" t="s">
        <v>2026</v>
      </c>
      <c r="F2626" t="s">
        <v>2496</v>
      </c>
      <c r="G2626" t="s">
        <v>102</v>
      </c>
      <c r="H2626" t="s">
        <v>35</v>
      </c>
      <c r="I2626" t="s">
        <v>24</v>
      </c>
      <c r="J2626" t="s">
        <v>25</v>
      </c>
      <c r="K2626" t="s">
        <v>36</v>
      </c>
      <c r="L2626" t="s">
        <v>27</v>
      </c>
      <c r="M2626">
        <v>1</v>
      </c>
      <c r="N2626" s="2">
        <v>120</v>
      </c>
      <c r="O2626" s="3">
        <v>1919</v>
      </c>
      <c r="P2626">
        <v>0</v>
      </c>
      <c r="Q2626">
        <v>3</v>
      </c>
      <c r="R2626" t="s">
        <v>33</v>
      </c>
      <c r="S2626">
        <v>1</v>
      </c>
    </row>
    <row r="2627" spans="1:19" ht="16.5" x14ac:dyDescent="0.3">
      <c r="A2627" t="s">
        <v>2690</v>
      </c>
      <c r="B2627" s="1">
        <v>45647</v>
      </c>
      <c r="C2627" s="1">
        <v>45648</v>
      </c>
      <c r="D2627">
        <v>2024</v>
      </c>
      <c r="E2627" t="s">
        <v>2026</v>
      </c>
      <c r="F2627" t="s">
        <v>2496</v>
      </c>
      <c r="G2627" t="s">
        <v>102</v>
      </c>
      <c r="H2627" t="s">
        <v>39</v>
      </c>
      <c r="I2627" t="s">
        <v>40</v>
      </c>
      <c r="J2627" t="s">
        <v>25</v>
      </c>
      <c r="K2627" t="s">
        <v>41</v>
      </c>
      <c r="L2627" t="s">
        <v>27</v>
      </c>
      <c r="M2627">
        <v>1</v>
      </c>
      <c r="N2627" s="2"/>
      <c r="O2627" s="3">
        <v>1580</v>
      </c>
      <c r="P2627">
        <v>0</v>
      </c>
      <c r="Q2627">
        <v>4</v>
      </c>
      <c r="R2627" t="s">
        <v>28</v>
      </c>
      <c r="S2627">
        <v>1</v>
      </c>
    </row>
    <row r="2628" spans="1:19" ht="16.5" x14ac:dyDescent="0.3">
      <c r="A2628" t="s">
        <v>2691</v>
      </c>
      <c r="B2628" s="1">
        <v>45647</v>
      </c>
      <c r="C2628" s="1">
        <v>45650</v>
      </c>
      <c r="D2628">
        <v>2024</v>
      </c>
      <c r="E2628" t="s">
        <v>2026</v>
      </c>
      <c r="F2628" t="s">
        <v>2496</v>
      </c>
      <c r="G2628" t="s">
        <v>102</v>
      </c>
      <c r="H2628" t="s">
        <v>30</v>
      </c>
      <c r="I2628" t="s">
        <v>40</v>
      </c>
      <c r="J2628" t="s">
        <v>25</v>
      </c>
      <c r="K2628" t="s">
        <v>32</v>
      </c>
      <c r="L2628" t="s">
        <v>27</v>
      </c>
      <c r="M2628">
        <v>3</v>
      </c>
      <c r="N2628" s="2"/>
      <c r="O2628" s="3">
        <v>3872</v>
      </c>
      <c r="P2628">
        <v>1</v>
      </c>
      <c r="Q2628">
        <v>4</v>
      </c>
      <c r="R2628" t="s">
        <v>33</v>
      </c>
      <c r="S2628">
        <v>1</v>
      </c>
    </row>
    <row r="2629" spans="1:19" ht="16.5" x14ac:dyDescent="0.3">
      <c r="A2629" t="s">
        <v>2692</v>
      </c>
      <c r="B2629" s="1">
        <v>45647</v>
      </c>
      <c r="C2629" s="1">
        <v>45655</v>
      </c>
      <c r="D2629">
        <v>2024</v>
      </c>
      <c r="E2629" t="s">
        <v>2026</v>
      </c>
      <c r="F2629" t="s">
        <v>2496</v>
      </c>
      <c r="G2629" t="s">
        <v>102</v>
      </c>
      <c r="H2629" t="s">
        <v>35</v>
      </c>
      <c r="I2629" t="s">
        <v>40</v>
      </c>
      <c r="J2629" t="s">
        <v>25</v>
      </c>
      <c r="K2629" t="s">
        <v>32</v>
      </c>
      <c r="L2629" t="s">
        <v>37</v>
      </c>
      <c r="M2629">
        <v>8</v>
      </c>
      <c r="N2629" s="2"/>
      <c r="O2629" s="3">
        <v>6238</v>
      </c>
      <c r="P2629">
        <v>0</v>
      </c>
      <c r="Q2629">
        <v>4</v>
      </c>
      <c r="R2629" t="s">
        <v>28</v>
      </c>
      <c r="S2629">
        <v>1</v>
      </c>
    </row>
    <row r="2630" spans="1:19" ht="16.5" x14ac:dyDescent="0.3">
      <c r="A2630" t="s">
        <v>2693</v>
      </c>
      <c r="B2630" s="1">
        <v>45647</v>
      </c>
      <c r="C2630" s="1">
        <v>45653</v>
      </c>
      <c r="D2630">
        <v>2024</v>
      </c>
      <c r="E2630" t="s">
        <v>2026</v>
      </c>
      <c r="F2630" t="s">
        <v>2496</v>
      </c>
      <c r="G2630" t="s">
        <v>102</v>
      </c>
      <c r="H2630" t="s">
        <v>30</v>
      </c>
      <c r="I2630" t="s">
        <v>40</v>
      </c>
      <c r="J2630" t="s">
        <v>43</v>
      </c>
      <c r="K2630" t="s">
        <v>32</v>
      </c>
      <c r="L2630" t="s">
        <v>44</v>
      </c>
      <c r="M2630">
        <v>6</v>
      </c>
      <c r="N2630" s="2"/>
      <c r="O2630" s="3">
        <v>7878</v>
      </c>
      <c r="P2630">
        <v>0</v>
      </c>
      <c r="Q2630">
        <v>4</v>
      </c>
      <c r="R2630" t="s">
        <v>33</v>
      </c>
      <c r="S2630">
        <v>1</v>
      </c>
    </row>
    <row r="2631" spans="1:19" ht="16.5" x14ac:dyDescent="0.3">
      <c r="A2631" t="s">
        <v>2694</v>
      </c>
      <c r="B2631" s="1">
        <v>45647</v>
      </c>
      <c r="C2631" s="1">
        <v>45653</v>
      </c>
      <c r="D2631">
        <v>2024</v>
      </c>
      <c r="E2631" t="s">
        <v>2026</v>
      </c>
      <c r="F2631" t="s">
        <v>2496</v>
      </c>
      <c r="G2631" t="s">
        <v>102</v>
      </c>
      <c r="H2631" t="s">
        <v>39</v>
      </c>
      <c r="I2631" t="s">
        <v>24</v>
      </c>
      <c r="J2631" t="s">
        <v>25</v>
      </c>
      <c r="K2631" t="s">
        <v>41</v>
      </c>
      <c r="L2631" t="s">
        <v>44</v>
      </c>
      <c r="M2631">
        <v>6</v>
      </c>
      <c r="N2631" s="2">
        <v>28</v>
      </c>
      <c r="O2631" s="3">
        <v>4544</v>
      </c>
      <c r="P2631">
        <v>0</v>
      </c>
      <c r="Q2631">
        <v>4</v>
      </c>
      <c r="R2631" t="s">
        <v>33</v>
      </c>
      <c r="S2631">
        <v>1</v>
      </c>
    </row>
    <row r="2632" spans="1:19" ht="16.5" x14ac:dyDescent="0.3">
      <c r="A2632" t="s">
        <v>2695</v>
      </c>
      <c r="B2632" s="1">
        <v>45647</v>
      </c>
      <c r="C2632" s="1">
        <v>45651</v>
      </c>
      <c r="D2632">
        <v>2024</v>
      </c>
      <c r="E2632" t="s">
        <v>2026</v>
      </c>
      <c r="F2632" t="s">
        <v>2496</v>
      </c>
      <c r="G2632" t="s">
        <v>102</v>
      </c>
      <c r="H2632" t="s">
        <v>23</v>
      </c>
      <c r="I2632" t="s">
        <v>40</v>
      </c>
      <c r="J2632" t="s">
        <v>25</v>
      </c>
      <c r="K2632" t="s">
        <v>32</v>
      </c>
      <c r="L2632" t="s">
        <v>37</v>
      </c>
      <c r="M2632">
        <v>4</v>
      </c>
      <c r="N2632" s="2"/>
      <c r="O2632" s="3">
        <v>2855</v>
      </c>
      <c r="P2632">
        <v>0</v>
      </c>
      <c r="Q2632">
        <v>4</v>
      </c>
      <c r="R2632" t="s">
        <v>33</v>
      </c>
      <c r="S2632">
        <v>1</v>
      </c>
    </row>
    <row r="2633" spans="1:19" ht="16.5" x14ac:dyDescent="0.3">
      <c r="A2633" t="s">
        <v>2696</v>
      </c>
      <c r="B2633" s="1">
        <v>45648</v>
      </c>
      <c r="C2633" s="1">
        <v>45650</v>
      </c>
      <c r="D2633">
        <v>2024</v>
      </c>
      <c r="E2633" t="s">
        <v>2026</v>
      </c>
      <c r="F2633" t="s">
        <v>2496</v>
      </c>
      <c r="G2633" t="s">
        <v>112</v>
      </c>
      <c r="H2633" t="s">
        <v>39</v>
      </c>
      <c r="I2633" t="s">
        <v>24</v>
      </c>
      <c r="J2633" t="s">
        <v>25</v>
      </c>
      <c r="K2633" t="s">
        <v>41</v>
      </c>
      <c r="L2633" t="s">
        <v>27</v>
      </c>
      <c r="M2633">
        <v>2</v>
      </c>
      <c r="N2633" s="2">
        <v>38</v>
      </c>
      <c r="O2633" s="3">
        <v>1220</v>
      </c>
      <c r="P2633">
        <v>0</v>
      </c>
      <c r="Q2633">
        <v>4</v>
      </c>
      <c r="R2633" t="s">
        <v>33</v>
      </c>
      <c r="S2633">
        <v>1</v>
      </c>
    </row>
    <row r="2634" spans="1:19" ht="16.5" x14ac:dyDescent="0.3">
      <c r="A2634" t="s">
        <v>2697</v>
      </c>
      <c r="B2634" s="1">
        <v>45648</v>
      </c>
      <c r="C2634" s="1">
        <v>45650</v>
      </c>
      <c r="D2634">
        <v>2024</v>
      </c>
      <c r="E2634" t="s">
        <v>2026</v>
      </c>
      <c r="F2634" t="s">
        <v>2496</v>
      </c>
      <c r="G2634" t="s">
        <v>112</v>
      </c>
      <c r="H2634" t="s">
        <v>35</v>
      </c>
      <c r="I2634" t="s">
        <v>40</v>
      </c>
      <c r="J2634" t="s">
        <v>25</v>
      </c>
      <c r="K2634" t="s">
        <v>32</v>
      </c>
      <c r="L2634" t="s">
        <v>44</v>
      </c>
      <c r="M2634">
        <v>2</v>
      </c>
      <c r="N2634" s="2"/>
      <c r="O2634" s="3">
        <v>1582</v>
      </c>
      <c r="P2634">
        <v>0</v>
      </c>
      <c r="Q2634">
        <v>5</v>
      </c>
      <c r="R2634" t="s">
        <v>28</v>
      </c>
      <c r="S2634">
        <v>1</v>
      </c>
    </row>
    <row r="2635" spans="1:19" ht="16.5" x14ac:dyDescent="0.3">
      <c r="A2635" t="s">
        <v>2698</v>
      </c>
      <c r="B2635" s="1">
        <v>45648</v>
      </c>
      <c r="C2635" s="1">
        <v>45651</v>
      </c>
      <c r="D2635">
        <v>2024</v>
      </c>
      <c r="E2635" t="s">
        <v>2026</v>
      </c>
      <c r="F2635" t="s">
        <v>2496</v>
      </c>
      <c r="G2635" t="s">
        <v>112</v>
      </c>
      <c r="H2635" t="s">
        <v>23</v>
      </c>
      <c r="I2635" t="s">
        <v>31</v>
      </c>
      <c r="J2635" t="s">
        <v>25</v>
      </c>
      <c r="K2635" t="s">
        <v>26</v>
      </c>
      <c r="L2635" t="s">
        <v>44</v>
      </c>
      <c r="M2635">
        <v>3</v>
      </c>
      <c r="N2635" s="2"/>
      <c r="O2635" s="3">
        <v>3088</v>
      </c>
      <c r="P2635">
        <v>0</v>
      </c>
      <c r="Q2635">
        <v>5</v>
      </c>
      <c r="R2635" t="s">
        <v>33</v>
      </c>
      <c r="S2635">
        <v>1</v>
      </c>
    </row>
    <row r="2636" spans="1:19" ht="16.5" x14ac:dyDescent="0.3">
      <c r="A2636" t="s">
        <v>2699</v>
      </c>
      <c r="B2636" s="1">
        <v>45648</v>
      </c>
      <c r="C2636" s="1">
        <v>45662</v>
      </c>
      <c r="D2636">
        <v>2024</v>
      </c>
      <c r="E2636" t="s">
        <v>2026</v>
      </c>
      <c r="F2636" t="s">
        <v>2496</v>
      </c>
      <c r="G2636" t="s">
        <v>112</v>
      </c>
      <c r="H2636" t="s">
        <v>52</v>
      </c>
      <c r="I2636" t="s">
        <v>40</v>
      </c>
      <c r="J2636" t="s">
        <v>25</v>
      </c>
      <c r="K2636" t="s">
        <v>26</v>
      </c>
      <c r="L2636" t="s">
        <v>27</v>
      </c>
      <c r="M2636">
        <v>14</v>
      </c>
      <c r="N2636" s="2"/>
      <c r="O2636" s="3">
        <v>14419</v>
      </c>
      <c r="P2636">
        <v>0</v>
      </c>
      <c r="Q2636">
        <v>4</v>
      </c>
      <c r="R2636" t="s">
        <v>28</v>
      </c>
      <c r="S2636">
        <v>1</v>
      </c>
    </row>
    <row r="2637" spans="1:19" ht="16.5" x14ac:dyDescent="0.3">
      <c r="A2637" t="s">
        <v>2700</v>
      </c>
      <c r="B2637" s="1">
        <v>45648</v>
      </c>
      <c r="C2637" s="1">
        <v>45652</v>
      </c>
      <c r="D2637">
        <v>2024</v>
      </c>
      <c r="E2637" t="s">
        <v>2026</v>
      </c>
      <c r="F2637" t="s">
        <v>2496</v>
      </c>
      <c r="G2637" t="s">
        <v>112</v>
      </c>
      <c r="H2637" t="s">
        <v>39</v>
      </c>
      <c r="I2637" t="s">
        <v>40</v>
      </c>
      <c r="J2637" t="s">
        <v>25</v>
      </c>
      <c r="K2637" t="s">
        <v>41</v>
      </c>
      <c r="L2637" t="s">
        <v>44</v>
      </c>
      <c r="M2637">
        <v>4</v>
      </c>
      <c r="N2637" s="2"/>
      <c r="O2637" s="3">
        <v>3048</v>
      </c>
      <c r="P2637">
        <v>0</v>
      </c>
      <c r="Q2637">
        <v>4</v>
      </c>
      <c r="R2637" t="s">
        <v>33</v>
      </c>
      <c r="S2637">
        <v>1</v>
      </c>
    </row>
    <row r="2638" spans="1:19" ht="16.5" x14ac:dyDescent="0.3">
      <c r="A2638" t="s">
        <v>2701</v>
      </c>
      <c r="B2638" s="1">
        <v>45648</v>
      </c>
      <c r="C2638" s="1">
        <v>45650</v>
      </c>
      <c r="D2638">
        <v>2024</v>
      </c>
      <c r="E2638" t="s">
        <v>2026</v>
      </c>
      <c r="F2638" t="s">
        <v>2496</v>
      </c>
      <c r="G2638" t="s">
        <v>112</v>
      </c>
      <c r="H2638" t="s">
        <v>35</v>
      </c>
      <c r="I2638" t="s">
        <v>24</v>
      </c>
      <c r="J2638" t="s">
        <v>25</v>
      </c>
      <c r="K2638" t="s">
        <v>32</v>
      </c>
      <c r="L2638" t="s">
        <v>44</v>
      </c>
      <c r="M2638">
        <v>2</v>
      </c>
      <c r="N2638" s="2">
        <v>31</v>
      </c>
      <c r="O2638" s="3">
        <v>1891</v>
      </c>
      <c r="P2638">
        <v>0</v>
      </c>
      <c r="Q2638">
        <v>5</v>
      </c>
      <c r="R2638" t="s">
        <v>33</v>
      </c>
      <c r="S2638">
        <v>1</v>
      </c>
    </row>
    <row r="2639" spans="1:19" ht="16.5" x14ac:dyDescent="0.3">
      <c r="A2639" t="s">
        <v>2702</v>
      </c>
      <c r="B2639" s="1">
        <v>45649</v>
      </c>
      <c r="C2639" s="1">
        <v>45657</v>
      </c>
      <c r="D2639">
        <v>2024</v>
      </c>
      <c r="E2639" t="s">
        <v>2026</v>
      </c>
      <c r="F2639" t="s">
        <v>2496</v>
      </c>
      <c r="G2639" t="s">
        <v>22</v>
      </c>
      <c r="H2639" t="s">
        <v>23</v>
      </c>
      <c r="I2639" t="s">
        <v>24</v>
      </c>
      <c r="J2639" t="s">
        <v>25</v>
      </c>
      <c r="K2639" t="s">
        <v>53</v>
      </c>
      <c r="L2639" t="s">
        <v>44</v>
      </c>
      <c r="M2639">
        <v>8</v>
      </c>
      <c r="N2639" s="2">
        <v>218</v>
      </c>
      <c r="O2639" s="3">
        <v>5346</v>
      </c>
      <c r="P2639">
        <v>0</v>
      </c>
      <c r="Q2639">
        <v>3</v>
      </c>
      <c r="R2639" t="s">
        <v>33</v>
      </c>
      <c r="S2639">
        <v>1</v>
      </c>
    </row>
    <row r="2640" spans="1:19" ht="16.5" x14ac:dyDescent="0.3">
      <c r="A2640" t="s">
        <v>2703</v>
      </c>
      <c r="B2640" s="1">
        <v>45649</v>
      </c>
      <c r="C2640" s="1">
        <v>45652</v>
      </c>
      <c r="D2640">
        <v>2024</v>
      </c>
      <c r="E2640" t="s">
        <v>2026</v>
      </c>
      <c r="F2640" t="s">
        <v>2496</v>
      </c>
      <c r="G2640" t="s">
        <v>22</v>
      </c>
      <c r="H2640" t="s">
        <v>30</v>
      </c>
      <c r="I2640" t="s">
        <v>40</v>
      </c>
      <c r="J2640" t="s">
        <v>43</v>
      </c>
      <c r="K2640" t="s">
        <v>32</v>
      </c>
      <c r="L2640" t="s">
        <v>44</v>
      </c>
      <c r="M2640">
        <v>3</v>
      </c>
      <c r="N2640" s="2"/>
      <c r="O2640" s="3">
        <v>5193</v>
      </c>
      <c r="P2640">
        <v>0</v>
      </c>
      <c r="Q2640">
        <v>3</v>
      </c>
      <c r="R2640" t="s">
        <v>33</v>
      </c>
      <c r="S2640">
        <v>1</v>
      </c>
    </row>
    <row r="2641" spans="1:19" ht="16.5" x14ac:dyDescent="0.3">
      <c r="A2641" t="s">
        <v>2704</v>
      </c>
      <c r="B2641" s="1">
        <v>45649</v>
      </c>
      <c r="C2641" s="1">
        <v>45655</v>
      </c>
      <c r="D2641">
        <v>2024</v>
      </c>
      <c r="E2641" t="s">
        <v>2026</v>
      </c>
      <c r="F2641" t="s">
        <v>2496</v>
      </c>
      <c r="G2641" t="s">
        <v>22</v>
      </c>
      <c r="H2641" t="s">
        <v>23</v>
      </c>
      <c r="I2641" t="s">
        <v>24</v>
      </c>
      <c r="J2641" t="s">
        <v>25</v>
      </c>
      <c r="K2641" t="s">
        <v>36</v>
      </c>
      <c r="L2641" t="s">
        <v>37</v>
      </c>
      <c r="M2641">
        <v>6</v>
      </c>
      <c r="N2641" s="2">
        <v>82</v>
      </c>
      <c r="O2641" s="3">
        <v>4753</v>
      </c>
      <c r="P2641">
        <v>0</v>
      </c>
      <c r="Q2641">
        <v>3</v>
      </c>
      <c r="R2641" t="s">
        <v>28</v>
      </c>
      <c r="S2641">
        <v>1</v>
      </c>
    </row>
    <row r="2642" spans="1:19" ht="16.5" x14ac:dyDescent="0.3">
      <c r="A2642" t="s">
        <v>2705</v>
      </c>
      <c r="B2642" s="1">
        <v>45649</v>
      </c>
      <c r="C2642" s="1">
        <v>45657</v>
      </c>
      <c r="D2642">
        <v>2024</v>
      </c>
      <c r="E2642" t="s">
        <v>2026</v>
      </c>
      <c r="F2642" t="s">
        <v>2496</v>
      </c>
      <c r="G2642" t="s">
        <v>22</v>
      </c>
      <c r="H2642" t="s">
        <v>52</v>
      </c>
      <c r="I2642" t="s">
        <v>24</v>
      </c>
      <c r="J2642" t="s">
        <v>25</v>
      </c>
      <c r="K2642" t="s">
        <v>26</v>
      </c>
      <c r="L2642" t="s">
        <v>37</v>
      </c>
      <c r="M2642">
        <v>8</v>
      </c>
      <c r="N2642" s="2">
        <v>137</v>
      </c>
      <c r="O2642" s="3">
        <v>5791</v>
      </c>
      <c r="P2642">
        <v>0</v>
      </c>
      <c r="Q2642">
        <v>3</v>
      </c>
      <c r="R2642" t="s">
        <v>33</v>
      </c>
      <c r="S2642">
        <v>1</v>
      </c>
    </row>
    <row r="2643" spans="1:19" ht="16.5" x14ac:dyDescent="0.3">
      <c r="A2643" t="s">
        <v>2706</v>
      </c>
      <c r="B2643" s="1">
        <v>45649</v>
      </c>
      <c r="C2643" s="1">
        <v>45652</v>
      </c>
      <c r="D2643">
        <v>2024</v>
      </c>
      <c r="E2643" t="s">
        <v>2026</v>
      </c>
      <c r="F2643" t="s">
        <v>2496</v>
      </c>
      <c r="G2643" t="s">
        <v>22</v>
      </c>
      <c r="H2643" t="s">
        <v>23</v>
      </c>
      <c r="I2643" t="s">
        <v>24</v>
      </c>
      <c r="J2643" t="s">
        <v>43</v>
      </c>
      <c r="K2643" t="s">
        <v>26</v>
      </c>
      <c r="L2643" t="s">
        <v>37</v>
      </c>
      <c r="M2643">
        <v>3</v>
      </c>
      <c r="N2643" s="2">
        <v>44</v>
      </c>
      <c r="O2643" s="3">
        <v>2913</v>
      </c>
      <c r="P2643">
        <v>0</v>
      </c>
      <c r="Q2643">
        <v>4</v>
      </c>
      <c r="R2643" t="s">
        <v>33</v>
      </c>
      <c r="S2643">
        <v>1</v>
      </c>
    </row>
    <row r="2644" spans="1:19" ht="16.5" x14ac:dyDescent="0.3">
      <c r="A2644" t="s">
        <v>2707</v>
      </c>
      <c r="B2644" s="1">
        <v>45649</v>
      </c>
      <c r="C2644" s="1">
        <v>45653</v>
      </c>
      <c r="D2644">
        <v>2024</v>
      </c>
      <c r="E2644" t="s">
        <v>2026</v>
      </c>
      <c r="F2644" t="s">
        <v>2496</v>
      </c>
      <c r="G2644" t="s">
        <v>22</v>
      </c>
      <c r="H2644" t="s">
        <v>52</v>
      </c>
      <c r="I2644" t="s">
        <v>40</v>
      </c>
      <c r="J2644" t="s">
        <v>25</v>
      </c>
      <c r="K2644" t="s">
        <v>32</v>
      </c>
      <c r="L2644" t="s">
        <v>44</v>
      </c>
      <c r="M2644">
        <v>4</v>
      </c>
      <c r="N2644" s="2"/>
      <c r="O2644" s="3">
        <v>4502</v>
      </c>
      <c r="P2644">
        <v>0</v>
      </c>
      <c r="Q2644">
        <v>5</v>
      </c>
      <c r="R2644" t="s">
        <v>28</v>
      </c>
      <c r="S2644">
        <v>1</v>
      </c>
    </row>
    <row r="2645" spans="1:19" ht="16.5" x14ac:dyDescent="0.3">
      <c r="A2645" t="s">
        <v>2708</v>
      </c>
      <c r="B2645" s="1">
        <v>45649</v>
      </c>
      <c r="C2645" s="1">
        <v>45657</v>
      </c>
      <c r="D2645">
        <v>2024</v>
      </c>
      <c r="E2645" t="s">
        <v>2026</v>
      </c>
      <c r="F2645" t="s">
        <v>2496</v>
      </c>
      <c r="G2645" t="s">
        <v>22</v>
      </c>
      <c r="H2645" t="s">
        <v>30</v>
      </c>
      <c r="I2645" t="s">
        <v>40</v>
      </c>
      <c r="J2645" t="s">
        <v>25</v>
      </c>
      <c r="K2645" t="s">
        <v>36</v>
      </c>
      <c r="L2645" t="s">
        <v>44</v>
      </c>
      <c r="M2645">
        <v>8</v>
      </c>
      <c r="N2645" s="2"/>
      <c r="O2645" s="3">
        <v>10053</v>
      </c>
      <c r="P2645">
        <v>0</v>
      </c>
      <c r="Q2645">
        <v>3</v>
      </c>
      <c r="R2645" t="s">
        <v>165</v>
      </c>
      <c r="S2645">
        <v>1</v>
      </c>
    </row>
    <row r="2646" spans="1:19" ht="16.5" x14ac:dyDescent="0.3">
      <c r="A2646" t="s">
        <v>2709</v>
      </c>
      <c r="B2646" s="1">
        <v>45649</v>
      </c>
      <c r="C2646" s="1">
        <v>45650</v>
      </c>
      <c r="D2646">
        <v>2024</v>
      </c>
      <c r="E2646" t="s">
        <v>2026</v>
      </c>
      <c r="F2646" t="s">
        <v>2496</v>
      </c>
      <c r="G2646" t="s">
        <v>22</v>
      </c>
      <c r="H2646" t="s">
        <v>23</v>
      </c>
      <c r="I2646" t="s">
        <v>24</v>
      </c>
      <c r="J2646" t="s">
        <v>25</v>
      </c>
      <c r="K2646" t="s">
        <v>53</v>
      </c>
      <c r="L2646" t="s">
        <v>44</v>
      </c>
      <c r="M2646">
        <v>1</v>
      </c>
      <c r="N2646" s="2">
        <v>77</v>
      </c>
      <c r="O2646" s="3">
        <v>1785</v>
      </c>
      <c r="P2646">
        <v>1</v>
      </c>
      <c r="Q2646">
        <v>4</v>
      </c>
      <c r="R2646" t="s">
        <v>33</v>
      </c>
      <c r="S2646">
        <v>1</v>
      </c>
    </row>
    <row r="2647" spans="1:19" ht="16.5" x14ac:dyDescent="0.3">
      <c r="A2647" t="s">
        <v>2710</v>
      </c>
      <c r="B2647" s="1">
        <v>45649</v>
      </c>
      <c r="C2647" s="1">
        <v>45651</v>
      </c>
      <c r="D2647">
        <v>2024</v>
      </c>
      <c r="E2647" t="s">
        <v>2026</v>
      </c>
      <c r="F2647" t="s">
        <v>2496</v>
      </c>
      <c r="G2647" t="s">
        <v>22</v>
      </c>
      <c r="H2647" t="s">
        <v>35</v>
      </c>
      <c r="I2647" t="s">
        <v>40</v>
      </c>
      <c r="J2647" t="s">
        <v>25</v>
      </c>
      <c r="K2647" t="s">
        <v>32</v>
      </c>
      <c r="L2647" t="s">
        <v>37</v>
      </c>
      <c r="M2647">
        <v>2</v>
      </c>
      <c r="N2647" s="2"/>
      <c r="O2647" s="3">
        <v>1871</v>
      </c>
      <c r="P2647">
        <v>0</v>
      </c>
      <c r="Q2647">
        <v>4</v>
      </c>
      <c r="R2647" t="s">
        <v>33</v>
      </c>
      <c r="S2647">
        <v>1</v>
      </c>
    </row>
    <row r="2648" spans="1:19" ht="16.5" x14ac:dyDescent="0.3">
      <c r="A2648" t="s">
        <v>2711</v>
      </c>
      <c r="B2648" s="1">
        <v>45649</v>
      </c>
      <c r="C2648" s="1">
        <v>45659</v>
      </c>
      <c r="D2648">
        <v>2024</v>
      </c>
      <c r="E2648" t="s">
        <v>2026</v>
      </c>
      <c r="F2648" t="s">
        <v>2496</v>
      </c>
      <c r="G2648" t="s">
        <v>22</v>
      </c>
      <c r="H2648" t="s">
        <v>23</v>
      </c>
      <c r="I2648" t="s">
        <v>24</v>
      </c>
      <c r="J2648" t="s">
        <v>43</v>
      </c>
      <c r="K2648" t="s">
        <v>32</v>
      </c>
      <c r="L2648" t="s">
        <v>37</v>
      </c>
      <c r="M2648">
        <v>10</v>
      </c>
      <c r="N2648" s="2">
        <v>79</v>
      </c>
      <c r="O2648" s="3">
        <v>6832</v>
      </c>
      <c r="P2648">
        <v>0</v>
      </c>
      <c r="Q2648">
        <v>4</v>
      </c>
      <c r="R2648" t="s">
        <v>33</v>
      </c>
      <c r="S2648">
        <v>1</v>
      </c>
    </row>
    <row r="2649" spans="1:19" ht="16.5" x14ac:dyDescent="0.3">
      <c r="A2649" t="s">
        <v>2712</v>
      </c>
      <c r="B2649" s="1">
        <v>45649</v>
      </c>
      <c r="C2649" s="1">
        <v>45650</v>
      </c>
      <c r="D2649">
        <v>2024</v>
      </c>
      <c r="E2649" t="s">
        <v>2026</v>
      </c>
      <c r="F2649" t="s">
        <v>2496</v>
      </c>
      <c r="G2649" t="s">
        <v>22</v>
      </c>
      <c r="H2649" t="s">
        <v>35</v>
      </c>
      <c r="I2649" t="s">
        <v>40</v>
      </c>
      <c r="J2649" t="s">
        <v>25</v>
      </c>
      <c r="K2649" t="s">
        <v>36</v>
      </c>
      <c r="L2649" t="s">
        <v>27</v>
      </c>
      <c r="M2649">
        <v>1</v>
      </c>
      <c r="N2649" s="2"/>
      <c r="O2649" s="3">
        <v>1311</v>
      </c>
      <c r="P2649">
        <v>0</v>
      </c>
      <c r="Q2649">
        <v>5</v>
      </c>
      <c r="R2649" t="s">
        <v>33</v>
      </c>
      <c r="S2649">
        <v>1</v>
      </c>
    </row>
    <row r="2650" spans="1:19" ht="16.5" x14ac:dyDescent="0.3">
      <c r="A2650" t="s">
        <v>2713</v>
      </c>
      <c r="B2650" s="1">
        <v>45649</v>
      </c>
      <c r="C2650" s="1">
        <v>45651</v>
      </c>
      <c r="D2650">
        <v>2024</v>
      </c>
      <c r="E2650" t="s">
        <v>2026</v>
      </c>
      <c r="F2650" t="s">
        <v>2496</v>
      </c>
      <c r="G2650" t="s">
        <v>22</v>
      </c>
      <c r="H2650" t="s">
        <v>39</v>
      </c>
      <c r="I2650" t="s">
        <v>24</v>
      </c>
      <c r="J2650" t="s">
        <v>25</v>
      </c>
      <c r="K2650" t="s">
        <v>41</v>
      </c>
      <c r="L2650" t="s">
        <v>27</v>
      </c>
      <c r="M2650">
        <v>2</v>
      </c>
      <c r="N2650" s="2">
        <v>111</v>
      </c>
      <c r="O2650" s="3">
        <v>1966</v>
      </c>
      <c r="P2650">
        <v>0</v>
      </c>
      <c r="Q2650">
        <v>3</v>
      </c>
      <c r="R2650" t="s">
        <v>33</v>
      </c>
      <c r="S2650">
        <v>1</v>
      </c>
    </row>
    <row r="2651" spans="1:19" ht="16.5" x14ac:dyDescent="0.3">
      <c r="A2651" t="s">
        <v>2714</v>
      </c>
      <c r="B2651" s="1">
        <v>45649</v>
      </c>
      <c r="C2651" s="1">
        <v>45653</v>
      </c>
      <c r="D2651">
        <v>2024</v>
      </c>
      <c r="E2651" t="s">
        <v>2026</v>
      </c>
      <c r="F2651" t="s">
        <v>2496</v>
      </c>
      <c r="G2651" t="s">
        <v>22</v>
      </c>
      <c r="H2651" t="s">
        <v>39</v>
      </c>
      <c r="I2651" t="s">
        <v>24</v>
      </c>
      <c r="J2651" t="s">
        <v>43</v>
      </c>
      <c r="K2651" t="s">
        <v>41</v>
      </c>
      <c r="L2651" t="s">
        <v>44</v>
      </c>
      <c r="M2651">
        <v>4</v>
      </c>
      <c r="N2651" s="2">
        <v>108</v>
      </c>
      <c r="O2651" s="3">
        <v>2809</v>
      </c>
      <c r="P2651">
        <v>0</v>
      </c>
      <c r="Q2651">
        <v>3</v>
      </c>
      <c r="R2651" t="s">
        <v>28</v>
      </c>
      <c r="S2651">
        <v>1</v>
      </c>
    </row>
    <row r="2652" spans="1:19" ht="16.5" x14ac:dyDescent="0.3">
      <c r="A2652" t="s">
        <v>2715</v>
      </c>
      <c r="B2652" s="1">
        <v>45649</v>
      </c>
      <c r="C2652" s="1">
        <v>45651</v>
      </c>
      <c r="D2652">
        <v>2024</v>
      </c>
      <c r="E2652" t="s">
        <v>2026</v>
      </c>
      <c r="F2652" t="s">
        <v>2496</v>
      </c>
      <c r="G2652" t="s">
        <v>22</v>
      </c>
      <c r="H2652" t="s">
        <v>39</v>
      </c>
      <c r="I2652" t="s">
        <v>40</v>
      </c>
      <c r="J2652" t="s">
        <v>25</v>
      </c>
      <c r="K2652" t="s">
        <v>41</v>
      </c>
      <c r="L2652" t="s">
        <v>37</v>
      </c>
      <c r="M2652">
        <v>2</v>
      </c>
      <c r="N2652" s="2"/>
      <c r="O2652" s="3">
        <v>1999</v>
      </c>
      <c r="P2652">
        <v>0</v>
      </c>
      <c r="Q2652">
        <v>4</v>
      </c>
      <c r="R2652" t="s">
        <v>28</v>
      </c>
      <c r="S2652">
        <v>1</v>
      </c>
    </row>
    <row r="2653" spans="1:19" ht="16.5" x14ac:dyDescent="0.3">
      <c r="A2653" t="s">
        <v>2716</v>
      </c>
      <c r="B2653" s="1">
        <v>45649</v>
      </c>
      <c r="C2653" s="1">
        <v>45651</v>
      </c>
      <c r="D2653">
        <v>2024</v>
      </c>
      <c r="E2653" t="s">
        <v>2026</v>
      </c>
      <c r="F2653" t="s">
        <v>2496</v>
      </c>
      <c r="G2653" t="s">
        <v>22</v>
      </c>
      <c r="H2653" t="s">
        <v>39</v>
      </c>
      <c r="I2653" t="s">
        <v>24</v>
      </c>
      <c r="J2653" t="s">
        <v>43</v>
      </c>
      <c r="K2653" t="s">
        <v>41</v>
      </c>
      <c r="L2653" t="s">
        <v>27</v>
      </c>
      <c r="M2653">
        <v>2</v>
      </c>
      <c r="N2653" s="2">
        <v>59</v>
      </c>
      <c r="O2653" s="3">
        <v>1672</v>
      </c>
      <c r="P2653">
        <v>0</v>
      </c>
      <c r="Q2653">
        <v>5</v>
      </c>
      <c r="R2653" t="s">
        <v>33</v>
      </c>
      <c r="S2653">
        <v>1</v>
      </c>
    </row>
    <row r="2654" spans="1:19" ht="16.5" x14ac:dyDescent="0.3">
      <c r="A2654" t="s">
        <v>2717</v>
      </c>
      <c r="B2654" s="1">
        <v>45649</v>
      </c>
      <c r="C2654" s="1">
        <v>45654</v>
      </c>
      <c r="D2654">
        <v>2024</v>
      </c>
      <c r="E2654" t="s">
        <v>2026</v>
      </c>
      <c r="F2654" t="s">
        <v>2496</v>
      </c>
      <c r="G2654" t="s">
        <v>22</v>
      </c>
      <c r="H2654" t="s">
        <v>35</v>
      </c>
      <c r="I2654" t="s">
        <v>24</v>
      </c>
      <c r="J2654" t="s">
        <v>25</v>
      </c>
      <c r="K2654" t="s">
        <v>32</v>
      </c>
      <c r="L2654" t="s">
        <v>27</v>
      </c>
      <c r="M2654">
        <v>5</v>
      </c>
      <c r="N2654" s="2">
        <v>130</v>
      </c>
      <c r="O2654" s="3">
        <v>4900</v>
      </c>
      <c r="P2654">
        <v>0</v>
      </c>
      <c r="Q2654">
        <v>3</v>
      </c>
      <c r="R2654" t="s">
        <v>33</v>
      </c>
      <c r="S2654">
        <v>1</v>
      </c>
    </row>
    <row r="2655" spans="1:19" ht="16.5" x14ac:dyDescent="0.3">
      <c r="A2655" t="s">
        <v>2718</v>
      </c>
      <c r="B2655" s="1">
        <v>45650</v>
      </c>
      <c r="C2655" s="1">
        <v>45652</v>
      </c>
      <c r="D2655">
        <v>2024</v>
      </c>
      <c r="E2655" t="s">
        <v>2026</v>
      </c>
      <c r="F2655" t="s">
        <v>2496</v>
      </c>
      <c r="G2655" t="s">
        <v>56</v>
      </c>
      <c r="H2655" t="s">
        <v>39</v>
      </c>
      <c r="I2655" t="s">
        <v>24</v>
      </c>
      <c r="J2655" t="s">
        <v>43</v>
      </c>
      <c r="K2655" t="s">
        <v>41</v>
      </c>
      <c r="L2655" t="s">
        <v>44</v>
      </c>
      <c r="M2655">
        <v>2</v>
      </c>
      <c r="N2655" s="2">
        <v>30</v>
      </c>
      <c r="O2655" s="3">
        <v>2323</v>
      </c>
      <c r="P2655">
        <v>0</v>
      </c>
      <c r="Q2655">
        <v>5</v>
      </c>
      <c r="R2655" t="s">
        <v>28</v>
      </c>
      <c r="S2655">
        <v>1</v>
      </c>
    </row>
    <row r="2656" spans="1:19" ht="16.5" x14ac:dyDescent="0.3">
      <c r="A2656" t="s">
        <v>2719</v>
      </c>
      <c r="B2656" s="1">
        <v>45650</v>
      </c>
      <c r="C2656" s="1">
        <v>45652</v>
      </c>
      <c r="D2656">
        <v>2024</v>
      </c>
      <c r="E2656" t="s">
        <v>2026</v>
      </c>
      <c r="F2656" t="s">
        <v>2496</v>
      </c>
      <c r="G2656" t="s">
        <v>56</v>
      </c>
      <c r="H2656" t="s">
        <v>50</v>
      </c>
      <c r="I2656" t="s">
        <v>40</v>
      </c>
      <c r="J2656" t="s">
        <v>25</v>
      </c>
      <c r="K2656" t="s">
        <v>26</v>
      </c>
      <c r="L2656" t="s">
        <v>44</v>
      </c>
      <c r="M2656">
        <v>2</v>
      </c>
      <c r="N2656" s="2"/>
      <c r="O2656" s="3">
        <v>2709</v>
      </c>
      <c r="P2656">
        <v>1</v>
      </c>
      <c r="Q2656">
        <v>3</v>
      </c>
      <c r="R2656" t="s">
        <v>33</v>
      </c>
      <c r="S2656">
        <v>1</v>
      </c>
    </row>
    <row r="2657" spans="1:19" ht="16.5" x14ac:dyDescent="0.3">
      <c r="A2657" t="s">
        <v>2720</v>
      </c>
      <c r="B2657" s="1">
        <v>45650</v>
      </c>
      <c r="C2657" s="1">
        <v>45652</v>
      </c>
      <c r="D2657">
        <v>2024</v>
      </c>
      <c r="E2657" t="s">
        <v>2026</v>
      </c>
      <c r="F2657" t="s">
        <v>2496</v>
      </c>
      <c r="G2657" t="s">
        <v>56</v>
      </c>
      <c r="H2657" t="s">
        <v>39</v>
      </c>
      <c r="I2657" t="s">
        <v>24</v>
      </c>
      <c r="J2657" t="s">
        <v>43</v>
      </c>
      <c r="K2657" t="s">
        <v>41</v>
      </c>
      <c r="L2657" t="s">
        <v>44</v>
      </c>
      <c r="M2657">
        <v>2</v>
      </c>
      <c r="N2657" s="2">
        <v>90</v>
      </c>
      <c r="O2657" s="3">
        <v>1856</v>
      </c>
      <c r="P2657">
        <v>0</v>
      </c>
      <c r="Q2657">
        <v>4</v>
      </c>
      <c r="R2657" t="s">
        <v>33</v>
      </c>
      <c r="S2657">
        <v>1</v>
      </c>
    </row>
    <row r="2658" spans="1:19" ht="16.5" x14ac:dyDescent="0.3">
      <c r="A2658" t="s">
        <v>2721</v>
      </c>
      <c r="B2658" s="1">
        <v>45650</v>
      </c>
      <c r="C2658" s="1">
        <v>45651</v>
      </c>
      <c r="D2658">
        <v>2024</v>
      </c>
      <c r="E2658" t="s">
        <v>2026</v>
      </c>
      <c r="F2658" t="s">
        <v>2496</v>
      </c>
      <c r="G2658" t="s">
        <v>56</v>
      </c>
      <c r="H2658" t="s">
        <v>52</v>
      </c>
      <c r="I2658" t="s">
        <v>24</v>
      </c>
      <c r="J2658" t="s">
        <v>43</v>
      </c>
      <c r="K2658" t="s">
        <v>53</v>
      </c>
      <c r="L2658" t="s">
        <v>44</v>
      </c>
      <c r="M2658">
        <v>1</v>
      </c>
      <c r="N2658" s="2">
        <v>148</v>
      </c>
      <c r="O2658" s="3">
        <v>1804</v>
      </c>
      <c r="P2658">
        <v>0</v>
      </c>
      <c r="Q2658">
        <v>3</v>
      </c>
      <c r="R2658" t="s">
        <v>33</v>
      </c>
      <c r="S2658">
        <v>1</v>
      </c>
    </row>
    <row r="2659" spans="1:19" ht="16.5" x14ac:dyDescent="0.3">
      <c r="A2659" t="s">
        <v>2722</v>
      </c>
      <c r="B2659" s="1">
        <v>45650</v>
      </c>
      <c r="C2659" s="1">
        <v>45651</v>
      </c>
      <c r="D2659">
        <v>2024</v>
      </c>
      <c r="E2659" t="s">
        <v>2026</v>
      </c>
      <c r="F2659" t="s">
        <v>2496</v>
      </c>
      <c r="G2659" t="s">
        <v>56</v>
      </c>
      <c r="H2659" t="s">
        <v>52</v>
      </c>
      <c r="I2659" t="s">
        <v>40</v>
      </c>
      <c r="J2659" t="s">
        <v>25</v>
      </c>
      <c r="K2659" t="s">
        <v>53</v>
      </c>
      <c r="L2659" t="s">
        <v>44</v>
      </c>
      <c r="M2659">
        <v>1</v>
      </c>
      <c r="N2659" s="2"/>
      <c r="O2659" s="3">
        <v>2003</v>
      </c>
      <c r="P2659">
        <v>0</v>
      </c>
      <c r="Q2659">
        <v>4</v>
      </c>
      <c r="R2659" t="s">
        <v>28</v>
      </c>
      <c r="S2659">
        <v>1</v>
      </c>
    </row>
    <row r="2660" spans="1:19" ht="16.5" x14ac:dyDescent="0.3">
      <c r="A2660" t="s">
        <v>2723</v>
      </c>
      <c r="B2660" s="1">
        <v>45650</v>
      </c>
      <c r="C2660" s="1">
        <v>45653</v>
      </c>
      <c r="D2660">
        <v>2024</v>
      </c>
      <c r="E2660" t="s">
        <v>2026</v>
      </c>
      <c r="F2660" t="s">
        <v>2496</v>
      </c>
      <c r="G2660" t="s">
        <v>56</v>
      </c>
      <c r="H2660" t="s">
        <v>39</v>
      </c>
      <c r="I2660" t="s">
        <v>24</v>
      </c>
      <c r="J2660" t="s">
        <v>25</v>
      </c>
      <c r="K2660" t="s">
        <v>41</v>
      </c>
      <c r="L2660" t="s">
        <v>44</v>
      </c>
      <c r="M2660">
        <v>3</v>
      </c>
      <c r="N2660" s="2">
        <v>152</v>
      </c>
      <c r="O2660" s="3">
        <v>1993</v>
      </c>
      <c r="P2660">
        <v>0</v>
      </c>
      <c r="Q2660">
        <v>3</v>
      </c>
      <c r="R2660" t="s">
        <v>33</v>
      </c>
      <c r="S2660">
        <v>1</v>
      </c>
    </row>
    <row r="2661" spans="1:19" ht="16.5" x14ac:dyDescent="0.3">
      <c r="A2661" t="s">
        <v>2724</v>
      </c>
      <c r="B2661" s="1">
        <v>45650</v>
      </c>
      <c r="C2661" s="1">
        <v>45654</v>
      </c>
      <c r="D2661">
        <v>2024</v>
      </c>
      <c r="E2661" t="s">
        <v>2026</v>
      </c>
      <c r="F2661" t="s">
        <v>2496</v>
      </c>
      <c r="G2661" t="s">
        <v>56</v>
      </c>
      <c r="H2661" t="s">
        <v>50</v>
      </c>
      <c r="I2661" t="s">
        <v>24</v>
      </c>
      <c r="J2661" t="s">
        <v>43</v>
      </c>
      <c r="K2661" t="s">
        <v>26</v>
      </c>
      <c r="L2661" t="s">
        <v>37</v>
      </c>
      <c r="M2661">
        <v>4</v>
      </c>
      <c r="N2661" s="2">
        <v>61</v>
      </c>
      <c r="O2661" s="3">
        <v>5839</v>
      </c>
      <c r="P2661">
        <v>0</v>
      </c>
      <c r="Q2661">
        <v>5</v>
      </c>
      <c r="R2661" t="s">
        <v>33</v>
      </c>
      <c r="S2661">
        <v>1</v>
      </c>
    </row>
    <row r="2662" spans="1:19" ht="16.5" x14ac:dyDescent="0.3">
      <c r="A2662" t="s">
        <v>2725</v>
      </c>
      <c r="B2662" s="1">
        <v>45650</v>
      </c>
      <c r="C2662" s="1">
        <v>45652</v>
      </c>
      <c r="D2662">
        <v>2024</v>
      </c>
      <c r="E2662" t="s">
        <v>2026</v>
      </c>
      <c r="F2662" t="s">
        <v>2496</v>
      </c>
      <c r="G2662" t="s">
        <v>56</v>
      </c>
      <c r="H2662" t="s">
        <v>39</v>
      </c>
      <c r="I2662" t="s">
        <v>24</v>
      </c>
      <c r="J2662" t="s">
        <v>25</v>
      </c>
      <c r="K2662" t="s">
        <v>41</v>
      </c>
      <c r="L2662" t="s">
        <v>44</v>
      </c>
      <c r="M2662">
        <v>2</v>
      </c>
      <c r="N2662" s="2">
        <v>26</v>
      </c>
      <c r="O2662" s="3">
        <v>1924</v>
      </c>
      <c r="P2662">
        <v>0</v>
      </c>
      <c r="Q2662">
        <v>4</v>
      </c>
      <c r="R2662" t="s">
        <v>33</v>
      </c>
      <c r="S2662">
        <v>1</v>
      </c>
    </row>
    <row r="2663" spans="1:19" ht="16.5" x14ac:dyDescent="0.3">
      <c r="A2663" t="s">
        <v>2726</v>
      </c>
      <c r="B2663" s="1">
        <v>45650</v>
      </c>
      <c r="C2663" s="1">
        <v>45652</v>
      </c>
      <c r="D2663">
        <v>2024</v>
      </c>
      <c r="E2663" t="s">
        <v>2026</v>
      </c>
      <c r="F2663" t="s">
        <v>2496</v>
      </c>
      <c r="G2663" t="s">
        <v>56</v>
      </c>
      <c r="H2663" t="s">
        <v>35</v>
      </c>
      <c r="I2663" t="s">
        <v>24</v>
      </c>
      <c r="J2663" t="s">
        <v>25</v>
      </c>
      <c r="K2663" t="s">
        <v>32</v>
      </c>
      <c r="L2663" t="s">
        <v>44</v>
      </c>
      <c r="M2663">
        <v>2</v>
      </c>
      <c r="N2663" s="2">
        <v>145</v>
      </c>
      <c r="O2663" s="3">
        <v>2747</v>
      </c>
      <c r="P2663">
        <v>0</v>
      </c>
      <c r="Q2663">
        <v>3</v>
      </c>
      <c r="R2663" t="s">
        <v>33</v>
      </c>
      <c r="S2663">
        <v>1</v>
      </c>
    </row>
    <row r="2664" spans="1:19" ht="16.5" x14ac:dyDescent="0.3">
      <c r="A2664" t="s">
        <v>2727</v>
      </c>
      <c r="B2664" s="1">
        <v>45651</v>
      </c>
      <c r="C2664" s="1">
        <v>45652</v>
      </c>
      <c r="D2664">
        <v>2024</v>
      </c>
      <c r="E2664" t="s">
        <v>2026</v>
      </c>
      <c r="F2664" t="s">
        <v>2496</v>
      </c>
      <c r="G2664" t="s">
        <v>70</v>
      </c>
      <c r="H2664" t="s">
        <v>52</v>
      </c>
      <c r="I2664" t="s">
        <v>40</v>
      </c>
      <c r="J2664" t="s">
        <v>25</v>
      </c>
      <c r="K2664" t="s">
        <v>53</v>
      </c>
      <c r="L2664" t="s">
        <v>44</v>
      </c>
      <c r="M2664">
        <v>1</v>
      </c>
      <c r="N2664" s="2"/>
      <c r="O2664" s="3">
        <v>1553</v>
      </c>
      <c r="P2664">
        <v>0</v>
      </c>
      <c r="Q2664">
        <v>4</v>
      </c>
      <c r="R2664" t="s">
        <v>33</v>
      </c>
      <c r="S2664">
        <v>1</v>
      </c>
    </row>
    <row r="2665" spans="1:19" ht="16.5" x14ac:dyDescent="0.3">
      <c r="A2665" t="s">
        <v>2728</v>
      </c>
      <c r="B2665" s="1">
        <v>45651</v>
      </c>
      <c r="C2665" s="1">
        <v>45656</v>
      </c>
      <c r="D2665">
        <v>2024</v>
      </c>
      <c r="E2665" t="s">
        <v>2026</v>
      </c>
      <c r="F2665" t="s">
        <v>2496</v>
      </c>
      <c r="G2665" t="s">
        <v>70</v>
      </c>
      <c r="H2665" t="s">
        <v>35</v>
      </c>
      <c r="I2665" t="s">
        <v>40</v>
      </c>
      <c r="J2665" t="s">
        <v>25</v>
      </c>
      <c r="K2665" t="s">
        <v>36</v>
      </c>
      <c r="L2665" t="s">
        <v>44</v>
      </c>
      <c r="M2665">
        <v>5</v>
      </c>
      <c r="N2665" s="2"/>
      <c r="O2665" s="3">
        <v>4916</v>
      </c>
      <c r="P2665">
        <v>0</v>
      </c>
      <c r="Q2665">
        <v>5</v>
      </c>
      <c r="R2665" t="s">
        <v>33</v>
      </c>
      <c r="S2665">
        <v>1</v>
      </c>
    </row>
    <row r="2666" spans="1:19" ht="16.5" x14ac:dyDescent="0.3">
      <c r="A2666" t="s">
        <v>2729</v>
      </c>
      <c r="B2666" s="1">
        <v>45651</v>
      </c>
      <c r="C2666" s="1">
        <v>45656</v>
      </c>
      <c r="D2666">
        <v>2024</v>
      </c>
      <c r="E2666" t="s">
        <v>2026</v>
      </c>
      <c r="F2666" t="s">
        <v>2496</v>
      </c>
      <c r="G2666" t="s">
        <v>70</v>
      </c>
      <c r="H2666" t="s">
        <v>50</v>
      </c>
      <c r="I2666" t="s">
        <v>24</v>
      </c>
      <c r="J2666" t="s">
        <v>25</v>
      </c>
      <c r="K2666" t="s">
        <v>32</v>
      </c>
      <c r="L2666" t="s">
        <v>44</v>
      </c>
      <c r="M2666">
        <v>5</v>
      </c>
      <c r="N2666" s="2">
        <v>14</v>
      </c>
      <c r="O2666" s="3">
        <v>6367</v>
      </c>
      <c r="P2666">
        <v>0</v>
      </c>
      <c r="Q2666">
        <v>4</v>
      </c>
      <c r="R2666" t="s">
        <v>33</v>
      </c>
      <c r="S2666">
        <v>1</v>
      </c>
    </row>
    <row r="2667" spans="1:19" ht="16.5" x14ac:dyDescent="0.3">
      <c r="A2667" t="s">
        <v>2730</v>
      </c>
      <c r="B2667" s="1">
        <v>45651</v>
      </c>
      <c r="C2667" s="1">
        <v>45654</v>
      </c>
      <c r="D2667">
        <v>2024</v>
      </c>
      <c r="E2667" t="s">
        <v>2026</v>
      </c>
      <c r="F2667" t="s">
        <v>2496</v>
      </c>
      <c r="G2667" t="s">
        <v>70</v>
      </c>
      <c r="H2667" t="s">
        <v>30</v>
      </c>
      <c r="I2667" t="s">
        <v>24</v>
      </c>
      <c r="J2667" t="s">
        <v>25</v>
      </c>
      <c r="K2667" t="s">
        <v>32</v>
      </c>
      <c r="L2667" t="s">
        <v>37</v>
      </c>
      <c r="M2667">
        <v>3</v>
      </c>
      <c r="N2667" s="2">
        <v>15</v>
      </c>
      <c r="O2667" s="3">
        <v>4139</v>
      </c>
      <c r="P2667">
        <v>1</v>
      </c>
      <c r="Q2667">
        <v>4</v>
      </c>
      <c r="R2667" t="s">
        <v>28</v>
      </c>
      <c r="S2667">
        <v>1</v>
      </c>
    </row>
    <row r="2668" spans="1:19" ht="16.5" x14ac:dyDescent="0.3">
      <c r="A2668" t="s">
        <v>2731</v>
      </c>
      <c r="B2668" s="1">
        <v>45651</v>
      </c>
      <c r="C2668" s="1">
        <v>45656</v>
      </c>
      <c r="D2668">
        <v>2024</v>
      </c>
      <c r="E2668" t="s">
        <v>2026</v>
      </c>
      <c r="F2668" t="s">
        <v>2496</v>
      </c>
      <c r="G2668" t="s">
        <v>70</v>
      </c>
      <c r="H2668" t="s">
        <v>35</v>
      </c>
      <c r="I2668" t="s">
        <v>24</v>
      </c>
      <c r="J2668" t="s">
        <v>25</v>
      </c>
      <c r="K2668" t="s">
        <v>36</v>
      </c>
      <c r="L2668" t="s">
        <v>44</v>
      </c>
      <c r="M2668">
        <v>5</v>
      </c>
      <c r="N2668" s="2">
        <v>79</v>
      </c>
      <c r="O2668" s="3">
        <v>4000</v>
      </c>
      <c r="P2668">
        <v>0</v>
      </c>
      <c r="Q2668">
        <v>5</v>
      </c>
      <c r="R2668" t="s">
        <v>33</v>
      </c>
      <c r="S2668">
        <v>1</v>
      </c>
    </row>
    <row r="2669" spans="1:19" ht="16.5" x14ac:dyDescent="0.3">
      <c r="A2669" t="s">
        <v>2732</v>
      </c>
      <c r="B2669" s="1">
        <v>45651</v>
      </c>
      <c r="C2669" s="1">
        <v>45653</v>
      </c>
      <c r="D2669">
        <v>2024</v>
      </c>
      <c r="E2669" t="s">
        <v>2026</v>
      </c>
      <c r="F2669" t="s">
        <v>2496</v>
      </c>
      <c r="G2669" t="s">
        <v>70</v>
      </c>
      <c r="H2669" t="s">
        <v>30</v>
      </c>
      <c r="I2669" t="s">
        <v>24</v>
      </c>
      <c r="J2669" t="s">
        <v>25</v>
      </c>
      <c r="K2669" t="s">
        <v>32</v>
      </c>
      <c r="L2669" t="s">
        <v>27</v>
      </c>
      <c r="M2669">
        <v>2</v>
      </c>
      <c r="N2669" s="2">
        <v>64</v>
      </c>
      <c r="O2669" s="3">
        <v>2491</v>
      </c>
      <c r="P2669">
        <v>0</v>
      </c>
      <c r="Q2669">
        <v>4</v>
      </c>
      <c r="R2669" t="s">
        <v>33</v>
      </c>
      <c r="S2669">
        <v>1</v>
      </c>
    </row>
    <row r="2670" spans="1:19" ht="16.5" x14ac:dyDescent="0.3">
      <c r="A2670" t="s">
        <v>2733</v>
      </c>
      <c r="B2670" s="1">
        <v>45651</v>
      </c>
      <c r="C2670" s="1">
        <v>45655</v>
      </c>
      <c r="D2670">
        <v>2024</v>
      </c>
      <c r="E2670" t="s">
        <v>2026</v>
      </c>
      <c r="F2670" t="s">
        <v>2496</v>
      </c>
      <c r="G2670" t="s">
        <v>70</v>
      </c>
      <c r="H2670" t="s">
        <v>23</v>
      </c>
      <c r="I2670" t="s">
        <v>24</v>
      </c>
      <c r="J2670" t="s">
        <v>43</v>
      </c>
      <c r="K2670" t="s">
        <v>32</v>
      </c>
      <c r="L2670" t="s">
        <v>37</v>
      </c>
      <c r="M2670">
        <v>4</v>
      </c>
      <c r="N2670" s="2">
        <v>71</v>
      </c>
      <c r="O2670" s="3">
        <v>3959</v>
      </c>
      <c r="P2670">
        <v>0</v>
      </c>
      <c r="Q2670">
        <v>4</v>
      </c>
      <c r="R2670" t="s">
        <v>28</v>
      </c>
      <c r="S2670">
        <v>1</v>
      </c>
    </row>
    <row r="2671" spans="1:19" ht="16.5" x14ac:dyDescent="0.3">
      <c r="A2671" t="s">
        <v>2734</v>
      </c>
      <c r="B2671" s="1">
        <v>45651</v>
      </c>
      <c r="C2671" s="1">
        <v>45652</v>
      </c>
      <c r="D2671">
        <v>2024</v>
      </c>
      <c r="E2671" t="s">
        <v>2026</v>
      </c>
      <c r="F2671" t="s">
        <v>2496</v>
      </c>
      <c r="G2671" t="s">
        <v>70</v>
      </c>
      <c r="H2671" t="s">
        <v>52</v>
      </c>
      <c r="I2671" t="s">
        <v>40</v>
      </c>
      <c r="J2671" t="s">
        <v>25</v>
      </c>
      <c r="K2671" t="s">
        <v>26</v>
      </c>
      <c r="L2671" t="s">
        <v>44</v>
      </c>
      <c r="M2671">
        <v>1</v>
      </c>
      <c r="N2671" s="2"/>
      <c r="O2671" s="3">
        <v>2302</v>
      </c>
      <c r="P2671">
        <v>1</v>
      </c>
      <c r="Q2671">
        <v>3</v>
      </c>
      <c r="R2671" t="s">
        <v>33</v>
      </c>
      <c r="S2671">
        <v>1</v>
      </c>
    </row>
    <row r="2672" spans="1:19" ht="16.5" x14ac:dyDescent="0.3">
      <c r="A2672" t="s">
        <v>2735</v>
      </c>
      <c r="B2672" s="1">
        <v>45651</v>
      </c>
      <c r="C2672" s="1">
        <v>45653</v>
      </c>
      <c r="D2672">
        <v>2024</v>
      </c>
      <c r="E2672" t="s">
        <v>2026</v>
      </c>
      <c r="F2672" t="s">
        <v>2496</v>
      </c>
      <c r="G2672" t="s">
        <v>70</v>
      </c>
      <c r="H2672" t="s">
        <v>35</v>
      </c>
      <c r="I2672" t="s">
        <v>24</v>
      </c>
      <c r="J2672" t="s">
        <v>25</v>
      </c>
      <c r="K2672" t="s">
        <v>32</v>
      </c>
      <c r="L2672" t="s">
        <v>27</v>
      </c>
      <c r="M2672">
        <v>2</v>
      </c>
      <c r="N2672" s="2">
        <v>39</v>
      </c>
      <c r="O2672" s="3">
        <v>2144</v>
      </c>
      <c r="P2672">
        <v>0</v>
      </c>
      <c r="Q2672">
        <v>4</v>
      </c>
      <c r="R2672" t="s">
        <v>59</v>
      </c>
      <c r="S2672">
        <v>1</v>
      </c>
    </row>
    <row r="2673" spans="1:19" ht="16.5" x14ac:dyDescent="0.3">
      <c r="A2673" t="s">
        <v>2736</v>
      </c>
      <c r="B2673" s="1">
        <v>45651</v>
      </c>
      <c r="C2673" s="1">
        <v>45657</v>
      </c>
      <c r="D2673">
        <v>2024</v>
      </c>
      <c r="E2673" t="s">
        <v>2026</v>
      </c>
      <c r="F2673" t="s">
        <v>2496</v>
      </c>
      <c r="G2673" t="s">
        <v>70</v>
      </c>
      <c r="H2673" t="s">
        <v>35</v>
      </c>
      <c r="I2673" t="s">
        <v>24</v>
      </c>
      <c r="J2673" t="s">
        <v>25</v>
      </c>
      <c r="K2673" t="s">
        <v>36</v>
      </c>
      <c r="L2673" t="s">
        <v>44</v>
      </c>
      <c r="M2673">
        <v>6</v>
      </c>
      <c r="N2673" s="2">
        <v>59</v>
      </c>
      <c r="O2673" s="3">
        <v>4597</v>
      </c>
      <c r="P2673">
        <v>0</v>
      </c>
      <c r="Q2673">
        <v>5</v>
      </c>
      <c r="R2673" t="s">
        <v>59</v>
      </c>
      <c r="S2673">
        <v>1</v>
      </c>
    </row>
    <row r="2674" spans="1:19" ht="16.5" x14ac:dyDescent="0.3">
      <c r="A2674" t="s">
        <v>2737</v>
      </c>
      <c r="B2674" s="1">
        <v>45651</v>
      </c>
      <c r="C2674" s="1">
        <v>45656</v>
      </c>
      <c r="D2674">
        <v>2024</v>
      </c>
      <c r="E2674" t="s">
        <v>2026</v>
      </c>
      <c r="F2674" t="s">
        <v>2496</v>
      </c>
      <c r="G2674" t="s">
        <v>70</v>
      </c>
      <c r="H2674" t="s">
        <v>39</v>
      </c>
      <c r="I2674" t="s">
        <v>24</v>
      </c>
      <c r="J2674" t="s">
        <v>43</v>
      </c>
      <c r="K2674" t="s">
        <v>41</v>
      </c>
      <c r="L2674" t="s">
        <v>44</v>
      </c>
      <c r="M2674">
        <v>5</v>
      </c>
      <c r="N2674" s="2">
        <v>63</v>
      </c>
      <c r="O2674" s="3">
        <v>3257</v>
      </c>
      <c r="P2674">
        <v>0</v>
      </c>
      <c r="Q2674">
        <v>4</v>
      </c>
      <c r="R2674" t="s">
        <v>59</v>
      </c>
      <c r="S2674">
        <v>1</v>
      </c>
    </row>
    <row r="2675" spans="1:19" ht="16.5" x14ac:dyDescent="0.3">
      <c r="A2675" t="s">
        <v>2738</v>
      </c>
      <c r="B2675" s="1">
        <v>45651</v>
      </c>
      <c r="C2675" s="1">
        <v>45652</v>
      </c>
      <c r="D2675">
        <v>2024</v>
      </c>
      <c r="E2675" t="s">
        <v>2026</v>
      </c>
      <c r="F2675" t="s">
        <v>2496</v>
      </c>
      <c r="G2675" t="s">
        <v>70</v>
      </c>
      <c r="H2675" t="s">
        <v>30</v>
      </c>
      <c r="I2675" t="s">
        <v>40</v>
      </c>
      <c r="J2675" t="s">
        <v>25</v>
      </c>
      <c r="K2675" t="s">
        <v>26</v>
      </c>
      <c r="L2675" t="s">
        <v>37</v>
      </c>
      <c r="M2675">
        <v>1</v>
      </c>
      <c r="N2675" s="2"/>
      <c r="O2675" s="3">
        <v>2434</v>
      </c>
      <c r="P2675">
        <v>0</v>
      </c>
      <c r="Q2675">
        <v>4</v>
      </c>
      <c r="R2675" t="s">
        <v>28</v>
      </c>
      <c r="S2675">
        <v>1</v>
      </c>
    </row>
    <row r="2676" spans="1:19" ht="16.5" x14ac:dyDescent="0.3">
      <c r="A2676" t="s">
        <v>2739</v>
      </c>
      <c r="B2676" s="1">
        <v>45651</v>
      </c>
      <c r="C2676" s="1">
        <v>45659</v>
      </c>
      <c r="D2676">
        <v>2024</v>
      </c>
      <c r="E2676" t="s">
        <v>2026</v>
      </c>
      <c r="F2676" t="s">
        <v>2496</v>
      </c>
      <c r="G2676" t="s">
        <v>70</v>
      </c>
      <c r="H2676" t="s">
        <v>50</v>
      </c>
      <c r="I2676" t="s">
        <v>24</v>
      </c>
      <c r="J2676" t="s">
        <v>25</v>
      </c>
      <c r="K2676" t="s">
        <v>36</v>
      </c>
      <c r="L2676" t="s">
        <v>27</v>
      </c>
      <c r="M2676">
        <v>8</v>
      </c>
      <c r="N2676" s="2">
        <v>224</v>
      </c>
      <c r="O2676" s="3">
        <v>11504</v>
      </c>
      <c r="P2676">
        <v>0</v>
      </c>
      <c r="Q2676">
        <v>4</v>
      </c>
      <c r="R2676" t="s">
        <v>33</v>
      </c>
      <c r="S2676">
        <v>1</v>
      </c>
    </row>
    <row r="2677" spans="1:19" ht="16.5" x14ac:dyDescent="0.3">
      <c r="A2677" t="s">
        <v>2740</v>
      </c>
      <c r="B2677" s="1">
        <v>45651</v>
      </c>
      <c r="C2677" s="1">
        <v>45661</v>
      </c>
      <c r="D2677">
        <v>2024</v>
      </c>
      <c r="E2677" t="s">
        <v>2026</v>
      </c>
      <c r="F2677" t="s">
        <v>2496</v>
      </c>
      <c r="G2677" t="s">
        <v>70</v>
      </c>
      <c r="H2677" t="s">
        <v>23</v>
      </c>
      <c r="I2677" t="s">
        <v>40</v>
      </c>
      <c r="J2677" t="s">
        <v>25</v>
      </c>
      <c r="K2677" t="s">
        <v>26</v>
      </c>
      <c r="L2677" t="s">
        <v>44</v>
      </c>
      <c r="M2677">
        <v>10</v>
      </c>
      <c r="N2677" s="2"/>
      <c r="O2677" s="3">
        <v>6936</v>
      </c>
      <c r="P2677">
        <v>1</v>
      </c>
      <c r="Q2677">
        <v>4</v>
      </c>
      <c r="R2677" t="s">
        <v>28</v>
      </c>
      <c r="S2677">
        <v>1</v>
      </c>
    </row>
    <row r="2678" spans="1:19" ht="16.5" x14ac:dyDescent="0.3">
      <c r="A2678" t="s">
        <v>2741</v>
      </c>
      <c r="B2678" s="1">
        <v>45651</v>
      </c>
      <c r="C2678" s="1">
        <v>45658</v>
      </c>
      <c r="D2678">
        <v>2024</v>
      </c>
      <c r="E2678" t="s">
        <v>2026</v>
      </c>
      <c r="F2678" t="s">
        <v>2496</v>
      </c>
      <c r="G2678" t="s">
        <v>70</v>
      </c>
      <c r="H2678" t="s">
        <v>23</v>
      </c>
      <c r="I2678" t="s">
        <v>24</v>
      </c>
      <c r="J2678" t="s">
        <v>43</v>
      </c>
      <c r="K2678" t="s">
        <v>36</v>
      </c>
      <c r="L2678" t="s">
        <v>27</v>
      </c>
      <c r="M2678">
        <v>7</v>
      </c>
      <c r="N2678" s="2">
        <v>100</v>
      </c>
      <c r="O2678" s="3">
        <v>5981</v>
      </c>
      <c r="P2678">
        <v>0</v>
      </c>
      <c r="Q2678">
        <v>3</v>
      </c>
      <c r="R2678" t="s">
        <v>28</v>
      </c>
      <c r="S2678">
        <v>1</v>
      </c>
    </row>
    <row r="2679" spans="1:19" ht="16.5" x14ac:dyDescent="0.3">
      <c r="A2679" t="s">
        <v>2742</v>
      </c>
      <c r="B2679" s="1">
        <v>45651</v>
      </c>
      <c r="C2679" s="1">
        <v>45653</v>
      </c>
      <c r="D2679">
        <v>2024</v>
      </c>
      <c r="E2679" t="s">
        <v>2026</v>
      </c>
      <c r="F2679" t="s">
        <v>2496</v>
      </c>
      <c r="G2679" t="s">
        <v>70</v>
      </c>
      <c r="H2679" t="s">
        <v>39</v>
      </c>
      <c r="I2679" t="s">
        <v>24</v>
      </c>
      <c r="J2679" t="s">
        <v>43</v>
      </c>
      <c r="K2679" t="s">
        <v>41</v>
      </c>
      <c r="L2679" t="s">
        <v>27</v>
      </c>
      <c r="M2679">
        <v>2</v>
      </c>
      <c r="N2679" s="2">
        <v>159</v>
      </c>
      <c r="O2679" s="3">
        <v>1377</v>
      </c>
      <c r="P2679">
        <v>0</v>
      </c>
      <c r="Q2679">
        <v>3</v>
      </c>
      <c r="R2679" t="s">
        <v>33</v>
      </c>
      <c r="S2679">
        <v>1</v>
      </c>
    </row>
    <row r="2680" spans="1:19" ht="16.5" x14ac:dyDescent="0.3">
      <c r="A2680" t="s">
        <v>2743</v>
      </c>
      <c r="B2680" s="1">
        <v>45652</v>
      </c>
      <c r="C2680" s="1">
        <v>45661</v>
      </c>
      <c r="D2680">
        <v>2024</v>
      </c>
      <c r="E2680" t="s">
        <v>2026</v>
      </c>
      <c r="F2680" t="s">
        <v>2496</v>
      </c>
      <c r="G2680" t="s">
        <v>78</v>
      </c>
      <c r="H2680" t="s">
        <v>23</v>
      </c>
      <c r="I2680" t="s">
        <v>24</v>
      </c>
      <c r="J2680" t="s">
        <v>43</v>
      </c>
      <c r="K2680" t="s">
        <v>53</v>
      </c>
      <c r="L2680" t="s">
        <v>37</v>
      </c>
      <c r="M2680">
        <v>9</v>
      </c>
      <c r="N2680" s="2">
        <v>54</v>
      </c>
      <c r="O2680" s="3">
        <v>5284</v>
      </c>
      <c r="P2680">
        <v>0</v>
      </c>
      <c r="Q2680">
        <v>5</v>
      </c>
      <c r="R2680" t="s">
        <v>33</v>
      </c>
      <c r="S2680">
        <v>1</v>
      </c>
    </row>
    <row r="2681" spans="1:19" ht="16.5" x14ac:dyDescent="0.3">
      <c r="A2681" t="s">
        <v>2744</v>
      </c>
      <c r="B2681" s="1">
        <v>45652</v>
      </c>
      <c r="C2681" s="1">
        <v>45658</v>
      </c>
      <c r="D2681">
        <v>2024</v>
      </c>
      <c r="E2681" t="s">
        <v>2026</v>
      </c>
      <c r="F2681" t="s">
        <v>2496</v>
      </c>
      <c r="G2681" t="s">
        <v>78</v>
      </c>
      <c r="H2681" t="s">
        <v>23</v>
      </c>
      <c r="I2681" t="s">
        <v>24</v>
      </c>
      <c r="J2681" t="s">
        <v>43</v>
      </c>
      <c r="K2681" t="s">
        <v>32</v>
      </c>
      <c r="L2681" t="s">
        <v>44</v>
      </c>
      <c r="M2681">
        <v>6</v>
      </c>
      <c r="N2681" s="2">
        <v>69</v>
      </c>
      <c r="O2681" s="3">
        <v>3454</v>
      </c>
      <c r="P2681">
        <v>0</v>
      </c>
      <c r="Q2681">
        <v>5</v>
      </c>
      <c r="R2681" t="s">
        <v>33</v>
      </c>
      <c r="S2681">
        <v>1</v>
      </c>
    </row>
    <row r="2682" spans="1:19" ht="16.5" x14ac:dyDescent="0.3">
      <c r="A2682" t="s">
        <v>2745</v>
      </c>
      <c r="B2682" s="1">
        <v>45652</v>
      </c>
      <c r="C2682" s="1">
        <v>45660</v>
      </c>
      <c r="D2682">
        <v>2024</v>
      </c>
      <c r="E2682" t="s">
        <v>2026</v>
      </c>
      <c r="F2682" t="s">
        <v>2496</v>
      </c>
      <c r="G2682" t="s">
        <v>78</v>
      </c>
      <c r="H2682" t="s">
        <v>23</v>
      </c>
      <c r="I2682" t="s">
        <v>24</v>
      </c>
      <c r="J2682" t="s">
        <v>43</v>
      </c>
      <c r="K2682" t="s">
        <v>26</v>
      </c>
      <c r="L2682" t="s">
        <v>27</v>
      </c>
      <c r="M2682">
        <v>8</v>
      </c>
      <c r="N2682" s="2">
        <v>74</v>
      </c>
      <c r="O2682" s="3">
        <v>5110</v>
      </c>
      <c r="P2682">
        <v>0</v>
      </c>
      <c r="Q2682">
        <v>4</v>
      </c>
      <c r="R2682" t="s">
        <v>33</v>
      </c>
      <c r="S2682">
        <v>1</v>
      </c>
    </row>
    <row r="2683" spans="1:19" ht="16.5" x14ac:dyDescent="0.3">
      <c r="A2683" t="s">
        <v>2746</v>
      </c>
      <c r="B2683" s="1">
        <v>45652</v>
      </c>
      <c r="C2683" s="1">
        <v>45663</v>
      </c>
      <c r="D2683">
        <v>2024</v>
      </c>
      <c r="E2683" t="s">
        <v>2026</v>
      </c>
      <c r="F2683" t="s">
        <v>2496</v>
      </c>
      <c r="G2683" t="s">
        <v>78</v>
      </c>
      <c r="H2683" t="s">
        <v>23</v>
      </c>
      <c r="I2683" t="s">
        <v>24</v>
      </c>
      <c r="J2683" t="s">
        <v>25</v>
      </c>
      <c r="K2683" t="s">
        <v>26</v>
      </c>
      <c r="L2683" t="s">
        <v>37</v>
      </c>
      <c r="M2683">
        <v>11</v>
      </c>
      <c r="N2683" s="2">
        <v>187</v>
      </c>
      <c r="O2683" s="3">
        <v>5874</v>
      </c>
      <c r="P2683">
        <v>0</v>
      </c>
      <c r="Q2683">
        <v>4</v>
      </c>
      <c r="R2683" t="s">
        <v>28</v>
      </c>
      <c r="S2683">
        <v>1</v>
      </c>
    </row>
    <row r="2684" spans="1:19" ht="16.5" x14ac:dyDescent="0.3">
      <c r="A2684" t="s">
        <v>2747</v>
      </c>
      <c r="B2684" s="1">
        <v>45652</v>
      </c>
      <c r="C2684" s="1">
        <v>45658</v>
      </c>
      <c r="D2684">
        <v>2024</v>
      </c>
      <c r="E2684" t="s">
        <v>2026</v>
      </c>
      <c r="F2684" t="s">
        <v>2496</v>
      </c>
      <c r="G2684" t="s">
        <v>78</v>
      </c>
      <c r="H2684" t="s">
        <v>23</v>
      </c>
      <c r="I2684" t="s">
        <v>24</v>
      </c>
      <c r="J2684" t="s">
        <v>43</v>
      </c>
      <c r="K2684" t="s">
        <v>26</v>
      </c>
      <c r="L2684" t="s">
        <v>37</v>
      </c>
      <c r="M2684">
        <v>6</v>
      </c>
      <c r="N2684" s="2">
        <v>83</v>
      </c>
      <c r="O2684" s="3">
        <v>3649</v>
      </c>
      <c r="P2684">
        <v>0</v>
      </c>
      <c r="Q2684">
        <v>5</v>
      </c>
      <c r="R2684" t="s">
        <v>33</v>
      </c>
      <c r="S2684">
        <v>1</v>
      </c>
    </row>
    <row r="2685" spans="1:19" ht="16.5" x14ac:dyDescent="0.3">
      <c r="A2685" t="s">
        <v>2748</v>
      </c>
      <c r="B2685" s="1">
        <v>45652</v>
      </c>
      <c r="C2685" s="1">
        <v>45654</v>
      </c>
      <c r="D2685">
        <v>2024</v>
      </c>
      <c r="E2685" t="s">
        <v>2026</v>
      </c>
      <c r="F2685" t="s">
        <v>2496</v>
      </c>
      <c r="G2685" t="s">
        <v>78</v>
      </c>
      <c r="H2685" t="s">
        <v>50</v>
      </c>
      <c r="I2685" t="s">
        <v>24</v>
      </c>
      <c r="J2685" t="s">
        <v>43</v>
      </c>
      <c r="K2685" t="s">
        <v>32</v>
      </c>
      <c r="L2685" t="s">
        <v>37</v>
      </c>
      <c r="M2685">
        <v>2</v>
      </c>
      <c r="N2685" s="2">
        <v>41</v>
      </c>
      <c r="O2685" s="3">
        <v>3311</v>
      </c>
      <c r="P2685">
        <v>0</v>
      </c>
      <c r="Q2685">
        <v>5</v>
      </c>
      <c r="R2685" t="s">
        <v>33</v>
      </c>
      <c r="S2685">
        <v>1</v>
      </c>
    </row>
    <row r="2686" spans="1:19" ht="16.5" x14ac:dyDescent="0.3">
      <c r="A2686" t="s">
        <v>2749</v>
      </c>
      <c r="B2686" s="1">
        <v>45653</v>
      </c>
      <c r="C2686" s="1">
        <v>45672</v>
      </c>
      <c r="D2686">
        <v>2024</v>
      </c>
      <c r="E2686" t="s">
        <v>2026</v>
      </c>
      <c r="F2686" t="s">
        <v>2496</v>
      </c>
      <c r="G2686" t="s">
        <v>83</v>
      </c>
      <c r="H2686" t="s">
        <v>23</v>
      </c>
      <c r="I2686" t="s">
        <v>24</v>
      </c>
      <c r="J2686" t="s">
        <v>43</v>
      </c>
      <c r="K2686" t="s">
        <v>26</v>
      </c>
      <c r="L2686" t="s">
        <v>44</v>
      </c>
      <c r="M2686">
        <v>19</v>
      </c>
      <c r="N2686" s="2">
        <v>130</v>
      </c>
      <c r="O2686" s="3">
        <v>12451</v>
      </c>
      <c r="P2686">
        <v>0</v>
      </c>
      <c r="Q2686">
        <v>4</v>
      </c>
      <c r="R2686" t="s">
        <v>33</v>
      </c>
      <c r="S2686">
        <v>1</v>
      </c>
    </row>
    <row r="2687" spans="1:19" ht="16.5" x14ac:dyDescent="0.3">
      <c r="A2687" t="s">
        <v>2750</v>
      </c>
      <c r="B2687" s="1">
        <v>45653</v>
      </c>
      <c r="C2687" s="1">
        <v>45657</v>
      </c>
      <c r="D2687">
        <v>2024</v>
      </c>
      <c r="E2687" t="s">
        <v>2026</v>
      </c>
      <c r="F2687" t="s">
        <v>2496</v>
      </c>
      <c r="G2687" t="s">
        <v>83</v>
      </c>
      <c r="H2687" t="s">
        <v>23</v>
      </c>
      <c r="I2687" t="s">
        <v>40</v>
      </c>
      <c r="J2687" t="s">
        <v>25</v>
      </c>
      <c r="K2687" t="s">
        <v>53</v>
      </c>
      <c r="L2687" t="s">
        <v>44</v>
      </c>
      <c r="M2687">
        <v>4</v>
      </c>
      <c r="N2687" s="2"/>
      <c r="O2687" s="3">
        <v>3043</v>
      </c>
      <c r="P2687">
        <v>0</v>
      </c>
      <c r="Q2687">
        <v>5</v>
      </c>
      <c r="R2687" t="s">
        <v>33</v>
      </c>
      <c r="S2687">
        <v>1</v>
      </c>
    </row>
    <row r="2688" spans="1:19" ht="16.5" x14ac:dyDescent="0.3">
      <c r="A2688" t="s">
        <v>2751</v>
      </c>
      <c r="B2688" s="1">
        <v>45653</v>
      </c>
      <c r="C2688" s="1">
        <v>45660</v>
      </c>
      <c r="D2688">
        <v>2024</v>
      </c>
      <c r="E2688" t="s">
        <v>2026</v>
      </c>
      <c r="F2688" t="s">
        <v>2496</v>
      </c>
      <c r="G2688" t="s">
        <v>83</v>
      </c>
      <c r="H2688" t="s">
        <v>50</v>
      </c>
      <c r="I2688" t="s">
        <v>24</v>
      </c>
      <c r="J2688" t="s">
        <v>25</v>
      </c>
      <c r="K2688" t="s">
        <v>53</v>
      </c>
      <c r="L2688" t="s">
        <v>44</v>
      </c>
      <c r="M2688">
        <v>7</v>
      </c>
      <c r="N2688" s="2">
        <v>41</v>
      </c>
      <c r="O2688" s="3">
        <v>9962</v>
      </c>
      <c r="P2688">
        <v>0</v>
      </c>
      <c r="Q2688">
        <v>4</v>
      </c>
      <c r="R2688" t="s">
        <v>33</v>
      </c>
      <c r="S2688">
        <v>1</v>
      </c>
    </row>
    <row r="2689" spans="1:19" ht="16.5" x14ac:dyDescent="0.3">
      <c r="A2689" t="s">
        <v>2752</v>
      </c>
      <c r="B2689" s="1">
        <v>45653</v>
      </c>
      <c r="C2689" s="1">
        <v>45662</v>
      </c>
      <c r="D2689">
        <v>2024</v>
      </c>
      <c r="E2689" t="s">
        <v>2026</v>
      </c>
      <c r="F2689" t="s">
        <v>2496</v>
      </c>
      <c r="G2689" t="s">
        <v>83</v>
      </c>
      <c r="H2689" t="s">
        <v>23</v>
      </c>
      <c r="I2689" t="s">
        <v>24</v>
      </c>
      <c r="J2689" t="s">
        <v>43</v>
      </c>
      <c r="K2689" t="s">
        <v>26</v>
      </c>
      <c r="L2689" t="s">
        <v>37</v>
      </c>
      <c r="M2689">
        <v>9</v>
      </c>
      <c r="N2689" s="2">
        <v>95</v>
      </c>
      <c r="O2689" s="3">
        <v>7089</v>
      </c>
      <c r="P2689">
        <v>0</v>
      </c>
      <c r="Q2689">
        <v>4</v>
      </c>
      <c r="R2689" t="s">
        <v>28</v>
      </c>
      <c r="S2689">
        <v>1</v>
      </c>
    </row>
    <row r="2690" spans="1:19" ht="16.5" x14ac:dyDescent="0.3">
      <c r="A2690" t="s">
        <v>2753</v>
      </c>
      <c r="B2690" s="1">
        <v>45653</v>
      </c>
      <c r="C2690" s="1">
        <v>45656</v>
      </c>
      <c r="D2690">
        <v>2024</v>
      </c>
      <c r="E2690" t="s">
        <v>2026</v>
      </c>
      <c r="F2690" t="s">
        <v>2496</v>
      </c>
      <c r="G2690" t="s">
        <v>83</v>
      </c>
      <c r="H2690" t="s">
        <v>35</v>
      </c>
      <c r="I2690" t="s">
        <v>24</v>
      </c>
      <c r="J2690" t="s">
        <v>25</v>
      </c>
      <c r="K2690" t="s">
        <v>32</v>
      </c>
      <c r="L2690" t="s">
        <v>27</v>
      </c>
      <c r="M2690">
        <v>3</v>
      </c>
      <c r="N2690" s="2">
        <v>72</v>
      </c>
      <c r="O2690" s="3">
        <v>2472</v>
      </c>
      <c r="P2690">
        <v>1</v>
      </c>
      <c r="Q2690">
        <v>4</v>
      </c>
      <c r="R2690" t="s">
        <v>33</v>
      </c>
      <c r="S2690">
        <v>1</v>
      </c>
    </row>
    <row r="2691" spans="1:19" ht="16.5" x14ac:dyDescent="0.3">
      <c r="A2691" t="s">
        <v>2754</v>
      </c>
      <c r="B2691" s="1">
        <v>45653</v>
      </c>
      <c r="C2691" s="1">
        <v>45661</v>
      </c>
      <c r="D2691">
        <v>2024</v>
      </c>
      <c r="E2691" t="s">
        <v>2026</v>
      </c>
      <c r="F2691" t="s">
        <v>2496</v>
      </c>
      <c r="G2691" t="s">
        <v>83</v>
      </c>
      <c r="H2691" t="s">
        <v>23</v>
      </c>
      <c r="I2691" t="s">
        <v>24</v>
      </c>
      <c r="J2691" t="s">
        <v>25</v>
      </c>
      <c r="K2691" t="s">
        <v>32</v>
      </c>
      <c r="L2691" t="s">
        <v>44</v>
      </c>
      <c r="M2691">
        <v>8</v>
      </c>
      <c r="N2691" s="2">
        <v>22</v>
      </c>
      <c r="O2691" s="3">
        <v>6657</v>
      </c>
      <c r="P2691">
        <v>0</v>
      </c>
      <c r="Q2691">
        <v>5</v>
      </c>
      <c r="R2691" t="s">
        <v>28</v>
      </c>
      <c r="S2691">
        <v>1</v>
      </c>
    </row>
    <row r="2692" spans="1:19" ht="16.5" x14ac:dyDescent="0.3">
      <c r="A2692" t="s">
        <v>2755</v>
      </c>
      <c r="B2692" s="1">
        <v>45654</v>
      </c>
      <c r="C2692" s="1">
        <v>45660</v>
      </c>
      <c r="D2692">
        <v>2024</v>
      </c>
      <c r="E2692" t="s">
        <v>2026</v>
      </c>
      <c r="F2692" t="s">
        <v>2496</v>
      </c>
      <c r="G2692" t="s">
        <v>102</v>
      </c>
      <c r="H2692" t="s">
        <v>52</v>
      </c>
      <c r="I2692" t="s">
        <v>40</v>
      </c>
      <c r="J2692" t="s">
        <v>25</v>
      </c>
      <c r="K2692" t="s">
        <v>26</v>
      </c>
      <c r="L2692" t="s">
        <v>44</v>
      </c>
      <c r="M2692">
        <v>6</v>
      </c>
      <c r="N2692" s="2"/>
      <c r="O2692" s="3">
        <v>6774</v>
      </c>
      <c r="P2692">
        <v>1</v>
      </c>
      <c r="Q2692">
        <v>4</v>
      </c>
      <c r="R2692" t="s">
        <v>33</v>
      </c>
      <c r="S2692">
        <v>1</v>
      </c>
    </row>
    <row r="2693" spans="1:19" ht="16.5" x14ac:dyDescent="0.3">
      <c r="A2693" t="s">
        <v>2756</v>
      </c>
      <c r="B2693" s="1">
        <v>45654</v>
      </c>
      <c r="C2693" s="1">
        <v>45658</v>
      </c>
      <c r="D2693">
        <v>2024</v>
      </c>
      <c r="E2693" t="s">
        <v>2026</v>
      </c>
      <c r="F2693" t="s">
        <v>2496</v>
      </c>
      <c r="G2693" t="s">
        <v>102</v>
      </c>
      <c r="H2693" t="s">
        <v>23</v>
      </c>
      <c r="I2693" t="s">
        <v>31</v>
      </c>
      <c r="J2693" t="s">
        <v>43</v>
      </c>
      <c r="K2693" t="s">
        <v>26</v>
      </c>
      <c r="L2693" t="s">
        <v>27</v>
      </c>
      <c r="M2693">
        <v>4</v>
      </c>
      <c r="N2693" s="2"/>
      <c r="O2693" s="3">
        <v>4166</v>
      </c>
      <c r="P2693">
        <v>0</v>
      </c>
      <c r="Q2693">
        <v>5</v>
      </c>
      <c r="R2693" t="s">
        <v>33</v>
      </c>
      <c r="S2693">
        <v>1</v>
      </c>
    </row>
    <row r="2694" spans="1:19" ht="16.5" x14ac:dyDescent="0.3">
      <c r="A2694" t="s">
        <v>2757</v>
      </c>
      <c r="B2694" s="1">
        <v>45654</v>
      </c>
      <c r="C2694" s="1">
        <v>45656</v>
      </c>
      <c r="D2694">
        <v>2024</v>
      </c>
      <c r="E2694" t="s">
        <v>2026</v>
      </c>
      <c r="F2694" t="s">
        <v>2496</v>
      </c>
      <c r="G2694" t="s">
        <v>102</v>
      </c>
      <c r="H2694" t="s">
        <v>52</v>
      </c>
      <c r="I2694" t="s">
        <v>40</v>
      </c>
      <c r="J2694" t="s">
        <v>25</v>
      </c>
      <c r="K2694" t="s">
        <v>32</v>
      </c>
      <c r="L2694" t="s">
        <v>44</v>
      </c>
      <c r="M2694">
        <v>2</v>
      </c>
      <c r="N2694" s="2"/>
      <c r="O2694" s="3">
        <v>3150</v>
      </c>
      <c r="P2694">
        <v>1</v>
      </c>
      <c r="Q2694">
        <v>4</v>
      </c>
      <c r="R2694" t="s">
        <v>33</v>
      </c>
      <c r="S2694">
        <v>1</v>
      </c>
    </row>
    <row r="2695" spans="1:19" ht="16.5" x14ac:dyDescent="0.3">
      <c r="A2695" t="s">
        <v>2758</v>
      </c>
      <c r="B2695" s="1">
        <v>45654</v>
      </c>
      <c r="C2695" s="1">
        <v>45662</v>
      </c>
      <c r="D2695">
        <v>2024</v>
      </c>
      <c r="E2695" t="s">
        <v>2026</v>
      </c>
      <c r="F2695" t="s">
        <v>2496</v>
      </c>
      <c r="G2695" t="s">
        <v>102</v>
      </c>
      <c r="H2695" t="s">
        <v>50</v>
      </c>
      <c r="I2695" t="s">
        <v>31</v>
      </c>
      <c r="J2695" t="s">
        <v>43</v>
      </c>
      <c r="K2695" t="s">
        <v>53</v>
      </c>
      <c r="L2695" t="s">
        <v>44</v>
      </c>
      <c r="M2695">
        <v>8</v>
      </c>
      <c r="N2695" s="2"/>
      <c r="O2695" s="3">
        <v>6621</v>
      </c>
      <c r="P2695">
        <v>0</v>
      </c>
      <c r="Q2695">
        <v>4</v>
      </c>
      <c r="R2695" t="s">
        <v>33</v>
      </c>
      <c r="S2695">
        <v>1</v>
      </c>
    </row>
    <row r="2696" spans="1:19" ht="16.5" x14ac:dyDescent="0.3">
      <c r="A2696" t="s">
        <v>2759</v>
      </c>
      <c r="B2696" s="1">
        <v>45654</v>
      </c>
      <c r="C2696" s="1">
        <v>45656</v>
      </c>
      <c r="D2696">
        <v>2024</v>
      </c>
      <c r="E2696" t="s">
        <v>2026</v>
      </c>
      <c r="F2696" t="s">
        <v>2496</v>
      </c>
      <c r="G2696" t="s">
        <v>102</v>
      </c>
      <c r="H2696" t="s">
        <v>50</v>
      </c>
      <c r="I2696" t="s">
        <v>24</v>
      </c>
      <c r="J2696" t="s">
        <v>43</v>
      </c>
      <c r="K2696" t="s">
        <v>53</v>
      </c>
      <c r="L2696" t="s">
        <v>27</v>
      </c>
      <c r="M2696">
        <v>2</v>
      </c>
      <c r="N2696" s="2">
        <v>245</v>
      </c>
      <c r="O2696" s="3">
        <v>2984</v>
      </c>
      <c r="P2696">
        <v>1</v>
      </c>
      <c r="Q2696">
        <v>1</v>
      </c>
      <c r="R2696" t="s">
        <v>33</v>
      </c>
      <c r="S2696">
        <v>1</v>
      </c>
    </row>
    <row r="2697" spans="1:19" ht="16.5" x14ac:dyDescent="0.3">
      <c r="A2697" t="s">
        <v>2760</v>
      </c>
      <c r="B2697" s="1">
        <v>45654</v>
      </c>
      <c r="C2697" s="1">
        <v>45656</v>
      </c>
      <c r="D2697">
        <v>2024</v>
      </c>
      <c r="E2697" t="s">
        <v>2026</v>
      </c>
      <c r="F2697" t="s">
        <v>2496</v>
      </c>
      <c r="G2697" t="s">
        <v>102</v>
      </c>
      <c r="H2697" t="s">
        <v>39</v>
      </c>
      <c r="I2697" t="s">
        <v>24</v>
      </c>
      <c r="J2697" t="s">
        <v>43</v>
      </c>
      <c r="K2697" t="s">
        <v>41</v>
      </c>
      <c r="L2697" t="s">
        <v>44</v>
      </c>
      <c r="M2697">
        <v>2</v>
      </c>
      <c r="N2697" s="2">
        <v>55</v>
      </c>
      <c r="O2697" s="3">
        <v>2033</v>
      </c>
      <c r="P2697">
        <v>0</v>
      </c>
      <c r="Q2697">
        <v>4</v>
      </c>
      <c r="R2697" t="s">
        <v>33</v>
      </c>
      <c r="S2697">
        <v>1</v>
      </c>
    </row>
    <row r="2698" spans="1:19" ht="16.5" x14ac:dyDescent="0.3">
      <c r="A2698" t="s">
        <v>2761</v>
      </c>
      <c r="B2698" s="1">
        <v>45654</v>
      </c>
      <c r="C2698" s="1">
        <v>45658</v>
      </c>
      <c r="D2698">
        <v>2024</v>
      </c>
      <c r="E2698" t="s">
        <v>2026</v>
      </c>
      <c r="F2698" t="s">
        <v>2496</v>
      </c>
      <c r="G2698" t="s">
        <v>102</v>
      </c>
      <c r="H2698" t="s">
        <v>39</v>
      </c>
      <c r="I2698" t="s">
        <v>24</v>
      </c>
      <c r="J2698" t="s">
        <v>43</v>
      </c>
      <c r="K2698" t="s">
        <v>41</v>
      </c>
      <c r="L2698" t="s">
        <v>27</v>
      </c>
      <c r="M2698">
        <v>4</v>
      </c>
      <c r="N2698" s="2">
        <v>21</v>
      </c>
      <c r="O2698" s="3">
        <v>2983</v>
      </c>
      <c r="P2698">
        <v>0</v>
      </c>
      <c r="Q2698">
        <v>4</v>
      </c>
      <c r="R2698" t="s">
        <v>33</v>
      </c>
      <c r="S2698">
        <v>1</v>
      </c>
    </row>
    <row r="2699" spans="1:19" ht="16.5" x14ac:dyDescent="0.3">
      <c r="A2699" t="s">
        <v>2762</v>
      </c>
      <c r="B2699" s="1">
        <v>45654</v>
      </c>
      <c r="C2699" s="1">
        <v>45655</v>
      </c>
      <c r="D2699">
        <v>2024</v>
      </c>
      <c r="E2699" t="s">
        <v>2026</v>
      </c>
      <c r="F2699" t="s">
        <v>2496</v>
      </c>
      <c r="G2699" t="s">
        <v>102</v>
      </c>
      <c r="H2699" t="s">
        <v>39</v>
      </c>
      <c r="I2699" t="s">
        <v>24</v>
      </c>
      <c r="J2699" t="s">
        <v>43</v>
      </c>
      <c r="K2699" t="s">
        <v>41</v>
      </c>
      <c r="L2699" t="s">
        <v>27</v>
      </c>
      <c r="M2699">
        <v>1</v>
      </c>
      <c r="N2699" s="2">
        <v>128</v>
      </c>
      <c r="O2699" s="3">
        <v>1283</v>
      </c>
      <c r="P2699">
        <v>0</v>
      </c>
      <c r="Q2699">
        <v>3</v>
      </c>
      <c r="R2699" t="s">
        <v>28</v>
      </c>
      <c r="S2699">
        <v>1</v>
      </c>
    </row>
    <row r="2700" spans="1:19" ht="16.5" x14ac:dyDescent="0.3">
      <c r="A2700" t="s">
        <v>2763</v>
      </c>
      <c r="B2700" s="1">
        <v>45654</v>
      </c>
      <c r="C2700" s="1">
        <v>45661</v>
      </c>
      <c r="D2700">
        <v>2024</v>
      </c>
      <c r="E2700" t="s">
        <v>2026</v>
      </c>
      <c r="F2700" t="s">
        <v>2496</v>
      </c>
      <c r="G2700" t="s">
        <v>102</v>
      </c>
      <c r="H2700" t="s">
        <v>23</v>
      </c>
      <c r="I2700" t="s">
        <v>24</v>
      </c>
      <c r="J2700" t="s">
        <v>25</v>
      </c>
      <c r="K2700" t="s">
        <v>32</v>
      </c>
      <c r="L2700" t="s">
        <v>44</v>
      </c>
      <c r="M2700">
        <v>7</v>
      </c>
      <c r="N2700" s="2">
        <v>46</v>
      </c>
      <c r="O2700" s="3">
        <v>5718</v>
      </c>
      <c r="P2700">
        <v>1</v>
      </c>
      <c r="Q2700">
        <v>4</v>
      </c>
      <c r="R2700" t="s">
        <v>28</v>
      </c>
      <c r="S2700">
        <v>1</v>
      </c>
    </row>
    <row r="2701" spans="1:19" ht="16.5" x14ac:dyDescent="0.3">
      <c r="A2701" t="s">
        <v>2764</v>
      </c>
      <c r="B2701" s="1">
        <v>45655</v>
      </c>
      <c r="C2701" s="1">
        <v>45656</v>
      </c>
      <c r="D2701">
        <v>2024</v>
      </c>
      <c r="E2701" t="s">
        <v>2026</v>
      </c>
      <c r="F2701" t="s">
        <v>2496</v>
      </c>
      <c r="G2701" t="s">
        <v>112</v>
      </c>
      <c r="H2701" t="s">
        <v>23</v>
      </c>
      <c r="I2701" t="s">
        <v>24</v>
      </c>
      <c r="J2701" t="s">
        <v>25</v>
      </c>
      <c r="K2701" t="s">
        <v>26</v>
      </c>
      <c r="L2701" t="s">
        <v>37</v>
      </c>
      <c r="M2701">
        <v>1</v>
      </c>
      <c r="N2701" s="2">
        <v>33</v>
      </c>
      <c r="O2701" s="3">
        <v>1887</v>
      </c>
      <c r="P2701">
        <v>0</v>
      </c>
      <c r="Q2701">
        <v>5</v>
      </c>
      <c r="R2701" t="s">
        <v>28</v>
      </c>
      <c r="S2701">
        <v>1</v>
      </c>
    </row>
    <row r="2702" spans="1:19" ht="16.5" x14ac:dyDescent="0.3">
      <c r="A2702" t="s">
        <v>2765</v>
      </c>
      <c r="B2702" s="1">
        <v>45655</v>
      </c>
      <c r="C2702" s="1">
        <v>45657</v>
      </c>
      <c r="D2702">
        <v>2024</v>
      </c>
      <c r="E2702" t="s">
        <v>2026</v>
      </c>
      <c r="F2702" t="s">
        <v>2496</v>
      </c>
      <c r="G2702" t="s">
        <v>112</v>
      </c>
      <c r="H2702" t="s">
        <v>35</v>
      </c>
      <c r="I2702" t="s">
        <v>40</v>
      </c>
      <c r="J2702" t="s">
        <v>25</v>
      </c>
      <c r="K2702" t="s">
        <v>36</v>
      </c>
      <c r="L2702" t="s">
        <v>44</v>
      </c>
      <c r="M2702">
        <v>2</v>
      </c>
      <c r="N2702" s="2"/>
      <c r="O2702" s="3">
        <v>1836</v>
      </c>
      <c r="P2702">
        <v>0</v>
      </c>
      <c r="Q2702">
        <v>5</v>
      </c>
      <c r="R2702" t="s">
        <v>33</v>
      </c>
      <c r="S2702">
        <v>1</v>
      </c>
    </row>
    <row r="2703" spans="1:19" ht="16.5" x14ac:dyDescent="0.3">
      <c r="A2703" t="s">
        <v>2766</v>
      </c>
      <c r="B2703" s="1">
        <v>45655</v>
      </c>
      <c r="C2703" s="1">
        <v>45667</v>
      </c>
      <c r="D2703">
        <v>2024</v>
      </c>
      <c r="E2703" t="s">
        <v>2026</v>
      </c>
      <c r="F2703" t="s">
        <v>2496</v>
      </c>
      <c r="G2703" t="s">
        <v>112</v>
      </c>
      <c r="H2703" t="s">
        <v>50</v>
      </c>
      <c r="I2703" t="s">
        <v>24</v>
      </c>
      <c r="J2703" t="s">
        <v>43</v>
      </c>
      <c r="K2703" t="s">
        <v>36</v>
      </c>
      <c r="L2703" t="s">
        <v>27</v>
      </c>
      <c r="M2703">
        <v>12</v>
      </c>
      <c r="N2703" s="2">
        <v>24</v>
      </c>
      <c r="O2703" s="3">
        <v>12719</v>
      </c>
      <c r="P2703">
        <v>0</v>
      </c>
      <c r="Q2703">
        <v>5</v>
      </c>
      <c r="R2703" t="s">
        <v>33</v>
      </c>
      <c r="S2703">
        <v>1</v>
      </c>
    </row>
    <row r="2704" spans="1:19" ht="16.5" x14ac:dyDescent="0.3">
      <c r="A2704" t="s">
        <v>2767</v>
      </c>
      <c r="B2704" s="1">
        <v>45655</v>
      </c>
      <c r="C2704" s="1">
        <v>45659</v>
      </c>
      <c r="D2704">
        <v>2024</v>
      </c>
      <c r="E2704" t="s">
        <v>2026</v>
      </c>
      <c r="F2704" t="s">
        <v>2496</v>
      </c>
      <c r="G2704" t="s">
        <v>112</v>
      </c>
      <c r="H2704" t="s">
        <v>39</v>
      </c>
      <c r="I2704" t="s">
        <v>24</v>
      </c>
      <c r="J2704" t="s">
        <v>43</v>
      </c>
      <c r="K2704" t="s">
        <v>41</v>
      </c>
      <c r="L2704" t="s">
        <v>27</v>
      </c>
      <c r="M2704">
        <v>4</v>
      </c>
      <c r="N2704" s="2">
        <v>34</v>
      </c>
      <c r="O2704" s="3">
        <v>3450</v>
      </c>
      <c r="P2704">
        <v>0</v>
      </c>
      <c r="Q2704">
        <v>5</v>
      </c>
      <c r="R2704" t="s">
        <v>33</v>
      </c>
      <c r="S2704">
        <v>1</v>
      </c>
    </row>
    <row r="2705" spans="1:19" ht="16.5" x14ac:dyDescent="0.3">
      <c r="A2705" t="s">
        <v>2768</v>
      </c>
      <c r="B2705" s="1">
        <v>45655</v>
      </c>
      <c r="C2705" s="1">
        <v>45658</v>
      </c>
      <c r="D2705">
        <v>2024</v>
      </c>
      <c r="E2705" t="s">
        <v>2026</v>
      </c>
      <c r="F2705" t="s">
        <v>2496</v>
      </c>
      <c r="G2705" t="s">
        <v>112</v>
      </c>
      <c r="H2705" t="s">
        <v>35</v>
      </c>
      <c r="I2705" t="s">
        <v>24</v>
      </c>
      <c r="J2705" t="s">
        <v>25</v>
      </c>
      <c r="K2705" t="s">
        <v>32</v>
      </c>
      <c r="L2705" t="s">
        <v>37</v>
      </c>
      <c r="M2705">
        <v>3</v>
      </c>
      <c r="N2705" s="2">
        <v>38</v>
      </c>
      <c r="O2705" s="3">
        <v>2475</v>
      </c>
      <c r="P2705">
        <v>0</v>
      </c>
      <c r="Q2705">
        <v>4</v>
      </c>
      <c r="R2705" t="s">
        <v>33</v>
      </c>
      <c r="S2705">
        <v>1</v>
      </c>
    </row>
    <row r="2706" spans="1:19" ht="16.5" x14ac:dyDescent="0.3">
      <c r="A2706" t="s">
        <v>2769</v>
      </c>
      <c r="B2706" s="1">
        <v>45655</v>
      </c>
      <c r="C2706" s="1">
        <v>45660</v>
      </c>
      <c r="D2706">
        <v>2024</v>
      </c>
      <c r="E2706" t="s">
        <v>2026</v>
      </c>
      <c r="F2706" t="s">
        <v>2496</v>
      </c>
      <c r="G2706" t="s">
        <v>112</v>
      </c>
      <c r="H2706" t="s">
        <v>50</v>
      </c>
      <c r="I2706" t="s">
        <v>40</v>
      </c>
      <c r="J2706" t="s">
        <v>25</v>
      </c>
      <c r="K2706" t="s">
        <v>53</v>
      </c>
      <c r="L2706" t="s">
        <v>27</v>
      </c>
      <c r="M2706">
        <v>5</v>
      </c>
      <c r="N2706" s="2"/>
      <c r="O2706" s="3">
        <v>6773</v>
      </c>
      <c r="P2706">
        <v>0</v>
      </c>
      <c r="Q2706">
        <v>4</v>
      </c>
      <c r="R2706" t="s">
        <v>33</v>
      </c>
      <c r="S2706">
        <v>1</v>
      </c>
    </row>
    <row r="2707" spans="1:19" ht="16.5" x14ac:dyDescent="0.3">
      <c r="A2707" t="s">
        <v>2770</v>
      </c>
      <c r="B2707" s="1">
        <v>45655</v>
      </c>
      <c r="C2707" s="1">
        <v>45666</v>
      </c>
      <c r="D2707">
        <v>2024</v>
      </c>
      <c r="E2707" t="s">
        <v>2026</v>
      </c>
      <c r="F2707" t="s">
        <v>2496</v>
      </c>
      <c r="G2707" t="s">
        <v>112</v>
      </c>
      <c r="H2707" t="s">
        <v>50</v>
      </c>
      <c r="I2707" t="s">
        <v>24</v>
      </c>
      <c r="J2707" t="s">
        <v>43</v>
      </c>
      <c r="K2707" t="s">
        <v>26</v>
      </c>
      <c r="L2707" t="s">
        <v>27</v>
      </c>
      <c r="M2707">
        <v>11</v>
      </c>
      <c r="N2707" s="2">
        <v>16</v>
      </c>
      <c r="O2707" s="3">
        <v>12722</v>
      </c>
      <c r="P2707">
        <v>0</v>
      </c>
      <c r="Q2707">
        <v>5</v>
      </c>
      <c r="R2707" t="s">
        <v>28</v>
      </c>
      <c r="S2707">
        <v>1</v>
      </c>
    </row>
    <row r="2708" spans="1:19" ht="16.5" x14ac:dyDescent="0.3">
      <c r="A2708" t="s">
        <v>2771</v>
      </c>
      <c r="B2708" s="1">
        <v>45656</v>
      </c>
      <c r="C2708" s="1">
        <v>45657</v>
      </c>
      <c r="D2708">
        <v>2024</v>
      </c>
      <c r="E2708" t="s">
        <v>2026</v>
      </c>
      <c r="F2708" t="s">
        <v>2496</v>
      </c>
      <c r="G2708" t="s">
        <v>22</v>
      </c>
      <c r="H2708" t="s">
        <v>52</v>
      </c>
      <c r="I2708" t="s">
        <v>40</v>
      </c>
      <c r="J2708" t="s">
        <v>25</v>
      </c>
      <c r="K2708" t="s">
        <v>26</v>
      </c>
      <c r="L2708" t="s">
        <v>44</v>
      </c>
      <c r="M2708">
        <v>1</v>
      </c>
      <c r="N2708" s="2"/>
      <c r="O2708" s="3">
        <v>2006</v>
      </c>
      <c r="P2708">
        <v>0</v>
      </c>
      <c r="Q2708">
        <v>4</v>
      </c>
      <c r="R2708" t="s">
        <v>28</v>
      </c>
      <c r="S2708">
        <v>1</v>
      </c>
    </row>
    <row r="2709" spans="1:19" ht="16.5" x14ac:dyDescent="0.3">
      <c r="A2709" t="s">
        <v>2772</v>
      </c>
      <c r="B2709" s="1">
        <v>45656</v>
      </c>
      <c r="C2709" s="1">
        <v>45666</v>
      </c>
      <c r="D2709">
        <v>2024</v>
      </c>
      <c r="E2709" t="s">
        <v>2026</v>
      </c>
      <c r="F2709" t="s">
        <v>2496</v>
      </c>
      <c r="G2709" t="s">
        <v>22</v>
      </c>
      <c r="H2709" t="s">
        <v>39</v>
      </c>
      <c r="I2709" t="s">
        <v>24</v>
      </c>
      <c r="J2709" t="s">
        <v>43</v>
      </c>
      <c r="K2709" t="s">
        <v>41</v>
      </c>
      <c r="L2709" t="s">
        <v>27</v>
      </c>
      <c r="M2709">
        <v>10</v>
      </c>
      <c r="N2709" s="2">
        <v>55</v>
      </c>
      <c r="O2709" s="3">
        <v>5807</v>
      </c>
      <c r="P2709">
        <v>1</v>
      </c>
      <c r="Q2709">
        <v>5</v>
      </c>
      <c r="R2709" t="s">
        <v>28</v>
      </c>
      <c r="S2709">
        <v>1</v>
      </c>
    </row>
    <row r="2710" spans="1:19" ht="16.5" x14ac:dyDescent="0.3">
      <c r="A2710" t="s">
        <v>2773</v>
      </c>
      <c r="B2710" s="1">
        <v>45656</v>
      </c>
      <c r="C2710" s="1">
        <v>45663</v>
      </c>
      <c r="D2710">
        <v>2024</v>
      </c>
      <c r="E2710" t="s">
        <v>2026</v>
      </c>
      <c r="F2710" t="s">
        <v>2496</v>
      </c>
      <c r="G2710" t="s">
        <v>22</v>
      </c>
      <c r="H2710" t="s">
        <v>52</v>
      </c>
      <c r="I2710" t="s">
        <v>24</v>
      </c>
      <c r="J2710" t="s">
        <v>25</v>
      </c>
      <c r="K2710" t="s">
        <v>32</v>
      </c>
      <c r="L2710" t="s">
        <v>27</v>
      </c>
      <c r="M2710">
        <v>7</v>
      </c>
      <c r="N2710" s="2">
        <v>45</v>
      </c>
      <c r="O2710" s="3">
        <v>6906</v>
      </c>
      <c r="P2710">
        <v>0</v>
      </c>
      <c r="Q2710">
        <v>4</v>
      </c>
      <c r="R2710" t="s">
        <v>59</v>
      </c>
      <c r="S2710">
        <v>1</v>
      </c>
    </row>
    <row r="2711" spans="1:19" ht="16.5" x14ac:dyDescent="0.3">
      <c r="A2711" t="s">
        <v>2774</v>
      </c>
      <c r="B2711" s="1">
        <v>45656</v>
      </c>
      <c r="C2711" s="1">
        <v>45657</v>
      </c>
      <c r="D2711">
        <v>2024</v>
      </c>
      <c r="E2711" t="s">
        <v>2026</v>
      </c>
      <c r="F2711" t="s">
        <v>2496</v>
      </c>
      <c r="G2711" t="s">
        <v>22</v>
      </c>
      <c r="H2711" t="s">
        <v>35</v>
      </c>
      <c r="I2711" t="s">
        <v>24</v>
      </c>
      <c r="J2711" t="s">
        <v>25</v>
      </c>
      <c r="K2711" t="s">
        <v>36</v>
      </c>
      <c r="L2711" t="s">
        <v>44</v>
      </c>
      <c r="M2711">
        <v>1</v>
      </c>
      <c r="N2711" s="2">
        <v>66</v>
      </c>
      <c r="O2711" s="3">
        <v>1279</v>
      </c>
      <c r="P2711">
        <v>0</v>
      </c>
      <c r="Q2711">
        <v>4</v>
      </c>
      <c r="R2711" t="s">
        <v>28</v>
      </c>
      <c r="S2711">
        <v>1</v>
      </c>
    </row>
    <row r="2712" spans="1:19" ht="16.5" x14ac:dyDescent="0.3">
      <c r="A2712" t="s">
        <v>2775</v>
      </c>
      <c r="B2712" s="1">
        <v>45656</v>
      </c>
      <c r="C2712" s="1">
        <v>45660</v>
      </c>
      <c r="D2712">
        <v>2024</v>
      </c>
      <c r="E2712" t="s">
        <v>2026</v>
      </c>
      <c r="F2712" t="s">
        <v>2496</v>
      </c>
      <c r="G2712" t="s">
        <v>22</v>
      </c>
      <c r="H2712" t="s">
        <v>35</v>
      </c>
      <c r="I2712" t="s">
        <v>24</v>
      </c>
      <c r="J2712" t="s">
        <v>25</v>
      </c>
      <c r="K2712" t="s">
        <v>36</v>
      </c>
      <c r="L2712" t="s">
        <v>27</v>
      </c>
      <c r="M2712">
        <v>4</v>
      </c>
      <c r="N2712" s="2">
        <v>43</v>
      </c>
      <c r="O2712" s="3">
        <v>2880</v>
      </c>
      <c r="P2712">
        <v>0</v>
      </c>
      <c r="Q2712">
        <v>4</v>
      </c>
      <c r="R2712" t="s">
        <v>28</v>
      </c>
      <c r="S2712">
        <v>1</v>
      </c>
    </row>
    <row r="2713" spans="1:19" ht="16.5" x14ac:dyDescent="0.3">
      <c r="A2713" t="s">
        <v>2776</v>
      </c>
      <c r="B2713" s="1">
        <v>45656</v>
      </c>
      <c r="C2713" s="1">
        <v>45658</v>
      </c>
      <c r="D2713">
        <v>2024</v>
      </c>
      <c r="E2713" t="s">
        <v>2026</v>
      </c>
      <c r="F2713" t="s">
        <v>2496</v>
      </c>
      <c r="G2713" t="s">
        <v>22</v>
      </c>
      <c r="H2713" t="s">
        <v>23</v>
      </c>
      <c r="I2713" t="s">
        <v>40</v>
      </c>
      <c r="J2713" t="s">
        <v>25</v>
      </c>
      <c r="K2713" t="s">
        <v>32</v>
      </c>
      <c r="L2713" t="s">
        <v>37</v>
      </c>
      <c r="M2713">
        <v>2</v>
      </c>
      <c r="N2713" s="2"/>
      <c r="O2713" s="3">
        <v>2474</v>
      </c>
      <c r="P2713">
        <v>0</v>
      </c>
      <c r="Q2713">
        <v>4</v>
      </c>
      <c r="R2713" t="s">
        <v>33</v>
      </c>
      <c r="S2713">
        <v>1</v>
      </c>
    </row>
    <row r="2714" spans="1:19" ht="16.5" x14ac:dyDescent="0.3">
      <c r="A2714" t="s">
        <v>2777</v>
      </c>
      <c r="B2714" s="1">
        <v>45656</v>
      </c>
      <c r="C2714" s="1">
        <v>45664</v>
      </c>
      <c r="D2714">
        <v>2024</v>
      </c>
      <c r="E2714" t="s">
        <v>2026</v>
      </c>
      <c r="F2714" t="s">
        <v>2496</v>
      </c>
      <c r="G2714" t="s">
        <v>22</v>
      </c>
      <c r="H2714" t="s">
        <v>30</v>
      </c>
      <c r="I2714" t="s">
        <v>24</v>
      </c>
      <c r="J2714" t="s">
        <v>25</v>
      </c>
      <c r="K2714" t="s">
        <v>26</v>
      </c>
      <c r="L2714" t="s">
        <v>44</v>
      </c>
      <c r="M2714">
        <v>8</v>
      </c>
      <c r="N2714" s="2">
        <v>23</v>
      </c>
      <c r="O2714" s="3">
        <v>10334</v>
      </c>
      <c r="P2714">
        <v>0</v>
      </c>
      <c r="Q2714">
        <v>3</v>
      </c>
      <c r="R2714" t="s">
        <v>33</v>
      </c>
      <c r="S2714">
        <v>1</v>
      </c>
    </row>
    <row r="2715" spans="1:19" ht="16.5" x14ac:dyDescent="0.3">
      <c r="A2715" t="s">
        <v>2778</v>
      </c>
      <c r="B2715" s="1">
        <v>45656</v>
      </c>
      <c r="C2715" s="1">
        <v>45669</v>
      </c>
      <c r="D2715">
        <v>2024</v>
      </c>
      <c r="E2715" t="s">
        <v>2026</v>
      </c>
      <c r="F2715" t="s">
        <v>2496</v>
      </c>
      <c r="G2715" t="s">
        <v>22</v>
      </c>
      <c r="H2715" t="s">
        <v>30</v>
      </c>
      <c r="I2715" t="s">
        <v>40</v>
      </c>
      <c r="J2715" t="s">
        <v>43</v>
      </c>
      <c r="K2715" t="s">
        <v>26</v>
      </c>
      <c r="L2715" t="s">
        <v>27</v>
      </c>
      <c r="M2715">
        <v>13</v>
      </c>
      <c r="N2715" s="2"/>
      <c r="O2715" s="3">
        <v>11847</v>
      </c>
      <c r="P2715">
        <v>1</v>
      </c>
      <c r="Q2715">
        <v>5</v>
      </c>
      <c r="R2715" t="s">
        <v>33</v>
      </c>
      <c r="S2715">
        <v>1</v>
      </c>
    </row>
    <row r="2716" spans="1:19" ht="16.5" x14ac:dyDescent="0.3">
      <c r="A2716" t="s">
        <v>2779</v>
      </c>
      <c r="B2716" s="1">
        <v>45656</v>
      </c>
      <c r="C2716" s="1">
        <v>45665</v>
      </c>
      <c r="D2716">
        <v>2024</v>
      </c>
      <c r="E2716" t="s">
        <v>2026</v>
      </c>
      <c r="F2716" t="s">
        <v>2496</v>
      </c>
      <c r="G2716" t="s">
        <v>22</v>
      </c>
      <c r="H2716" t="s">
        <v>50</v>
      </c>
      <c r="I2716" t="s">
        <v>24</v>
      </c>
      <c r="J2716" t="s">
        <v>43</v>
      </c>
      <c r="K2716" t="s">
        <v>26</v>
      </c>
      <c r="L2716" t="s">
        <v>44</v>
      </c>
      <c r="M2716">
        <v>9</v>
      </c>
      <c r="N2716" s="2">
        <v>45</v>
      </c>
      <c r="O2716" s="3">
        <v>12505</v>
      </c>
      <c r="P2716">
        <v>0</v>
      </c>
      <c r="Q2716">
        <v>4</v>
      </c>
      <c r="R2716" t="s">
        <v>33</v>
      </c>
      <c r="S2716">
        <v>1</v>
      </c>
    </row>
    <row r="2717" spans="1:19" ht="16.5" x14ac:dyDescent="0.3">
      <c r="A2717" t="s">
        <v>2780</v>
      </c>
      <c r="B2717" s="1">
        <v>45656</v>
      </c>
      <c r="C2717" s="1">
        <v>45661</v>
      </c>
      <c r="D2717">
        <v>2024</v>
      </c>
      <c r="E2717" t="s">
        <v>2026</v>
      </c>
      <c r="F2717" t="s">
        <v>2496</v>
      </c>
      <c r="G2717" t="s">
        <v>22</v>
      </c>
      <c r="H2717" t="s">
        <v>52</v>
      </c>
      <c r="I2717" t="s">
        <v>40</v>
      </c>
      <c r="J2717" t="s">
        <v>25</v>
      </c>
      <c r="K2717" t="s">
        <v>32</v>
      </c>
      <c r="L2717" t="s">
        <v>44</v>
      </c>
      <c r="M2717">
        <v>5</v>
      </c>
      <c r="N2717" s="2"/>
      <c r="O2717" s="3">
        <v>5132</v>
      </c>
      <c r="P2717">
        <v>0</v>
      </c>
      <c r="Q2717">
        <v>4</v>
      </c>
      <c r="R2717" t="s">
        <v>33</v>
      </c>
      <c r="S2717">
        <v>1</v>
      </c>
    </row>
    <row r="2718" spans="1:19" ht="16.5" x14ac:dyDescent="0.3">
      <c r="A2718" t="s">
        <v>2781</v>
      </c>
      <c r="B2718" s="1">
        <v>45657</v>
      </c>
      <c r="C2718" s="1">
        <v>45660</v>
      </c>
      <c r="D2718">
        <v>2024</v>
      </c>
      <c r="E2718" t="s">
        <v>2026</v>
      </c>
      <c r="F2718" t="s">
        <v>2496</v>
      </c>
      <c r="G2718" t="s">
        <v>56</v>
      </c>
      <c r="H2718" t="s">
        <v>23</v>
      </c>
      <c r="I2718" t="s">
        <v>24</v>
      </c>
      <c r="J2718" t="s">
        <v>43</v>
      </c>
      <c r="K2718" t="s">
        <v>26</v>
      </c>
      <c r="L2718" t="s">
        <v>44</v>
      </c>
      <c r="M2718">
        <v>3</v>
      </c>
      <c r="N2718" s="2">
        <v>72</v>
      </c>
      <c r="O2718" s="3">
        <v>2738</v>
      </c>
      <c r="P2718">
        <v>0</v>
      </c>
      <c r="Q2718">
        <v>4</v>
      </c>
      <c r="R2718" t="s">
        <v>28</v>
      </c>
      <c r="S2718">
        <v>1</v>
      </c>
    </row>
    <row r="2719" spans="1:19" ht="16.5" x14ac:dyDescent="0.3">
      <c r="A2719" t="s">
        <v>2782</v>
      </c>
      <c r="B2719" s="1">
        <v>45657</v>
      </c>
      <c r="C2719" s="1">
        <v>45659</v>
      </c>
      <c r="D2719">
        <v>2024</v>
      </c>
      <c r="E2719" t="s">
        <v>2026</v>
      </c>
      <c r="F2719" t="s">
        <v>2496</v>
      </c>
      <c r="G2719" t="s">
        <v>56</v>
      </c>
      <c r="H2719" t="s">
        <v>39</v>
      </c>
      <c r="I2719" t="s">
        <v>24</v>
      </c>
      <c r="J2719" t="s">
        <v>25</v>
      </c>
      <c r="K2719" t="s">
        <v>41</v>
      </c>
      <c r="L2719" t="s">
        <v>44</v>
      </c>
      <c r="M2719">
        <v>2</v>
      </c>
      <c r="N2719" s="2">
        <v>27</v>
      </c>
      <c r="O2719" s="3">
        <v>1931</v>
      </c>
      <c r="P2719">
        <v>0</v>
      </c>
      <c r="Q2719">
        <v>5</v>
      </c>
      <c r="R2719" t="s">
        <v>59</v>
      </c>
      <c r="S2719">
        <v>1</v>
      </c>
    </row>
    <row r="2720" spans="1:19" ht="16.5" x14ac:dyDescent="0.3">
      <c r="A2720" t="s">
        <v>2783</v>
      </c>
      <c r="B2720" s="1">
        <v>45657</v>
      </c>
      <c r="C2720" s="1">
        <v>45661</v>
      </c>
      <c r="D2720">
        <v>2024</v>
      </c>
      <c r="E2720" t="s">
        <v>2026</v>
      </c>
      <c r="F2720" t="s">
        <v>2496</v>
      </c>
      <c r="G2720" t="s">
        <v>56</v>
      </c>
      <c r="H2720" t="s">
        <v>23</v>
      </c>
      <c r="I2720" t="s">
        <v>24</v>
      </c>
      <c r="J2720" t="s">
        <v>25</v>
      </c>
      <c r="K2720" t="s">
        <v>32</v>
      </c>
      <c r="L2720" t="s">
        <v>37</v>
      </c>
      <c r="M2720">
        <v>4</v>
      </c>
      <c r="N2720" s="2">
        <v>85</v>
      </c>
      <c r="O2720" s="3">
        <v>3710</v>
      </c>
      <c r="P2720">
        <v>0</v>
      </c>
      <c r="Q2720">
        <v>4</v>
      </c>
      <c r="R2720" t="s">
        <v>28</v>
      </c>
      <c r="S2720">
        <v>1</v>
      </c>
    </row>
    <row r="2721" spans="1:19" ht="16.5" x14ac:dyDescent="0.3">
      <c r="A2721" t="s">
        <v>2784</v>
      </c>
      <c r="B2721" s="1">
        <v>45657</v>
      </c>
      <c r="C2721" s="1">
        <v>45679</v>
      </c>
      <c r="D2721">
        <v>2024</v>
      </c>
      <c r="E2721" t="s">
        <v>2026</v>
      </c>
      <c r="F2721" t="s">
        <v>2496</v>
      </c>
      <c r="G2721" t="s">
        <v>56</v>
      </c>
      <c r="H2721" t="s">
        <v>23</v>
      </c>
      <c r="I2721" t="s">
        <v>40</v>
      </c>
      <c r="J2721" t="s">
        <v>43</v>
      </c>
      <c r="K2721" t="s">
        <v>26</v>
      </c>
      <c r="L2721" t="s">
        <v>44</v>
      </c>
      <c r="M2721">
        <v>22</v>
      </c>
      <c r="N2721" s="2"/>
      <c r="O2721" s="3">
        <v>15983</v>
      </c>
      <c r="P2721">
        <v>0</v>
      </c>
      <c r="Q2721">
        <v>5</v>
      </c>
      <c r="R2721" t="s">
        <v>28</v>
      </c>
      <c r="S2721">
        <v>1</v>
      </c>
    </row>
    <row r="2722" spans="1:19" ht="16.5" x14ac:dyDescent="0.3">
      <c r="A2722" t="s">
        <v>2785</v>
      </c>
      <c r="B2722" s="1">
        <v>45657</v>
      </c>
      <c r="C2722" s="1">
        <v>45662</v>
      </c>
      <c r="D2722">
        <v>2024</v>
      </c>
      <c r="E2722" t="s">
        <v>2026</v>
      </c>
      <c r="F2722" t="s">
        <v>2496</v>
      </c>
      <c r="G2722" t="s">
        <v>56</v>
      </c>
      <c r="H2722" t="s">
        <v>23</v>
      </c>
      <c r="I2722" t="s">
        <v>40</v>
      </c>
      <c r="J2722" t="s">
        <v>25</v>
      </c>
      <c r="K2722" t="s">
        <v>32</v>
      </c>
      <c r="L2722" t="s">
        <v>37</v>
      </c>
      <c r="M2722">
        <v>5</v>
      </c>
      <c r="N2722" s="2"/>
      <c r="O2722" s="3">
        <v>3310</v>
      </c>
      <c r="P2722">
        <v>0</v>
      </c>
      <c r="Q2722">
        <v>3</v>
      </c>
      <c r="R2722" t="s">
        <v>33</v>
      </c>
      <c r="S2722">
        <v>1</v>
      </c>
    </row>
    <row r="2723" spans="1:19" ht="16.5" x14ac:dyDescent="0.3">
      <c r="A2723" t="s">
        <v>2786</v>
      </c>
      <c r="B2723" s="1">
        <v>45657</v>
      </c>
      <c r="C2723" s="1">
        <v>45659</v>
      </c>
      <c r="D2723">
        <v>2024</v>
      </c>
      <c r="E2723" t="s">
        <v>2026</v>
      </c>
      <c r="F2723" t="s">
        <v>2496</v>
      </c>
      <c r="G2723" t="s">
        <v>56</v>
      </c>
      <c r="H2723" t="s">
        <v>30</v>
      </c>
      <c r="I2723" t="s">
        <v>40</v>
      </c>
      <c r="J2723" t="s">
        <v>43</v>
      </c>
      <c r="K2723" t="s">
        <v>26</v>
      </c>
      <c r="L2723" t="s">
        <v>44</v>
      </c>
      <c r="M2723">
        <v>2</v>
      </c>
      <c r="N2723" s="2"/>
      <c r="O2723" s="3">
        <v>3392</v>
      </c>
      <c r="P2723">
        <v>0</v>
      </c>
      <c r="Q2723">
        <v>4</v>
      </c>
      <c r="R2723" t="s">
        <v>33</v>
      </c>
      <c r="S2723">
        <v>1</v>
      </c>
    </row>
    <row r="2724" spans="1:19" ht="16.5" x14ac:dyDescent="0.3">
      <c r="A2724" t="s">
        <v>2787</v>
      </c>
      <c r="B2724" s="1">
        <v>45657</v>
      </c>
      <c r="C2724" s="1">
        <v>45662</v>
      </c>
      <c r="D2724">
        <v>2024</v>
      </c>
      <c r="E2724" t="s">
        <v>2026</v>
      </c>
      <c r="F2724" t="s">
        <v>2496</v>
      </c>
      <c r="G2724" t="s">
        <v>56</v>
      </c>
      <c r="H2724" t="s">
        <v>35</v>
      </c>
      <c r="I2724" t="s">
        <v>24</v>
      </c>
      <c r="J2724" t="s">
        <v>25</v>
      </c>
      <c r="K2724" t="s">
        <v>36</v>
      </c>
      <c r="L2724" t="s">
        <v>44</v>
      </c>
      <c r="M2724">
        <v>5</v>
      </c>
      <c r="N2724" s="2">
        <v>159</v>
      </c>
      <c r="O2724" s="3">
        <v>4062</v>
      </c>
      <c r="P2724">
        <v>0</v>
      </c>
      <c r="Q2724">
        <v>2</v>
      </c>
      <c r="R2724" t="s">
        <v>33</v>
      </c>
      <c r="S2724">
        <v>1</v>
      </c>
    </row>
    <row r="2725" spans="1:19" ht="16.5" x14ac:dyDescent="0.3">
      <c r="A2725" t="s">
        <v>2788</v>
      </c>
      <c r="B2725" s="1">
        <v>45657</v>
      </c>
      <c r="C2725" s="1">
        <v>45661</v>
      </c>
      <c r="D2725">
        <v>2024</v>
      </c>
      <c r="E2725" t="s">
        <v>2026</v>
      </c>
      <c r="F2725" t="s">
        <v>2496</v>
      </c>
      <c r="G2725" t="s">
        <v>56</v>
      </c>
      <c r="H2725" t="s">
        <v>52</v>
      </c>
      <c r="I2725" t="s">
        <v>40</v>
      </c>
      <c r="J2725" t="s">
        <v>43</v>
      </c>
      <c r="K2725" t="s">
        <v>53</v>
      </c>
      <c r="L2725" t="s">
        <v>44</v>
      </c>
      <c r="M2725">
        <v>4</v>
      </c>
      <c r="N2725" s="2"/>
      <c r="O2725" s="3">
        <v>3772</v>
      </c>
      <c r="P2725">
        <v>0</v>
      </c>
      <c r="Q2725">
        <v>4</v>
      </c>
      <c r="R2725" t="s">
        <v>33</v>
      </c>
      <c r="S2725">
        <v>1</v>
      </c>
    </row>
    <row r="2726" spans="1:19" ht="16.5" x14ac:dyDescent="0.3">
      <c r="A2726" t="s">
        <v>2789</v>
      </c>
      <c r="B2726" s="1">
        <v>45657</v>
      </c>
      <c r="C2726" s="1">
        <v>45665</v>
      </c>
      <c r="D2726">
        <v>2024</v>
      </c>
      <c r="E2726" t="s">
        <v>2026</v>
      </c>
      <c r="F2726" t="s">
        <v>2496</v>
      </c>
      <c r="G2726" t="s">
        <v>56</v>
      </c>
      <c r="H2726" t="s">
        <v>23</v>
      </c>
      <c r="I2726" t="s">
        <v>24</v>
      </c>
      <c r="J2726" t="s">
        <v>43</v>
      </c>
      <c r="K2726" t="s">
        <v>32</v>
      </c>
      <c r="L2726" t="s">
        <v>44</v>
      </c>
      <c r="M2726">
        <v>8</v>
      </c>
      <c r="N2726" s="2">
        <v>57</v>
      </c>
      <c r="O2726" s="3">
        <v>6711</v>
      </c>
      <c r="P2726">
        <v>0</v>
      </c>
      <c r="Q2726">
        <v>4</v>
      </c>
      <c r="R2726" t="s">
        <v>59</v>
      </c>
      <c r="S2726">
        <v>1</v>
      </c>
    </row>
    <row r="2727" spans="1:19" ht="16.5" x14ac:dyDescent="0.3">
      <c r="A2727" t="s">
        <v>2790</v>
      </c>
      <c r="B2727" s="1">
        <v>45657</v>
      </c>
      <c r="C2727" s="1">
        <v>45678</v>
      </c>
      <c r="D2727">
        <v>2024</v>
      </c>
      <c r="E2727" t="s">
        <v>2026</v>
      </c>
      <c r="F2727" t="s">
        <v>2496</v>
      </c>
      <c r="G2727" t="s">
        <v>56</v>
      </c>
      <c r="H2727" t="s">
        <v>23</v>
      </c>
      <c r="I2727" t="s">
        <v>24</v>
      </c>
      <c r="J2727" t="s">
        <v>25</v>
      </c>
      <c r="K2727" t="s">
        <v>26</v>
      </c>
      <c r="L2727" t="s">
        <v>27</v>
      </c>
      <c r="M2727">
        <v>21</v>
      </c>
      <c r="N2727" s="2">
        <v>187</v>
      </c>
      <c r="O2727" s="3">
        <v>14858</v>
      </c>
      <c r="P2727">
        <v>1</v>
      </c>
      <c r="Q2727">
        <v>2</v>
      </c>
      <c r="R2727" t="s">
        <v>28</v>
      </c>
      <c r="S2727">
        <v>1</v>
      </c>
    </row>
    <row r="2728" spans="1:19" ht="16.5" x14ac:dyDescent="0.3">
      <c r="A2728" t="s">
        <v>2791</v>
      </c>
      <c r="B2728" s="1">
        <v>45657</v>
      </c>
      <c r="C2728" s="1">
        <v>45658</v>
      </c>
      <c r="D2728">
        <v>2024</v>
      </c>
      <c r="E2728" t="s">
        <v>2026</v>
      </c>
      <c r="F2728" t="s">
        <v>2496</v>
      </c>
      <c r="G2728" t="s">
        <v>56</v>
      </c>
      <c r="H2728" t="s">
        <v>39</v>
      </c>
      <c r="I2728" t="s">
        <v>24</v>
      </c>
      <c r="J2728" t="s">
        <v>25</v>
      </c>
      <c r="K2728" t="s">
        <v>41</v>
      </c>
      <c r="L2728" t="s">
        <v>44</v>
      </c>
      <c r="M2728">
        <v>1</v>
      </c>
      <c r="N2728" s="2">
        <v>53</v>
      </c>
      <c r="O2728" s="3">
        <v>1224</v>
      </c>
      <c r="P2728">
        <v>0</v>
      </c>
      <c r="Q2728">
        <v>5</v>
      </c>
      <c r="R2728" t="s">
        <v>33</v>
      </c>
      <c r="S2728">
        <v>1</v>
      </c>
    </row>
    <row r="2729" spans="1:19" ht="16.5" x14ac:dyDescent="0.3">
      <c r="A2729" t="s">
        <v>2792</v>
      </c>
      <c r="B2729" s="1">
        <v>45657</v>
      </c>
      <c r="C2729" s="1">
        <v>45658</v>
      </c>
      <c r="D2729">
        <v>2024</v>
      </c>
      <c r="E2729" t="s">
        <v>2026</v>
      </c>
      <c r="F2729" t="s">
        <v>2496</v>
      </c>
      <c r="G2729" t="s">
        <v>56</v>
      </c>
      <c r="H2729" t="s">
        <v>30</v>
      </c>
      <c r="I2729" t="s">
        <v>40</v>
      </c>
      <c r="J2729" t="s">
        <v>43</v>
      </c>
      <c r="K2729" t="s">
        <v>53</v>
      </c>
      <c r="L2729" t="s">
        <v>27</v>
      </c>
      <c r="M2729">
        <v>1</v>
      </c>
      <c r="N2729" s="2"/>
      <c r="O2729" s="3">
        <v>2690</v>
      </c>
      <c r="P2729">
        <v>0</v>
      </c>
      <c r="Q2729">
        <v>4</v>
      </c>
      <c r="R2729" t="s">
        <v>33</v>
      </c>
      <c r="S2729">
        <v>1</v>
      </c>
    </row>
    <row r="2730" spans="1:19" ht="16.5" x14ac:dyDescent="0.3">
      <c r="A2730" t="s">
        <v>2793</v>
      </c>
      <c r="B2730" s="1">
        <v>45658</v>
      </c>
      <c r="C2730" s="1">
        <v>45660</v>
      </c>
      <c r="D2730">
        <v>2025</v>
      </c>
      <c r="E2730" t="s">
        <v>20</v>
      </c>
      <c r="F2730" t="s">
        <v>21</v>
      </c>
      <c r="G2730" t="s">
        <v>70</v>
      </c>
      <c r="H2730" t="s">
        <v>23</v>
      </c>
      <c r="I2730" t="s">
        <v>40</v>
      </c>
      <c r="J2730" t="s">
        <v>25</v>
      </c>
      <c r="K2730" t="s">
        <v>36</v>
      </c>
      <c r="L2730" t="s">
        <v>27</v>
      </c>
      <c r="M2730">
        <v>2</v>
      </c>
      <c r="N2730" s="2"/>
      <c r="O2730" s="3">
        <v>1718</v>
      </c>
      <c r="P2730">
        <v>0</v>
      </c>
      <c r="Q2730">
        <v>5</v>
      </c>
      <c r="R2730" t="s">
        <v>28</v>
      </c>
      <c r="S2730">
        <v>1</v>
      </c>
    </row>
    <row r="2731" spans="1:19" ht="16.5" x14ac:dyDescent="0.3">
      <c r="A2731" t="s">
        <v>2794</v>
      </c>
      <c r="B2731" s="1">
        <v>45658</v>
      </c>
      <c r="C2731" s="1">
        <v>45660</v>
      </c>
      <c r="D2731">
        <v>2025</v>
      </c>
      <c r="E2731" t="s">
        <v>20</v>
      </c>
      <c r="F2731" t="s">
        <v>21</v>
      </c>
      <c r="G2731" t="s">
        <v>70</v>
      </c>
      <c r="H2731" t="s">
        <v>39</v>
      </c>
      <c r="I2731" t="s">
        <v>24</v>
      </c>
      <c r="J2731" t="s">
        <v>25</v>
      </c>
      <c r="K2731" t="s">
        <v>41</v>
      </c>
      <c r="L2731" t="s">
        <v>44</v>
      </c>
      <c r="M2731">
        <v>2</v>
      </c>
      <c r="N2731" s="2">
        <v>65</v>
      </c>
      <c r="O2731" s="3">
        <v>1745</v>
      </c>
      <c r="P2731">
        <v>0</v>
      </c>
      <c r="Q2731">
        <v>5</v>
      </c>
      <c r="R2731" t="s">
        <v>33</v>
      </c>
      <c r="S2731">
        <v>1</v>
      </c>
    </row>
    <row r="2732" spans="1:19" ht="16.5" x14ac:dyDescent="0.3">
      <c r="A2732" t="s">
        <v>2795</v>
      </c>
      <c r="B2732" s="1">
        <v>45658</v>
      </c>
      <c r="C2732" s="1">
        <v>45666</v>
      </c>
      <c r="D2732">
        <v>2025</v>
      </c>
      <c r="E2732" t="s">
        <v>20</v>
      </c>
      <c r="F2732" t="s">
        <v>21</v>
      </c>
      <c r="G2732" t="s">
        <v>70</v>
      </c>
      <c r="H2732" t="s">
        <v>23</v>
      </c>
      <c r="I2732" t="s">
        <v>24</v>
      </c>
      <c r="J2732" t="s">
        <v>25</v>
      </c>
      <c r="K2732" t="s">
        <v>26</v>
      </c>
      <c r="L2732" t="s">
        <v>44</v>
      </c>
      <c r="M2732">
        <v>8</v>
      </c>
      <c r="N2732" s="2">
        <v>82</v>
      </c>
      <c r="O2732" s="3">
        <v>5135</v>
      </c>
      <c r="P2732">
        <v>0</v>
      </c>
      <c r="Q2732">
        <v>3</v>
      </c>
      <c r="R2732" t="s">
        <v>33</v>
      </c>
      <c r="S2732">
        <v>1</v>
      </c>
    </row>
    <row r="2733" spans="1:19" ht="16.5" x14ac:dyDescent="0.3">
      <c r="A2733" t="s">
        <v>2796</v>
      </c>
      <c r="B2733" s="1">
        <v>45658</v>
      </c>
      <c r="C2733" s="1">
        <v>45665</v>
      </c>
      <c r="D2733">
        <v>2025</v>
      </c>
      <c r="E2733" t="s">
        <v>20</v>
      </c>
      <c r="F2733" t="s">
        <v>21</v>
      </c>
      <c r="G2733" t="s">
        <v>70</v>
      </c>
      <c r="H2733" t="s">
        <v>39</v>
      </c>
      <c r="I2733" t="s">
        <v>24</v>
      </c>
      <c r="J2733" t="s">
        <v>43</v>
      </c>
      <c r="K2733" t="s">
        <v>41</v>
      </c>
      <c r="L2733" t="s">
        <v>27</v>
      </c>
      <c r="M2733">
        <v>7</v>
      </c>
      <c r="N2733" s="2">
        <v>46</v>
      </c>
      <c r="O2733" s="3">
        <v>3775</v>
      </c>
      <c r="P2733">
        <v>0</v>
      </c>
      <c r="Q2733">
        <v>3</v>
      </c>
      <c r="R2733" t="s">
        <v>28</v>
      </c>
      <c r="S2733">
        <v>1</v>
      </c>
    </row>
    <row r="2734" spans="1:19" ht="16.5" x14ac:dyDescent="0.3">
      <c r="A2734" t="s">
        <v>2797</v>
      </c>
      <c r="B2734" s="1">
        <v>45658</v>
      </c>
      <c r="C2734" s="1">
        <v>45667</v>
      </c>
      <c r="D2734">
        <v>2025</v>
      </c>
      <c r="E2734" t="s">
        <v>20</v>
      </c>
      <c r="F2734" t="s">
        <v>21</v>
      </c>
      <c r="G2734" t="s">
        <v>70</v>
      </c>
      <c r="H2734" t="s">
        <v>52</v>
      </c>
      <c r="I2734" t="s">
        <v>40</v>
      </c>
      <c r="J2734" t="s">
        <v>43</v>
      </c>
      <c r="K2734" t="s">
        <v>32</v>
      </c>
      <c r="L2734" t="s">
        <v>37</v>
      </c>
      <c r="M2734">
        <v>9</v>
      </c>
      <c r="N2734" s="2"/>
      <c r="O2734" s="3">
        <v>8296</v>
      </c>
      <c r="P2734">
        <v>0</v>
      </c>
      <c r="Q2734">
        <v>4</v>
      </c>
      <c r="R2734" t="s">
        <v>33</v>
      </c>
      <c r="S2734">
        <v>1</v>
      </c>
    </row>
    <row r="2735" spans="1:19" ht="16.5" x14ac:dyDescent="0.3">
      <c r="A2735" t="s">
        <v>2798</v>
      </c>
      <c r="B2735" s="1">
        <v>45658</v>
      </c>
      <c r="C2735" s="1">
        <v>45660</v>
      </c>
      <c r="D2735">
        <v>2025</v>
      </c>
      <c r="E2735" t="s">
        <v>20</v>
      </c>
      <c r="F2735" t="s">
        <v>21</v>
      </c>
      <c r="G2735" t="s">
        <v>70</v>
      </c>
      <c r="H2735" t="s">
        <v>23</v>
      </c>
      <c r="I2735" t="s">
        <v>24</v>
      </c>
      <c r="J2735" t="s">
        <v>25</v>
      </c>
      <c r="K2735" t="s">
        <v>32</v>
      </c>
      <c r="L2735" t="s">
        <v>37</v>
      </c>
      <c r="M2735">
        <v>2</v>
      </c>
      <c r="N2735" s="2">
        <v>20</v>
      </c>
      <c r="O2735" s="3">
        <v>2085</v>
      </c>
      <c r="P2735">
        <v>0</v>
      </c>
      <c r="Q2735">
        <v>3</v>
      </c>
      <c r="R2735" t="s">
        <v>33</v>
      </c>
      <c r="S2735">
        <v>1</v>
      </c>
    </row>
    <row r="2736" spans="1:19" ht="16.5" x14ac:dyDescent="0.3">
      <c r="A2736" t="s">
        <v>2799</v>
      </c>
      <c r="B2736" s="1">
        <v>45658</v>
      </c>
      <c r="C2736" s="1">
        <v>45660</v>
      </c>
      <c r="D2736">
        <v>2025</v>
      </c>
      <c r="E2736" t="s">
        <v>20</v>
      </c>
      <c r="F2736" t="s">
        <v>21</v>
      </c>
      <c r="G2736" t="s">
        <v>70</v>
      </c>
      <c r="H2736" t="s">
        <v>30</v>
      </c>
      <c r="I2736" t="s">
        <v>24</v>
      </c>
      <c r="J2736" t="s">
        <v>43</v>
      </c>
      <c r="K2736" t="s">
        <v>36</v>
      </c>
      <c r="L2736" t="s">
        <v>37</v>
      </c>
      <c r="M2736">
        <v>2</v>
      </c>
      <c r="N2736" s="2">
        <v>102</v>
      </c>
      <c r="O2736" s="3">
        <v>3441</v>
      </c>
      <c r="P2736">
        <v>0</v>
      </c>
      <c r="Q2736">
        <v>3</v>
      </c>
      <c r="R2736" t="s">
        <v>33</v>
      </c>
      <c r="S2736">
        <v>1</v>
      </c>
    </row>
    <row r="2737" spans="1:19" ht="16.5" x14ac:dyDescent="0.3">
      <c r="A2737" t="s">
        <v>2800</v>
      </c>
      <c r="B2737" s="1">
        <v>45658</v>
      </c>
      <c r="C2737" s="1">
        <v>45663</v>
      </c>
      <c r="D2737">
        <v>2025</v>
      </c>
      <c r="E2737" t="s">
        <v>20</v>
      </c>
      <c r="F2737" t="s">
        <v>21</v>
      </c>
      <c r="G2737" t="s">
        <v>70</v>
      </c>
      <c r="H2737" t="s">
        <v>35</v>
      </c>
      <c r="I2737" t="s">
        <v>24</v>
      </c>
      <c r="J2737" t="s">
        <v>25</v>
      </c>
      <c r="K2737" t="s">
        <v>32</v>
      </c>
      <c r="L2737" t="s">
        <v>27</v>
      </c>
      <c r="M2737">
        <v>5</v>
      </c>
      <c r="N2737" s="2">
        <v>37</v>
      </c>
      <c r="O2737" s="3">
        <v>3206</v>
      </c>
      <c r="P2737">
        <v>0</v>
      </c>
      <c r="Q2737">
        <v>4</v>
      </c>
      <c r="R2737" t="s">
        <v>28</v>
      </c>
      <c r="S2737">
        <v>1</v>
      </c>
    </row>
    <row r="2738" spans="1:19" ht="16.5" x14ac:dyDescent="0.3">
      <c r="A2738" t="s">
        <v>2801</v>
      </c>
      <c r="B2738" s="1">
        <v>45658</v>
      </c>
      <c r="C2738" s="1">
        <v>45660</v>
      </c>
      <c r="D2738">
        <v>2025</v>
      </c>
      <c r="E2738" t="s">
        <v>20</v>
      </c>
      <c r="F2738" t="s">
        <v>21</v>
      </c>
      <c r="G2738" t="s">
        <v>70</v>
      </c>
      <c r="H2738" t="s">
        <v>35</v>
      </c>
      <c r="I2738" t="s">
        <v>24</v>
      </c>
      <c r="J2738" t="s">
        <v>25</v>
      </c>
      <c r="K2738" t="s">
        <v>32</v>
      </c>
      <c r="L2738" t="s">
        <v>37</v>
      </c>
      <c r="M2738">
        <v>2</v>
      </c>
      <c r="N2738" s="2">
        <v>102</v>
      </c>
      <c r="O2738" s="3">
        <v>1973</v>
      </c>
      <c r="P2738">
        <v>0</v>
      </c>
      <c r="Q2738">
        <v>4</v>
      </c>
      <c r="R2738" t="s">
        <v>33</v>
      </c>
      <c r="S2738">
        <v>1</v>
      </c>
    </row>
    <row r="2739" spans="1:19" ht="16.5" x14ac:dyDescent="0.3">
      <c r="A2739" t="s">
        <v>2802</v>
      </c>
      <c r="B2739" s="1">
        <v>45658</v>
      </c>
      <c r="C2739" s="1">
        <v>45663</v>
      </c>
      <c r="D2739">
        <v>2025</v>
      </c>
      <c r="E2739" t="s">
        <v>20</v>
      </c>
      <c r="F2739" t="s">
        <v>21</v>
      </c>
      <c r="G2739" t="s">
        <v>70</v>
      </c>
      <c r="H2739" t="s">
        <v>30</v>
      </c>
      <c r="I2739" t="s">
        <v>24</v>
      </c>
      <c r="J2739" t="s">
        <v>43</v>
      </c>
      <c r="K2739" t="s">
        <v>26</v>
      </c>
      <c r="L2739" t="s">
        <v>37</v>
      </c>
      <c r="M2739">
        <v>5</v>
      </c>
      <c r="N2739" s="2">
        <v>64</v>
      </c>
      <c r="O2739" s="3">
        <v>6234</v>
      </c>
      <c r="P2739">
        <v>0</v>
      </c>
      <c r="Q2739">
        <v>4</v>
      </c>
      <c r="R2739" t="s">
        <v>59</v>
      </c>
      <c r="S2739">
        <v>1</v>
      </c>
    </row>
    <row r="2740" spans="1:19" ht="16.5" x14ac:dyDescent="0.3">
      <c r="A2740" t="s">
        <v>2803</v>
      </c>
      <c r="B2740" s="1">
        <v>45658</v>
      </c>
      <c r="C2740" s="1">
        <v>45665</v>
      </c>
      <c r="D2740">
        <v>2025</v>
      </c>
      <c r="E2740" t="s">
        <v>20</v>
      </c>
      <c r="F2740" t="s">
        <v>21</v>
      </c>
      <c r="G2740" t="s">
        <v>70</v>
      </c>
      <c r="H2740" t="s">
        <v>39</v>
      </c>
      <c r="I2740" t="s">
        <v>40</v>
      </c>
      <c r="J2740" t="s">
        <v>43</v>
      </c>
      <c r="K2740" t="s">
        <v>41</v>
      </c>
      <c r="L2740" t="s">
        <v>44</v>
      </c>
      <c r="M2740">
        <v>7</v>
      </c>
      <c r="N2740" s="2"/>
      <c r="O2740" s="3">
        <v>3136</v>
      </c>
      <c r="P2740">
        <v>0</v>
      </c>
      <c r="Q2740">
        <v>5</v>
      </c>
      <c r="R2740" t="s">
        <v>28</v>
      </c>
      <c r="S2740">
        <v>1</v>
      </c>
    </row>
    <row r="2741" spans="1:19" ht="16.5" x14ac:dyDescent="0.3">
      <c r="A2741" t="s">
        <v>2804</v>
      </c>
      <c r="B2741" s="1">
        <v>45658</v>
      </c>
      <c r="C2741" s="1">
        <v>45659</v>
      </c>
      <c r="D2741">
        <v>2025</v>
      </c>
      <c r="E2741" t="s">
        <v>20</v>
      </c>
      <c r="F2741" t="s">
        <v>21</v>
      </c>
      <c r="G2741" t="s">
        <v>70</v>
      </c>
      <c r="H2741" t="s">
        <v>30</v>
      </c>
      <c r="I2741" t="s">
        <v>40</v>
      </c>
      <c r="J2741" t="s">
        <v>43</v>
      </c>
      <c r="K2741" t="s">
        <v>53</v>
      </c>
      <c r="L2741" t="s">
        <v>37</v>
      </c>
      <c r="M2741">
        <v>1</v>
      </c>
      <c r="N2741" s="2"/>
      <c r="O2741" s="3">
        <v>1920</v>
      </c>
      <c r="P2741">
        <v>0</v>
      </c>
      <c r="Q2741">
        <v>4</v>
      </c>
      <c r="R2741" t="s">
        <v>28</v>
      </c>
      <c r="S2741">
        <v>1</v>
      </c>
    </row>
    <row r="2742" spans="1:19" ht="16.5" x14ac:dyDescent="0.3">
      <c r="A2742" t="s">
        <v>2805</v>
      </c>
      <c r="B2742" s="1">
        <v>45659</v>
      </c>
      <c r="C2742" s="1">
        <v>45665</v>
      </c>
      <c r="D2742">
        <v>2025</v>
      </c>
      <c r="E2742" t="s">
        <v>20</v>
      </c>
      <c r="F2742" t="s">
        <v>21</v>
      </c>
      <c r="G2742" t="s">
        <v>78</v>
      </c>
      <c r="H2742" t="s">
        <v>23</v>
      </c>
      <c r="I2742" t="s">
        <v>40</v>
      </c>
      <c r="J2742" t="s">
        <v>43</v>
      </c>
      <c r="K2742" t="s">
        <v>32</v>
      </c>
      <c r="L2742" t="s">
        <v>44</v>
      </c>
      <c r="M2742">
        <v>6</v>
      </c>
      <c r="N2742" s="2"/>
      <c r="O2742" s="3">
        <v>4188</v>
      </c>
      <c r="P2742">
        <v>0</v>
      </c>
      <c r="Q2742">
        <v>4</v>
      </c>
      <c r="R2742" t="s">
        <v>28</v>
      </c>
      <c r="S2742">
        <v>1</v>
      </c>
    </row>
    <row r="2743" spans="1:19" ht="16.5" x14ac:dyDescent="0.3">
      <c r="A2743" t="s">
        <v>2806</v>
      </c>
      <c r="B2743" s="1">
        <v>45659</v>
      </c>
      <c r="C2743" s="1">
        <v>45663</v>
      </c>
      <c r="D2743">
        <v>2025</v>
      </c>
      <c r="E2743" t="s">
        <v>20</v>
      </c>
      <c r="F2743" t="s">
        <v>21</v>
      </c>
      <c r="G2743" t="s">
        <v>78</v>
      </c>
      <c r="H2743" t="s">
        <v>23</v>
      </c>
      <c r="I2743" t="s">
        <v>24</v>
      </c>
      <c r="J2743" t="s">
        <v>25</v>
      </c>
      <c r="K2743" t="s">
        <v>53</v>
      </c>
      <c r="L2743" t="s">
        <v>27</v>
      </c>
      <c r="M2743">
        <v>4</v>
      </c>
      <c r="N2743" s="2">
        <v>31</v>
      </c>
      <c r="O2743" s="3">
        <v>3317</v>
      </c>
      <c r="P2743">
        <v>0</v>
      </c>
      <c r="Q2743">
        <v>5</v>
      </c>
      <c r="R2743" t="s">
        <v>28</v>
      </c>
      <c r="S2743">
        <v>1</v>
      </c>
    </row>
    <row r="2744" spans="1:19" ht="16.5" x14ac:dyDescent="0.3">
      <c r="A2744" t="s">
        <v>2807</v>
      </c>
      <c r="B2744" s="1">
        <v>45659</v>
      </c>
      <c r="C2744" s="1">
        <v>45662</v>
      </c>
      <c r="D2744">
        <v>2025</v>
      </c>
      <c r="E2744" t="s">
        <v>20</v>
      </c>
      <c r="F2744" t="s">
        <v>21</v>
      </c>
      <c r="G2744" t="s">
        <v>78</v>
      </c>
      <c r="H2744" t="s">
        <v>35</v>
      </c>
      <c r="I2744" t="s">
        <v>24</v>
      </c>
      <c r="J2744" t="s">
        <v>25</v>
      </c>
      <c r="K2744" t="s">
        <v>32</v>
      </c>
      <c r="L2744" t="s">
        <v>44</v>
      </c>
      <c r="M2744">
        <v>3</v>
      </c>
      <c r="N2744" s="2">
        <v>56</v>
      </c>
      <c r="O2744" s="3">
        <v>3122</v>
      </c>
      <c r="P2744">
        <v>0</v>
      </c>
      <c r="Q2744">
        <v>4</v>
      </c>
      <c r="R2744" t="s">
        <v>28</v>
      </c>
      <c r="S2744">
        <v>1</v>
      </c>
    </row>
    <row r="2745" spans="1:19" ht="16.5" x14ac:dyDescent="0.3">
      <c r="A2745" t="s">
        <v>2808</v>
      </c>
      <c r="B2745" s="1">
        <v>45659</v>
      </c>
      <c r="C2745" s="1">
        <v>45672</v>
      </c>
      <c r="D2745">
        <v>2025</v>
      </c>
      <c r="E2745" t="s">
        <v>20</v>
      </c>
      <c r="F2745" t="s">
        <v>21</v>
      </c>
      <c r="G2745" t="s">
        <v>78</v>
      </c>
      <c r="H2745" t="s">
        <v>23</v>
      </c>
      <c r="I2745" t="s">
        <v>24</v>
      </c>
      <c r="J2745" t="s">
        <v>43</v>
      </c>
      <c r="K2745" t="s">
        <v>26</v>
      </c>
      <c r="L2745" t="s">
        <v>27</v>
      </c>
      <c r="M2745">
        <v>13</v>
      </c>
      <c r="N2745" s="2">
        <v>198</v>
      </c>
      <c r="O2745" s="3">
        <v>9570</v>
      </c>
      <c r="P2745">
        <v>1</v>
      </c>
      <c r="Q2745">
        <v>3</v>
      </c>
      <c r="R2745" t="s">
        <v>28</v>
      </c>
      <c r="S2745">
        <v>1</v>
      </c>
    </row>
    <row r="2746" spans="1:19" ht="16.5" x14ac:dyDescent="0.3">
      <c r="A2746" t="s">
        <v>2809</v>
      </c>
      <c r="B2746" s="1">
        <v>45659</v>
      </c>
      <c r="C2746" s="1">
        <v>45661</v>
      </c>
      <c r="D2746">
        <v>2025</v>
      </c>
      <c r="E2746" t="s">
        <v>20</v>
      </c>
      <c r="F2746" t="s">
        <v>21</v>
      </c>
      <c r="G2746" t="s">
        <v>78</v>
      </c>
      <c r="H2746" t="s">
        <v>23</v>
      </c>
      <c r="I2746" t="s">
        <v>40</v>
      </c>
      <c r="J2746" t="s">
        <v>43</v>
      </c>
      <c r="K2746" t="s">
        <v>32</v>
      </c>
      <c r="L2746" t="s">
        <v>27</v>
      </c>
      <c r="M2746">
        <v>2</v>
      </c>
      <c r="N2746" s="2"/>
      <c r="O2746" s="3">
        <v>1955</v>
      </c>
      <c r="P2746">
        <v>0</v>
      </c>
      <c r="Q2746">
        <v>3</v>
      </c>
      <c r="R2746" t="s">
        <v>33</v>
      </c>
      <c r="S2746">
        <v>1</v>
      </c>
    </row>
    <row r="2747" spans="1:19" ht="16.5" x14ac:dyDescent="0.3">
      <c r="A2747" t="s">
        <v>2810</v>
      </c>
      <c r="B2747" s="1">
        <v>45659</v>
      </c>
      <c r="C2747" s="1">
        <v>45670</v>
      </c>
      <c r="D2747">
        <v>2025</v>
      </c>
      <c r="E2747" t="s">
        <v>20</v>
      </c>
      <c r="F2747" t="s">
        <v>21</v>
      </c>
      <c r="G2747" t="s">
        <v>78</v>
      </c>
      <c r="H2747" t="s">
        <v>30</v>
      </c>
      <c r="I2747" t="s">
        <v>40</v>
      </c>
      <c r="J2747" t="s">
        <v>25</v>
      </c>
      <c r="K2747" t="s">
        <v>26</v>
      </c>
      <c r="L2747" t="s">
        <v>27</v>
      </c>
      <c r="M2747">
        <v>11</v>
      </c>
      <c r="N2747" s="2"/>
      <c r="O2747" s="3">
        <v>12840</v>
      </c>
      <c r="P2747">
        <v>0</v>
      </c>
      <c r="Q2747">
        <v>4</v>
      </c>
      <c r="R2747" t="s">
        <v>28</v>
      </c>
      <c r="S2747">
        <v>1</v>
      </c>
    </row>
    <row r="2748" spans="1:19" ht="16.5" x14ac:dyDescent="0.3">
      <c r="A2748" t="s">
        <v>2811</v>
      </c>
      <c r="B2748" s="1">
        <v>45659</v>
      </c>
      <c r="C2748" s="1">
        <v>45660</v>
      </c>
      <c r="D2748">
        <v>2025</v>
      </c>
      <c r="E2748" t="s">
        <v>20</v>
      </c>
      <c r="F2748" t="s">
        <v>21</v>
      </c>
      <c r="G2748" t="s">
        <v>78</v>
      </c>
      <c r="H2748" t="s">
        <v>30</v>
      </c>
      <c r="I2748" t="s">
        <v>40</v>
      </c>
      <c r="J2748" t="s">
        <v>25</v>
      </c>
      <c r="K2748" t="s">
        <v>53</v>
      </c>
      <c r="L2748" t="s">
        <v>27</v>
      </c>
      <c r="M2748">
        <v>1</v>
      </c>
      <c r="N2748" s="2"/>
      <c r="O2748" s="3">
        <v>1980</v>
      </c>
      <c r="P2748">
        <v>0</v>
      </c>
      <c r="Q2748">
        <v>4</v>
      </c>
      <c r="R2748" t="s">
        <v>28</v>
      </c>
      <c r="S2748">
        <v>1</v>
      </c>
    </row>
    <row r="2749" spans="1:19" ht="16.5" x14ac:dyDescent="0.3">
      <c r="A2749" t="s">
        <v>2812</v>
      </c>
      <c r="B2749" s="1">
        <v>45659</v>
      </c>
      <c r="C2749" s="1">
        <v>45671</v>
      </c>
      <c r="D2749">
        <v>2025</v>
      </c>
      <c r="E2749" t="s">
        <v>20</v>
      </c>
      <c r="F2749" t="s">
        <v>21</v>
      </c>
      <c r="G2749" t="s">
        <v>78</v>
      </c>
      <c r="H2749" t="s">
        <v>39</v>
      </c>
      <c r="I2749" t="s">
        <v>24</v>
      </c>
      <c r="J2749" t="s">
        <v>25</v>
      </c>
      <c r="K2749" t="s">
        <v>41</v>
      </c>
      <c r="L2749" t="s">
        <v>44</v>
      </c>
      <c r="M2749">
        <v>12</v>
      </c>
      <c r="N2749" s="2">
        <v>40</v>
      </c>
      <c r="O2749" s="3">
        <v>9381</v>
      </c>
      <c r="P2749">
        <v>0</v>
      </c>
      <c r="Q2749">
        <v>4</v>
      </c>
      <c r="R2749" t="s">
        <v>33</v>
      </c>
      <c r="S2749">
        <v>1</v>
      </c>
    </row>
    <row r="2750" spans="1:19" ht="16.5" x14ac:dyDescent="0.3">
      <c r="A2750" t="s">
        <v>2813</v>
      </c>
      <c r="B2750" s="1">
        <v>45659</v>
      </c>
      <c r="C2750" s="1">
        <v>45665</v>
      </c>
      <c r="D2750">
        <v>2025</v>
      </c>
      <c r="E2750" t="s">
        <v>20</v>
      </c>
      <c r="F2750" t="s">
        <v>21</v>
      </c>
      <c r="G2750" t="s">
        <v>78</v>
      </c>
      <c r="H2750" t="s">
        <v>50</v>
      </c>
      <c r="I2750" t="s">
        <v>40</v>
      </c>
      <c r="J2750" t="s">
        <v>43</v>
      </c>
      <c r="K2750" t="s">
        <v>26</v>
      </c>
      <c r="L2750" t="s">
        <v>44</v>
      </c>
      <c r="M2750">
        <v>6</v>
      </c>
      <c r="N2750" s="2"/>
      <c r="O2750" s="3">
        <v>8286</v>
      </c>
      <c r="P2750">
        <v>0</v>
      </c>
      <c r="Q2750">
        <v>4</v>
      </c>
      <c r="R2750" t="s">
        <v>33</v>
      </c>
      <c r="S2750">
        <v>1</v>
      </c>
    </row>
    <row r="2751" spans="1:19" ht="16.5" x14ac:dyDescent="0.3">
      <c r="A2751" t="s">
        <v>2814</v>
      </c>
      <c r="B2751" s="1">
        <v>45659</v>
      </c>
      <c r="C2751" s="1">
        <v>45661</v>
      </c>
      <c r="D2751">
        <v>2025</v>
      </c>
      <c r="E2751" t="s">
        <v>20</v>
      </c>
      <c r="F2751" t="s">
        <v>21</v>
      </c>
      <c r="G2751" t="s">
        <v>78</v>
      </c>
      <c r="H2751" t="s">
        <v>23</v>
      </c>
      <c r="I2751" t="s">
        <v>31</v>
      </c>
      <c r="J2751" t="s">
        <v>25</v>
      </c>
      <c r="K2751" t="s">
        <v>36</v>
      </c>
      <c r="L2751" t="s">
        <v>27</v>
      </c>
      <c r="M2751">
        <v>2</v>
      </c>
      <c r="N2751" s="2"/>
      <c r="O2751" s="3">
        <v>2418</v>
      </c>
      <c r="P2751">
        <v>0</v>
      </c>
      <c r="Q2751">
        <v>5</v>
      </c>
      <c r="R2751" t="s">
        <v>33</v>
      </c>
      <c r="S2751">
        <v>1</v>
      </c>
    </row>
    <row r="2752" spans="1:19" ht="16.5" x14ac:dyDescent="0.3">
      <c r="A2752" t="s">
        <v>2815</v>
      </c>
      <c r="B2752" s="1">
        <v>45659</v>
      </c>
      <c r="C2752" s="1">
        <v>45666</v>
      </c>
      <c r="D2752">
        <v>2025</v>
      </c>
      <c r="E2752" t="s">
        <v>20</v>
      </c>
      <c r="F2752" t="s">
        <v>21</v>
      </c>
      <c r="G2752" t="s">
        <v>78</v>
      </c>
      <c r="H2752" t="s">
        <v>23</v>
      </c>
      <c r="I2752" t="s">
        <v>24</v>
      </c>
      <c r="J2752" t="s">
        <v>25</v>
      </c>
      <c r="K2752" t="s">
        <v>53</v>
      </c>
      <c r="L2752" t="s">
        <v>44</v>
      </c>
      <c r="M2752">
        <v>7</v>
      </c>
      <c r="N2752" s="2">
        <v>88</v>
      </c>
      <c r="O2752" s="3">
        <v>5018</v>
      </c>
      <c r="P2752">
        <v>0</v>
      </c>
      <c r="Q2752">
        <v>4</v>
      </c>
      <c r="R2752" t="s">
        <v>28</v>
      </c>
      <c r="S2752">
        <v>1</v>
      </c>
    </row>
    <row r="2753" spans="1:19" ht="16.5" x14ac:dyDescent="0.3">
      <c r="A2753" t="s">
        <v>2816</v>
      </c>
      <c r="B2753" s="1">
        <v>45659</v>
      </c>
      <c r="C2753" s="1">
        <v>45665</v>
      </c>
      <c r="D2753">
        <v>2025</v>
      </c>
      <c r="E2753" t="s">
        <v>20</v>
      </c>
      <c r="F2753" t="s">
        <v>21</v>
      </c>
      <c r="G2753" t="s">
        <v>78</v>
      </c>
      <c r="H2753" t="s">
        <v>23</v>
      </c>
      <c r="I2753" t="s">
        <v>40</v>
      </c>
      <c r="J2753" t="s">
        <v>25</v>
      </c>
      <c r="K2753" t="s">
        <v>53</v>
      </c>
      <c r="L2753" t="s">
        <v>44</v>
      </c>
      <c r="M2753">
        <v>6</v>
      </c>
      <c r="N2753" s="2"/>
      <c r="O2753" s="3">
        <v>3757</v>
      </c>
      <c r="P2753">
        <v>0</v>
      </c>
      <c r="Q2753">
        <v>4</v>
      </c>
      <c r="R2753" t="s">
        <v>28</v>
      </c>
      <c r="S2753">
        <v>1</v>
      </c>
    </row>
    <row r="2754" spans="1:19" ht="16.5" x14ac:dyDescent="0.3">
      <c r="A2754" t="s">
        <v>2817</v>
      </c>
      <c r="B2754" s="1">
        <v>45659</v>
      </c>
      <c r="C2754" s="1">
        <v>45661</v>
      </c>
      <c r="D2754">
        <v>2025</v>
      </c>
      <c r="E2754" t="s">
        <v>20</v>
      </c>
      <c r="F2754" t="s">
        <v>21</v>
      </c>
      <c r="G2754" t="s">
        <v>78</v>
      </c>
      <c r="H2754" t="s">
        <v>39</v>
      </c>
      <c r="I2754" t="s">
        <v>24</v>
      </c>
      <c r="J2754" t="s">
        <v>43</v>
      </c>
      <c r="K2754" t="s">
        <v>41</v>
      </c>
      <c r="L2754" t="s">
        <v>44</v>
      </c>
      <c r="M2754">
        <v>2</v>
      </c>
      <c r="N2754" s="2">
        <v>82</v>
      </c>
      <c r="O2754" s="3">
        <v>2016</v>
      </c>
      <c r="P2754">
        <v>0</v>
      </c>
      <c r="Q2754">
        <v>5</v>
      </c>
      <c r="R2754" t="s">
        <v>33</v>
      </c>
      <c r="S2754">
        <v>1</v>
      </c>
    </row>
    <row r="2755" spans="1:19" ht="16.5" x14ac:dyDescent="0.3">
      <c r="A2755" t="s">
        <v>2818</v>
      </c>
      <c r="B2755" s="1">
        <v>45659</v>
      </c>
      <c r="C2755" s="1">
        <v>45667</v>
      </c>
      <c r="D2755">
        <v>2025</v>
      </c>
      <c r="E2755" t="s">
        <v>20</v>
      </c>
      <c r="F2755" t="s">
        <v>21</v>
      </c>
      <c r="G2755" t="s">
        <v>78</v>
      </c>
      <c r="H2755" t="s">
        <v>23</v>
      </c>
      <c r="I2755" t="s">
        <v>40</v>
      </c>
      <c r="J2755" t="s">
        <v>25</v>
      </c>
      <c r="K2755" t="s">
        <v>26</v>
      </c>
      <c r="L2755" t="s">
        <v>44</v>
      </c>
      <c r="M2755">
        <v>8</v>
      </c>
      <c r="N2755" s="2"/>
      <c r="O2755" s="3">
        <v>6126</v>
      </c>
      <c r="P2755">
        <v>0</v>
      </c>
      <c r="Q2755">
        <v>4</v>
      </c>
      <c r="R2755" t="s">
        <v>28</v>
      </c>
      <c r="S2755">
        <v>1</v>
      </c>
    </row>
    <row r="2756" spans="1:19" ht="16.5" x14ac:dyDescent="0.3">
      <c r="A2756" t="s">
        <v>2819</v>
      </c>
      <c r="B2756" s="1">
        <v>45659</v>
      </c>
      <c r="C2756" s="1">
        <v>45660</v>
      </c>
      <c r="D2756">
        <v>2025</v>
      </c>
      <c r="E2756" t="s">
        <v>20</v>
      </c>
      <c r="F2756" t="s">
        <v>21</v>
      </c>
      <c r="G2756" t="s">
        <v>78</v>
      </c>
      <c r="H2756" t="s">
        <v>52</v>
      </c>
      <c r="I2756" t="s">
        <v>40</v>
      </c>
      <c r="J2756" t="s">
        <v>25</v>
      </c>
      <c r="K2756" t="s">
        <v>36</v>
      </c>
      <c r="L2756" t="s">
        <v>27</v>
      </c>
      <c r="M2756">
        <v>1</v>
      </c>
      <c r="N2756" s="2"/>
      <c r="O2756" s="3">
        <v>1407</v>
      </c>
      <c r="P2756">
        <v>0</v>
      </c>
      <c r="Q2756">
        <v>4</v>
      </c>
      <c r="R2756" t="s">
        <v>28</v>
      </c>
      <c r="S2756">
        <v>1</v>
      </c>
    </row>
    <row r="2757" spans="1:19" ht="16.5" x14ac:dyDescent="0.3">
      <c r="A2757" t="s">
        <v>2820</v>
      </c>
      <c r="B2757" s="1">
        <v>45659</v>
      </c>
      <c r="C2757" s="1">
        <v>45660</v>
      </c>
      <c r="D2757">
        <v>2025</v>
      </c>
      <c r="E2757" t="s">
        <v>20</v>
      </c>
      <c r="F2757" t="s">
        <v>21</v>
      </c>
      <c r="G2757" t="s">
        <v>78</v>
      </c>
      <c r="H2757" t="s">
        <v>39</v>
      </c>
      <c r="I2757" t="s">
        <v>24</v>
      </c>
      <c r="J2757" t="s">
        <v>25</v>
      </c>
      <c r="K2757" t="s">
        <v>41</v>
      </c>
      <c r="L2757" t="s">
        <v>37</v>
      </c>
      <c r="M2757">
        <v>1</v>
      </c>
      <c r="N2757" s="2">
        <v>92</v>
      </c>
      <c r="O2757" s="3">
        <v>1910</v>
      </c>
      <c r="P2757">
        <v>0</v>
      </c>
      <c r="Q2757">
        <v>3</v>
      </c>
      <c r="R2757" t="s">
        <v>33</v>
      </c>
      <c r="S2757">
        <v>1</v>
      </c>
    </row>
    <row r="2758" spans="1:19" ht="16.5" x14ac:dyDescent="0.3">
      <c r="A2758" t="s">
        <v>2821</v>
      </c>
      <c r="B2758" s="1">
        <v>45659</v>
      </c>
      <c r="C2758" s="1">
        <v>45662</v>
      </c>
      <c r="D2758">
        <v>2025</v>
      </c>
      <c r="E2758" t="s">
        <v>20</v>
      </c>
      <c r="F2758" t="s">
        <v>21</v>
      </c>
      <c r="G2758" t="s">
        <v>78</v>
      </c>
      <c r="H2758" t="s">
        <v>39</v>
      </c>
      <c r="I2758" t="s">
        <v>24</v>
      </c>
      <c r="J2758" t="s">
        <v>25</v>
      </c>
      <c r="K2758" t="s">
        <v>41</v>
      </c>
      <c r="L2758" t="s">
        <v>27</v>
      </c>
      <c r="M2758">
        <v>3</v>
      </c>
      <c r="N2758" s="2">
        <v>94</v>
      </c>
      <c r="O2758" s="3">
        <v>2805</v>
      </c>
      <c r="P2758">
        <v>0</v>
      </c>
      <c r="Q2758">
        <v>4</v>
      </c>
      <c r="R2758" t="s">
        <v>33</v>
      </c>
      <c r="S2758">
        <v>1</v>
      </c>
    </row>
    <row r="2759" spans="1:19" ht="16.5" x14ac:dyDescent="0.3">
      <c r="A2759" t="s">
        <v>2822</v>
      </c>
      <c r="B2759" s="1">
        <v>45659</v>
      </c>
      <c r="C2759" s="1">
        <v>45672</v>
      </c>
      <c r="D2759">
        <v>2025</v>
      </c>
      <c r="E2759" t="s">
        <v>20</v>
      </c>
      <c r="F2759" t="s">
        <v>21</v>
      </c>
      <c r="G2759" t="s">
        <v>78</v>
      </c>
      <c r="H2759" t="s">
        <v>50</v>
      </c>
      <c r="I2759" t="s">
        <v>24</v>
      </c>
      <c r="J2759" t="s">
        <v>25</v>
      </c>
      <c r="K2759" t="s">
        <v>26</v>
      </c>
      <c r="L2759" t="s">
        <v>27</v>
      </c>
      <c r="M2759">
        <v>13</v>
      </c>
      <c r="N2759" s="2">
        <v>28</v>
      </c>
      <c r="O2759" s="3">
        <v>15634</v>
      </c>
      <c r="P2759">
        <v>1</v>
      </c>
      <c r="Q2759">
        <v>4</v>
      </c>
      <c r="R2759" t="s">
        <v>33</v>
      </c>
      <c r="S2759">
        <v>1</v>
      </c>
    </row>
    <row r="2760" spans="1:19" ht="16.5" x14ac:dyDescent="0.3">
      <c r="A2760" t="s">
        <v>2823</v>
      </c>
      <c r="B2760" s="1">
        <v>45659</v>
      </c>
      <c r="C2760" s="1">
        <v>45661</v>
      </c>
      <c r="D2760">
        <v>2025</v>
      </c>
      <c r="E2760" t="s">
        <v>20</v>
      </c>
      <c r="F2760" t="s">
        <v>21</v>
      </c>
      <c r="G2760" t="s">
        <v>78</v>
      </c>
      <c r="H2760" t="s">
        <v>23</v>
      </c>
      <c r="I2760" t="s">
        <v>24</v>
      </c>
      <c r="J2760" t="s">
        <v>25</v>
      </c>
      <c r="K2760" t="s">
        <v>32</v>
      </c>
      <c r="L2760" t="s">
        <v>27</v>
      </c>
      <c r="M2760">
        <v>2</v>
      </c>
      <c r="N2760" s="2">
        <v>37</v>
      </c>
      <c r="O2760" s="3">
        <v>2975</v>
      </c>
      <c r="P2760">
        <v>0</v>
      </c>
      <c r="Q2760">
        <v>4</v>
      </c>
      <c r="R2760" t="s">
        <v>33</v>
      </c>
      <c r="S2760">
        <v>1</v>
      </c>
    </row>
    <row r="2761" spans="1:19" ht="16.5" x14ac:dyDescent="0.3">
      <c r="A2761" t="s">
        <v>2824</v>
      </c>
      <c r="B2761" s="1">
        <v>45659</v>
      </c>
      <c r="C2761" s="1">
        <v>45666</v>
      </c>
      <c r="D2761">
        <v>2025</v>
      </c>
      <c r="E2761" t="s">
        <v>20</v>
      </c>
      <c r="F2761" t="s">
        <v>21</v>
      </c>
      <c r="G2761" t="s">
        <v>78</v>
      </c>
      <c r="H2761" t="s">
        <v>50</v>
      </c>
      <c r="I2761" t="s">
        <v>24</v>
      </c>
      <c r="J2761" t="s">
        <v>25</v>
      </c>
      <c r="K2761" t="s">
        <v>53</v>
      </c>
      <c r="L2761" t="s">
        <v>27</v>
      </c>
      <c r="M2761">
        <v>7</v>
      </c>
      <c r="N2761" s="2">
        <v>74</v>
      </c>
      <c r="O2761" s="3">
        <v>8487</v>
      </c>
      <c r="P2761">
        <v>0</v>
      </c>
      <c r="Q2761">
        <v>4</v>
      </c>
      <c r="R2761" t="s">
        <v>33</v>
      </c>
      <c r="S2761">
        <v>1</v>
      </c>
    </row>
    <row r="2762" spans="1:19" ht="16.5" x14ac:dyDescent="0.3">
      <c r="A2762" t="s">
        <v>2825</v>
      </c>
      <c r="B2762" s="1">
        <v>45660</v>
      </c>
      <c r="C2762" s="1">
        <v>45670</v>
      </c>
      <c r="D2762">
        <v>2025</v>
      </c>
      <c r="E2762" t="s">
        <v>20</v>
      </c>
      <c r="F2762" t="s">
        <v>21</v>
      </c>
      <c r="G2762" t="s">
        <v>83</v>
      </c>
      <c r="H2762" t="s">
        <v>23</v>
      </c>
      <c r="I2762" t="s">
        <v>24</v>
      </c>
      <c r="J2762" t="s">
        <v>25</v>
      </c>
      <c r="K2762" t="s">
        <v>32</v>
      </c>
      <c r="L2762" t="s">
        <v>44</v>
      </c>
      <c r="M2762">
        <v>10</v>
      </c>
      <c r="N2762" s="2">
        <v>15</v>
      </c>
      <c r="O2762" s="3">
        <v>7812</v>
      </c>
      <c r="P2762">
        <v>0</v>
      </c>
      <c r="Q2762">
        <v>5</v>
      </c>
      <c r="R2762" t="s">
        <v>33</v>
      </c>
      <c r="S2762">
        <v>1</v>
      </c>
    </row>
    <row r="2763" spans="1:19" ht="16.5" x14ac:dyDescent="0.3">
      <c r="A2763" t="s">
        <v>2826</v>
      </c>
      <c r="B2763" s="1">
        <v>45660</v>
      </c>
      <c r="C2763" s="1">
        <v>45674</v>
      </c>
      <c r="D2763">
        <v>2025</v>
      </c>
      <c r="E2763" t="s">
        <v>20</v>
      </c>
      <c r="F2763" t="s">
        <v>21</v>
      </c>
      <c r="G2763" t="s">
        <v>83</v>
      </c>
      <c r="H2763" t="s">
        <v>30</v>
      </c>
      <c r="I2763" t="s">
        <v>24</v>
      </c>
      <c r="J2763" t="s">
        <v>25</v>
      </c>
      <c r="K2763" t="s">
        <v>26</v>
      </c>
      <c r="L2763" t="s">
        <v>27</v>
      </c>
      <c r="M2763">
        <v>14</v>
      </c>
      <c r="N2763" s="2">
        <v>138</v>
      </c>
      <c r="O2763" s="3">
        <v>11903</v>
      </c>
      <c r="P2763">
        <v>0</v>
      </c>
      <c r="Q2763">
        <v>2</v>
      </c>
      <c r="R2763" t="s">
        <v>33</v>
      </c>
      <c r="S2763">
        <v>1</v>
      </c>
    </row>
    <row r="2764" spans="1:19" ht="16.5" x14ac:dyDescent="0.3">
      <c r="A2764" t="s">
        <v>2827</v>
      </c>
      <c r="B2764" s="1">
        <v>45660</v>
      </c>
      <c r="C2764" s="1">
        <v>45661</v>
      </c>
      <c r="D2764">
        <v>2025</v>
      </c>
      <c r="E2764" t="s">
        <v>20</v>
      </c>
      <c r="F2764" t="s">
        <v>21</v>
      </c>
      <c r="G2764" t="s">
        <v>83</v>
      </c>
      <c r="H2764" t="s">
        <v>35</v>
      </c>
      <c r="I2764" t="s">
        <v>40</v>
      </c>
      <c r="J2764" t="s">
        <v>25</v>
      </c>
      <c r="K2764" t="s">
        <v>32</v>
      </c>
      <c r="L2764" t="s">
        <v>27</v>
      </c>
      <c r="M2764">
        <v>1</v>
      </c>
      <c r="N2764" s="2"/>
      <c r="O2764" s="3">
        <v>1837</v>
      </c>
      <c r="P2764">
        <v>0</v>
      </c>
      <c r="Q2764">
        <v>4</v>
      </c>
      <c r="R2764" t="s">
        <v>33</v>
      </c>
      <c r="S2764">
        <v>1</v>
      </c>
    </row>
    <row r="2765" spans="1:19" ht="16.5" x14ac:dyDescent="0.3">
      <c r="A2765" t="s">
        <v>2828</v>
      </c>
      <c r="B2765" s="1">
        <v>45660</v>
      </c>
      <c r="C2765" s="1">
        <v>45661</v>
      </c>
      <c r="D2765">
        <v>2025</v>
      </c>
      <c r="E2765" t="s">
        <v>20</v>
      </c>
      <c r="F2765" t="s">
        <v>21</v>
      </c>
      <c r="G2765" t="s">
        <v>83</v>
      </c>
      <c r="H2765" t="s">
        <v>50</v>
      </c>
      <c r="I2765" t="s">
        <v>24</v>
      </c>
      <c r="J2765" t="s">
        <v>43</v>
      </c>
      <c r="K2765" t="s">
        <v>36</v>
      </c>
      <c r="L2765" t="s">
        <v>27</v>
      </c>
      <c r="M2765">
        <v>1</v>
      </c>
      <c r="N2765" s="2">
        <v>59</v>
      </c>
      <c r="O2765" s="3">
        <v>2564</v>
      </c>
      <c r="P2765">
        <v>0</v>
      </c>
      <c r="Q2765">
        <v>5</v>
      </c>
      <c r="R2765" t="s">
        <v>33</v>
      </c>
      <c r="S2765">
        <v>1</v>
      </c>
    </row>
    <row r="2766" spans="1:19" ht="16.5" x14ac:dyDescent="0.3">
      <c r="A2766" t="s">
        <v>2829</v>
      </c>
      <c r="B2766" s="1">
        <v>45660</v>
      </c>
      <c r="C2766" s="1">
        <v>45663</v>
      </c>
      <c r="D2766">
        <v>2025</v>
      </c>
      <c r="E2766" t="s">
        <v>20</v>
      </c>
      <c r="F2766" t="s">
        <v>21</v>
      </c>
      <c r="G2766" t="s">
        <v>83</v>
      </c>
      <c r="H2766" t="s">
        <v>30</v>
      </c>
      <c r="I2766" t="s">
        <v>24</v>
      </c>
      <c r="J2766" t="s">
        <v>43</v>
      </c>
      <c r="K2766" t="s">
        <v>36</v>
      </c>
      <c r="L2766" t="s">
        <v>44</v>
      </c>
      <c r="M2766">
        <v>3</v>
      </c>
      <c r="N2766" s="2">
        <v>102</v>
      </c>
      <c r="O2766" s="3">
        <v>4203</v>
      </c>
      <c r="P2766">
        <v>0</v>
      </c>
      <c r="Q2766">
        <v>4</v>
      </c>
      <c r="R2766" t="s">
        <v>28</v>
      </c>
      <c r="S2766">
        <v>1</v>
      </c>
    </row>
    <row r="2767" spans="1:19" ht="16.5" x14ac:dyDescent="0.3">
      <c r="A2767" t="s">
        <v>2830</v>
      </c>
      <c r="B2767" s="1">
        <v>45660</v>
      </c>
      <c r="C2767" s="1">
        <v>45664</v>
      </c>
      <c r="D2767">
        <v>2025</v>
      </c>
      <c r="E2767" t="s">
        <v>20</v>
      </c>
      <c r="F2767" t="s">
        <v>21</v>
      </c>
      <c r="G2767" t="s">
        <v>83</v>
      </c>
      <c r="H2767" t="s">
        <v>52</v>
      </c>
      <c r="I2767" t="s">
        <v>31</v>
      </c>
      <c r="J2767" t="s">
        <v>43</v>
      </c>
      <c r="K2767" t="s">
        <v>26</v>
      </c>
      <c r="L2767" t="s">
        <v>27</v>
      </c>
      <c r="M2767">
        <v>4</v>
      </c>
      <c r="N2767" s="2"/>
      <c r="O2767" s="3">
        <v>3819</v>
      </c>
      <c r="P2767">
        <v>0</v>
      </c>
      <c r="Q2767">
        <v>5</v>
      </c>
      <c r="R2767" t="s">
        <v>33</v>
      </c>
      <c r="S2767">
        <v>1</v>
      </c>
    </row>
    <row r="2768" spans="1:19" ht="16.5" x14ac:dyDescent="0.3">
      <c r="A2768" t="s">
        <v>2831</v>
      </c>
      <c r="B2768" s="1">
        <v>45660</v>
      </c>
      <c r="C2768" s="1">
        <v>45665</v>
      </c>
      <c r="D2768">
        <v>2025</v>
      </c>
      <c r="E2768" t="s">
        <v>20</v>
      </c>
      <c r="F2768" t="s">
        <v>21</v>
      </c>
      <c r="G2768" t="s">
        <v>83</v>
      </c>
      <c r="H2768" t="s">
        <v>23</v>
      </c>
      <c r="I2768" t="s">
        <v>24</v>
      </c>
      <c r="J2768" t="s">
        <v>43</v>
      </c>
      <c r="K2768" t="s">
        <v>53</v>
      </c>
      <c r="L2768" t="s">
        <v>27</v>
      </c>
      <c r="M2768">
        <v>5</v>
      </c>
      <c r="N2768" s="2">
        <v>66</v>
      </c>
      <c r="O2768" s="3">
        <v>4107</v>
      </c>
      <c r="P2768">
        <v>0</v>
      </c>
      <c r="Q2768">
        <v>4</v>
      </c>
      <c r="R2768" t="s">
        <v>165</v>
      </c>
      <c r="S2768">
        <v>1</v>
      </c>
    </row>
    <row r="2769" spans="1:19" ht="16.5" x14ac:dyDescent="0.3">
      <c r="A2769" t="s">
        <v>2832</v>
      </c>
      <c r="B2769" s="1">
        <v>45660</v>
      </c>
      <c r="C2769" s="1">
        <v>45661</v>
      </c>
      <c r="D2769">
        <v>2025</v>
      </c>
      <c r="E2769" t="s">
        <v>20</v>
      </c>
      <c r="F2769" t="s">
        <v>21</v>
      </c>
      <c r="G2769" t="s">
        <v>83</v>
      </c>
      <c r="H2769" t="s">
        <v>39</v>
      </c>
      <c r="I2769" t="s">
        <v>24</v>
      </c>
      <c r="J2769" t="s">
        <v>43</v>
      </c>
      <c r="K2769" t="s">
        <v>41</v>
      </c>
      <c r="L2769" t="s">
        <v>44</v>
      </c>
      <c r="M2769">
        <v>1</v>
      </c>
      <c r="N2769" s="2">
        <v>46</v>
      </c>
      <c r="O2769" s="3">
        <v>1340</v>
      </c>
      <c r="P2769">
        <v>0</v>
      </c>
      <c r="Q2769">
        <v>4</v>
      </c>
      <c r="R2769" t="s">
        <v>59</v>
      </c>
      <c r="S2769">
        <v>1</v>
      </c>
    </row>
    <row r="2770" spans="1:19" ht="16.5" x14ac:dyDescent="0.3">
      <c r="A2770" t="s">
        <v>2833</v>
      </c>
      <c r="B2770" s="1">
        <v>45660</v>
      </c>
      <c r="C2770" s="1">
        <v>45668</v>
      </c>
      <c r="D2770">
        <v>2025</v>
      </c>
      <c r="E2770" t="s">
        <v>20</v>
      </c>
      <c r="F2770" t="s">
        <v>21</v>
      </c>
      <c r="G2770" t="s">
        <v>83</v>
      </c>
      <c r="H2770" t="s">
        <v>23</v>
      </c>
      <c r="I2770" t="s">
        <v>24</v>
      </c>
      <c r="J2770" t="s">
        <v>25</v>
      </c>
      <c r="K2770" t="s">
        <v>53</v>
      </c>
      <c r="L2770" t="s">
        <v>44</v>
      </c>
      <c r="M2770">
        <v>8</v>
      </c>
      <c r="N2770" s="2">
        <v>228</v>
      </c>
      <c r="O2770" s="3">
        <v>6614</v>
      </c>
      <c r="P2770">
        <v>1</v>
      </c>
      <c r="Q2770">
        <v>2</v>
      </c>
      <c r="R2770" t="s">
        <v>28</v>
      </c>
      <c r="S2770">
        <v>1</v>
      </c>
    </row>
    <row r="2771" spans="1:19" ht="16.5" x14ac:dyDescent="0.3">
      <c r="A2771" t="s">
        <v>2834</v>
      </c>
      <c r="B2771" s="1">
        <v>45661</v>
      </c>
      <c r="C2771" s="1">
        <v>45665</v>
      </c>
      <c r="D2771">
        <v>2025</v>
      </c>
      <c r="E2771" t="s">
        <v>20</v>
      </c>
      <c r="F2771" t="s">
        <v>21</v>
      </c>
      <c r="G2771" t="s">
        <v>102</v>
      </c>
      <c r="H2771" t="s">
        <v>35</v>
      </c>
      <c r="I2771" t="s">
        <v>24</v>
      </c>
      <c r="J2771" t="s">
        <v>25</v>
      </c>
      <c r="K2771" t="s">
        <v>36</v>
      </c>
      <c r="L2771" t="s">
        <v>27</v>
      </c>
      <c r="M2771">
        <v>4</v>
      </c>
      <c r="N2771" s="2">
        <v>114</v>
      </c>
      <c r="O2771" s="3">
        <v>2670</v>
      </c>
      <c r="P2771">
        <v>0</v>
      </c>
      <c r="Q2771">
        <v>4</v>
      </c>
      <c r="R2771" t="s">
        <v>28</v>
      </c>
      <c r="S2771">
        <v>1</v>
      </c>
    </row>
    <row r="2772" spans="1:19" ht="16.5" x14ac:dyDescent="0.3">
      <c r="A2772" t="s">
        <v>2835</v>
      </c>
      <c r="B2772" s="1">
        <v>45661</v>
      </c>
      <c r="C2772" s="1">
        <v>45667</v>
      </c>
      <c r="D2772">
        <v>2025</v>
      </c>
      <c r="E2772" t="s">
        <v>20</v>
      </c>
      <c r="F2772" t="s">
        <v>21</v>
      </c>
      <c r="G2772" t="s">
        <v>102</v>
      </c>
      <c r="H2772" t="s">
        <v>39</v>
      </c>
      <c r="I2772" t="s">
        <v>24</v>
      </c>
      <c r="J2772" t="s">
        <v>43</v>
      </c>
      <c r="K2772" t="s">
        <v>41</v>
      </c>
      <c r="L2772" t="s">
        <v>27</v>
      </c>
      <c r="M2772">
        <v>6</v>
      </c>
      <c r="N2772" s="2">
        <v>123</v>
      </c>
      <c r="O2772" s="3">
        <v>4920</v>
      </c>
      <c r="P2772">
        <v>0</v>
      </c>
      <c r="Q2772">
        <v>3</v>
      </c>
      <c r="R2772" t="s">
        <v>33</v>
      </c>
      <c r="S2772">
        <v>1</v>
      </c>
    </row>
    <row r="2773" spans="1:19" ht="16.5" x14ac:dyDescent="0.3">
      <c r="A2773" t="s">
        <v>2836</v>
      </c>
      <c r="B2773" s="1">
        <v>45661</v>
      </c>
      <c r="C2773" s="1">
        <v>45667</v>
      </c>
      <c r="D2773">
        <v>2025</v>
      </c>
      <c r="E2773" t="s">
        <v>20</v>
      </c>
      <c r="F2773" t="s">
        <v>21</v>
      </c>
      <c r="G2773" t="s">
        <v>102</v>
      </c>
      <c r="H2773" t="s">
        <v>23</v>
      </c>
      <c r="I2773" t="s">
        <v>24</v>
      </c>
      <c r="J2773" t="s">
        <v>43</v>
      </c>
      <c r="K2773" t="s">
        <v>53</v>
      </c>
      <c r="L2773" t="s">
        <v>44</v>
      </c>
      <c r="M2773">
        <v>6</v>
      </c>
      <c r="N2773" s="2">
        <v>77</v>
      </c>
      <c r="O2773" s="3">
        <v>5321</v>
      </c>
      <c r="P2773">
        <v>0</v>
      </c>
      <c r="Q2773">
        <v>4</v>
      </c>
      <c r="R2773" t="s">
        <v>33</v>
      </c>
      <c r="S2773">
        <v>1</v>
      </c>
    </row>
    <row r="2774" spans="1:19" ht="16.5" x14ac:dyDescent="0.3">
      <c r="A2774" t="s">
        <v>2837</v>
      </c>
      <c r="B2774" s="1">
        <v>45661</v>
      </c>
      <c r="C2774" s="1">
        <v>45665</v>
      </c>
      <c r="D2774">
        <v>2025</v>
      </c>
      <c r="E2774" t="s">
        <v>20</v>
      </c>
      <c r="F2774" t="s">
        <v>21</v>
      </c>
      <c r="G2774" t="s">
        <v>102</v>
      </c>
      <c r="H2774" t="s">
        <v>39</v>
      </c>
      <c r="I2774" t="s">
        <v>40</v>
      </c>
      <c r="J2774" t="s">
        <v>43</v>
      </c>
      <c r="K2774" t="s">
        <v>41</v>
      </c>
      <c r="L2774" t="s">
        <v>44</v>
      </c>
      <c r="M2774">
        <v>4</v>
      </c>
      <c r="N2774" s="2"/>
      <c r="O2774" s="3">
        <v>3150</v>
      </c>
      <c r="P2774">
        <v>0</v>
      </c>
      <c r="Q2774">
        <v>4</v>
      </c>
      <c r="R2774" t="s">
        <v>33</v>
      </c>
      <c r="S2774">
        <v>1</v>
      </c>
    </row>
    <row r="2775" spans="1:19" ht="16.5" x14ac:dyDescent="0.3">
      <c r="A2775" t="s">
        <v>2838</v>
      </c>
      <c r="B2775" s="1">
        <v>45662</v>
      </c>
      <c r="C2775" s="1">
        <v>45680</v>
      </c>
      <c r="D2775">
        <v>2025</v>
      </c>
      <c r="E2775" t="s">
        <v>20</v>
      </c>
      <c r="F2775" t="s">
        <v>21</v>
      </c>
      <c r="G2775" t="s">
        <v>112</v>
      </c>
      <c r="H2775" t="s">
        <v>23</v>
      </c>
      <c r="I2775" t="s">
        <v>24</v>
      </c>
      <c r="J2775" t="s">
        <v>43</v>
      </c>
      <c r="K2775" t="s">
        <v>26</v>
      </c>
      <c r="L2775" t="s">
        <v>44</v>
      </c>
      <c r="M2775">
        <v>18</v>
      </c>
      <c r="N2775" s="2">
        <v>56</v>
      </c>
      <c r="O2775" s="3">
        <v>12194</v>
      </c>
      <c r="P2775">
        <v>0</v>
      </c>
      <c r="Q2775">
        <v>5</v>
      </c>
      <c r="R2775" t="s">
        <v>33</v>
      </c>
      <c r="S2775">
        <v>1</v>
      </c>
    </row>
    <row r="2776" spans="1:19" ht="16.5" x14ac:dyDescent="0.3">
      <c r="A2776" t="s">
        <v>2839</v>
      </c>
      <c r="B2776" s="1">
        <v>45662</v>
      </c>
      <c r="C2776" s="1">
        <v>45663</v>
      </c>
      <c r="D2776">
        <v>2025</v>
      </c>
      <c r="E2776" t="s">
        <v>20</v>
      </c>
      <c r="F2776" t="s">
        <v>21</v>
      </c>
      <c r="G2776" t="s">
        <v>112</v>
      </c>
      <c r="H2776" t="s">
        <v>35</v>
      </c>
      <c r="I2776" t="s">
        <v>40</v>
      </c>
      <c r="J2776" t="s">
        <v>25</v>
      </c>
      <c r="K2776" t="s">
        <v>36</v>
      </c>
      <c r="L2776" t="s">
        <v>27</v>
      </c>
      <c r="M2776">
        <v>1</v>
      </c>
      <c r="N2776" s="2"/>
      <c r="O2776" s="3">
        <v>1658</v>
      </c>
      <c r="P2776">
        <v>0</v>
      </c>
      <c r="Q2776">
        <v>5</v>
      </c>
      <c r="R2776" t="s">
        <v>28</v>
      </c>
      <c r="S2776">
        <v>1</v>
      </c>
    </row>
    <row r="2777" spans="1:19" ht="16.5" x14ac:dyDescent="0.3">
      <c r="A2777" t="s">
        <v>2840</v>
      </c>
      <c r="B2777" s="1">
        <v>45662</v>
      </c>
      <c r="C2777" s="1">
        <v>45669</v>
      </c>
      <c r="D2777">
        <v>2025</v>
      </c>
      <c r="E2777" t="s">
        <v>20</v>
      </c>
      <c r="F2777" t="s">
        <v>21</v>
      </c>
      <c r="G2777" t="s">
        <v>112</v>
      </c>
      <c r="H2777" t="s">
        <v>52</v>
      </c>
      <c r="I2777" t="s">
        <v>40</v>
      </c>
      <c r="J2777" t="s">
        <v>43</v>
      </c>
      <c r="K2777" t="s">
        <v>36</v>
      </c>
      <c r="L2777" t="s">
        <v>27</v>
      </c>
      <c r="M2777">
        <v>7</v>
      </c>
      <c r="N2777" s="2"/>
      <c r="O2777" s="3">
        <v>7662</v>
      </c>
      <c r="P2777">
        <v>0</v>
      </c>
      <c r="Q2777">
        <v>4</v>
      </c>
      <c r="R2777" t="s">
        <v>33</v>
      </c>
      <c r="S2777">
        <v>1</v>
      </c>
    </row>
    <row r="2778" spans="1:19" ht="16.5" x14ac:dyDescent="0.3">
      <c r="A2778" t="s">
        <v>2841</v>
      </c>
      <c r="B2778" s="1">
        <v>45662</v>
      </c>
      <c r="C2778" s="1">
        <v>45665</v>
      </c>
      <c r="D2778">
        <v>2025</v>
      </c>
      <c r="E2778" t="s">
        <v>20</v>
      </c>
      <c r="F2778" t="s">
        <v>21</v>
      </c>
      <c r="G2778" t="s">
        <v>112</v>
      </c>
      <c r="H2778" t="s">
        <v>39</v>
      </c>
      <c r="I2778" t="s">
        <v>40</v>
      </c>
      <c r="J2778" t="s">
        <v>43</v>
      </c>
      <c r="K2778" t="s">
        <v>41</v>
      </c>
      <c r="L2778" t="s">
        <v>27</v>
      </c>
      <c r="M2778">
        <v>3</v>
      </c>
      <c r="N2778" s="2"/>
      <c r="O2778" s="3">
        <v>3199</v>
      </c>
      <c r="P2778">
        <v>0</v>
      </c>
      <c r="Q2778">
        <v>5</v>
      </c>
      <c r="R2778" t="s">
        <v>33</v>
      </c>
      <c r="S2778">
        <v>1</v>
      </c>
    </row>
    <row r="2779" spans="1:19" ht="16.5" x14ac:dyDescent="0.3">
      <c r="A2779" t="s">
        <v>2842</v>
      </c>
      <c r="B2779" s="1">
        <v>45663</v>
      </c>
      <c r="C2779" s="1">
        <v>45665</v>
      </c>
      <c r="D2779">
        <v>2025</v>
      </c>
      <c r="E2779" t="s">
        <v>20</v>
      </c>
      <c r="F2779" t="s">
        <v>21</v>
      </c>
      <c r="G2779" t="s">
        <v>22</v>
      </c>
      <c r="H2779" t="s">
        <v>23</v>
      </c>
      <c r="I2779" t="s">
        <v>40</v>
      </c>
      <c r="J2779" t="s">
        <v>43</v>
      </c>
      <c r="K2779" t="s">
        <v>36</v>
      </c>
      <c r="L2779" t="s">
        <v>44</v>
      </c>
      <c r="M2779">
        <v>2</v>
      </c>
      <c r="N2779" s="2"/>
      <c r="O2779" s="3">
        <v>2413</v>
      </c>
      <c r="P2779">
        <v>1</v>
      </c>
      <c r="Q2779">
        <v>3</v>
      </c>
      <c r="R2779" t="s">
        <v>28</v>
      </c>
      <c r="S2779">
        <v>1</v>
      </c>
    </row>
    <row r="2780" spans="1:19" ht="16.5" x14ac:dyDescent="0.3">
      <c r="A2780" t="s">
        <v>2843</v>
      </c>
      <c r="B2780" s="1">
        <v>45663</v>
      </c>
      <c r="C2780" s="1">
        <v>45667</v>
      </c>
      <c r="D2780">
        <v>2025</v>
      </c>
      <c r="E2780" t="s">
        <v>20</v>
      </c>
      <c r="F2780" t="s">
        <v>21</v>
      </c>
      <c r="G2780" t="s">
        <v>22</v>
      </c>
      <c r="H2780" t="s">
        <v>50</v>
      </c>
      <c r="I2780" t="s">
        <v>24</v>
      </c>
      <c r="J2780" t="s">
        <v>43</v>
      </c>
      <c r="K2780" t="s">
        <v>36</v>
      </c>
      <c r="L2780" t="s">
        <v>27</v>
      </c>
      <c r="M2780">
        <v>4</v>
      </c>
      <c r="N2780" s="2">
        <v>49</v>
      </c>
      <c r="O2780" s="3">
        <v>6231</v>
      </c>
      <c r="P2780">
        <v>1</v>
      </c>
      <c r="Q2780">
        <v>3</v>
      </c>
      <c r="R2780" t="s">
        <v>28</v>
      </c>
      <c r="S2780">
        <v>1</v>
      </c>
    </row>
    <row r="2781" spans="1:19" ht="16.5" x14ac:dyDescent="0.3">
      <c r="A2781" t="s">
        <v>2844</v>
      </c>
      <c r="B2781" s="1">
        <v>45663</v>
      </c>
      <c r="C2781" s="1">
        <v>45667</v>
      </c>
      <c r="D2781">
        <v>2025</v>
      </c>
      <c r="E2781" t="s">
        <v>20</v>
      </c>
      <c r="F2781" t="s">
        <v>21</v>
      </c>
      <c r="G2781" t="s">
        <v>22</v>
      </c>
      <c r="H2781" t="s">
        <v>50</v>
      </c>
      <c r="I2781" t="s">
        <v>24</v>
      </c>
      <c r="J2781" t="s">
        <v>25</v>
      </c>
      <c r="K2781" t="s">
        <v>53</v>
      </c>
      <c r="L2781" t="s">
        <v>44</v>
      </c>
      <c r="M2781">
        <v>4</v>
      </c>
      <c r="N2781" s="2">
        <v>60</v>
      </c>
      <c r="O2781" s="3">
        <v>5933</v>
      </c>
      <c r="P2781">
        <v>1</v>
      </c>
      <c r="Q2781">
        <v>4</v>
      </c>
      <c r="R2781" t="s">
        <v>33</v>
      </c>
      <c r="S2781">
        <v>1</v>
      </c>
    </row>
    <row r="2782" spans="1:19" ht="16.5" x14ac:dyDescent="0.3">
      <c r="A2782" t="s">
        <v>2845</v>
      </c>
      <c r="B2782" s="1">
        <v>45663</v>
      </c>
      <c r="C2782" s="1">
        <v>45665</v>
      </c>
      <c r="D2782">
        <v>2025</v>
      </c>
      <c r="E2782" t="s">
        <v>20</v>
      </c>
      <c r="F2782" t="s">
        <v>21</v>
      </c>
      <c r="G2782" t="s">
        <v>22</v>
      </c>
      <c r="H2782" t="s">
        <v>23</v>
      </c>
      <c r="I2782" t="s">
        <v>24</v>
      </c>
      <c r="J2782" t="s">
        <v>43</v>
      </c>
      <c r="K2782" t="s">
        <v>32</v>
      </c>
      <c r="L2782" t="s">
        <v>27</v>
      </c>
      <c r="M2782">
        <v>2</v>
      </c>
      <c r="N2782" s="2">
        <v>34</v>
      </c>
      <c r="O2782" s="3">
        <v>2072</v>
      </c>
      <c r="P2782">
        <v>0</v>
      </c>
      <c r="Q2782">
        <v>3</v>
      </c>
      <c r="R2782" t="s">
        <v>33</v>
      </c>
      <c r="S2782">
        <v>1</v>
      </c>
    </row>
    <row r="2783" spans="1:19" ht="16.5" x14ac:dyDescent="0.3">
      <c r="A2783" t="s">
        <v>2846</v>
      </c>
      <c r="B2783" s="1">
        <v>45663</v>
      </c>
      <c r="C2783" s="1">
        <v>45667</v>
      </c>
      <c r="D2783">
        <v>2025</v>
      </c>
      <c r="E2783" t="s">
        <v>20</v>
      </c>
      <c r="F2783" t="s">
        <v>21</v>
      </c>
      <c r="G2783" t="s">
        <v>22</v>
      </c>
      <c r="H2783" t="s">
        <v>23</v>
      </c>
      <c r="I2783" t="s">
        <v>24</v>
      </c>
      <c r="J2783" t="s">
        <v>43</v>
      </c>
      <c r="K2783" t="s">
        <v>36</v>
      </c>
      <c r="L2783" t="s">
        <v>27</v>
      </c>
      <c r="M2783">
        <v>4</v>
      </c>
      <c r="N2783" s="2">
        <v>79</v>
      </c>
      <c r="O2783" s="3">
        <v>1854</v>
      </c>
      <c r="P2783">
        <v>1</v>
      </c>
      <c r="Q2783">
        <v>4</v>
      </c>
      <c r="R2783" t="s">
        <v>165</v>
      </c>
      <c r="S2783">
        <v>1</v>
      </c>
    </row>
    <row r="2784" spans="1:19" ht="16.5" x14ac:dyDescent="0.3">
      <c r="A2784" t="s">
        <v>2847</v>
      </c>
      <c r="B2784" s="1">
        <v>45663</v>
      </c>
      <c r="C2784" s="1">
        <v>45671</v>
      </c>
      <c r="D2784">
        <v>2025</v>
      </c>
      <c r="E2784" t="s">
        <v>20</v>
      </c>
      <c r="F2784" t="s">
        <v>21</v>
      </c>
      <c r="G2784" t="s">
        <v>22</v>
      </c>
      <c r="H2784" t="s">
        <v>23</v>
      </c>
      <c r="I2784" t="s">
        <v>24</v>
      </c>
      <c r="J2784" t="s">
        <v>43</v>
      </c>
      <c r="K2784" t="s">
        <v>26</v>
      </c>
      <c r="L2784" t="s">
        <v>27</v>
      </c>
      <c r="M2784">
        <v>8</v>
      </c>
      <c r="N2784" s="2">
        <v>72</v>
      </c>
      <c r="O2784" s="3">
        <v>6036</v>
      </c>
      <c r="P2784">
        <v>1</v>
      </c>
      <c r="Q2784">
        <v>5</v>
      </c>
      <c r="R2784" t="s">
        <v>33</v>
      </c>
      <c r="S2784">
        <v>1</v>
      </c>
    </row>
    <row r="2785" spans="1:19" ht="16.5" x14ac:dyDescent="0.3">
      <c r="A2785" t="s">
        <v>2848</v>
      </c>
      <c r="B2785" s="1">
        <v>45663</v>
      </c>
      <c r="C2785" s="1">
        <v>45667</v>
      </c>
      <c r="D2785">
        <v>2025</v>
      </c>
      <c r="E2785" t="s">
        <v>20</v>
      </c>
      <c r="F2785" t="s">
        <v>21</v>
      </c>
      <c r="G2785" t="s">
        <v>22</v>
      </c>
      <c r="H2785" t="s">
        <v>52</v>
      </c>
      <c r="I2785" t="s">
        <v>40</v>
      </c>
      <c r="J2785" t="s">
        <v>25</v>
      </c>
      <c r="K2785" t="s">
        <v>26</v>
      </c>
      <c r="L2785" t="s">
        <v>27</v>
      </c>
      <c r="M2785">
        <v>4</v>
      </c>
      <c r="N2785" s="2"/>
      <c r="O2785" s="3">
        <v>4667</v>
      </c>
      <c r="P2785">
        <v>0</v>
      </c>
      <c r="Q2785">
        <v>3</v>
      </c>
      <c r="R2785" t="s">
        <v>33</v>
      </c>
      <c r="S2785">
        <v>1</v>
      </c>
    </row>
    <row r="2786" spans="1:19" ht="16.5" x14ac:dyDescent="0.3">
      <c r="A2786" t="s">
        <v>2849</v>
      </c>
      <c r="B2786" s="1">
        <v>45663</v>
      </c>
      <c r="C2786" s="1">
        <v>45671</v>
      </c>
      <c r="D2786">
        <v>2025</v>
      </c>
      <c r="E2786" t="s">
        <v>20</v>
      </c>
      <c r="F2786" t="s">
        <v>21</v>
      </c>
      <c r="G2786" t="s">
        <v>22</v>
      </c>
      <c r="H2786" t="s">
        <v>30</v>
      </c>
      <c r="I2786" t="s">
        <v>40</v>
      </c>
      <c r="J2786" t="s">
        <v>25</v>
      </c>
      <c r="K2786" t="s">
        <v>36</v>
      </c>
      <c r="L2786" t="s">
        <v>37</v>
      </c>
      <c r="M2786">
        <v>8</v>
      </c>
      <c r="N2786" s="2"/>
      <c r="O2786" s="3">
        <v>7930</v>
      </c>
      <c r="P2786">
        <v>0</v>
      </c>
      <c r="Q2786">
        <v>3</v>
      </c>
      <c r="R2786" t="s">
        <v>28</v>
      </c>
      <c r="S2786">
        <v>1</v>
      </c>
    </row>
    <row r="2787" spans="1:19" ht="16.5" x14ac:dyDescent="0.3">
      <c r="A2787" t="s">
        <v>2850</v>
      </c>
      <c r="B2787" s="1">
        <v>45664</v>
      </c>
      <c r="C2787" s="1">
        <v>45668</v>
      </c>
      <c r="D2787">
        <v>2025</v>
      </c>
      <c r="E2787" t="s">
        <v>20</v>
      </c>
      <c r="F2787" t="s">
        <v>21</v>
      </c>
      <c r="G2787" t="s">
        <v>56</v>
      </c>
      <c r="H2787" t="s">
        <v>35</v>
      </c>
      <c r="I2787" t="s">
        <v>24</v>
      </c>
      <c r="J2787" t="s">
        <v>25</v>
      </c>
      <c r="K2787" t="s">
        <v>32</v>
      </c>
      <c r="L2787" t="s">
        <v>44</v>
      </c>
      <c r="M2787">
        <v>4</v>
      </c>
      <c r="N2787" s="2">
        <v>70</v>
      </c>
      <c r="O2787" s="3">
        <v>3054</v>
      </c>
      <c r="P2787">
        <v>0</v>
      </c>
      <c r="Q2787">
        <v>4</v>
      </c>
      <c r="R2787" t="s">
        <v>33</v>
      </c>
      <c r="S2787">
        <v>1</v>
      </c>
    </row>
    <row r="2788" spans="1:19" ht="16.5" x14ac:dyDescent="0.3">
      <c r="A2788" t="s">
        <v>2851</v>
      </c>
      <c r="B2788" s="1">
        <v>45664</v>
      </c>
      <c r="C2788" s="1">
        <v>45668</v>
      </c>
      <c r="D2788">
        <v>2025</v>
      </c>
      <c r="E2788" t="s">
        <v>20</v>
      </c>
      <c r="F2788" t="s">
        <v>21</v>
      </c>
      <c r="G2788" t="s">
        <v>56</v>
      </c>
      <c r="H2788" t="s">
        <v>23</v>
      </c>
      <c r="I2788" t="s">
        <v>24</v>
      </c>
      <c r="J2788" t="s">
        <v>43</v>
      </c>
      <c r="K2788" t="s">
        <v>53</v>
      </c>
      <c r="L2788" t="s">
        <v>44</v>
      </c>
      <c r="M2788">
        <v>4</v>
      </c>
      <c r="N2788" s="2">
        <v>73</v>
      </c>
      <c r="O2788" s="3">
        <v>3893</v>
      </c>
      <c r="P2788">
        <v>0</v>
      </c>
      <c r="Q2788">
        <v>5</v>
      </c>
      <c r="R2788" t="s">
        <v>59</v>
      </c>
      <c r="S2788">
        <v>1</v>
      </c>
    </row>
    <row r="2789" spans="1:19" ht="16.5" x14ac:dyDescent="0.3">
      <c r="A2789" t="s">
        <v>2852</v>
      </c>
      <c r="B2789" s="1">
        <v>45664</v>
      </c>
      <c r="C2789" s="1">
        <v>45665</v>
      </c>
      <c r="D2789">
        <v>2025</v>
      </c>
      <c r="E2789" t="s">
        <v>20</v>
      </c>
      <c r="F2789" t="s">
        <v>21</v>
      </c>
      <c r="G2789" t="s">
        <v>56</v>
      </c>
      <c r="H2789" t="s">
        <v>23</v>
      </c>
      <c r="I2789" t="s">
        <v>24</v>
      </c>
      <c r="J2789" t="s">
        <v>25</v>
      </c>
      <c r="K2789" t="s">
        <v>32</v>
      </c>
      <c r="L2789" t="s">
        <v>27</v>
      </c>
      <c r="M2789">
        <v>1</v>
      </c>
      <c r="N2789" s="2">
        <v>98</v>
      </c>
      <c r="O2789" s="3">
        <v>1884</v>
      </c>
      <c r="P2789">
        <v>1</v>
      </c>
      <c r="Q2789">
        <v>3</v>
      </c>
      <c r="R2789" t="s">
        <v>33</v>
      </c>
      <c r="S2789">
        <v>1</v>
      </c>
    </row>
    <row r="2790" spans="1:19" ht="16.5" x14ac:dyDescent="0.3">
      <c r="A2790" t="s">
        <v>2853</v>
      </c>
      <c r="B2790" s="1">
        <v>45664</v>
      </c>
      <c r="C2790" s="1">
        <v>45665</v>
      </c>
      <c r="D2790">
        <v>2025</v>
      </c>
      <c r="E2790" t="s">
        <v>20</v>
      </c>
      <c r="F2790" t="s">
        <v>21</v>
      </c>
      <c r="G2790" t="s">
        <v>56</v>
      </c>
      <c r="H2790" t="s">
        <v>35</v>
      </c>
      <c r="I2790" t="s">
        <v>24</v>
      </c>
      <c r="J2790" t="s">
        <v>25</v>
      </c>
      <c r="K2790" t="s">
        <v>36</v>
      </c>
      <c r="L2790" t="s">
        <v>27</v>
      </c>
      <c r="M2790">
        <v>1</v>
      </c>
      <c r="N2790" s="2">
        <v>35</v>
      </c>
      <c r="O2790" s="3">
        <v>1693</v>
      </c>
      <c r="P2790">
        <v>0</v>
      </c>
      <c r="Q2790">
        <v>4</v>
      </c>
      <c r="R2790" t="s">
        <v>33</v>
      </c>
      <c r="S2790">
        <v>1</v>
      </c>
    </row>
    <row r="2791" spans="1:19" ht="16.5" x14ac:dyDescent="0.3">
      <c r="A2791" t="s">
        <v>2854</v>
      </c>
      <c r="B2791" s="1">
        <v>45664</v>
      </c>
      <c r="C2791" s="1">
        <v>45668</v>
      </c>
      <c r="D2791">
        <v>2025</v>
      </c>
      <c r="E2791" t="s">
        <v>20</v>
      </c>
      <c r="F2791" t="s">
        <v>21</v>
      </c>
      <c r="G2791" t="s">
        <v>56</v>
      </c>
      <c r="H2791" t="s">
        <v>50</v>
      </c>
      <c r="I2791" t="s">
        <v>40</v>
      </c>
      <c r="J2791" t="s">
        <v>43</v>
      </c>
      <c r="K2791" t="s">
        <v>36</v>
      </c>
      <c r="L2791" t="s">
        <v>44</v>
      </c>
      <c r="M2791">
        <v>4</v>
      </c>
      <c r="N2791" s="2"/>
      <c r="O2791" s="3">
        <v>3473</v>
      </c>
      <c r="P2791">
        <v>0</v>
      </c>
      <c r="Q2791">
        <v>5</v>
      </c>
      <c r="R2791" t="s">
        <v>33</v>
      </c>
      <c r="S2791">
        <v>1</v>
      </c>
    </row>
    <row r="2792" spans="1:19" ht="16.5" x14ac:dyDescent="0.3">
      <c r="A2792" t="s">
        <v>2855</v>
      </c>
      <c r="B2792" s="1">
        <v>45664</v>
      </c>
      <c r="C2792" s="1">
        <v>45671</v>
      </c>
      <c r="D2792">
        <v>2025</v>
      </c>
      <c r="E2792" t="s">
        <v>20</v>
      </c>
      <c r="F2792" t="s">
        <v>21</v>
      </c>
      <c r="G2792" t="s">
        <v>56</v>
      </c>
      <c r="H2792" t="s">
        <v>23</v>
      </c>
      <c r="I2792" t="s">
        <v>40</v>
      </c>
      <c r="J2792" t="s">
        <v>43</v>
      </c>
      <c r="K2792" t="s">
        <v>26</v>
      </c>
      <c r="L2792" t="s">
        <v>37</v>
      </c>
      <c r="M2792">
        <v>7</v>
      </c>
      <c r="N2792" s="2"/>
      <c r="O2792" s="3">
        <v>5774</v>
      </c>
      <c r="P2792">
        <v>0</v>
      </c>
      <c r="Q2792">
        <v>5</v>
      </c>
      <c r="R2792" t="s">
        <v>33</v>
      </c>
      <c r="S2792">
        <v>1</v>
      </c>
    </row>
    <row r="2793" spans="1:19" ht="16.5" x14ac:dyDescent="0.3">
      <c r="A2793" t="s">
        <v>2856</v>
      </c>
      <c r="B2793" s="1">
        <v>45664</v>
      </c>
      <c r="C2793" s="1">
        <v>45667</v>
      </c>
      <c r="D2793">
        <v>2025</v>
      </c>
      <c r="E2793" t="s">
        <v>20</v>
      </c>
      <c r="F2793" t="s">
        <v>21</v>
      </c>
      <c r="G2793" t="s">
        <v>56</v>
      </c>
      <c r="H2793" t="s">
        <v>39</v>
      </c>
      <c r="I2793" t="s">
        <v>24</v>
      </c>
      <c r="J2793" t="s">
        <v>43</v>
      </c>
      <c r="K2793" t="s">
        <v>41</v>
      </c>
      <c r="L2793" t="s">
        <v>44</v>
      </c>
      <c r="M2793">
        <v>3</v>
      </c>
      <c r="N2793" s="2">
        <v>151</v>
      </c>
      <c r="O2793" s="3">
        <v>2522</v>
      </c>
      <c r="P2793">
        <v>1</v>
      </c>
      <c r="Q2793">
        <v>3</v>
      </c>
      <c r="R2793" t="s">
        <v>28</v>
      </c>
      <c r="S2793">
        <v>1</v>
      </c>
    </row>
    <row r="2794" spans="1:19" ht="16.5" x14ac:dyDescent="0.3">
      <c r="A2794" t="s">
        <v>2857</v>
      </c>
      <c r="B2794" s="1">
        <v>45664</v>
      </c>
      <c r="C2794" s="1">
        <v>45665</v>
      </c>
      <c r="D2794">
        <v>2025</v>
      </c>
      <c r="E2794" t="s">
        <v>20</v>
      </c>
      <c r="F2794" t="s">
        <v>21</v>
      </c>
      <c r="G2794" t="s">
        <v>56</v>
      </c>
      <c r="H2794" t="s">
        <v>23</v>
      </c>
      <c r="I2794" t="s">
        <v>24</v>
      </c>
      <c r="J2794" t="s">
        <v>43</v>
      </c>
      <c r="K2794" t="s">
        <v>32</v>
      </c>
      <c r="L2794" t="s">
        <v>44</v>
      </c>
      <c r="M2794">
        <v>1</v>
      </c>
      <c r="N2794" s="2">
        <v>28</v>
      </c>
      <c r="O2794" s="3">
        <v>1772</v>
      </c>
      <c r="P2794">
        <v>0</v>
      </c>
      <c r="Q2794">
        <v>5</v>
      </c>
      <c r="R2794" t="s">
        <v>28</v>
      </c>
      <c r="S2794">
        <v>1</v>
      </c>
    </row>
    <row r="2795" spans="1:19" ht="16.5" x14ac:dyDescent="0.3">
      <c r="A2795" t="s">
        <v>2858</v>
      </c>
      <c r="B2795" s="1">
        <v>45664</v>
      </c>
      <c r="C2795" s="1">
        <v>45665</v>
      </c>
      <c r="D2795">
        <v>2025</v>
      </c>
      <c r="E2795" t="s">
        <v>20</v>
      </c>
      <c r="F2795" t="s">
        <v>21</v>
      </c>
      <c r="G2795" t="s">
        <v>56</v>
      </c>
      <c r="H2795" t="s">
        <v>39</v>
      </c>
      <c r="I2795" t="s">
        <v>24</v>
      </c>
      <c r="J2795" t="s">
        <v>25</v>
      </c>
      <c r="K2795" t="s">
        <v>41</v>
      </c>
      <c r="L2795" t="s">
        <v>44</v>
      </c>
      <c r="M2795">
        <v>1</v>
      </c>
      <c r="N2795" s="2">
        <v>26</v>
      </c>
      <c r="O2795" s="3">
        <v>1427</v>
      </c>
      <c r="P2795">
        <v>0</v>
      </c>
      <c r="Q2795">
        <v>4</v>
      </c>
      <c r="R2795" t="s">
        <v>28</v>
      </c>
      <c r="S2795">
        <v>1</v>
      </c>
    </row>
    <row r="2796" spans="1:19" ht="16.5" x14ac:dyDescent="0.3">
      <c r="A2796" t="s">
        <v>2859</v>
      </c>
      <c r="B2796" s="1">
        <v>45664</v>
      </c>
      <c r="C2796" s="1">
        <v>45675</v>
      </c>
      <c r="D2796">
        <v>2025</v>
      </c>
      <c r="E2796" t="s">
        <v>20</v>
      </c>
      <c r="F2796" t="s">
        <v>21</v>
      </c>
      <c r="G2796" t="s">
        <v>56</v>
      </c>
      <c r="H2796" t="s">
        <v>23</v>
      </c>
      <c r="I2796" t="s">
        <v>40</v>
      </c>
      <c r="J2796" t="s">
        <v>25</v>
      </c>
      <c r="K2796" t="s">
        <v>36</v>
      </c>
      <c r="L2796" t="s">
        <v>44</v>
      </c>
      <c r="M2796">
        <v>11</v>
      </c>
      <c r="N2796" s="2"/>
      <c r="O2796" s="3">
        <v>6696</v>
      </c>
      <c r="P2796">
        <v>0</v>
      </c>
      <c r="Q2796">
        <v>5</v>
      </c>
      <c r="R2796" t="s">
        <v>33</v>
      </c>
      <c r="S2796">
        <v>1</v>
      </c>
    </row>
    <row r="2797" spans="1:19" ht="16.5" x14ac:dyDescent="0.3">
      <c r="A2797" t="s">
        <v>2860</v>
      </c>
      <c r="B2797" s="1">
        <v>45665</v>
      </c>
      <c r="C2797" s="1">
        <v>45669</v>
      </c>
      <c r="D2797">
        <v>2025</v>
      </c>
      <c r="E2797" t="s">
        <v>20</v>
      </c>
      <c r="F2797" t="s">
        <v>21</v>
      </c>
      <c r="G2797" t="s">
        <v>70</v>
      </c>
      <c r="H2797" t="s">
        <v>23</v>
      </c>
      <c r="I2797" t="s">
        <v>31</v>
      </c>
      <c r="J2797" t="s">
        <v>25</v>
      </c>
      <c r="K2797" t="s">
        <v>53</v>
      </c>
      <c r="L2797" t="s">
        <v>27</v>
      </c>
      <c r="M2797">
        <v>4</v>
      </c>
      <c r="N2797" s="2"/>
      <c r="O2797" s="3">
        <v>3753</v>
      </c>
      <c r="P2797">
        <v>0</v>
      </c>
      <c r="Q2797">
        <v>3</v>
      </c>
      <c r="R2797" t="s">
        <v>28</v>
      </c>
      <c r="S2797">
        <v>1</v>
      </c>
    </row>
    <row r="2798" spans="1:19" ht="16.5" x14ac:dyDescent="0.3">
      <c r="A2798" t="s">
        <v>2861</v>
      </c>
      <c r="B2798" s="1">
        <v>45665</v>
      </c>
      <c r="C2798" s="1">
        <v>45669</v>
      </c>
      <c r="D2798">
        <v>2025</v>
      </c>
      <c r="E2798" t="s">
        <v>20</v>
      </c>
      <c r="F2798" t="s">
        <v>21</v>
      </c>
      <c r="G2798" t="s">
        <v>70</v>
      </c>
      <c r="H2798" t="s">
        <v>50</v>
      </c>
      <c r="I2798" t="s">
        <v>24</v>
      </c>
      <c r="J2798" t="s">
        <v>25</v>
      </c>
      <c r="K2798" t="s">
        <v>53</v>
      </c>
      <c r="L2798" t="s">
        <v>37</v>
      </c>
      <c r="M2798">
        <v>4</v>
      </c>
      <c r="N2798" s="2">
        <v>16</v>
      </c>
      <c r="O2798" s="3">
        <v>4966</v>
      </c>
      <c r="P2798">
        <v>0</v>
      </c>
      <c r="Q2798">
        <v>5</v>
      </c>
      <c r="R2798" t="s">
        <v>33</v>
      </c>
      <c r="S2798">
        <v>1</v>
      </c>
    </row>
    <row r="2799" spans="1:19" ht="16.5" x14ac:dyDescent="0.3">
      <c r="A2799" t="s">
        <v>2862</v>
      </c>
      <c r="B2799" s="1">
        <v>45665</v>
      </c>
      <c r="C2799" s="1">
        <v>45668</v>
      </c>
      <c r="D2799">
        <v>2025</v>
      </c>
      <c r="E2799" t="s">
        <v>20</v>
      </c>
      <c r="F2799" t="s">
        <v>21</v>
      </c>
      <c r="G2799" t="s">
        <v>70</v>
      </c>
      <c r="H2799" t="s">
        <v>35</v>
      </c>
      <c r="I2799" t="s">
        <v>40</v>
      </c>
      <c r="J2799" t="s">
        <v>25</v>
      </c>
      <c r="K2799" t="s">
        <v>36</v>
      </c>
      <c r="L2799" t="s">
        <v>27</v>
      </c>
      <c r="M2799">
        <v>3</v>
      </c>
      <c r="N2799" s="2"/>
      <c r="O2799" s="3">
        <v>2398</v>
      </c>
      <c r="P2799">
        <v>0</v>
      </c>
      <c r="Q2799">
        <v>4</v>
      </c>
      <c r="R2799" t="s">
        <v>33</v>
      </c>
      <c r="S2799">
        <v>1</v>
      </c>
    </row>
    <row r="2800" spans="1:19" ht="16.5" x14ac:dyDescent="0.3">
      <c r="A2800" t="s">
        <v>2863</v>
      </c>
      <c r="B2800" s="1">
        <v>45665</v>
      </c>
      <c r="C2800" s="1">
        <v>45668</v>
      </c>
      <c r="D2800">
        <v>2025</v>
      </c>
      <c r="E2800" t="s">
        <v>20</v>
      </c>
      <c r="F2800" t="s">
        <v>21</v>
      </c>
      <c r="G2800" t="s">
        <v>70</v>
      </c>
      <c r="H2800" t="s">
        <v>30</v>
      </c>
      <c r="I2800" t="s">
        <v>40</v>
      </c>
      <c r="J2800" t="s">
        <v>43</v>
      </c>
      <c r="K2800" t="s">
        <v>36</v>
      </c>
      <c r="L2800" t="s">
        <v>44</v>
      </c>
      <c r="M2800">
        <v>3</v>
      </c>
      <c r="N2800" s="2"/>
      <c r="O2800" s="3">
        <v>3823</v>
      </c>
      <c r="P2800">
        <v>0</v>
      </c>
      <c r="Q2800">
        <v>3</v>
      </c>
      <c r="R2800" t="s">
        <v>33</v>
      </c>
      <c r="S2800">
        <v>1</v>
      </c>
    </row>
    <row r="2801" spans="1:19" ht="16.5" x14ac:dyDescent="0.3">
      <c r="A2801" t="s">
        <v>2864</v>
      </c>
      <c r="B2801" s="1">
        <v>45665</v>
      </c>
      <c r="C2801" s="1">
        <v>45672</v>
      </c>
      <c r="D2801">
        <v>2025</v>
      </c>
      <c r="E2801" t="s">
        <v>20</v>
      </c>
      <c r="F2801" t="s">
        <v>21</v>
      </c>
      <c r="G2801" t="s">
        <v>70</v>
      </c>
      <c r="H2801" t="s">
        <v>35</v>
      </c>
      <c r="I2801" t="s">
        <v>24</v>
      </c>
      <c r="J2801" t="s">
        <v>25</v>
      </c>
      <c r="K2801" t="s">
        <v>32</v>
      </c>
      <c r="L2801" t="s">
        <v>44</v>
      </c>
      <c r="M2801">
        <v>7</v>
      </c>
      <c r="N2801" s="2">
        <v>37</v>
      </c>
      <c r="O2801" s="3">
        <v>4259</v>
      </c>
      <c r="P2801">
        <v>0</v>
      </c>
      <c r="Q2801">
        <v>4</v>
      </c>
      <c r="R2801" t="s">
        <v>33</v>
      </c>
      <c r="S2801">
        <v>1</v>
      </c>
    </row>
    <row r="2802" spans="1:19" ht="16.5" x14ac:dyDescent="0.3">
      <c r="A2802" t="s">
        <v>2865</v>
      </c>
      <c r="B2802" s="1">
        <v>45665</v>
      </c>
      <c r="C2802" s="1">
        <v>45668</v>
      </c>
      <c r="D2802">
        <v>2025</v>
      </c>
      <c r="E2802" t="s">
        <v>20</v>
      </c>
      <c r="F2802" t="s">
        <v>21</v>
      </c>
      <c r="G2802" t="s">
        <v>70</v>
      </c>
      <c r="H2802" t="s">
        <v>39</v>
      </c>
      <c r="I2802" t="s">
        <v>40</v>
      </c>
      <c r="J2802" t="s">
        <v>43</v>
      </c>
      <c r="K2802" t="s">
        <v>41</v>
      </c>
      <c r="L2802" t="s">
        <v>44</v>
      </c>
      <c r="M2802">
        <v>3</v>
      </c>
      <c r="N2802" s="2"/>
      <c r="O2802" s="3">
        <v>3015</v>
      </c>
      <c r="P2802">
        <v>0</v>
      </c>
      <c r="Q2802">
        <v>4</v>
      </c>
      <c r="R2802" t="s">
        <v>28</v>
      </c>
      <c r="S2802">
        <v>1</v>
      </c>
    </row>
    <row r="2803" spans="1:19" ht="16.5" x14ac:dyDescent="0.3">
      <c r="A2803" t="s">
        <v>2866</v>
      </c>
      <c r="B2803" s="1">
        <v>45665</v>
      </c>
      <c r="C2803" s="1">
        <v>45666</v>
      </c>
      <c r="D2803">
        <v>2025</v>
      </c>
      <c r="E2803" t="s">
        <v>20</v>
      </c>
      <c r="F2803" t="s">
        <v>21</v>
      </c>
      <c r="G2803" t="s">
        <v>70</v>
      </c>
      <c r="H2803" t="s">
        <v>23</v>
      </c>
      <c r="I2803" t="s">
        <v>24</v>
      </c>
      <c r="J2803" t="s">
        <v>43</v>
      </c>
      <c r="K2803" t="s">
        <v>53</v>
      </c>
      <c r="L2803" t="s">
        <v>44</v>
      </c>
      <c r="M2803">
        <v>1</v>
      </c>
      <c r="N2803" s="2">
        <v>190</v>
      </c>
      <c r="O2803" s="3">
        <v>1554</v>
      </c>
      <c r="P2803">
        <v>0</v>
      </c>
      <c r="Q2803">
        <v>3</v>
      </c>
      <c r="R2803" t="s">
        <v>28</v>
      </c>
      <c r="S2803">
        <v>1</v>
      </c>
    </row>
    <row r="2804" spans="1:19" ht="16.5" x14ac:dyDescent="0.3">
      <c r="A2804" t="s">
        <v>2867</v>
      </c>
      <c r="B2804" s="1">
        <v>45666</v>
      </c>
      <c r="C2804" s="1">
        <v>45674</v>
      </c>
      <c r="D2804">
        <v>2025</v>
      </c>
      <c r="E2804" t="s">
        <v>20</v>
      </c>
      <c r="F2804" t="s">
        <v>21</v>
      </c>
      <c r="G2804" t="s">
        <v>78</v>
      </c>
      <c r="H2804" t="s">
        <v>30</v>
      </c>
      <c r="I2804" t="s">
        <v>40</v>
      </c>
      <c r="J2804" t="s">
        <v>43</v>
      </c>
      <c r="K2804" t="s">
        <v>53</v>
      </c>
      <c r="L2804" t="s">
        <v>44</v>
      </c>
      <c r="M2804">
        <v>8</v>
      </c>
      <c r="N2804" s="2"/>
      <c r="O2804" s="3">
        <v>8879</v>
      </c>
      <c r="P2804">
        <v>0</v>
      </c>
      <c r="Q2804">
        <v>3</v>
      </c>
      <c r="R2804" t="s">
        <v>28</v>
      </c>
      <c r="S2804">
        <v>1</v>
      </c>
    </row>
    <row r="2805" spans="1:19" ht="16.5" x14ac:dyDescent="0.3">
      <c r="A2805" t="s">
        <v>2868</v>
      </c>
      <c r="B2805" s="1">
        <v>45666</v>
      </c>
      <c r="C2805" s="1">
        <v>45669</v>
      </c>
      <c r="D2805">
        <v>2025</v>
      </c>
      <c r="E2805" t="s">
        <v>20</v>
      </c>
      <c r="F2805" t="s">
        <v>21</v>
      </c>
      <c r="G2805" t="s">
        <v>78</v>
      </c>
      <c r="H2805" t="s">
        <v>23</v>
      </c>
      <c r="I2805" t="s">
        <v>24</v>
      </c>
      <c r="J2805" t="s">
        <v>25</v>
      </c>
      <c r="K2805" t="s">
        <v>32</v>
      </c>
      <c r="L2805" t="s">
        <v>37</v>
      </c>
      <c r="M2805">
        <v>3</v>
      </c>
      <c r="N2805" s="2">
        <v>57</v>
      </c>
      <c r="O2805" s="3">
        <v>2382</v>
      </c>
      <c r="P2805">
        <v>0</v>
      </c>
      <c r="Q2805">
        <v>4</v>
      </c>
      <c r="R2805" t="s">
        <v>33</v>
      </c>
      <c r="S2805">
        <v>1</v>
      </c>
    </row>
    <row r="2806" spans="1:19" ht="16.5" x14ac:dyDescent="0.3">
      <c r="A2806" t="s">
        <v>2869</v>
      </c>
      <c r="B2806" s="1">
        <v>45666</v>
      </c>
      <c r="C2806" s="1">
        <v>45667</v>
      </c>
      <c r="D2806">
        <v>2025</v>
      </c>
      <c r="E2806" t="s">
        <v>20</v>
      </c>
      <c r="F2806" t="s">
        <v>21</v>
      </c>
      <c r="G2806" t="s">
        <v>78</v>
      </c>
      <c r="H2806" t="s">
        <v>39</v>
      </c>
      <c r="I2806" t="s">
        <v>24</v>
      </c>
      <c r="J2806" t="s">
        <v>43</v>
      </c>
      <c r="K2806" t="s">
        <v>41</v>
      </c>
      <c r="L2806" t="s">
        <v>27</v>
      </c>
      <c r="M2806">
        <v>1</v>
      </c>
      <c r="N2806" s="2">
        <v>24</v>
      </c>
      <c r="O2806" s="3">
        <v>1502</v>
      </c>
      <c r="P2806">
        <v>0</v>
      </c>
      <c r="Q2806">
        <v>4</v>
      </c>
      <c r="R2806" t="s">
        <v>28</v>
      </c>
      <c r="S2806">
        <v>1</v>
      </c>
    </row>
    <row r="2807" spans="1:19" ht="16.5" x14ac:dyDescent="0.3">
      <c r="A2807" t="s">
        <v>2870</v>
      </c>
      <c r="B2807" s="1">
        <v>45666</v>
      </c>
      <c r="C2807" s="1">
        <v>45669</v>
      </c>
      <c r="D2807">
        <v>2025</v>
      </c>
      <c r="E2807" t="s">
        <v>20</v>
      </c>
      <c r="F2807" t="s">
        <v>21</v>
      </c>
      <c r="G2807" t="s">
        <v>78</v>
      </c>
      <c r="H2807" t="s">
        <v>50</v>
      </c>
      <c r="I2807" t="s">
        <v>31</v>
      </c>
      <c r="J2807" t="s">
        <v>43</v>
      </c>
      <c r="K2807" t="s">
        <v>53</v>
      </c>
      <c r="L2807" t="s">
        <v>27</v>
      </c>
      <c r="M2807">
        <v>3</v>
      </c>
      <c r="N2807" s="2"/>
      <c r="O2807" s="3">
        <v>3471</v>
      </c>
      <c r="P2807">
        <v>0</v>
      </c>
      <c r="Q2807">
        <v>5</v>
      </c>
      <c r="R2807" t="s">
        <v>59</v>
      </c>
      <c r="S2807">
        <v>1</v>
      </c>
    </row>
    <row r="2808" spans="1:19" ht="16.5" x14ac:dyDescent="0.3">
      <c r="A2808" t="s">
        <v>2871</v>
      </c>
      <c r="B2808" s="1">
        <v>45666</v>
      </c>
      <c r="C2808" s="1">
        <v>45671</v>
      </c>
      <c r="D2808">
        <v>2025</v>
      </c>
      <c r="E2808" t="s">
        <v>20</v>
      </c>
      <c r="F2808" t="s">
        <v>21</v>
      </c>
      <c r="G2808" t="s">
        <v>78</v>
      </c>
      <c r="H2808" t="s">
        <v>39</v>
      </c>
      <c r="I2808" t="s">
        <v>24</v>
      </c>
      <c r="J2808" t="s">
        <v>43</v>
      </c>
      <c r="K2808" t="s">
        <v>41</v>
      </c>
      <c r="L2808" t="s">
        <v>44</v>
      </c>
      <c r="M2808">
        <v>5</v>
      </c>
      <c r="N2808" s="2">
        <v>34</v>
      </c>
      <c r="O2808" s="3">
        <v>3195</v>
      </c>
      <c r="P2808">
        <v>0</v>
      </c>
      <c r="Q2808">
        <v>4</v>
      </c>
      <c r="R2808" t="s">
        <v>33</v>
      </c>
      <c r="S2808">
        <v>1</v>
      </c>
    </row>
    <row r="2809" spans="1:19" ht="16.5" x14ac:dyDescent="0.3">
      <c r="A2809" t="s">
        <v>2872</v>
      </c>
      <c r="B2809" s="1">
        <v>45666</v>
      </c>
      <c r="C2809" s="1">
        <v>45669</v>
      </c>
      <c r="D2809">
        <v>2025</v>
      </c>
      <c r="E2809" t="s">
        <v>20</v>
      </c>
      <c r="F2809" t="s">
        <v>21</v>
      </c>
      <c r="G2809" t="s">
        <v>78</v>
      </c>
      <c r="H2809" t="s">
        <v>23</v>
      </c>
      <c r="I2809" t="s">
        <v>40</v>
      </c>
      <c r="J2809" t="s">
        <v>43</v>
      </c>
      <c r="K2809" t="s">
        <v>53</v>
      </c>
      <c r="L2809" t="s">
        <v>37</v>
      </c>
      <c r="M2809">
        <v>3</v>
      </c>
      <c r="N2809" s="2"/>
      <c r="O2809" s="3">
        <v>3026</v>
      </c>
      <c r="P2809">
        <v>0</v>
      </c>
      <c r="Q2809">
        <v>5</v>
      </c>
      <c r="R2809" t="s">
        <v>33</v>
      </c>
      <c r="S2809">
        <v>1</v>
      </c>
    </row>
    <row r="2810" spans="1:19" ht="16.5" x14ac:dyDescent="0.3">
      <c r="A2810" t="s">
        <v>2873</v>
      </c>
      <c r="B2810" s="1">
        <v>45666</v>
      </c>
      <c r="C2810" s="1">
        <v>45667</v>
      </c>
      <c r="D2810">
        <v>2025</v>
      </c>
      <c r="E2810" t="s">
        <v>20</v>
      </c>
      <c r="F2810" t="s">
        <v>21</v>
      </c>
      <c r="G2810" t="s">
        <v>78</v>
      </c>
      <c r="H2810" t="s">
        <v>52</v>
      </c>
      <c r="I2810" t="s">
        <v>40</v>
      </c>
      <c r="J2810" t="s">
        <v>25</v>
      </c>
      <c r="K2810" t="s">
        <v>26</v>
      </c>
      <c r="L2810" t="s">
        <v>44</v>
      </c>
      <c r="M2810">
        <v>1</v>
      </c>
      <c r="N2810" s="2"/>
      <c r="O2810" s="3">
        <v>2153</v>
      </c>
      <c r="P2810">
        <v>0</v>
      </c>
      <c r="Q2810">
        <v>5</v>
      </c>
      <c r="R2810" t="s">
        <v>33</v>
      </c>
      <c r="S2810">
        <v>1</v>
      </c>
    </row>
    <row r="2811" spans="1:19" ht="16.5" x14ac:dyDescent="0.3">
      <c r="A2811" t="s">
        <v>2874</v>
      </c>
      <c r="B2811" s="1">
        <v>45666</v>
      </c>
      <c r="C2811" s="1">
        <v>45669</v>
      </c>
      <c r="D2811">
        <v>2025</v>
      </c>
      <c r="E2811" t="s">
        <v>20</v>
      </c>
      <c r="F2811" t="s">
        <v>21</v>
      </c>
      <c r="G2811" t="s">
        <v>78</v>
      </c>
      <c r="H2811" t="s">
        <v>50</v>
      </c>
      <c r="I2811" t="s">
        <v>24</v>
      </c>
      <c r="J2811" t="s">
        <v>43</v>
      </c>
      <c r="K2811" t="s">
        <v>32</v>
      </c>
      <c r="L2811" t="s">
        <v>27</v>
      </c>
      <c r="M2811">
        <v>3</v>
      </c>
      <c r="N2811" s="2">
        <v>74</v>
      </c>
      <c r="O2811" s="3">
        <v>5511</v>
      </c>
      <c r="P2811">
        <v>0</v>
      </c>
      <c r="Q2811">
        <v>4</v>
      </c>
      <c r="R2811" t="s">
        <v>33</v>
      </c>
      <c r="S2811">
        <v>1</v>
      </c>
    </row>
    <row r="2812" spans="1:19" ht="16.5" x14ac:dyDescent="0.3">
      <c r="A2812" t="s">
        <v>2875</v>
      </c>
      <c r="B2812" s="1">
        <v>45666</v>
      </c>
      <c r="C2812" s="1">
        <v>45667</v>
      </c>
      <c r="D2812">
        <v>2025</v>
      </c>
      <c r="E2812" t="s">
        <v>20</v>
      </c>
      <c r="F2812" t="s">
        <v>21</v>
      </c>
      <c r="G2812" t="s">
        <v>78</v>
      </c>
      <c r="H2812" t="s">
        <v>23</v>
      </c>
      <c r="I2812" t="s">
        <v>40</v>
      </c>
      <c r="J2812" t="s">
        <v>43</v>
      </c>
      <c r="K2812" t="s">
        <v>32</v>
      </c>
      <c r="L2812" t="s">
        <v>27</v>
      </c>
      <c r="M2812">
        <v>1</v>
      </c>
      <c r="N2812" s="2"/>
      <c r="O2812" s="3">
        <v>1286</v>
      </c>
      <c r="P2812">
        <v>0</v>
      </c>
      <c r="Q2812">
        <v>3</v>
      </c>
      <c r="R2812" t="s">
        <v>28</v>
      </c>
      <c r="S2812">
        <v>1</v>
      </c>
    </row>
    <row r="2813" spans="1:19" ht="16.5" x14ac:dyDescent="0.3">
      <c r="A2813" t="s">
        <v>2876</v>
      </c>
      <c r="B2813" s="1">
        <v>45667</v>
      </c>
      <c r="C2813" s="1">
        <v>45672</v>
      </c>
      <c r="D2813">
        <v>2025</v>
      </c>
      <c r="E2813" t="s">
        <v>20</v>
      </c>
      <c r="F2813" t="s">
        <v>21</v>
      </c>
      <c r="G2813" t="s">
        <v>83</v>
      </c>
      <c r="H2813" t="s">
        <v>23</v>
      </c>
      <c r="I2813" t="s">
        <v>24</v>
      </c>
      <c r="J2813" t="s">
        <v>25</v>
      </c>
      <c r="K2813" t="s">
        <v>53</v>
      </c>
      <c r="L2813" t="s">
        <v>44</v>
      </c>
      <c r="M2813">
        <v>5</v>
      </c>
      <c r="N2813" s="2">
        <v>34</v>
      </c>
      <c r="O2813" s="3">
        <v>3918</v>
      </c>
      <c r="P2813">
        <v>1</v>
      </c>
      <c r="Q2813">
        <v>4</v>
      </c>
      <c r="R2813" t="s">
        <v>33</v>
      </c>
      <c r="S2813">
        <v>1</v>
      </c>
    </row>
    <row r="2814" spans="1:19" ht="16.5" x14ac:dyDescent="0.3">
      <c r="A2814" t="s">
        <v>2877</v>
      </c>
      <c r="B2814" s="1">
        <v>45667</v>
      </c>
      <c r="C2814" s="1">
        <v>45668</v>
      </c>
      <c r="D2814">
        <v>2025</v>
      </c>
      <c r="E2814" t="s">
        <v>20</v>
      </c>
      <c r="F2814" t="s">
        <v>21</v>
      </c>
      <c r="G2814" t="s">
        <v>83</v>
      </c>
      <c r="H2814" t="s">
        <v>39</v>
      </c>
      <c r="I2814" t="s">
        <v>31</v>
      </c>
      <c r="J2814" t="s">
        <v>43</v>
      </c>
      <c r="K2814" t="s">
        <v>41</v>
      </c>
      <c r="L2814" t="s">
        <v>27</v>
      </c>
      <c r="M2814">
        <v>1</v>
      </c>
      <c r="N2814" s="2"/>
      <c r="O2814" s="3">
        <v>1411</v>
      </c>
      <c r="P2814">
        <v>0</v>
      </c>
      <c r="Q2814">
        <v>3</v>
      </c>
      <c r="R2814" t="s">
        <v>28</v>
      </c>
      <c r="S2814">
        <v>1</v>
      </c>
    </row>
    <row r="2815" spans="1:19" ht="16.5" x14ac:dyDescent="0.3">
      <c r="A2815" t="s">
        <v>2878</v>
      </c>
      <c r="B2815" s="1">
        <v>45667</v>
      </c>
      <c r="C2815" s="1">
        <v>45675</v>
      </c>
      <c r="D2815">
        <v>2025</v>
      </c>
      <c r="E2815" t="s">
        <v>20</v>
      </c>
      <c r="F2815" t="s">
        <v>21</v>
      </c>
      <c r="G2815" t="s">
        <v>83</v>
      </c>
      <c r="H2815" t="s">
        <v>23</v>
      </c>
      <c r="I2815" t="s">
        <v>24</v>
      </c>
      <c r="J2815" t="s">
        <v>43</v>
      </c>
      <c r="K2815" t="s">
        <v>32</v>
      </c>
      <c r="L2815" t="s">
        <v>27</v>
      </c>
      <c r="M2815">
        <v>8</v>
      </c>
      <c r="N2815" s="2">
        <v>67</v>
      </c>
      <c r="O2815" s="3">
        <v>7262</v>
      </c>
      <c r="P2815">
        <v>0</v>
      </c>
      <c r="Q2815">
        <v>4</v>
      </c>
      <c r="R2815" t="s">
        <v>28</v>
      </c>
      <c r="S2815">
        <v>1</v>
      </c>
    </row>
    <row r="2816" spans="1:19" ht="16.5" x14ac:dyDescent="0.3">
      <c r="A2816" t="s">
        <v>2879</v>
      </c>
      <c r="B2816" s="1">
        <v>45667</v>
      </c>
      <c r="C2816" s="1">
        <v>45668</v>
      </c>
      <c r="D2816">
        <v>2025</v>
      </c>
      <c r="E2816" t="s">
        <v>20</v>
      </c>
      <c r="F2816" t="s">
        <v>21</v>
      </c>
      <c r="G2816" t="s">
        <v>83</v>
      </c>
      <c r="H2816" t="s">
        <v>23</v>
      </c>
      <c r="I2816" t="s">
        <v>40</v>
      </c>
      <c r="J2816" t="s">
        <v>43</v>
      </c>
      <c r="K2816" t="s">
        <v>36</v>
      </c>
      <c r="L2816" t="s">
        <v>27</v>
      </c>
      <c r="M2816">
        <v>1</v>
      </c>
      <c r="N2816" s="2"/>
      <c r="O2816" s="3">
        <v>1353</v>
      </c>
      <c r="P2816">
        <v>0</v>
      </c>
      <c r="Q2816">
        <v>5</v>
      </c>
      <c r="R2816" t="s">
        <v>59</v>
      </c>
      <c r="S2816">
        <v>1</v>
      </c>
    </row>
    <row r="2817" spans="1:19" ht="16.5" x14ac:dyDescent="0.3">
      <c r="A2817" t="s">
        <v>2880</v>
      </c>
      <c r="B2817" s="1">
        <v>45667</v>
      </c>
      <c r="C2817" s="1">
        <v>45670</v>
      </c>
      <c r="D2817">
        <v>2025</v>
      </c>
      <c r="E2817" t="s">
        <v>20</v>
      </c>
      <c r="F2817" t="s">
        <v>21</v>
      </c>
      <c r="G2817" t="s">
        <v>83</v>
      </c>
      <c r="H2817" t="s">
        <v>23</v>
      </c>
      <c r="I2817" t="s">
        <v>40</v>
      </c>
      <c r="J2817" t="s">
        <v>25</v>
      </c>
      <c r="K2817" t="s">
        <v>53</v>
      </c>
      <c r="L2817" t="s">
        <v>27</v>
      </c>
      <c r="M2817">
        <v>3</v>
      </c>
      <c r="N2817" s="2"/>
      <c r="O2817" s="3">
        <v>2448</v>
      </c>
      <c r="P2817">
        <v>0</v>
      </c>
      <c r="Q2817">
        <v>4</v>
      </c>
      <c r="R2817" t="s">
        <v>28</v>
      </c>
      <c r="S2817">
        <v>1</v>
      </c>
    </row>
    <row r="2818" spans="1:19" ht="16.5" x14ac:dyDescent="0.3">
      <c r="A2818" t="s">
        <v>2881</v>
      </c>
      <c r="B2818" s="1">
        <v>45667</v>
      </c>
      <c r="C2818" s="1">
        <v>45672</v>
      </c>
      <c r="D2818">
        <v>2025</v>
      </c>
      <c r="E2818" t="s">
        <v>20</v>
      </c>
      <c r="F2818" t="s">
        <v>21</v>
      </c>
      <c r="G2818" t="s">
        <v>83</v>
      </c>
      <c r="H2818" t="s">
        <v>35</v>
      </c>
      <c r="I2818" t="s">
        <v>24</v>
      </c>
      <c r="J2818" t="s">
        <v>25</v>
      </c>
      <c r="K2818" t="s">
        <v>36</v>
      </c>
      <c r="L2818" t="s">
        <v>27</v>
      </c>
      <c r="M2818">
        <v>5</v>
      </c>
      <c r="N2818" s="2">
        <v>25</v>
      </c>
      <c r="O2818" s="3">
        <v>4245</v>
      </c>
      <c r="P2818">
        <v>0</v>
      </c>
      <c r="Q2818">
        <v>4</v>
      </c>
      <c r="R2818" t="s">
        <v>28</v>
      </c>
      <c r="S2818">
        <v>1</v>
      </c>
    </row>
    <row r="2819" spans="1:19" ht="16.5" x14ac:dyDescent="0.3">
      <c r="A2819" t="s">
        <v>2882</v>
      </c>
      <c r="B2819" s="1">
        <v>45667</v>
      </c>
      <c r="C2819" s="1">
        <v>45670</v>
      </c>
      <c r="D2819">
        <v>2025</v>
      </c>
      <c r="E2819" t="s">
        <v>20</v>
      </c>
      <c r="F2819" t="s">
        <v>21</v>
      </c>
      <c r="G2819" t="s">
        <v>83</v>
      </c>
      <c r="H2819" t="s">
        <v>23</v>
      </c>
      <c r="I2819" t="s">
        <v>24</v>
      </c>
      <c r="J2819" t="s">
        <v>43</v>
      </c>
      <c r="K2819" t="s">
        <v>53</v>
      </c>
      <c r="L2819" t="s">
        <v>44</v>
      </c>
      <c r="M2819">
        <v>3</v>
      </c>
      <c r="N2819" s="2">
        <v>78</v>
      </c>
      <c r="O2819" s="3">
        <v>2587</v>
      </c>
      <c r="P2819">
        <v>0</v>
      </c>
      <c r="Q2819">
        <v>4</v>
      </c>
      <c r="R2819" t="s">
        <v>33</v>
      </c>
      <c r="S2819">
        <v>1</v>
      </c>
    </row>
    <row r="2820" spans="1:19" ht="16.5" x14ac:dyDescent="0.3">
      <c r="A2820" t="s">
        <v>2883</v>
      </c>
      <c r="B2820" s="1">
        <v>45667</v>
      </c>
      <c r="C2820" s="1">
        <v>45670</v>
      </c>
      <c r="D2820">
        <v>2025</v>
      </c>
      <c r="E2820" t="s">
        <v>20</v>
      </c>
      <c r="F2820" t="s">
        <v>21</v>
      </c>
      <c r="G2820" t="s">
        <v>83</v>
      </c>
      <c r="H2820" t="s">
        <v>39</v>
      </c>
      <c r="I2820" t="s">
        <v>40</v>
      </c>
      <c r="J2820" t="s">
        <v>43</v>
      </c>
      <c r="K2820" t="s">
        <v>41</v>
      </c>
      <c r="L2820" t="s">
        <v>44</v>
      </c>
      <c r="M2820">
        <v>3</v>
      </c>
      <c r="N2820" s="2"/>
      <c r="O2820" s="3">
        <v>2292</v>
      </c>
      <c r="P2820">
        <v>0</v>
      </c>
      <c r="Q2820">
        <v>4</v>
      </c>
      <c r="R2820" t="s">
        <v>33</v>
      </c>
      <c r="S2820">
        <v>1</v>
      </c>
    </row>
    <row r="2821" spans="1:19" ht="16.5" x14ac:dyDescent="0.3">
      <c r="A2821" t="s">
        <v>2884</v>
      </c>
      <c r="B2821" s="1">
        <v>45667</v>
      </c>
      <c r="C2821" s="1">
        <v>45677</v>
      </c>
      <c r="D2821">
        <v>2025</v>
      </c>
      <c r="E2821" t="s">
        <v>20</v>
      </c>
      <c r="F2821" t="s">
        <v>21</v>
      </c>
      <c r="G2821" t="s">
        <v>83</v>
      </c>
      <c r="H2821" t="s">
        <v>52</v>
      </c>
      <c r="I2821" t="s">
        <v>40</v>
      </c>
      <c r="J2821" t="s">
        <v>25</v>
      </c>
      <c r="K2821" t="s">
        <v>53</v>
      </c>
      <c r="L2821" t="s">
        <v>27</v>
      </c>
      <c r="M2821">
        <v>10</v>
      </c>
      <c r="N2821" s="2"/>
      <c r="O2821" s="3">
        <v>6002</v>
      </c>
      <c r="P2821">
        <v>1</v>
      </c>
      <c r="Q2821">
        <v>4</v>
      </c>
      <c r="R2821" t="s">
        <v>28</v>
      </c>
      <c r="S2821">
        <v>1</v>
      </c>
    </row>
    <row r="2822" spans="1:19" ht="16.5" x14ac:dyDescent="0.3">
      <c r="A2822" t="s">
        <v>2885</v>
      </c>
      <c r="B2822" s="1">
        <v>45667</v>
      </c>
      <c r="C2822" s="1">
        <v>45669</v>
      </c>
      <c r="D2822">
        <v>2025</v>
      </c>
      <c r="E2822" t="s">
        <v>20</v>
      </c>
      <c r="F2822" t="s">
        <v>21</v>
      </c>
      <c r="G2822" t="s">
        <v>83</v>
      </c>
      <c r="H2822" t="s">
        <v>39</v>
      </c>
      <c r="I2822" t="s">
        <v>31</v>
      </c>
      <c r="J2822" t="s">
        <v>25</v>
      </c>
      <c r="K2822" t="s">
        <v>41</v>
      </c>
      <c r="L2822" t="s">
        <v>27</v>
      </c>
      <c r="M2822">
        <v>2</v>
      </c>
      <c r="N2822" s="2"/>
      <c r="O2822" s="3">
        <v>1543</v>
      </c>
      <c r="P2822">
        <v>0</v>
      </c>
      <c r="Q2822">
        <v>4</v>
      </c>
      <c r="R2822" t="s">
        <v>33</v>
      </c>
      <c r="S2822">
        <v>1</v>
      </c>
    </row>
    <row r="2823" spans="1:19" ht="16.5" x14ac:dyDescent="0.3">
      <c r="A2823" t="s">
        <v>2886</v>
      </c>
      <c r="B2823" s="1">
        <v>45667</v>
      </c>
      <c r="C2823" s="1">
        <v>45673</v>
      </c>
      <c r="D2823">
        <v>2025</v>
      </c>
      <c r="E2823" t="s">
        <v>20</v>
      </c>
      <c r="F2823" t="s">
        <v>21</v>
      </c>
      <c r="G2823" t="s">
        <v>83</v>
      </c>
      <c r="H2823" t="s">
        <v>23</v>
      </c>
      <c r="I2823" t="s">
        <v>24</v>
      </c>
      <c r="J2823" t="s">
        <v>25</v>
      </c>
      <c r="K2823" t="s">
        <v>36</v>
      </c>
      <c r="L2823" t="s">
        <v>27</v>
      </c>
      <c r="M2823">
        <v>6</v>
      </c>
      <c r="N2823" s="2">
        <v>64</v>
      </c>
      <c r="O2823" s="3">
        <v>3993</v>
      </c>
      <c r="P2823">
        <v>0</v>
      </c>
      <c r="Q2823">
        <v>4</v>
      </c>
      <c r="R2823" t="s">
        <v>28</v>
      </c>
      <c r="S2823">
        <v>1</v>
      </c>
    </row>
    <row r="2824" spans="1:19" ht="16.5" x14ac:dyDescent="0.3">
      <c r="A2824" t="s">
        <v>2887</v>
      </c>
      <c r="B2824" s="1">
        <v>45668</v>
      </c>
      <c r="C2824" s="1">
        <v>45669</v>
      </c>
      <c r="D2824">
        <v>2025</v>
      </c>
      <c r="E2824" t="s">
        <v>20</v>
      </c>
      <c r="F2824" t="s">
        <v>21</v>
      </c>
      <c r="G2824" t="s">
        <v>102</v>
      </c>
      <c r="H2824" t="s">
        <v>35</v>
      </c>
      <c r="I2824" t="s">
        <v>40</v>
      </c>
      <c r="J2824" t="s">
        <v>25</v>
      </c>
      <c r="K2824" t="s">
        <v>32</v>
      </c>
      <c r="L2824" t="s">
        <v>37</v>
      </c>
      <c r="M2824">
        <v>1</v>
      </c>
      <c r="N2824" s="2"/>
      <c r="O2824" s="3">
        <v>962</v>
      </c>
      <c r="P2824">
        <v>0</v>
      </c>
      <c r="Q2824">
        <v>4</v>
      </c>
      <c r="R2824" t="s">
        <v>33</v>
      </c>
      <c r="S2824">
        <v>1</v>
      </c>
    </row>
    <row r="2825" spans="1:19" ht="16.5" x14ac:dyDescent="0.3">
      <c r="A2825" t="s">
        <v>2888</v>
      </c>
      <c r="B2825" s="1">
        <v>45668</v>
      </c>
      <c r="C2825" s="1">
        <v>45672</v>
      </c>
      <c r="D2825">
        <v>2025</v>
      </c>
      <c r="E2825" t="s">
        <v>20</v>
      </c>
      <c r="F2825" t="s">
        <v>21</v>
      </c>
      <c r="G2825" t="s">
        <v>102</v>
      </c>
      <c r="H2825" t="s">
        <v>23</v>
      </c>
      <c r="I2825" t="s">
        <v>24</v>
      </c>
      <c r="J2825" t="s">
        <v>43</v>
      </c>
      <c r="K2825" t="s">
        <v>36</v>
      </c>
      <c r="L2825" t="s">
        <v>44</v>
      </c>
      <c r="M2825">
        <v>4</v>
      </c>
      <c r="N2825" s="2">
        <v>61</v>
      </c>
      <c r="O2825" s="3">
        <v>2617</v>
      </c>
      <c r="P2825">
        <v>1</v>
      </c>
      <c r="Q2825">
        <v>3</v>
      </c>
      <c r="R2825" t="s">
        <v>33</v>
      </c>
      <c r="S2825">
        <v>1</v>
      </c>
    </row>
    <row r="2826" spans="1:19" ht="16.5" x14ac:dyDescent="0.3">
      <c r="A2826" t="s">
        <v>2889</v>
      </c>
      <c r="B2826" s="1">
        <v>45668</v>
      </c>
      <c r="C2826" s="1">
        <v>45675</v>
      </c>
      <c r="D2826">
        <v>2025</v>
      </c>
      <c r="E2826" t="s">
        <v>20</v>
      </c>
      <c r="F2826" t="s">
        <v>21</v>
      </c>
      <c r="G2826" t="s">
        <v>102</v>
      </c>
      <c r="H2826" t="s">
        <v>30</v>
      </c>
      <c r="I2826" t="s">
        <v>40</v>
      </c>
      <c r="J2826" t="s">
        <v>43</v>
      </c>
      <c r="K2826" t="s">
        <v>53</v>
      </c>
      <c r="L2826" t="s">
        <v>44</v>
      </c>
      <c r="M2826">
        <v>7</v>
      </c>
      <c r="N2826" s="2"/>
      <c r="O2826" s="3">
        <v>6902</v>
      </c>
      <c r="P2826">
        <v>0</v>
      </c>
      <c r="Q2826">
        <v>4</v>
      </c>
      <c r="R2826" t="s">
        <v>33</v>
      </c>
      <c r="S2826">
        <v>1</v>
      </c>
    </row>
    <row r="2827" spans="1:19" ht="16.5" x14ac:dyDescent="0.3">
      <c r="A2827" t="s">
        <v>2890</v>
      </c>
      <c r="B2827" s="1">
        <v>45668</v>
      </c>
      <c r="C2827" s="1">
        <v>45675</v>
      </c>
      <c r="D2827">
        <v>2025</v>
      </c>
      <c r="E2827" t="s">
        <v>20</v>
      </c>
      <c r="F2827" t="s">
        <v>21</v>
      </c>
      <c r="G2827" t="s">
        <v>102</v>
      </c>
      <c r="H2827" t="s">
        <v>50</v>
      </c>
      <c r="I2827" t="s">
        <v>24</v>
      </c>
      <c r="J2827" t="s">
        <v>43</v>
      </c>
      <c r="K2827" t="s">
        <v>32</v>
      </c>
      <c r="L2827" t="s">
        <v>44</v>
      </c>
      <c r="M2827">
        <v>7</v>
      </c>
      <c r="N2827" s="2">
        <v>43</v>
      </c>
      <c r="O2827" s="3">
        <v>9922</v>
      </c>
      <c r="P2827">
        <v>0</v>
      </c>
      <c r="Q2827">
        <v>4</v>
      </c>
      <c r="R2827" t="s">
        <v>33</v>
      </c>
      <c r="S2827">
        <v>1</v>
      </c>
    </row>
    <row r="2828" spans="1:19" ht="16.5" x14ac:dyDescent="0.3">
      <c r="A2828" t="s">
        <v>2891</v>
      </c>
      <c r="B2828" s="1">
        <v>45668</v>
      </c>
      <c r="C2828" s="1">
        <v>45669</v>
      </c>
      <c r="D2828">
        <v>2025</v>
      </c>
      <c r="E2828" t="s">
        <v>20</v>
      </c>
      <c r="F2828" t="s">
        <v>21</v>
      </c>
      <c r="G2828" t="s">
        <v>102</v>
      </c>
      <c r="H2828" t="s">
        <v>35</v>
      </c>
      <c r="I2828" t="s">
        <v>24</v>
      </c>
      <c r="J2828" t="s">
        <v>25</v>
      </c>
      <c r="K2828" t="s">
        <v>36</v>
      </c>
      <c r="L2828" t="s">
        <v>44</v>
      </c>
      <c r="M2828">
        <v>1</v>
      </c>
      <c r="N2828" s="2">
        <v>67</v>
      </c>
      <c r="O2828" s="3">
        <v>1859</v>
      </c>
      <c r="P2828">
        <v>0</v>
      </c>
      <c r="Q2828">
        <v>4</v>
      </c>
      <c r="R2828" t="s">
        <v>28</v>
      </c>
      <c r="S2828">
        <v>1</v>
      </c>
    </row>
    <row r="2829" spans="1:19" ht="16.5" x14ac:dyDescent="0.3">
      <c r="A2829" t="s">
        <v>2892</v>
      </c>
      <c r="B2829" s="1">
        <v>45668</v>
      </c>
      <c r="C2829" s="1">
        <v>45670</v>
      </c>
      <c r="D2829">
        <v>2025</v>
      </c>
      <c r="E2829" t="s">
        <v>20</v>
      </c>
      <c r="F2829" t="s">
        <v>21</v>
      </c>
      <c r="G2829" t="s">
        <v>102</v>
      </c>
      <c r="H2829" t="s">
        <v>52</v>
      </c>
      <c r="I2829" t="s">
        <v>24</v>
      </c>
      <c r="J2829" t="s">
        <v>43</v>
      </c>
      <c r="K2829" t="s">
        <v>53</v>
      </c>
      <c r="L2829" t="s">
        <v>27</v>
      </c>
      <c r="M2829">
        <v>2</v>
      </c>
      <c r="N2829" s="2">
        <v>13</v>
      </c>
      <c r="O2829" s="3">
        <v>3084</v>
      </c>
      <c r="P2829">
        <v>0</v>
      </c>
      <c r="Q2829">
        <v>4</v>
      </c>
      <c r="R2829" t="s">
        <v>28</v>
      </c>
      <c r="S2829">
        <v>1</v>
      </c>
    </row>
    <row r="2830" spans="1:19" ht="16.5" x14ac:dyDescent="0.3">
      <c r="A2830" t="s">
        <v>2893</v>
      </c>
      <c r="B2830" s="1">
        <v>45668</v>
      </c>
      <c r="C2830" s="1">
        <v>45671</v>
      </c>
      <c r="D2830">
        <v>2025</v>
      </c>
      <c r="E2830" t="s">
        <v>20</v>
      </c>
      <c r="F2830" t="s">
        <v>21</v>
      </c>
      <c r="G2830" t="s">
        <v>102</v>
      </c>
      <c r="H2830" t="s">
        <v>30</v>
      </c>
      <c r="I2830" t="s">
        <v>40</v>
      </c>
      <c r="J2830" t="s">
        <v>43</v>
      </c>
      <c r="K2830" t="s">
        <v>53</v>
      </c>
      <c r="L2830" t="s">
        <v>27</v>
      </c>
      <c r="M2830">
        <v>3</v>
      </c>
      <c r="N2830" s="2"/>
      <c r="O2830" s="3">
        <v>3304</v>
      </c>
      <c r="P2830">
        <v>0</v>
      </c>
      <c r="Q2830">
        <v>4</v>
      </c>
      <c r="R2830" t="s">
        <v>28</v>
      </c>
      <c r="S2830">
        <v>1</v>
      </c>
    </row>
    <row r="2831" spans="1:19" ht="16.5" x14ac:dyDescent="0.3">
      <c r="A2831" t="s">
        <v>2894</v>
      </c>
      <c r="B2831" s="1">
        <v>45669</v>
      </c>
      <c r="C2831" s="1">
        <v>45675</v>
      </c>
      <c r="D2831">
        <v>2025</v>
      </c>
      <c r="E2831" t="s">
        <v>20</v>
      </c>
      <c r="F2831" t="s">
        <v>21</v>
      </c>
      <c r="G2831" t="s">
        <v>112</v>
      </c>
      <c r="H2831" t="s">
        <v>50</v>
      </c>
      <c r="I2831" t="s">
        <v>40</v>
      </c>
      <c r="J2831" t="s">
        <v>43</v>
      </c>
      <c r="K2831" t="s">
        <v>53</v>
      </c>
      <c r="L2831" t="s">
        <v>27</v>
      </c>
      <c r="M2831">
        <v>6</v>
      </c>
      <c r="N2831" s="2"/>
      <c r="O2831" s="3">
        <v>7029</v>
      </c>
      <c r="P2831">
        <v>0</v>
      </c>
      <c r="Q2831">
        <v>4</v>
      </c>
      <c r="R2831" t="s">
        <v>33</v>
      </c>
      <c r="S2831">
        <v>1</v>
      </c>
    </row>
    <row r="2832" spans="1:19" ht="16.5" x14ac:dyDescent="0.3">
      <c r="A2832" t="s">
        <v>2895</v>
      </c>
      <c r="B2832" s="1">
        <v>45669</v>
      </c>
      <c r="C2832" s="1">
        <v>45670</v>
      </c>
      <c r="D2832">
        <v>2025</v>
      </c>
      <c r="E2832" t="s">
        <v>20</v>
      </c>
      <c r="F2832" t="s">
        <v>21</v>
      </c>
      <c r="G2832" t="s">
        <v>112</v>
      </c>
      <c r="H2832" t="s">
        <v>23</v>
      </c>
      <c r="I2832" t="s">
        <v>24</v>
      </c>
      <c r="J2832" t="s">
        <v>25</v>
      </c>
      <c r="K2832" t="s">
        <v>53</v>
      </c>
      <c r="L2832" t="s">
        <v>27</v>
      </c>
      <c r="M2832">
        <v>1</v>
      </c>
      <c r="N2832" s="2">
        <v>59</v>
      </c>
      <c r="O2832" s="3">
        <v>1689</v>
      </c>
      <c r="P2832">
        <v>1</v>
      </c>
      <c r="Q2832">
        <v>5</v>
      </c>
      <c r="R2832" t="s">
        <v>59</v>
      </c>
      <c r="S2832">
        <v>1</v>
      </c>
    </row>
    <row r="2833" spans="1:19" ht="16.5" x14ac:dyDescent="0.3">
      <c r="A2833" t="s">
        <v>2896</v>
      </c>
      <c r="B2833" s="1">
        <v>45669</v>
      </c>
      <c r="C2833" s="1">
        <v>45675</v>
      </c>
      <c r="D2833">
        <v>2025</v>
      </c>
      <c r="E2833" t="s">
        <v>20</v>
      </c>
      <c r="F2833" t="s">
        <v>21</v>
      </c>
      <c r="G2833" t="s">
        <v>112</v>
      </c>
      <c r="H2833" t="s">
        <v>23</v>
      </c>
      <c r="I2833" t="s">
        <v>24</v>
      </c>
      <c r="J2833" t="s">
        <v>43</v>
      </c>
      <c r="K2833" t="s">
        <v>32</v>
      </c>
      <c r="L2833" t="s">
        <v>27</v>
      </c>
      <c r="M2833">
        <v>6</v>
      </c>
      <c r="N2833" s="2">
        <v>110</v>
      </c>
      <c r="O2833" s="3">
        <v>4590</v>
      </c>
      <c r="P2833">
        <v>0</v>
      </c>
      <c r="Q2833">
        <v>2</v>
      </c>
      <c r="R2833" t="s">
        <v>33</v>
      </c>
      <c r="S2833">
        <v>1</v>
      </c>
    </row>
    <row r="2834" spans="1:19" ht="16.5" x14ac:dyDescent="0.3">
      <c r="A2834" t="s">
        <v>2897</v>
      </c>
      <c r="B2834" s="1">
        <v>45669</v>
      </c>
      <c r="C2834" s="1">
        <v>45676</v>
      </c>
      <c r="D2834">
        <v>2025</v>
      </c>
      <c r="E2834" t="s">
        <v>20</v>
      </c>
      <c r="F2834" t="s">
        <v>21</v>
      </c>
      <c r="G2834" t="s">
        <v>112</v>
      </c>
      <c r="H2834" t="s">
        <v>30</v>
      </c>
      <c r="I2834" t="s">
        <v>40</v>
      </c>
      <c r="J2834" t="s">
        <v>25</v>
      </c>
      <c r="K2834" t="s">
        <v>26</v>
      </c>
      <c r="L2834" t="s">
        <v>27</v>
      </c>
      <c r="M2834">
        <v>7</v>
      </c>
      <c r="N2834" s="2"/>
      <c r="O2834" s="3">
        <v>7331</v>
      </c>
      <c r="P2834">
        <v>0</v>
      </c>
      <c r="Q2834">
        <v>4</v>
      </c>
      <c r="R2834" t="s">
        <v>33</v>
      </c>
      <c r="S2834">
        <v>1</v>
      </c>
    </row>
    <row r="2835" spans="1:19" ht="16.5" x14ac:dyDescent="0.3">
      <c r="A2835" t="s">
        <v>2898</v>
      </c>
      <c r="B2835" s="1">
        <v>45669</v>
      </c>
      <c r="C2835" s="1">
        <v>45670</v>
      </c>
      <c r="D2835">
        <v>2025</v>
      </c>
      <c r="E2835" t="s">
        <v>20</v>
      </c>
      <c r="F2835" t="s">
        <v>21</v>
      </c>
      <c r="G2835" t="s">
        <v>112</v>
      </c>
      <c r="H2835" t="s">
        <v>23</v>
      </c>
      <c r="I2835" t="s">
        <v>40</v>
      </c>
      <c r="J2835" t="s">
        <v>25</v>
      </c>
      <c r="K2835" t="s">
        <v>32</v>
      </c>
      <c r="L2835" t="s">
        <v>44</v>
      </c>
      <c r="M2835">
        <v>1</v>
      </c>
      <c r="N2835" s="2"/>
      <c r="O2835" s="3">
        <v>1494</v>
      </c>
      <c r="P2835">
        <v>0</v>
      </c>
      <c r="Q2835">
        <v>3</v>
      </c>
      <c r="R2835" t="s">
        <v>28</v>
      </c>
      <c r="S2835">
        <v>1</v>
      </c>
    </row>
    <row r="2836" spans="1:19" ht="16.5" x14ac:dyDescent="0.3">
      <c r="A2836" t="s">
        <v>2899</v>
      </c>
      <c r="B2836" s="1">
        <v>45669</v>
      </c>
      <c r="C2836" s="1">
        <v>45677</v>
      </c>
      <c r="D2836">
        <v>2025</v>
      </c>
      <c r="E2836" t="s">
        <v>20</v>
      </c>
      <c r="F2836" t="s">
        <v>21</v>
      </c>
      <c r="G2836" t="s">
        <v>112</v>
      </c>
      <c r="H2836" t="s">
        <v>50</v>
      </c>
      <c r="I2836" t="s">
        <v>24</v>
      </c>
      <c r="J2836" t="s">
        <v>43</v>
      </c>
      <c r="K2836" t="s">
        <v>32</v>
      </c>
      <c r="L2836" t="s">
        <v>44</v>
      </c>
      <c r="M2836">
        <v>8</v>
      </c>
      <c r="N2836" s="2">
        <v>56</v>
      </c>
      <c r="O2836" s="3">
        <v>13120</v>
      </c>
      <c r="P2836">
        <v>0</v>
      </c>
      <c r="Q2836">
        <v>4</v>
      </c>
      <c r="R2836" t="s">
        <v>33</v>
      </c>
      <c r="S2836">
        <v>1</v>
      </c>
    </row>
    <row r="2837" spans="1:19" ht="16.5" x14ac:dyDescent="0.3">
      <c r="A2837" t="s">
        <v>2900</v>
      </c>
      <c r="B2837" s="1">
        <v>45669</v>
      </c>
      <c r="C2837" s="1">
        <v>45682</v>
      </c>
      <c r="D2837">
        <v>2025</v>
      </c>
      <c r="E2837" t="s">
        <v>20</v>
      </c>
      <c r="F2837" t="s">
        <v>21</v>
      </c>
      <c r="G2837" t="s">
        <v>112</v>
      </c>
      <c r="H2837" t="s">
        <v>50</v>
      </c>
      <c r="I2837" t="s">
        <v>24</v>
      </c>
      <c r="J2837" t="s">
        <v>25</v>
      </c>
      <c r="K2837" t="s">
        <v>53</v>
      </c>
      <c r="L2837" t="s">
        <v>44</v>
      </c>
      <c r="M2837">
        <v>13</v>
      </c>
      <c r="N2837" s="2">
        <v>40</v>
      </c>
      <c r="O2837" s="3">
        <v>20429</v>
      </c>
      <c r="P2837">
        <v>0</v>
      </c>
      <c r="Q2837">
        <v>3</v>
      </c>
      <c r="R2837" t="s">
        <v>33</v>
      </c>
      <c r="S2837">
        <v>1</v>
      </c>
    </row>
    <row r="2838" spans="1:19" ht="16.5" x14ac:dyDescent="0.3">
      <c r="A2838" t="s">
        <v>2901</v>
      </c>
      <c r="B2838" s="1">
        <v>45669</v>
      </c>
      <c r="C2838" s="1">
        <v>45675</v>
      </c>
      <c r="D2838">
        <v>2025</v>
      </c>
      <c r="E2838" t="s">
        <v>20</v>
      </c>
      <c r="F2838" t="s">
        <v>21</v>
      </c>
      <c r="G2838" t="s">
        <v>112</v>
      </c>
      <c r="H2838" t="s">
        <v>30</v>
      </c>
      <c r="I2838" t="s">
        <v>40</v>
      </c>
      <c r="J2838" t="s">
        <v>43</v>
      </c>
      <c r="K2838" t="s">
        <v>26</v>
      </c>
      <c r="L2838" t="s">
        <v>27</v>
      </c>
      <c r="M2838">
        <v>6</v>
      </c>
      <c r="N2838" s="2"/>
      <c r="O2838" s="3">
        <v>6757</v>
      </c>
      <c r="P2838">
        <v>0</v>
      </c>
      <c r="Q2838">
        <v>4</v>
      </c>
      <c r="R2838" t="s">
        <v>28</v>
      </c>
      <c r="S2838">
        <v>1</v>
      </c>
    </row>
    <row r="2839" spans="1:19" ht="16.5" x14ac:dyDescent="0.3">
      <c r="A2839" t="s">
        <v>2902</v>
      </c>
      <c r="B2839" s="1">
        <v>45669</v>
      </c>
      <c r="C2839" s="1">
        <v>45672</v>
      </c>
      <c r="D2839">
        <v>2025</v>
      </c>
      <c r="E2839" t="s">
        <v>20</v>
      </c>
      <c r="F2839" t="s">
        <v>21</v>
      </c>
      <c r="G2839" t="s">
        <v>112</v>
      </c>
      <c r="H2839" t="s">
        <v>50</v>
      </c>
      <c r="I2839" t="s">
        <v>31</v>
      </c>
      <c r="J2839" t="s">
        <v>25</v>
      </c>
      <c r="K2839" t="s">
        <v>32</v>
      </c>
      <c r="L2839" t="s">
        <v>44</v>
      </c>
      <c r="M2839">
        <v>3</v>
      </c>
      <c r="N2839" s="2"/>
      <c r="O2839" s="3">
        <v>4481</v>
      </c>
      <c r="P2839">
        <v>0</v>
      </c>
      <c r="Q2839">
        <v>5</v>
      </c>
      <c r="R2839" t="s">
        <v>33</v>
      </c>
      <c r="S2839">
        <v>1</v>
      </c>
    </row>
    <row r="2840" spans="1:19" ht="16.5" x14ac:dyDescent="0.3">
      <c r="A2840" t="s">
        <v>2903</v>
      </c>
      <c r="B2840" s="1">
        <v>45669</v>
      </c>
      <c r="C2840" s="1">
        <v>45679</v>
      </c>
      <c r="D2840">
        <v>2025</v>
      </c>
      <c r="E2840" t="s">
        <v>20</v>
      </c>
      <c r="F2840" t="s">
        <v>21</v>
      </c>
      <c r="G2840" t="s">
        <v>112</v>
      </c>
      <c r="H2840" t="s">
        <v>30</v>
      </c>
      <c r="I2840" t="s">
        <v>24</v>
      </c>
      <c r="J2840" t="s">
        <v>43</v>
      </c>
      <c r="K2840" t="s">
        <v>53</v>
      </c>
      <c r="L2840" t="s">
        <v>44</v>
      </c>
      <c r="M2840">
        <v>10</v>
      </c>
      <c r="N2840" s="2">
        <v>57</v>
      </c>
      <c r="O2840" s="3">
        <v>7010</v>
      </c>
      <c r="P2840">
        <v>0</v>
      </c>
      <c r="Q2840">
        <v>4</v>
      </c>
      <c r="R2840" t="s">
        <v>33</v>
      </c>
      <c r="S2840">
        <v>1</v>
      </c>
    </row>
    <row r="2841" spans="1:19" ht="16.5" x14ac:dyDescent="0.3">
      <c r="A2841" t="s">
        <v>2904</v>
      </c>
      <c r="B2841" s="1">
        <v>45670</v>
      </c>
      <c r="C2841" s="1">
        <v>45673</v>
      </c>
      <c r="D2841">
        <v>2025</v>
      </c>
      <c r="E2841" t="s">
        <v>20</v>
      </c>
      <c r="F2841" t="s">
        <v>21</v>
      </c>
      <c r="G2841" t="s">
        <v>22</v>
      </c>
      <c r="H2841" t="s">
        <v>39</v>
      </c>
      <c r="I2841" t="s">
        <v>40</v>
      </c>
      <c r="J2841" t="s">
        <v>25</v>
      </c>
      <c r="K2841" t="s">
        <v>41</v>
      </c>
      <c r="L2841" t="s">
        <v>27</v>
      </c>
      <c r="M2841">
        <v>3</v>
      </c>
      <c r="N2841" s="2"/>
      <c r="O2841" s="3">
        <v>2983</v>
      </c>
      <c r="P2841">
        <v>0</v>
      </c>
      <c r="Q2841">
        <v>4</v>
      </c>
      <c r="R2841" t="s">
        <v>33</v>
      </c>
      <c r="S2841">
        <v>1</v>
      </c>
    </row>
    <row r="2842" spans="1:19" ht="16.5" x14ac:dyDescent="0.3">
      <c r="A2842" t="s">
        <v>2905</v>
      </c>
      <c r="B2842" s="1">
        <v>45670</v>
      </c>
      <c r="C2842" s="1">
        <v>45686</v>
      </c>
      <c r="D2842">
        <v>2025</v>
      </c>
      <c r="E2842" t="s">
        <v>20</v>
      </c>
      <c r="F2842" t="s">
        <v>21</v>
      </c>
      <c r="G2842" t="s">
        <v>22</v>
      </c>
      <c r="H2842" t="s">
        <v>23</v>
      </c>
      <c r="I2842" t="s">
        <v>24</v>
      </c>
      <c r="J2842" t="s">
        <v>43</v>
      </c>
      <c r="K2842" t="s">
        <v>26</v>
      </c>
      <c r="L2842" t="s">
        <v>27</v>
      </c>
      <c r="M2842">
        <v>16</v>
      </c>
      <c r="N2842" s="2">
        <v>73</v>
      </c>
      <c r="O2842" s="3">
        <v>12818</v>
      </c>
      <c r="P2842">
        <v>0</v>
      </c>
      <c r="Q2842">
        <v>4</v>
      </c>
      <c r="R2842" t="s">
        <v>33</v>
      </c>
      <c r="S2842">
        <v>1</v>
      </c>
    </row>
    <row r="2843" spans="1:19" ht="16.5" x14ac:dyDescent="0.3">
      <c r="A2843" t="s">
        <v>2906</v>
      </c>
      <c r="B2843" s="1">
        <v>45670</v>
      </c>
      <c r="C2843" s="1">
        <v>45672</v>
      </c>
      <c r="D2843">
        <v>2025</v>
      </c>
      <c r="E2843" t="s">
        <v>20</v>
      </c>
      <c r="F2843" t="s">
        <v>21</v>
      </c>
      <c r="G2843" t="s">
        <v>22</v>
      </c>
      <c r="H2843" t="s">
        <v>50</v>
      </c>
      <c r="I2843" t="s">
        <v>40</v>
      </c>
      <c r="J2843" t="s">
        <v>25</v>
      </c>
      <c r="K2843" t="s">
        <v>32</v>
      </c>
      <c r="L2843" t="s">
        <v>27</v>
      </c>
      <c r="M2843">
        <v>2</v>
      </c>
      <c r="N2843" s="2"/>
      <c r="O2843" s="3">
        <v>3739</v>
      </c>
      <c r="P2843">
        <v>0</v>
      </c>
      <c r="Q2843">
        <v>5</v>
      </c>
      <c r="R2843" t="s">
        <v>33</v>
      </c>
      <c r="S2843">
        <v>1</v>
      </c>
    </row>
    <row r="2844" spans="1:19" ht="16.5" x14ac:dyDescent="0.3">
      <c r="A2844" t="s">
        <v>2907</v>
      </c>
      <c r="B2844" s="1">
        <v>45670</v>
      </c>
      <c r="C2844" s="1">
        <v>45671</v>
      </c>
      <c r="D2844">
        <v>2025</v>
      </c>
      <c r="E2844" t="s">
        <v>20</v>
      </c>
      <c r="F2844" t="s">
        <v>21</v>
      </c>
      <c r="G2844" t="s">
        <v>22</v>
      </c>
      <c r="H2844" t="s">
        <v>23</v>
      </c>
      <c r="I2844" t="s">
        <v>40</v>
      </c>
      <c r="J2844" t="s">
        <v>25</v>
      </c>
      <c r="K2844" t="s">
        <v>26</v>
      </c>
      <c r="L2844" t="s">
        <v>44</v>
      </c>
      <c r="M2844">
        <v>1</v>
      </c>
      <c r="N2844" s="2"/>
      <c r="O2844" s="3">
        <v>1607</v>
      </c>
      <c r="P2844">
        <v>0</v>
      </c>
      <c r="Q2844">
        <v>4</v>
      </c>
      <c r="R2844" t="s">
        <v>33</v>
      </c>
      <c r="S2844">
        <v>1</v>
      </c>
    </row>
    <row r="2845" spans="1:19" ht="16.5" x14ac:dyDescent="0.3">
      <c r="A2845" t="s">
        <v>2908</v>
      </c>
      <c r="B2845" s="1">
        <v>45670</v>
      </c>
      <c r="C2845" s="1">
        <v>45672</v>
      </c>
      <c r="D2845">
        <v>2025</v>
      </c>
      <c r="E2845" t="s">
        <v>20</v>
      </c>
      <c r="F2845" t="s">
        <v>21</v>
      </c>
      <c r="G2845" t="s">
        <v>22</v>
      </c>
      <c r="H2845" t="s">
        <v>39</v>
      </c>
      <c r="I2845" t="s">
        <v>24</v>
      </c>
      <c r="J2845" t="s">
        <v>43</v>
      </c>
      <c r="K2845" t="s">
        <v>41</v>
      </c>
      <c r="L2845" t="s">
        <v>37</v>
      </c>
      <c r="M2845">
        <v>2</v>
      </c>
      <c r="N2845" s="2">
        <v>77</v>
      </c>
      <c r="O2845" s="3">
        <v>1694</v>
      </c>
      <c r="P2845">
        <v>1</v>
      </c>
      <c r="Q2845">
        <v>4</v>
      </c>
      <c r="R2845" t="s">
        <v>33</v>
      </c>
      <c r="S2845">
        <v>1</v>
      </c>
    </row>
    <row r="2846" spans="1:19" ht="16.5" x14ac:dyDescent="0.3">
      <c r="A2846" t="s">
        <v>2909</v>
      </c>
      <c r="B2846" s="1">
        <v>45670</v>
      </c>
      <c r="C2846" s="1">
        <v>45671</v>
      </c>
      <c r="D2846">
        <v>2025</v>
      </c>
      <c r="E2846" t="s">
        <v>20</v>
      </c>
      <c r="F2846" t="s">
        <v>21</v>
      </c>
      <c r="G2846" t="s">
        <v>22</v>
      </c>
      <c r="H2846" t="s">
        <v>39</v>
      </c>
      <c r="I2846" t="s">
        <v>24</v>
      </c>
      <c r="J2846" t="s">
        <v>43</v>
      </c>
      <c r="K2846" t="s">
        <v>41</v>
      </c>
      <c r="L2846" t="s">
        <v>44</v>
      </c>
      <c r="M2846">
        <v>1</v>
      </c>
      <c r="N2846" s="2">
        <v>17</v>
      </c>
      <c r="O2846" s="3">
        <v>1675</v>
      </c>
      <c r="P2846">
        <v>0</v>
      </c>
      <c r="Q2846">
        <v>4</v>
      </c>
      <c r="R2846" t="s">
        <v>33</v>
      </c>
      <c r="S2846">
        <v>1</v>
      </c>
    </row>
    <row r="2847" spans="1:19" ht="16.5" x14ac:dyDescent="0.3">
      <c r="A2847" t="s">
        <v>2910</v>
      </c>
      <c r="B2847" s="1">
        <v>45670</v>
      </c>
      <c r="C2847" s="1">
        <v>45672</v>
      </c>
      <c r="D2847">
        <v>2025</v>
      </c>
      <c r="E2847" t="s">
        <v>20</v>
      </c>
      <c r="F2847" t="s">
        <v>21</v>
      </c>
      <c r="G2847" t="s">
        <v>22</v>
      </c>
      <c r="H2847" t="s">
        <v>39</v>
      </c>
      <c r="I2847" t="s">
        <v>40</v>
      </c>
      <c r="J2847" t="s">
        <v>43</v>
      </c>
      <c r="K2847" t="s">
        <v>41</v>
      </c>
      <c r="L2847" t="s">
        <v>37</v>
      </c>
      <c r="M2847">
        <v>2</v>
      </c>
      <c r="N2847" s="2"/>
      <c r="O2847" s="3">
        <v>2240</v>
      </c>
      <c r="P2847">
        <v>0</v>
      </c>
      <c r="Q2847">
        <v>5</v>
      </c>
      <c r="R2847" t="s">
        <v>33</v>
      </c>
      <c r="S2847">
        <v>1</v>
      </c>
    </row>
    <row r="2848" spans="1:19" ht="16.5" x14ac:dyDescent="0.3">
      <c r="A2848" t="s">
        <v>2911</v>
      </c>
      <c r="B2848" s="1">
        <v>45670</v>
      </c>
      <c r="C2848" s="1">
        <v>45671</v>
      </c>
      <c r="D2848">
        <v>2025</v>
      </c>
      <c r="E2848" t="s">
        <v>20</v>
      </c>
      <c r="F2848" t="s">
        <v>21</v>
      </c>
      <c r="G2848" t="s">
        <v>22</v>
      </c>
      <c r="H2848" t="s">
        <v>35</v>
      </c>
      <c r="I2848" t="s">
        <v>40</v>
      </c>
      <c r="J2848" t="s">
        <v>25</v>
      </c>
      <c r="K2848" t="s">
        <v>32</v>
      </c>
      <c r="L2848" t="s">
        <v>27</v>
      </c>
      <c r="M2848">
        <v>1</v>
      </c>
      <c r="N2848" s="2"/>
      <c r="O2848" s="3">
        <v>1902</v>
      </c>
      <c r="P2848">
        <v>0</v>
      </c>
      <c r="Q2848">
        <v>5</v>
      </c>
      <c r="R2848" t="s">
        <v>59</v>
      </c>
      <c r="S2848">
        <v>1</v>
      </c>
    </row>
    <row r="2849" spans="1:19" ht="16.5" x14ac:dyDescent="0.3">
      <c r="A2849" t="s">
        <v>2912</v>
      </c>
      <c r="B2849" s="1">
        <v>45670</v>
      </c>
      <c r="C2849" s="1">
        <v>45675</v>
      </c>
      <c r="D2849">
        <v>2025</v>
      </c>
      <c r="E2849" t="s">
        <v>20</v>
      </c>
      <c r="F2849" t="s">
        <v>21</v>
      </c>
      <c r="G2849" t="s">
        <v>22</v>
      </c>
      <c r="H2849" t="s">
        <v>30</v>
      </c>
      <c r="I2849" t="s">
        <v>40</v>
      </c>
      <c r="J2849" t="s">
        <v>25</v>
      </c>
      <c r="K2849" t="s">
        <v>26</v>
      </c>
      <c r="L2849" t="s">
        <v>44</v>
      </c>
      <c r="M2849">
        <v>5</v>
      </c>
      <c r="N2849" s="2"/>
      <c r="O2849" s="3">
        <v>6410</v>
      </c>
      <c r="P2849">
        <v>0</v>
      </c>
      <c r="Q2849">
        <v>4</v>
      </c>
      <c r="R2849" t="s">
        <v>28</v>
      </c>
      <c r="S2849">
        <v>1</v>
      </c>
    </row>
    <row r="2850" spans="1:19" ht="16.5" x14ac:dyDescent="0.3">
      <c r="A2850" t="s">
        <v>2913</v>
      </c>
      <c r="B2850" s="1">
        <v>45670</v>
      </c>
      <c r="C2850" s="1">
        <v>45674</v>
      </c>
      <c r="D2850">
        <v>2025</v>
      </c>
      <c r="E2850" t="s">
        <v>20</v>
      </c>
      <c r="F2850" t="s">
        <v>21</v>
      </c>
      <c r="G2850" t="s">
        <v>22</v>
      </c>
      <c r="H2850" t="s">
        <v>39</v>
      </c>
      <c r="I2850" t="s">
        <v>24</v>
      </c>
      <c r="J2850" t="s">
        <v>43</v>
      </c>
      <c r="K2850" t="s">
        <v>41</v>
      </c>
      <c r="L2850" t="s">
        <v>37</v>
      </c>
      <c r="M2850">
        <v>4</v>
      </c>
      <c r="N2850" s="2">
        <v>11</v>
      </c>
      <c r="O2850" s="3">
        <v>3063</v>
      </c>
      <c r="P2850">
        <v>0</v>
      </c>
      <c r="Q2850">
        <v>4</v>
      </c>
      <c r="R2850" t="s">
        <v>33</v>
      </c>
      <c r="S2850">
        <v>1</v>
      </c>
    </row>
    <row r="2851" spans="1:19" ht="16.5" x14ac:dyDescent="0.3">
      <c r="A2851" t="s">
        <v>2914</v>
      </c>
      <c r="B2851" s="1">
        <v>45670</v>
      </c>
      <c r="C2851" s="1">
        <v>45675</v>
      </c>
      <c r="D2851">
        <v>2025</v>
      </c>
      <c r="E2851" t="s">
        <v>20</v>
      </c>
      <c r="F2851" t="s">
        <v>21</v>
      </c>
      <c r="G2851" t="s">
        <v>22</v>
      </c>
      <c r="H2851" t="s">
        <v>35</v>
      </c>
      <c r="I2851" t="s">
        <v>24</v>
      </c>
      <c r="J2851" t="s">
        <v>25</v>
      </c>
      <c r="K2851" t="s">
        <v>32</v>
      </c>
      <c r="L2851" t="s">
        <v>44</v>
      </c>
      <c r="M2851">
        <v>5</v>
      </c>
      <c r="N2851" s="2">
        <v>95</v>
      </c>
      <c r="O2851" s="3">
        <v>4619</v>
      </c>
      <c r="P2851">
        <v>0</v>
      </c>
      <c r="Q2851">
        <v>4</v>
      </c>
      <c r="R2851" t="s">
        <v>59</v>
      </c>
      <c r="S2851">
        <v>1</v>
      </c>
    </row>
    <row r="2852" spans="1:19" ht="16.5" x14ac:dyDescent="0.3">
      <c r="A2852" t="s">
        <v>2915</v>
      </c>
      <c r="B2852" s="1">
        <v>45671</v>
      </c>
      <c r="C2852" s="1">
        <v>45672</v>
      </c>
      <c r="D2852">
        <v>2025</v>
      </c>
      <c r="E2852" t="s">
        <v>20</v>
      </c>
      <c r="F2852" t="s">
        <v>21</v>
      </c>
      <c r="G2852" t="s">
        <v>56</v>
      </c>
      <c r="H2852" t="s">
        <v>30</v>
      </c>
      <c r="I2852" t="s">
        <v>40</v>
      </c>
      <c r="J2852" t="s">
        <v>43</v>
      </c>
      <c r="K2852" t="s">
        <v>26</v>
      </c>
      <c r="L2852" t="s">
        <v>27</v>
      </c>
      <c r="M2852">
        <v>1</v>
      </c>
      <c r="N2852" s="2"/>
      <c r="O2852" s="3">
        <v>988</v>
      </c>
      <c r="P2852">
        <v>0</v>
      </c>
      <c r="Q2852">
        <v>4</v>
      </c>
      <c r="R2852" t="s">
        <v>28</v>
      </c>
      <c r="S2852">
        <v>1</v>
      </c>
    </row>
    <row r="2853" spans="1:19" ht="16.5" x14ac:dyDescent="0.3">
      <c r="A2853" t="s">
        <v>2916</v>
      </c>
      <c r="B2853" s="1">
        <v>45671</v>
      </c>
      <c r="C2853" s="1">
        <v>45673</v>
      </c>
      <c r="D2853">
        <v>2025</v>
      </c>
      <c r="E2853" t="s">
        <v>20</v>
      </c>
      <c r="F2853" t="s">
        <v>21</v>
      </c>
      <c r="G2853" t="s">
        <v>56</v>
      </c>
      <c r="H2853" t="s">
        <v>39</v>
      </c>
      <c r="I2853" t="s">
        <v>40</v>
      </c>
      <c r="J2853" t="s">
        <v>25</v>
      </c>
      <c r="K2853" t="s">
        <v>41</v>
      </c>
      <c r="L2853" t="s">
        <v>27</v>
      </c>
      <c r="M2853">
        <v>2</v>
      </c>
      <c r="N2853" s="2"/>
      <c r="O2853" s="3">
        <v>2167</v>
      </c>
      <c r="P2853">
        <v>0</v>
      </c>
      <c r="Q2853">
        <v>4</v>
      </c>
      <c r="R2853" t="s">
        <v>59</v>
      </c>
      <c r="S2853">
        <v>1</v>
      </c>
    </row>
    <row r="2854" spans="1:19" ht="16.5" x14ac:dyDescent="0.3">
      <c r="A2854" t="s">
        <v>2917</v>
      </c>
      <c r="B2854" s="1">
        <v>45671</v>
      </c>
      <c r="C2854" s="1">
        <v>45672</v>
      </c>
      <c r="D2854">
        <v>2025</v>
      </c>
      <c r="E2854" t="s">
        <v>20</v>
      </c>
      <c r="F2854" t="s">
        <v>21</v>
      </c>
      <c r="G2854" t="s">
        <v>56</v>
      </c>
      <c r="H2854" t="s">
        <v>35</v>
      </c>
      <c r="I2854" t="s">
        <v>40</v>
      </c>
      <c r="J2854" t="s">
        <v>25</v>
      </c>
      <c r="K2854" t="s">
        <v>32</v>
      </c>
      <c r="L2854" t="s">
        <v>37</v>
      </c>
      <c r="M2854">
        <v>1</v>
      </c>
      <c r="N2854" s="2"/>
      <c r="O2854" s="3">
        <v>1560</v>
      </c>
      <c r="P2854">
        <v>0</v>
      </c>
      <c r="Q2854">
        <v>4</v>
      </c>
      <c r="R2854" t="s">
        <v>28</v>
      </c>
      <c r="S2854">
        <v>1</v>
      </c>
    </row>
    <row r="2855" spans="1:19" ht="16.5" x14ac:dyDescent="0.3">
      <c r="A2855" t="s">
        <v>2918</v>
      </c>
      <c r="B2855" s="1">
        <v>45671</v>
      </c>
      <c r="C2855" s="1">
        <v>45679</v>
      </c>
      <c r="D2855">
        <v>2025</v>
      </c>
      <c r="E2855" t="s">
        <v>20</v>
      </c>
      <c r="F2855" t="s">
        <v>21</v>
      </c>
      <c r="G2855" t="s">
        <v>56</v>
      </c>
      <c r="H2855" t="s">
        <v>23</v>
      </c>
      <c r="I2855" t="s">
        <v>24</v>
      </c>
      <c r="J2855" t="s">
        <v>43</v>
      </c>
      <c r="K2855" t="s">
        <v>26</v>
      </c>
      <c r="L2855" t="s">
        <v>44</v>
      </c>
      <c r="M2855">
        <v>8</v>
      </c>
      <c r="N2855" s="2">
        <v>35</v>
      </c>
      <c r="O2855" s="3">
        <v>3590</v>
      </c>
      <c r="P2855">
        <v>1</v>
      </c>
      <c r="Q2855">
        <v>4</v>
      </c>
      <c r="R2855" t="s">
        <v>33</v>
      </c>
      <c r="S2855">
        <v>1</v>
      </c>
    </row>
    <row r="2856" spans="1:19" ht="16.5" x14ac:dyDescent="0.3">
      <c r="A2856" t="s">
        <v>2919</v>
      </c>
      <c r="B2856" s="1">
        <v>45671</v>
      </c>
      <c r="C2856" s="1">
        <v>45672</v>
      </c>
      <c r="D2856">
        <v>2025</v>
      </c>
      <c r="E2856" t="s">
        <v>20</v>
      </c>
      <c r="F2856" t="s">
        <v>21</v>
      </c>
      <c r="G2856" t="s">
        <v>56</v>
      </c>
      <c r="H2856" t="s">
        <v>30</v>
      </c>
      <c r="I2856" t="s">
        <v>40</v>
      </c>
      <c r="J2856" t="s">
        <v>43</v>
      </c>
      <c r="K2856" t="s">
        <v>26</v>
      </c>
      <c r="L2856" t="s">
        <v>44</v>
      </c>
      <c r="M2856">
        <v>1</v>
      </c>
      <c r="N2856" s="2"/>
      <c r="O2856" s="3">
        <v>1552</v>
      </c>
      <c r="P2856">
        <v>0</v>
      </c>
      <c r="Q2856">
        <v>4</v>
      </c>
      <c r="R2856" t="s">
        <v>28</v>
      </c>
      <c r="S2856">
        <v>1</v>
      </c>
    </row>
    <row r="2857" spans="1:19" ht="16.5" x14ac:dyDescent="0.3">
      <c r="A2857" t="s">
        <v>2920</v>
      </c>
      <c r="B2857" s="1">
        <v>45671</v>
      </c>
      <c r="C2857" s="1">
        <v>45672</v>
      </c>
      <c r="D2857">
        <v>2025</v>
      </c>
      <c r="E2857" t="s">
        <v>20</v>
      </c>
      <c r="F2857" t="s">
        <v>21</v>
      </c>
      <c r="G2857" t="s">
        <v>56</v>
      </c>
      <c r="H2857" t="s">
        <v>50</v>
      </c>
      <c r="I2857" t="s">
        <v>40</v>
      </c>
      <c r="J2857" t="s">
        <v>25</v>
      </c>
      <c r="K2857" t="s">
        <v>53</v>
      </c>
      <c r="L2857" t="s">
        <v>27</v>
      </c>
      <c r="M2857">
        <v>1</v>
      </c>
      <c r="N2857" s="2"/>
      <c r="O2857" s="3">
        <v>2524</v>
      </c>
      <c r="P2857">
        <v>0</v>
      </c>
      <c r="Q2857">
        <v>3</v>
      </c>
      <c r="R2857" t="s">
        <v>33</v>
      </c>
      <c r="S2857">
        <v>1</v>
      </c>
    </row>
    <row r="2858" spans="1:19" ht="16.5" x14ac:dyDescent="0.3">
      <c r="A2858" t="s">
        <v>2921</v>
      </c>
      <c r="B2858" s="1">
        <v>45671</v>
      </c>
      <c r="C2858" s="1">
        <v>45674</v>
      </c>
      <c r="D2858">
        <v>2025</v>
      </c>
      <c r="E2858" t="s">
        <v>20</v>
      </c>
      <c r="F2858" t="s">
        <v>21</v>
      </c>
      <c r="G2858" t="s">
        <v>56</v>
      </c>
      <c r="H2858" t="s">
        <v>35</v>
      </c>
      <c r="I2858" t="s">
        <v>40</v>
      </c>
      <c r="J2858" t="s">
        <v>25</v>
      </c>
      <c r="K2858" t="s">
        <v>32</v>
      </c>
      <c r="L2858" t="s">
        <v>27</v>
      </c>
      <c r="M2858">
        <v>3</v>
      </c>
      <c r="N2858" s="2"/>
      <c r="O2858" s="3">
        <v>3671</v>
      </c>
      <c r="P2858">
        <v>0</v>
      </c>
      <c r="Q2858">
        <v>4</v>
      </c>
      <c r="R2858" t="s">
        <v>33</v>
      </c>
      <c r="S2858">
        <v>1</v>
      </c>
    </row>
    <row r="2859" spans="1:19" ht="16.5" x14ac:dyDescent="0.3">
      <c r="A2859" t="s">
        <v>2922</v>
      </c>
      <c r="B2859" s="1">
        <v>45672</v>
      </c>
      <c r="C2859" s="1">
        <v>45674</v>
      </c>
      <c r="D2859">
        <v>2025</v>
      </c>
      <c r="E2859" t="s">
        <v>20</v>
      </c>
      <c r="F2859" t="s">
        <v>21</v>
      </c>
      <c r="G2859" t="s">
        <v>70</v>
      </c>
      <c r="H2859" t="s">
        <v>52</v>
      </c>
      <c r="I2859" t="s">
        <v>24</v>
      </c>
      <c r="J2859" t="s">
        <v>43</v>
      </c>
      <c r="K2859" t="s">
        <v>53</v>
      </c>
      <c r="L2859" t="s">
        <v>44</v>
      </c>
      <c r="M2859">
        <v>2</v>
      </c>
      <c r="N2859" s="2">
        <v>71</v>
      </c>
      <c r="O2859" s="3">
        <v>2568</v>
      </c>
      <c r="P2859">
        <v>0</v>
      </c>
      <c r="Q2859">
        <v>4</v>
      </c>
      <c r="R2859" t="s">
        <v>28</v>
      </c>
      <c r="S2859">
        <v>1</v>
      </c>
    </row>
    <row r="2860" spans="1:19" ht="16.5" x14ac:dyDescent="0.3">
      <c r="A2860" t="s">
        <v>2923</v>
      </c>
      <c r="B2860" s="1">
        <v>45672</v>
      </c>
      <c r="C2860" s="1">
        <v>45677</v>
      </c>
      <c r="D2860">
        <v>2025</v>
      </c>
      <c r="E2860" t="s">
        <v>20</v>
      </c>
      <c r="F2860" t="s">
        <v>21</v>
      </c>
      <c r="G2860" t="s">
        <v>70</v>
      </c>
      <c r="H2860" t="s">
        <v>30</v>
      </c>
      <c r="I2860" t="s">
        <v>40</v>
      </c>
      <c r="J2860" t="s">
        <v>25</v>
      </c>
      <c r="K2860" t="s">
        <v>26</v>
      </c>
      <c r="L2860" t="s">
        <v>27</v>
      </c>
      <c r="M2860">
        <v>5</v>
      </c>
      <c r="N2860" s="2"/>
      <c r="O2860" s="3">
        <v>5518</v>
      </c>
      <c r="P2860">
        <v>0</v>
      </c>
      <c r="Q2860">
        <v>5</v>
      </c>
      <c r="R2860" t="s">
        <v>28</v>
      </c>
      <c r="S2860">
        <v>1</v>
      </c>
    </row>
    <row r="2861" spans="1:19" ht="16.5" x14ac:dyDescent="0.3">
      <c r="A2861" t="s">
        <v>2924</v>
      </c>
      <c r="B2861" s="1">
        <v>45672</v>
      </c>
      <c r="C2861" s="1">
        <v>45676</v>
      </c>
      <c r="D2861">
        <v>2025</v>
      </c>
      <c r="E2861" t="s">
        <v>20</v>
      </c>
      <c r="F2861" t="s">
        <v>21</v>
      </c>
      <c r="G2861" t="s">
        <v>70</v>
      </c>
      <c r="H2861" t="s">
        <v>35</v>
      </c>
      <c r="I2861" t="s">
        <v>31</v>
      </c>
      <c r="J2861" t="s">
        <v>25</v>
      </c>
      <c r="K2861" t="s">
        <v>36</v>
      </c>
      <c r="L2861" t="s">
        <v>27</v>
      </c>
      <c r="M2861">
        <v>4</v>
      </c>
      <c r="N2861" s="2"/>
      <c r="O2861" s="3">
        <v>3221</v>
      </c>
      <c r="P2861">
        <v>0</v>
      </c>
      <c r="Q2861">
        <v>4</v>
      </c>
      <c r="R2861" t="s">
        <v>28</v>
      </c>
      <c r="S2861">
        <v>1</v>
      </c>
    </row>
    <row r="2862" spans="1:19" ht="16.5" x14ac:dyDescent="0.3">
      <c r="A2862" t="s">
        <v>2925</v>
      </c>
      <c r="B2862" s="1">
        <v>45672</v>
      </c>
      <c r="C2862" s="1">
        <v>45685</v>
      </c>
      <c r="D2862">
        <v>2025</v>
      </c>
      <c r="E2862" t="s">
        <v>20</v>
      </c>
      <c r="F2862" t="s">
        <v>21</v>
      </c>
      <c r="G2862" t="s">
        <v>70</v>
      </c>
      <c r="H2862" t="s">
        <v>23</v>
      </c>
      <c r="I2862" t="s">
        <v>24</v>
      </c>
      <c r="J2862" t="s">
        <v>25</v>
      </c>
      <c r="K2862" t="s">
        <v>53</v>
      </c>
      <c r="L2862" t="s">
        <v>27</v>
      </c>
      <c r="M2862">
        <v>13</v>
      </c>
      <c r="N2862" s="2">
        <v>65</v>
      </c>
      <c r="O2862" s="3">
        <v>8574</v>
      </c>
      <c r="P2862">
        <v>0</v>
      </c>
      <c r="Q2862">
        <v>4</v>
      </c>
      <c r="R2862" t="s">
        <v>28</v>
      </c>
      <c r="S2862">
        <v>1</v>
      </c>
    </row>
    <row r="2863" spans="1:19" ht="16.5" x14ac:dyDescent="0.3">
      <c r="A2863" t="s">
        <v>2926</v>
      </c>
      <c r="B2863" s="1">
        <v>45672</v>
      </c>
      <c r="C2863" s="1">
        <v>45679</v>
      </c>
      <c r="D2863">
        <v>2025</v>
      </c>
      <c r="E2863" t="s">
        <v>20</v>
      </c>
      <c r="F2863" t="s">
        <v>21</v>
      </c>
      <c r="G2863" t="s">
        <v>70</v>
      </c>
      <c r="H2863" t="s">
        <v>39</v>
      </c>
      <c r="I2863" t="s">
        <v>24</v>
      </c>
      <c r="J2863" t="s">
        <v>25</v>
      </c>
      <c r="K2863" t="s">
        <v>41</v>
      </c>
      <c r="L2863" t="s">
        <v>44</v>
      </c>
      <c r="M2863">
        <v>7</v>
      </c>
      <c r="N2863" s="2">
        <v>23</v>
      </c>
      <c r="O2863" s="3">
        <v>4668</v>
      </c>
      <c r="P2863">
        <v>0</v>
      </c>
      <c r="Q2863">
        <v>5</v>
      </c>
      <c r="R2863" t="s">
        <v>33</v>
      </c>
      <c r="S2863">
        <v>1</v>
      </c>
    </row>
    <row r="2864" spans="1:19" ht="16.5" x14ac:dyDescent="0.3">
      <c r="A2864" t="s">
        <v>2927</v>
      </c>
      <c r="B2864" s="1">
        <v>45672</v>
      </c>
      <c r="C2864" s="1">
        <v>45675</v>
      </c>
      <c r="D2864">
        <v>2025</v>
      </c>
      <c r="E2864" t="s">
        <v>20</v>
      </c>
      <c r="F2864" t="s">
        <v>21</v>
      </c>
      <c r="G2864" t="s">
        <v>70</v>
      </c>
      <c r="H2864" t="s">
        <v>50</v>
      </c>
      <c r="I2864" t="s">
        <v>40</v>
      </c>
      <c r="J2864" t="s">
        <v>25</v>
      </c>
      <c r="K2864" t="s">
        <v>26</v>
      </c>
      <c r="L2864" t="s">
        <v>27</v>
      </c>
      <c r="M2864">
        <v>3</v>
      </c>
      <c r="N2864" s="2"/>
      <c r="O2864" s="3">
        <v>3832</v>
      </c>
      <c r="P2864">
        <v>0</v>
      </c>
      <c r="Q2864">
        <v>4</v>
      </c>
      <c r="R2864" t="s">
        <v>33</v>
      </c>
      <c r="S2864">
        <v>1</v>
      </c>
    </row>
    <row r="2865" spans="1:19" ht="16.5" x14ac:dyDescent="0.3">
      <c r="A2865" t="s">
        <v>2928</v>
      </c>
      <c r="B2865" s="1">
        <v>45672</v>
      </c>
      <c r="C2865" s="1">
        <v>45674</v>
      </c>
      <c r="D2865">
        <v>2025</v>
      </c>
      <c r="E2865" t="s">
        <v>20</v>
      </c>
      <c r="F2865" t="s">
        <v>21</v>
      </c>
      <c r="G2865" t="s">
        <v>70</v>
      </c>
      <c r="H2865" t="s">
        <v>39</v>
      </c>
      <c r="I2865" t="s">
        <v>24</v>
      </c>
      <c r="J2865" t="s">
        <v>43</v>
      </c>
      <c r="K2865" t="s">
        <v>41</v>
      </c>
      <c r="L2865" t="s">
        <v>37</v>
      </c>
      <c r="M2865">
        <v>2</v>
      </c>
      <c r="N2865" s="2">
        <v>94</v>
      </c>
      <c r="O2865" s="3">
        <v>1604</v>
      </c>
      <c r="P2865">
        <v>0</v>
      </c>
      <c r="Q2865">
        <v>3</v>
      </c>
      <c r="R2865" t="s">
        <v>28</v>
      </c>
      <c r="S2865">
        <v>1</v>
      </c>
    </row>
    <row r="2866" spans="1:19" ht="16.5" x14ac:dyDescent="0.3">
      <c r="A2866" t="s">
        <v>2929</v>
      </c>
      <c r="B2866" s="1">
        <v>45672</v>
      </c>
      <c r="C2866" s="1">
        <v>45675</v>
      </c>
      <c r="D2866">
        <v>2025</v>
      </c>
      <c r="E2866" t="s">
        <v>20</v>
      </c>
      <c r="F2866" t="s">
        <v>21</v>
      </c>
      <c r="G2866" t="s">
        <v>70</v>
      </c>
      <c r="H2866" t="s">
        <v>52</v>
      </c>
      <c r="I2866" t="s">
        <v>40</v>
      </c>
      <c r="J2866" t="s">
        <v>25</v>
      </c>
      <c r="K2866" t="s">
        <v>32</v>
      </c>
      <c r="L2866" t="s">
        <v>27</v>
      </c>
      <c r="M2866">
        <v>3</v>
      </c>
      <c r="N2866" s="2"/>
      <c r="O2866" s="3">
        <v>3323</v>
      </c>
      <c r="P2866">
        <v>0</v>
      </c>
      <c r="Q2866">
        <v>4</v>
      </c>
      <c r="R2866" t="s">
        <v>33</v>
      </c>
      <c r="S2866">
        <v>1</v>
      </c>
    </row>
    <row r="2867" spans="1:19" ht="16.5" x14ac:dyDescent="0.3">
      <c r="A2867" t="s">
        <v>2930</v>
      </c>
      <c r="B2867" s="1">
        <v>45672</v>
      </c>
      <c r="C2867" s="1">
        <v>45675</v>
      </c>
      <c r="D2867">
        <v>2025</v>
      </c>
      <c r="E2867" t="s">
        <v>20</v>
      </c>
      <c r="F2867" t="s">
        <v>21</v>
      </c>
      <c r="G2867" t="s">
        <v>70</v>
      </c>
      <c r="H2867" t="s">
        <v>50</v>
      </c>
      <c r="I2867" t="s">
        <v>40</v>
      </c>
      <c r="J2867" t="s">
        <v>43</v>
      </c>
      <c r="K2867" t="s">
        <v>32</v>
      </c>
      <c r="L2867" t="s">
        <v>44</v>
      </c>
      <c r="M2867">
        <v>3</v>
      </c>
      <c r="N2867" s="2"/>
      <c r="O2867" s="3">
        <v>2564</v>
      </c>
      <c r="P2867">
        <v>0</v>
      </c>
      <c r="Q2867">
        <v>4</v>
      </c>
      <c r="R2867" t="s">
        <v>33</v>
      </c>
      <c r="S2867">
        <v>1</v>
      </c>
    </row>
    <row r="2868" spans="1:19" ht="16.5" x14ac:dyDescent="0.3">
      <c r="A2868" t="s">
        <v>2931</v>
      </c>
      <c r="B2868" s="1">
        <v>45672</v>
      </c>
      <c r="C2868" s="1">
        <v>45681</v>
      </c>
      <c r="D2868">
        <v>2025</v>
      </c>
      <c r="E2868" t="s">
        <v>20</v>
      </c>
      <c r="F2868" t="s">
        <v>21</v>
      </c>
      <c r="G2868" t="s">
        <v>70</v>
      </c>
      <c r="H2868" t="s">
        <v>23</v>
      </c>
      <c r="I2868" t="s">
        <v>24</v>
      </c>
      <c r="J2868" t="s">
        <v>25</v>
      </c>
      <c r="K2868" t="s">
        <v>32</v>
      </c>
      <c r="L2868" t="s">
        <v>27</v>
      </c>
      <c r="M2868">
        <v>9</v>
      </c>
      <c r="N2868" s="2">
        <v>91</v>
      </c>
      <c r="O2868" s="3">
        <v>5191</v>
      </c>
      <c r="P2868">
        <v>0</v>
      </c>
      <c r="Q2868">
        <v>3</v>
      </c>
      <c r="R2868" t="s">
        <v>33</v>
      </c>
      <c r="S2868">
        <v>1</v>
      </c>
    </row>
    <row r="2869" spans="1:19" ht="16.5" x14ac:dyDescent="0.3">
      <c r="A2869" t="s">
        <v>2932</v>
      </c>
      <c r="B2869" s="1">
        <v>45672</v>
      </c>
      <c r="C2869" s="1">
        <v>45677</v>
      </c>
      <c r="D2869">
        <v>2025</v>
      </c>
      <c r="E2869" t="s">
        <v>20</v>
      </c>
      <c r="F2869" t="s">
        <v>21</v>
      </c>
      <c r="G2869" t="s">
        <v>70</v>
      </c>
      <c r="H2869" t="s">
        <v>50</v>
      </c>
      <c r="I2869" t="s">
        <v>24</v>
      </c>
      <c r="J2869" t="s">
        <v>43</v>
      </c>
      <c r="K2869" t="s">
        <v>26</v>
      </c>
      <c r="L2869" t="s">
        <v>37</v>
      </c>
      <c r="M2869">
        <v>5</v>
      </c>
      <c r="N2869" s="2">
        <v>23</v>
      </c>
      <c r="O2869" s="3">
        <v>7974</v>
      </c>
      <c r="P2869">
        <v>1</v>
      </c>
      <c r="Q2869">
        <v>3</v>
      </c>
      <c r="R2869" t="s">
        <v>33</v>
      </c>
      <c r="S2869">
        <v>1</v>
      </c>
    </row>
    <row r="2870" spans="1:19" ht="16.5" x14ac:dyDescent="0.3">
      <c r="A2870" t="s">
        <v>2933</v>
      </c>
      <c r="B2870" s="1">
        <v>45672</v>
      </c>
      <c r="C2870" s="1">
        <v>45681</v>
      </c>
      <c r="D2870">
        <v>2025</v>
      </c>
      <c r="E2870" t="s">
        <v>20</v>
      </c>
      <c r="F2870" t="s">
        <v>21</v>
      </c>
      <c r="G2870" t="s">
        <v>70</v>
      </c>
      <c r="H2870" t="s">
        <v>23</v>
      </c>
      <c r="I2870" t="s">
        <v>24</v>
      </c>
      <c r="J2870" t="s">
        <v>43</v>
      </c>
      <c r="K2870" t="s">
        <v>26</v>
      </c>
      <c r="L2870" t="s">
        <v>27</v>
      </c>
      <c r="M2870">
        <v>9</v>
      </c>
      <c r="N2870" s="2">
        <v>48</v>
      </c>
      <c r="O2870" s="3">
        <v>6486</v>
      </c>
      <c r="P2870">
        <v>0</v>
      </c>
      <c r="Q2870">
        <v>5</v>
      </c>
      <c r="R2870" t="s">
        <v>33</v>
      </c>
      <c r="S2870">
        <v>1</v>
      </c>
    </row>
    <row r="2871" spans="1:19" ht="16.5" x14ac:dyDescent="0.3">
      <c r="A2871" t="s">
        <v>2934</v>
      </c>
      <c r="B2871" s="1">
        <v>45672</v>
      </c>
      <c r="C2871" s="1">
        <v>45680</v>
      </c>
      <c r="D2871">
        <v>2025</v>
      </c>
      <c r="E2871" t="s">
        <v>20</v>
      </c>
      <c r="F2871" t="s">
        <v>21</v>
      </c>
      <c r="G2871" t="s">
        <v>70</v>
      </c>
      <c r="H2871" t="s">
        <v>30</v>
      </c>
      <c r="I2871" t="s">
        <v>40</v>
      </c>
      <c r="J2871" t="s">
        <v>43</v>
      </c>
      <c r="K2871" t="s">
        <v>36</v>
      </c>
      <c r="L2871" t="s">
        <v>44</v>
      </c>
      <c r="M2871">
        <v>8</v>
      </c>
      <c r="N2871" s="2"/>
      <c r="O2871" s="3">
        <v>6588</v>
      </c>
      <c r="P2871">
        <v>0</v>
      </c>
      <c r="Q2871">
        <v>5</v>
      </c>
      <c r="R2871" t="s">
        <v>59</v>
      </c>
      <c r="S2871">
        <v>1</v>
      </c>
    </row>
    <row r="2872" spans="1:19" ht="16.5" x14ac:dyDescent="0.3">
      <c r="A2872" t="s">
        <v>2935</v>
      </c>
      <c r="B2872" s="1">
        <v>45672</v>
      </c>
      <c r="C2872" s="1">
        <v>45676</v>
      </c>
      <c r="D2872">
        <v>2025</v>
      </c>
      <c r="E2872" t="s">
        <v>20</v>
      </c>
      <c r="F2872" t="s">
        <v>21</v>
      </c>
      <c r="G2872" t="s">
        <v>70</v>
      </c>
      <c r="H2872" t="s">
        <v>39</v>
      </c>
      <c r="I2872" t="s">
        <v>24</v>
      </c>
      <c r="J2872" t="s">
        <v>25</v>
      </c>
      <c r="K2872" t="s">
        <v>41</v>
      </c>
      <c r="L2872" t="s">
        <v>44</v>
      </c>
      <c r="M2872">
        <v>4</v>
      </c>
      <c r="N2872" s="2">
        <v>20</v>
      </c>
      <c r="O2872" s="3">
        <v>3085</v>
      </c>
      <c r="P2872">
        <v>0</v>
      </c>
      <c r="Q2872">
        <v>4</v>
      </c>
      <c r="R2872" t="s">
        <v>28</v>
      </c>
      <c r="S2872">
        <v>1</v>
      </c>
    </row>
    <row r="2873" spans="1:19" ht="16.5" x14ac:dyDescent="0.3">
      <c r="A2873" t="s">
        <v>2936</v>
      </c>
      <c r="B2873" s="1">
        <v>45673</v>
      </c>
      <c r="C2873" s="1">
        <v>45674</v>
      </c>
      <c r="D2873">
        <v>2025</v>
      </c>
      <c r="E2873" t="s">
        <v>20</v>
      </c>
      <c r="F2873" t="s">
        <v>21</v>
      </c>
      <c r="G2873" t="s">
        <v>78</v>
      </c>
      <c r="H2873" t="s">
        <v>35</v>
      </c>
      <c r="I2873" t="s">
        <v>24</v>
      </c>
      <c r="J2873" t="s">
        <v>25</v>
      </c>
      <c r="K2873" t="s">
        <v>32</v>
      </c>
      <c r="L2873" t="s">
        <v>37</v>
      </c>
      <c r="M2873">
        <v>1</v>
      </c>
      <c r="N2873" s="2">
        <v>49</v>
      </c>
      <c r="O2873" s="3">
        <v>1494</v>
      </c>
      <c r="P2873">
        <v>0</v>
      </c>
      <c r="Q2873">
        <v>3</v>
      </c>
      <c r="R2873" t="s">
        <v>33</v>
      </c>
      <c r="S2873">
        <v>1</v>
      </c>
    </row>
    <row r="2874" spans="1:19" ht="16.5" x14ac:dyDescent="0.3">
      <c r="A2874" t="s">
        <v>2937</v>
      </c>
      <c r="B2874" s="1">
        <v>45673</v>
      </c>
      <c r="C2874" s="1">
        <v>45676</v>
      </c>
      <c r="D2874">
        <v>2025</v>
      </c>
      <c r="E2874" t="s">
        <v>20</v>
      </c>
      <c r="F2874" t="s">
        <v>21</v>
      </c>
      <c r="G2874" t="s">
        <v>78</v>
      </c>
      <c r="H2874" t="s">
        <v>23</v>
      </c>
      <c r="I2874" t="s">
        <v>24</v>
      </c>
      <c r="J2874" t="s">
        <v>43</v>
      </c>
      <c r="K2874" t="s">
        <v>32</v>
      </c>
      <c r="L2874" t="s">
        <v>44</v>
      </c>
      <c r="M2874">
        <v>3</v>
      </c>
      <c r="N2874" s="2">
        <v>108</v>
      </c>
      <c r="O2874" s="3">
        <v>3233</v>
      </c>
      <c r="P2874">
        <v>0</v>
      </c>
      <c r="Q2874">
        <v>4</v>
      </c>
      <c r="R2874" t="s">
        <v>33</v>
      </c>
      <c r="S2874">
        <v>1</v>
      </c>
    </row>
    <row r="2875" spans="1:19" ht="16.5" x14ac:dyDescent="0.3">
      <c r="A2875" t="s">
        <v>2938</v>
      </c>
      <c r="B2875" s="1">
        <v>45673</v>
      </c>
      <c r="C2875" s="1">
        <v>45676</v>
      </c>
      <c r="D2875">
        <v>2025</v>
      </c>
      <c r="E2875" t="s">
        <v>20</v>
      </c>
      <c r="F2875" t="s">
        <v>21</v>
      </c>
      <c r="G2875" t="s">
        <v>78</v>
      </c>
      <c r="H2875" t="s">
        <v>50</v>
      </c>
      <c r="I2875" t="s">
        <v>24</v>
      </c>
      <c r="J2875" t="s">
        <v>43</v>
      </c>
      <c r="K2875" t="s">
        <v>26</v>
      </c>
      <c r="L2875" t="s">
        <v>44</v>
      </c>
      <c r="M2875">
        <v>3</v>
      </c>
      <c r="N2875" s="2">
        <v>133</v>
      </c>
      <c r="O2875" s="3">
        <v>3637</v>
      </c>
      <c r="P2875">
        <v>0</v>
      </c>
      <c r="Q2875">
        <v>4</v>
      </c>
      <c r="R2875" t="s">
        <v>33</v>
      </c>
      <c r="S2875">
        <v>1</v>
      </c>
    </row>
    <row r="2876" spans="1:19" ht="16.5" x14ac:dyDescent="0.3">
      <c r="A2876" t="s">
        <v>2939</v>
      </c>
      <c r="B2876" s="1">
        <v>45673</v>
      </c>
      <c r="C2876" s="1">
        <v>45674</v>
      </c>
      <c r="D2876">
        <v>2025</v>
      </c>
      <c r="E2876" t="s">
        <v>20</v>
      </c>
      <c r="F2876" t="s">
        <v>21</v>
      </c>
      <c r="G2876" t="s">
        <v>78</v>
      </c>
      <c r="H2876" t="s">
        <v>39</v>
      </c>
      <c r="I2876" t="s">
        <v>24</v>
      </c>
      <c r="J2876" t="s">
        <v>25</v>
      </c>
      <c r="K2876" t="s">
        <v>41</v>
      </c>
      <c r="L2876" t="s">
        <v>44</v>
      </c>
      <c r="M2876">
        <v>1</v>
      </c>
      <c r="N2876" s="2">
        <v>119</v>
      </c>
      <c r="O2876" s="3">
        <v>1353</v>
      </c>
      <c r="P2876">
        <v>0</v>
      </c>
      <c r="Q2876">
        <v>2</v>
      </c>
      <c r="R2876" t="s">
        <v>33</v>
      </c>
      <c r="S2876">
        <v>1</v>
      </c>
    </row>
    <row r="2877" spans="1:19" ht="16.5" x14ac:dyDescent="0.3">
      <c r="A2877" t="s">
        <v>2940</v>
      </c>
      <c r="B2877" s="1">
        <v>45673</v>
      </c>
      <c r="C2877" s="1">
        <v>45675</v>
      </c>
      <c r="D2877">
        <v>2025</v>
      </c>
      <c r="E2877" t="s">
        <v>20</v>
      </c>
      <c r="F2877" t="s">
        <v>21</v>
      </c>
      <c r="G2877" t="s">
        <v>78</v>
      </c>
      <c r="H2877" t="s">
        <v>23</v>
      </c>
      <c r="I2877" t="s">
        <v>24</v>
      </c>
      <c r="J2877" t="s">
        <v>43</v>
      </c>
      <c r="K2877" t="s">
        <v>36</v>
      </c>
      <c r="L2877" t="s">
        <v>27</v>
      </c>
      <c r="M2877">
        <v>2</v>
      </c>
      <c r="N2877" s="2">
        <v>11</v>
      </c>
      <c r="O2877" s="3">
        <v>2640</v>
      </c>
      <c r="P2877">
        <v>0</v>
      </c>
      <c r="Q2877">
        <v>4</v>
      </c>
      <c r="R2877" t="s">
        <v>33</v>
      </c>
      <c r="S2877">
        <v>1</v>
      </c>
    </row>
    <row r="2878" spans="1:19" ht="16.5" x14ac:dyDescent="0.3">
      <c r="A2878" t="s">
        <v>2941</v>
      </c>
      <c r="B2878" s="1">
        <v>45673</v>
      </c>
      <c r="C2878" s="1">
        <v>45684</v>
      </c>
      <c r="D2878">
        <v>2025</v>
      </c>
      <c r="E2878" t="s">
        <v>20</v>
      </c>
      <c r="F2878" t="s">
        <v>21</v>
      </c>
      <c r="G2878" t="s">
        <v>78</v>
      </c>
      <c r="H2878" t="s">
        <v>23</v>
      </c>
      <c r="I2878" t="s">
        <v>24</v>
      </c>
      <c r="J2878" t="s">
        <v>43</v>
      </c>
      <c r="K2878" t="s">
        <v>32</v>
      </c>
      <c r="L2878" t="s">
        <v>27</v>
      </c>
      <c r="M2878">
        <v>11</v>
      </c>
      <c r="N2878" s="2">
        <v>45</v>
      </c>
      <c r="O2878" s="3">
        <v>8369</v>
      </c>
      <c r="P2878">
        <v>0</v>
      </c>
      <c r="Q2878">
        <v>5</v>
      </c>
      <c r="R2878" t="s">
        <v>165</v>
      </c>
      <c r="S2878">
        <v>1</v>
      </c>
    </row>
    <row r="2879" spans="1:19" ht="16.5" x14ac:dyDescent="0.3">
      <c r="A2879" t="s">
        <v>2942</v>
      </c>
      <c r="B2879" s="1">
        <v>45673</v>
      </c>
      <c r="C2879" s="1">
        <v>45676</v>
      </c>
      <c r="D2879">
        <v>2025</v>
      </c>
      <c r="E2879" t="s">
        <v>20</v>
      </c>
      <c r="F2879" t="s">
        <v>21</v>
      </c>
      <c r="G2879" t="s">
        <v>78</v>
      </c>
      <c r="H2879" t="s">
        <v>39</v>
      </c>
      <c r="I2879" t="s">
        <v>24</v>
      </c>
      <c r="J2879" t="s">
        <v>43</v>
      </c>
      <c r="K2879" t="s">
        <v>41</v>
      </c>
      <c r="L2879" t="s">
        <v>37</v>
      </c>
      <c r="M2879">
        <v>3</v>
      </c>
      <c r="N2879" s="2">
        <v>83</v>
      </c>
      <c r="O2879" s="3">
        <v>3137</v>
      </c>
      <c r="P2879">
        <v>0</v>
      </c>
      <c r="Q2879">
        <v>4</v>
      </c>
      <c r="R2879" t="s">
        <v>33</v>
      </c>
      <c r="S2879">
        <v>1</v>
      </c>
    </row>
    <row r="2880" spans="1:19" ht="16.5" x14ac:dyDescent="0.3">
      <c r="A2880" t="s">
        <v>2943</v>
      </c>
      <c r="B2880" s="1">
        <v>45673</v>
      </c>
      <c r="C2880" s="1">
        <v>45677</v>
      </c>
      <c r="D2880">
        <v>2025</v>
      </c>
      <c r="E2880" t="s">
        <v>20</v>
      </c>
      <c r="F2880" t="s">
        <v>21</v>
      </c>
      <c r="G2880" t="s">
        <v>78</v>
      </c>
      <c r="H2880" t="s">
        <v>39</v>
      </c>
      <c r="I2880" t="s">
        <v>24</v>
      </c>
      <c r="J2880" t="s">
        <v>43</v>
      </c>
      <c r="K2880" t="s">
        <v>41</v>
      </c>
      <c r="L2880" t="s">
        <v>27</v>
      </c>
      <c r="M2880">
        <v>4</v>
      </c>
      <c r="N2880" s="2">
        <v>41</v>
      </c>
      <c r="O2880" s="3">
        <v>3220</v>
      </c>
      <c r="P2880">
        <v>0</v>
      </c>
      <c r="Q2880">
        <v>4</v>
      </c>
      <c r="R2880" t="s">
        <v>33</v>
      </c>
      <c r="S2880">
        <v>1</v>
      </c>
    </row>
    <row r="2881" spans="1:19" ht="16.5" x14ac:dyDescent="0.3">
      <c r="A2881" t="s">
        <v>2944</v>
      </c>
      <c r="B2881" s="1">
        <v>45673</v>
      </c>
      <c r="C2881" s="1">
        <v>45677</v>
      </c>
      <c r="D2881">
        <v>2025</v>
      </c>
      <c r="E2881" t="s">
        <v>20</v>
      </c>
      <c r="F2881" t="s">
        <v>21</v>
      </c>
      <c r="G2881" t="s">
        <v>78</v>
      </c>
      <c r="H2881" t="s">
        <v>23</v>
      </c>
      <c r="I2881" t="s">
        <v>40</v>
      </c>
      <c r="J2881" t="s">
        <v>25</v>
      </c>
      <c r="K2881" t="s">
        <v>53</v>
      </c>
      <c r="L2881" t="s">
        <v>37</v>
      </c>
      <c r="M2881">
        <v>4</v>
      </c>
      <c r="N2881" s="2"/>
      <c r="O2881" s="3">
        <v>4188</v>
      </c>
      <c r="P2881">
        <v>1</v>
      </c>
      <c r="Q2881">
        <v>4</v>
      </c>
      <c r="R2881" t="s">
        <v>33</v>
      </c>
      <c r="S2881">
        <v>1</v>
      </c>
    </row>
    <row r="2882" spans="1:19" ht="16.5" x14ac:dyDescent="0.3">
      <c r="A2882" t="s">
        <v>2945</v>
      </c>
      <c r="B2882" s="1">
        <v>45673</v>
      </c>
      <c r="C2882" s="1">
        <v>45679</v>
      </c>
      <c r="D2882">
        <v>2025</v>
      </c>
      <c r="E2882" t="s">
        <v>20</v>
      </c>
      <c r="F2882" t="s">
        <v>21</v>
      </c>
      <c r="G2882" t="s">
        <v>78</v>
      </c>
      <c r="H2882" t="s">
        <v>30</v>
      </c>
      <c r="I2882" t="s">
        <v>40</v>
      </c>
      <c r="J2882" t="s">
        <v>43</v>
      </c>
      <c r="K2882" t="s">
        <v>53</v>
      </c>
      <c r="L2882" t="s">
        <v>27</v>
      </c>
      <c r="M2882">
        <v>6</v>
      </c>
      <c r="N2882" s="2"/>
      <c r="O2882" s="3">
        <v>6007</v>
      </c>
      <c r="P2882">
        <v>0</v>
      </c>
      <c r="Q2882">
        <v>5</v>
      </c>
      <c r="R2882" t="s">
        <v>59</v>
      </c>
      <c r="S2882">
        <v>1</v>
      </c>
    </row>
    <row r="2883" spans="1:19" ht="16.5" x14ac:dyDescent="0.3">
      <c r="A2883" t="s">
        <v>2946</v>
      </c>
      <c r="B2883" s="1">
        <v>45673</v>
      </c>
      <c r="C2883" s="1">
        <v>45685</v>
      </c>
      <c r="D2883">
        <v>2025</v>
      </c>
      <c r="E2883" t="s">
        <v>20</v>
      </c>
      <c r="F2883" t="s">
        <v>21</v>
      </c>
      <c r="G2883" t="s">
        <v>78</v>
      </c>
      <c r="H2883" t="s">
        <v>23</v>
      </c>
      <c r="I2883" t="s">
        <v>24</v>
      </c>
      <c r="J2883" t="s">
        <v>25</v>
      </c>
      <c r="K2883" t="s">
        <v>53</v>
      </c>
      <c r="L2883" t="s">
        <v>44</v>
      </c>
      <c r="M2883">
        <v>12</v>
      </c>
      <c r="N2883" s="2">
        <v>51</v>
      </c>
      <c r="O2883" s="3">
        <v>6395</v>
      </c>
      <c r="P2883">
        <v>0</v>
      </c>
      <c r="Q2883">
        <v>5</v>
      </c>
      <c r="R2883" t="s">
        <v>33</v>
      </c>
      <c r="S2883">
        <v>1</v>
      </c>
    </row>
    <row r="2884" spans="1:19" ht="16.5" x14ac:dyDescent="0.3">
      <c r="A2884" t="s">
        <v>2947</v>
      </c>
      <c r="B2884" s="1">
        <v>45673</v>
      </c>
      <c r="C2884" s="1">
        <v>45677</v>
      </c>
      <c r="D2884">
        <v>2025</v>
      </c>
      <c r="E2884" t="s">
        <v>20</v>
      </c>
      <c r="F2884" t="s">
        <v>21</v>
      </c>
      <c r="G2884" t="s">
        <v>78</v>
      </c>
      <c r="H2884" t="s">
        <v>23</v>
      </c>
      <c r="I2884" t="s">
        <v>24</v>
      </c>
      <c r="J2884" t="s">
        <v>25</v>
      </c>
      <c r="K2884" t="s">
        <v>53</v>
      </c>
      <c r="L2884" t="s">
        <v>44</v>
      </c>
      <c r="M2884">
        <v>4</v>
      </c>
      <c r="N2884" s="2">
        <v>92</v>
      </c>
      <c r="O2884" s="3">
        <v>4097</v>
      </c>
      <c r="P2884">
        <v>0</v>
      </c>
      <c r="Q2884">
        <v>3</v>
      </c>
      <c r="R2884" t="s">
        <v>33</v>
      </c>
      <c r="S2884">
        <v>1</v>
      </c>
    </row>
    <row r="2885" spans="1:19" ht="16.5" x14ac:dyDescent="0.3">
      <c r="A2885" t="s">
        <v>2948</v>
      </c>
      <c r="B2885" s="1">
        <v>45673</v>
      </c>
      <c r="C2885" s="1">
        <v>45678</v>
      </c>
      <c r="D2885">
        <v>2025</v>
      </c>
      <c r="E2885" t="s">
        <v>20</v>
      </c>
      <c r="F2885" t="s">
        <v>21</v>
      </c>
      <c r="G2885" t="s">
        <v>78</v>
      </c>
      <c r="H2885" t="s">
        <v>23</v>
      </c>
      <c r="I2885" t="s">
        <v>40</v>
      </c>
      <c r="J2885" t="s">
        <v>43</v>
      </c>
      <c r="K2885" t="s">
        <v>26</v>
      </c>
      <c r="L2885" t="s">
        <v>44</v>
      </c>
      <c r="M2885">
        <v>5</v>
      </c>
      <c r="N2885" s="2"/>
      <c r="O2885" s="3">
        <v>3925</v>
      </c>
      <c r="P2885">
        <v>0</v>
      </c>
      <c r="Q2885">
        <v>5</v>
      </c>
      <c r="R2885" t="s">
        <v>33</v>
      </c>
      <c r="S2885">
        <v>1</v>
      </c>
    </row>
    <row r="2886" spans="1:19" ht="16.5" x14ac:dyDescent="0.3">
      <c r="A2886" t="s">
        <v>2949</v>
      </c>
      <c r="B2886" s="1">
        <v>45673</v>
      </c>
      <c r="C2886" s="1">
        <v>45684</v>
      </c>
      <c r="D2886">
        <v>2025</v>
      </c>
      <c r="E2886" t="s">
        <v>20</v>
      </c>
      <c r="F2886" t="s">
        <v>21</v>
      </c>
      <c r="G2886" t="s">
        <v>78</v>
      </c>
      <c r="H2886" t="s">
        <v>23</v>
      </c>
      <c r="I2886" t="s">
        <v>24</v>
      </c>
      <c r="J2886" t="s">
        <v>43</v>
      </c>
      <c r="K2886" t="s">
        <v>53</v>
      </c>
      <c r="L2886" t="s">
        <v>44</v>
      </c>
      <c r="M2886">
        <v>11</v>
      </c>
      <c r="N2886" s="2">
        <v>67</v>
      </c>
      <c r="O2886" s="3">
        <v>7452</v>
      </c>
      <c r="P2886">
        <v>0</v>
      </c>
      <c r="Q2886">
        <v>4</v>
      </c>
      <c r="R2886" t="s">
        <v>33</v>
      </c>
      <c r="S2886">
        <v>1</v>
      </c>
    </row>
    <row r="2887" spans="1:19" ht="16.5" x14ac:dyDescent="0.3">
      <c r="A2887" t="s">
        <v>2950</v>
      </c>
      <c r="B2887" s="1">
        <v>45674</v>
      </c>
      <c r="C2887" s="1">
        <v>45676</v>
      </c>
      <c r="D2887">
        <v>2025</v>
      </c>
      <c r="E2887" t="s">
        <v>20</v>
      </c>
      <c r="F2887" t="s">
        <v>21</v>
      </c>
      <c r="G2887" t="s">
        <v>83</v>
      </c>
      <c r="H2887" t="s">
        <v>30</v>
      </c>
      <c r="I2887" t="s">
        <v>24</v>
      </c>
      <c r="J2887" t="s">
        <v>43</v>
      </c>
      <c r="K2887" t="s">
        <v>32</v>
      </c>
      <c r="L2887" t="s">
        <v>27</v>
      </c>
      <c r="M2887">
        <v>2</v>
      </c>
      <c r="N2887" s="2">
        <v>65</v>
      </c>
      <c r="O2887" s="3">
        <v>2568</v>
      </c>
      <c r="P2887">
        <v>0</v>
      </c>
      <c r="Q2887">
        <v>5</v>
      </c>
      <c r="R2887" t="s">
        <v>33</v>
      </c>
      <c r="S2887">
        <v>1</v>
      </c>
    </row>
    <row r="2888" spans="1:19" ht="16.5" x14ac:dyDescent="0.3">
      <c r="A2888" t="s">
        <v>2951</v>
      </c>
      <c r="B2888" s="1">
        <v>45674</v>
      </c>
      <c r="C2888" s="1">
        <v>45678</v>
      </c>
      <c r="D2888">
        <v>2025</v>
      </c>
      <c r="E2888" t="s">
        <v>20</v>
      </c>
      <c r="F2888" t="s">
        <v>21</v>
      </c>
      <c r="G2888" t="s">
        <v>83</v>
      </c>
      <c r="H2888" t="s">
        <v>23</v>
      </c>
      <c r="I2888" t="s">
        <v>24</v>
      </c>
      <c r="J2888" t="s">
        <v>43</v>
      </c>
      <c r="K2888" t="s">
        <v>36</v>
      </c>
      <c r="L2888" t="s">
        <v>44</v>
      </c>
      <c r="M2888">
        <v>4</v>
      </c>
      <c r="N2888" s="2">
        <v>93</v>
      </c>
      <c r="O2888" s="3">
        <v>4029</v>
      </c>
      <c r="P2888">
        <v>0</v>
      </c>
      <c r="Q2888">
        <v>3</v>
      </c>
      <c r="R2888" t="s">
        <v>33</v>
      </c>
      <c r="S2888">
        <v>1</v>
      </c>
    </row>
    <row r="2889" spans="1:19" ht="16.5" x14ac:dyDescent="0.3">
      <c r="A2889" t="s">
        <v>2952</v>
      </c>
      <c r="B2889" s="1">
        <v>45674</v>
      </c>
      <c r="C2889" s="1">
        <v>45678</v>
      </c>
      <c r="D2889">
        <v>2025</v>
      </c>
      <c r="E2889" t="s">
        <v>20</v>
      </c>
      <c r="F2889" t="s">
        <v>21</v>
      </c>
      <c r="G2889" t="s">
        <v>83</v>
      </c>
      <c r="H2889" t="s">
        <v>39</v>
      </c>
      <c r="I2889" t="s">
        <v>40</v>
      </c>
      <c r="J2889" t="s">
        <v>25</v>
      </c>
      <c r="K2889" t="s">
        <v>41</v>
      </c>
      <c r="L2889" t="s">
        <v>27</v>
      </c>
      <c r="M2889">
        <v>4</v>
      </c>
      <c r="N2889" s="2"/>
      <c r="O2889" s="3">
        <v>2277</v>
      </c>
      <c r="P2889">
        <v>0</v>
      </c>
      <c r="Q2889">
        <v>3</v>
      </c>
      <c r="R2889" t="s">
        <v>33</v>
      </c>
      <c r="S2889">
        <v>1</v>
      </c>
    </row>
    <row r="2890" spans="1:19" ht="16.5" x14ac:dyDescent="0.3">
      <c r="A2890" t="s">
        <v>2953</v>
      </c>
      <c r="B2890" s="1">
        <v>45674</v>
      </c>
      <c r="C2890" s="1">
        <v>45675</v>
      </c>
      <c r="D2890">
        <v>2025</v>
      </c>
      <c r="E2890" t="s">
        <v>20</v>
      </c>
      <c r="F2890" t="s">
        <v>21</v>
      </c>
      <c r="G2890" t="s">
        <v>83</v>
      </c>
      <c r="H2890" t="s">
        <v>35</v>
      </c>
      <c r="I2890" t="s">
        <v>24</v>
      </c>
      <c r="J2890" t="s">
        <v>25</v>
      </c>
      <c r="K2890" t="s">
        <v>32</v>
      </c>
      <c r="L2890" t="s">
        <v>44</v>
      </c>
      <c r="M2890">
        <v>1</v>
      </c>
      <c r="N2890" s="2">
        <v>56</v>
      </c>
      <c r="O2890" s="3">
        <v>1208</v>
      </c>
      <c r="P2890">
        <v>0</v>
      </c>
      <c r="Q2890">
        <v>5</v>
      </c>
      <c r="R2890" t="s">
        <v>33</v>
      </c>
      <c r="S2890">
        <v>1</v>
      </c>
    </row>
    <row r="2891" spans="1:19" ht="16.5" x14ac:dyDescent="0.3">
      <c r="A2891" t="s">
        <v>2954</v>
      </c>
      <c r="B2891" s="1">
        <v>45674</v>
      </c>
      <c r="C2891" s="1">
        <v>45675</v>
      </c>
      <c r="D2891">
        <v>2025</v>
      </c>
      <c r="E2891" t="s">
        <v>20</v>
      </c>
      <c r="F2891" t="s">
        <v>21</v>
      </c>
      <c r="G2891" t="s">
        <v>83</v>
      </c>
      <c r="H2891" t="s">
        <v>39</v>
      </c>
      <c r="I2891" t="s">
        <v>24</v>
      </c>
      <c r="J2891" t="s">
        <v>25</v>
      </c>
      <c r="K2891" t="s">
        <v>41</v>
      </c>
      <c r="L2891" t="s">
        <v>27</v>
      </c>
      <c r="M2891">
        <v>1</v>
      </c>
      <c r="N2891" s="2">
        <v>129</v>
      </c>
      <c r="O2891" s="3">
        <v>1409</v>
      </c>
      <c r="P2891">
        <v>0</v>
      </c>
      <c r="Q2891">
        <v>3</v>
      </c>
      <c r="R2891" t="s">
        <v>28</v>
      </c>
      <c r="S2891">
        <v>1</v>
      </c>
    </row>
    <row r="2892" spans="1:19" ht="16.5" x14ac:dyDescent="0.3">
      <c r="A2892" t="s">
        <v>2955</v>
      </c>
      <c r="B2892" s="1">
        <v>45674</v>
      </c>
      <c r="C2892" s="1">
        <v>45678</v>
      </c>
      <c r="D2892">
        <v>2025</v>
      </c>
      <c r="E2892" t="s">
        <v>20</v>
      </c>
      <c r="F2892" t="s">
        <v>21</v>
      </c>
      <c r="G2892" t="s">
        <v>83</v>
      </c>
      <c r="H2892" t="s">
        <v>30</v>
      </c>
      <c r="I2892" t="s">
        <v>31</v>
      </c>
      <c r="J2892" t="s">
        <v>43</v>
      </c>
      <c r="K2892" t="s">
        <v>26</v>
      </c>
      <c r="L2892" t="s">
        <v>44</v>
      </c>
      <c r="M2892">
        <v>4</v>
      </c>
      <c r="N2892" s="2"/>
      <c r="O2892" s="3">
        <v>4877</v>
      </c>
      <c r="P2892">
        <v>0</v>
      </c>
      <c r="Q2892">
        <v>5</v>
      </c>
      <c r="R2892" t="s">
        <v>33</v>
      </c>
      <c r="S2892">
        <v>1</v>
      </c>
    </row>
    <row r="2893" spans="1:19" ht="16.5" x14ac:dyDescent="0.3">
      <c r="A2893" t="s">
        <v>2956</v>
      </c>
      <c r="B2893" s="1">
        <v>45675</v>
      </c>
      <c r="C2893" s="1">
        <v>45683</v>
      </c>
      <c r="D2893">
        <v>2025</v>
      </c>
      <c r="E2893" t="s">
        <v>20</v>
      </c>
      <c r="F2893" t="s">
        <v>21</v>
      </c>
      <c r="G2893" t="s">
        <v>102</v>
      </c>
      <c r="H2893" t="s">
        <v>30</v>
      </c>
      <c r="I2893" t="s">
        <v>40</v>
      </c>
      <c r="J2893" t="s">
        <v>25</v>
      </c>
      <c r="K2893" t="s">
        <v>53</v>
      </c>
      <c r="L2893" t="s">
        <v>44</v>
      </c>
      <c r="M2893">
        <v>8</v>
      </c>
      <c r="N2893" s="2"/>
      <c r="O2893" s="3">
        <v>8515</v>
      </c>
      <c r="P2893">
        <v>0</v>
      </c>
      <c r="Q2893">
        <v>5</v>
      </c>
      <c r="R2893" t="s">
        <v>33</v>
      </c>
      <c r="S2893">
        <v>1</v>
      </c>
    </row>
    <row r="2894" spans="1:19" ht="16.5" x14ac:dyDescent="0.3">
      <c r="A2894" t="s">
        <v>2957</v>
      </c>
      <c r="B2894" s="1">
        <v>45675</v>
      </c>
      <c r="C2894" s="1">
        <v>45688</v>
      </c>
      <c r="D2894">
        <v>2025</v>
      </c>
      <c r="E2894" t="s">
        <v>20</v>
      </c>
      <c r="F2894" t="s">
        <v>21</v>
      </c>
      <c r="G2894" t="s">
        <v>102</v>
      </c>
      <c r="H2894" t="s">
        <v>23</v>
      </c>
      <c r="I2894" t="s">
        <v>24</v>
      </c>
      <c r="J2894" t="s">
        <v>25</v>
      </c>
      <c r="K2894" t="s">
        <v>26</v>
      </c>
      <c r="L2894" t="s">
        <v>37</v>
      </c>
      <c r="M2894">
        <v>13</v>
      </c>
      <c r="N2894" s="2">
        <v>48</v>
      </c>
      <c r="O2894" s="3">
        <v>10999</v>
      </c>
      <c r="P2894">
        <v>0</v>
      </c>
      <c r="Q2894">
        <v>5</v>
      </c>
      <c r="R2894" t="s">
        <v>33</v>
      </c>
      <c r="S2894">
        <v>1</v>
      </c>
    </row>
    <row r="2895" spans="1:19" ht="16.5" x14ac:dyDescent="0.3">
      <c r="A2895" t="s">
        <v>2958</v>
      </c>
      <c r="B2895" s="1">
        <v>45675</v>
      </c>
      <c r="C2895" s="1">
        <v>45678</v>
      </c>
      <c r="D2895">
        <v>2025</v>
      </c>
      <c r="E2895" t="s">
        <v>20</v>
      </c>
      <c r="F2895" t="s">
        <v>21</v>
      </c>
      <c r="G2895" t="s">
        <v>102</v>
      </c>
      <c r="H2895" t="s">
        <v>50</v>
      </c>
      <c r="I2895" t="s">
        <v>24</v>
      </c>
      <c r="J2895" t="s">
        <v>25</v>
      </c>
      <c r="K2895" t="s">
        <v>53</v>
      </c>
      <c r="L2895" t="s">
        <v>27</v>
      </c>
      <c r="M2895">
        <v>3</v>
      </c>
      <c r="N2895" s="2">
        <v>142</v>
      </c>
      <c r="O2895" s="3">
        <v>4330</v>
      </c>
      <c r="P2895">
        <v>0</v>
      </c>
      <c r="Q2895">
        <v>3</v>
      </c>
      <c r="R2895" t="s">
        <v>33</v>
      </c>
      <c r="S2895">
        <v>1</v>
      </c>
    </row>
    <row r="2896" spans="1:19" ht="16.5" x14ac:dyDescent="0.3">
      <c r="A2896" t="s">
        <v>2959</v>
      </c>
      <c r="B2896" s="1">
        <v>45675</v>
      </c>
      <c r="C2896" s="1">
        <v>45678</v>
      </c>
      <c r="D2896">
        <v>2025</v>
      </c>
      <c r="E2896" t="s">
        <v>20</v>
      </c>
      <c r="F2896" t="s">
        <v>21</v>
      </c>
      <c r="G2896" t="s">
        <v>102</v>
      </c>
      <c r="H2896" t="s">
        <v>52</v>
      </c>
      <c r="I2896" t="s">
        <v>24</v>
      </c>
      <c r="J2896" t="s">
        <v>43</v>
      </c>
      <c r="K2896" t="s">
        <v>32</v>
      </c>
      <c r="L2896" t="s">
        <v>27</v>
      </c>
      <c r="M2896">
        <v>3</v>
      </c>
      <c r="N2896" s="2">
        <v>98</v>
      </c>
      <c r="O2896" s="3">
        <v>3958</v>
      </c>
      <c r="P2896">
        <v>0</v>
      </c>
      <c r="Q2896">
        <v>4</v>
      </c>
      <c r="R2896" t="s">
        <v>28</v>
      </c>
      <c r="S2896">
        <v>1</v>
      </c>
    </row>
    <row r="2897" spans="1:19" ht="16.5" x14ac:dyDescent="0.3">
      <c r="A2897" t="s">
        <v>2960</v>
      </c>
      <c r="B2897" s="1">
        <v>45675</v>
      </c>
      <c r="C2897" s="1">
        <v>45679</v>
      </c>
      <c r="D2897">
        <v>2025</v>
      </c>
      <c r="E2897" t="s">
        <v>20</v>
      </c>
      <c r="F2897" t="s">
        <v>21</v>
      </c>
      <c r="G2897" t="s">
        <v>102</v>
      </c>
      <c r="H2897" t="s">
        <v>39</v>
      </c>
      <c r="I2897" t="s">
        <v>24</v>
      </c>
      <c r="J2897" t="s">
        <v>43</v>
      </c>
      <c r="K2897" t="s">
        <v>41</v>
      </c>
      <c r="L2897" t="s">
        <v>44</v>
      </c>
      <c r="M2897">
        <v>4</v>
      </c>
      <c r="N2897" s="2">
        <v>34</v>
      </c>
      <c r="O2897" s="3">
        <v>2439</v>
      </c>
      <c r="P2897">
        <v>0</v>
      </c>
      <c r="Q2897">
        <v>5</v>
      </c>
      <c r="R2897" t="s">
        <v>28</v>
      </c>
      <c r="S2897">
        <v>1</v>
      </c>
    </row>
    <row r="2898" spans="1:19" ht="16.5" x14ac:dyDescent="0.3">
      <c r="A2898" t="s">
        <v>2961</v>
      </c>
      <c r="B2898" s="1">
        <v>45675</v>
      </c>
      <c r="C2898" s="1">
        <v>45676</v>
      </c>
      <c r="D2898">
        <v>2025</v>
      </c>
      <c r="E2898" t="s">
        <v>20</v>
      </c>
      <c r="F2898" t="s">
        <v>21</v>
      </c>
      <c r="G2898" t="s">
        <v>102</v>
      </c>
      <c r="H2898" t="s">
        <v>23</v>
      </c>
      <c r="I2898" t="s">
        <v>24</v>
      </c>
      <c r="J2898" t="s">
        <v>43</v>
      </c>
      <c r="K2898" t="s">
        <v>53</v>
      </c>
      <c r="L2898" t="s">
        <v>37</v>
      </c>
      <c r="M2898">
        <v>1</v>
      </c>
      <c r="N2898" s="2">
        <v>51</v>
      </c>
      <c r="O2898" s="3">
        <v>1721</v>
      </c>
      <c r="P2898">
        <v>0</v>
      </c>
      <c r="Q2898">
        <v>4</v>
      </c>
      <c r="R2898" t="s">
        <v>33</v>
      </c>
      <c r="S2898">
        <v>1</v>
      </c>
    </row>
    <row r="2899" spans="1:19" ht="16.5" x14ac:dyDescent="0.3">
      <c r="A2899" t="s">
        <v>2962</v>
      </c>
      <c r="B2899" s="1">
        <v>45675</v>
      </c>
      <c r="C2899" s="1">
        <v>45678</v>
      </c>
      <c r="D2899">
        <v>2025</v>
      </c>
      <c r="E2899" t="s">
        <v>20</v>
      </c>
      <c r="F2899" t="s">
        <v>21</v>
      </c>
      <c r="G2899" t="s">
        <v>102</v>
      </c>
      <c r="H2899" t="s">
        <v>30</v>
      </c>
      <c r="I2899" t="s">
        <v>40</v>
      </c>
      <c r="J2899" t="s">
        <v>25</v>
      </c>
      <c r="K2899" t="s">
        <v>36</v>
      </c>
      <c r="L2899" t="s">
        <v>44</v>
      </c>
      <c r="M2899">
        <v>3</v>
      </c>
      <c r="N2899" s="2"/>
      <c r="O2899" s="3">
        <v>3653</v>
      </c>
      <c r="P2899">
        <v>0</v>
      </c>
      <c r="Q2899">
        <v>4</v>
      </c>
      <c r="R2899" t="s">
        <v>33</v>
      </c>
      <c r="S2899">
        <v>1</v>
      </c>
    </row>
    <row r="2900" spans="1:19" ht="16.5" x14ac:dyDescent="0.3">
      <c r="A2900" t="s">
        <v>2963</v>
      </c>
      <c r="B2900" s="1">
        <v>45675</v>
      </c>
      <c r="C2900" s="1">
        <v>45681</v>
      </c>
      <c r="D2900">
        <v>2025</v>
      </c>
      <c r="E2900" t="s">
        <v>20</v>
      </c>
      <c r="F2900" t="s">
        <v>21</v>
      </c>
      <c r="G2900" t="s">
        <v>102</v>
      </c>
      <c r="H2900" t="s">
        <v>23</v>
      </c>
      <c r="I2900" t="s">
        <v>31</v>
      </c>
      <c r="J2900" t="s">
        <v>25</v>
      </c>
      <c r="K2900" t="s">
        <v>26</v>
      </c>
      <c r="L2900" t="s">
        <v>27</v>
      </c>
      <c r="M2900">
        <v>6</v>
      </c>
      <c r="N2900" s="2"/>
      <c r="O2900" s="3">
        <v>4320</v>
      </c>
      <c r="P2900">
        <v>1</v>
      </c>
      <c r="Q2900">
        <v>4</v>
      </c>
      <c r="R2900" t="s">
        <v>28</v>
      </c>
      <c r="S2900">
        <v>1</v>
      </c>
    </row>
    <row r="2901" spans="1:19" ht="16.5" x14ac:dyDescent="0.3">
      <c r="A2901" t="s">
        <v>2964</v>
      </c>
      <c r="B2901" s="1">
        <v>45675</v>
      </c>
      <c r="C2901" s="1">
        <v>45676</v>
      </c>
      <c r="D2901">
        <v>2025</v>
      </c>
      <c r="E2901" t="s">
        <v>20</v>
      </c>
      <c r="F2901" t="s">
        <v>21</v>
      </c>
      <c r="G2901" t="s">
        <v>102</v>
      </c>
      <c r="H2901" t="s">
        <v>30</v>
      </c>
      <c r="I2901" t="s">
        <v>24</v>
      </c>
      <c r="J2901" t="s">
        <v>25</v>
      </c>
      <c r="K2901" t="s">
        <v>32</v>
      </c>
      <c r="L2901" t="s">
        <v>27</v>
      </c>
      <c r="M2901">
        <v>1</v>
      </c>
      <c r="N2901" s="2">
        <v>49</v>
      </c>
      <c r="O2901" s="3">
        <v>2008</v>
      </c>
      <c r="P2901">
        <v>0</v>
      </c>
      <c r="Q2901">
        <v>4</v>
      </c>
      <c r="R2901" t="s">
        <v>33</v>
      </c>
      <c r="S2901">
        <v>1</v>
      </c>
    </row>
    <row r="2902" spans="1:19" ht="16.5" x14ac:dyDescent="0.3">
      <c r="A2902" t="s">
        <v>2965</v>
      </c>
      <c r="B2902" s="1">
        <v>45675</v>
      </c>
      <c r="C2902" s="1">
        <v>45678</v>
      </c>
      <c r="D2902">
        <v>2025</v>
      </c>
      <c r="E2902" t="s">
        <v>20</v>
      </c>
      <c r="F2902" t="s">
        <v>21</v>
      </c>
      <c r="G2902" t="s">
        <v>102</v>
      </c>
      <c r="H2902" t="s">
        <v>50</v>
      </c>
      <c r="I2902" t="s">
        <v>24</v>
      </c>
      <c r="J2902" t="s">
        <v>43</v>
      </c>
      <c r="K2902" t="s">
        <v>26</v>
      </c>
      <c r="L2902" t="s">
        <v>44</v>
      </c>
      <c r="M2902">
        <v>3</v>
      </c>
      <c r="N2902" s="2">
        <v>41</v>
      </c>
      <c r="O2902" s="3">
        <v>3272</v>
      </c>
      <c r="P2902">
        <v>0</v>
      </c>
      <c r="Q2902">
        <v>5</v>
      </c>
      <c r="R2902" t="s">
        <v>33</v>
      </c>
      <c r="S2902">
        <v>1</v>
      </c>
    </row>
    <row r="2903" spans="1:19" ht="16.5" x14ac:dyDescent="0.3">
      <c r="A2903" t="s">
        <v>2966</v>
      </c>
      <c r="B2903" s="1">
        <v>45675</v>
      </c>
      <c r="C2903" s="1">
        <v>45679</v>
      </c>
      <c r="D2903">
        <v>2025</v>
      </c>
      <c r="E2903" t="s">
        <v>20</v>
      </c>
      <c r="F2903" t="s">
        <v>21</v>
      </c>
      <c r="G2903" t="s">
        <v>102</v>
      </c>
      <c r="H2903" t="s">
        <v>30</v>
      </c>
      <c r="I2903" t="s">
        <v>40</v>
      </c>
      <c r="J2903" t="s">
        <v>25</v>
      </c>
      <c r="K2903" t="s">
        <v>26</v>
      </c>
      <c r="L2903" t="s">
        <v>27</v>
      </c>
      <c r="M2903">
        <v>4</v>
      </c>
      <c r="N2903" s="2"/>
      <c r="O2903" s="3">
        <v>4791</v>
      </c>
      <c r="P2903">
        <v>0</v>
      </c>
      <c r="Q2903">
        <v>5</v>
      </c>
      <c r="R2903" t="s">
        <v>33</v>
      </c>
      <c r="S2903">
        <v>1</v>
      </c>
    </row>
    <row r="2904" spans="1:19" ht="16.5" x14ac:dyDescent="0.3">
      <c r="A2904" t="s">
        <v>2967</v>
      </c>
      <c r="B2904" s="1">
        <v>45675</v>
      </c>
      <c r="C2904" s="1">
        <v>45678</v>
      </c>
      <c r="D2904">
        <v>2025</v>
      </c>
      <c r="E2904" t="s">
        <v>20</v>
      </c>
      <c r="F2904" t="s">
        <v>21</v>
      </c>
      <c r="G2904" t="s">
        <v>102</v>
      </c>
      <c r="H2904" t="s">
        <v>50</v>
      </c>
      <c r="I2904" t="s">
        <v>40</v>
      </c>
      <c r="J2904" t="s">
        <v>25</v>
      </c>
      <c r="K2904" t="s">
        <v>26</v>
      </c>
      <c r="L2904" t="s">
        <v>44</v>
      </c>
      <c r="M2904">
        <v>3</v>
      </c>
      <c r="N2904" s="2"/>
      <c r="O2904" s="3">
        <v>4307</v>
      </c>
      <c r="P2904">
        <v>0</v>
      </c>
      <c r="Q2904">
        <v>4</v>
      </c>
      <c r="R2904" t="s">
        <v>33</v>
      </c>
      <c r="S2904">
        <v>1</v>
      </c>
    </row>
    <row r="2905" spans="1:19" ht="16.5" x14ac:dyDescent="0.3">
      <c r="A2905" t="s">
        <v>2968</v>
      </c>
      <c r="B2905" s="1">
        <v>45676</v>
      </c>
      <c r="C2905" s="1">
        <v>45677</v>
      </c>
      <c r="D2905">
        <v>2025</v>
      </c>
      <c r="E2905" t="s">
        <v>20</v>
      </c>
      <c r="F2905" t="s">
        <v>21</v>
      </c>
      <c r="G2905" t="s">
        <v>112</v>
      </c>
      <c r="H2905" t="s">
        <v>35</v>
      </c>
      <c r="I2905" t="s">
        <v>24</v>
      </c>
      <c r="J2905" t="s">
        <v>25</v>
      </c>
      <c r="K2905" t="s">
        <v>36</v>
      </c>
      <c r="L2905" t="s">
        <v>37</v>
      </c>
      <c r="M2905">
        <v>1</v>
      </c>
      <c r="N2905" s="2">
        <v>24</v>
      </c>
      <c r="O2905" s="3">
        <v>1636</v>
      </c>
      <c r="P2905">
        <v>0</v>
      </c>
      <c r="Q2905">
        <v>4</v>
      </c>
      <c r="R2905" t="s">
        <v>59</v>
      </c>
      <c r="S2905">
        <v>1</v>
      </c>
    </row>
    <row r="2906" spans="1:19" ht="16.5" x14ac:dyDescent="0.3">
      <c r="A2906" t="s">
        <v>2969</v>
      </c>
      <c r="B2906" s="1">
        <v>45676</v>
      </c>
      <c r="C2906" s="1">
        <v>45677</v>
      </c>
      <c r="D2906">
        <v>2025</v>
      </c>
      <c r="E2906" t="s">
        <v>20</v>
      </c>
      <c r="F2906" t="s">
        <v>21</v>
      </c>
      <c r="G2906" t="s">
        <v>112</v>
      </c>
      <c r="H2906" t="s">
        <v>39</v>
      </c>
      <c r="I2906" t="s">
        <v>24</v>
      </c>
      <c r="J2906" t="s">
        <v>43</v>
      </c>
      <c r="K2906" t="s">
        <v>41</v>
      </c>
      <c r="L2906" t="s">
        <v>44</v>
      </c>
      <c r="M2906">
        <v>1</v>
      </c>
      <c r="N2906" s="2">
        <v>104</v>
      </c>
      <c r="O2906" s="3">
        <v>1812</v>
      </c>
      <c r="P2906">
        <v>0</v>
      </c>
      <c r="Q2906">
        <v>4</v>
      </c>
      <c r="R2906" t="s">
        <v>33</v>
      </c>
      <c r="S2906">
        <v>1</v>
      </c>
    </row>
    <row r="2907" spans="1:19" ht="16.5" x14ac:dyDescent="0.3">
      <c r="A2907" t="s">
        <v>2970</v>
      </c>
      <c r="B2907" s="1">
        <v>45676</v>
      </c>
      <c r="C2907" s="1">
        <v>45678</v>
      </c>
      <c r="D2907">
        <v>2025</v>
      </c>
      <c r="E2907" t="s">
        <v>20</v>
      </c>
      <c r="F2907" t="s">
        <v>21</v>
      </c>
      <c r="G2907" t="s">
        <v>112</v>
      </c>
      <c r="H2907" t="s">
        <v>35</v>
      </c>
      <c r="I2907" t="s">
        <v>24</v>
      </c>
      <c r="J2907" t="s">
        <v>25</v>
      </c>
      <c r="K2907" t="s">
        <v>36</v>
      </c>
      <c r="L2907" t="s">
        <v>44</v>
      </c>
      <c r="M2907">
        <v>2</v>
      </c>
      <c r="N2907" s="2">
        <v>72</v>
      </c>
      <c r="O2907" s="3">
        <v>2320</v>
      </c>
      <c r="P2907">
        <v>0</v>
      </c>
      <c r="Q2907">
        <v>4</v>
      </c>
      <c r="R2907" t="s">
        <v>28</v>
      </c>
      <c r="S2907">
        <v>1</v>
      </c>
    </row>
    <row r="2908" spans="1:19" ht="16.5" x14ac:dyDescent="0.3">
      <c r="A2908" t="s">
        <v>2971</v>
      </c>
      <c r="B2908" s="1">
        <v>45676</v>
      </c>
      <c r="C2908" s="1">
        <v>45686</v>
      </c>
      <c r="D2908">
        <v>2025</v>
      </c>
      <c r="E2908" t="s">
        <v>20</v>
      </c>
      <c r="F2908" t="s">
        <v>21</v>
      </c>
      <c r="G2908" t="s">
        <v>112</v>
      </c>
      <c r="H2908" t="s">
        <v>23</v>
      </c>
      <c r="I2908" t="s">
        <v>24</v>
      </c>
      <c r="J2908" t="s">
        <v>43</v>
      </c>
      <c r="K2908" t="s">
        <v>53</v>
      </c>
      <c r="L2908" t="s">
        <v>44</v>
      </c>
      <c r="M2908">
        <v>10</v>
      </c>
      <c r="N2908" s="2">
        <v>51</v>
      </c>
      <c r="O2908" s="3">
        <v>5709</v>
      </c>
      <c r="P2908">
        <v>1</v>
      </c>
      <c r="Q2908">
        <v>4</v>
      </c>
      <c r="R2908" t="s">
        <v>28</v>
      </c>
      <c r="S2908">
        <v>1</v>
      </c>
    </row>
    <row r="2909" spans="1:19" ht="16.5" x14ac:dyDescent="0.3">
      <c r="A2909" t="s">
        <v>2972</v>
      </c>
      <c r="B2909" s="1">
        <v>45676</v>
      </c>
      <c r="C2909" s="1">
        <v>45681</v>
      </c>
      <c r="D2909">
        <v>2025</v>
      </c>
      <c r="E2909" t="s">
        <v>20</v>
      </c>
      <c r="F2909" t="s">
        <v>21</v>
      </c>
      <c r="G2909" t="s">
        <v>112</v>
      </c>
      <c r="H2909" t="s">
        <v>39</v>
      </c>
      <c r="I2909" t="s">
        <v>40</v>
      </c>
      <c r="J2909" t="s">
        <v>43</v>
      </c>
      <c r="K2909" t="s">
        <v>41</v>
      </c>
      <c r="L2909" t="s">
        <v>27</v>
      </c>
      <c r="M2909">
        <v>5</v>
      </c>
      <c r="N2909" s="2"/>
      <c r="O2909" s="3">
        <v>2980</v>
      </c>
      <c r="P2909">
        <v>0</v>
      </c>
      <c r="Q2909">
        <v>4</v>
      </c>
      <c r="R2909" t="s">
        <v>28</v>
      </c>
      <c r="S2909">
        <v>1</v>
      </c>
    </row>
    <row r="2910" spans="1:19" ht="16.5" x14ac:dyDescent="0.3">
      <c r="A2910" t="s">
        <v>2973</v>
      </c>
      <c r="B2910" s="1">
        <v>45676</v>
      </c>
      <c r="C2910" s="1">
        <v>45678</v>
      </c>
      <c r="D2910">
        <v>2025</v>
      </c>
      <c r="E2910" t="s">
        <v>20</v>
      </c>
      <c r="F2910" t="s">
        <v>21</v>
      </c>
      <c r="G2910" t="s">
        <v>112</v>
      </c>
      <c r="H2910" t="s">
        <v>35</v>
      </c>
      <c r="I2910" t="s">
        <v>24</v>
      </c>
      <c r="J2910" t="s">
        <v>25</v>
      </c>
      <c r="K2910" t="s">
        <v>32</v>
      </c>
      <c r="L2910" t="s">
        <v>44</v>
      </c>
      <c r="M2910">
        <v>2</v>
      </c>
      <c r="N2910" s="2">
        <v>97</v>
      </c>
      <c r="O2910" s="3">
        <v>2115</v>
      </c>
      <c r="P2910">
        <v>0</v>
      </c>
      <c r="Q2910">
        <v>2</v>
      </c>
      <c r="R2910" t="s">
        <v>33</v>
      </c>
      <c r="S2910">
        <v>1</v>
      </c>
    </row>
    <row r="2911" spans="1:19" ht="16.5" x14ac:dyDescent="0.3">
      <c r="A2911" t="s">
        <v>2974</v>
      </c>
      <c r="B2911" s="1">
        <v>45676</v>
      </c>
      <c r="C2911" s="1">
        <v>45683</v>
      </c>
      <c r="D2911">
        <v>2025</v>
      </c>
      <c r="E2911" t="s">
        <v>20</v>
      </c>
      <c r="F2911" t="s">
        <v>21</v>
      </c>
      <c r="G2911" t="s">
        <v>112</v>
      </c>
      <c r="H2911" t="s">
        <v>30</v>
      </c>
      <c r="I2911" t="s">
        <v>31</v>
      </c>
      <c r="J2911" t="s">
        <v>43</v>
      </c>
      <c r="K2911" t="s">
        <v>32</v>
      </c>
      <c r="L2911" t="s">
        <v>44</v>
      </c>
      <c r="M2911">
        <v>7</v>
      </c>
      <c r="N2911" s="2"/>
      <c r="O2911" s="3">
        <v>5295</v>
      </c>
      <c r="P2911">
        <v>0</v>
      </c>
      <c r="Q2911">
        <v>4</v>
      </c>
      <c r="R2911" t="s">
        <v>28</v>
      </c>
      <c r="S2911">
        <v>1</v>
      </c>
    </row>
    <row r="2912" spans="1:19" ht="16.5" x14ac:dyDescent="0.3">
      <c r="A2912" t="s">
        <v>2975</v>
      </c>
      <c r="B2912" s="1">
        <v>45676</v>
      </c>
      <c r="C2912" s="1">
        <v>45689</v>
      </c>
      <c r="D2912">
        <v>2025</v>
      </c>
      <c r="E2912" t="s">
        <v>20</v>
      </c>
      <c r="F2912" t="s">
        <v>21</v>
      </c>
      <c r="G2912" t="s">
        <v>112</v>
      </c>
      <c r="H2912" t="s">
        <v>23</v>
      </c>
      <c r="I2912" t="s">
        <v>24</v>
      </c>
      <c r="J2912" t="s">
        <v>25</v>
      </c>
      <c r="K2912" t="s">
        <v>26</v>
      </c>
      <c r="L2912" t="s">
        <v>37</v>
      </c>
      <c r="M2912">
        <v>13</v>
      </c>
      <c r="N2912" s="2">
        <v>56</v>
      </c>
      <c r="O2912" s="3">
        <v>10423</v>
      </c>
      <c r="P2912">
        <v>0</v>
      </c>
      <c r="Q2912">
        <v>5</v>
      </c>
      <c r="R2912" t="s">
        <v>33</v>
      </c>
      <c r="S2912">
        <v>1</v>
      </c>
    </row>
    <row r="2913" spans="1:19" ht="16.5" x14ac:dyDescent="0.3">
      <c r="A2913" t="s">
        <v>2976</v>
      </c>
      <c r="B2913" s="1">
        <v>45676</v>
      </c>
      <c r="C2913" s="1">
        <v>45677</v>
      </c>
      <c r="D2913">
        <v>2025</v>
      </c>
      <c r="E2913" t="s">
        <v>20</v>
      </c>
      <c r="F2913" t="s">
        <v>21</v>
      </c>
      <c r="G2913" t="s">
        <v>112</v>
      </c>
      <c r="H2913" t="s">
        <v>39</v>
      </c>
      <c r="I2913" t="s">
        <v>24</v>
      </c>
      <c r="J2913" t="s">
        <v>43</v>
      </c>
      <c r="K2913" t="s">
        <v>41</v>
      </c>
      <c r="L2913" t="s">
        <v>27</v>
      </c>
      <c r="M2913">
        <v>1</v>
      </c>
      <c r="N2913" s="2">
        <v>35</v>
      </c>
      <c r="O2913" s="3">
        <v>1371</v>
      </c>
      <c r="P2913">
        <v>0</v>
      </c>
      <c r="Q2913">
        <v>4</v>
      </c>
      <c r="R2913" t="s">
        <v>33</v>
      </c>
      <c r="S2913">
        <v>1</v>
      </c>
    </row>
    <row r="2914" spans="1:19" ht="16.5" x14ac:dyDescent="0.3">
      <c r="A2914" t="s">
        <v>2977</v>
      </c>
      <c r="B2914" s="1">
        <v>45676</v>
      </c>
      <c r="C2914" s="1">
        <v>45678</v>
      </c>
      <c r="D2914">
        <v>2025</v>
      </c>
      <c r="E2914" t="s">
        <v>20</v>
      </c>
      <c r="F2914" t="s">
        <v>21</v>
      </c>
      <c r="G2914" t="s">
        <v>112</v>
      </c>
      <c r="H2914" t="s">
        <v>35</v>
      </c>
      <c r="I2914" t="s">
        <v>40</v>
      </c>
      <c r="J2914" t="s">
        <v>25</v>
      </c>
      <c r="K2914" t="s">
        <v>36</v>
      </c>
      <c r="L2914" t="s">
        <v>27</v>
      </c>
      <c r="M2914">
        <v>2</v>
      </c>
      <c r="N2914" s="2"/>
      <c r="O2914" s="3">
        <v>2512</v>
      </c>
      <c r="P2914">
        <v>0</v>
      </c>
      <c r="Q2914">
        <v>5</v>
      </c>
      <c r="R2914" t="s">
        <v>33</v>
      </c>
      <c r="S2914">
        <v>1</v>
      </c>
    </row>
    <row r="2915" spans="1:19" ht="16.5" x14ac:dyDescent="0.3">
      <c r="A2915" t="s">
        <v>2978</v>
      </c>
      <c r="B2915" s="1">
        <v>45676</v>
      </c>
      <c r="C2915" s="1">
        <v>45678</v>
      </c>
      <c r="D2915">
        <v>2025</v>
      </c>
      <c r="E2915" t="s">
        <v>20</v>
      </c>
      <c r="F2915" t="s">
        <v>21</v>
      </c>
      <c r="G2915" t="s">
        <v>112</v>
      </c>
      <c r="H2915" t="s">
        <v>39</v>
      </c>
      <c r="I2915" t="s">
        <v>24</v>
      </c>
      <c r="J2915" t="s">
        <v>43</v>
      </c>
      <c r="K2915" t="s">
        <v>41</v>
      </c>
      <c r="L2915" t="s">
        <v>44</v>
      </c>
      <c r="M2915">
        <v>2</v>
      </c>
      <c r="N2915" s="2">
        <v>72</v>
      </c>
      <c r="O2915" s="3">
        <v>2105</v>
      </c>
      <c r="P2915">
        <v>0</v>
      </c>
      <c r="Q2915">
        <v>4</v>
      </c>
      <c r="R2915" t="s">
        <v>33</v>
      </c>
      <c r="S2915">
        <v>1</v>
      </c>
    </row>
    <row r="2916" spans="1:19" ht="16.5" x14ac:dyDescent="0.3">
      <c r="A2916" t="s">
        <v>2979</v>
      </c>
      <c r="B2916" s="1">
        <v>45677</v>
      </c>
      <c r="C2916" s="1">
        <v>45681</v>
      </c>
      <c r="D2916">
        <v>2025</v>
      </c>
      <c r="E2916" t="s">
        <v>20</v>
      </c>
      <c r="F2916" t="s">
        <v>21</v>
      </c>
      <c r="G2916" t="s">
        <v>22</v>
      </c>
      <c r="H2916" t="s">
        <v>39</v>
      </c>
      <c r="I2916" t="s">
        <v>24</v>
      </c>
      <c r="J2916" t="s">
        <v>25</v>
      </c>
      <c r="K2916" t="s">
        <v>41</v>
      </c>
      <c r="L2916" t="s">
        <v>27</v>
      </c>
      <c r="M2916">
        <v>4</v>
      </c>
      <c r="N2916" s="2">
        <v>40</v>
      </c>
      <c r="O2916" s="3">
        <v>4379</v>
      </c>
      <c r="P2916">
        <v>0</v>
      </c>
      <c r="Q2916">
        <v>5</v>
      </c>
      <c r="R2916" t="s">
        <v>28</v>
      </c>
      <c r="S2916">
        <v>1</v>
      </c>
    </row>
    <row r="2917" spans="1:19" ht="16.5" x14ac:dyDescent="0.3">
      <c r="A2917" t="s">
        <v>2980</v>
      </c>
      <c r="B2917" s="1">
        <v>45677</v>
      </c>
      <c r="C2917" s="1">
        <v>45679</v>
      </c>
      <c r="D2917">
        <v>2025</v>
      </c>
      <c r="E2917" t="s">
        <v>20</v>
      </c>
      <c r="F2917" t="s">
        <v>21</v>
      </c>
      <c r="G2917" t="s">
        <v>22</v>
      </c>
      <c r="H2917" t="s">
        <v>35</v>
      </c>
      <c r="I2917" t="s">
        <v>24</v>
      </c>
      <c r="J2917" t="s">
        <v>25</v>
      </c>
      <c r="K2917" t="s">
        <v>32</v>
      </c>
      <c r="L2917" t="s">
        <v>44</v>
      </c>
      <c r="M2917">
        <v>2</v>
      </c>
      <c r="N2917" s="2">
        <v>164</v>
      </c>
      <c r="O2917" s="3">
        <v>2143</v>
      </c>
      <c r="P2917">
        <v>0</v>
      </c>
      <c r="Q2917">
        <v>3</v>
      </c>
      <c r="R2917" t="s">
        <v>33</v>
      </c>
      <c r="S2917">
        <v>1</v>
      </c>
    </row>
    <row r="2918" spans="1:19" ht="16.5" x14ac:dyDescent="0.3">
      <c r="A2918" t="s">
        <v>2981</v>
      </c>
      <c r="B2918" s="1">
        <v>45677</v>
      </c>
      <c r="C2918" s="1">
        <v>45679</v>
      </c>
      <c r="D2918">
        <v>2025</v>
      </c>
      <c r="E2918" t="s">
        <v>20</v>
      </c>
      <c r="F2918" t="s">
        <v>21</v>
      </c>
      <c r="G2918" t="s">
        <v>22</v>
      </c>
      <c r="H2918" t="s">
        <v>52</v>
      </c>
      <c r="I2918" t="s">
        <v>31</v>
      </c>
      <c r="J2918" t="s">
        <v>25</v>
      </c>
      <c r="K2918" t="s">
        <v>32</v>
      </c>
      <c r="L2918" t="s">
        <v>27</v>
      </c>
      <c r="M2918">
        <v>2</v>
      </c>
      <c r="N2918" s="2"/>
      <c r="O2918" s="3">
        <v>2955</v>
      </c>
      <c r="P2918">
        <v>0</v>
      </c>
      <c r="Q2918">
        <v>5</v>
      </c>
      <c r="R2918" t="s">
        <v>28</v>
      </c>
      <c r="S2918">
        <v>1</v>
      </c>
    </row>
    <row r="2919" spans="1:19" ht="16.5" x14ac:dyDescent="0.3">
      <c r="A2919" t="s">
        <v>2982</v>
      </c>
      <c r="B2919" s="1">
        <v>45677</v>
      </c>
      <c r="C2919" s="1">
        <v>45679</v>
      </c>
      <c r="D2919">
        <v>2025</v>
      </c>
      <c r="E2919" t="s">
        <v>20</v>
      </c>
      <c r="F2919" t="s">
        <v>21</v>
      </c>
      <c r="G2919" t="s">
        <v>22</v>
      </c>
      <c r="H2919" t="s">
        <v>30</v>
      </c>
      <c r="I2919" t="s">
        <v>40</v>
      </c>
      <c r="J2919" t="s">
        <v>25</v>
      </c>
      <c r="K2919" t="s">
        <v>53</v>
      </c>
      <c r="L2919" t="s">
        <v>27</v>
      </c>
      <c r="M2919">
        <v>2</v>
      </c>
      <c r="N2919" s="2"/>
      <c r="O2919" s="3">
        <v>2998</v>
      </c>
      <c r="P2919">
        <v>0</v>
      </c>
      <c r="Q2919">
        <v>5</v>
      </c>
      <c r="R2919" t="s">
        <v>33</v>
      </c>
      <c r="S2919">
        <v>1</v>
      </c>
    </row>
    <row r="2920" spans="1:19" ht="16.5" x14ac:dyDescent="0.3">
      <c r="A2920" t="s">
        <v>2983</v>
      </c>
      <c r="B2920" s="1">
        <v>45677</v>
      </c>
      <c r="C2920" s="1">
        <v>45680</v>
      </c>
      <c r="D2920">
        <v>2025</v>
      </c>
      <c r="E2920" t="s">
        <v>20</v>
      </c>
      <c r="F2920" t="s">
        <v>21</v>
      </c>
      <c r="G2920" t="s">
        <v>22</v>
      </c>
      <c r="H2920" t="s">
        <v>50</v>
      </c>
      <c r="I2920" t="s">
        <v>24</v>
      </c>
      <c r="J2920" t="s">
        <v>43</v>
      </c>
      <c r="K2920" t="s">
        <v>32</v>
      </c>
      <c r="L2920" t="s">
        <v>44</v>
      </c>
      <c r="M2920">
        <v>3</v>
      </c>
      <c r="N2920" s="2">
        <v>12</v>
      </c>
      <c r="O2920" s="3">
        <v>4489</v>
      </c>
      <c r="P2920">
        <v>0</v>
      </c>
      <c r="Q2920">
        <v>4</v>
      </c>
      <c r="R2920" t="s">
        <v>33</v>
      </c>
      <c r="S2920">
        <v>1</v>
      </c>
    </row>
    <row r="2921" spans="1:19" ht="16.5" x14ac:dyDescent="0.3">
      <c r="A2921" t="s">
        <v>2984</v>
      </c>
      <c r="B2921" s="1">
        <v>45677</v>
      </c>
      <c r="C2921" s="1">
        <v>45681</v>
      </c>
      <c r="D2921">
        <v>2025</v>
      </c>
      <c r="E2921" t="s">
        <v>20</v>
      </c>
      <c r="F2921" t="s">
        <v>21</v>
      </c>
      <c r="G2921" t="s">
        <v>22</v>
      </c>
      <c r="H2921" t="s">
        <v>35</v>
      </c>
      <c r="I2921" t="s">
        <v>31</v>
      </c>
      <c r="J2921" t="s">
        <v>25</v>
      </c>
      <c r="K2921" t="s">
        <v>36</v>
      </c>
      <c r="L2921" t="s">
        <v>27</v>
      </c>
      <c r="M2921">
        <v>4</v>
      </c>
      <c r="N2921" s="2"/>
      <c r="O2921" s="3">
        <v>3579</v>
      </c>
      <c r="P2921">
        <v>0</v>
      </c>
      <c r="Q2921">
        <v>4</v>
      </c>
      <c r="R2921" t="s">
        <v>33</v>
      </c>
      <c r="S2921">
        <v>1</v>
      </c>
    </row>
    <row r="2922" spans="1:19" ht="16.5" x14ac:dyDescent="0.3">
      <c r="A2922" t="s">
        <v>2985</v>
      </c>
      <c r="B2922" s="1">
        <v>45677</v>
      </c>
      <c r="C2922" s="1">
        <v>45684</v>
      </c>
      <c r="D2922">
        <v>2025</v>
      </c>
      <c r="E2922" t="s">
        <v>20</v>
      </c>
      <c r="F2922" t="s">
        <v>21</v>
      </c>
      <c r="G2922" t="s">
        <v>22</v>
      </c>
      <c r="H2922" t="s">
        <v>39</v>
      </c>
      <c r="I2922" t="s">
        <v>24</v>
      </c>
      <c r="J2922" t="s">
        <v>25</v>
      </c>
      <c r="K2922" t="s">
        <v>41</v>
      </c>
      <c r="L2922" t="s">
        <v>27</v>
      </c>
      <c r="M2922">
        <v>7</v>
      </c>
      <c r="N2922" s="2">
        <v>68</v>
      </c>
      <c r="O2922" s="3">
        <v>3699</v>
      </c>
      <c r="P2922">
        <v>1</v>
      </c>
      <c r="Q2922">
        <v>4</v>
      </c>
      <c r="R2922" t="s">
        <v>28</v>
      </c>
      <c r="S2922">
        <v>1</v>
      </c>
    </row>
    <row r="2923" spans="1:19" ht="16.5" x14ac:dyDescent="0.3">
      <c r="A2923" t="s">
        <v>2986</v>
      </c>
      <c r="B2923" s="1">
        <v>45677</v>
      </c>
      <c r="C2923" s="1">
        <v>45678</v>
      </c>
      <c r="D2923">
        <v>2025</v>
      </c>
      <c r="E2923" t="s">
        <v>20</v>
      </c>
      <c r="F2923" t="s">
        <v>21</v>
      </c>
      <c r="G2923" t="s">
        <v>22</v>
      </c>
      <c r="H2923" t="s">
        <v>30</v>
      </c>
      <c r="I2923" t="s">
        <v>40</v>
      </c>
      <c r="J2923" t="s">
        <v>43</v>
      </c>
      <c r="K2923" t="s">
        <v>53</v>
      </c>
      <c r="L2923" t="s">
        <v>44</v>
      </c>
      <c r="M2923">
        <v>1</v>
      </c>
      <c r="N2923" s="2"/>
      <c r="O2923" s="3">
        <v>2000</v>
      </c>
      <c r="P2923">
        <v>0</v>
      </c>
      <c r="Q2923">
        <v>3</v>
      </c>
      <c r="R2923" t="s">
        <v>33</v>
      </c>
      <c r="S2923">
        <v>1</v>
      </c>
    </row>
    <row r="2924" spans="1:19" ht="16.5" x14ac:dyDescent="0.3">
      <c r="A2924" t="s">
        <v>2987</v>
      </c>
      <c r="B2924" s="1">
        <v>45677</v>
      </c>
      <c r="C2924" s="1">
        <v>45678</v>
      </c>
      <c r="D2924">
        <v>2025</v>
      </c>
      <c r="E2924" t="s">
        <v>20</v>
      </c>
      <c r="F2924" t="s">
        <v>21</v>
      </c>
      <c r="G2924" t="s">
        <v>22</v>
      </c>
      <c r="H2924" t="s">
        <v>39</v>
      </c>
      <c r="I2924" t="s">
        <v>24</v>
      </c>
      <c r="J2924" t="s">
        <v>43</v>
      </c>
      <c r="K2924" t="s">
        <v>41</v>
      </c>
      <c r="L2924" t="s">
        <v>44</v>
      </c>
      <c r="M2924">
        <v>1</v>
      </c>
      <c r="N2924" s="2">
        <v>104</v>
      </c>
      <c r="O2924" s="3">
        <v>1388</v>
      </c>
      <c r="P2924">
        <v>0</v>
      </c>
      <c r="Q2924">
        <v>3</v>
      </c>
      <c r="R2924" t="s">
        <v>33</v>
      </c>
      <c r="S2924">
        <v>1</v>
      </c>
    </row>
    <row r="2925" spans="1:19" ht="16.5" x14ac:dyDescent="0.3">
      <c r="A2925" t="s">
        <v>2988</v>
      </c>
      <c r="B2925" s="1">
        <v>45677</v>
      </c>
      <c r="C2925" s="1">
        <v>45683</v>
      </c>
      <c r="D2925">
        <v>2025</v>
      </c>
      <c r="E2925" t="s">
        <v>20</v>
      </c>
      <c r="F2925" t="s">
        <v>21</v>
      </c>
      <c r="G2925" t="s">
        <v>22</v>
      </c>
      <c r="H2925" t="s">
        <v>39</v>
      </c>
      <c r="I2925" t="s">
        <v>24</v>
      </c>
      <c r="J2925" t="s">
        <v>43</v>
      </c>
      <c r="K2925" t="s">
        <v>41</v>
      </c>
      <c r="L2925" t="s">
        <v>27</v>
      </c>
      <c r="M2925">
        <v>6</v>
      </c>
      <c r="N2925" s="2">
        <v>138</v>
      </c>
      <c r="O2925" s="3">
        <v>4366</v>
      </c>
      <c r="P2925">
        <v>0</v>
      </c>
      <c r="Q2925">
        <v>4</v>
      </c>
      <c r="R2925" t="s">
        <v>165</v>
      </c>
      <c r="S2925">
        <v>1</v>
      </c>
    </row>
    <row r="2926" spans="1:19" ht="16.5" x14ac:dyDescent="0.3">
      <c r="A2926" t="s">
        <v>2989</v>
      </c>
      <c r="B2926" s="1">
        <v>45677</v>
      </c>
      <c r="C2926" s="1">
        <v>45679</v>
      </c>
      <c r="D2926">
        <v>2025</v>
      </c>
      <c r="E2926" t="s">
        <v>20</v>
      </c>
      <c r="F2926" t="s">
        <v>21</v>
      </c>
      <c r="G2926" t="s">
        <v>22</v>
      </c>
      <c r="H2926" t="s">
        <v>52</v>
      </c>
      <c r="I2926" t="s">
        <v>40</v>
      </c>
      <c r="J2926" t="s">
        <v>43</v>
      </c>
      <c r="K2926" t="s">
        <v>32</v>
      </c>
      <c r="L2926" t="s">
        <v>27</v>
      </c>
      <c r="M2926">
        <v>2</v>
      </c>
      <c r="N2926" s="2"/>
      <c r="O2926" s="3">
        <v>2754</v>
      </c>
      <c r="P2926">
        <v>0</v>
      </c>
      <c r="Q2926">
        <v>4</v>
      </c>
      <c r="R2926" t="s">
        <v>28</v>
      </c>
      <c r="S2926">
        <v>1</v>
      </c>
    </row>
    <row r="2927" spans="1:19" ht="16.5" x14ac:dyDescent="0.3">
      <c r="A2927" t="s">
        <v>2990</v>
      </c>
      <c r="B2927" s="1">
        <v>45677</v>
      </c>
      <c r="C2927" s="1">
        <v>45678</v>
      </c>
      <c r="D2927">
        <v>2025</v>
      </c>
      <c r="E2927" t="s">
        <v>20</v>
      </c>
      <c r="F2927" t="s">
        <v>21</v>
      </c>
      <c r="G2927" t="s">
        <v>22</v>
      </c>
      <c r="H2927" t="s">
        <v>39</v>
      </c>
      <c r="I2927" t="s">
        <v>24</v>
      </c>
      <c r="J2927" t="s">
        <v>43</v>
      </c>
      <c r="K2927" t="s">
        <v>41</v>
      </c>
      <c r="L2927" t="s">
        <v>44</v>
      </c>
      <c r="M2927">
        <v>1</v>
      </c>
      <c r="N2927" s="2">
        <v>56</v>
      </c>
      <c r="O2927" s="3">
        <v>1114</v>
      </c>
      <c r="P2927">
        <v>0</v>
      </c>
      <c r="Q2927">
        <v>4</v>
      </c>
      <c r="R2927" t="s">
        <v>165</v>
      </c>
      <c r="S2927">
        <v>1</v>
      </c>
    </row>
    <row r="2928" spans="1:19" ht="16.5" x14ac:dyDescent="0.3">
      <c r="A2928" t="s">
        <v>2991</v>
      </c>
      <c r="B2928" s="1">
        <v>45677</v>
      </c>
      <c r="C2928" s="1">
        <v>45682</v>
      </c>
      <c r="D2928">
        <v>2025</v>
      </c>
      <c r="E2928" t="s">
        <v>20</v>
      </c>
      <c r="F2928" t="s">
        <v>21</v>
      </c>
      <c r="G2928" t="s">
        <v>22</v>
      </c>
      <c r="H2928" t="s">
        <v>23</v>
      </c>
      <c r="I2928" t="s">
        <v>24</v>
      </c>
      <c r="J2928" t="s">
        <v>25</v>
      </c>
      <c r="K2928" t="s">
        <v>53</v>
      </c>
      <c r="L2928" t="s">
        <v>44</v>
      </c>
      <c r="M2928">
        <v>5</v>
      </c>
      <c r="N2928" s="2">
        <v>79</v>
      </c>
      <c r="O2928" s="3">
        <v>4805</v>
      </c>
      <c r="P2928">
        <v>0</v>
      </c>
      <c r="Q2928">
        <v>5</v>
      </c>
      <c r="R2928" t="s">
        <v>33</v>
      </c>
      <c r="S2928">
        <v>1</v>
      </c>
    </row>
    <row r="2929" spans="1:19" ht="16.5" x14ac:dyDescent="0.3">
      <c r="A2929" t="s">
        <v>2992</v>
      </c>
      <c r="B2929" s="1">
        <v>45677</v>
      </c>
      <c r="C2929" s="1">
        <v>45683</v>
      </c>
      <c r="D2929">
        <v>2025</v>
      </c>
      <c r="E2929" t="s">
        <v>20</v>
      </c>
      <c r="F2929" t="s">
        <v>21</v>
      </c>
      <c r="G2929" t="s">
        <v>22</v>
      </c>
      <c r="H2929" t="s">
        <v>50</v>
      </c>
      <c r="I2929" t="s">
        <v>40</v>
      </c>
      <c r="J2929" t="s">
        <v>43</v>
      </c>
      <c r="K2929" t="s">
        <v>32</v>
      </c>
      <c r="L2929" t="s">
        <v>44</v>
      </c>
      <c r="M2929">
        <v>6</v>
      </c>
      <c r="N2929" s="2"/>
      <c r="O2929" s="3">
        <v>6177</v>
      </c>
      <c r="P2929">
        <v>0</v>
      </c>
      <c r="Q2929">
        <v>3</v>
      </c>
      <c r="R2929" t="s">
        <v>33</v>
      </c>
      <c r="S2929">
        <v>1</v>
      </c>
    </row>
    <row r="2930" spans="1:19" ht="16.5" x14ac:dyDescent="0.3">
      <c r="A2930" t="s">
        <v>2993</v>
      </c>
      <c r="B2930" s="1">
        <v>45678</v>
      </c>
      <c r="C2930" s="1">
        <v>45680</v>
      </c>
      <c r="D2930">
        <v>2025</v>
      </c>
      <c r="E2930" t="s">
        <v>20</v>
      </c>
      <c r="F2930" t="s">
        <v>21</v>
      </c>
      <c r="G2930" t="s">
        <v>56</v>
      </c>
      <c r="H2930" t="s">
        <v>35</v>
      </c>
      <c r="I2930" t="s">
        <v>24</v>
      </c>
      <c r="J2930" t="s">
        <v>25</v>
      </c>
      <c r="K2930" t="s">
        <v>32</v>
      </c>
      <c r="L2930" t="s">
        <v>44</v>
      </c>
      <c r="M2930">
        <v>2</v>
      </c>
      <c r="N2930" s="2">
        <v>82</v>
      </c>
      <c r="O2930" s="3">
        <v>2342</v>
      </c>
      <c r="P2930">
        <v>0</v>
      </c>
      <c r="Q2930">
        <v>4</v>
      </c>
      <c r="R2930" t="s">
        <v>28</v>
      </c>
      <c r="S2930">
        <v>1</v>
      </c>
    </row>
    <row r="2931" spans="1:19" ht="16.5" x14ac:dyDescent="0.3">
      <c r="A2931" t="s">
        <v>2994</v>
      </c>
      <c r="B2931" s="1">
        <v>45678</v>
      </c>
      <c r="C2931" s="1">
        <v>45695</v>
      </c>
      <c r="D2931">
        <v>2025</v>
      </c>
      <c r="E2931" t="s">
        <v>20</v>
      </c>
      <c r="F2931" t="s">
        <v>21</v>
      </c>
      <c r="G2931" t="s">
        <v>56</v>
      </c>
      <c r="H2931" t="s">
        <v>30</v>
      </c>
      <c r="I2931" t="s">
        <v>24</v>
      </c>
      <c r="J2931" t="s">
        <v>43</v>
      </c>
      <c r="K2931" t="s">
        <v>26</v>
      </c>
      <c r="L2931" t="s">
        <v>27</v>
      </c>
      <c r="M2931">
        <v>17</v>
      </c>
      <c r="N2931" s="2">
        <v>60</v>
      </c>
      <c r="O2931" s="3">
        <v>17773</v>
      </c>
      <c r="P2931">
        <v>0</v>
      </c>
      <c r="Q2931">
        <v>5</v>
      </c>
      <c r="R2931" t="s">
        <v>33</v>
      </c>
      <c r="S2931">
        <v>1</v>
      </c>
    </row>
    <row r="2932" spans="1:19" ht="16.5" x14ac:dyDescent="0.3">
      <c r="A2932" t="s">
        <v>2995</v>
      </c>
      <c r="B2932" s="1">
        <v>45678</v>
      </c>
      <c r="C2932" s="1">
        <v>45681</v>
      </c>
      <c r="D2932">
        <v>2025</v>
      </c>
      <c r="E2932" t="s">
        <v>20</v>
      </c>
      <c r="F2932" t="s">
        <v>21</v>
      </c>
      <c r="G2932" t="s">
        <v>56</v>
      </c>
      <c r="H2932" t="s">
        <v>23</v>
      </c>
      <c r="I2932" t="s">
        <v>40</v>
      </c>
      <c r="J2932" t="s">
        <v>25</v>
      </c>
      <c r="K2932" t="s">
        <v>26</v>
      </c>
      <c r="L2932" t="s">
        <v>44</v>
      </c>
      <c r="M2932">
        <v>3</v>
      </c>
      <c r="N2932" s="2"/>
      <c r="O2932" s="3">
        <v>3064</v>
      </c>
      <c r="P2932">
        <v>0</v>
      </c>
      <c r="Q2932">
        <v>4</v>
      </c>
      <c r="R2932" t="s">
        <v>33</v>
      </c>
      <c r="S2932">
        <v>1</v>
      </c>
    </row>
    <row r="2933" spans="1:19" ht="16.5" x14ac:dyDescent="0.3">
      <c r="A2933" t="s">
        <v>2996</v>
      </c>
      <c r="B2933" s="1">
        <v>45678</v>
      </c>
      <c r="C2933" s="1">
        <v>45692</v>
      </c>
      <c r="D2933">
        <v>2025</v>
      </c>
      <c r="E2933" t="s">
        <v>20</v>
      </c>
      <c r="F2933" t="s">
        <v>21</v>
      </c>
      <c r="G2933" t="s">
        <v>56</v>
      </c>
      <c r="H2933" t="s">
        <v>23</v>
      </c>
      <c r="I2933" t="s">
        <v>24</v>
      </c>
      <c r="J2933" t="s">
        <v>43</v>
      </c>
      <c r="K2933" t="s">
        <v>26</v>
      </c>
      <c r="L2933" t="s">
        <v>44</v>
      </c>
      <c r="M2933">
        <v>14</v>
      </c>
      <c r="N2933" s="2">
        <v>22</v>
      </c>
      <c r="O2933" s="3">
        <v>11054</v>
      </c>
      <c r="P2933">
        <v>0</v>
      </c>
      <c r="Q2933">
        <v>3</v>
      </c>
      <c r="R2933" t="s">
        <v>28</v>
      </c>
      <c r="S2933">
        <v>1</v>
      </c>
    </row>
    <row r="2934" spans="1:19" ht="16.5" x14ac:dyDescent="0.3">
      <c r="A2934" t="s">
        <v>2997</v>
      </c>
      <c r="B2934" s="1">
        <v>45678</v>
      </c>
      <c r="C2934" s="1">
        <v>45679</v>
      </c>
      <c r="D2934">
        <v>2025</v>
      </c>
      <c r="E2934" t="s">
        <v>20</v>
      </c>
      <c r="F2934" t="s">
        <v>21</v>
      </c>
      <c r="G2934" t="s">
        <v>56</v>
      </c>
      <c r="H2934" t="s">
        <v>39</v>
      </c>
      <c r="I2934" t="s">
        <v>24</v>
      </c>
      <c r="J2934" t="s">
        <v>25</v>
      </c>
      <c r="K2934" t="s">
        <v>41</v>
      </c>
      <c r="L2934" t="s">
        <v>44</v>
      </c>
      <c r="M2934">
        <v>1</v>
      </c>
      <c r="N2934" s="2">
        <v>127</v>
      </c>
      <c r="O2934" s="3">
        <v>1140</v>
      </c>
      <c r="P2934">
        <v>0</v>
      </c>
      <c r="Q2934">
        <v>5</v>
      </c>
      <c r="R2934" t="s">
        <v>33</v>
      </c>
      <c r="S2934">
        <v>1</v>
      </c>
    </row>
    <row r="2935" spans="1:19" ht="16.5" x14ac:dyDescent="0.3">
      <c r="A2935" t="s">
        <v>2998</v>
      </c>
      <c r="B2935" s="1">
        <v>45678</v>
      </c>
      <c r="C2935" s="1">
        <v>45685</v>
      </c>
      <c r="D2935">
        <v>2025</v>
      </c>
      <c r="E2935" t="s">
        <v>20</v>
      </c>
      <c r="F2935" t="s">
        <v>21</v>
      </c>
      <c r="G2935" t="s">
        <v>56</v>
      </c>
      <c r="H2935" t="s">
        <v>50</v>
      </c>
      <c r="I2935" t="s">
        <v>40</v>
      </c>
      <c r="J2935" t="s">
        <v>43</v>
      </c>
      <c r="K2935" t="s">
        <v>32</v>
      </c>
      <c r="L2935" t="s">
        <v>44</v>
      </c>
      <c r="M2935">
        <v>7</v>
      </c>
      <c r="N2935" s="2"/>
      <c r="O2935" s="3">
        <v>10387</v>
      </c>
      <c r="P2935">
        <v>0</v>
      </c>
      <c r="Q2935">
        <v>4</v>
      </c>
      <c r="R2935" t="s">
        <v>33</v>
      </c>
      <c r="S2935">
        <v>1</v>
      </c>
    </row>
    <row r="2936" spans="1:19" ht="16.5" x14ac:dyDescent="0.3">
      <c r="A2936" t="s">
        <v>2999</v>
      </c>
      <c r="B2936" s="1">
        <v>45678</v>
      </c>
      <c r="C2936" s="1">
        <v>45682</v>
      </c>
      <c r="D2936">
        <v>2025</v>
      </c>
      <c r="E2936" t="s">
        <v>20</v>
      </c>
      <c r="F2936" t="s">
        <v>21</v>
      </c>
      <c r="G2936" t="s">
        <v>56</v>
      </c>
      <c r="H2936" t="s">
        <v>35</v>
      </c>
      <c r="I2936" t="s">
        <v>24</v>
      </c>
      <c r="J2936" t="s">
        <v>25</v>
      </c>
      <c r="K2936" t="s">
        <v>36</v>
      </c>
      <c r="L2936" t="s">
        <v>37</v>
      </c>
      <c r="M2936">
        <v>4</v>
      </c>
      <c r="N2936" s="2">
        <v>21</v>
      </c>
      <c r="O2936" s="3">
        <v>3290</v>
      </c>
      <c r="P2936">
        <v>0</v>
      </c>
      <c r="Q2936">
        <v>5</v>
      </c>
      <c r="R2936" t="s">
        <v>28</v>
      </c>
      <c r="S2936">
        <v>1</v>
      </c>
    </row>
    <row r="2937" spans="1:19" ht="16.5" x14ac:dyDescent="0.3">
      <c r="A2937" t="s">
        <v>3000</v>
      </c>
      <c r="B2937" s="1">
        <v>45678</v>
      </c>
      <c r="C2937" s="1">
        <v>45700</v>
      </c>
      <c r="D2937">
        <v>2025</v>
      </c>
      <c r="E2937" t="s">
        <v>20</v>
      </c>
      <c r="F2937" t="s">
        <v>21</v>
      </c>
      <c r="G2937" t="s">
        <v>56</v>
      </c>
      <c r="H2937" t="s">
        <v>50</v>
      </c>
      <c r="I2937" t="s">
        <v>24</v>
      </c>
      <c r="J2937" t="s">
        <v>25</v>
      </c>
      <c r="K2937" t="s">
        <v>26</v>
      </c>
      <c r="L2937" t="s">
        <v>27</v>
      </c>
      <c r="M2937">
        <v>22</v>
      </c>
      <c r="N2937" s="2">
        <v>104</v>
      </c>
      <c r="O2937" s="3">
        <v>27327</v>
      </c>
      <c r="P2937">
        <v>0</v>
      </c>
      <c r="Q2937">
        <v>3</v>
      </c>
      <c r="R2937" t="s">
        <v>33</v>
      </c>
      <c r="S2937">
        <v>1</v>
      </c>
    </row>
    <row r="2938" spans="1:19" ht="16.5" x14ac:dyDescent="0.3">
      <c r="A2938" t="s">
        <v>3001</v>
      </c>
      <c r="B2938" s="1">
        <v>45678</v>
      </c>
      <c r="C2938" s="1">
        <v>45681</v>
      </c>
      <c r="D2938">
        <v>2025</v>
      </c>
      <c r="E2938" t="s">
        <v>20</v>
      </c>
      <c r="F2938" t="s">
        <v>21</v>
      </c>
      <c r="G2938" t="s">
        <v>56</v>
      </c>
      <c r="H2938" t="s">
        <v>39</v>
      </c>
      <c r="I2938" t="s">
        <v>24</v>
      </c>
      <c r="J2938" t="s">
        <v>25</v>
      </c>
      <c r="K2938" t="s">
        <v>41</v>
      </c>
      <c r="L2938" t="s">
        <v>44</v>
      </c>
      <c r="M2938">
        <v>3</v>
      </c>
      <c r="N2938" s="2">
        <v>47</v>
      </c>
      <c r="O2938" s="3">
        <v>2430</v>
      </c>
      <c r="P2938">
        <v>0</v>
      </c>
      <c r="Q2938">
        <v>5</v>
      </c>
      <c r="R2938" t="s">
        <v>33</v>
      </c>
      <c r="S2938">
        <v>1</v>
      </c>
    </row>
    <row r="2939" spans="1:19" ht="16.5" x14ac:dyDescent="0.3">
      <c r="A2939" t="s">
        <v>3002</v>
      </c>
      <c r="B2939" s="1">
        <v>45678</v>
      </c>
      <c r="C2939" s="1">
        <v>45681</v>
      </c>
      <c r="D2939">
        <v>2025</v>
      </c>
      <c r="E2939" t="s">
        <v>20</v>
      </c>
      <c r="F2939" t="s">
        <v>21</v>
      </c>
      <c r="G2939" t="s">
        <v>56</v>
      </c>
      <c r="H2939" t="s">
        <v>23</v>
      </c>
      <c r="I2939" t="s">
        <v>24</v>
      </c>
      <c r="J2939" t="s">
        <v>43</v>
      </c>
      <c r="K2939" t="s">
        <v>36</v>
      </c>
      <c r="L2939" t="s">
        <v>44</v>
      </c>
      <c r="M2939">
        <v>3</v>
      </c>
      <c r="N2939" s="2">
        <v>32</v>
      </c>
      <c r="O2939" s="3">
        <v>2992</v>
      </c>
      <c r="P2939">
        <v>0</v>
      </c>
      <c r="Q2939">
        <v>4</v>
      </c>
      <c r="R2939" t="s">
        <v>33</v>
      </c>
      <c r="S2939">
        <v>1</v>
      </c>
    </row>
    <row r="2940" spans="1:19" ht="16.5" x14ac:dyDescent="0.3">
      <c r="A2940" t="s">
        <v>3003</v>
      </c>
      <c r="B2940" s="1">
        <v>45678</v>
      </c>
      <c r="C2940" s="1">
        <v>45684</v>
      </c>
      <c r="D2940">
        <v>2025</v>
      </c>
      <c r="E2940" t="s">
        <v>20</v>
      </c>
      <c r="F2940" t="s">
        <v>21</v>
      </c>
      <c r="G2940" t="s">
        <v>56</v>
      </c>
      <c r="H2940" t="s">
        <v>39</v>
      </c>
      <c r="I2940" t="s">
        <v>24</v>
      </c>
      <c r="J2940" t="s">
        <v>43</v>
      </c>
      <c r="K2940" t="s">
        <v>41</v>
      </c>
      <c r="L2940" t="s">
        <v>44</v>
      </c>
      <c r="M2940">
        <v>6</v>
      </c>
      <c r="N2940" s="2">
        <v>39</v>
      </c>
      <c r="O2940" s="3">
        <v>4428</v>
      </c>
      <c r="P2940">
        <v>0</v>
      </c>
      <c r="Q2940">
        <v>5</v>
      </c>
      <c r="R2940" t="s">
        <v>59</v>
      </c>
      <c r="S2940">
        <v>1</v>
      </c>
    </row>
    <row r="2941" spans="1:19" ht="16.5" x14ac:dyDescent="0.3">
      <c r="A2941" t="s">
        <v>3004</v>
      </c>
      <c r="B2941" s="1">
        <v>45678</v>
      </c>
      <c r="C2941" s="1">
        <v>45681</v>
      </c>
      <c r="D2941">
        <v>2025</v>
      </c>
      <c r="E2941" t="s">
        <v>20</v>
      </c>
      <c r="F2941" t="s">
        <v>21</v>
      </c>
      <c r="G2941" t="s">
        <v>56</v>
      </c>
      <c r="H2941" t="s">
        <v>35</v>
      </c>
      <c r="I2941" t="s">
        <v>24</v>
      </c>
      <c r="J2941" t="s">
        <v>25</v>
      </c>
      <c r="K2941" t="s">
        <v>36</v>
      </c>
      <c r="L2941" t="s">
        <v>37</v>
      </c>
      <c r="M2941">
        <v>3</v>
      </c>
      <c r="N2941" s="2">
        <v>75</v>
      </c>
      <c r="O2941" s="3">
        <v>3004</v>
      </c>
      <c r="P2941">
        <v>1</v>
      </c>
      <c r="Q2941">
        <v>5</v>
      </c>
      <c r="R2941" t="s">
        <v>33</v>
      </c>
      <c r="S2941">
        <v>1</v>
      </c>
    </row>
    <row r="2942" spans="1:19" ht="16.5" x14ac:dyDescent="0.3">
      <c r="A2942" t="s">
        <v>3005</v>
      </c>
      <c r="B2942" s="1">
        <v>45678</v>
      </c>
      <c r="C2942" s="1">
        <v>45684</v>
      </c>
      <c r="D2942">
        <v>2025</v>
      </c>
      <c r="E2942" t="s">
        <v>20</v>
      </c>
      <c r="F2942" t="s">
        <v>21</v>
      </c>
      <c r="G2942" t="s">
        <v>56</v>
      </c>
      <c r="H2942" t="s">
        <v>23</v>
      </c>
      <c r="I2942" t="s">
        <v>24</v>
      </c>
      <c r="J2942" t="s">
        <v>43</v>
      </c>
      <c r="K2942" t="s">
        <v>26</v>
      </c>
      <c r="L2942" t="s">
        <v>44</v>
      </c>
      <c r="M2942">
        <v>6</v>
      </c>
      <c r="N2942" s="2">
        <v>35</v>
      </c>
      <c r="O2942" s="3">
        <v>4209</v>
      </c>
      <c r="P2942">
        <v>0</v>
      </c>
      <c r="Q2942">
        <v>4</v>
      </c>
      <c r="R2942" t="s">
        <v>33</v>
      </c>
      <c r="S2942">
        <v>1</v>
      </c>
    </row>
    <row r="2943" spans="1:19" ht="16.5" x14ac:dyDescent="0.3">
      <c r="A2943" t="s">
        <v>3006</v>
      </c>
      <c r="B2943" s="1">
        <v>45678</v>
      </c>
      <c r="C2943" s="1">
        <v>45689</v>
      </c>
      <c r="D2943">
        <v>2025</v>
      </c>
      <c r="E2943" t="s">
        <v>20</v>
      </c>
      <c r="F2943" t="s">
        <v>21</v>
      </c>
      <c r="G2943" t="s">
        <v>56</v>
      </c>
      <c r="H2943" t="s">
        <v>23</v>
      </c>
      <c r="I2943" t="s">
        <v>24</v>
      </c>
      <c r="J2943" t="s">
        <v>25</v>
      </c>
      <c r="K2943" t="s">
        <v>26</v>
      </c>
      <c r="L2943" t="s">
        <v>44</v>
      </c>
      <c r="M2943">
        <v>11</v>
      </c>
      <c r="N2943" s="2">
        <v>43</v>
      </c>
      <c r="O2943" s="3">
        <v>6697</v>
      </c>
      <c r="P2943">
        <v>0</v>
      </c>
      <c r="Q2943">
        <v>4</v>
      </c>
      <c r="R2943" t="s">
        <v>33</v>
      </c>
      <c r="S2943">
        <v>1</v>
      </c>
    </row>
    <row r="2944" spans="1:19" ht="16.5" x14ac:dyDescent="0.3">
      <c r="A2944" t="s">
        <v>3007</v>
      </c>
      <c r="B2944" s="1">
        <v>45679</v>
      </c>
      <c r="C2944" s="1">
        <v>45680</v>
      </c>
      <c r="D2944">
        <v>2025</v>
      </c>
      <c r="E2944" t="s">
        <v>20</v>
      </c>
      <c r="F2944" t="s">
        <v>21</v>
      </c>
      <c r="G2944" t="s">
        <v>70</v>
      </c>
      <c r="H2944" t="s">
        <v>52</v>
      </c>
      <c r="I2944" t="s">
        <v>40</v>
      </c>
      <c r="J2944" t="s">
        <v>43</v>
      </c>
      <c r="K2944" t="s">
        <v>26</v>
      </c>
      <c r="L2944" t="s">
        <v>44</v>
      </c>
      <c r="M2944">
        <v>1</v>
      </c>
      <c r="N2944" s="2"/>
      <c r="O2944" s="3">
        <v>1764</v>
      </c>
      <c r="P2944">
        <v>0</v>
      </c>
      <c r="Q2944">
        <v>5</v>
      </c>
      <c r="R2944" t="s">
        <v>33</v>
      </c>
      <c r="S2944">
        <v>1</v>
      </c>
    </row>
    <row r="2945" spans="1:19" ht="16.5" x14ac:dyDescent="0.3">
      <c r="A2945" t="s">
        <v>3008</v>
      </c>
      <c r="B2945" s="1">
        <v>45679</v>
      </c>
      <c r="C2945" s="1">
        <v>45683</v>
      </c>
      <c r="D2945">
        <v>2025</v>
      </c>
      <c r="E2945" t="s">
        <v>20</v>
      </c>
      <c r="F2945" t="s">
        <v>21</v>
      </c>
      <c r="G2945" t="s">
        <v>70</v>
      </c>
      <c r="H2945" t="s">
        <v>23</v>
      </c>
      <c r="I2945" t="s">
        <v>40</v>
      </c>
      <c r="J2945" t="s">
        <v>25</v>
      </c>
      <c r="K2945" t="s">
        <v>53</v>
      </c>
      <c r="L2945" t="s">
        <v>44</v>
      </c>
      <c r="M2945">
        <v>4</v>
      </c>
      <c r="N2945" s="2"/>
      <c r="O2945" s="3">
        <v>3356</v>
      </c>
      <c r="P2945">
        <v>0</v>
      </c>
      <c r="Q2945">
        <v>5</v>
      </c>
      <c r="R2945" t="s">
        <v>33</v>
      </c>
      <c r="S2945">
        <v>1</v>
      </c>
    </row>
    <row r="2946" spans="1:19" ht="16.5" x14ac:dyDescent="0.3">
      <c r="A2946" t="s">
        <v>3009</v>
      </c>
      <c r="B2946" s="1">
        <v>45679</v>
      </c>
      <c r="C2946" s="1">
        <v>45680</v>
      </c>
      <c r="D2946">
        <v>2025</v>
      </c>
      <c r="E2946" t="s">
        <v>20</v>
      </c>
      <c r="F2946" t="s">
        <v>21</v>
      </c>
      <c r="G2946" t="s">
        <v>70</v>
      </c>
      <c r="H2946" t="s">
        <v>23</v>
      </c>
      <c r="I2946" t="s">
        <v>31</v>
      </c>
      <c r="J2946" t="s">
        <v>25</v>
      </c>
      <c r="K2946" t="s">
        <v>36</v>
      </c>
      <c r="L2946" t="s">
        <v>44</v>
      </c>
      <c r="M2946">
        <v>1</v>
      </c>
      <c r="N2946" s="2"/>
      <c r="O2946" s="3">
        <v>1383</v>
      </c>
      <c r="P2946">
        <v>1</v>
      </c>
      <c r="Q2946">
        <v>2</v>
      </c>
      <c r="R2946" t="s">
        <v>28</v>
      </c>
      <c r="S2946">
        <v>1</v>
      </c>
    </row>
    <row r="2947" spans="1:19" ht="16.5" x14ac:dyDescent="0.3">
      <c r="A2947" t="s">
        <v>3010</v>
      </c>
      <c r="B2947" s="1">
        <v>45679</v>
      </c>
      <c r="C2947" s="1">
        <v>45682</v>
      </c>
      <c r="D2947">
        <v>2025</v>
      </c>
      <c r="E2947" t="s">
        <v>20</v>
      </c>
      <c r="F2947" t="s">
        <v>21</v>
      </c>
      <c r="G2947" t="s">
        <v>70</v>
      </c>
      <c r="H2947" t="s">
        <v>35</v>
      </c>
      <c r="I2947" t="s">
        <v>24</v>
      </c>
      <c r="J2947" t="s">
        <v>25</v>
      </c>
      <c r="K2947" t="s">
        <v>32</v>
      </c>
      <c r="L2947" t="s">
        <v>27</v>
      </c>
      <c r="M2947">
        <v>3</v>
      </c>
      <c r="N2947" s="2">
        <v>52</v>
      </c>
      <c r="O2947" s="3">
        <v>2395</v>
      </c>
      <c r="P2947">
        <v>0</v>
      </c>
      <c r="Q2947">
        <v>3</v>
      </c>
      <c r="R2947" t="s">
        <v>28</v>
      </c>
      <c r="S2947">
        <v>1</v>
      </c>
    </row>
    <row r="2948" spans="1:19" ht="16.5" x14ac:dyDescent="0.3">
      <c r="A2948" t="s">
        <v>3011</v>
      </c>
      <c r="B2948" s="1">
        <v>45679</v>
      </c>
      <c r="C2948" s="1">
        <v>45682</v>
      </c>
      <c r="D2948">
        <v>2025</v>
      </c>
      <c r="E2948" t="s">
        <v>20</v>
      </c>
      <c r="F2948" t="s">
        <v>21</v>
      </c>
      <c r="G2948" t="s">
        <v>70</v>
      </c>
      <c r="H2948" t="s">
        <v>50</v>
      </c>
      <c r="I2948" t="s">
        <v>40</v>
      </c>
      <c r="J2948" t="s">
        <v>43</v>
      </c>
      <c r="K2948" t="s">
        <v>53</v>
      </c>
      <c r="L2948" t="s">
        <v>37</v>
      </c>
      <c r="M2948">
        <v>3</v>
      </c>
      <c r="N2948" s="2"/>
      <c r="O2948" s="3">
        <v>4007</v>
      </c>
      <c r="P2948">
        <v>0</v>
      </c>
      <c r="Q2948">
        <v>5</v>
      </c>
      <c r="R2948" t="s">
        <v>33</v>
      </c>
      <c r="S2948">
        <v>1</v>
      </c>
    </row>
    <row r="2949" spans="1:19" ht="16.5" x14ac:dyDescent="0.3">
      <c r="A2949" t="s">
        <v>3012</v>
      </c>
      <c r="B2949" s="1">
        <v>45679</v>
      </c>
      <c r="C2949" s="1">
        <v>45682</v>
      </c>
      <c r="D2949">
        <v>2025</v>
      </c>
      <c r="E2949" t="s">
        <v>20</v>
      </c>
      <c r="F2949" t="s">
        <v>21</v>
      </c>
      <c r="G2949" t="s">
        <v>70</v>
      </c>
      <c r="H2949" t="s">
        <v>23</v>
      </c>
      <c r="I2949" t="s">
        <v>24</v>
      </c>
      <c r="J2949" t="s">
        <v>25</v>
      </c>
      <c r="K2949" t="s">
        <v>26</v>
      </c>
      <c r="L2949" t="s">
        <v>27</v>
      </c>
      <c r="M2949">
        <v>3</v>
      </c>
      <c r="N2949" s="2">
        <v>40</v>
      </c>
      <c r="O2949" s="3">
        <v>2731</v>
      </c>
      <c r="P2949">
        <v>0</v>
      </c>
      <c r="Q2949">
        <v>4</v>
      </c>
      <c r="R2949" t="s">
        <v>59</v>
      </c>
      <c r="S2949">
        <v>1</v>
      </c>
    </row>
    <row r="2950" spans="1:19" ht="16.5" x14ac:dyDescent="0.3">
      <c r="A2950" t="s">
        <v>3013</v>
      </c>
      <c r="B2950" s="1">
        <v>45679</v>
      </c>
      <c r="C2950" s="1">
        <v>45683</v>
      </c>
      <c r="D2950">
        <v>2025</v>
      </c>
      <c r="E2950" t="s">
        <v>20</v>
      </c>
      <c r="F2950" t="s">
        <v>21</v>
      </c>
      <c r="G2950" t="s">
        <v>70</v>
      </c>
      <c r="H2950" t="s">
        <v>30</v>
      </c>
      <c r="I2950" t="s">
        <v>40</v>
      </c>
      <c r="J2950" t="s">
        <v>43</v>
      </c>
      <c r="K2950" t="s">
        <v>53</v>
      </c>
      <c r="L2950" t="s">
        <v>37</v>
      </c>
      <c r="M2950">
        <v>4</v>
      </c>
      <c r="N2950" s="2"/>
      <c r="O2950" s="3">
        <v>3385</v>
      </c>
      <c r="P2950">
        <v>0</v>
      </c>
      <c r="Q2950">
        <v>5</v>
      </c>
      <c r="R2950" t="s">
        <v>33</v>
      </c>
      <c r="S2950">
        <v>1</v>
      </c>
    </row>
    <row r="2951" spans="1:19" ht="16.5" x14ac:dyDescent="0.3">
      <c r="A2951" t="s">
        <v>3014</v>
      </c>
      <c r="B2951" s="1">
        <v>45679</v>
      </c>
      <c r="C2951" s="1">
        <v>45690</v>
      </c>
      <c r="D2951">
        <v>2025</v>
      </c>
      <c r="E2951" t="s">
        <v>20</v>
      </c>
      <c r="F2951" t="s">
        <v>21</v>
      </c>
      <c r="G2951" t="s">
        <v>70</v>
      </c>
      <c r="H2951" t="s">
        <v>23</v>
      </c>
      <c r="I2951" t="s">
        <v>31</v>
      </c>
      <c r="J2951" t="s">
        <v>43</v>
      </c>
      <c r="K2951" t="s">
        <v>26</v>
      </c>
      <c r="L2951" t="s">
        <v>27</v>
      </c>
      <c r="M2951">
        <v>11</v>
      </c>
      <c r="N2951" s="2"/>
      <c r="O2951" s="3">
        <v>5756</v>
      </c>
      <c r="P2951">
        <v>0</v>
      </c>
      <c r="Q2951">
        <v>5</v>
      </c>
      <c r="R2951" t="s">
        <v>28</v>
      </c>
      <c r="S2951">
        <v>1</v>
      </c>
    </row>
    <row r="2952" spans="1:19" ht="16.5" x14ac:dyDescent="0.3">
      <c r="A2952" t="s">
        <v>3015</v>
      </c>
      <c r="B2952" s="1">
        <v>45679</v>
      </c>
      <c r="C2952" s="1">
        <v>45682</v>
      </c>
      <c r="D2952">
        <v>2025</v>
      </c>
      <c r="E2952" t="s">
        <v>20</v>
      </c>
      <c r="F2952" t="s">
        <v>21</v>
      </c>
      <c r="G2952" t="s">
        <v>70</v>
      </c>
      <c r="H2952" t="s">
        <v>35</v>
      </c>
      <c r="I2952" t="s">
        <v>24</v>
      </c>
      <c r="J2952" t="s">
        <v>25</v>
      </c>
      <c r="K2952" t="s">
        <v>36</v>
      </c>
      <c r="L2952" t="s">
        <v>44</v>
      </c>
      <c r="M2952">
        <v>3</v>
      </c>
      <c r="N2952" s="2">
        <v>53</v>
      </c>
      <c r="O2952" s="3">
        <v>2813</v>
      </c>
      <c r="P2952">
        <v>0</v>
      </c>
      <c r="Q2952">
        <v>3</v>
      </c>
      <c r="R2952" t="s">
        <v>28</v>
      </c>
      <c r="S2952">
        <v>1</v>
      </c>
    </row>
    <row r="2953" spans="1:19" ht="16.5" x14ac:dyDescent="0.3">
      <c r="A2953" t="s">
        <v>3016</v>
      </c>
      <c r="B2953" s="1">
        <v>45679</v>
      </c>
      <c r="C2953" s="1">
        <v>45681</v>
      </c>
      <c r="D2953">
        <v>2025</v>
      </c>
      <c r="E2953" t="s">
        <v>20</v>
      </c>
      <c r="F2953" t="s">
        <v>21</v>
      </c>
      <c r="G2953" t="s">
        <v>70</v>
      </c>
      <c r="H2953" t="s">
        <v>50</v>
      </c>
      <c r="I2953" t="s">
        <v>24</v>
      </c>
      <c r="J2953" t="s">
        <v>25</v>
      </c>
      <c r="K2953" t="s">
        <v>36</v>
      </c>
      <c r="L2953" t="s">
        <v>44</v>
      </c>
      <c r="M2953">
        <v>2</v>
      </c>
      <c r="N2953" s="2">
        <v>58</v>
      </c>
      <c r="O2953" s="3">
        <v>3747</v>
      </c>
      <c r="P2953">
        <v>1</v>
      </c>
      <c r="Q2953">
        <v>4</v>
      </c>
      <c r="R2953" t="s">
        <v>33</v>
      </c>
      <c r="S2953">
        <v>1</v>
      </c>
    </row>
    <row r="2954" spans="1:19" ht="16.5" x14ac:dyDescent="0.3">
      <c r="A2954" t="s">
        <v>3017</v>
      </c>
      <c r="B2954" s="1">
        <v>45680</v>
      </c>
      <c r="C2954" s="1">
        <v>45686</v>
      </c>
      <c r="D2954">
        <v>2025</v>
      </c>
      <c r="E2954" t="s">
        <v>20</v>
      </c>
      <c r="F2954" t="s">
        <v>21</v>
      </c>
      <c r="G2954" t="s">
        <v>78</v>
      </c>
      <c r="H2954" t="s">
        <v>30</v>
      </c>
      <c r="I2954" t="s">
        <v>24</v>
      </c>
      <c r="J2954" t="s">
        <v>43</v>
      </c>
      <c r="K2954" t="s">
        <v>26</v>
      </c>
      <c r="L2954" t="s">
        <v>27</v>
      </c>
      <c r="M2954">
        <v>6</v>
      </c>
      <c r="N2954" s="2">
        <v>60</v>
      </c>
      <c r="O2954" s="3">
        <v>5910</v>
      </c>
      <c r="P2954">
        <v>0</v>
      </c>
      <c r="Q2954">
        <v>4</v>
      </c>
      <c r="R2954" t="s">
        <v>28</v>
      </c>
      <c r="S2954">
        <v>1</v>
      </c>
    </row>
    <row r="2955" spans="1:19" ht="16.5" x14ac:dyDescent="0.3">
      <c r="A2955" t="s">
        <v>3018</v>
      </c>
      <c r="B2955" s="1">
        <v>45680</v>
      </c>
      <c r="C2955" s="1">
        <v>45689</v>
      </c>
      <c r="D2955">
        <v>2025</v>
      </c>
      <c r="E2955" t="s">
        <v>20</v>
      </c>
      <c r="F2955" t="s">
        <v>21</v>
      </c>
      <c r="G2955" t="s">
        <v>78</v>
      </c>
      <c r="H2955" t="s">
        <v>50</v>
      </c>
      <c r="I2955" t="s">
        <v>24</v>
      </c>
      <c r="J2955" t="s">
        <v>25</v>
      </c>
      <c r="K2955" t="s">
        <v>26</v>
      </c>
      <c r="L2955" t="s">
        <v>44</v>
      </c>
      <c r="M2955">
        <v>9</v>
      </c>
      <c r="N2955" s="2">
        <v>51</v>
      </c>
      <c r="O2955" s="3">
        <v>10392</v>
      </c>
      <c r="P2955">
        <v>1</v>
      </c>
      <c r="Q2955">
        <v>4</v>
      </c>
      <c r="R2955" t="s">
        <v>33</v>
      </c>
      <c r="S2955">
        <v>1</v>
      </c>
    </row>
    <row r="2956" spans="1:19" ht="16.5" x14ac:dyDescent="0.3">
      <c r="A2956" t="s">
        <v>3019</v>
      </c>
      <c r="B2956" s="1">
        <v>45680</v>
      </c>
      <c r="C2956" s="1">
        <v>45681</v>
      </c>
      <c r="D2956">
        <v>2025</v>
      </c>
      <c r="E2956" t="s">
        <v>20</v>
      </c>
      <c r="F2956" t="s">
        <v>21</v>
      </c>
      <c r="G2956" t="s">
        <v>78</v>
      </c>
      <c r="H2956" t="s">
        <v>35</v>
      </c>
      <c r="I2956" t="s">
        <v>40</v>
      </c>
      <c r="J2956" t="s">
        <v>25</v>
      </c>
      <c r="K2956" t="s">
        <v>36</v>
      </c>
      <c r="L2956" t="s">
        <v>27</v>
      </c>
      <c r="M2956">
        <v>1</v>
      </c>
      <c r="N2956" s="2"/>
      <c r="O2956" s="3">
        <v>1250</v>
      </c>
      <c r="P2956">
        <v>0</v>
      </c>
      <c r="Q2956">
        <v>5</v>
      </c>
      <c r="R2956" t="s">
        <v>33</v>
      </c>
      <c r="S2956">
        <v>1</v>
      </c>
    </row>
    <row r="2957" spans="1:19" ht="16.5" x14ac:dyDescent="0.3">
      <c r="A2957" t="s">
        <v>3020</v>
      </c>
      <c r="B2957" s="1">
        <v>45680</v>
      </c>
      <c r="C2957" s="1">
        <v>45686</v>
      </c>
      <c r="D2957">
        <v>2025</v>
      </c>
      <c r="E2957" t="s">
        <v>20</v>
      </c>
      <c r="F2957" t="s">
        <v>21</v>
      </c>
      <c r="G2957" t="s">
        <v>78</v>
      </c>
      <c r="H2957" t="s">
        <v>30</v>
      </c>
      <c r="I2957" t="s">
        <v>40</v>
      </c>
      <c r="J2957" t="s">
        <v>43</v>
      </c>
      <c r="K2957" t="s">
        <v>32</v>
      </c>
      <c r="L2957" t="s">
        <v>44</v>
      </c>
      <c r="M2957">
        <v>6</v>
      </c>
      <c r="N2957" s="2"/>
      <c r="O2957" s="3">
        <v>6751</v>
      </c>
      <c r="P2957">
        <v>0</v>
      </c>
      <c r="Q2957">
        <v>4</v>
      </c>
      <c r="R2957" t="s">
        <v>33</v>
      </c>
      <c r="S2957">
        <v>1</v>
      </c>
    </row>
    <row r="2958" spans="1:19" ht="16.5" x14ac:dyDescent="0.3">
      <c r="A2958" t="s">
        <v>3021</v>
      </c>
      <c r="B2958" s="1">
        <v>45680</v>
      </c>
      <c r="C2958" s="1">
        <v>45684</v>
      </c>
      <c r="D2958">
        <v>2025</v>
      </c>
      <c r="E2958" t="s">
        <v>20</v>
      </c>
      <c r="F2958" t="s">
        <v>21</v>
      </c>
      <c r="G2958" t="s">
        <v>78</v>
      </c>
      <c r="H2958" t="s">
        <v>23</v>
      </c>
      <c r="I2958" t="s">
        <v>24</v>
      </c>
      <c r="J2958" t="s">
        <v>43</v>
      </c>
      <c r="K2958" t="s">
        <v>26</v>
      </c>
      <c r="L2958" t="s">
        <v>27</v>
      </c>
      <c r="M2958">
        <v>4</v>
      </c>
      <c r="N2958" s="2">
        <v>46</v>
      </c>
      <c r="O2958" s="3">
        <v>3588</v>
      </c>
      <c r="P2958">
        <v>0</v>
      </c>
      <c r="Q2958">
        <v>5</v>
      </c>
      <c r="R2958" t="s">
        <v>28</v>
      </c>
      <c r="S2958">
        <v>1</v>
      </c>
    </row>
    <row r="2959" spans="1:19" ht="16.5" x14ac:dyDescent="0.3">
      <c r="A2959" t="s">
        <v>3022</v>
      </c>
      <c r="B2959" s="1">
        <v>45680</v>
      </c>
      <c r="C2959" s="1">
        <v>45690</v>
      </c>
      <c r="D2959">
        <v>2025</v>
      </c>
      <c r="E2959" t="s">
        <v>20</v>
      </c>
      <c r="F2959" t="s">
        <v>21</v>
      </c>
      <c r="G2959" t="s">
        <v>78</v>
      </c>
      <c r="H2959" t="s">
        <v>23</v>
      </c>
      <c r="I2959" t="s">
        <v>24</v>
      </c>
      <c r="J2959" t="s">
        <v>25</v>
      </c>
      <c r="K2959" t="s">
        <v>26</v>
      </c>
      <c r="L2959" t="s">
        <v>44</v>
      </c>
      <c r="M2959">
        <v>10</v>
      </c>
      <c r="N2959" s="2">
        <v>122</v>
      </c>
      <c r="O2959" s="3">
        <v>7169</v>
      </c>
      <c r="P2959">
        <v>0</v>
      </c>
      <c r="Q2959">
        <v>4</v>
      </c>
      <c r="R2959" t="s">
        <v>33</v>
      </c>
      <c r="S2959">
        <v>1</v>
      </c>
    </row>
    <row r="2960" spans="1:19" ht="16.5" x14ac:dyDescent="0.3">
      <c r="A2960" t="s">
        <v>3023</v>
      </c>
      <c r="B2960" s="1">
        <v>45680</v>
      </c>
      <c r="C2960" s="1">
        <v>45689</v>
      </c>
      <c r="D2960">
        <v>2025</v>
      </c>
      <c r="E2960" t="s">
        <v>20</v>
      </c>
      <c r="F2960" t="s">
        <v>21</v>
      </c>
      <c r="G2960" t="s">
        <v>78</v>
      </c>
      <c r="H2960" t="s">
        <v>23</v>
      </c>
      <c r="I2960" t="s">
        <v>24</v>
      </c>
      <c r="J2960" t="s">
        <v>43</v>
      </c>
      <c r="K2960" t="s">
        <v>26</v>
      </c>
      <c r="L2960" t="s">
        <v>44</v>
      </c>
      <c r="M2960">
        <v>9</v>
      </c>
      <c r="N2960" s="2">
        <v>66</v>
      </c>
      <c r="O2960" s="3">
        <v>6782</v>
      </c>
      <c r="P2960">
        <v>0</v>
      </c>
      <c r="Q2960">
        <v>3</v>
      </c>
      <c r="R2960" t="s">
        <v>33</v>
      </c>
      <c r="S2960">
        <v>1</v>
      </c>
    </row>
    <row r="2961" spans="1:19" ht="16.5" x14ac:dyDescent="0.3">
      <c r="A2961" t="s">
        <v>3024</v>
      </c>
      <c r="B2961" s="1">
        <v>45680</v>
      </c>
      <c r="C2961" s="1">
        <v>45683</v>
      </c>
      <c r="D2961">
        <v>2025</v>
      </c>
      <c r="E2961" t="s">
        <v>20</v>
      </c>
      <c r="F2961" t="s">
        <v>21</v>
      </c>
      <c r="G2961" t="s">
        <v>78</v>
      </c>
      <c r="H2961" t="s">
        <v>35</v>
      </c>
      <c r="I2961" t="s">
        <v>24</v>
      </c>
      <c r="J2961" t="s">
        <v>25</v>
      </c>
      <c r="K2961" t="s">
        <v>32</v>
      </c>
      <c r="L2961" t="s">
        <v>44</v>
      </c>
      <c r="M2961">
        <v>3</v>
      </c>
      <c r="N2961" s="2">
        <v>35</v>
      </c>
      <c r="O2961" s="3">
        <v>2918</v>
      </c>
      <c r="P2961">
        <v>0</v>
      </c>
      <c r="Q2961">
        <v>3</v>
      </c>
      <c r="R2961" t="s">
        <v>33</v>
      </c>
      <c r="S2961">
        <v>1</v>
      </c>
    </row>
    <row r="2962" spans="1:19" ht="16.5" x14ac:dyDescent="0.3">
      <c r="A2962" t="s">
        <v>3025</v>
      </c>
      <c r="B2962" s="1">
        <v>45681</v>
      </c>
      <c r="C2962" s="1">
        <v>45684</v>
      </c>
      <c r="D2962">
        <v>2025</v>
      </c>
      <c r="E2962" t="s">
        <v>20</v>
      </c>
      <c r="F2962" t="s">
        <v>21</v>
      </c>
      <c r="G2962" t="s">
        <v>83</v>
      </c>
      <c r="H2962" t="s">
        <v>52</v>
      </c>
      <c r="I2962" t="s">
        <v>40</v>
      </c>
      <c r="J2962" t="s">
        <v>25</v>
      </c>
      <c r="K2962" t="s">
        <v>53</v>
      </c>
      <c r="L2962" t="s">
        <v>27</v>
      </c>
      <c r="M2962">
        <v>3</v>
      </c>
      <c r="N2962" s="2"/>
      <c r="O2962" s="3">
        <v>3699</v>
      </c>
      <c r="P2962">
        <v>0</v>
      </c>
      <c r="Q2962">
        <v>3</v>
      </c>
      <c r="R2962" t="s">
        <v>33</v>
      </c>
      <c r="S2962">
        <v>1</v>
      </c>
    </row>
    <row r="2963" spans="1:19" ht="16.5" x14ac:dyDescent="0.3">
      <c r="A2963" t="s">
        <v>3026</v>
      </c>
      <c r="B2963" s="1">
        <v>45681</v>
      </c>
      <c r="C2963" s="1">
        <v>45685</v>
      </c>
      <c r="D2963">
        <v>2025</v>
      </c>
      <c r="E2963" t="s">
        <v>20</v>
      </c>
      <c r="F2963" t="s">
        <v>21</v>
      </c>
      <c r="G2963" t="s">
        <v>83</v>
      </c>
      <c r="H2963" t="s">
        <v>30</v>
      </c>
      <c r="I2963" t="s">
        <v>40</v>
      </c>
      <c r="J2963" t="s">
        <v>25</v>
      </c>
      <c r="K2963" t="s">
        <v>26</v>
      </c>
      <c r="L2963" t="s">
        <v>37</v>
      </c>
      <c r="M2963">
        <v>4</v>
      </c>
      <c r="N2963" s="2"/>
      <c r="O2963" s="3">
        <v>5458</v>
      </c>
      <c r="P2963">
        <v>1</v>
      </c>
      <c r="Q2963">
        <v>4</v>
      </c>
      <c r="R2963" t="s">
        <v>28</v>
      </c>
      <c r="S2963">
        <v>1</v>
      </c>
    </row>
    <row r="2964" spans="1:19" ht="16.5" x14ac:dyDescent="0.3">
      <c r="A2964" t="s">
        <v>3027</v>
      </c>
      <c r="B2964" s="1">
        <v>45681</v>
      </c>
      <c r="C2964" s="1">
        <v>45682</v>
      </c>
      <c r="D2964">
        <v>2025</v>
      </c>
      <c r="E2964" t="s">
        <v>20</v>
      </c>
      <c r="F2964" t="s">
        <v>21</v>
      </c>
      <c r="G2964" t="s">
        <v>83</v>
      </c>
      <c r="H2964" t="s">
        <v>35</v>
      </c>
      <c r="I2964" t="s">
        <v>24</v>
      </c>
      <c r="J2964" t="s">
        <v>25</v>
      </c>
      <c r="K2964" t="s">
        <v>36</v>
      </c>
      <c r="L2964" t="s">
        <v>27</v>
      </c>
      <c r="M2964">
        <v>1</v>
      </c>
      <c r="N2964" s="2">
        <v>73</v>
      </c>
      <c r="O2964" s="3">
        <v>1605</v>
      </c>
      <c r="P2964">
        <v>0</v>
      </c>
      <c r="Q2964">
        <v>5</v>
      </c>
      <c r="R2964" t="s">
        <v>33</v>
      </c>
      <c r="S2964">
        <v>1</v>
      </c>
    </row>
    <row r="2965" spans="1:19" ht="16.5" x14ac:dyDescent="0.3">
      <c r="A2965" t="s">
        <v>3028</v>
      </c>
      <c r="B2965" s="1">
        <v>45681</v>
      </c>
      <c r="C2965" s="1">
        <v>45685</v>
      </c>
      <c r="D2965">
        <v>2025</v>
      </c>
      <c r="E2965" t="s">
        <v>20</v>
      </c>
      <c r="F2965" t="s">
        <v>21</v>
      </c>
      <c r="G2965" t="s">
        <v>83</v>
      </c>
      <c r="H2965" t="s">
        <v>30</v>
      </c>
      <c r="I2965" t="s">
        <v>40</v>
      </c>
      <c r="J2965" t="s">
        <v>25</v>
      </c>
      <c r="K2965" t="s">
        <v>36</v>
      </c>
      <c r="L2965" t="s">
        <v>44</v>
      </c>
      <c r="M2965">
        <v>4</v>
      </c>
      <c r="N2965" s="2"/>
      <c r="O2965" s="3">
        <v>4621</v>
      </c>
      <c r="P2965">
        <v>0</v>
      </c>
      <c r="Q2965">
        <v>5</v>
      </c>
      <c r="R2965" t="s">
        <v>33</v>
      </c>
      <c r="S2965">
        <v>1</v>
      </c>
    </row>
    <row r="2966" spans="1:19" ht="16.5" x14ac:dyDescent="0.3">
      <c r="A2966" t="s">
        <v>3029</v>
      </c>
      <c r="B2966" s="1">
        <v>45681</v>
      </c>
      <c r="C2966" s="1">
        <v>45686</v>
      </c>
      <c r="D2966">
        <v>2025</v>
      </c>
      <c r="E2966" t="s">
        <v>20</v>
      </c>
      <c r="F2966" t="s">
        <v>21</v>
      </c>
      <c r="G2966" t="s">
        <v>83</v>
      </c>
      <c r="H2966" t="s">
        <v>23</v>
      </c>
      <c r="I2966" t="s">
        <v>24</v>
      </c>
      <c r="J2966" t="s">
        <v>43</v>
      </c>
      <c r="K2966" t="s">
        <v>53</v>
      </c>
      <c r="L2966" t="s">
        <v>44</v>
      </c>
      <c r="M2966">
        <v>5</v>
      </c>
      <c r="N2966" s="2">
        <v>101</v>
      </c>
      <c r="O2966" s="3">
        <v>3733</v>
      </c>
      <c r="P2966">
        <v>0</v>
      </c>
      <c r="Q2966">
        <v>3</v>
      </c>
      <c r="R2966" t="s">
        <v>33</v>
      </c>
      <c r="S2966">
        <v>1</v>
      </c>
    </row>
    <row r="2967" spans="1:19" ht="16.5" x14ac:dyDescent="0.3">
      <c r="A2967" t="s">
        <v>3030</v>
      </c>
      <c r="B2967" s="1">
        <v>45681</v>
      </c>
      <c r="C2967" s="1">
        <v>45684</v>
      </c>
      <c r="D2967">
        <v>2025</v>
      </c>
      <c r="E2967" t="s">
        <v>20</v>
      </c>
      <c r="F2967" t="s">
        <v>21</v>
      </c>
      <c r="G2967" t="s">
        <v>83</v>
      </c>
      <c r="H2967" t="s">
        <v>50</v>
      </c>
      <c r="I2967" t="s">
        <v>31</v>
      </c>
      <c r="J2967" t="s">
        <v>43</v>
      </c>
      <c r="K2967" t="s">
        <v>53</v>
      </c>
      <c r="L2967" t="s">
        <v>27</v>
      </c>
      <c r="M2967">
        <v>3</v>
      </c>
      <c r="N2967" s="2"/>
      <c r="O2967" s="3">
        <v>4614</v>
      </c>
      <c r="P2967">
        <v>1</v>
      </c>
      <c r="Q2967">
        <v>4</v>
      </c>
      <c r="R2967" t="s">
        <v>33</v>
      </c>
      <c r="S2967">
        <v>1</v>
      </c>
    </row>
    <row r="2968" spans="1:19" ht="16.5" x14ac:dyDescent="0.3">
      <c r="A2968" t="s">
        <v>3031</v>
      </c>
      <c r="B2968" s="1">
        <v>45681</v>
      </c>
      <c r="C2968" s="1">
        <v>45684</v>
      </c>
      <c r="D2968">
        <v>2025</v>
      </c>
      <c r="E2968" t="s">
        <v>20</v>
      </c>
      <c r="F2968" t="s">
        <v>21</v>
      </c>
      <c r="G2968" t="s">
        <v>83</v>
      </c>
      <c r="H2968" t="s">
        <v>50</v>
      </c>
      <c r="I2968" t="s">
        <v>24</v>
      </c>
      <c r="J2968" t="s">
        <v>25</v>
      </c>
      <c r="K2968" t="s">
        <v>26</v>
      </c>
      <c r="L2968" t="s">
        <v>27</v>
      </c>
      <c r="M2968">
        <v>3</v>
      </c>
      <c r="N2968" s="2">
        <v>79</v>
      </c>
      <c r="O2968" s="3">
        <v>4101</v>
      </c>
      <c r="P2968">
        <v>0</v>
      </c>
      <c r="Q2968">
        <v>5</v>
      </c>
      <c r="R2968" t="s">
        <v>28</v>
      </c>
      <c r="S2968">
        <v>1</v>
      </c>
    </row>
    <row r="2969" spans="1:19" ht="16.5" x14ac:dyDescent="0.3">
      <c r="A2969" t="s">
        <v>3032</v>
      </c>
      <c r="B2969" s="1">
        <v>45681</v>
      </c>
      <c r="C2969" s="1">
        <v>45683</v>
      </c>
      <c r="D2969">
        <v>2025</v>
      </c>
      <c r="E2969" t="s">
        <v>20</v>
      </c>
      <c r="F2969" t="s">
        <v>21</v>
      </c>
      <c r="G2969" t="s">
        <v>83</v>
      </c>
      <c r="H2969" t="s">
        <v>23</v>
      </c>
      <c r="I2969" t="s">
        <v>24</v>
      </c>
      <c r="J2969" t="s">
        <v>43</v>
      </c>
      <c r="K2969" t="s">
        <v>53</v>
      </c>
      <c r="L2969" t="s">
        <v>27</v>
      </c>
      <c r="M2969">
        <v>2</v>
      </c>
      <c r="N2969" s="2">
        <v>27</v>
      </c>
      <c r="O2969" s="3">
        <v>2651</v>
      </c>
      <c r="P2969">
        <v>0</v>
      </c>
      <c r="Q2969">
        <v>4</v>
      </c>
      <c r="R2969" t="s">
        <v>33</v>
      </c>
      <c r="S2969">
        <v>1</v>
      </c>
    </row>
    <row r="2970" spans="1:19" ht="16.5" x14ac:dyDescent="0.3">
      <c r="A2970" t="s">
        <v>3033</v>
      </c>
      <c r="B2970" s="1">
        <v>45681</v>
      </c>
      <c r="C2970" s="1">
        <v>45694</v>
      </c>
      <c r="D2970">
        <v>2025</v>
      </c>
      <c r="E2970" t="s">
        <v>20</v>
      </c>
      <c r="F2970" t="s">
        <v>21</v>
      </c>
      <c r="G2970" t="s">
        <v>83</v>
      </c>
      <c r="H2970" t="s">
        <v>23</v>
      </c>
      <c r="I2970" t="s">
        <v>24</v>
      </c>
      <c r="J2970" t="s">
        <v>43</v>
      </c>
      <c r="K2970" t="s">
        <v>26</v>
      </c>
      <c r="L2970" t="s">
        <v>37</v>
      </c>
      <c r="M2970">
        <v>13</v>
      </c>
      <c r="N2970" s="2">
        <v>149</v>
      </c>
      <c r="O2970" s="3">
        <v>7849</v>
      </c>
      <c r="P2970">
        <v>0</v>
      </c>
      <c r="Q2970">
        <v>4</v>
      </c>
      <c r="R2970" t="s">
        <v>33</v>
      </c>
      <c r="S2970">
        <v>1</v>
      </c>
    </row>
    <row r="2971" spans="1:19" ht="16.5" x14ac:dyDescent="0.3">
      <c r="A2971" t="s">
        <v>3034</v>
      </c>
      <c r="B2971" s="1">
        <v>45681</v>
      </c>
      <c r="C2971" s="1">
        <v>45687</v>
      </c>
      <c r="D2971">
        <v>2025</v>
      </c>
      <c r="E2971" t="s">
        <v>20</v>
      </c>
      <c r="F2971" t="s">
        <v>21</v>
      </c>
      <c r="G2971" t="s">
        <v>83</v>
      </c>
      <c r="H2971" t="s">
        <v>35</v>
      </c>
      <c r="I2971" t="s">
        <v>24</v>
      </c>
      <c r="J2971" t="s">
        <v>25</v>
      </c>
      <c r="K2971" t="s">
        <v>32</v>
      </c>
      <c r="L2971" t="s">
        <v>44</v>
      </c>
      <c r="M2971">
        <v>6</v>
      </c>
      <c r="N2971" s="2">
        <v>23</v>
      </c>
      <c r="O2971" s="3">
        <v>5214</v>
      </c>
      <c r="P2971">
        <v>0</v>
      </c>
      <c r="Q2971">
        <v>4</v>
      </c>
      <c r="R2971" t="s">
        <v>33</v>
      </c>
      <c r="S2971">
        <v>1</v>
      </c>
    </row>
    <row r="2972" spans="1:19" ht="16.5" x14ac:dyDescent="0.3">
      <c r="A2972" t="s">
        <v>3035</v>
      </c>
      <c r="B2972" s="1">
        <v>45681</v>
      </c>
      <c r="C2972" s="1">
        <v>45683</v>
      </c>
      <c r="D2972">
        <v>2025</v>
      </c>
      <c r="E2972" t="s">
        <v>20</v>
      </c>
      <c r="F2972" t="s">
        <v>21</v>
      </c>
      <c r="G2972" t="s">
        <v>83</v>
      </c>
      <c r="H2972" t="s">
        <v>35</v>
      </c>
      <c r="I2972" t="s">
        <v>24</v>
      </c>
      <c r="J2972" t="s">
        <v>25</v>
      </c>
      <c r="K2972" t="s">
        <v>32</v>
      </c>
      <c r="L2972" t="s">
        <v>27</v>
      </c>
      <c r="M2972">
        <v>2</v>
      </c>
      <c r="N2972" s="2">
        <v>44</v>
      </c>
      <c r="O2972" s="3">
        <v>2816</v>
      </c>
      <c r="P2972">
        <v>0</v>
      </c>
      <c r="Q2972">
        <v>4</v>
      </c>
      <c r="R2972" t="s">
        <v>28</v>
      </c>
      <c r="S2972">
        <v>1</v>
      </c>
    </row>
    <row r="2973" spans="1:19" ht="16.5" x14ac:dyDescent="0.3">
      <c r="A2973" t="s">
        <v>3036</v>
      </c>
      <c r="B2973" s="1">
        <v>45681</v>
      </c>
      <c r="C2973" s="1">
        <v>45700</v>
      </c>
      <c r="D2973">
        <v>2025</v>
      </c>
      <c r="E2973" t="s">
        <v>20</v>
      </c>
      <c r="F2973" t="s">
        <v>21</v>
      </c>
      <c r="G2973" t="s">
        <v>83</v>
      </c>
      <c r="H2973" t="s">
        <v>23</v>
      </c>
      <c r="I2973" t="s">
        <v>40</v>
      </c>
      <c r="J2973" t="s">
        <v>43</v>
      </c>
      <c r="K2973" t="s">
        <v>53</v>
      </c>
      <c r="L2973" t="s">
        <v>27</v>
      </c>
      <c r="M2973">
        <v>19</v>
      </c>
      <c r="N2973" s="2"/>
      <c r="O2973" s="3">
        <v>11999</v>
      </c>
      <c r="P2973">
        <v>0</v>
      </c>
      <c r="Q2973">
        <v>4</v>
      </c>
      <c r="R2973" t="s">
        <v>28</v>
      </c>
      <c r="S2973">
        <v>1</v>
      </c>
    </row>
    <row r="2974" spans="1:19" ht="16.5" x14ac:dyDescent="0.3">
      <c r="A2974" t="s">
        <v>3037</v>
      </c>
      <c r="B2974" s="1">
        <v>45682</v>
      </c>
      <c r="C2974" s="1">
        <v>45684</v>
      </c>
      <c r="D2974">
        <v>2025</v>
      </c>
      <c r="E2974" t="s">
        <v>20</v>
      </c>
      <c r="F2974" t="s">
        <v>21</v>
      </c>
      <c r="G2974" t="s">
        <v>102</v>
      </c>
      <c r="H2974" t="s">
        <v>30</v>
      </c>
      <c r="I2974" t="s">
        <v>40</v>
      </c>
      <c r="J2974" t="s">
        <v>43</v>
      </c>
      <c r="K2974" t="s">
        <v>32</v>
      </c>
      <c r="L2974" t="s">
        <v>27</v>
      </c>
      <c r="M2974">
        <v>2</v>
      </c>
      <c r="N2974" s="2"/>
      <c r="O2974" s="3">
        <v>2485</v>
      </c>
      <c r="P2974">
        <v>0</v>
      </c>
      <c r="Q2974">
        <v>5</v>
      </c>
      <c r="R2974" t="s">
        <v>28</v>
      </c>
      <c r="S2974">
        <v>1</v>
      </c>
    </row>
    <row r="2975" spans="1:19" ht="16.5" x14ac:dyDescent="0.3">
      <c r="A2975" t="s">
        <v>3038</v>
      </c>
      <c r="B2975" s="1">
        <v>45682</v>
      </c>
      <c r="C2975" s="1">
        <v>45683</v>
      </c>
      <c r="D2975">
        <v>2025</v>
      </c>
      <c r="E2975" t="s">
        <v>20</v>
      </c>
      <c r="F2975" t="s">
        <v>21</v>
      </c>
      <c r="G2975" t="s">
        <v>102</v>
      </c>
      <c r="H2975" t="s">
        <v>23</v>
      </c>
      <c r="I2975" t="s">
        <v>24</v>
      </c>
      <c r="J2975" t="s">
        <v>25</v>
      </c>
      <c r="K2975" t="s">
        <v>53</v>
      </c>
      <c r="L2975" t="s">
        <v>44</v>
      </c>
      <c r="M2975">
        <v>1</v>
      </c>
      <c r="N2975" s="2">
        <v>95</v>
      </c>
      <c r="O2975" s="3">
        <v>1117</v>
      </c>
      <c r="P2975">
        <v>0</v>
      </c>
      <c r="Q2975">
        <v>2</v>
      </c>
      <c r="R2975" t="s">
        <v>33</v>
      </c>
      <c r="S2975">
        <v>1</v>
      </c>
    </row>
    <row r="2976" spans="1:19" ht="16.5" x14ac:dyDescent="0.3">
      <c r="A2976" t="s">
        <v>3039</v>
      </c>
      <c r="B2976" s="1">
        <v>45682</v>
      </c>
      <c r="C2976" s="1">
        <v>45693</v>
      </c>
      <c r="D2976">
        <v>2025</v>
      </c>
      <c r="E2976" t="s">
        <v>20</v>
      </c>
      <c r="F2976" t="s">
        <v>21</v>
      </c>
      <c r="G2976" t="s">
        <v>102</v>
      </c>
      <c r="H2976" t="s">
        <v>39</v>
      </c>
      <c r="I2976" t="s">
        <v>24</v>
      </c>
      <c r="J2976" t="s">
        <v>25</v>
      </c>
      <c r="K2976" t="s">
        <v>41</v>
      </c>
      <c r="L2976" t="s">
        <v>27</v>
      </c>
      <c r="M2976">
        <v>11</v>
      </c>
      <c r="N2976" s="2">
        <v>50</v>
      </c>
      <c r="O2976" s="3">
        <v>6334</v>
      </c>
      <c r="P2976">
        <v>1</v>
      </c>
      <c r="Q2976">
        <v>4</v>
      </c>
      <c r="R2976" t="s">
        <v>33</v>
      </c>
      <c r="S2976">
        <v>1</v>
      </c>
    </row>
    <row r="2977" spans="1:19" ht="16.5" x14ac:dyDescent="0.3">
      <c r="A2977" t="s">
        <v>3040</v>
      </c>
      <c r="B2977" s="1">
        <v>45682</v>
      </c>
      <c r="C2977" s="1">
        <v>45684</v>
      </c>
      <c r="D2977">
        <v>2025</v>
      </c>
      <c r="E2977" t="s">
        <v>20</v>
      </c>
      <c r="F2977" t="s">
        <v>21</v>
      </c>
      <c r="G2977" t="s">
        <v>102</v>
      </c>
      <c r="H2977" t="s">
        <v>50</v>
      </c>
      <c r="I2977" t="s">
        <v>24</v>
      </c>
      <c r="J2977" t="s">
        <v>43</v>
      </c>
      <c r="K2977" t="s">
        <v>26</v>
      </c>
      <c r="L2977" t="s">
        <v>27</v>
      </c>
      <c r="M2977">
        <v>2</v>
      </c>
      <c r="N2977" s="2">
        <v>83</v>
      </c>
      <c r="O2977" s="3">
        <v>3497</v>
      </c>
      <c r="P2977">
        <v>0</v>
      </c>
      <c r="Q2977">
        <v>4</v>
      </c>
      <c r="R2977" t="s">
        <v>59</v>
      </c>
      <c r="S2977">
        <v>1</v>
      </c>
    </row>
    <row r="2978" spans="1:19" ht="16.5" x14ac:dyDescent="0.3">
      <c r="A2978" t="s">
        <v>3041</v>
      </c>
      <c r="B2978" s="1">
        <v>45682</v>
      </c>
      <c r="C2978" s="1">
        <v>45684</v>
      </c>
      <c r="D2978">
        <v>2025</v>
      </c>
      <c r="E2978" t="s">
        <v>20</v>
      </c>
      <c r="F2978" t="s">
        <v>21</v>
      </c>
      <c r="G2978" t="s">
        <v>102</v>
      </c>
      <c r="H2978" t="s">
        <v>35</v>
      </c>
      <c r="I2978" t="s">
        <v>24</v>
      </c>
      <c r="J2978" t="s">
        <v>25</v>
      </c>
      <c r="K2978" t="s">
        <v>32</v>
      </c>
      <c r="L2978" t="s">
        <v>27</v>
      </c>
      <c r="M2978">
        <v>2</v>
      </c>
      <c r="N2978" s="2">
        <v>162</v>
      </c>
      <c r="O2978" s="3">
        <v>1942</v>
      </c>
      <c r="P2978">
        <v>0</v>
      </c>
      <c r="Q2978">
        <v>4</v>
      </c>
      <c r="R2978" t="s">
        <v>59</v>
      </c>
      <c r="S2978">
        <v>1</v>
      </c>
    </row>
    <row r="2979" spans="1:19" ht="16.5" x14ac:dyDescent="0.3">
      <c r="A2979" t="s">
        <v>3042</v>
      </c>
      <c r="B2979" s="1">
        <v>45682</v>
      </c>
      <c r="C2979" s="1">
        <v>45686</v>
      </c>
      <c r="D2979">
        <v>2025</v>
      </c>
      <c r="E2979" t="s">
        <v>20</v>
      </c>
      <c r="F2979" t="s">
        <v>21</v>
      </c>
      <c r="G2979" t="s">
        <v>102</v>
      </c>
      <c r="H2979" t="s">
        <v>30</v>
      </c>
      <c r="I2979" t="s">
        <v>40</v>
      </c>
      <c r="J2979" t="s">
        <v>43</v>
      </c>
      <c r="K2979" t="s">
        <v>36</v>
      </c>
      <c r="L2979" t="s">
        <v>44</v>
      </c>
      <c r="M2979">
        <v>4</v>
      </c>
      <c r="N2979" s="2"/>
      <c r="O2979" s="3">
        <v>5422</v>
      </c>
      <c r="P2979">
        <v>0</v>
      </c>
      <c r="Q2979">
        <v>5</v>
      </c>
      <c r="R2979" t="s">
        <v>28</v>
      </c>
      <c r="S2979">
        <v>1</v>
      </c>
    </row>
    <row r="2980" spans="1:19" ht="16.5" x14ac:dyDescent="0.3">
      <c r="A2980" t="s">
        <v>3043</v>
      </c>
      <c r="B2980" s="1">
        <v>45682</v>
      </c>
      <c r="C2980" s="1">
        <v>45687</v>
      </c>
      <c r="D2980">
        <v>2025</v>
      </c>
      <c r="E2980" t="s">
        <v>20</v>
      </c>
      <c r="F2980" t="s">
        <v>21</v>
      </c>
      <c r="G2980" t="s">
        <v>102</v>
      </c>
      <c r="H2980" t="s">
        <v>52</v>
      </c>
      <c r="I2980" t="s">
        <v>40</v>
      </c>
      <c r="J2980" t="s">
        <v>43</v>
      </c>
      <c r="K2980" t="s">
        <v>53</v>
      </c>
      <c r="L2980" t="s">
        <v>44</v>
      </c>
      <c r="M2980">
        <v>5</v>
      </c>
      <c r="N2980" s="2"/>
      <c r="O2980" s="3">
        <v>6637</v>
      </c>
      <c r="P2980">
        <v>0</v>
      </c>
      <c r="Q2980">
        <v>4</v>
      </c>
      <c r="R2980" t="s">
        <v>33</v>
      </c>
      <c r="S2980">
        <v>1</v>
      </c>
    </row>
    <row r="2981" spans="1:19" ht="16.5" x14ac:dyDescent="0.3">
      <c r="A2981" t="s">
        <v>3044</v>
      </c>
      <c r="B2981" s="1">
        <v>45682</v>
      </c>
      <c r="C2981" s="1">
        <v>45683</v>
      </c>
      <c r="D2981">
        <v>2025</v>
      </c>
      <c r="E2981" t="s">
        <v>20</v>
      </c>
      <c r="F2981" t="s">
        <v>21</v>
      </c>
      <c r="G2981" t="s">
        <v>102</v>
      </c>
      <c r="H2981" t="s">
        <v>52</v>
      </c>
      <c r="I2981" t="s">
        <v>40</v>
      </c>
      <c r="J2981" t="s">
        <v>43</v>
      </c>
      <c r="K2981" t="s">
        <v>36</v>
      </c>
      <c r="L2981" t="s">
        <v>27</v>
      </c>
      <c r="M2981">
        <v>1</v>
      </c>
      <c r="N2981" s="2"/>
      <c r="O2981" s="3">
        <v>1085</v>
      </c>
      <c r="P2981">
        <v>0</v>
      </c>
      <c r="Q2981">
        <v>4</v>
      </c>
      <c r="R2981" t="s">
        <v>33</v>
      </c>
      <c r="S2981">
        <v>1</v>
      </c>
    </row>
    <row r="2982" spans="1:19" ht="16.5" x14ac:dyDescent="0.3">
      <c r="A2982" t="s">
        <v>3045</v>
      </c>
      <c r="B2982" s="1">
        <v>45682</v>
      </c>
      <c r="C2982" s="1">
        <v>45683</v>
      </c>
      <c r="D2982">
        <v>2025</v>
      </c>
      <c r="E2982" t="s">
        <v>20</v>
      </c>
      <c r="F2982" t="s">
        <v>21</v>
      </c>
      <c r="G2982" t="s">
        <v>102</v>
      </c>
      <c r="H2982" t="s">
        <v>50</v>
      </c>
      <c r="I2982" t="s">
        <v>24</v>
      </c>
      <c r="J2982" t="s">
        <v>25</v>
      </c>
      <c r="K2982" t="s">
        <v>53</v>
      </c>
      <c r="L2982" t="s">
        <v>27</v>
      </c>
      <c r="M2982">
        <v>1</v>
      </c>
      <c r="N2982" s="2">
        <v>187</v>
      </c>
      <c r="O2982" s="3">
        <v>2760</v>
      </c>
      <c r="P2982">
        <v>0</v>
      </c>
      <c r="Q2982">
        <v>4</v>
      </c>
      <c r="R2982" t="s">
        <v>33</v>
      </c>
      <c r="S2982">
        <v>1</v>
      </c>
    </row>
    <row r="2983" spans="1:19" ht="16.5" x14ac:dyDescent="0.3">
      <c r="A2983" t="s">
        <v>3046</v>
      </c>
      <c r="B2983" s="1">
        <v>45682</v>
      </c>
      <c r="C2983" s="1">
        <v>45684</v>
      </c>
      <c r="D2983">
        <v>2025</v>
      </c>
      <c r="E2983" t="s">
        <v>20</v>
      </c>
      <c r="F2983" t="s">
        <v>21</v>
      </c>
      <c r="G2983" t="s">
        <v>102</v>
      </c>
      <c r="H2983" t="s">
        <v>50</v>
      </c>
      <c r="I2983" t="s">
        <v>40</v>
      </c>
      <c r="J2983" t="s">
        <v>43</v>
      </c>
      <c r="K2983" t="s">
        <v>53</v>
      </c>
      <c r="L2983" t="s">
        <v>44</v>
      </c>
      <c r="M2983">
        <v>2</v>
      </c>
      <c r="N2983" s="2"/>
      <c r="O2983" s="3">
        <v>3134</v>
      </c>
      <c r="P2983">
        <v>0</v>
      </c>
      <c r="Q2983">
        <v>5</v>
      </c>
      <c r="R2983" t="s">
        <v>59</v>
      </c>
      <c r="S2983">
        <v>1</v>
      </c>
    </row>
    <row r="2984" spans="1:19" ht="16.5" x14ac:dyDescent="0.3">
      <c r="A2984" t="s">
        <v>3047</v>
      </c>
      <c r="B2984" s="1">
        <v>45683</v>
      </c>
      <c r="C2984" s="1">
        <v>45685</v>
      </c>
      <c r="D2984">
        <v>2025</v>
      </c>
      <c r="E2984" t="s">
        <v>20</v>
      </c>
      <c r="F2984" t="s">
        <v>21</v>
      </c>
      <c r="G2984" t="s">
        <v>112</v>
      </c>
      <c r="H2984" t="s">
        <v>50</v>
      </c>
      <c r="I2984" t="s">
        <v>40</v>
      </c>
      <c r="J2984" t="s">
        <v>43</v>
      </c>
      <c r="K2984" t="s">
        <v>53</v>
      </c>
      <c r="L2984" t="s">
        <v>44</v>
      </c>
      <c r="M2984">
        <v>2</v>
      </c>
      <c r="N2984" s="2"/>
      <c r="O2984" s="3">
        <v>2930</v>
      </c>
      <c r="P2984">
        <v>0</v>
      </c>
      <c r="Q2984">
        <v>4</v>
      </c>
      <c r="R2984" t="s">
        <v>33</v>
      </c>
      <c r="S2984">
        <v>1</v>
      </c>
    </row>
    <row r="2985" spans="1:19" ht="16.5" x14ac:dyDescent="0.3">
      <c r="A2985" t="s">
        <v>3048</v>
      </c>
      <c r="B2985" s="1">
        <v>45683</v>
      </c>
      <c r="C2985" s="1">
        <v>45690</v>
      </c>
      <c r="D2985">
        <v>2025</v>
      </c>
      <c r="E2985" t="s">
        <v>20</v>
      </c>
      <c r="F2985" t="s">
        <v>21</v>
      </c>
      <c r="G2985" t="s">
        <v>112</v>
      </c>
      <c r="H2985" t="s">
        <v>50</v>
      </c>
      <c r="I2985" t="s">
        <v>40</v>
      </c>
      <c r="J2985" t="s">
        <v>25</v>
      </c>
      <c r="K2985" t="s">
        <v>53</v>
      </c>
      <c r="L2985" t="s">
        <v>44</v>
      </c>
      <c r="M2985">
        <v>7</v>
      </c>
      <c r="N2985" s="2"/>
      <c r="O2985" s="3">
        <v>8511</v>
      </c>
      <c r="P2985">
        <v>1</v>
      </c>
      <c r="Q2985">
        <v>2</v>
      </c>
      <c r="R2985" t="s">
        <v>33</v>
      </c>
      <c r="S2985">
        <v>1</v>
      </c>
    </row>
    <row r="2986" spans="1:19" ht="16.5" x14ac:dyDescent="0.3">
      <c r="A2986" t="s">
        <v>3049</v>
      </c>
      <c r="B2986" s="1">
        <v>45683</v>
      </c>
      <c r="C2986" s="1">
        <v>45685</v>
      </c>
      <c r="D2986">
        <v>2025</v>
      </c>
      <c r="E2986" t="s">
        <v>20</v>
      </c>
      <c r="F2986" t="s">
        <v>21</v>
      </c>
      <c r="G2986" t="s">
        <v>112</v>
      </c>
      <c r="H2986" t="s">
        <v>35</v>
      </c>
      <c r="I2986" t="s">
        <v>24</v>
      </c>
      <c r="J2986" t="s">
        <v>25</v>
      </c>
      <c r="K2986" t="s">
        <v>32</v>
      </c>
      <c r="L2986" t="s">
        <v>37</v>
      </c>
      <c r="M2986">
        <v>2</v>
      </c>
      <c r="N2986" s="2">
        <v>25</v>
      </c>
      <c r="O2986" s="3">
        <v>1921</v>
      </c>
      <c r="P2986">
        <v>0</v>
      </c>
      <c r="Q2986">
        <v>3</v>
      </c>
      <c r="R2986" t="s">
        <v>33</v>
      </c>
      <c r="S2986">
        <v>1</v>
      </c>
    </row>
    <row r="2987" spans="1:19" ht="16.5" x14ac:dyDescent="0.3">
      <c r="A2987" t="s">
        <v>3050</v>
      </c>
      <c r="B2987" s="1">
        <v>45683</v>
      </c>
      <c r="C2987" s="1">
        <v>45685</v>
      </c>
      <c r="D2987">
        <v>2025</v>
      </c>
      <c r="E2987" t="s">
        <v>20</v>
      </c>
      <c r="F2987" t="s">
        <v>21</v>
      </c>
      <c r="G2987" t="s">
        <v>112</v>
      </c>
      <c r="H2987" t="s">
        <v>39</v>
      </c>
      <c r="I2987" t="s">
        <v>24</v>
      </c>
      <c r="J2987" t="s">
        <v>43</v>
      </c>
      <c r="K2987" t="s">
        <v>41</v>
      </c>
      <c r="L2987" t="s">
        <v>44</v>
      </c>
      <c r="M2987">
        <v>2</v>
      </c>
      <c r="N2987" s="2">
        <v>84</v>
      </c>
      <c r="O2987" s="3">
        <v>2338</v>
      </c>
      <c r="P2987">
        <v>0</v>
      </c>
      <c r="Q2987">
        <v>5</v>
      </c>
      <c r="R2987" t="s">
        <v>33</v>
      </c>
      <c r="S2987">
        <v>1</v>
      </c>
    </row>
    <row r="2988" spans="1:19" ht="16.5" x14ac:dyDescent="0.3">
      <c r="A2988" t="s">
        <v>3051</v>
      </c>
      <c r="B2988" s="1">
        <v>45683</v>
      </c>
      <c r="C2988" s="1">
        <v>45684</v>
      </c>
      <c r="D2988">
        <v>2025</v>
      </c>
      <c r="E2988" t="s">
        <v>20</v>
      </c>
      <c r="F2988" t="s">
        <v>21</v>
      </c>
      <c r="G2988" t="s">
        <v>112</v>
      </c>
      <c r="H2988" t="s">
        <v>30</v>
      </c>
      <c r="I2988" t="s">
        <v>40</v>
      </c>
      <c r="J2988" t="s">
        <v>25</v>
      </c>
      <c r="K2988" t="s">
        <v>53</v>
      </c>
      <c r="L2988" t="s">
        <v>44</v>
      </c>
      <c r="M2988">
        <v>1</v>
      </c>
      <c r="N2988" s="2"/>
      <c r="O2988" s="3">
        <v>2214</v>
      </c>
      <c r="P2988">
        <v>0</v>
      </c>
      <c r="Q2988">
        <v>4</v>
      </c>
      <c r="R2988" t="s">
        <v>28</v>
      </c>
      <c r="S2988">
        <v>1</v>
      </c>
    </row>
    <row r="2989" spans="1:19" ht="16.5" x14ac:dyDescent="0.3">
      <c r="A2989" t="s">
        <v>3052</v>
      </c>
      <c r="B2989" s="1">
        <v>45683</v>
      </c>
      <c r="C2989" s="1">
        <v>45686</v>
      </c>
      <c r="D2989">
        <v>2025</v>
      </c>
      <c r="E2989" t="s">
        <v>20</v>
      </c>
      <c r="F2989" t="s">
        <v>21</v>
      </c>
      <c r="G2989" t="s">
        <v>112</v>
      </c>
      <c r="H2989" t="s">
        <v>30</v>
      </c>
      <c r="I2989" t="s">
        <v>40</v>
      </c>
      <c r="J2989" t="s">
        <v>25</v>
      </c>
      <c r="K2989" t="s">
        <v>26</v>
      </c>
      <c r="L2989" t="s">
        <v>27</v>
      </c>
      <c r="M2989">
        <v>3</v>
      </c>
      <c r="N2989" s="2"/>
      <c r="O2989" s="3">
        <v>4095</v>
      </c>
      <c r="P2989">
        <v>0</v>
      </c>
      <c r="Q2989">
        <v>3</v>
      </c>
      <c r="R2989" t="s">
        <v>33</v>
      </c>
      <c r="S2989">
        <v>1</v>
      </c>
    </row>
    <row r="2990" spans="1:19" ht="16.5" x14ac:dyDescent="0.3">
      <c r="A2990" t="s">
        <v>3053</v>
      </c>
      <c r="B2990" s="1">
        <v>45683</v>
      </c>
      <c r="C2990" s="1">
        <v>45684</v>
      </c>
      <c r="D2990">
        <v>2025</v>
      </c>
      <c r="E2990" t="s">
        <v>20</v>
      </c>
      <c r="F2990" t="s">
        <v>21</v>
      </c>
      <c r="G2990" t="s">
        <v>112</v>
      </c>
      <c r="H2990" t="s">
        <v>50</v>
      </c>
      <c r="I2990" t="s">
        <v>40</v>
      </c>
      <c r="J2990" t="s">
        <v>43</v>
      </c>
      <c r="K2990" t="s">
        <v>53</v>
      </c>
      <c r="L2990" t="s">
        <v>27</v>
      </c>
      <c r="M2990">
        <v>1</v>
      </c>
      <c r="N2990" s="2"/>
      <c r="O2990" s="3">
        <v>1665</v>
      </c>
      <c r="P2990">
        <v>0</v>
      </c>
      <c r="Q2990">
        <v>4</v>
      </c>
      <c r="R2990" t="s">
        <v>28</v>
      </c>
      <c r="S2990">
        <v>1</v>
      </c>
    </row>
    <row r="2991" spans="1:19" ht="16.5" x14ac:dyDescent="0.3">
      <c r="A2991" t="s">
        <v>3054</v>
      </c>
      <c r="B2991" s="1">
        <v>45684</v>
      </c>
      <c r="C2991" s="1">
        <v>45686</v>
      </c>
      <c r="D2991">
        <v>2025</v>
      </c>
      <c r="E2991" t="s">
        <v>20</v>
      </c>
      <c r="F2991" t="s">
        <v>21</v>
      </c>
      <c r="G2991" t="s">
        <v>22</v>
      </c>
      <c r="H2991" t="s">
        <v>30</v>
      </c>
      <c r="I2991" t="s">
        <v>40</v>
      </c>
      <c r="J2991" t="s">
        <v>25</v>
      </c>
      <c r="K2991" t="s">
        <v>36</v>
      </c>
      <c r="L2991" t="s">
        <v>27</v>
      </c>
      <c r="M2991">
        <v>2</v>
      </c>
      <c r="N2991" s="2"/>
      <c r="O2991" s="3">
        <v>3057</v>
      </c>
      <c r="P2991">
        <v>0</v>
      </c>
      <c r="Q2991">
        <v>5</v>
      </c>
      <c r="R2991" t="s">
        <v>33</v>
      </c>
      <c r="S2991">
        <v>1</v>
      </c>
    </row>
    <row r="2992" spans="1:19" ht="16.5" x14ac:dyDescent="0.3">
      <c r="A2992" t="s">
        <v>3055</v>
      </c>
      <c r="B2992" s="1">
        <v>45684</v>
      </c>
      <c r="C2992" s="1">
        <v>45685</v>
      </c>
      <c r="D2992">
        <v>2025</v>
      </c>
      <c r="E2992" t="s">
        <v>20</v>
      </c>
      <c r="F2992" t="s">
        <v>21</v>
      </c>
      <c r="G2992" t="s">
        <v>22</v>
      </c>
      <c r="H2992" t="s">
        <v>39</v>
      </c>
      <c r="I2992" t="s">
        <v>31</v>
      </c>
      <c r="J2992" t="s">
        <v>43</v>
      </c>
      <c r="K2992" t="s">
        <v>41</v>
      </c>
      <c r="L2992" t="s">
        <v>44</v>
      </c>
      <c r="M2992">
        <v>1</v>
      </c>
      <c r="N2992" s="2"/>
      <c r="O2992" s="3">
        <v>1354</v>
      </c>
      <c r="P2992">
        <v>0</v>
      </c>
      <c r="Q2992">
        <v>5</v>
      </c>
      <c r="R2992" t="s">
        <v>33</v>
      </c>
      <c r="S2992">
        <v>1</v>
      </c>
    </row>
    <row r="2993" spans="1:19" ht="16.5" x14ac:dyDescent="0.3">
      <c r="A2993" t="s">
        <v>3056</v>
      </c>
      <c r="B2993" s="1">
        <v>45684</v>
      </c>
      <c r="C2993" s="1">
        <v>45688</v>
      </c>
      <c r="D2993">
        <v>2025</v>
      </c>
      <c r="E2993" t="s">
        <v>20</v>
      </c>
      <c r="F2993" t="s">
        <v>21</v>
      </c>
      <c r="G2993" t="s">
        <v>22</v>
      </c>
      <c r="H2993" t="s">
        <v>35</v>
      </c>
      <c r="I2993" t="s">
        <v>24</v>
      </c>
      <c r="J2993" t="s">
        <v>25</v>
      </c>
      <c r="K2993" t="s">
        <v>36</v>
      </c>
      <c r="L2993" t="s">
        <v>44</v>
      </c>
      <c r="M2993">
        <v>4</v>
      </c>
      <c r="N2993" s="2">
        <v>35</v>
      </c>
      <c r="O2993" s="3">
        <v>3610</v>
      </c>
      <c r="P2993">
        <v>0</v>
      </c>
      <c r="Q2993">
        <v>4</v>
      </c>
      <c r="R2993" t="s">
        <v>33</v>
      </c>
      <c r="S2993">
        <v>1</v>
      </c>
    </row>
    <row r="2994" spans="1:19" ht="16.5" x14ac:dyDescent="0.3">
      <c r="A2994" t="s">
        <v>3057</v>
      </c>
      <c r="B2994" s="1">
        <v>45684</v>
      </c>
      <c r="C2994" s="1">
        <v>45685</v>
      </c>
      <c r="D2994">
        <v>2025</v>
      </c>
      <c r="E2994" t="s">
        <v>20</v>
      </c>
      <c r="F2994" t="s">
        <v>21</v>
      </c>
      <c r="G2994" t="s">
        <v>22</v>
      </c>
      <c r="H2994" t="s">
        <v>39</v>
      </c>
      <c r="I2994" t="s">
        <v>24</v>
      </c>
      <c r="J2994" t="s">
        <v>25</v>
      </c>
      <c r="K2994" t="s">
        <v>41</v>
      </c>
      <c r="L2994" t="s">
        <v>44</v>
      </c>
      <c r="M2994">
        <v>1</v>
      </c>
      <c r="N2994" s="2">
        <v>30</v>
      </c>
      <c r="O2994" s="3">
        <v>1885</v>
      </c>
      <c r="P2994">
        <v>0</v>
      </c>
      <c r="Q2994">
        <v>3</v>
      </c>
      <c r="R2994" t="s">
        <v>33</v>
      </c>
      <c r="S2994">
        <v>1</v>
      </c>
    </row>
    <row r="2995" spans="1:19" ht="16.5" x14ac:dyDescent="0.3">
      <c r="A2995" t="s">
        <v>3058</v>
      </c>
      <c r="B2995" s="1">
        <v>45684</v>
      </c>
      <c r="C2995" s="1">
        <v>45686</v>
      </c>
      <c r="D2995">
        <v>2025</v>
      </c>
      <c r="E2995" t="s">
        <v>20</v>
      </c>
      <c r="F2995" t="s">
        <v>21</v>
      </c>
      <c r="G2995" t="s">
        <v>22</v>
      </c>
      <c r="H2995" t="s">
        <v>39</v>
      </c>
      <c r="I2995" t="s">
        <v>24</v>
      </c>
      <c r="J2995" t="s">
        <v>43</v>
      </c>
      <c r="K2995" t="s">
        <v>41</v>
      </c>
      <c r="L2995" t="s">
        <v>44</v>
      </c>
      <c r="M2995">
        <v>2</v>
      </c>
      <c r="N2995" s="2">
        <v>84</v>
      </c>
      <c r="O2995" s="3">
        <v>2491</v>
      </c>
      <c r="P2995">
        <v>0</v>
      </c>
      <c r="Q2995">
        <v>4</v>
      </c>
      <c r="R2995" t="s">
        <v>33</v>
      </c>
      <c r="S2995">
        <v>1</v>
      </c>
    </row>
    <row r="2996" spans="1:19" ht="16.5" x14ac:dyDescent="0.3">
      <c r="A2996" t="s">
        <v>3059</v>
      </c>
      <c r="B2996" s="1">
        <v>45684</v>
      </c>
      <c r="C2996" s="1">
        <v>45691</v>
      </c>
      <c r="D2996">
        <v>2025</v>
      </c>
      <c r="E2996" t="s">
        <v>20</v>
      </c>
      <c r="F2996" t="s">
        <v>21</v>
      </c>
      <c r="G2996" t="s">
        <v>22</v>
      </c>
      <c r="H2996" t="s">
        <v>30</v>
      </c>
      <c r="I2996" t="s">
        <v>31</v>
      </c>
      <c r="J2996" t="s">
        <v>43</v>
      </c>
      <c r="K2996" t="s">
        <v>36</v>
      </c>
      <c r="L2996" t="s">
        <v>27</v>
      </c>
      <c r="M2996">
        <v>7</v>
      </c>
      <c r="N2996" s="2"/>
      <c r="O2996" s="3">
        <v>9067</v>
      </c>
      <c r="P2996">
        <v>0</v>
      </c>
      <c r="Q2996">
        <v>4</v>
      </c>
      <c r="R2996" t="s">
        <v>33</v>
      </c>
      <c r="S2996">
        <v>1</v>
      </c>
    </row>
    <row r="2997" spans="1:19" ht="16.5" x14ac:dyDescent="0.3">
      <c r="A2997" t="s">
        <v>3060</v>
      </c>
      <c r="B2997" s="1">
        <v>45684</v>
      </c>
      <c r="C2997" s="1">
        <v>45685</v>
      </c>
      <c r="D2997">
        <v>2025</v>
      </c>
      <c r="E2997" t="s">
        <v>20</v>
      </c>
      <c r="F2997" t="s">
        <v>21</v>
      </c>
      <c r="G2997" t="s">
        <v>22</v>
      </c>
      <c r="H2997" t="s">
        <v>35</v>
      </c>
      <c r="I2997" t="s">
        <v>24</v>
      </c>
      <c r="J2997" t="s">
        <v>25</v>
      </c>
      <c r="K2997" t="s">
        <v>36</v>
      </c>
      <c r="L2997" t="s">
        <v>27</v>
      </c>
      <c r="M2997">
        <v>1</v>
      </c>
      <c r="N2997" s="2">
        <v>42</v>
      </c>
      <c r="O2997" s="3">
        <v>1504</v>
      </c>
      <c r="P2997">
        <v>0</v>
      </c>
      <c r="Q2997">
        <v>4</v>
      </c>
      <c r="R2997" t="s">
        <v>28</v>
      </c>
      <c r="S2997">
        <v>1</v>
      </c>
    </row>
    <row r="2998" spans="1:19" ht="16.5" x14ac:dyDescent="0.3">
      <c r="A2998" t="s">
        <v>3061</v>
      </c>
      <c r="B2998" s="1">
        <v>45684</v>
      </c>
      <c r="C2998" s="1">
        <v>45691</v>
      </c>
      <c r="D2998">
        <v>2025</v>
      </c>
      <c r="E2998" t="s">
        <v>20</v>
      </c>
      <c r="F2998" t="s">
        <v>21</v>
      </c>
      <c r="G2998" t="s">
        <v>22</v>
      </c>
      <c r="H2998" t="s">
        <v>50</v>
      </c>
      <c r="I2998" t="s">
        <v>40</v>
      </c>
      <c r="J2998" t="s">
        <v>43</v>
      </c>
      <c r="K2998" t="s">
        <v>26</v>
      </c>
      <c r="L2998" t="s">
        <v>27</v>
      </c>
      <c r="M2998">
        <v>7</v>
      </c>
      <c r="N2998" s="2"/>
      <c r="O2998" s="3">
        <v>7412</v>
      </c>
      <c r="P2998">
        <v>0</v>
      </c>
      <c r="Q2998">
        <v>4</v>
      </c>
      <c r="R2998" t="s">
        <v>33</v>
      </c>
      <c r="S2998">
        <v>1</v>
      </c>
    </row>
    <row r="2999" spans="1:19" ht="16.5" x14ac:dyDescent="0.3">
      <c r="A2999" t="s">
        <v>3062</v>
      </c>
      <c r="B2999" s="1">
        <v>45684</v>
      </c>
      <c r="C2999" s="1">
        <v>45688</v>
      </c>
      <c r="D2999">
        <v>2025</v>
      </c>
      <c r="E2999" t="s">
        <v>20</v>
      </c>
      <c r="F2999" t="s">
        <v>21</v>
      </c>
      <c r="G2999" t="s">
        <v>22</v>
      </c>
      <c r="H2999" t="s">
        <v>50</v>
      </c>
      <c r="I2999" t="s">
        <v>24</v>
      </c>
      <c r="J2999" t="s">
        <v>25</v>
      </c>
      <c r="K2999" t="s">
        <v>26</v>
      </c>
      <c r="L2999" t="s">
        <v>27</v>
      </c>
      <c r="M2999">
        <v>4</v>
      </c>
      <c r="N2999" s="2">
        <v>45</v>
      </c>
      <c r="O2999" s="3">
        <v>6039</v>
      </c>
      <c r="P2999">
        <v>0</v>
      </c>
      <c r="Q2999">
        <v>2</v>
      </c>
      <c r="R2999" t="s">
        <v>59</v>
      </c>
      <c r="S2999">
        <v>1</v>
      </c>
    </row>
    <row r="3000" spans="1:19" ht="16.5" x14ac:dyDescent="0.3">
      <c r="A3000" t="s">
        <v>3063</v>
      </c>
      <c r="B3000" s="1">
        <v>45684</v>
      </c>
      <c r="C3000" s="1">
        <v>45692</v>
      </c>
      <c r="D3000">
        <v>2025</v>
      </c>
      <c r="E3000" t="s">
        <v>20</v>
      </c>
      <c r="F3000" t="s">
        <v>21</v>
      </c>
      <c r="G3000" t="s">
        <v>22</v>
      </c>
      <c r="H3000" t="s">
        <v>23</v>
      </c>
      <c r="I3000" t="s">
        <v>31</v>
      </c>
      <c r="J3000" t="s">
        <v>25</v>
      </c>
      <c r="K3000" t="s">
        <v>26</v>
      </c>
      <c r="L3000" t="s">
        <v>27</v>
      </c>
      <c r="M3000">
        <v>8</v>
      </c>
      <c r="N3000" s="2"/>
      <c r="O3000" s="3">
        <v>5238</v>
      </c>
      <c r="P3000">
        <v>0</v>
      </c>
      <c r="Q3000">
        <v>4</v>
      </c>
      <c r="R3000" t="s">
        <v>33</v>
      </c>
      <c r="S3000">
        <v>1</v>
      </c>
    </row>
    <row r="3001" spans="1:19" ht="16.5" x14ac:dyDescent="0.3">
      <c r="A3001" t="s">
        <v>3064</v>
      </c>
      <c r="B3001" s="1">
        <v>45684</v>
      </c>
      <c r="C3001" s="1">
        <v>45685</v>
      </c>
      <c r="D3001">
        <v>2025</v>
      </c>
      <c r="E3001" t="s">
        <v>20</v>
      </c>
      <c r="F3001" t="s">
        <v>21</v>
      </c>
      <c r="G3001" t="s">
        <v>22</v>
      </c>
      <c r="H3001" t="s">
        <v>39</v>
      </c>
      <c r="I3001" t="s">
        <v>24</v>
      </c>
      <c r="J3001" t="s">
        <v>25</v>
      </c>
      <c r="K3001" t="s">
        <v>41</v>
      </c>
      <c r="L3001" t="s">
        <v>44</v>
      </c>
      <c r="M3001">
        <v>1</v>
      </c>
      <c r="N3001" s="2">
        <v>23</v>
      </c>
      <c r="O3001" s="3">
        <v>1526</v>
      </c>
      <c r="P3001">
        <v>1</v>
      </c>
      <c r="Q3001">
        <v>4</v>
      </c>
      <c r="R3001" t="s">
        <v>33</v>
      </c>
      <c r="S3001">
        <v>1</v>
      </c>
    </row>
    <row r="3002" spans="1:19" ht="16.5" x14ac:dyDescent="0.3">
      <c r="A3002" t="s">
        <v>3065</v>
      </c>
      <c r="B3002" s="1">
        <v>45684</v>
      </c>
      <c r="C3002" s="1">
        <v>45687</v>
      </c>
      <c r="D3002">
        <v>2025</v>
      </c>
      <c r="E3002" t="s">
        <v>20</v>
      </c>
      <c r="F3002" t="s">
        <v>21</v>
      </c>
      <c r="G3002" t="s">
        <v>22</v>
      </c>
      <c r="H3002" t="s">
        <v>50</v>
      </c>
      <c r="I3002" t="s">
        <v>24</v>
      </c>
      <c r="J3002" t="s">
        <v>43</v>
      </c>
      <c r="K3002" t="s">
        <v>53</v>
      </c>
      <c r="L3002" t="s">
        <v>44</v>
      </c>
      <c r="M3002">
        <v>3</v>
      </c>
      <c r="N3002" s="2">
        <v>106</v>
      </c>
      <c r="O3002" s="3">
        <v>3679</v>
      </c>
      <c r="P3002">
        <v>0</v>
      </c>
      <c r="Q3002">
        <v>3</v>
      </c>
      <c r="R3002" t="s">
        <v>33</v>
      </c>
      <c r="S3002">
        <v>1</v>
      </c>
    </row>
    <row r="3003" spans="1:19" ht="16.5" x14ac:dyDescent="0.3">
      <c r="A3003" t="s">
        <v>3066</v>
      </c>
      <c r="B3003" s="1">
        <v>45684</v>
      </c>
      <c r="C3003" s="1">
        <v>45688</v>
      </c>
      <c r="D3003">
        <v>2025</v>
      </c>
      <c r="E3003" t="s">
        <v>20</v>
      </c>
      <c r="F3003" t="s">
        <v>21</v>
      </c>
      <c r="G3003" t="s">
        <v>22</v>
      </c>
      <c r="H3003" t="s">
        <v>50</v>
      </c>
      <c r="I3003" t="s">
        <v>40</v>
      </c>
      <c r="J3003" t="s">
        <v>43</v>
      </c>
      <c r="K3003" t="s">
        <v>53</v>
      </c>
      <c r="L3003" t="s">
        <v>27</v>
      </c>
      <c r="M3003">
        <v>4</v>
      </c>
      <c r="N3003" s="2"/>
      <c r="O3003" s="3">
        <v>4491</v>
      </c>
      <c r="P3003">
        <v>0</v>
      </c>
      <c r="Q3003">
        <v>4</v>
      </c>
      <c r="R3003" t="s">
        <v>28</v>
      </c>
      <c r="S3003">
        <v>1</v>
      </c>
    </row>
    <row r="3004" spans="1:19" ht="16.5" x14ac:dyDescent="0.3">
      <c r="A3004" t="s">
        <v>3067</v>
      </c>
      <c r="B3004" s="1">
        <v>45684</v>
      </c>
      <c r="C3004" s="1">
        <v>45686</v>
      </c>
      <c r="D3004">
        <v>2025</v>
      </c>
      <c r="E3004" t="s">
        <v>20</v>
      </c>
      <c r="F3004" t="s">
        <v>21</v>
      </c>
      <c r="G3004" t="s">
        <v>22</v>
      </c>
      <c r="H3004" t="s">
        <v>35</v>
      </c>
      <c r="I3004" t="s">
        <v>40</v>
      </c>
      <c r="J3004" t="s">
        <v>25</v>
      </c>
      <c r="K3004" t="s">
        <v>32</v>
      </c>
      <c r="L3004" t="s">
        <v>27</v>
      </c>
      <c r="M3004">
        <v>2</v>
      </c>
      <c r="N3004" s="2"/>
      <c r="O3004" s="3">
        <v>2511</v>
      </c>
      <c r="P3004">
        <v>0</v>
      </c>
      <c r="Q3004">
        <v>4</v>
      </c>
      <c r="R3004" t="s">
        <v>33</v>
      </c>
      <c r="S3004">
        <v>1</v>
      </c>
    </row>
    <row r="3005" spans="1:19" ht="16.5" x14ac:dyDescent="0.3">
      <c r="A3005" t="s">
        <v>3068</v>
      </c>
      <c r="B3005" s="1">
        <v>45684</v>
      </c>
      <c r="C3005" s="1">
        <v>45698</v>
      </c>
      <c r="D3005">
        <v>2025</v>
      </c>
      <c r="E3005" t="s">
        <v>20</v>
      </c>
      <c r="F3005" t="s">
        <v>21</v>
      </c>
      <c r="G3005" t="s">
        <v>22</v>
      </c>
      <c r="H3005" t="s">
        <v>50</v>
      </c>
      <c r="I3005" t="s">
        <v>24</v>
      </c>
      <c r="J3005" t="s">
        <v>43</v>
      </c>
      <c r="K3005" t="s">
        <v>32</v>
      </c>
      <c r="L3005" t="s">
        <v>44</v>
      </c>
      <c r="M3005">
        <v>14</v>
      </c>
      <c r="N3005" s="2">
        <v>37</v>
      </c>
      <c r="O3005" s="3">
        <v>22007</v>
      </c>
      <c r="P3005">
        <v>0</v>
      </c>
      <c r="Q3005">
        <v>4</v>
      </c>
      <c r="R3005" t="s">
        <v>33</v>
      </c>
      <c r="S3005">
        <v>1</v>
      </c>
    </row>
    <row r="3006" spans="1:19" ht="16.5" x14ac:dyDescent="0.3">
      <c r="A3006" t="s">
        <v>3069</v>
      </c>
      <c r="B3006" s="1">
        <v>45684</v>
      </c>
      <c r="C3006" s="1">
        <v>45693</v>
      </c>
      <c r="D3006">
        <v>2025</v>
      </c>
      <c r="E3006" t="s">
        <v>20</v>
      </c>
      <c r="F3006" t="s">
        <v>21</v>
      </c>
      <c r="G3006" t="s">
        <v>22</v>
      </c>
      <c r="H3006" t="s">
        <v>23</v>
      </c>
      <c r="I3006" t="s">
        <v>24</v>
      </c>
      <c r="J3006" t="s">
        <v>43</v>
      </c>
      <c r="K3006" t="s">
        <v>36</v>
      </c>
      <c r="L3006" t="s">
        <v>27</v>
      </c>
      <c r="M3006">
        <v>9</v>
      </c>
      <c r="N3006" s="2">
        <v>79</v>
      </c>
      <c r="O3006" s="3">
        <v>7609</v>
      </c>
      <c r="P3006">
        <v>1</v>
      </c>
      <c r="Q3006">
        <v>3</v>
      </c>
      <c r="R3006" t="s">
        <v>28</v>
      </c>
      <c r="S3006">
        <v>1</v>
      </c>
    </row>
    <row r="3007" spans="1:19" ht="16.5" x14ac:dyDescent="0.3">
      <c r="A3007" t="s">
        <v>3070</v>
      </c>
      <c r="B3007" s="1">
        <v>45685</v>
      </c>
      <c r="C3007" s="1">
        <v>45698</v>
      </c>
      <c r="D3007">
        <v>2025</v>
      </c>
      <c r="E3007" t="s">
        <v>20</v>
      </c>
      <c r="F3007" t="s">
        <v>21</v>
      </c>
      <c r="G3007" t="s">
        <v>56</v>
      </c>
      <c r="H3007" t="s">
        <v>52</v>
      </c>
      <c r="I3007" t="s">
        <v>40</v>
      </c>
      <c r="J3007" t="s">
        <v>43</v>
      </c>
      <c r="K3007" t="s">
        <v>26</v>
      </c>
      <c r="L3007" t="s">
        <v>37</v>
      </c>
      <c r="M3007">
        <v>13</v>
      </c>
      <c r="N3007" s="2"/>
      <c r="O3007" s="3">
        <v>11160</v>
      </c>
      <c r="P3007">
        <v>0</v>
      </c>
      <c r="Q3007">
        <v>4</v>
      </c>
      <c r="R3007" t="s">
        <v>28</v>
      </c>
      <c r="S3007">
        <v>1</v>
      </c>
    </row>
    <row r="3008" spans="1:19" ht="16.5" x14ac:dyDescent="0.3">
      <c r="A3008" t="s">
        <v>3071</v>
      </c>
      <c r="B3008" s="1">
        <v>45685</v>
      </c>
      <c r="C3008" s="1">
        <v>45693</v>
      </c>
      <c r="D3008">
        <v>2025</v>
      </c>
      <c r="E3008" t="s">
        <v>20</v>
      </c>
      <c r="F3008" t="s">
        <v>21</v>
      </c>
      <c r="G3008" t="s">
        <v>56</v>
      </c>
      <c r="H3008" t="s">
        <v>35</v>
      </c>
      <c r="I3008" t="s">
        <v>24</v>
      </c>
      <c r="J3008" t="s">
        <v>25</v>
      </c>
      <c r="K3008" t="s">
        <v>36</v>
      </c>
      <c r="L3008" t="s">
        <v>37</v>
      </c>
      <c r="M3008">
        <v>8</v>
      </c>
      <c r="N3008" s="2">
        <v>54</v>
      </c>
      <c r="O3008" s="3">
        <v>5582</v>
      </c>
      <c r="P3008">
        <v>0</v>
      </c>
      <c r="Q3008">
        <v>4</v>
      </c>
      <c r="R3008" t="s">
        <v>28</v>
      </c>
      <c r="S3008">
        <v>1</v>
      </c>
    </row>
    <row r="3009" spans="1:19" ht="16.5" x14ac:dyDescent="0.3">
      <c r="A3009" t="s">
        <v>3072</v>
      </c>
      <c r="B3009" s="1">
        <v>45685</v>
      </c>
      <c r="C3009" s="1">
        <v>45698</v>
      </c>
      <c r="D3009">
        <v>2025</v>
      </c>
      <c r="E3009" t="s">
        <v>20</v>
      </c>
      <c r="F3009" t="s">
        <v>21</v>
      </c>
      <c r="G3009" t="s">
        <v>56</v>
      </c>
      <c r="H3009" t="s">
        <v>50</v>
      </c>
      <c r="I3009" t="s">
        <v>24</v>
      </c>
      <c r="J3009" t="s">
        <v>25</v>
      </c>
      <c r="K3009" t="s">
        <v>26</v>
      </c>
      <c r="L3009" t="s">
        <v>44</v>
      </c>
      <c r="M3009">
        <v>13</v>
      </c>
      <c r="N3009" s="2">
        <v>85</v>
      </c>
      <c r="O3009" s="3">
        <v>15591</v>
      </c>
      <c r="P3009">
        <v>0</v>
      </c>
      <c r="Q3009">
        <v>4</v>
      </c>
      <c r="R3009" t="s">
        <v>33</v>
      </c>
      <c r="S3009">
        <v>1</v>
      </c>
    </row>
    <row r="3010" spans="1:19" ht="16.5" x14ac:dyDescent="0.3">
      <c r="A3010" t="s">
        <v>3073</v>
      </c>
      <c r="B3010" s="1">
        <v>45685</v>
      </c>
      <c r="C3010" s="1">
        <v>45687</v>
      </c>
      <c r="D3010">
        <v>2025</v>
      </c>
      <c r="E3010" t="s">
        <v>20</v>
      </c>
      <c r="F3010" t="s">
        <v>21</v>
      </c>
      <c r="G3010" t="s">
        <v>56</v>
      </c>
      <c r="H3010" t="s">
        <v>23</v>
      </c>
      <c r="I3010" t="s">
        <v>24</v>
      </c>
      <c r="J3010" t="s">
        <v>43</v>
      </c>
      <c r="K3010" t="s">
        <v>26</v>
      </c>
      <c r="L3010" t="s">
        <v>27</v>
      </c>
      <c r="M3010">
        <v>2</v>
      </c>
      <c r="N3010" s="2">
        <v>37</v>
      </c>
      <c r="O3010" s="3">
        <v>2238</v>
      </c>
      <c r="P3010">
        <v>0</v>
      </c>
      <c r="Q3010">
        <v>4</v>
      </c>
      <c r="R3010" t="s">
        <v>33</v>
      </c>
      <c r="S3010">
        <v>1</v>
      </c>
    </row>
    <row r="3011" spans="1:19" ht="16.5" x14ac:dyDescent="0.3">
      <c r="A3011" t="s">
        <v>3074</v>
      </c>
      <c r="B3011" s="1">
        <v>45685</v>
      </c>
      <c r="C3011" s="1">
        <v>45688</v>
      </c>
      <c r="D3011">
        <v>2025</v>
      </c>
      <c r="E3011" t="s">
        <v>20</v>
      </c>
      <c r="F3011" t="s">
        <v>21</v>
      </c>
      <c r="G3011" t="s">
        <v>56</v>
      </c>
      <c r="H3011" t="s">
        <v>50</v>
      </c>
      <c r="I3011" t="s">
        <v>24</v>
      </c>
      <c r="J3011" t="s">
        <v>43</v>
      </c>
      <c r="K3011" t="s">
        <v>32</v>
      </c>
      <c r="L3011" t="s">
        <v>44</v>
      </c>
      <c r="M3011">
        <v>3</v>
      </c>
      <c r="N3011" s="2">
        <v>26</v>
      </c>
      <c r="O3011" s="3">
        <v>5496</v>
      </c>
      <c r="P3011">
        <v>0</v>
      </c>
      <c r="Q3011">
        <v>4</v>
      </c>
      <c r="R3011" t="s">
        <v>33</v>
      </c>
      <c r="S3011">
        <v>1</v>
      </c>
    </row>
    <row r="3012" spans="1:19" ht="16.5" x14ac:dyDescent="0.3">
      <c r="A3012" t="s">
        <v>3075</v>
      </c>
      <c r="B3012" s="1">
        <v>45685</v>
      </c>
      <c r="C3012" s="1">
        <v>45697</v>
      </c>
      <c r="D3012">
        <v>2025</v>
      </c>
      <c r="E3012" t="s">
        <v>20</v>
      </c>
      <c r="F3012" t="s">
        <v>21</v>
      </c>
      <c r="G3012" t="s">
        <v>56</v>
      </c>
      <c r="H3012" t="s">
        <v>23</v>
      </c>
      <c r="I3012" t="s">
        <v>24</v>
      </c>
      <c r="J3012" t="s">
        <v>43</v>
      </c>
      <c r="K3012" t="s">
        <v>53</v>
      </c>
      <c r="L3012" t="s">
        <v>44</v>
      </c>
      <c r="M3012">
        <v>12</v>
      </c>
      <c r="N3012" s="2">
        <v>216</v>
      </c>
      <c r="O3012" s="3">
        <v>7032</v>
      </c>
      <c r="P3012">
        <v>0</v>
      </c>
      <c r="Q3012">
        <v>3</v>
      </c>
      <c r="R3012" t="s">
        <v>165</v>
      </c>
      <c r="S3012">
        <v>1</v>
      </c>
    </row>
    <row r="3013" spans="1:19" ht="16.5" x14ac:dyDescent="0.3">
      <c r="A3013" t="s">
        <v>3076</v>
      </c>
      <c r="B3013" s="1">
        <v>45685</v>
      </c>
      <c r="C3013" s="1">
        <v>45687</v>
      </c>
      <c r="D3013">
        <v>2025</v>
      </c>
      <c r="E3013" t="s">
        <v>20</v>
      </c>
      <c r="F3013" t="s">
        <v>21</v>
      </c>
      <c r="G3013" t="s">
        <v>56</v>
      </c>
      <c r="H3013" t="s">
        <v>39</v>
      </c>
      <c r="I3013" t="s">
        <v>40</v>
      </c>
      <c r="J3013" t="s">
        <v>43</v>
      </c>
      <c r="K3013" t="s">
        <v>41</v>
      </c>
      <c r="L3013" t="s">
        <v>27</v>
      </c>
      <c r="M3013">
        <v>2</v>
      </c>
      <c r="N3013" s="2"/>
      <c r="O3013" s="3">
        <v>2005</v>
      </c>
      <c r="P3013">
        <v>0</v>
      </c>
      <c r="Q3013">
        <v>4</v>
      </c>
      <c r="R3013" t="s">
        <v>33</v>
      </c>
      <c r="S3013">
        <v>1</v>
      </c>
    </row>
    <row r="3014" spans="1:19" ht="16.5" x14ac:dyDescent="0.3">
      <c r="A3014" t="s">
        <v>3077</v>
      </c>
      <c r="B3014" s="1">
        <v>45685</v>
      </c>
      <c r="C3014" s="1">
        <v>45687</v>
      </c>
      <c r="D3014">
        <v>2025</v>
      </c>
      <c r="E3014" t="s">
        <v>20</v>
      </c>
      <c r="F3014" t="s">
        <v>21</v>
      </c>
      <c r="G3014" t="s">
        <v>56</v>
      </c>
      <c r="H3014" t="s">
        <v>50</v>
      </c>
      <c r="I3014" t="s">
        <v>24</v>
      </c>
      <c r="J3014" t="s">
        <v>43</v>
      </c>
      <c r="K3014" t="s">
        <v>32</v>
      </c>
      <c r="L3014" t="s">
        <v>44</v>
      </c>
      <c r="M3014">
        <v>2</v>
      </c>
      <c r="N3014" s="2">
        <v>115</v>
      </c>
      <c r="O3014" s="3">
        <v>3046</v>
      </c>
      <c r="P3014">
        <v>0</v>
      </c>
      <c r="Q3014">
        <v>3</v>
      </c>
      <c r="R3014" t="s">
        <v>33</v>
      </c>
      <c r="S3014">
        <v>1</v>
      </c>
    </row>
    <row r="3015" spans="1:19" ht="16.5" x14ac:dyDescent="0.3">
      <c r="A3015" t="s">
        <v>3078</v>
      </c>
      <c r="B3015" s="1">
        <v>45685</v>
      </c>
      <c r="C3015" s="1">
        <v>45687</v>
      </c>
      <c r="D3015">
        <v>2025</v>
      </c>
      <c r="E3015" t="s">
        <v>20</v>
      </c>
      <c r="F3015" t="s">
        <v>21</v>
      </c>
      <c r="G3015" t="s">
        <v>56</v>
      </c>
      <c r="H3015" t="s">
        <v>30</v>
      </c>
      <c r="I3015" t="s">
        <v>40</v>
      </c>
      <c r="J3015" t="s">
        <v>25</v>
      </c>
      <c r="K3015" t="s">
        <v>32</v>
      </c>
      <c r="L3015" t="s">
        <v>44</v>
      </c>
      <c r="M3015">
        <v>2</v>
      </c>
      <c r="N3015" s="2"/>
      <c r="O3015" s="3">
        <v>2851</v>
      </c>
      <c r="P3015">
        <v>0</v>
      </c>
      <c r="Q3015">
        <v>4</v>
      </c>
      <c r="R3015" t="s">
        <v>33</v>
      </c>
      <c r="S3015">
        <v>1</v>
      </c>
    </row>
    <row r="3016" spans="1:19" ht="16.5" x14ac:dyDescent="0.3">
      <c r="A3016" t="s">
        <v>3079</v>
      </c>
      <c r="B3016" s="1">
        <v>45685</v>
      </c>
      <c r="C3016" s="1">
        <v>45689</v>
      </c>
      <c r="D3016">
        <v>2025</v>
      </c>
      <c r="E3016" t="s">
        <v>20</v>
      </c>
      <c r="F3016" t="s">
        <v>21</v>
      </c>
      <c r="G3016" t="s">
        <v>56</v>
      </c>
      <c r="H3016" t="s">
        <v>23</v>
      </c>
      <c r="I3016" t="s">
        <v>24</v>
      </c>
      <c r="J3016" t="s">
        <v>43</v>
      </c>
      <c r="K3016" t="s">
        <v>26</v>
      </c>
      <c r="L3016" t="s">
        <v>27</v>
      </c>
      <c r="M3016">
        <v>4</v>
      </c>
      <c r="N3016" s="2">
        <v>34</v>
      </c>
      <c r="O3016" s="3">
        <v>2937</v>
      </c>
      <c r="P3016">
        <v>0</v>
      </c>
      <c r="Q3016">
        <v>4</v>
      </c>
      <c r="R3016" t="s">
        <v>33</v>
      </c>
      <c r="S3016">
        <v>1</v>
      </c>
    </row>
    <row r="3017" spans="1:19" ht="16.5" x14ac:dyDescent="0.3">
      <c r="A3017" t="s">
        <v>3080</v>
      </c>
      <c r="B3017" s="1">
        <v>45685</v>
      </c>
      <c r="C3017" s="1">
        <v>45686</v>
      </c>
      <c r="D3017">
        <v>2025</v>
      </c>
      <c r="E3017" t="s">
        <v>20</v>
      </c>
      <c r="F3017" t="s">
        <v>21</v>
      </c>
      <c r="G3017" t="s">
        <v>56</v>
      </c>
      <c r="H3017" t="s">
        <v>39</v>
      </c>
      <c r="I3017" t="s">
        <v>24</v>
      </c>
      <c r="J3017" t="s">
        <v>43</v>
      </c>
      <c r="K3017" t="s">
        <v>41</v>
      </c>
      <c r="L3017" t="s">
        <v>27</v>
      </c>
      <c r="M3017">
        <v>1</v>
      </c>
      <c r="N3017" s="2">
        <v>35</v>
      </c>
      <c r="O3017" s="3">
        <v>2141</v>
      </c>
      <c r="P3017">
        <v>0</v>
      </c>
      <c r="Q3017">
        <v>4</v>
      </c>
      <c r="R3017" t="s">
        <v>59</v>
      </c>
      <c r="S3017">
        <v>1</v>
      </c>
    </row>
    <row r="3018" spans="1:19" ht="16.5" x14ac:dyDescent="0.3">
      <c r="A3018" t="s">
        <v>3081</v>
      </c>
      <c r="B3018" s="1">
        <v>45686</v>
      </c>
      <c r="C3018" s="1">
        <v>45695</v>
      </c>
      <c r="D3018">
        <v>2025</v>
      </c>
      <c r="E3018" t="s">
        <v>20</v>
      </c>
      <c r="F3018" t="s">
        <v>21</v>
      </c>
      <c r="G3018" t="s">
        <v>70</v>
      </c>
      <c r="H3018" t="s">
        <v>23</v>
      </c>
      <c r="I3018" t="s">
        <v>24</v>
      </c>
      <c r="J3018" t="s">
        <v>43</v>
      </c>
      <c r="K3018" t="s">
        <v>36</v>
      </c>
      <c r="L3018" t="s">
        <v>27</v>
      </c>
      <c r="M3018">
        <v>9</v>
      </c>
      <c r="N3018" s="2">
        <v>77</v>
      </c>
      <c r="O3018" s="3">
        <v>6085</v>
      </c>
      <c r="P3018">
        <v>0</v>
      </c>
      <c r="Q3018">
        <v>5</v>
      </c>
      <c r="R3018" t="s">
        <v>33</v>
      </c>
      <c r="S3018">
        <v>1</v>
      </c>
    </row>
    <row r="3019" spans="1:19" ht="16.5" x14ac:dyDescent="0.3">
      <c r="A3019" t="s">
        <v>3082</v>
      </c>
      <c r="B3019" s="1">
        <v>45686</v>
      </c>
      <c r="C3019" s="1">
        <v>45688</v>
      </c>
      <c r="D3019">
        <v>2025</v>
      </c>
      <c r="E3019" t="s">
        <v>20</v>
      </c>
      <c r="F3019" t="s">
        <v>21</v>
      </c>
      <c r="G3019" t="s">
        <v>70</v>
      </c>
      <c r="H3019" t="s">
        <v>39</v>
      </c>
      <c r="I3019" t="s">
        <v>40</v>
      </c>
      <c r="J3019" t="s">
        <v>43</v>
      </c>
      <c r="K3019" t="s">
        <v>41</v>
      </c>
      <c r="L3019" t="s">
        <v>44</v>
      </c>
      <c r="M3019">
        <v>2</v>
      </c>
      <c r="N3019" s="2"/>
      <c r="O3019" s="3">
        <v>1526</v>
      </c>
      <c r="P3019">
        <v>0</v>
      </c>
      <c r="Q3019">
        <v>4</v>
      </c>
      <c r="R3019" t="s">
        <v>28</v>
      </c>
      <c r="S3019">
        <v>1</v>
      </c>
    </row>
    <row r="3020" spans="1:19" ht="16.5" x14ac:dyDescent="0.3">
      <c r="A3020" t="s">
        <v>3083</v>
      </c>
      <c r="B3020" s="1">
        <v>45686</v>
      </c>
      <c r="C3020" s="1">
        <v>45693</v>
      </c>
      <c r="D3020">
        <v>2025</v>
      </c>
      <c r="E3020" t="s">
        <v>20</v>
      </c>
      <c r="F3020" t="s">
        <v>21</v>
      </c>
      <c r="G3020" t="s">
        <v>70</v>
      </c>
      <c r="H3020" t="s">
        <v>39</v>
      </c>
      <c r="I3020" t="s">
        <v>24</v>
      </c>
      <c r="J3020" t="s">
        <v>25</v>
      </c>
      <c r="K3020" t="s">
        <v>41</v>
      </c>
      <c r="L3020" t="s">
        <v>44</v>
      </c>
      <c r="M3020">
        <v>7</v>
      </c>
      <c r="N3020" s="2">
        <v>23</v>
      </c>
      <c r="O3020" s="3">
        <v>6402</v>
      </c>
      <c r="P3020">
        <v>0</v>
      </c>
      <c r="Q3020">
        <v>5</v>
      </c>
      <c r="R3020" t="s">
        <v>33</v>
      </c>
      <c r="S3020">
        <v>1</v>
      </c>
    </row>
    <row r="3021" spans="1:19" ht="16.5" x14ac:dyDescent="0.3">
      <c r="A3021" t="s">
        <v>3084</v>
      </c>
      <c r="B3021" s="1">
        <v>45686</v>
      </c>
      <c r="C3021" s="1">
        <v>45687</v>
      </c>
      <c r="D3021">
        <v>2025</v>
      </c>
      <c r="E3021" t="s">
        <v>20</v>
      </c>
      <c r="F3021" t="s">
        <v>21</v>
      </c>
      <c r="G3021" t="s">
        <v>70</v>
      </c>
      <c r="H3021" t="s">
        <v>35</v>
      </c>
      <c r="I3021" t="s">
        <v>40</v>
      </c>
      <c r="J3021" t="s">
        <v>25</v>
      </c>
      <c r="K3021" t="s">
        <v>36</v>
      </c>
      <c r="L3021" t="s">
        <v>44</v>
      </c>
      <c r="M3021">
        <v>1</v>
      </c>
      <c r="N3021" s="2"/>
      <c r="O3021" s="3">
        <v>1818</v>
      </c>
      <c r="P3021">
        <v>0</v>
      </c>
      <c r="Q3021">
        <v>5</v>
      </c>
      <c r="R3021" t="s">
        <v>33</v>
      </c>
      <c r="S3021">
        <v>1</v>
      </c>
    </row>
    <row r="3022" spans="1:19" ht="16.5" x14ac:dyDescent="0.3">
      <c r="A3022" t="s">
        <v>3085</v>
      </c>
      <c r="B3022" s="1">
        <v>45686</v>
      </c>
      <c r="C3022" s="1">
        <v>45694</v>
      </c>
      <c r="D3022">
        <v>2025</v>
      </c>
      <c r="E3022" t="s">
        <v>20</v>
      </c>
      <c r="F3022" t="s">
        <v>21</v>
      </c>
      <c r="G3022" t="s">
        <v>70</v>
      </c>
      <c r="H3022" t="s">
        <v>50</v>
      </c>
      <c r="I3022" t="s">
        <v>24</v>
      </c>
      <c r="J3022" t="s">
        <v>25</v>
      </c>
      <c r="K3022" t="s">
        <v>53</v>
      </c>
      <c r="L3022" t="s">
        <v>27</v>
      </c>
      <c r="M3022">
        <v>8</v>
      </c>
      <c r="N3022" s="2">
        <v>121</v>
      </c>
      <c r="O3022" s="3">
        <v>8583</v>
      </c>
      <c r="P3022">
        <v>1</v>
      </c>
      <c r="Q3022">
        <v>4</v>
      </c>
      <c r="R3022" t="s">
        <v>33</v>
      </c>
      <c r="S3022">
        <v>1</v>
      </c>
    </row>
    <row r="3023" spans="1:19" ht="16.5" x14ac:dyDescent="0.3">
      <c r="A3023" t="s">
        <v>3086</v>
      </c>
      <c r="B3023" s="1">
        <v>45686</v>
      </c>
      <c r="C3023" s="1">
        <v>45690</v>
      </c>
      <c r="D3023">
        <v>2025</v>
      </c>
      <c r="E3023" t="s">
        <v>20</v>
      </c>
      <c r="F3023" t="s">
        <v>21</v>
      </c>
      <c r="G3023" t="s">
        <v>70</v>
      </c>
      <c r="H3023" t="s">
        <v>52</v>
      </c>
      <c r="I3023" t="s">
        <v>40</v>
      </c>
      <c r="J3023" t="s">
        <v>43</v>
      </c>
      <c r="K3023" t="s">
        <v>53</v>
      </c>
      <c r="L3023" t="s">
        <v>27</v>
      </c>
      <c r="M3023">
        <v>4</v>
      </c>
      <c r="N3023" s="2"/>
      <c r="O3023" s="3">
        <v>3788</v>
      </c>
      <c r="P3023">
        <v>0</v>
      </c>
      <c r="Q3023">
        <v>4</v>
      </c>
      <c r="R3023" t="s">
        <v>28</v>
      </c>
      <c r="S3023">
        <v>1</v>
      </c>
    </row>
    <row r="3024" spans="1:19" ht="16.5" x14ac:dyDescent="0.3">
      <c r="A3024" t="s">
        <v>3087</v>
      </c>
      <c r="B3024" s="1">
        <v>45686</v>
      </c>
      <c r="C3024" s="1">
        <v>45689</v>
      </c>
      <c r="D3024">
        <v>2025</v>
      </c>
      <c r="E3024" t="s">
        <v>20</v>
      </c>
      <c r="F3024" t="s">
        <v>21</v>
      </c>
      <c r="G3024" t="s">
        <v>70</v>
      </c>
      <c r="H3024" t="s">
        <v>30</v>
      </c>
      <c r="I3024" t="s">
        <v>40</v>
      </c>
      <c r="J3024" t="s">
        <v>25</v>
      </c>
      <c r="K3024" t="s">
        <v>32</v>
      </c>
      <c r="L3024" t="s">
        <v>44</v>
      </c>
      <c r="M3024">
        <v>3</v>
      </c>
      <c r="N3024" s="2"/>
      <c r="O3024" s="3">
        <v>3129</v>
      </c>
      <c r="P3024">
        <v>0</v>
      </c>
      <c r="Q3024">
        <v>4</v>
      </c>
      <c r="R3024" t="s">
        <v>33</v>
      </c>
      <c r="S3024">
        <v>1</v>
      </c>
    </row>
    <row r="3025" spans="1:19" ht="16.5" x14ac:dyDescent="0.3">
      <c r="A3025" t="s">
        <v>3088</v>
      </c>
      <c r="B3025" s="1">
        <v>45686</v>
      </c>
      <c r="C3025" s="1">
        <v>45695</v>
      </c>
      <c r="D3025">
        <v>2025</v>
      </c>
      <c r="E3025" t="s">
        <v>20</v>
      </c>
      <c r="F3025" t="s">
        <v>21</v>
      </c>
      <c r="G3025" t="s">
        <v>70</v>
      </c>
      <c r="H3025" t="s">
        <v>52</v>
      </c>
      <c r="I3025" t="s">
        <v>40</v>
      </c>
      <c r="J3025" t="s">
        <v>25</v>
      </c>
      <c r="K3025" t="s">
        <v>53</v>
      </c>
      <c r="L3025" t="s">
        <v>44</v>
      </c>
      <c r="M3025">
        <v>9</v>
      </c>
      <c r="N3025" s="2"/>
      <c r="O3025" s="3">
        <v>7682</v>
      </c>
      <c r="P3025">
        <v>0</v>
      </c>
      <c r="Q3025">
        <v>5</v>
      </c>
      <c r="R3025" t="s">
        <v>33</v>
      </c>
      <c r="S3025">
        <v>1</v>
      </c>
    </row>
    <row r="3026" spans="1:19" ht="16.5" x14ac:dyDescent="0.3">
      <c r="A3026" t="s">
        <v>3089</v>
      </c>
      <c r="B3026" s="1">
        <v>45686</v>
      </c>
      <c r="C3026" s="1">
        <v>45688</v>
      </c>
      <c r="D3026">
        <v>2025</v>
      </c>
      <c r="E3026" t="s">
        <v>20</v>
      </c>
      <c r="F3026" t="s">
        <v>21</v>
      </c>
      <c r="G3026" t="s">
        <v>70</v>
      </c>
      <c r="H3026" t="s">
        <v>23</v>
      </c>
      <c r="I3026" t="s">
        <v>40</v>
      </c>
      <c r="J3026" t="s">
        <v>43</v>
      </c>
      <c r="K3026" t="s">
        <v>53</v>
      </c>
      <c r="L3026" t="s">
        <v>37</v>
      </c>
      <c r="M3026">
        <v>2</v>
      </c>
      <c r="N3026" s="2"/>
      <c r="O3026" s="3">
        <v>2005</v>
      </c>
      <c r="P3026">
        <v>1</v>
      </c>
      <c r="Q3026">
        <v>4</v>
      </c>
      <c r="R3026" t="s">
        <v>33</v>
      </c>
      <c r="S3026">
        <v>1</v>
      </c>
    </row>
    <row r="3027" spans="1:19" ht="16.5" x14ac:dyDescent="0.3">
      <c r="A3027" t="s">
        <v>3090</v>
      </c>
      <c r="B3027" s="1">
        <v>45686</v>
      </c>
      <c r="C3027" s="1">
        <v>45693</v>
      </c>
      <c r="D3027">
        <v>2025</v>
      </c>
      <c r="E3027" t="s">
        <v>20</v>
      </c>
      <c r="F3027" t="s">
        <v>21</v>
      </c>
      <c r="G3027" t="s">
        <v>70</v>
      </c>
      <c r="H3027" t="s">
        <v>23</v>
      </c>
      <c r="I3027" t="s">
        <v>24</v>
      </c>
      <c r="J3027" t="s">
        <v>25</v>
      </c>
      <c r="K3027" t="s">
        <v>36</v>
      </c>
      <c r="L3027" t="s">
        <v>44</v>
      </c>
      <c r="M3027">
        <v>7</v>
      </c>
      <c r="N3027" s="2">
        <v>30</v>
      </c>
      <c r="O3027" s="3">
        <v>3593</v>
      </c>
      <c r="P3027">
        <v>0</v>
      </c>
      <c r="Q3027">
        <v>4</v>
      </c>
      <c r="R3027" t="s">
        <v>33</v>
      </c>
      <c r="S3027">
        <v>1</v>
      </c>
    </row>
    <row r="3028" spans="1:19" ht="16.5" x14ac:dyDescent="0.3">
      <c r="A3028" t="s">
        <v>3091</v>
      </c>
      <c r="B3028" s="1">
        <v>45686</v>
      </c>
      <c r="C3028" s="1">
        <v>45688</v>
      </c>
      <c r="D3028">
        <v>2025</v>
      </c>
      <c r="E3028" t="s">
        <v>20</v>
      </c>
      <c r="F3028" t="s">
        <v>21</v>
      </c>
      <c r="G3028" t="s">
        <v>70</v>
      </c>
      <c r="H3028" t="s">
        <v>52</v>
      </c>
      <c r="I3028" t="s">
        <v>40</v>
      </c>
      <c r="J3028" t="s">
        <v>43</v>
      </c>
      <c r="K3028" t="s">
        <v>53</v>
      </c>
      <c r="L3028" t="s">
        <v>27</v>
      </c>
      <c r="M3028">
        <v>2</v>
      </c>
      <c r="N3028" s="2"/>
      <c r="O3028" s="3">
        <v>2737</v>
      </c>
      <c r="P3028">
        <v>0</v>
      </c>
      <c r="Q3028">
        <v>4</v>
      </c>
      <c r="R3028" t="s">
        <v>33</v>
      </c>
      <c r="S3028">
        <v>1</v>
      </c>
    </row>
    <row r="3029" spans="1:19" ht="16.5" x14ac:dyDescent="0.3">
      <c r="A3029" t="s">
        <v>3092</v>
      </c>
      <c r="B3029" s="1">
        <v>45686</v>
      </c>
      <c r="C3029" s="1">
        <v>45688</v>
      </c>
      <c r="D3029">
        <v>2025</v>
      </c>
      <c r="E3029" t="s">
        <v>20</v>
      </c>
      <c r="F3029" t="s">
        <v>21</v>
      </c>
      <c r="G3029" t="s">
        <v>70</v>
      </c>
      <c r="H3029" t="s">
        <v>23</v>
      </c>
      <c r="I3029" t="s">
        <v>24</v>
      </c>
      <c r="J3029" t="s">
        <v>43</v>
      </c>
      <c r="K3029" t="s">
        <v>53</v>
      </c>
      <c r="L3029" t="s">
        <v>44</v>
      </c>
      <c r="M3029">
        <v>2</v>
      </c>
      <c r="N3029" s="2">
        <v>24</v>
      </c>
      <c r="O3029" s="3">
        <v>2061</v>
      </c>
      <c r="P3029">
        <v>0</v>
      </c>
      <c r="Q3029">
        <v>4</v>
      </c>
      <c r="R3029" t="s">
        <v>33</v>
      </c>
      <c r="S3029">
        <v>1</v>
      </c>
    </row>
    <row r="3030" spans="1:19" ht="16.5" x14ac:dyDescent="0.3">
      <c r="A3030" t="s">
        <v>3093</v>
      </c>
      <c r="B3030" s="1">
        <v>45687</v>
      </c>
      <c r="C3030" s="1">
        <v>45689</v>
      </c>
      <c r="D3030">
        <v>2025</v>
      </c>
      <c r="E3030" t="s">
        <v>20</v>
      </c>
      <c r="F3030" t="s">
        <v>21</v>
      </c>
      <c r="G3030" t="s">
        <v>78</v>
      </c>
      <c r="H3030" t="s">
        <v>23</v>
      </c>
      <c r="I3030" t="s">
        <v>24</v>
      </c>
      <c r="J3030" t="s">
        <v>43</v>
      </c>
      <c r="K3030" t="s">
        <v>26</v>
      </c>
      <c r="L3030" t="s">
        <v>44</v>
      </c>
      <c r="M3030">
        <v>2</v>
      </c>
      <c r="N3030" s="2">
        <v>58</v>
      </c>
      <c r="O3030" s="3">
        <v>2103</v>
      </c>
      <c r="P3030">
        <v>0</v>
      </c>
      <c r="Q3030">
        <v>5</v>
      </c>
      <c r="R3030" t="s">
        <v>33</v>
      </c>
      <c r="S3030">
        <v>1</v>
      </c>
    </row>
    <row r="3031" spans="1:19" ht="16.5" x14ac:dyDescent="0.3">
      <c r="A3031" t="s">
        <v>3094</v>
      </c>
      <c r="B3031" s="1">
        <v>45687</v>
      </c>
      <c r="C3031" s="1">
        <v>45688</v>
      </c>
      <c r="D3031">
        <v>2025</v>
      </c>
      <c r="E3031" t="s">
        <v>20</v>
      </c>
      <c r="F3031" t="s">
        <v>21</v>
      </c>
      <c r="G3031" t="s">
        <v>78</v>
      </c>
      <c r="H3031" t="s">
        <v>39</v>
      </c>
      <c r="I3031" t="s">
        <v>24</v>
      </c>
      <c r="J3031" t="s">
        <v>25</v>
      </c>
      <c r="K3031" t="s">
        <v>41</v>
      </c>
      <c r="L3031" t="s">
        <v>44</v>
      </c>
      <c r="M3031">
        <v>1</v>
      </c>
      <c r="N3031" s="2">
        <v>51</v>
      </c>
      <c r="O3031" s="3">
        <v>1783</v>
      </c>
      <c r="P3031">
        <v>0</v>
      </c>
      <c r="Q3031">
        <v>4</v>
      </c>
      <c r="R3031" t="s">
        <v>165</v>
      </c>
      <c r="S3031">
        <v>1</v>
      </c>
    </row>
    <row r="3032" spans="1:19" ht="16.5" x14ac:dyDescent="0.3">
      <c r="A3032" t="s">
        <v>3095</v>
      </c>
      <c r="B3032" s="1">
        <v>45687</v>
      </c>
      <c r="C3032" s="1">
        <v>45692</v>
      </c>
      <c r="D3032">
        <v>2025</v>
      </c>
      <c r="E3032" t="s">
        <v>20</v>
      </c>
      <c r="F3032" t="s">
        <v>21</v>
      </c>
      <c r="G3032" t="s">
        <v>78</v>
      </c>
      <c r="H3032" t="s">
        <v>30</v>
      </c>
      <c r="I3032" t="s">
        <v>40</v>
      </c>
      <c r="J3032" t="s">
        <v>25</v>
      </c>
      <c r="K3032" t="s">
        <v>53</v>
      </c>
      <c r="L3032" t="s">
        <v>27</v>
      </c>
      <c r="M3032">
        <v>5</v>
      </c>
      <c r="N3032" s="2"/>
      <c r="O3032" s="3">
        <v>4674</v>
      </c>
      <c r="P3032">
        <v>0</v>
      </c>
      <c r="Q3032">
        <v>5</v>
      </c>
      <c r="R3032" t="s">
        <v>28</v>
      </c>
      <c r="S3032">
        <v>1</v>
      </c>
    </row>
    <row r="3033" spans="1:19" ht="16.5" x14ac:dyDescent="0.3">
      <c r="A3033" t="s">
        <v>3096</v>
      </c>
      <c r="B3033" s="1">
        <v>45687</v>
      </c>
      <c r="C3033" s="1">
        <v>45692</v>
      </c>
      <c r="D3033">
        <v>2025</v>
      </c>
      <c r="E3033" t="s">
        <v>20</v>
      </c>
      <c r="F3033" t="s">
        <v>21</v>
      </c>
      <c r="G3033" t="s">
        <v>78</v>
      </c>
      <c r="H3033" t="s">
        <v>50</v>
      </c>
      <c r="I3033" t="s">
        <v>24</v>
      </c>
      <c r="J3033" t="s">
        <v>25</v>
      </c>
      <c r="K3033" t="s">
        <v>32</v>
      </c>
      <c r="L3033" t="s">
        <v>27</v>
      </c>
      <c r="M3033">
        <v>5</v>
      </c>
      <c r="N3033" s="2">
        <v>99</v>
      </c>
      <c r="O3033" s="3">
        <v>6006</v>
      </c>
      <c r="P3033">
        <v>0</v>
      </c>
      <c r="Q3033">
        <v>3</v>
      </c>
      <c r="R3033" t="s">
        <v>28</v>
      </c>
      <c r="S3033">
        <v>1</v>
      </c>
    </row>
    <row r="3034" spans="1:19" ht="16.5" x14ac:dyDescent="0.3">
      <c r="A3034" t="s">
        <v>3097</v>
      </c>
      <c r="B3034" s="1">
        <v>45687</v>
      </c>
      <c r="C3034" s="1">
        <v>45692</v>
      </c>
      <c r="D3034">
        <v>2025</v>
      </c>
      <c r="E3034" t="s">
        <v>20</v>
      </c>
      <c r="F3034" t="s">
        <v>21</v>
      </c>
      <c r="G3034" t="s">
        <v>78</v>
      </c>
      <c r="H3034" t="s">
        <v>39</v>
      </c>
      <c r="I3034" t="s">
        <v>24</v>
      </c>
      <c r="J3034" t="s">
        <v>25</v>
      </c>
      <c r="K3034" t="s">
        <v>41</v>
      </c>
      <c r="L3034" t="s">
        <v>44</v>
      </c>
      <c r="M3034">
        <v>5</v>
      </c>
      <c r="N3034" s="2">
        <v>92</v>
      </c>
      <c r="O3034" s="3">
        <v>3778</v>
      </c>
      <c r="P3034">
        <v>0</v>
      </c>
      <c r="Q3034">
        <v>2</v>
      </c>
      <c r="R3034" t="s">
        <v>33</v>
      </c>
      <c r="S3034">
        <v>1</v>
      </c>
    </row>
    <row r="3035" spans="1:19" ht="16.5" x14ac:dyDescent="0.3">
      <c r="A3035" t="s">
        <v>3098</v>
      </c>
      <c r="B3035" s="1">
        <v>45687</v>
      </c>
      <c r="C3035" s="1">
        <v>45689</v>
      </c>
      <c r="D3035">
        <v>2025</v>
      </c>
      <c r="E3035" t="s">
        <v>20</v>
      </c>
      <c r="F3035" t="s">
        <v>21</v>
      </c>
      <c r="G3035" t="s">
        <v>78</v>
      </c>
      <c r="H3035" t="s">
        <v>30</v>
      </c>
      <c r="I3035" t="s">
        <v>40</v>
      </c>
      <c r="J3035" t="s">
        <v>43</v>
      </c>
      <c r="K3035" t="s">
        <v>32</v>
      </c>
      <c r="L3035" t="s">
        <v>44</v>
      </c>
      <c r="M3035">
        <v>2</v>
      </c>
      <c r="N3035" s="2"/>
      <c r="O3035" s="3">
        <v>2769</v>
      </c>
      <c r="P3035">
        <v>0</v>
      </c>
      <c r="Q3035">
        <v>5</v>
      </c>
      <c r="R3035" t="s">
        <v>33</v>
      </c>
      <c r="S3035">
        <v>1</v>
      </c>
    </row>
    <row r="3036" spans="1:19" ht="16.5" x14ac:dyDescent="0.3">
      <c r="A3036" t="s">
        <v>3099</v>
      </c>
      <c r="B3036" s="1">
        <v>45687</v>
      </c>
      <c r="C3036" s="1">
        <v>45693</v>
      </c>
      <c r="D3036">
        <v>2025</v>
      </c>
      <c r="E3036" t="s">
        <v>20</v>
      </c>
      <c r="F3036" t="s">
        <v>21</v>
      </c>
      <c r="G3036" t="s">
        <v>78</v>
      </c>
      <c r="H3036" t="s">
        <v>39</v>
      </c>
      <c r="I3036" t="s">
        <v>24</v>
      </c>
      <c r="J3036" t="s">
        <v>25</v>
      </c>
      <c r="K3036" t="s">
        <v>41</v>
      </c>
      <c r="L3036" t="s">
        <v>44</v>
      </c>
      <c r="M3036">
        <v>6</v>
      </c>
      <c r="N3036" s="2">
        <v>23</v>
      </c>
      <c r="O3036" s="3">
        <v>3705</v>
      </c>
      <c r="P3036">
        <v>0</v>
      </c>
      <c r="Q3036">
        <v>4</v>
      </c>
      <c r="R3036" t="s">
        <v>33</v>
      </c>
      <c r="S3036">
        <v>1</v>
      </c>
    </row>
    <row r="3037" spans="1:19" ht="16.5" x14ac:dyDescent="0.3">
      <c r="A3037" t="s">
        <v>3100</v>
      </c>
      <c r="B3037" s="1">
        <v>45687</v>
      </c>
      <c r="C3037" s="1">
        <v>45688</v>
      </c>
      <c r="D3037">
        <v>2025</v>
      </c>
      <c r="E3037" t="s">
        <v>20</v>
      </c>
      <c r="F3037" t="s">
        <v>21</v>
      </c>
      <c r="G3037" t="s">
        <v>78</v>
      </c>
      <c r="H3037" t="s">
        <v>23</v>
      </c>
      <c r="I3037" t="s">
        <v>24</v>
      </c>
      <c r="J3037" t="s">
        <v>25</v>
      </c>
      <c r="K3037" t="s">
        <v>26</v>
      </c>
      <c r="L3037" t="s">
        <v>27</v>
      </c>
      <c r="M3037">
        <v>1</v>
      </c>
      <c r="N3037" s="2">
        <v>75</v>
      </c>
      <c r="O3037" s="3">
        <v>1644</v>
      </c>
      <c r="P3037">
        <v>0</v>
      </c>
      <c r="Q3037">
        <v>4</v>
      </c>
      <c r="R3037" t="s">
        <v>33</v>
      </c>
      <c r="S3037">
        <v>1</v>
      </c>
    </row>
    <row r="3038" spans="1:19" ht="16.5" x14ac:dyDescent="0.3">
      <c r="A3038" t="s">
        <v>3101</v>
      </c>
      <c r="B3038" s="1">
        <v>45687</v>
      </c>
      <c r="C3038" s="1">
        <v>45694</v>
      </c>
      <c r="D3038">
        <v>2025</v>
      </c>
      <c r="E3038" t="s">
        <v>20</v>
      </c>
      <c r="F3038" t="s">
        <v>21</v>
      </c>
      <c r="G3038" t="s">
        <v>78</v>
      </c>
      <c r="H3038" t="s">
        <v>52</v>
      </c>
      <c r="I3038" t="s">
        <v>31</v>
      </c>
      <c r="J3038" t="s">
        <v>43</v>
      </c>
      <c r="K3038" t="s">
        <v>53</v>
      </c>
      <c r="L3038" t="s">
        <v>27</v>
      </c>
      <c r="M3038">
        <v>7</v>
      </c>
      <c r="N3038" s="2"/>
      <c r="O3038" s="3">
        <v>6477</v>
      </c>
      <c r="P3038">
        <v>0</v>
      </c>
      <c r="Q3038">
        <v>5</v>
      </c>
      <c r="R3038" t="s">
        <v>28</v>
      </c>
      <c r="S3038">
        <v>1</v>
      </c>
    </row>
    <row r="3039" spans="1:19" ht="16.5" x14ac:dyDescent="0.3">
      <c r="A3039" t="s">
        <v>3102</v>
      </c>
      <c r="B3039" s="1">
        <v>45688</v>
      </c>
      <c r="C3039" s="1">
        <v>45697</v>
      </c>
      <c r="D3039">
        <v>2025</v>
      </c>
      <c r="E3039" t="s">
        <v>20</v>
      </c>
      <c r="F3039" t="s">
        <v>21</v>
      </c>
      <c r="G3039" t="s">
        <v>83</v>
      </c>
      <c r="H3039" t="s">
        <v>23</v>
      </c>
      <c r="I3039" t="s">
        <v>24</v>
      </c>
      <c r="J3039" t="s">
        <v>43</v>
      </c>
      <c r="K3039" t="s">
        <v>26</v>
      </c>
      <c r="L3039" t="s">
        <v>44</v>
      </c>
      <c r="M3039">
        <v>9</v>
      </c>
      <c r="N3039" s="2">
        <v>57</v>
      </c>
      <c r="O3039" s="3">
        <v>7990</v>
      </c>
      <c r="P3039">
        <v>1</v>
      </c>
      <c r="Q3039">
        <v>4</v>
      </c>
      <c r="R3039" t="s">
        <v>33</v>
      </c>
      <c r="S3039">
        <v>1</v>
      </c>
    </row>
    <row r="3040" spans="1:19" ht="16.5" x14ac:dyDescent="0.3">
      <c r="A3040" t="s">
        <v>3103</v>
      </c>
      <c r="B3040" s="1">
        <v>45688</v>
      </c>
      <c r="C3040" s="1">
        <v>45694</v>
      </c>
      <c r="D3040">
        <v>2025</v>
      </c>
      <c r="E3040" t="s">
        <v>20</v>
      </c>
      <c r="F3040" t="s">
        <v>21</v>
      </c>
      <c r="G3040" t="s">
        <v>83</v>
      </c>
      <c r="H3040" t="s">
        <v>23</v>
      </c>
      <c r="I3040" t="s">
        <v>24</v>
      </c>
      <c r="J3040" t="s">
        <v>43</v>
      </c>
      <c r="K3040" t="s">
        <v>53</v>
      </c>
      <c r="L3040" t="s">
        <v>27</v>
      </c>
      <c r="M3040">
        <v>6</v>
      </c>
      <c r="N3040" s="2">
        <v>30</v>
      </c>
      <c r="O3040" s="3">
        <v>4795</v>
      </c>
      <c r="P3040">
        <v>1</v>
      </c>
      <c r="Q3040">
        <v>4</v>
      </c>
      <c r="R3040" t="s">
        <v>28</v>
      </c>
      <c r="S3040">
        <v>1</v>
      </c>
    </row>
    <row r="3041" spans="1:19" ht="16.5" x14ac:dyDescent="0.3">
      <c r="A3041" t="s">
        <v>3104</v>
      </c>
      <c r="B3041" s="1">
        <v>45688</v>
      </c>
      <c r="C3041" s="1">
        <v>45691</v>
      </c>
      <c r="D3041">
        <v>2025</v>
      </c>
      <c r="E3041" t="s">
        <v>20</v>
      </c>
      <c r="F3041" t="s">
        <v>21</v>
      </c>
      <c r="G3041" t="s">
        <v>83</v>
      </c>
      <c r="H3041" t="s">
        <v>23</v>
      </c>
      <c r="I3041" t="s">
        <v>24</v>
      </c>
      <c r="J3041" t="s">
        <v>43</v>
      </c>
      <c r="K3041" t="s">
        <v>26</v>
      </c>
      <c r="L3041" t="s">
        <v>37</v>
      </c>
      <c r="M3041">
        <v>3</v>
      </c>
      <c r="N3041" s="2">
        <v>30</v>
      </c>
      <c r="O3041" s="3">
        <v>2659</v>
      </c>
      <c r="P3041">
        <v>0</v>
      </c>
      <c r="Q3041">
        <v>4</v>
      </c>
      <c r="R3041" t="s">
        <v>28</v>
      </c>
      <c r="S3041">
        <v>1</v>
      </c>
    </row>
    <row r="3042" spans="1:19" ht="16.5" x14ac:dyDescent="0.3">
      <c r="A3042" t="s">
        <v>3105</v>
      </c>
      <c r="B3042" s="1">
        <v>45688</v>
      </c>
      <c r="C3042" s="1">
        <v>45690</v>
      </c>
      <c r="D3042">
        <v>2025</v>
      </c>
      <c r="E3042" t="s">
        <v>20</v>
      </c>
      <c r="F3042" t="s">
        <v>21</v>
      </c>
      <c r="G3042" t="s">
        <v>83</v>
      </c>
      <c r="H3042" t="s">
        <v>35</v>
      </c>
      <c r="I3042" t="s">
        <v>40</v>
      </c>
      <c r="J3042" t="s">
        <v>25</v>
      </c>
      <c r="K3042" t="s">
        <v>36</v>
      </c>
      <c r="L3042" t="s">
        <v>44</v>
      </c>
      <c r="M3042">
        <v>2</v>
      </c>
      <c r="N3042" s="2"/>
      <c r="O3042" s="3">
        <v>1921</v>
      </c>
      <c r="P3042">
        <v>0</v>
      </c>
      <c r="Q3042">
        <v>4</v>
      </c>
      <c r="R3042" t="s">
        <v>33</v>
      </c>
      <c r="S3042">
        <v>1</v>
      </c>
    </row>
    <row r="3043" spans="1:19" ht="16.5" x14ac:dyDescent="0.3">
      <c r="A3043" t="s">
        <v>3106</v>
      </c>
      <c r="B3043" s="1">
        <v>45688</v>
      </c>
      <c r="C3043" s="1">
        <v>45693</v>
      </c>
      <c r="D3043">
        <v>2025</v>
      </c>
      <c r="E3043" t="s">
        <v>20</v>
      </c>
      <c r="F3043" t="s">
        <v>21</v>
      </c>
      <c r="G3043" t="s">
        <v>83</v>
      </c>
      <c r="H3043" t="s">
        <v>30</v>
      </c>
      <c r="I3043" t="s">
        <v>40</v>
      </c>
      <c r="J3043" t="s">
        <v>43</v>
      </c>
      <c r="K3043" t="s">
        <v>26</v>
      </c>
      <c r="L3043" t="s">
        <v>44</v>
      </c>
      <c r="M3043">
        <v>5</v>
      </c>
      <c r="N3043" s="2"/>
      <c r="O3043" s="3">
        <v>6926</v>
      </c>
      <c r="P3043">
        <v>0</v>
      </c>
      <c r="Q3043">
        <v>4</v>
      </c>
      <c r="R3043" t="s">
        <v>28</v>
      </c>
      <c r="S3043">
        <v>1</v>
      </c>
    </row>
    <row r="3044" spans="1:19" ht="16.5" x14ac:dyDescent="0.3">
      <c r="A3044" t="s">
        <v>3107</v>
      </c>
      <c r="B3044" s="1">
        <v>45688</v>
      </c>
      <c r="C3044" s="1">
        <v>45689</v>
      </c>
      <c r="D3044">
        <v>2025</v>
      </c>
      <c r="E3044" t="s">
        <v>20</v>
      </c>
      <c r="F3044" t="s">
        <v>21</v>
      </c>
      <c r="G3044" t="s">
        <v>83</v>
      </c>
      <c r="H3044" t="s">
        <v>23</v>
      </c>
      <c r="I3044" t="s">
        <v>24</v>
      </c>
      <c r="J3044" t="s">
        <v>43</v>
      </c>
      <c r="K3044" t="s">
        <v>53</v>
      </c>
      <c r="L3044" t="s">
        <v>27</v>
      </c>
      <c r="M3044">
        <v>1</v>
      </c>
      <c r="N3044" s="2">
        <v>93</v>
      </c>
      <c r="O3044" s="3">
        <v>1127</v>
      </c>
      <c r="P3044">
        <v>0</v>
      </c>
      <c r="Q3044">
        <v>4</v>
      </c>
      <c r="R3044" t="s">
        <v>33</v>
      </c>
      <c r="S3044">
        <v>1</v>
      </c>
    </row>
    <row r="3045" spans="1:19" ht="16.5" x14ac:dyDescent="0.3">
      <c r="A3045" t="s">
        <v>3108</v>
      </c>
      <c r="B3045" s="1">
        <v>45688</v>
      </c>
      <c r="C3045" s="1">
        <v>45692</v>
      </c>
      <c r="D3045">
        <v>2025</v>
      </c>
      <c r="E3045" t="s">
        <v>20</v>
      </c>
      <c r="F3045" t="s">
        <v>21</v>
      </c>
      <c r="G3045" t="s">
        <v>83</v>
      </c>
      <c r="H3045" t="s">
        <v>35</v>
      </c>
      <c r="I3045" t="s">
        <v>24</v>
      </c>
      <c r="J3045" t="s">
        <v>25</v>
      </c>
      <c r="K3045" t="s">
        <v>36</v>
      </c>
      <c r="L3045" t="s">
        <v>44</v>
      </c>
      <c r="M3045">
        <v>4</v>
      </c>
      <c r="N3045" s="2">
        <v>135</v>
      </c>
      <c r="O3045" s="3">
        <v>4054</v>
      </c>
      <c r="P3045">
        <v>0</v>
      </c>
      <c r="Q3045">
        <v>5</v>
      </c>
      <c r="R3045" t="s">
        <v>33</v>
      </c>
      <c r="S3045">
        <v>1</v>
      </c>
    </row>
    <row r="3046" spans="1:19" ht="16.5" x14ac:dyDescent="0.3">
      <c r="A3046" t="s">
        <v>3109</v>
      </c>
      <c r="B3046" s="1">
        <v>45688</v>
      </c>
      <c r="C3046" s="1">
        <v>45693</v>
      </c>
      <c r="D3046">
        <v>2025</v>
      </c>
      <c r="E3046" t="s">
        <v>20</v>
      </c>
      <c r="F3046" t="s">
        <v>21</v>
      </c>
      <c r="G3046" t="s">
        <v>83</v>
      </c>
      <c r="H3046" t="s">
        <v>52</v>
      </c>
      <c r="I3046" t="s">
        <v>40</v>
      </c>
      <c r="J3046" t="s">
        <v>25</v>
      </c>
      <c r="K3046" t="s">
        <v>36</v>
      </c>
      <c r="L3046" t="s">
        <v>27</v>
      </c>
      <c r="M3046">
        <v>5</v>
      </c>
      <c r="N3046" s="2"/>
      <c r="O3046" s="3">
        <v>5992</v>
      </c>
      <c r="P3046">
        <v>0</v>
      </c>
      <c r="Q3046">
        <v>4</v>
      </c>
      <c r="R3046" t="s">
        <v>33</v>
      </c>
      <c r="S3046">
        <v>1</v>
      </c>
    </row>
    <row r="3047" spans="1:19" ht="16.5" x14ac:dyDescent="0.3">
      <c r="A3047" t="s">
        <v>3110</v>
      </c>
      <c r="B3047" s="1">
        <v>45688</v>
      </c>
      <c r="C3047" s="1">
        <v>45689</v>
      </c>
      <c r="D3047">
        <v>2025</v>
      </c>
      <c r="E3047" t="s">
        <v>20</v>
      </c>
      <c r="F3047" t="s">
        <v>21</v>
      </c>
      <c r="G3047" t="s">
        <v>83</v>
      </c>
      <c r="H3047" t="s">
        <v>50</v>
      </c>
      <c r="I3047" t="s">
        <v>24</v>
      </c>
      <c r="J3047" t="s">
        <v>43</v>
      </c>
      <c r="K3047" t="s">
        <v>53</v>
      </c>
      <c r="L3047" t="s">
        <v>44</v>
      </c>
      <c r="M3047">
        <v>1</v>
      </c>
      <c r="N3047" s="2">
        <v>150</v>
      </c>
      <c r="O3047" s="3">
        <v>2141</v>
      </c>
      <c r="P3047">
        <v>0</v>
      </c>
      <c r="Q3047">
        <v>3</v>
      </c>
      <c r="R3047" t="s">
        <v>33</v>
      </c>
      <c r="S3047">
        <v>1</v>
      </c>
    </row>
    <row r="3048" spans="1:19" ht="16.5" x14ac:dyDescent="0.3">
      <c r="A3048" t="s">
        <v>3111</v>
      </c>
      <c r="B3048" s="1">
        <v>45689</v>
      </c>
      <c r="C3048" s="1">
        <v>45690</v>
      </c>
      <c r="D3048">
        <v>2025</v>
      </c>
      <c r="E3048" t="s">
        <v>20</v>
      </c>
      <c r="F3048" t="s">
        <v>351</v>
      </c>
      <c r="G3048" t="s">
        <v>102</v>
      </c>
      <c r="H3048" t="s">
        <v>30</v>
      </c>
      <c r="I3048" t="s">
        <v>24</v>
      </c>
      <c r="J3048" t="s">
        <v>43</v>
      </c>
      <c r="K3048" t="s">
        <v>32</v>
      </c>
      <c r="L3048" t="s">
        <v>27</v>
      </c>
      <c r="M3048">
        <v>1</v>
      </c>
      <c r="N3048" s="2">
        <v>57</v>
      </c>
      <c r="O3048" s="3">
        <v>1861</v>
      </c>
      <c r="P3048">
        <v>0</v>
      </c>
      <c r="Q3048">
        <v>4</v>
      </c>
      <c r="R3048" t="s">
        <v>33</v>
      </c>
      <c r="S3048">
        <v>1</v>
      </c>
    </row>
    <row r="3049" spans="1:19" ht="16.5" x14ac:dyDescent="0.3">
      <c r="A3049" t="s">
        <v>3112</v>
      </c>
      <c r="B3049" s="1">
        <v>45689</v>
      </c>
      <c r="C3049" s="1">
        <v>45691</v>
      </c>
      <c r="D3049">
        <v>2025</v>
      </c>
      <c r="E3049" t="s">
        <v>20</v>
      </c>
      <c r="F3049" t="s">
        <v>351</v>
      </c>
      <c r="G3049" t="s">
        <v>102</v>
      </c>
      <c r="H3049" t="s">
        <v>23</v>
      </c>
      <c r="I3049" t="s">
        <v>40</v>
      </c>
      <c r="J3049" t="s">
        <v>43</v>
      </c>
      <c r="K3049" t="s">
        <v>36</v>
      </c>
      <c r="L3049" t="s">
        <v>27</v>
      </c>
      <c r="M3049">
        <v>2</v>
      </c>
      <c r="N3049" s="2"/>
      <c r="O3049" s="3">
        <v>2269</v>
      </c>
      <c r="P3049">
        <v>0</v>
      </c>
      <c r="Q3049">
        <v>5</v>
      </c>
      <c r="R3049" t="s">
        <v>28</v>
      </c>
      <c r="S3049">
        <v>1</v>
      </c>
    </row>
    <row r="3050" spans="1:19" ht="16.5" x14ac:dyDescent="0.3">
      <c r="A3050" t="s">
        <v>3113</v>
      </c>
      <c r="B3050" s="1">
        <v>45689</v>
      </c>
      <c r="C3050" s="1">
        <v>45690</v>
      </c>
      <c r="D3050">
        <v>2025</v>
      </c>
      <c r="E3050" t="s">
        <v>20</v>
      </c>
      <c r="F3050" t="s">
        <v>351</v>
      </c>
      <c r="G3050" t="s">
        <v>102</v>
      </c>
      <c r="H3050" t="s">
        <v>52</v>
      </c>
      <c r="I3050" t="s">
        <v>40</v>
      </c>
      <c r="J3050" t="s">
        <v>25</v>
      </c>
      <c r="K3050" t="s">
        <v>26</v>
      </c>
      <c r="L3050" t="s">
        <v>27</v>
      </c>
      <c r="M3050">
        <v>1</v>
      </c>
      <c r="N3050" s="2"/>
      <c r="O3050" s="3">
        <v>1999</v>
      </c>
      <c r="P3050">
        <v>0</v>
      </c>
      <c r="Q3050">
        <v>3</v>
      </c>
      <c r="R3050" t="s">
        <v>33</v>
      </c>
      <c r="S3050">
        <v>1</v>
      </c>
    </row>
    <row r="3051" spans="1:19" ht="16.5" x14ac:dyDescent="0.3">
      <c r="A3051" t="s">
        <v>3114</v>
      </c>
      <c r="B3051" s="1">
        <v>45689</v>
      </c>
      <c r="C3051" s="1">
        <v>45690</v>
      </c>
      <c r="D3051">
        <v>2025</v>
      </c>
      <c r="E3051" t="s">
        <v>20</v>
      </c>
      <c r="F3051" t="s">
        <v>351</v>
      </c>
      <c r="G3051" t="s">
        <v>102</v>
      </c>
      <c r="H3051" t="s">
        <v>30</v>
      </c>
      <c r="I3051" t="s">
        <v>40</v>
      </c>
      <c r="J3051" t="s">
        <v>25</v>
      </c>
      <c r="K3051" t="s">
        <v>36</v>
      </c>
      <c r="L3051" t="s">
        <v>27</v>
      </c>
      <c r="M3051">
        <v>1</v>
      </c>
      <c r="N3051" s="2"/>
      <c r="O3051" s="3">
        <v>1806</v>
      </c>
      <c r="P3051">
        <v>0</v>
      </c>
      <c r="Q3051">
        <v>4</v>
      </c>
      <c r="R3051" t="s">
        <v>33</v>
      </c>
      <c r="S3051">
        <v>1</v>
      </c>
    </row>
    <row r="3052" spans="1:19" ht="16.5" x14ac:dyDescent="0.3">
      <c r="A3052" t="s">
        <v>3115</v>
      </c>
      <c r="B3052" s="1">
        <v>45689</v>
      </c>
      <c r="C3052" s="1">
        <v>45690</v>
      </c>
      <c r="D3052">
        <v>2025</v>
      </c>
      <c r="E3052" t="s">
        <v>20</v>
      </c>
      <c r="F3052" t="s">
        <v>351</v>
      </c>
      <c r="G3052" t="s">
        <v>102</v>
      </c>
      <c r="H3052" t="s">
        <v>50</v>
      </c>
      <c r="I3052" t="s">
        <v>40</v>
      </c>
      <c r="J3052" t="s">
        <v>43</v>
      </c>
      <c r="K3052" t="s">
        <v>26</v>
      </c>
      <c r="L3052" t="s">
        <v>27</v>
      </c>
      <c r="M3052">
        <v>1</v>
      </c>
      <c r="N3052" s="2"/>
      <c r="O3052" s="3">
        <v>2139</v>
      </c>
      <c r="P3052">
        <v>0</v>
      </c>
      <c r="Q3052">
        <v>5</v>
      </c>
      <c r="R3052" t="s">
        <v>33</v>
      </c>
      <c r="S3052">
        <v>1</v>
      </c>
    </row>
    <row r="3053" spans="1:19" ht="16.5" x14ac:dyDescent="0.3">
      <c r="A3053" t="s">
        <v>3116</v>
      </c>
      <c r="B3053" s="1">
        <v>45689</v>
      </c>
      <c r="C3053" s="1">
        <v>45693</v>
      </c>
      <c r="D3053">
        <v>2025</v>
      </c>
      <c r="E3053" t="s">
        <v>20</v>
      </c>
      <c r="F3053" t="s">
        <v>351</v>
      </c>
      <c r="G3053" t="s">
        <v>102</v>
      </c>
      <c r="H3053" t="s">
        <v>39</v>
      </c>
      <c r="I3053" t="s">
        <v>24</v>
      </c>
      <c r="J3053" t="s">
        <v>43</v>
      </c>
      <c r="K3053" t="s">
        <v>41</v>
      </c>
      <c r="L3053" t="s">
        <v>27</v>
      </c>
      <c r="M3053">
        <v>4</v>
      </c>
      <c r="N3053" s="2">
        <v>29</v>
      </c>
      <c r="O3053" s="3">
        <v>3546</v>
      </c>
      <c r="P3053">
        <v>0</v>
      </c>
      <c r="Q3053">
        <v>4</v>
      </c>
      <c r="R3053" t="s">
        <v>28</v>
      </c>
      <c r="S3053">
        <v>1</v>
      </c>
    </row>
    <row r="3054" spans="1:19" ht="16.5" x14ac:dyDescent="0.3">
      <c r="A3054" t="s">
        <v>3117</v>
      </c>
      <c r="B3054" s="1">
        <v>45689</v>
      </c>
      <c r="C3054" s="1">
        <v>45691</v>
      </c>
      <c r="D3054">
        <v>2025</v>
      </c>
      <c r="E3054" t="s">
        <v>20</v>
      </c>
      <c r="F3054" t="s">
        <v>351</v>
      </c>
      <c r="G3054" t="s">
        <v>102</v>
      </c>
      <c r="H3054" t="s">
        <v>23</v>
      </c>
      <c r="I3054" t="s">
        <v>24</v>
      </c>
      <c r="J3054" t="s">
        <v>43</v>
      </c>
      <c r="K3054" t="s">
        <v>53</v>
      </c>
      <c r="L3054" t="s">
        <v>27</v>
      </c>
      <c r="M3054">
        <v>2</v>
      </c>
      <c r="N3054" s="2">
        <v>150</v>
      </c>
      <c r="O3054" s="3">
        <v>2589</v>
      </c>
      <c r="P3054">
        <v>0</v>
      </c>
      <c r="Q3054">
        <v>4</v>
      </c>
      <c r="R3054" t="s">
        <v>33</v>
      </c>
      <c r="S3054">
        <v>1</v>
      </c>
    </row>
    <row r="3055" spans="1:19" ht="16.5" x14ac:dyDescent="0.3">
      <c r="A3055" t="s">
        <v>3118</v>
      </c>
      <c r="B3055" s="1">
        <v>45690</v>
      </c>
      <c r="C3055" s="1">
        <v>45696</v>
      </c>
      <c r="D3055">
        <v>2025</v>
      </c>
      <c r="E3055" t="s">
        <v>20</v>
      </c>
      <c r="F3055" t="s">
        <v>351</v>
      </c>
      <c r="G3055" t="s">
        <v>112</v>
      </c>
      <c r="H3055" t="s">
        <v>50</v>
      </c>
      <c r="I3055" t="s">
        <v>24</v>
      </c>
      <c r="J3055" t="s">
        <v>43</v>
      </c>
      <c r="K3055" t="s">
        <v>36</v>
      </c>
      <c r="L3055" t="s">
        <v>27</v>
      </c>
      <c r="M3055">
        <v>6</v>
      </c>
      <c r="N3055" s="2">
        <v>147</v>
      </c>
      <c r="O3055" s="3">
        <v>4018</v>
      </c>
      <c r="P3055">
        <v>0</v>
      </c>
      <c r="Q3055">
        <v>3</v>
      </c>
      <c r="R3055" t="s">
        <v>28</v>
      </c>
      <c r="S3055">
        <v>1</v>
      </c>
    </row>
    <row r="3056" spans="1:19" ht="16.5" x14ac:dyDescent="0.3">
      <c r="A3056" t="s">
        <v>3119</v>
      </c>
      <c r="B3056" s="1">
        <v>45690</v>
      </c>
      <c r="C3056" s="1">
        <v>45691</v>
      </c>
      <c r="D3056">
        <v>2025</v>
      </c>
      <c r="E3056" t="s">
        <v>20</v>
      </c>
      <c r="F3056" t="s">
        <v>351</v>
      </c>
      <c r="G3056" t="s">
        <v>112</v>
      </c>
      <c r="H3056" t="s">
        <v>39</v>
      </c>
      <c r="I3056" t="s">
        <v>24</v>
      </c>
      <c r="J3056" t="s">
        <v>25</v>
      </c>
      <c r="K3056" t="s">
        <v>41</v>
      </c>
      <c r="L3056" t="s">
        <v>27</v>
      </c>
      <c r="M3056">
        <v>1</v>
      </c>
      <c r="N3056" s="2">
        <v>39</v>
      </c>
      <c r="O3056" s="3">
        <v>1505</v>
      </c>
      <c r="P3056">
        <v>0</v>
      </c>
      <c r="Q3056">
        <v>4</v>
      </c>
      <c r="R3056" t="s">
        <v>33</v>
      </c>
      <c r="S3056">
        <v>1</v>
      </c>
    </row>
    <row r="3057" spans="1:19" ht="16.5" x14ac:dyDescent="0.3">
      <c r="A3057" t="s">
        <v>3120</v>
      </c>
      <c r="B3057" s="1">
        <v>45690</v>
      </c>
      <c r="C3057" s="1">
        <v>45694</v>
      </c>
      <c r="D3057">
        <v>2025</v>
      </c>
      <c r="E3057" t="s">
        <v>20</v>
      </c>
      <c r="F3057" t="s">
        <v>351</v>
      </c>
      <c r="G3057" t="s">
        <v>112</v>
      </c>
      <c r="H3057" t="s">
        <v>52</v>
      </c>
      <c r="I3057" t="s">
        <v>24</v>
      </c>
      <c r="J3057" t="s">
        <v>25</v>
      </c>
      <c r="K3057" t="s">
        <v>53</v>
      </c>
      <c r="L3057" t="s">
        <v>37</v>
      </c>
      <c r="M3057">
        <v>4</v>
      </c>
      <c r="N3057" s="2">
        <v>16</v>
      </c>
      <c r="O3057" s="3">
        <v>4795</v>
      </c>
      <c r="P3057">
        <v>0</v>
      </c>
      <c r="Q3057">
        <v>5</v>
      </c>
      <c r="R3057" t="s">
        <v>28</v>
      </c>
      <c r="S3057">
        <v>1</v>
      </c>
    </row>
    <row r="3058" spans="1:19" ht="16.5" x14ac:dyDescent="0.3">
      <c r="A3058" t="s">
        <v>3121</v>
      </c>
      <c r="B3058" s="1">
        <v>45690</v>
      </c>
      <c r="C3058" s="1">
        <v>45692</v>
      </c>
      <c r="D3058">
        <v>2025</v>
      </c>
      <c r="E3058" t="s">
        <v>20</v>
      </c>
      <c r="F3058" t="s">
        <v>351</v>
      </c>
      <c r="G3058" t="s">
        <v>112</v>
      </c>
      <c r="H3058" t="s">
        <v>39</v>
      </c>
      <c r="I3058" t="s">
        <v>40</v>
      </c>
      <c r="J3058" t="s">
        <v>25</v>
      </c>
      <c r="K3058" t="s">
        <v>41</v>
      </c>
      <c r="L3058" t="s">
        <v>27</v>
      </c>
      <c r="M3058">
        <v>2</v>
      </c>
      <c r="N3058" s="2"/>
      <c r="O3058" s="3">
        <v>1998</v>
      </c>
      <c r="P3058">
        <v>0</v>
      </c>
      <c r="Q3058">
        <v>4</v>
      </c>
      <c r="R3058" t="s">
        <v>33</v>
      </c>
      <c r="S3058">
        <v>1</v>
      </c>
    </row>
    <row r="3059" spans="1:19" ht="16.5" x14ac:dyDescent="0.3">
      <c r="A3059" t="s">
        <v>3122</v>
      </c>
      <c r="B3059" s="1">
        <v>45690</v>
      </c>
      <c r="C3059" s="1">
        <v>45696</v>
      </c>
      <c r="D3059">
        <v>2025</v>
      </c>
      <c r="E3059" t="s">
        <v>20</v>
      </c>
      <c r="F3059" t="s">
        <v>351</v>
      </c>
      <c r="G3059" t="s">
        <v>112</v>
      </c>
      <c r="H3059" t="s">
        <v>30</v>
      </c>
      <c r="I3059" t="s">
        <v>40</v>
      </c>
      <c r="J3059" t="s">
        <v>25</v>
      </c>
      <c r="K3059" t="s">
        <v>26</v>
      </c>
      <c r="L3059" t="s">
        <v>27</v>
      </c>
      <c r="M3059">
        <v>6</v>
      </c>
      <c r="N3059" s="2"/>
      <c r="O3059" s="3">
        <v>7907</v>
      </c>
      <c r="P3059">
        <v>0</v>
      </c>
      <c r="Q3059">
        <v>4</v>
      </c>
      <c r="R3059" t="s">
        <v>33</v>
      </c>
      <c r="S3059">
        <v>1</v>
      </c>
    </row>
    <row r="3060" spans="1:19" ht="16.5" x14ac:dyDescent="0.3">
      <c r="A3060" t="s">
        <v>3123</v>
      </c>
      <c r="B3060" s="1">
        <v>45690</v>
      </c>
      <c r="C3060" s="1">
        <v>45694</v>
      </c>
      <c r="D3060">
        <v>2025</v>
      </c>
      <c r="E3060" t="s">
        <v>20</v>
      </c>
      <c r="F3060" t="s">
        <v>351</v>
      </c>
      <c r="G3060" t="s">
        <v>112</v>
      </c>
      <c r="H3060" t="s">
        <v>35</v>
      </c>
      <c r="I3060" t="s">
        <v>40</v>
      </c>
      <c r="J3060" t="s">
        <v>25</v>
      </c>
      <c r="K3060" t="s">
        <v>36</v>
      </c>
      <c r="L3060" t="s">
        <v>27</v>
      </c>
      <c r="M3060">
        <v>4</v>
      </c>
      <c r="N3060" s="2"/>
      <c r="O3060" s="3">
        <v>4367</v>
      </c>
      <c r="P3060">
        <v>0</v>
      </c>
      <c r="Q3060">
        <v>5</v>
      </c>
      <c r="R3060" t="s">
        <v>28</v>
      </c>
      <c r="S3060">
        <v>1</v>
      </c>
    </row>
    <row r="3061" spans="1:19" ht="16.5" x14ac:dyDescent="0.3">
      <c r="A3061" t="s">
        <v>3124</v>
      </c>
      <c r="B3061" s="1">
        <v>45690</v>
      </c>
      <c r="C3061" s="1">
        <v>45692</v>
      </c>
      <c r="D3061">
        <v>2025</v>
      </c>
      <c r="E3061" t="s">
        <v>20</v>
      </c>
      <c r="F3061" t="s">
        <v>351</v>
      </c>
      <c r="G3061" t="s">
        <v>112</v>
      </c>
      <c r="H3061" t="s">
        <v>39</v>
      </c>
      <c r="I3061" t="s">
        <v>24</v>
      </c>
      <c r="J3061" t="s">
        <v>43</v>
      </c>
      <c r="K3061" t="s">
        <v>41</v>
      </c>
      <c r="L3061" t="s">
        <v>27</v>
      </c>
      <c r="M3061">
        <v>2</v>
      </c>
      <c r="N3061" s="2">
        <v>71</v>
      </c>
      <c r="O3061" s="3">
        <v>1968</v>
      </c>
      <c r="P3061">
        <v>0</v>
      </c>
      <c r="Q3061">
        <v>4</v>
      </c>
      <c r="R3061" t="s">
        <v>33</v>
      </c>
      <c r="S3061">
        <v>1</v>
      </c>
    </row>
    <row r="3062" spans="1:19" ht="16.5" x14ac:dyDescent="0.3">
      <c r="A3062" t="s">
        <v>3125</v>
      </c>
      <c r="B3062" s="1">
        <v>45690</v>
      </c>
      <c r="C3062" s="1">
        <v>45694</v>
      </c>
      <c r="D3062">
        <v>2025</v>
      </c>
      <c r="E3062" t="s">
        <v>20</v>
      </c>
      <c r="F3062" t="s">
        <v>351</v>
      </c>
      <c r="G3062" t="s">
        <v>112</v>
      </c>
      <c r="H3062" t="s">
        <v>35</v>
      </c>
      <c r="I3062" t="s">
        <v>24</v>
      </c>
      <c r="J3062" t="s">
        <v>25</v>
      </c>
      <c r="K3062" t="s">
        <v>32</v>
      </c>
      <c r="L3062" t="s">
        <v>27</v>
      </c>
      <c r="M3062">
        <v>4</v>
      </c>
      <c r="N3062" s="2">
        <v>42</v>
      </c>
      <c r="O3062" s="3">
        <v>3832</v>
      </c>
      <c r="P3062">
        <v>0</v>
      </c>
      <c r="Q3062">
        <v>4</v>
      </c>
      <c r="R3062" t="s">
        <v>33</v>
      </c>
      <c r="S3062">
        <v>1</v>
      </c>
    </row>
    <row r="3063" spans="1:19" ht="16.5" x14ac:dyDescent="0.3">
      <c r="A3063" t="s">
        <v>3126</v>
      </c>
      <c r="B3063" s="1">
        <v>45690</v>
      </c>
      <c r="C3063" s="1">
        <v>45691</v>
      </c>
      <c r="D3063">
        <v>2025</v>
      </c>
      <c r="E3063" t="s">
        <v>20</v>
      </c>
      <c r="F3063" t="s">
        <v>351</v>
      </c>
      <c r="G3063" t="s">
        <v>112</v>
      </c>
      <c r="H3063" t="s">
        <v>52</v>
      </c>
      <c r="I3063" t="s">
        <v>40</v>
      </c>
      <c r="J3063" t="s">
        <v>43</v>
      </c>
      <c r="K3063" t="s">
        <v>32</v>
      </c>
      <c r="L3063" t="s">
        <v>27</v>
      </c>
      <c r="M3063">
        <v>1</v>
      </c>
      <c r="N3063" s="2"/>
      <c r="O3063" s="3">
        <v>1646</v>
      </c>
      <c r="P3063">
        <v>0</v>
      </c>
      <c r="Q3063">
        <v>4</v>
      </c>
      <c r="R3063" t="s">
        <v>33</v>
      </c>
      <c r="S3063">
        <v>1</v>
      </c>
    </row>
    <row r="3064" spans="1:19" ht="16.5" x14ac:dyDescent="0.3">
      <c r="A3064" t="s">
        <v>3127</v>
      </c>
      <c r="B3064" s="1">
        <v>45690</v>
      </c>
      <c r="C3064" s="1">
        <v>45698</v>
      </c>
      <c r="D3064">
        <v>2025</v>
      </c>
      <c r="E3064" t="s">
        <v>20</v>
      </c>
      <c r="F3064" t="s">
        <v>351</v>
      </c>
      <c r="G3064" t="s">
        <v>112</v>
      </c>
      <c r="H3064" t="s">
        <v>23</v>
      </c>
      <c r="I3064" t="s">
        <v>40</v>
      </c>
      <c r="J3064" t="s">
        <v>43</v>
      </c>
      <c r="K3064" t="s">
        <v>32</v>
      </c>
      <c r="L3064" t="s">
        <v>44</v>
      </c>
      <c r="M3064">
        <v>8</v>
      </c>
      <c r="N3064" s="2"/>
      <c r="O3064" s="3">
        <v>5343</v>
      </c>
      <c r="P3064">
        <v>0</v>
      </c>
      <c r="Q3064">
        <v>5</v>
      </c>
      <c r="R3064" t="s">
        <v>33</v>
      </c>
      <c r="S3064">
        <v>1</v>
      </c>
    </row>
    <row r="3065" spans="1:19" ht="16.5" x14ac:dyDescent="0.3">
      <c r="A3065" t="s">
        <v>3128</v>
      </c>
      <c r="B3065" s="1">
        <v>45690</v>
      </c>
      <c r="C3065" s="1">
        <v>45698</v>
      </c>
      <c r="D3065">
        <v>2025</v>
      </c>
      <c r="E3065" t="s">
        <v>20</v>
      </c>
      <c r="F3065" t="s">
        <v>351</v>
      </c>
      <c r="G3065" t="s">
        <v>112</v>
      </c>
      <c r="H3065" t="s">
        <v>23</v>
      </c>
      <c r="I3065" t="s">
        <v>24</v>
      </c>
      <c r="J3065" t="s">
        <v>43</v>
      </c>
      <c r="K3065" t="s">
        <v>26</v>
      </c>
      <c r="L3065" t="s">
        <v>27</v>
      </c>
      <c r="M3065">
        <v>8</v>
      </c>
      <c r="N3065" s="2">
        <v>61</v>
      </c>
      <c r="O3065" s="3">
        <v>7458</v>
      </c>
      <c r="P3065">
        <v>0</v>
      </c>
      <c r="Q3065">
        <v>5</v>
      </c>
      <c r="R3065" t="s">
        <v>33</v>
      </c>
      <c r="S3065">
        <v>1</v>
      </c>
    </row>
    <row r="3066" spans="1:19" ht="16.5" x14ac:dyDescent="0.3">
      <c r="A3066" t="s">
        <v>3129</v>
      </c>
      <c r="B3066" s="1">
        <v>45691</v>
      </c>
      <c r="C3066" s="1">
        <v>45697</v>
      </c>
      <c r="D3066">
        <v>2025</v>
      </c>
      <c r="E3066" t="s">
        <v>20</v>
      </c>
      <c r="F3066" t="s">
        <v>351</v>
      </c>
      <c r="G3066" t="s">
        <v>22</v>
      </c>
      <c r="H3066" t="s">
        <v>30</v>
      </c>
      <c r="I3066" t="s">
        <v>40</v>
      </c>
      <c r="J3066" t="s">
        <v>43</v>
      </c>
      <c r="K3066" t="s">
        <v>36</v>
      </c>
      <c r="L3066" t="s">
        <v>44</v>
      </c>
      <c r="M3066">
        <v>6</v>
      </c>
      <c r="N3066" s="2"/>
      <c r="O3066" s="3">
        <v>6918</v>
      </c>
      <c r="P3066">
        <v>0</v>
      </c>
      <c r="Q3066">
        <v>5</v>
      </c>
      <c r="R3066" t="s">
        <v>33</v>
      </c>
      <c r="S3066">
        <v>1</v>
      </c>
    </row>
    <row r="3067" spans="1:19" ht="16.5" x14ac:dyDescent="0.3">
      <c r="A3067" t="s">
        <v>3130</v>
      </c>
      <c r="B3067" s="1">
        <v>45691</v>
      </c>
      <c r="C3067" s="1">
        <v>45692</v>
      </c>
      <c r="D3067">
        <v>2025</v>
      </c>
      <c r="E3067" t="s">
        <v>20</v>
      </c>
      <c r="F3067" t="s">
        <v>351</v>
      </c>
      <c r="G3067" t="s">
        <v>22</v>
      </c>
      <c r="H3067" t="s">
        <v>23</v>
      </c>
      <c r="I3067" t="s">
        <v>40</v>
      </c>
      <c r="J3067" t="s">
        <v>43</v>
      </c>
      <c r="K3067" t="s">
        <v>32</v>
      </c>
      <c r="L3067" t="s">
        <v>44</v>
      </c>
      <c r="M3067">
        <v>1</v>
      </c>
      <c r="N3067" s="2"/>
      <c r="O3067" s="3">
        <v>1852</v>
      </c>
      <c r="P3067">
        <v>1</v>
      </c>
      <c r="Q3067">
        <v>3</v>
      </c>
      <c r="R3067" t="s">
        <v>33</v>
      </c>
      <c r="S3067">
        <v>1</v>
      </c>
    </row>
    <row r="3068" spans="1:19" ht="16.5" x14ac:dyDescent="0.3">
      <c r="A3068" t="s">
        <v>3131</v>
      </c>
      <c r="B3068" s="1">
        <v>45691</v>
      </c>
      <c r="C3068" s="1">
        <v>45694</v>
      </c>
      <c r="D3068">
        <v>2025</v>
      </c>
      <c r="E3068" t="s">
        <v>20</v>
      </c>
      <c r="F3068" t="s">
        <v>351</v>
      </c>
      <c r="G3068" t="s">
        <v>22</v>
      </c>
      <c r="H3068" t="s">
        <v>50</v>
      </c>
      <c r="I3068" t="s">
        <v>24</v>
      </c>
      <c r="J3068" t="s">
        <v>43</v>
      </c>
      <c r="K3068" t="s">
        <v>32</v>
      </c>
      <c r="L3068" t="s">
        <v>44</v>
      </c>
      <c r="M3068">
        <v>3</v>
      </c>
      <c r="N3068" s="2">
        <v>62</v>
      </c>
      <c r="O3068" s="3">
        <v>3976</v>
      </c>
      <c r="P3068">
        <v>0</v>
      </c>
      <c r="Q3068">
        <v>5</v>
      </c>
      <c r="R3068" t="s">
        <v>33</v>
      </c>
      <c r="S3068">
        <v>1</v>
      </c>
    </row>
    <row r="3069" spans="1:19" ht="16.5" x14ac:dyDescent="0.3">
      <c r="A3069" t="s">
        <v>3132</v>
      </c>
      <c r="B3069" s="1">
        <v>45691</v>
      </c>
      <c r="C3069" s="1">
        <v>45693</v>
      </c>
      <c r="D3069">
        <v>2025</v>
      </c>
      <c r="E3069" t="s">
        <v>20</v>
      </c>
      <c r="F3069" t="s">
        <v>351</v>
      </c>
      <c r="G3069" t="s">
        <v>22</v>
      </c>
      <c r="H3069" t="s">
        <v>35</v>
      </c>
      <c r="I3069" t="s">
        <v>24</v>
      </c>
      <c r="J3069" t="s">
        <v>25</v>
      </c>
      <c r="K3069" t="s">
        <v>32</v>
      </c>
      <c r="L3069" t="s">
        <v>44</v>
      </c>
      <c r="M3069">
        <v>2</v>
      </c>
      <c r="N3069" s="2">
        <v>34</v>
      </c>
      <c r="O3069" s="3">
        <v>2215</v>
      </c>
      <c r="P3069">
        <v>0</v>
      </c>
      <c r="Q3069">
        <v>4</v>
      </c>
      <c r="R3069" t="s">
        <v>28</v>
      </c>
      <c r="S3069">
        <v>1</v>
      </c>
    </row>
    <row r="3070" spans="1:19" ht="16.5" x14ac:dyDescent="0.3">
      <c r="A3070" t="s">
        <v>3133</v>
      </c>
      <c r="B3070" s="1">
        <v>45691</v>
      </c>
      <c r="C3070" s="1">
        <v>45697</v>
      </c>
      <c r="D3070">
        <v>2025</v>
      </c>
      <c r="E3070" t="s">
        <v>20</v>
      </c>
      <c r="F3070" t="s">
        <v>351</v>
      </c>
      <c r="G3070" t="s">
        <v>22</v>
      </c>
      <c r="H3070" t="s">
        <v>23</v>
      </c>
      <c r="I3070" t="s">
        <v>24</v>
      </c>
      <c r="J3070" t="s">
        <v>43</v>
      </c>
      <c r="K3070" t="s">
        <v>36</v>
      </c>
      <c r="L3070" t="s">
        <v>27</v>
      </c>
      <c r="M3070">
        <v>6</v>
      </c>
      <c r="N3070" s="2">
        <v>78</v>
      </c>
      <c r="O3070" s="3">
        <v>4376</v>
      </c>
      <c r="P3070">
        <v>0</v>
      </c>
      <c r="Q3070">
        <v>4</v>
      </c>
      <c r="R3070" t="s">
        <v>33</v>
      </c>
      <c r="S3070">
        <v>1</v>
      </c>
    </row>
    <row r="3071" spans="1:19" ht="16.5" x14ac:dyDescent="0.3">
      <c r="A3071" t="s">
        <v>3134</v>
      </c>
      <c r="B3071" s="1">
        <v>45691</v>
      </c>
      <c r="C3071" s="1">
        <v>45696</v>
      </c>
      <c r="D3071">
        <v>2025</v>
      </c>
      <c r="E3071" t="s">
        <v>20</v>
      </c>
      <c r="F3071" t="s">
        <v>351</v>
      </c>
      <c r="G3071" t="s">
        <v>22</v>
      </c>
      <c r="H3071" t="s">
        <v>39</v>
      </c>
      <c r="I3071" t="s">
        <v>24</v>
      </c>
      <c r="J3071" t="s">
        <v>25</v>
      </c>
      <c r="K3071" t="s">
        <v>41</v>
      </c>
      <c r="L3071" t="s">
        <v>44</v>
      </c>
      <c r="M3071">
        <v>5</v>
      </c>
      <c r="N3071" s="2">
        <v>60</v>
      </c>
      <c r="O3071" s="3">
        <v>3116</v>
      </c>
      <c r="P3071">
        <v>0</v>
      </c>
      <c r="Q3071">
        <v>5</v>
      </c>
      <c r="R3071" t="s">
        <v>165</v>
      </c>
      <c r="S3071">
        <v>1</v>
      </c>
    </row>
    <row r="3072" spans="1:19" ht="16.5" x14ac:dyDescent="0.3">
      <c r="A3072" t="s">
        <v>3135</v>
      </c>
      <c r="B3072" s="1">
        <v>45691</v>
      </c>
      <c r="C3072" s="1">
        <v>45695</v>
      </c>
      <c r="D3072">
        <v>2025</v>
      </c>
      <c r="E3072" t="s">
        <v>20</v>
      </c>
      <c r="F3072" t="s">
        <v>351</v>
      </c>
      <c r="G3072" t="s">
        <v>22</v>
      </c>
      <c r="H3072" t="s">
        <v>23</v>
      </c>
      <c r="I3072" t="s">
        <v>24</v>
      </c>
      <c r="J3072" t="s">
        <v>43</v>
      </c>
      <c r="K3072" t="s">
        <v>32</v>
      </c>
      <c r="L3072" t="s">
        <v>44</v>
      </c>
      <c r="M3072">
        <v>4</v>
      </c>
      <c r="N3072" s="2">
        <v>82</v>
      </c>
      <c r="O3072" s="3">
        <v>3077</v>
      </c>
      <c r="P3072">
        <v>0</v>
      </c>
      <c r="Q3072">
        <v>4</v>
      </c>
      <c r="R3072" t="s">
        <v>28</v>
      </c>
      <c r="S3072">
        <v>1</v>
      </c>
    </row>
    <row r="3073" spans="1:19" ht="16.5" x14ac:dyDescent="0.3">
      <c r="A3073" t="s">
        <v>3136</v>
      </c>
      <c r="B3073" s="1">
        <v>45691</v>
      </c>
      <c r="C3073" s="1">
        <v>45694</v>
      </c>
      <c r="D3073">
        <v>2025</v>
      </c>
      <c r="E3073" t="s">
        <v>20</v>
      </c>
      <c r="F3073" t="s">
        <v>351</v>
      </c>
      <c r="G3073" t="s">
        <v>22</v>
      </c>
      <c r="H3073" t="s">
        <v>50</v>
      </c>
      <c r="I3073" t="s">
        <v>24</v>
      </c>
      <c r="J3073" t="s">
        <v>25</v>
      </c>
      <c r="K3073" t="s">
        <v>26</v>
      </c>
      <c r="L3073" t="s">
        <v>44</v>
      </c>
      <c r="M3073">
        <v>3</v>
      </c>
      <c r="N3073" s="2">
        <v>88</v>
      </c>
      <c r="O3073" s="3">
        <v>4867</v>
      </c>
      <c r="P3073">
        <v>0</v>
      </c>
      <c r="Q3073">
        <v>5</v>
      </c>
      <c r="R3073" t="s">
        <v>28</v>
      </c>
      <c r="S3073">
        <v>1</v>
      </c>
    </row>
    <row r="3074" spans="1:19" ht="16.5" x14ac:dyDescent="0.3">
      <c r="A3074" t="s">
        <v>3137</v>
      </c>
      <c r="B3074" s="1">
        <v>45692</v>
      </c>
      <c r="C3074" s="1">
        <v>45694</v>
      </c>
      <c r="D3074">
        <v>2025</v>
      </c>
      <c r="E3074" t="s">
        <v>20</v>
      </c>
      <c r="F3074" t="s">
        <v>351</v>
      </c>
      <c r="G3074" t="s">
        <v>56</v>
      </c>
      <c r="H3074" t="s">
        <v>35</v>
      </c>
      <c r="I3074" t="s">
        <v>40</v>
      </c>
      <c r="J3074" t="s">
        <v>25</v>
      </c>
      <c r="K3074" t="s">
        <v>36</v>
      </c>
      <c r="L3074" t="s">
        <v>27</v>
      </c>
      <c r="M3074">
        <v>2</v>
      </c>
      <c r="N3074" s="2"/>
      <c r="O3074" s="3">
        <v>2379</v>
      </c>
      <c r="P3074">
        <v>0</v>
      </c>
      <c r="Q3074">
        <v>4</v>
      </c>
      <c r="R3074" t="s">
        <v>28</v>
      </c>
      <c r="S3074">
        <v>1</v>
      </c>
    </row>
    <row r="3075" spans="1:19" ht="16.5" x14ac:dyDescent="0.3">
      <c r="A3075" t="s">
        <v>3138</v>
      </c>
      <c r="B3075" s="1">
        <v>45692</v>
      </c>
      <c r="C3075" s="1">
        <v>45696</v>
      </c>
      <c r="D3075">
        <v>2025</v>
      </c>
      <c r="E3075" t="s">
        <v>20</v>
      </c>
      <c r="F3075" t="s">
        <v>351</v>
      </c>
      <c r="G3075" t="s">
        <v>56</v>
      </c>
      <c r="H3075" t="s">
        <v>39</v>
      </c>
      <c r="I3075" t="s">
        <v>24</v>
      </c>
      <c r="J3075" t="s">
        <v>43</v>
      </c>
      <c r="K3075" t="s">
        <v>41</v>
      </c>
      <c r="L3075" t="s">
        <v>44</v>
      </c>
      <c r="M3075">
        <v>4</v>
      </c>
      <c r="N3075" s="2">
        <v>78</v>
      </c>
      <c r="O3075" s="3">
        <v>2893</v>
      </c>
      <c r="P3075">
        <v>0</v>
      </c>
      <c r="Q3075">
        <v>4</v>
      </c>
      <c r="R3075" t="s">
        <v>33</v>
      </c>
      <c r="S3075">
        <v>1</v>
      </c>
    </row>
    <row r="3076" spans="1:19" ht="16.5" x14ac:dyDescent="0.3">
      <c r="A3076" t="s">
        <v>3139</v>
      </c>
      <c r="B3076" s="1">
        <v>45692</v>
      </c>
      <c r="C3076" s="1">
        <v>45697</v>
      </c>
      <c r="D3076">
        <v>2025</v>
      </c>
      <c r="E3076" t="s">
        <v>20</v>
      </c>
      <c r="F3076" t="s">
        <v>351</v>
      </c>
      <c r="G3076" t="s">
        <v>56</v>
      </c>
      <c r="H3076" t="s">
        <v>50</v>
      </c>
      <c r="I3076" t="s">
        <v>24</v>
      </c>
      <c r="J3076" t="s">
        <v>43</v>
      </c>
      <c r="K3076" t="s">
        <v>53</v>
      </c>
      <c r="L3076" t="s">
        <v>44</v>
      </c>
      <c r="M3076">
        <v>5</v>
      </c>
      <c r="N3076" s="2">
        <v>130</v>
      </c>
      <c r="O3076" s="3">
        <v>5120</v>
      </c>
      <c r="P3076">
        <v>0</v>
      </c>
      <c r="Q3076">
        <v>3</v>
      </c>
      <c r="R3076" t="s">
        <v>33</v>
      </c>
      <c r="S3076">
        <v>1</v>
      </c>
    </row>
    <row r="3077" spans="1:19" ht="16.5" x14ac:dyDescent="0.3">
      <c r="A3077" t="s">
        <v>3140</v>
      </c>
      <c r="B3077" s="1">
        <v>45692</v>
      </c>
      <c r="C3077" s="1">
        <v>45695</v>
      </c>
      <c r="D3077">
        <v>2025</v>
      </c>
      <c r="E3077" t="s">
        <v>20</v>
      </c>
      <c r="F3077" t="s">
        <v>351</v>
      </c>
      <c r="G3077" t="s">
        <v>56</v>
      </c>
      <c r="H3077" t="s">
        <v>23</v>
      </c>
      <c r="I3077" t="s">
        <v>40</v>
      </c>
      <c r="J3077" t="s">
        <v>43</v>
      </c>
      <c r="K3077" t="s">
        <v>26</v>
      </c>
      <c r="L3077" t="s">
        <v>27</v>
      </c>
      <c r="M3077">
        <v>3</v>
      </c>
      <c r="N3077" s="2"/>
      <c r="O3077" s="3">
        <v>3063</v>
      </c>
      <c r="P3077">
        <v>0</v>
      </c>
      <c r="Q3077">
        <v>4</v>
      </c>
      <c r="R3077" t="s">
        <v>33</v>
      </c>
      <c r="S3077">
        <v>1</v>
      </c>
    </row>
    <row r="3078" spans="1:19" ht="16.5" x14ac:dyDescent="0.3">
      <c r="A3078" t="s">
        <v>3141</v>
      </c>
      <c r="B3078" s="1">
        <v>45692</v>
      </c>
      <c r="C3078" s="1">
        <v>45701</v>
      </c>
      <c r="D3078">
        <v>2025</v>
      </c>
      <c r="E3078" t="s">
        <v>20</v>
      </c>
      <c r="F3078" t="s">
        <v>351</v>
      </c>
      <c r="G3078" t="s">
        <v>56</v>
      </c>
      <c r="H3078" t="s">
        <v>23</v>
      </c>
      <c r="I3078" t="s">
        <v>24</v>
      </c>
      <c r="J3078" t="s">
        <v>25</v>
      </c>
      <c r="K3078" t="s">
        <v>36</v>
      </c>
      <c r="L3078" t="s">
        <v>44</v>
      </c>
      <c r="M3078">
        <v>9</v>
      </c>
      <c r="N3078" s="2">
        <v>53</v>
      </c>
      <c r="O3078" s="3">
        <v>8263</v>
      </c>
      <c r="P3078">
        <v>1</v>
      </c>
      <c r="Q3078">
        <v>4</v>
      </c>
      <c r="R3078" t="s">
        <v>33</v>
      </c>
      <c r="S3078">
        <v>1</v>
      </c>
    </row>
    <row r="3079" spans="1:19" ht="16.5" x14ac:dyDescent="0.3">
      <c r="A3079" t="s">
        <v>3142</v>
      </c>
      <c r="B3079" s="1">
        <v>45692</v>
      </c>
      <c r="C3079" s="1">
        <v>45707</v>
      </c>
      <c r="D3079">
        <v>2025</v>
      </c>
      <c r="E3079" t="s">
        <v>20</v>
      </c>
      <c r="F3079" t="s">
        <v>351</v>
      </c>
      <c r="G3079" t="s">
        <v>56</v>
      </c>
      <c r="H3079" t="s">
        <v>50</v>
      </c>
      <c r="I3079" t="s">
        <v>24</v>
      </c>
      <c r="J3079" t="s">
        <v>25</v>
      </c>
      <c r="K3079" t="s">
        <v>26</v>
      </c>
      <c r="L3079" t="s">
        <v>44</v>
      </c>
      <c r="M3079">
        <v>15</v>
      </c>
      <c r="N3079" s="2">
        <v>68</v>
      </c>
      <c r="O3079" s="3">
        <v>21448</v>
      </c>
      <c r="P3079">
        <v>0</v>
      </c>
      <c r="Q3079">
        <v>4</v>
      </c>
      <c r="R3079" t="s">
        <v>33</v>
      </c>
      <c r="S3079">
        <v>1</v>
      </c>
    </row>
    <row r="3080" spans="1:19" ht="16.5" x14ac:dyDescent="0.3">
      <c r="A3080" t="s">
        <v>3143</v>
      </c>
      <c r="B3080" s="1">
        <v>45692</v>
      </c>
      <c r="C3080" s="1">
        <v>45696</v>
      </c>
      <c r="D3080">
        <v>2025</v>
      </c>
      <c r="E3080" t="s">
        <v>20</v>
      </c>
      <c r="F3080" t="s">
        <v>351</v>
      </c>
      <c r="G3080" t="s">
        <v>56</v>
      </c>
      <c r="H3080" t="s">
        <v>23</v>
      </c>
      <c r="I3080" t="s">
        <v>24</v>
      </c>
      <c r="J3080" t="s">
        <v>25</v>
      </c>
      <c r="K3080" t="s">
        <v>32</v>
      </c>
      <c r="L3080" t="s">
        <v>44</v>
      </c>
      <c r="M3080">
        <v>4</v>
      </c>
      <c r="N3080" s="2">
        <v>72</v>
      </c>
      <c r="O3080" s="3">
        <v>4288</v>
      </c>
      <c r="P3080">
        <v>0</v>
      </c>
      <c r="Q3080">
        <v>5</v>
      </c>
      <c r="R3080" t="s">
        <v>28</v>
      </c>
      <c r="S3080">
        <v>1</v>
      </c>
    </row>
    <row r="3081" spans="1:19" ht="16.5" x14ac:dyDescent="0.3">
      <c r="A3081" t="s">
        <v>3144</v>
      </c>
      <c r="B3081" s="1">
        <v>45692</v>
      </c>
      <c r="C3081" s="1">
        <v>45697</v>
      </c>
      <c r="D3081">
        <v>2025</v>
      </c>
      <c r="E3081" t="s">
        <v>20</v>
      </c>
      <c r="F3081" t="s">
        <v>351</v>
      </c>
      <c r="G3081" t="s">
        <v>56</v>
      </c>
      <c r="H3081" t="s">
        <v>50</v>
      </c>
      <c r="I3081" t="s">
        <v>24</v>
      </c>
      <c r="J3081" t="s">
        <v>25</v>
      </c>
      <c r="K3081" t="s">
        <v>32</v>
      </c>
      <c r="L3081" t="s">
        <v>44</v>
      </c>
      <c r="M3081">
        <v>5</v>
      </c>
      <c r="N3081" s="2">
        <v>24</v>
      </c>
      <c r="O3081" s="3">
        <v>7655</v>
      </c>
      <c r="P3081">
        <v>0</v>
      </c>
      <c r="Q3081">
        <v>5</v>
      </c>
      <c r="R3081" t="s">
        <v>33</v>
      </c>
      <c r="S3081">
        <v>1</v>
      </c>
    </row>
    <row r="3082" spans="1:19" ht="16.5" x14ac:dyDescent="0.3">
      <c r="A3082" t="s">
        <v>3145</v>
      </c>
      <c r="B3082" s="1">
        <v>45693</v>
      </c>
      <c r="C3082" s="1">
        <v>45698</v>
      </c>
      <c r="D3082">
        <v>2025</v>
      </c>
      <c r="E3082" t="s">
        <v>20</v>
      </c>
      <c r="F3082" t="s">
        <v>351</v>
      </c>
      <c r="G3082" t="s">
        <v>70</v>
      </c>
      <c r="H3082" t="s">
        <v>23</v>
      </c>
      <c r="I3082" t="s">
        <v>24</v>
      </c>
      <c r="J3082" t="s">
        <v>43</v>
      </c>
      <c r="K3082" t="s">
        <v>26</v>
      </c>
      <c r="L3082" t="s">
        <v>27</v>
      </c>
      <c r="M3082">
        <v>5</v>
      </c>
      <c r="N3082" s="2">
        <v>34</v>
      </c>
      <c r="O3082" s="3">
        <v>3745</v>
      </c>
      <c r="P3082">
        <v>0</v>
      </c>
      <c r="Q3082">
        <v>5</v>
      </c>
      <c r="R3082" t="s">
        <v>33</v>
      </c>
      <c r="S3082">
        <v>1</v>
      </c>
    </row>
    <row r="3083" spans="1:19" ht="16.5" x14ac:dyDescent="0.3">
      <c r="A3083" t="s">
        <v>3146</v>
      </c>
      <c r="B3083" s="1">
        <v>45693</v>
      </c>
      <c r="C3083" s="1">
        <v>45698</v>
      </c>
      <c r="D3083">
        <v>2025</v>
      </c>
      <c r="E3083" t="s">
        <v>20</v>
      </c>
      <c r="F3083" t="s">
        <v>351</v>
      </c>
      <c r="G3083" t="s">
        <v>70</v>
      </c>
      <c r="H3083" t="s">
        <v>50</v>
      </c>
      <c r="I3083" t="s">
        <v>24</v>
      </c>
      <c r="J3083" t="s">
        <v>43</v>
      </c>
      <c r="K3083" t="s">
        <v>26</v>
      </c>
      <c r="L3083" t="s">
        <v>37</v>
      </c>
      <c r="M3083">
        <v>5</v>
      </c>
      <c r="N3083" s="2">
        <v>56</v>
      </c>
      <c r="O3083" s="3">
        <v>6065</v>
      </c>
      <c r="P3083">
        <v>0</v>
      </c>
      <c r="Q3083">
        <v>3</v>
      </c>
      <c r="R3083" t="s">
        <v>33</v>
      </c>
      <c r="S3083">
        <v>1</v>
      </c>
    </row>
    <row r="3084" spans="1:19" ht="16.5" x14ac:dyDescent="0.3">
      <c r="A3084" t="s">
        <v>3147</v>
      </c>
      <c r="B3084" s="1">
        <v>45693</v>
      </c>
      <c r="C3084" s="1">
        <v>45696</v>
      </c>
      <c r="D3084">
        <v>2025</v>
      </c>
      <c r="E3084" t="s">
        <v>20</v>
      </c>
      <c r="F3084" t="s">
        <v>351</v>
      </c>
      <c r="G3084" t="s">
        <v>70</v>
      </c>
      <c r="H3084" t="s">
        <v>23</v>
      </c>
      <c r="I3084" t="s">
        <v>40</v>
      </c>
      <c r="J3084" t="s">
        <v>43</v>
      </c>
      <c r="K3084" t="s">
        <v>53</v>
      </c>
      <c r="L3084" t="s">
        <v>27</v>
      </c>
      <c r="M3084">
        <v>3</v>
      </c>
      <c r="N3084" s="2"/>
      <c r="O3084" s="3">
        <v>2427</v>
      </c>
      <c r="P3084">
        <v>0</v>
      </c>
      <c r="Q3084">
        <v>5</v>
      </c>
      <c r="R3084" t="s">
        <v>33</v>
      </c>
      <c r="S3084">
        <v>1</v>
      </c>
    </row>
    <row r="3085" spans="1:19" ht="16.5" x14ac:dyDescent="0.3">
      <c r="A3085" t="s">
        <v>3148</v>
      </c>
      <c r="B3085" s="1">
        <v>45693</v>
      </c>
      <c r="C3085" s="1">
        <v>45695</v>
      </c>
      <c r="D3085">
        <v>2025</v>
      </c>
      <c r="E3085" t="s">
        <v>20</v>
      </c>
      <c r="F3085" t="s">
        <v>351</v>
      </c>
      <c r="G3085" t="s">
        <v>70</v>
      </c>
      <c r="H3085" t="s">
        <v>30</v>
      </c>
      <c r="I3085" t="s">
        <v>40</v>
      </c>
      <c r="J3085" t="s">
        <v>25</v>
      </c>
      <c r="K3085" t="s">
        <v>36</v>
      </c>
      <c r="L3085" t="s">
        <v>44</v>
      </c>
      <c r="M3085">
        <v>2</v>
      </c>
      <c r="N3085" s="2"/>
      <c r="O3085" s="3">
        <v>3060</v>
      </c>
      <c r="P3085">
        <v>1</v>
      </c>
      <c r="Q3085">
        <v>5</v>
      </c>
      <c r="R3085" t="s">
        <v>28</v>
      </c>
      <c r="S3085">
        <v>1</v>
      </c>
    </row>
    <row r="3086" spans="1:19" ht="16.5" x14ac:dyDescent="0.3">
      <c r="A3086" t="s">
        <v>3149</v>
      </c>
      <c r="B3086" s="1">
        <v>45693</v>
      </c>
      <c r="C3086" s="1">
        <v>45696</v>
      </c>
      <c r="D3086">
        <v>2025</v>
      </c>
      <c r="E3086" t="s">
        <v>20</v>
      </c>
      <c r="F3086" t="s">
        <v>351</v>
      </c>
      <c r="G3086" t="s">
        <v>70</v>
      </c>
      <c r="H3086" t="s">
        <v>35</v>
      </c>
      <c r="I3086" t="s">
        <v>24</v>
      </c>
      <c r="J3086" t="s">
        <v>25</v>
      </c>
      <c r="K3086" t="s">
        <v>32</v>
      </c>
      <c r="L3086" t="s">
        <v>44</v>
      </c>
      <c r="M3086">
        <v>3</v>
      </c>
      <c r="N3086" s="2">
        <v>112</v>
      </c>
      <c r="O3086" s="3">
        <v>2932</v>
      </c>
      <c r="P3086">
        <v>1</v>
      </c>
      <c r="Q3086">
        <v>3</v>
      </c>
      <c r="R3086" t="s">
        <v>28</v>
      </c>
      <c r="S3086">
        <v>1</v>
      </c>
    </row>
    <row r="3087" spans="1:19" ht="16.5" x14ac:dyDescent="0.3">
      <c r="A3087" t="s">
        <v>3150</v>
      </c>
      <c r="B3087" s="1">
        <v>45693</v>
      </c>
      <c r="C3087" s="1">
        <v>45701</v>
      </c>
      <c r="D3087">
        <v>2025</v>
      </c>
      <c r="E3087" t="s">
        <v>20</v>
      </c>
      <c r="F3087" t="s">
        <v>351</v>
      </c>
      <c r="G3087" t="s">
        <v>70</v>
      </c>
      <c r="H3087" t="s">
        <v>30</v>
      </c>
      <c r="I3087" t="s">
        <v>40</v>
      </c>
      <c r="J3087" t="s">
        <v>25</v>
      </c>
      <c r="K3087" t="s">
        <v>32</v>
      </c>
      <c r="L3087" t="s">
        <v>44</v>
      </c>
      <c r="M3087">
        <v>8</v>
      </c>
      <c r="N3087" s="2"/>
      <c r="O3087" s="3">
        <v>6753</v>
      </c>
      <c r="P3087">
        <v>1</v>
      </c>
      <c r="Q3087">
        <v>4</v>
      </c>
      <c r="R3087" t="s">
        <v>28</v>
      </c>
      <c r="S3087">
        <v>1</v>
      </c>
    </row>
    <row r="3088" spans="1:19" ht="16.5" x14ac:dyDescent="0.3">
      <c r="A3088" t="s">
        <v>3151</v>
      </c>
      <c r="B3088" s="1">
        <v>45693</v>
      </c>
      <c r="C3088" s="1">
        <v>45698</v>
      </c>
      <c r="D3088">
        <v>2025</v>
      </c>
      <c r="E3088" t="s">
        <v>20</v>
      </c>
      <c r="F3088" t="s">
        <v>351</v>
      </c>
      <c r="G3088" t="s">
        <v>70</v>
      </c>
      <c r="H3088" t="s">
        <v>39</v>
      </c>
      <c r="I3088" t="s">
        <v>24</v>
      </c>
      <c r="J3088" t="s">
        <v>25</v>
      </c>
      <c r="K3088" t="s">
        <v>41</v>
      </c>
      <c r="L3088" t="s">
        <v>44</v>
      </c>
      <c r="M3088">
        <v>5</v>
      </c>
      <c r="N3088" s="2">
        <v>10</v>
      </c>
      <c r="O3088" s="3">
        <v>3118</v>
      </c>
      <c r="P3088">
        <v>0</v>
      </c>
      <c r="Q3088">
        <v>4</v>
      </c>
      <c r="R3088" t="s">
        <v>28</v>
      </c>
      <c r="S3088">
        <v>1</v>
      </c>
    </row>
    <row r="3089" spans="1:19" ht="16.5" x14ac:dyDescent="0.3">
      <c r="A3089" t="s">
        <v>3152</v>
      </c>
      <c r="B3089" s="1">
        <v>45693</v>
      </c>
      <c r="C3089" s="1">
        <v>45706</v>
      </c>
      <c r="D3089">
        <v>2025</v>
      </c>
      <c r="E3089" t="s">
        <v>20</v>
      </c>
      <c r="F3089" t="s">
        <v>351</v>
      </c>
      <c r="G3089" t="s">
        <v>70</v>
      </c>
      <c r="H3089" t="s">
        <v>23</v>
      </c>
      <c r="I3089" t="s">
        <v>24</v>
      </c>
      <c r="J3089" t="s">
        <v>43</v>
      </c>
      <c r="K3089" t="s">
        <v>53</v>
      </c>
      <c r="L3089" t="s">
        <v>37</v>
      </c>
      <c r="M3089">
        <v>13</v>
      </c>
      <c r="N3089" s="2">
        <v>149</v>
      </c>
      <c r="O3089" s="3">
        <v>10579</v>
      </c>
      <c r="P3089">
        <v>1</v>
      </c>
      <c r="Q3089">
        <v>2</v>
      </c>
      <c r="R3089" t="s">
        <v>33</v>
      </c>
      <c r="S3089">
        <v>1</v>
      </c>
    </row>
    <row r="3090" spans="1:19" ht="16.5" x14ac:dyDescent="0.3">
      <c r="A3090" t="s">
        <v>3153</v>
      </c>
      <c r="B3090" s="1">
        <v>45693</v>
      </c>
      <c r="C3090" s="1">
        <v>45698</v>
      </c>
      <c r="D3090">
        <v>2025</v>
      </c>
      <c r="E3090" t="s">
        <v>20</v>
      </c>
      <c r="F3090" t="s">
        <v>351</v>
      </c>
      <c r="G3090" t="s">
        <v>70</v>
      </c>
      <c r="H3090" t="s">
        <v>35</v>
      </c>
      <c r="I3090" t="s">
        <v>31</v>
      </c>
      <c r="J3090" t="s">
        <v>25</v>
      </c>
      <c r="K3090" t="s">
        <v>36</v>
      </c>
      <c r="L3090" t="s">
        <v>37</v>
      </c>
      <c r="M3090">
        <v>5</v>
      </c>
      <c r="N3090" s="2"/>
      <c r="O3090" s="3">
        <v>4492</v>
      </c>
      <c r="P3090">
        <v>0</v>
      </c>
      <c r="Q3090">
        <v>4</v>
      </c>
      <c r="R3090" t="s">
        <v>33</v>
      </c>
      <c r="S3090">
        <v>1</v>
      </c>
    </row>
    <row r="3091" spans="1:19" ht="16.5" x14ac:dyDescent="0.3">
      <c r="A3091" t="s">
        <v>3154</v>
      </c>
      <c r="B3091" s="1">
        <v>45693</v>
      </c>
      <c r="C3091" s="1">
        <v>45701</v>
      </c>
      <c r="D3091">
        <v>2025</v>
      </c>
      <c r="E3091" t="s">
        <v>20</v>
      </c>
      <c r="F3091" t="s">
        <v>351</v>
      </c>
      <c r="G3091" t="s">
        <v>70</v>
      </c>
      <c r="H3091" t="s">
        <v>30</v>
      </c>
      <c r="I3091" t="s">
        <v>40</v>
      </c>
      <c r="J3091" t="s">
        <v>43</v>
      </c>
      <c r="K3091" t="s">
        <v>26</v>
      </c>
      <c r="L3091" t="s">
        <v>27</v>
      </c>
      <c r="M3091">
        <v>8</v>
      </c>
      <c r="N3091" s="2"/>
      <c r="O3091" s="3">
        <v>11425</v>
      </c>
      <c r="P3091">
        <v>1</v>
      </c>
      <c r="Q3091">
        <v>3</v>
      </c>
      <c r="R3091" t="s">
        <v>33</v>
      </c>
      <c r="S3091">
        <v>1</v>
      </c>
    </row>
    <row r="3092" spans="1:19" ht="16.5" x14ac:dyDescent="0.3">
      <c r="A3092" t="s">
        <v>3155</v>
      </c>
      <c r="B3092" s="1">
        <v>45693</v>
      </c>
      <c r="C3092" s="1">
        <v>45702</v>
      </c>
      <c r="D3092">
        <v>2025</v>
      </c>
      <c r="E3092" t="s">
        <v>20</v>
      </c>
      <c r="F3092" t="s">
        <v>351</v>
      </c>
      <c r="G3092" t="s">
        <v>70</v>
      </c>
      <c r="H3092" t="s">
        <v>50</v>
      </c>
      <c r="I3092" t="s">
        <v>24</v>
      </c>
      <c r="J3092" t="s">
        <v>25</v>
      </c>
      <c r="K3092" t="s">
        <v>53</v>
      </c>
      <c r="L3092" t="s">
        <v>44</v>
      </c>
      <c r="M3092">
        <v>9</v>
      </c>
      <c r="N3092" s="2">
        <v>94</v>
      </c>
      <c r="O3092" s="3">
        <v>10117</v>
      </c>
      <c r="P3092">
        <v>0</v>
      </c>
      <c r="Q3092">
        <v>2</v>
      </c>
      <c r="R3092" t="s">
        <v>28</v>
      </c>
      <c r="S3092">
        <v>1</v>
      </c>
    </row>
    <row r="3093" spans="1:19" ht="16.5" x14ac:dyDescent="0.3">
      <c r="A3093" t="s">
        <v>3156</v>
      </c>
      <c r="B3093" s="1">
        <v>45694</v>
      </c>
      <c r="C3093" s="1">
        <v>45697</v>
      </c>
      <c r="D3093">
        <v>2025</v>
      </c>
      <c r="E3093" t="s">
        <v>20</v>
      </c>
      <c r="F3093" t="s">
        <v>351</v>
      </c>
      <c r="G3093" t="s">
        <v>78</v>
      </c>
      <c r="H3093" t="s">
        <v>50</v>
      </c>
      <c r="I3093" t="s">
        <v>31</v>
      </c>
      <c r="J3093" t="s">
        <v>25</v>
      </c>
      <c r="K3093" t="s">
        <v>26</v>
      </c>
      <c r="L3093" t="s">
        <v>37</v>
      </c>
      <c r="M3093">
        <v>3</v>
      </c>
      <c r="N3093" s="2"/>
      <c r="O3093" s="3">
        <v>4105</v>
      </c>
      <c r="P3093">
        <v>0</v>
      </c>
      <c r="Q3093">
        <v>3</v>
      </c>
      <c r="R3093" t="s">
        <v>33</v>
      </c>
      <c r="S3093">
        <v>1</v>
      </c>
    </row>
    <row r="3094" spans="1:19" ht="16.5" x14ac:dyDescent="0.3">
      <c r="A3094" t="s">
        <v>3157</v>
      </c>
      <c r="B3094" s="1">
        <v>45694</v>
      </c>
      <c r="C3094" s="1">
        <v>45711</v>
      </c>
      <c r="D3094">
        <v>2025</v>
      </c>
      <c r="E3094" t="s">
        <v>20</v>
      </c>
      <c r="F3094" t="s">
        <v>351</v>
      </c>
      <c r="G3094" t="s">
        <v>78</v>
      </c>
      <c r="H3094" t="s">
        <v>23</v>
      </c>
      <c r="I3094" t="s">
        <v>40</v>
      </c>
      <c r="J3094" t="s">
        <v>43</v>
      </c>
      <c r="K3094" t="s">
        <v>26</v>
      </c>
      <c r="L3094" t="s">
        <v>44</v>
      </c>
      <c r="M3094">
        <v>17</v>
      </c>
      <c r="N3094" s="2"/>
      <c r="O3094" s="3">
        <v>10115</v>
      </c>
      <c r="P3094">
        <v>0</v>
      </c>
      <c r="Q3094">
        <v>4</v>
      </c>
      <c r="R3094" t="s">
        <v>28</v>
      </c>
      <c r="S3094">
        <v>1</v>
      </c>
    </row>
    <row r="3095" spans="1:19" ht="16.5" x14ac:dyDescent="0.3">
      <c r="A3095" t="s">
        <v>3158</v>
      </c>
      <c r="B3095" s="1">
        <v>45694</v>
      </c>
      <c r="C3095" s="1">
        <v>45699</v>
      </c>
      <c r="D3095">
        <v>2025</v>
      </c>
      <c r="E3095" t="s">
        <v>20</v>
      </c>
      <c r="F3095" t="s">
        <v>351</v>
      </c>
      <c r="G3095" t="s">
        <v>78</v>
      </c>
      <c r="H3095" t="s">
        <v>52</v>
      </c>
      <c r="I3095" t="s">
        <v>40</v>
      </c>
      <c r="J3095" t="s">
        <v>25</v>
      </c>
      <c r="K3095" t="s">
        <v>53</v>
      </c>
      <c r="L3095" t="s">
        <v>44</v>
      </c>
      <c r="M3095">
        <v>5</v>
      </c>
      <c r="N3095" s="2"/>
      <c r="O3095" s="3">
        <v>5307</v>
      </c>
      <c r="P3095">
        <v>0</v>
      </c>
      <c r="Q3095">
        <v>5</v>
      </c>
      <c r="R3095" t="s">
        <v>28</v>
      </c>
      <c r="S3095">
        <v>1</v>
      </c>
    </row>
    <row r="3096" spans="1:19" ht="16.5" x14ac:dyDescent="0.3">
      <c r="A3096" t="s">
        <v>3159</v>
      </c>
      <c r="B3096" s="1">
        <v>45694</v>
      </c>
      <c r="C3096" s="1">
        <v>45703</v>
      </c>
      <c r="D3096">
        <v>2025</v>
      </c>
      <c r="E3096" t="s">
        <v>20</v>
      </c>
      <c r="F3096" t="s">
        <v>351</v>
      </c>
      <c r="G3096" t="s">
        <v>78</v>
      </c>
      <c r="H3096" t="s">
        <v>50</v>
      </c>
      <c r="I3096" t="s">
        <v>24</v>
      </c>
      <c r="J3096" t="s">
        <v>43</v>
      </c>
      <c r="K3096" t="s">
        <v>32</v>
      </c>
      <c r="L3096" t="s">
        <v>27</v>
      </c>
      <c r="M3096">
        <v>9</v>
      </c>
      <c r="N3096" s="2">
        <v>48</v>
      </c>
      <c r="O3096" s="3">
        <v>9361</v>
      </c>
      <c r="P3096">
        <v>0</v>
      </c>
      <c r="Q3096">
        <v>4</v>
      </c>
      <c r="R3096" t="s">
        <v>33</v>
      </c>
      <c r="S3096">
        <v>1</v>
      </c>
    </row>
    <row r="3097" spans="1:19" ht="16.5" x14ac:dyDescent="0.3">
      <c r="A3097" t="s">
        <v>3160</v>
      </c>
      <c r="B3097" s="1">
        <v>45694</v>
      </c>
      <c r="C3097" s="1">
        <v>45697</v>
      </c>
      <c r="D3097">
        <v>2025</v>
      </c>
      <c r="E3097" t="s">
        <v>20</v>
      </c>
      <c r="F3097" t="s">
        <v>351</v>
      </c>
      <c r="G3097" t="s">
        <v>78</v>
      </c>
      <c r="H3097" t="s">
        <v>50</v>
      </c>
      <c r="I3097" t="s">
        <v>40</v>
      </c>
      <c r="J3097" t="s">
        <v>25</v>
      </c>
      <c r="K3097" t="s">
        <v>26</v>
      </c>
      <c r="L3097" t="s">
        <v>44</v>
      </c>
      <c r="M3097">
        <v>3</v>
      </c>
      <c r="N3097" s="2"/>
      <c r="O3097" s="3">
        <v>5128</v>
      </c>
      <c r="P3097">
        <v>0</v>
      </c>
      <c r="Q3097">
        <v>4</v>
      </c>
      <c r="R3097" t="s">
        <v>28</v>
      </c>
      <c r="S3097">
        <v>1</v>
      </c>
    </row>
    <row r="3098" spans="1:19" ht="16.5" x14ac:dyDescent="0.3">
      <c r="A3098" t="s">
        <v>3161</v>
      </c>
      <c r="B3098" s="1">
        <v>45694</v>
      </c>
      <c r="C3098" s="1">
        <v>45697</v>
      </c>
      <c r="D3098">
        <v>2025</v>
      </c>
      <c r="E3098" t="s">
        <v>20</v>
      </c>
      <c r="F3098" t="s">
        <v>351</v>
      </c>
      <c r="G3098" t="s">
        <v>78</v>
      </c>
      <c r="H3098" t="s">
        <v>39</v>
      </c>
      <c r="I3098" t="s">
        <v>24</v>
      </c>
      <c r="J3098" t="s">
        <v>43</v>
      </c>
      <c r="K3098" t="s">
        <v>41</v>
      </c>
      <c r="L3098" t="s">
        <v>27</v>
      </c>
      <c r="M3098">
        <v>3</v>
      </c>
      <c r="N3098" s="2">
        <v>42</v>
      </c>
      <c r="O3098" s="3">
        <v>2634</v>
      </c>
      <c r="P3098">
        <v>0</v>
      </c>
      <c r="Q3098">
        <v>3</v>
      </c>
      <c r="R3098" t="s">
        <v>28</v>
      </c>
      <c r="S3098">
        <v>1</v>
      </c>
    </row>
    <row r="3099" spans="1:19" ht="16.5" x14ac:dyDescent="0.3">
      <c r="A3099" t="s">
        <v>3162</v>
      </c>
      <c r="B3099" s="1">
        <v>45694</v>
      </c>
      <c r="C3099" s="1">
        <v>45695</v>
      </c>
      <c r="D3099">
        <v>2025</v>
      </c>
      <c r="E3099" t="s">
        <v>20</v>
      </c>
      <c r="F3099" t="s">
        <v>351</v>
      </c>
      <c r="G3099" t="s">
        <v>78</v>
      </c>
      <c r="H3099" t="s">
        <v>23</v>
      </c>
      <c r="I3099" t="s">
        <v>31</v>
      </c>
      <c r="J3099" t="s">
        <v>25</v>
      </c>
      <c r="K3099" t="s">
        <v>26</v>
      </c>
      <c r="L3099" t="s">
        <v>27</v>
      </c>
      <c r="M3099">
        <v>1</v>
      </c>
      <c r="N3099" s="2"/>
      <c r="O3099" s="3">
        <v>1808</v>
      </c>
      <c r="P3099">
        <v>0</v>
      </c>
      <c r="Q3099">
        <v>4</v>
      </c>
      <c r="R3099" t="s">
        <v>33</v>
      </c>
      <c r="S3099">
        <v>1</v>
      </c>
    </row>
    <row r="3100" spans="1:19" ht="16.5" x14ac:dyDescent="0.3">
      <c r="A3100" t="s">
        <v>3163</v>
      </c>
      <c r="B3100" s="1">
        <v>45694</v>
      </c>
      <c r="C3100" s="1">
        <v>45698</v>
      </c>
      <c r="D3100">
        <v>2025</v>
      </c>
      <c r="E3100" t="s">
        <v>20</v>
      </c>
      <c r="F3100" t="s">
        <v>351</v>
      </c>
      <c r="G3100" t="s">
        <v>78</v>
      </c>
      <c r="H3100" t="s">
        <v>23</v>
      </c>
      <c r="I3100" t="s">
        <v>24</v>
      </c>
      <c r="J3100" t="s">
        <v>43</v>
      </c>
      <c r="K3100" t="s">
        <v>32</v>
      </c>
      <c r="L3100" t="s">
        <v>44</v>
      </c>
      <c r="M3100">
        <v>4</v>
      </c>
      <c r="N3100" s="2">
        <v>134</v>
      </c>
      <c r="O3100" s="3">
        <v>3235</v>
      </c>
      <c r="P3100">
        <v>1</v>
      </c>
      <c r="Q3100">
        <v>3</v>
      </c>
      <c r="R3100" t="s">
        <v>33</v>
      </c>
      <c r="S3100">
        <v>1</v>
      </c>
    </row>
    <row r="3101" spans="1:19" ht="16.5" x14ac:dyDescent="0.3">
      <c r="A3101" t="s">
        <v>3164</v>
      </c>
      <c r="B3101" s="1">
        <v>45694</v>
      </c>
      <c r="C3101" s="1">
        <v>45701</v>
      </c>
      <c r="D3101">
        <v>2025</v>
      </c>
      <c r="E3101" t="s">
        <v>20</v>
      </c>
      <c r="F3101" t="s">
        <v>351</v>
      </c>
      <c r="G3101" t="s">
        <v>78</v>
      </c>
      <c r="H3101" t="s">
        <v>23</v>
      </c>
      <c r="I3101" t="s">
        <v>40</v>
      </c>
      <c r="J3101" t="s">
        <v>25</v>
      </c>
      <c r="K3101" t="s">
        <v>53</v>
      </c>
      <c r="L3101" t="s">
        <v>27</v>
      </c>
      <c r="M3101">
        <v>7</v>
      </c>
      <c r="N3101" s="2"/>
      <c r="O3101" s="3">
        <v>5868</v>
      </c>
      <c r="P3101">
        <v>0</v>
      </c>
      <c r="Q3101">
        <v>4</v>
      </c>
      <c r="R3101" t="s">
        <v>28</v>
      </c>
      <c r="S3101">
        <v>1</v>
      </c>
    </row>
    <row r="3102" spans="1:19" ht="16.5" x14ac:dyDescent="0.3">
      <c r="A3102" t="s">
        <v>3165</v>
      </c>
      <c r="B3102" s="1">
        <v>45694</v>
      </c>
      <c r="C3102" s="1">
        <v>45698</v>
      </c>
      <c r="D3102">
        <v>2025</v>
      </c>
      <c r="E3102" t="s">
        <v>20</v>
      </c>
      <c r="F3102" t="s">
        <v>351</v>
      </c>
      <c r="G3102" t="s">
        <v>78</v>
      </c>
      <c r="H3102" t="s">
        <v>23</v>
      </c>
      <c r="I3102" t="s">
        <v>24</v>
      </c>
      <c r="J3102" t="s">
        <v>25</v>
      </c>
      <c r="K3102" t="s">
        <v>26</v>
      </c>
      <c r="L3102" t="s">
        <v>44</v>
      </c>
      <c r="M3102">
        <v>4</v>
      </c>
      <c r="N3102" s="2">
        <v>31</v>
      </c>
      <c r="O3102" s="3">
        <v>3234</v>
      </c>
      <c r="P3102">
        <v>0</v>
      </c>
      <c r="Q3102">
        <v>4</v>
      </c>
      <c r="R3102" t="s">
        <v>33</v>
      </c>
      <c r="S3102">
        <v>1</v>
      </c>
    </row>
    <row r="3103" spans="1:19" ht="16.5" x14ac:dyDescent="0.3">
      <c r="A3103" t="s">
        <v>3166</v>
      </c>
      <c r="B3103" s="1">
        <v>45695</v>
      </c>
      <c r="C3103" s="1">
        <v>45698</v>
      </c>
      <c r="D3103">
        <v>2025</v>
      </c>
      <c r="E3103" t="s">
        <v>20</v>
      </c>
      <c r="F3103" t="s">
        <v>351</v>
      </c>
      <c r="G3103" t="s">
        <v>83</v>
      </c>
      <c r="H3103" t="s">
        <v>39</v>
      </c>
      <c r="I3103" t="s">
        <v>24</v>
      </c>
      <c r="J3103" t="s">
        <v>43</v>
      </c>
      <c r="K3103" t="s">
        <v>41</v>
      </c>
      <c r="L3103" t="s">
        <v>44</v>
      </c>
      <c r="M3103">
        <v>3</v>
      </c>
      <c r="N3103" s="2">
        <v>57</v>
      </c>
      <c r="O3103" s="3">
        <v>2011</v>
      </c>
      <c r="P3103">
        <v>0</v>
      </c>
      <c r="Q3103">
        <v>5</v>
      </c>
      <c r="R3103" t="s">
        <v>28</v>
      </c>
      <c r="S3103">
        <v>1</v>
      </c>
    </row>
    <row r="3104" spans="1:19" ht="16.5" x14ac:dyDescent="0.3">
      <c r="A3104" t="s">
        <v>3167</v>
      </c>
      <c r="B3104" s="1">
        <v>45695</v>
      </c>
      <c r="C3104" s="1">
        <v>45701</v>
      </c>
      <c r="D3104">
        <v>2025</v>
      </c>
      <c r="E3104" t="s">
        <v>20</v>
      </c>
      <c r="F3104" t="s">
        <v>351</v>
      </c>
      <c r="G3104" t="s">
        <v>83</v>
      </c>
      <c r="H3104" t="s">
        <v>23</v>
      </c>
      <c r="I3104" t="s">
        <v>31</v>
      </c>
      <c r="J3104" t="s">
        <v>43</v>
      </c>
      <c r="K3104" t="s">
        <v>53</v>
      </c>
      <c r="L3104" t="s">
        <v>44</v>
      </c>
      <c r="M3104">
        <v>6</v>
      </c>
      <c r="N3104" s="2"/>
      <c r="O3104" s="3">
        <v>3534</v>
      </c>
      <c r="P3104">
        <v>0</v>
      </c>
      <c r="Q3104">
        <v>3</v>
      </c>
      <c r="R3104" t="s">
        <v>33</v>
      </c>
      <c r="S3104">
        <v>1</v>
      </c>
    </row>
    <row r="3105" spans="1:19" ht="16.5" x14ac:dyDescent="0.3">
      <c r="A3105" t="s">
        <v>3168</v>
      </c>
      <c r="B3105" s="1">
        <v>45695</v>
      </c>
      <c r="C3105" s="1">
        <v>45703</v>
      </c>
      <c r="D3105">
        <v>2025</v>
      </c>
      <c r="E3105" t="s">
        <v>20</v>
      </c>
      <c r="F3105" t="s">
        <v>351</v>
      </c>
      <c r="G3105" t="s">
        <v>83</v>
      </c>
      <c r="H3105" t="s">
        <v>30</v>
      </c>
      <c r="I3105" t="s">
        <v>40</v>
      </c>
      <c r="J3105" t="s">
        <v>43</v>
      </c>
      <c r="K3105" t="s">
        <v>36</v>
      </c>
      <c r="L3105" t="s">
        <v>27</v>
      </c>
      <c r="M3105">
        <v>8</v>
      </c>
      <c r="N3105" s="2"/>
      <c r="O3105" s="3">
        <v>7778</v>
      </c>
      <c r="P3105">
        <v>0</v>
      </c>
      <c r="Q3105">
        <v>4</v>
      </c>
      <c r="R3105" t="s">
        <v>28</v>
      </c>
      <c r="S3105">
        <v>1</v>
      </c>
    </row>
    <row r="3106" spans="1:19" ht="16.5" x14ac:dyDescent="0.3">
      <c r="A3106" t="s">
        <v>3169</v>
      </c>
      <c r="B3106" s="1">
        <v>45695</v>
      </c>
      <c r="C3106" s="1">
        <v>45702</v>
      </c>
      <c r="D3106">
        <v>2025</v>
      </c>
      <c r="E3106" t="s">
        <v>20</v>
      </c>
      <c r="F3106" t="s">
        <v>351</v>
      </c>
      <c r="G3106" t="s">
        <v>83</v>
      </c>
      <c r="H3106" t="s">
        <v>50</v>
      </c>
      <c r="I3106" t="s">
        <v>24</v>
      </c>
      <c r="J3106" t="s">
        <v>43</v>
      </c>
      <c r="K3106" t="s">
        <v>26</v>
      </c>
      <c r="L3106" t="s">
        <v>37</v>
      </c>
      <c r="M3106">
        <v>7</v>
      </c>
      <c r="N3106" s="2">
        <v>57</v>
      </c>
      <c r="O3106" s="3">
        <v>9979</v>
      </c>
      <c r="P3106">
        <v>0</v>
      </c>
      <c r="Q3106">
        <v>4</v>
      </c>
      <c r="R3106" t="s">
        <v>28</v>
      </c>
      <c r="S3106">
        <v>1</v>
      </c>
    </row>
    <row r="3107" spans="1:19" ht="16.5" x14ac:dyDescent="0.3">
      <c r="A3107" t="s">
        <v>3170</v>
      </c>
      <c r="B3107" s="1">
        <v>45695</v>
      </c>
      <c r="C3107" s="1">
        <v>45701</v>
      </c>
      <c r="D3107">
        <v>2025</v>
      </c>
      <c r="E3107" t="s">
        <v>20</v>
      </c>
      <c r="F3107" t="s">
        <v>351</v>
      </c>
      <c r="G3107" t="s">
        <v>83</v>
      </c>
      <c r="H3107" t="s">
        <v>23</v>
      </c>
      <c r="I3107" t="s">
        <v>24</v>
      </c>
      <c r="J3107" t="s">
        <v>25</v>
      </c>
      <c r="K3107" t="s">
        <v>36</v>
      </c>
      <c r="L3107" t="s">
        <v>44</v>
      </c>
      <c r="M3107">
        <v>6</v>
      </c>
      <c r="N3107" s="2">
        <v>47</v>
      </c>
      <c r="O3107" s="3">
        <v>4972</v>
      </c>
      <c r="P3107">
        <v>0</v>
      </c>
      <c r="Q3107">
        <v>5</v>
      </c>
      <c r="R3107" t="s">
        <v>33</v>
      </c>
      <c r="S3107">
        <v>1</v>
      </c>
    </row>
    <row r="3108" spans="1:19" ht="16.5" x14ac:dyDescent="0.3">
      <c r="A3108" t="s">
        <v>3171</v>
      </c>
      <c r="B3108" s="1">
        <v>45695</v>
      </c>
      <c r="C3108" s="1">
        <v>45698</v>
      </c>
      <c r="D3108">
        <v>2025</v>
      </c>
      <c r="E3108" t="s">
        <v>20</v>
      </c>
      <c r="F3108" t="s">
        <v>351</v>
      </c>
      <c r="G3108" t="s">
        <v>83</v>
      </c>
      <c r="H3108" t="s">
        <v>30</v>
      </c>
      <c r="I3108" t="s">
        <v>40</v>
      </c>
      <c r="J3108" t="s">
        <v>43</v>
      </c>
      <c r="K3108" t="s">
        <v>26</v>
      </c>
      <c r="L3108" t="s">
        <v>27</v>
      </c>
      <c r="M3108">
        <v>3</v>
      </c>
      <c r="N3108" s="2"/>
      <c r="O3108" s="3">
        <v>4514</v>
      </c>
      <c r="P3108">
        <v>1</v>
      </c>
      <c r="Q3108">
        <v>3</v>
      </c>
      <c r="R3108" t="s">
        <v>33</v>
      </c>
      <c r="S3108">
        <v>1</v>
      </c>
    </row>
    <row r="3109" spans="1:19" ht="16.5" x14ac:dyDescent="0.3">
      <c r="A3109" t="s">
        <v>3172</v>
      </c>
      <c r="B3109" s="1">
        <v>45696</v>
      </c>
      <c r="C3109" s="1">
        <v>45699</v>
      </c>
      <c r="D3109">
        <v>2025</v>
      </c>
      <c r="E3109" t="s">
        <v>20</v>
      </c>
      <c r="F3109" t="s">
        <v>351</v>
      </c>
      <c r="G3109" t="s">
        <v>102</v>
      </c>
      <c r="H3109" t="s">
        <v>50</v>
      </c>
      <c r="I3109" t="s">
        <v>24</v>
      </c>
      <c r="J3109" t="s">
        <v>43</v>
      </c>
      <c r="K3109" t="s">
        <v>53</v>
      </c>
      <c r="L3109" t="s">
        <v>27</v>
      </c>
      <c r="M3109">
        <v>3</v>
      </c>
      <c r="N3109" s="2">
        <v>38</v>
      </c>
      <c r="O3109" s="3">
        <v>4190</v>
      </c>
      <c r="P3109">
        <v>1</v>
      </c>
      <c r="Q3109">
        <v>3</v>
      </c>
      <c r="R3109" t="s">
        <v>33</v>
      </c>
      <c r="S3109">
        <v>1</v>
      </c>
    </row>
    <row r="3110" spans="1:19" ht="16.5" x14ac:dyDescent="0.3">
      <c r="A3110" t="s">
        <v>3173</v>
      </c>
      <c r="B3110" s="1">
        <v>45696</v>
      </c>
      <c r="C3110" s="1">
        <v>45708</v>
      </c>
      <c r="D3110">
        <v>2025</v>
      </c>
      <c r="E3110" t="s">
        <v>20</v>
      </c>
      <c r="F3110" t="s">
        <v>351</v>
      </c>
      <c r="G3110" t="s">
        <v>102</v>
      </c>
      <c r="H3110" t="s">
        <v>23</v>
      </c>
      <c r="I3110" t="s">
        <v>24</v>
      </c>
      <c r="J3110" t="s">
        <v>25</v>
      </c>
      <c r="K3110" t="s">
        <v>36</v>
      </c>
      <c r="L3110" t="s">
        <v>27</v>
      </c>
      <c r="M3110">
        <v>12</v>
      </c>
      <c r="N3110" s="2">
        <v>67</v>
      </c>
      <c r="O3110" s="3">
        <v>6709</v>
      </c>
      <c r="P3110">
        <v>1</v>
      </c>
      <c r="Q3110">
        <v>3</v>
      </c>
      <c r="R3110" t="s">
        <v>33</v>
      </c>
      <c r="S3110">
        <v>1</v>
      </c>
    </row>
    <row r="3111" spans="1:19" ht="16.5" x14ac:dyDescent="0.3">
      <c r="A3111" t="s">
        <v>3174</v>
      </c>
      <c r="B3111" s="1">
        <v>45696</v>
      </c>
      <c r="C3111" s="1">
        <v>45697</v>
      </c>
      <c r="D3111">
        <v>2025</v>
      </c>
      <c r="E3111" t="s">
        <v>20</v>
      </c>
      <c r="F3111" t="s">
        <v>351</v>
      </c>
      <c r="G3111" t="s">
        <v>102</v>
      </c>
      <c r="H3111" t="s">
        <v>39</v>
      </c>
      <c r="I3111" t="s">
        <v>24</v>
      </c>
      <c r="J3111" t="s">
        <v>43</v>
      </c>
      <c r="K3111" t="s">
        <v>41</v>
      </c>
      <c r="L3111" t="s">
        <v>44</v>
      </c>
      <c r="M3111">
        <v>1</v>
      </c>
      <c r="N3111" s="2">
        <v>64</v>
      </c>
      <c r="O3111" s="3">
        <v>1280</v>
      </c>
      <c r="P3111">
        <v>0</v>
      </c>
      <c r="Q3111">
        <v>4</v>
      </c>
      <c r="R3111" t="s">
        <v>33</v>
      </c>
      <c r="S3111">
        <v>1</v>
      </c>
    </row>
    <row r="3112" spans="1:19" ht="16.5" x14ac:dyDescent="0.3">
      <c r="A3112" t="s">
        <v>3175</v>
      </c>
      <c r="B3112" s="1">
        <v>45696</v>
      </c>
      <c r="C3112" s="1">
        <v>45697</v>
      </c>
      <c r="D3112">
        <v>2025</v>
      </c>
      <c r="E3112" t="s">
        <v>20</v>
      </c>
      <c r="F3112" t="s">
        <v>351</v>
      </c>
      <c r="G3112" t="s">
        <v>102</v>
      </c>
      <c r="H3112" t="s">
        <v>39</v>
      </c>
      <c r="I3112" t="s">
        <v>24</v>
      </c>
      <c r="J3112" t="s">
        <v>25</v>
      </c>
      <c r="K3112" t="s">
        <v>41</v>
      </c>
      <c r="L3112" t="s">
        <v>44</v>
      </c>
      <c r="M3112">
        <v>1</v>
      </c>
      <c r="N3112" s="2">
        <v>106</v>
      </c>
      <c r="O3112" s="3">
        <v>1425</v>
      </c>
      <c r="P3112">
        <v>0</v>
      </c>
      <c r="Q3112">
        <v>3</v>
      </c>
      <c r="R3112" t="s">
        <v>33</v>
      </c>
      <c r="S3112">
        <v>1</v>
      </c>
    </row>
    <row r="3113" spans="1:19" ht="16.5" x14ac:dyDescent="0.3">
      <c r="A3113" t="s">
        <v>3176</v>
      </c>
      <c r="B3113" s="1">
        <v>45696</v>
      </c>
      <c r="C3113" s="1">
        <v>45698</v>
      </c>
      <c r="D3113">
        <v>2025</v>
      </c>
      <c r="E3113" t="s">
        <v>20</v>
      </c>
      <c r="F3113" t="s">
        <v>351</v>
      </c>
      <c r="G3113" t="s">
        <v>102</v>
      </c>
      <c r="H3113" t="s">
        <v>23</v>
      </c>
      <c r="I3113" t="s">
        <v>24</v>
      </c>
      <c r="J3113" t="s">
        <v>25</v>
      </c>
      <c r="K3113" t="s">
        <v>53</v>
      </c>
      <c r="L3113" t="s">
        <v>27</v>
      </c>
      <c r="M3113">
        <v>2</v>
      </c>
      <c r="N3113" s="2">
        <v>124</v>
      </c>
      <c r="O3113" s="3">
        <v>1931</v>
      </c>
      <c r="P3113">
        <v>0</v>
      </c>
      <c r="Q3113">
        <v>4</v>
      </c>
      <c r="R3113" t="s">
        <v>33</v>
      </c>
      <c r="S3113">
        <v>1</v>
      </c>
    </row>
    <row r="3114" spans="1:19" ht="16.5" x14ac:dyDescent="0.3">
      <c r="A3114" t="s">
        <v>3177</v>
      </c>
      <c r="B3114" s="1">
        <v>45696</v>
      </c>
      <c r="C3114" s="1">
        <v>45708</v>
      </c>
      <c r="D3114">
        <v>2025</v>
      </c>
      <c r="E3114" t="s">
        <v>20</v>
      </c>
      <c r="F3114" t="s">
        <v>351</v>
      </c>
      <c r="G3114" t="s">
        <v>102</v>
      </c>
      <c r="H3114" t="s">
        <v>30</v>
      </c>
      <c r="I3114" t="s">
        <v>24</v>
      </c>
      <c r="J3114" t="s">
        <v>25</v>
      </c>
      <c r="K3114" t="s">
        <v>26</v>
      </c>
      <c r="L3114" t="s">
        <v>27</v>
      </c>
      <c r="M3114">
        <v>12</v>
      </c>
      <c r="N3114" s="2">
        <v>18</v>
      </c>
      <c r="O3114" s="3">
        <v>12995</v>
      </c>
      <c r="P3114">
        <v>0</v>
      </c>
      <c r="Q3114">
        <v>4</v>
      </c>
      <c r="R3114" t="s">
        <v>33</v>
      </c>
      <c r="S3114">
        <v>1</v>
      </c>
    </row>
    <row r="3115" spans="1:19" ht="16.5" x14ac:dyDescent="0.3">
      <c r="A3115" t="s">
        <v>3178</v>
      </c>
      <c r="B3115" s="1">
        <v>45696</v>
      </c>
      <c r="C3115" s="1">
        <v>45698</v>
      </c>
      <c r="D3115">
        <v>2025</v>
      </c>
      <c r="E3115" t="s">
        <v>20</v>
      </c>
      <c r="F3115" t="s">
        <v>351</v>
      </c>
      <c r="G3115" t="s">
        <v>102</v>
      </c>
      <c r="H3115" t="s">
        <v>23</v>
      </c>
      <c r="I3115" t="s">
        <v>24</v>
      </c>
      <c r="J3115" t="s">
        <v>25</v>
      </c>
      <c r="K3115" t="s">
        <v>32</v>
      </c>
      <c r="L3115" t="s">
        <v>37</v>
      </c>
      <c r="M3115">
        <v>2</v>
      </c>
      <c r="N3115" s="2">
        <v>82</v>
      </c>
      <c r="O3115" s="3">
        <v>2928</v>
      </c>
      <c r="P3115">
        <v>0</v>
      </c>
      <c r="Q3115">
        <v>4</v>
      </c>
      <c r="R3115" t="s">
        <v>33</v>
      </c>
      <c r="S3115">
        <v>1</v>
      </c>
    </row>
    <row r="3116" spans="1:19" ht="16.5" x14ac:dyDescent="0.3">
      <c r="A3116" t="s">
        <v>3179</v>
      </c>
      <c r="B3116" s="1">
        <v>45696</v>
      </c>
      <c r="C3116" s="1">
        <v>45699</v>
      </c>
      <c r="D3116">
        <v>2025</v>
      </c>
      <c r="E3116" t="s">
        <v>20</v>
      </c>
      <c r="F3116" t="s">
        <v>351</v>
      </c>
      <c r="G3116" t="s">
        <v>102</v>
      </c>
      <c r="H3116" t="s">
        <v>39</v>
      </c>
      <c r="I3116" t="s">
        <v>40</v>
      </c>
      <c r="J3116" t="s">
        <v>43</v>
      </c>
      <c r="K3116" t="s">
        <v>41</v>
      </c>
      <c r="L3116" t="s">
        <v>44</v>
      </c>
      <c r="M3116">
        <v>3</v>
      </c>
      <c r="N3116" s="2"/>
      <c r="O3116" s="3">
        <v>2267</v>
      </c>
      <c r="P3116">
        <v>0</v>
      </c>
      <c r="Q3116">
        <v>4</v>
      </c>
      <c r="R3116" t="s">
        <v>28</v>
      </c>
      <c r="S3116">
        <v>1</v>
      </c>
    </row>
    <row r="3117" spans="1:19" ht="16.5" x14ac:dyDescent="0.3">
      <c r="A3117" t="s">
        <v>3180</v>
      </c>
      <c r="B3117" s="1">
        <v>45696</v>
      </c>
      <c r="C3117" s="1">
        <v>45697</v>
      </c>
      <c r="D3117">
        <v>2025</v>
      </c>
      <c r="E3117" t="s">
        <v>20</v>
      </c>
      <c r="F3117" t="s">
        <v>351</v>
      </c>
      <c r="G3117" t="s">
        <v>102</v>
      </c>
      <c r="H3117" t="s">
        <v>23</v>
      </c>
      <c r="I3117" t="s">
        <v>24</v>
      </c>
      <c r="J3117" t="s">
        <v>25</v>
      </c>
      <c r="K3117" t="s">
        <v>53</v>
      </c>
      <c r="L3117" t="s">
        <v>27</v>
      </c>
      <c r="M3117">
        <v>1</v>
      </c>
      <c r="N3117" s="2">
        <v>111</v>
      </c>
      <c r="O3117" s="3">
        <v>1627</v>
      </c>
      <c r="P3117">
        <v>0</v>
      </c>
      <c r="Q3117">
        <v>3</v>
      </c>
      <c r="R3117" t="s">
        <v>33</v>
      </c>
      <c r="S3117">
        <v>1</v>
      </c>
    </row>
    <row r="3118" spans="1:19" ht="16.5" x14ac:dyDescent="0.3">
      <c r="A3118" t="s">
        <v>3181</v>
      </c>
      <c r="B3118" s="1">
        <v>45696</v>
      </c>
      <c r="C3118" s="1">
        <v>45698</v>
      </c>
      <c r="D3118">
        <v>2025</v>
      </c>
      <c r="E3118" t="s">
        <v>20</v>
      </c>
      <c r="F3118" t="s">
        <v>351</v>
      </c>
      <c r="G3118" t="s">
        <v>102</v>
      </c>
      <c r="H3118" t="s">
        <v>23</v>
      </c>
      <c r="I3118" t="s">
        <v>40</v>
      </c>
      <c r="J3118" t="s">
        <v>25</v>
      </c>
      <c r="K3118" t="s">
        <v>26</v>
      </c>
      <c r="L3118" t="s">
        <v>27</v>
      </c>
      <c r="M3118">
        <v>2</v>
      </c>
      <c r="N3118" s="2"/>
      <c r="O3118" s="3">
        <v>2803</v>
      </c>
      <c r="P3118">
        <v>0</v>
      </c>
      <c r="Q3118">
        <v>4</v>
      </c>
      <c r="R3118" t="s">
        <v>33</v>
      </c>
      <c r="S3118">
        <v>1</v>
      </c>
    </row>
    <row r="3119" spans="1:19" ht="16.5" x14ac:dyDescent="0.3">
      <c r="A3119" t="s">
        <v>3182</v>
      </c>
      <c r="B3119" s="1">
        <v>45696</v>
      </c>
      <c r="C3119" s="1">
        <v>45697</v>
      </c>
      <c r="D3119">
        <v>2025</v>
      </c>
      <c r="E3119" t="s">
        <v>20</v>
      </c>
      <c r="F3119" t="s">
        <v>351</v>
      </c>
      <c r="G3119" t="s">
        <v>102</v>
      </c>
      <c r="H3119" t="s">
        <v>35</v>
      </c>
      <c r="I3119" t="s">
        <v>31</v>
      </c>
      <c r="J3119" t="s">
        <v>25</v>
      </c>
      <c r="K3119" t="s">
        <v>32</v>
      </c>
      <c r="L3119" t="s">
        <v>44</v>
      </c>
      <c r="M3119">
        <v>1</v>
      </c>
      <c r="N3119" s="2"/>
      <c r="O3119" s="3">
        <v>1078</v>
      </c>
      <c r="P3119">
        <v>0</v>
      </c>
      <c r="Q3119">
        <v>5</v>
      </c>
      <c r="R3119" t="s">
        <v>28</v>
      </c>
      <c r="S3119">
        <v>1</v>
      </c>
    </row>
    <row r="3120" spans="1:19" ht="16.5" x14ac:dyDescent="0.3">
      <c r="A3120" t="s">
        <v>3183</v>
      </c>
      <c r="B3120" s="1">
        <v>45697</v>
      </c>
      <c r="C3120" s="1">
        <v>45698</v>
      </c>
      <c r="D3120">
        <v>2025</v>
      </c>
      <c r="E3120" t="s">
        <v>20</v>
      </c>
      <c r="F3120" t="s">
        <v>351</v>
      </c>
      <c r="G3120" t="s">
        <v>112</v>
      </c>
      <c r="H3120" t="s">
        <v>35</v>
      </c>
      <c r="I3120" t="s">
        <v>24</v>
      </c>
      <c r="J3120" t="s">
        <v>25</v>
      </c>
      <c r="K3120" t="s">
        <v>36</v>
      </c>
      <c r="L3120" t="s">
        <v>44</v>
      </c>
      <c r="M3120">
        <v>1</v>
      </c>
      <c r="N3120" s="2">
        <v>109</v>
      </c>
      <c r="O3120" s="3">
        <v>1292</v>
      </c>
      <c r="P3120">
        <v>0</v>
      </c>
      <c r="Q3120">
        <v>2</v>
      </c>
      <c r="R3120" t="s">
        <v>33</v>
      </c>
      <c r="S3120">
        <v>1</v>
      </c>
    </row>
    <row r="3121" spans="1:19" ht="16.5" x14ac:dyDescent="0.3">
      <c r="A3121" t="s">
        <v>3184</v>
      </c>
      <c r="B3121" s="1">
        <v>45697</v>
      </c>
      <c r="C3121" s="1">
        <v>45699</v>
      </c>
      <c r="D3121">
        <v>2025</v>
      </c>
      <c r="E3121" t="s">
        <v>20</v>
      </c>
      <c r="F3121" t="s">
        <v>351</v>
      </c>
      <c r="G3121" t="s">
        <v>112</v>
      </c>
      <c r="H3121" t="s">
        <v>35</v>
      </c>
      <c r="I3121" t="s">
        <v>40</v>
      </c>
      <c r="J3121" t="s">
        <v>25</v>
      </c>
      <c r="K3121" t="s">
        <v>36</v>
      </c>
      <c r="L3121" t="s">
        <v>44</v>
      </c>
      <c r="M3121">
        <v>2</v>
      </c>
      <c r="N3121" s="2"/>
      <c r="O3121" s="3">
        <v>2566</v>
      </c>
      <c r="P3121">
        <v>0</v>
      </c>
      <c r="Q3121">
        <v>4</v>
      </c>
      <c r="R3121" t="s">
        <v>33</v>
      </c>
      <c r="S3121">
        <v>1</v>
      </c>
    </row>
    <row r="3122" spans="1:19" ht="16.5" x14ac:dyDescent="0.3">
      <c r="A3122" t="s">
        <v>3185</v>
      </c>
      <c r="B3122" s="1">
        <v>45697</v>
      </c>
      <c r="C3122" s="1">
        <v>45709</v>
      </c>
      <c r="D3122">
        <v>2025</v>
      </c>
      <c r="E3122" t="s">
        <v>20</v>
      </c>
      <c r="F3122" t="s">
        <v>351</v>
      </c>
      <c r="G3122" t="s">
        <v>112</v>
      </c>
      <c r="H3122" t="s">
        <v>23</v>
      </c>
      <c r="I3122" t="s">
        <v>24</v>
      </c>
      <c r="J3122" t="s">
        <v>43</v>
      </c>
      <c r="K3122" t="s">
        <v>26</v>
      </c>
      <c r="L3122" t="s">
        <v>44</v>
      </c>
      <c r="M3122">
        <v>12</v>
      </c>
      <c r="N3122" s="2">
        <v>65</v>
      </c>
      <c r="O3122" s="3">
        <v>7826</v>
      </c>
      <c r="P3122">
        <v>1</v>
      </c>
      <c r="Q3122">
        <v>4</v>
      </c>
      <c r="R3122" t="s">
        <v>33</v>
      </c>
      <c r="S3122">
        <v>1</v>
      </c>
    </row>
    <row r="3123" spans="1:19" ht="16.5" x14ac:dyDescent="0.3">
      <c r="A3123" t="s">
        <v>3186</v>
      </c>
      <c r="B3123" s="1">
        <v>45697</v>
      </c>
      <c r="C3123" s="1">
        <v>45700</v>
      </c>
      <c r="D3123">
        <v>2025</v>
      </c>
      <c r="E3123" t="s">
        <v>20</v>
      </c>
      <c r="F3123" t="s">
        <v>351</v>
      </c>
      <c r="G3123" t="s">
        <v>112</v>
      </c>
      <c r="H3123" t="s">
        <v>35</v>
      </c>
      <c r="I3123" t="s">
        <v>24</v>
      </c>
      <c r="J3123" t="s">
        <v>25</v>
      </c>
      <c r="K3123" t="s">
        <v>32</v>
      </c>
      <c r="L3123" t="s">
        <v>27</v>
      </c>
      <c r="M3123">
        <v>3</v>
      </c>
      <c r="N3123" s="2">
        <v>45</v>
      </c>
      <c r="O3123" s="3">
        <v>1954</v>
      </c>
      <c r="P3123">
        <v>0</v>
      </c>
      <c r="Q3123">
        <v>4</v>
      </c>
      <c r="R3123" t="s">
        <v>28</v>
      </c>
      <c r="S3123">
        <v>1</v>
      </c>
    </row>
    <row r="3124" spans="1:19" ht="16.5" x14ac:dyDescent="0.3">
      <c r="A3124" t="s">
        <v>3187</v>
      </c>
      <c r="B3124" s="1">
        <v>45697</v>
      </c>
      <c r="C3124" s="1">
        <v>45700</v>
      </c>
      <c r="D3124">
        <v>2025</v>
      </c>
      <c r="E3124" t="s">
        <v>20</v>
      </c>
      <c r="F3124" t="s">
        <v>351</v>
      </c>
      <c r="G3124" t="s">
        <v>112</v>
      </c>
      <c r="H3124" t="s">
        <v>35</v>
      </c>
      <c r="I3124" t="s">
        <v>31</v>
      </c>
      <c r="J3124" t="s">
        <v>25</v>
      </c>
      <c r="K3124" t="s">
        <v>36</v>
      </c>
      <c r="L3124" t="s">
        <v>27</v>
      </c>
      <c r="M3124">
        <v>3</v>
      </c>
      <c r="N3124" s="2"/>
      <c r="O3124" s="3">
        <v>2683</v>
      </c>
      <c r="P3124">
        <v>1</v>
      </c>
      <c r="Q3124">
        <v>3</v>
      </c>
      <c r="R3124" t="s">
        <v>33</v>
      </c>
      <c r="S3124">
        <v>1</v>
      </c>
    </row>
    <row r="3125" spans="1:19" ht="16.5" x14ac:dyDescent="0.3">
      <c r="A3125" t="s">
        <v>3188</v>
      </c>
      <c r="B3125" s="1">
        <v>45697</v>
      </c>
      <c r="C3125" s="1">
        <v>45698</v>
      </c>
      <c r="D3125">
        <v>2025</v>
      </c>
      <c r="E3125" t="s">
        <v>20</v>
      </c>
      <c r="F3125" t="s">
        <v>351</v>
      </c>
      <c r="G3125" t="s">
        <v>112</v>
      </c>
      <c r="H3125" t="s">
        <v>35</v>
      </c>
      <c r="I3125" t="s">
        <v>24</v>
      </c>
      <c r="J3125" t="s">
        <v>25</v>
      </c>
      <c r="K3125" t="s">
        <v>36</v>
      </c>
      <c r="L3125" t="s">
        <v>44</v>
      </c>
      <c r="M3125">
        <v>1</v>
      </c>
      <c r="N3125" s="2">
        <v>129</v>
      </c>
      <c r="O3125" s="3">
        <v>1415</v>
      </c>
      <c r="P3125">
        <v>0</v>
      </c>
      <c r="Q3125">
        <v>5</v>
      </c>
      <c r="R3125" t="s">
        <v>33</v>
      </c>
      <c r="S3125">
        <v>1</v>
      </c>
    </row>
    <row r="3126" spans="1:19" ht="16.5" x14ac:dyDescent="0.3">
      <c r="A3126" t="s">
        <v>3189</v>
      </c>
      <c r="B3126" s="1">
        <v>45697</v>
      </c>
      <c r="C3126" s="1">
        <v>45699</v>
      </c>
      <c r="D3126">
        <v>2025</v>
      </c>
      <c r="E3126" t="s">
        <v>20</v>
      </c>
      <c r="F3126" t="s">
        <v>351</v>
      </c>
      <c r="G3126" t="s">
        <v>112</v>
      </c>
      <c r="H3126" t="s">
        <v>35</v>
      </c>
      <c r="I3126" t="s">
        <v>40</v>
      </c>
      <c r="J3126" t="s">
        <v>25</v>
      </c>
      <c r="K3126" t="s">
        <v>36</v>
      </c>
      <c r="L3126" t="s">
        <v>44</v>
      </c>
      <c r="M3126">
        <v>2</v>
      </c>
      <c r="N3126" s="2"/>
      <c r="O3126" s="3">
        <v>2474</v>
      </c>
      <c r="P3126">
        <v>0</v>
      </c>
      <c r="Q3126">
        <v>3</v>
      </c>
      <c r="R3126" t="s">
        <v>28</v>
      </c>
      <c r="S3126">
        <v>1</v>
      </c>
    </row>
    <row r="3127" spans="1:19" ht="16.5" x14ac:dyDescent="0.3">
      <c r="A3127" t="s">
        <v>3190</v>
      </c>
      <c r="B3127" s="1">
        <v>45697</v>
      </c>
      <c r="C3127" s="1">
        <v>45703</v>
      </c>
      <c r="D3127">
        <v>2025</v>
      </c>
      <c r="E3127" t="s">
        <v>20</v>
      </c>
      <c r="F3127" t="s">
        <v>351</v>
      </c>
      <c r="G3127" t="s">
        <v>112</v>
      </c>
      <c r="H3127" t="s">
        <v>39</v>
      </c>
      <c r="I3127" t="s">
        <v>24</v>
      </c>
      <c r="J3127" t="s">
        <v>25</v>
      </c>
      <c r="K3127" t="s">
        <v>41</v>
      </c>
      <c r="L3127" t="s">
        <v>37</v>
      </c>
      <c r="M3127">
        <v>6</v>
      </c>
      <c r="N3127" s="2">
        <v>42</v>
      </c>
      <c r="O3127" s="3">
        <v>4384</v>
      </c>
      <c r="P3127">
        <v>0</v>
      </c>
      <c r="Q3127">
        <v>4</v>
      </c>
      <c r="R3127" t="s">
        <v>28</v>
      </c>
      <c r="S3127">
        <v>1</v>
      </c>
    </row>
    <row r="3128" spans="1:19" ht="16.5" x14ac:dyDescent="0.3">
      <c r="A3128" t="s">
        <v>3191</v>
      </c>
      <c r="B3128" s="1">
        <v>45698</v>
      </c>
      <c r="C3128" s="1">
        <v>45702</v>
      </c>
      <c r="D3128">
        <v>2025</v>
      </c>
      <c r="E3128" t="s">
        <v>20</v>
      </c>
      <c r="F3128" t="s">
        <v>351</v>
      </c>
      <c r="G3128" t="s">
        <v>22</v>
      </c>
      <c r="H3128" t="s">
        <v>30</v>
      </c>
      <c r="I3128" t="s">
        <v>40</v>
      </c>
      <c r="J3128" t="s">
        <v>43</v>
      </c>
      <c r="K3128" t="s">
        <v>32</v>
      </c>
      <c r="L3128" t="s">
        <v>27</v>
      </c>
      <c r="M3128">
        <v>4</v>
      </c>
      <c r="N3128" s="2"/>
      <c r="O3128" s="3">
        <v>6283</v>
      </c>
      <c r="P3128">
        <v>1</v>
      </c>
      <c r="Q3128">
        <v>5</v>
      </c>
      <c r="R3128" t="s">
        <v>33</v>
      </c>
      <c r="S3128">
        <v>1</v>
      </c>
    </row>
    <row r="3129" spans="1:19" ht="16.5" x14ac:dyDescent="0.3">
      <c r="A3129" t="s">
        <v>3192</v>
      </c>
      <c r="B3129" s="1">
        <v>45698</v>
      </c>
      <c r="C3129" s="1">
        <v>45699</v>
      </c>
      <c r="D3129">
        <v>2025</v>
      </c>
      <c r="E3129" t="s">
        <v>20</v>
      </c>
      <c r="F3129" t="s">
        <v>351</v>
      </c>
      <c r="G3129" t="s">
        <v>22</v>
      </c>
      <c r="H3129" t="s">
        <v>39</v>
      </c>
      <c r="I3129" t="s">
        <v>24</v>
      </c>
      <c r="J3129" t="s">
        <v>25</v>
      </c>
      <c r="K3129" t="s">
        <v>41</v>
      </c>
      <c r="L3129" t="s">
        <v>44</v>
      </c>
      <c r="M3129">
        <v>1</v>
      </c>
      <c r="N3129" s="2">
        <v>93</v>
      </c>
      <c r="O3129" s="3">
        <v>1805</v>
      </c>
      <c r="P3129">
        <v>0</v>
      </c>
      <c r="Q3129">
        <v>3</v>
      </c>
      <c r="R3129" t="s">
        <v>28</v>
      </c>
      <c r="S3129">
        <v>1</v>
      </c>
    </row>
    <row r="3130" spans="1:19" ht="16.5" x14ac:dyDescent="0.3">
      <c r="A3130" t="s">
        <v>3193</v>
      </c>
      <c r="B3130" s="1">
        <v>45698</v>
      </c>
      <c r="C3130" s="1">
        <v>45704</v>
      </c>
      <c r="D3130">
        <v>2025</v>
      </c>
      <c r="E3130" t="s">
        <v>20</v>
      </c>
      <c r="F3130" t="s">
        <v>351</v>
      </c>
      <c r="G3130" t="s">
        <v>22</v>
      </c>
      <c r="H3130" t="s">
        <v>30</v>
      </c>
      <c r="I3130" t="s">
        <v>24</v>
      </c>
      <c r="J3130" t="s">
        <v>43</v>
      </c>
      <c r="K3130" t="s">
        <v>36</v>
      </c>
      <c r="L3130" t="s">
        <v>27</v>
      </c>
      <c r="M3130">
        <v>6</v>
      </c>
      <c r="N3130" s="2">
        <v>21</v>
      </c>
      <c r="O3130" s="3">
        <v>5111</v>
      </c>
      <c r="P3130">
        <v>0</v>
      </c>
      <c r="Q3130">
        <v>5</v>
      </c>
      <c r="R3130" t="s">
        <v>33</v>
      </c>
      <c r="S3130">
        <v>1</v>
      </c>
    </row>
    <row r="3131" spans="1:19" ht="16.5" x14ac:dyDescent="0.3">
      <c r="A3131" t="s">
        <v>3194</v>
      </c>
      <c r="B3131" s="1">
        <v>45698</v>
      </c>
      <c r="C3131" s="1">
        <v>45700</v>
      </c>
      <c r="D3131">
        <v>2025</v>
      </c>
      <c r="E3131" t="s">
        <v>20</v>
      </c>
      <c r="F3131" t="s">
        <v>351</v>
      </c>
      <c r="G3131" t="s">
        <v>22</v>
      </c>
      <c r="H3131" t="s">
        <v>52</v>
      </c>
      <c r="I3131" t="s">
        <v>24</v>
      </c>
      <c r="J3131" t="s">
        <v>43</v>
      </c>
      <c r="K3131" t="s">
        <v>36</v>
      </c>
      <c r="L3131" t="s">
        <v>27</v>
      </c>
      <c r="M3131">
        <v>2</v>
      </c>
      <c r="N3131" s="2">
        <v>58</v>
      </c>
      <c r="O3131" s="3">
        <v>2862</v>
      </c>
      <c r="P3131">
        <v>0</v>
      </c>
      <c r="Q3131">
        <v>4</v>
      </c>
      <c r="R3131" t="s">
        <v>33</v>
      </c>
      <c r="S3131">
        <v>1</v>
      </c>
    </row>
    <row r="3132" spans="1:19" ht="16.5" x14ac:dyDescent="0.3">
      <c r="A3132" t="s">
        <v>3195</v>
      </c>
      <c r="B3132" s="1">
        <v>45698</v>
      </c>
      <c r="C3132" s="1">
        <v>45702</v>
      </c>
      <c r="D3132">
        <v>2025</v>
      </c>
      <c r="E3132" t="s">
        <v>20</v>
      </c>
      <c r="F3132" t="s">
        <v>351</v>
      </c>
      <c r="G3132" t="s">
        <v>22</v>
      </c>
      <c r="H3132" t="s">
        <v>35</v>
      </c>
      <c r="I3132" t="s">
        <v>24</v>
      </c>
      <c r="J3132" t="s">
        <v>25</v>
      </c>
      <c r="K3132" t="s">
        <v>36</v>
      </c>
      <c r="L3132" t="s">
        <v>27</v>
      </c>
      <c r="M3132">
        <v>4</v>
      </c>
      <c r="N3132" s="2">
        <v>52</v>
      </c>
      <c r="O3132" s="3">
        <v>2445</v>
      </c>
      <c r="P3132">
        <v>0</v>
      </c>
      <c r="Q3132">
        <v>5</v>
      </c>
      <c r="R3132" t="s">
        <v>33</v>
      </c>
      <c r="S3132">
        <v>1</v>
      </c>
    </row>
    <row r="3133" spans="1:19" ht="16.5" x14ac:dyDescent="0.3">
      <c r="A3133" t="s">
        <v>3196</v>
      </c>
      <c r="B3133" s="1">
        <v>45698</v>
      </c>
      <c r="C3133" s="1">
        <v>45700</v>
      </c>
      <c r="D3133">
        <v>2025</v>
      </c>
      <c r="E3133" t="s">
        <v>20</v>
      </c>
      <c r="F3133" t="s">
        <v>351</v>
      </c>
      <c r="G3133" t="s">
        <v>22</v>
      </c>
      <c r="H3133" t="s">
        <v>30</v>
      </c>
      <c r="I3133" t="s">
        <v>24</v>
      </c>
      <c r="J3133" t="s">
        <v>25</v>
      </c>
      <c r="K3133" t="s">
        <v>32</v>
      </c>
      <c r="L3133" t="s">
        <v>27</v>
      </c>
      <c r="M3133">
        <v>2</v>
      </c>
      <c r="N3133" s="2">
        <v>53</v>
      </c>
      <c r="O3133" s="3">
        <v>3006</v>
      </c>
      <c r="P3133">
        <v>0</v>
      </c>
      <c r="Q3133">
        <v>5</v>
      </c>
      <c r="R3133" t="s">
        <v>59</v>
      </c>
      <c r="S3133">
        <v>1</v>
      </c>
    </row>
    <row r="3134" spans="1:19" ht="16.5" x14ac:dyDescent="0.3">
      <c r="A3134" t="s">
        <v>3197</v>
      </c>
      <c r="B3134" s="1">
        <v>45698</v>
      </c>
      <c r="C3134" s="1">
        <v>45700</v>
      </c>
      <c r="D3134">
        <v>2025</v>
      </c>
      <c r="E3134" t="s">
        <v>20</v>
      </c>
      <c r="F3134" t="s">
        <v>351</v>
      </c>
      <c r="G3134" t="s">
        <v>22</v>
      </c>
      <c r="H3134" t="s">
        <v>39</v>
      </c>
      <c r="I3134" t="s">
        <v>24</v>
      </c>
      <c r="J3134" t="s">
        <v>43</v>
      </c>
      <c r="K3134" t="s">
        <v>41</v>
      </c>
      <c r="L3134" t="s">
        <v>27</v>
      </c>
      <c r="M3134">
        <v>2</v>
      </c>
      <c r="N3134" s="2">
        <v>56</v>
      </c>
      <c r="O3134" s="3">
        <v>2027</v>
      </c>
      <c r="P3134">
        <v>0</v>
      </c>
      <c r="Q3134">
        <v>5</v>
      </c>
      <c r="R3134" t="s">
        <v>33</v>
      </c>
      <c r="S3134">
        <v>1</v>
      </c>
    </row>
    <row r="3135" spans="1:19" ht="16.5" x14ac:dyDescent="0.3">
      <c r="A3135" t="s">
        <v>3198</v>
      </c>
      <c r="B3135" s="1">
        <v>45699</v>
      </c>
      <c r="C3135" s="1">
        <v>45705</v>
      </c>
      <c r="D3135">
        <v>2025</v>
      </c>
      <c r="E3135" t="s">
        <v>20</v>
      </c>
      <c r="F3135" t="s">
        <v>351</v>
      </c>
      <c r="G3135" t="s">
        <v>56</v>
      </c>
      <c r="H3135" t="s">
        <v>50</v>
      </c>
      <c r="I3135" t="s">
        <v>24</v>
      </c>
      <c r="J3135" t="s">
        <v>43</v>
      </c>
      <c r="K3135" t="s">
        <v>36</v>
      </c>
      <c r="L3135" t="s">
        <v>44</v>
      </c>
      <c r="M3135">
        <v>6</v>
      </c>
      <c r="N3135" s="2">
        <v>40</v>
      </c>
      <c r="O3135" s="3">
        <v>6225</v>
      </c>
      <c r="P3135">
        <v>1</v>
      </c>
      <c r="Q3135">
        <v>4</v>
      </c>
      <c r="R3135" t="s">
        <v>33</v>
      </c>
      <c r="S3135">
        <v>1</v>
      </c>
    </row>
    <row r="3136" spans="1:19" ht="16.5" x14ac:dyDescent="0.3">
      <c r="A3136" t="s">
        <v>3199</v>
      </c>
      <c r="B3136" s="1">
        <v>45699</v>
      </c>
      <c r="C3136" s="1">
        <v>45704</v>
      </c>
      <c r="D3136">
        <v>2025</v>
      </c>
      <c r="E3136" t="s">
        <v>20</v>
      </c>
      <c r="F3136" t="s">
        <v>351</v>
      </c>
      <c r="G3136" t="s">
        <v>56</v>
      </c>
      <c r="H3136" t="s">
        <v>23</v>
      </c>
      <c r="I3136" t="s">
        <v>24</v>
      </c>
      <c r="J3136" t="s">
        <v>25</v>
      </c>
      <c r="K3136" t="s">
        <v>32</v>
      </c>
      <c r="L3136" t="s">
        <v>27</v>
      </c>
      <c r="M3136">
        <v>5</v>
      </c>
      <c r="N3136" s="2">
        <v>88</v>
      </c>
      <c r="O3136" s="3">
        <v>3421</v>
      </c>
      <c r="P3136">
        <v>0</v>
      </c>
      <c r="Q3136">
        <v>4</v>
      </c>
      <c r="R3136" t="s">
        <v>33</v>
      </c>
      <c r="S3136">
        <v>1</v>
      </c>
    </row>
    <row r="3137" spans="1:19" ht="16.5" x14ac:dyDescent="0.3">
      <c r="A3137" t="s">
        <v>3200</v>
      </c>
      <c r="B3137" s="1">
        <v>45699</v>
      </c>
      <c r="C3137" s="1">
        <v>45701</v>
      </c>
      <c r="D3137">
        <v>2025</v>
      </c>
      <c r="E3137" t="s">
        <v>20</v>
      </c>
      <c r="F3137" t="s">
        <v>351</v>
      </c>
      <c r="G3137" t="s">
        <v>56</v>
      </c>
      <c r="H3137" t="s">
        <v>30</v>
      </c>
      <c r="I3137" t="s">
        <v>40</v>
      </c>
      <c r="J3137" t="s">
        <v>43</v>
      </c>
      <c r="K3137" t="s">
        <v>32</v>
      </c>
      <c r="L3137" t="s">
        <v>27</v>
      </c>
      <c r="M3137">
        <v>2</v>
      </c>
      <c r="N3137" s="2"/>
      <c r="O3137" s="3">
        <v>2503</v>
      </c>
      <c r="P3137">
        <v>0</v>
      </c>
      <c r="Q3137">
        <v>3</v>
      </c>
      <c r="R3137" t="s">
        <v>28</v>
      </c>
      <c r="S3137">
        <v>1</v>
      </c>
    </row>
    <row r="3138" spans="1:19" ht="16.5" x14ac:dyDescent="0.3">
      <c r="A3138" t="s">
        <v>3201</v>
      </c>
      <c r="B3138" s="1">
        <v>45699</v>
      </c>
      <c r="C3138" s="1">
        <v>45702</v>
      </c>
      <c r="D3138">
        <v>2025</v>
      </c>
      <c r="E3138" t="s">
        <v>20</v>
      </c>
      <c r="F3138" t="s">
        <v>351</v>
      </c>
      <c r="G3138" t="s">
        <v>56</v>
      </c>
      <c r="H3138" t="s">
        <v>35</v>
      </c>
      <c r="I3138" t="s">
        <v>24</v>
      </c>
      <c r="J3138" t="s">
        <v>25</v>
      </c>
      <c r="K3138" t="s">
        <v>36</v>
      </c>
      <c r="L3138" t="s">
        <v>44</v>
      </c>
      <c r="M3138">
        <v>3</v>
      </c>
      <c r="N3138" s="2">
        <v>131</v>
      </c>
      <c r="O3138" s="3">
        <v>3064</v>
      </c>
      <c r="P3138">
        <v>0</v>
      </c>
      <c r="Q3138">
        <v>4</v>
      </c>
      <c r="R3138" t="s">
        <v>33</v>
      </c>
      <c r="S3138">
        <v>1</v>
      </c>
    </row>
    <row r="3139" spans="1:19" ht="16.5" x14ac:dyDescent="0.3">
      <c r="A3139" t="s">
        <v>3202</v>
      </c>
      <c r="B3139" s="1">
        <v>45699</v>
      </c>
      <c r="C3139" s="1">
        <v>45706</v>
      </c>
      <c r="D3139">
        <v>2025</v>
      </c>
      <c r="E3139" t="s">
        <v>20</v>
      </c>
      <c r="F3139" t="s">
        <v>351</v>
      </c>
      <c r="G3139" t="s">
        <v>56</v>
      </c>
      <c r="H3139" t="s">
        <v>39</v>
      </c>
      <c r="I3139" t="s">
        <v>24</v>
      </c>
      <c r="J3139" t="s">
        <v>25</v>
      </c>
      <c r="K3139" t="s">
        <v>41</v>
      </c>
      <c r="L3139" t="s">
        <v>37</v>
      </c>
      <c r="M3139">
        <v>7</v>
      </c>
      <c r="N3139" s="2">
        <v>49</v>
      </c>
      <c r="O3139" s="3">
        <v>5106</v>
      </c>
      <c r="P3139">
        <v>1</v>
      </c>
      <c r="Q3139">
        <v>4</v>
      </c>
      <c r="R3139" t="s">
        <v>33</v>
      </c>
      <c r="S3139">
        <v>1</v>
      </c>
    </row>
    <row r="3140" spans="1:19" ht="16.5" x14ac:dyDescent="0.3">
      <c r="A3140" t="s">
        <v>3203</v>
      </c>
      <c r="B3140" s="1">
        <v>45699</v>
      </c>
      <c r="C3140" s="1">
        <v>45701</v>
      </c>
      <c r="D3140">
        <v>2025</v>
      </c>
      <c r="E3140" t="s">
        <v>20</v>
      </c>
      <c r="F3140" t="s">
        <v>351</v>
      </c>
      <c r="G3140" t="s">
        <v>56</v>
      </c>
      <c r="H3140" t="s">
        <v>39</v>
      </c>
      <c r="I3140" t="s">
        <v>24</v>
      </c>
      <c r="J3140" t="s">
        <v>25</v>
      </c>
      <c r="K3140" t="s">
        <v>41</v>
      </c>
      <c r="L3140" t="s">
        <v>27</v>
      </c>
      <c r="M3140">
        <v>2</v>
      </c>
      <c r="N3140" s="2">
        <v>37</v>
      </c>
      <c r="O3140" s="3">
        <v>1832</v>
      </c>
      <c r="P3140">
        <v>0</v>
      </c>
      <c r="Q3140">
        <v>5</v>
      </c>
      <c r="R3140" t="s">
        <v>28</v>
      </c>
      <c r="S3140">
        <v>1</v>
      </c>
    </row>
    <row r="3141" spans="1:19" ht="16.5" x14ac:dyDescent="0.3">
      <c r="A3141" t="s">
        <v>3204</v>
      </c>
      <c r="B3141" s="1">
        <v>45699</v>
      </c>
      <c r="C3141" s="1">
        <v>45701</v>
      </c>
      <c r="D3141">
        <v>2025</v>
      </c>
      <c r="E3141" t="s">
        <v>20</v>
      </c>
      <c r="F3141" t="s">
        <v>351</v>
      </c>
      <c r="G3141" t="s">
        <v>56</v>
      </c>
      <c r="H3141" t="s">
        <v>23</v>
      </c>
      <c r="I3141" t="s">
        <v>24</v>
      </c>
      <c r="J3141" t="s">
        <v>43</v>
      </c>
      <c r="K3141" t="s">
        <v>32</v>
      </c>
      <c r="L3141" t="s">
        <v>44</v>
      </c>
      <c r="M3141">
        <v>2</v>
      </c>
      <c r="N3141" s="2">
        <v>57</v>
      </c>
      <c r="O3141" s="3">
        <v>2489</v>
      </c>
      <c r="P3141">
        <v>1</v>
      </c>
      <c r="Q3141">
        <v>4</v>
      </c>
      <c r="R3141" t="s">
        <v>33</v>
      </c>
      <c r="S3141">
        <v>1</v>
      </c>
    </row>
    <row r="3142" spans="1:19" ht="16.5" x14ac:dyDescent="0.3">
      <c r="A3142" t="s">
        <v>3205</v>
      </c>
      <c r="B3142" s="1">
        <v>45699</v>
      </c>
      <c r="C3142" s="1">
        <v>45711</v>
      </c>
      <c r="D3142">
        <v>2025</v>
      </c>
      <c r="E3142" t="s">
        <v>20</v>
      </c>
      <c r="F3142" t="s">
        <v>351</v>
      </c>
      <c r="G3142" t="s">
        <v>56</v>
      </c>
      <c r="H3142" t="s">
        <v>39</v>
      </c>
      <c r="I3142" t="s">
        <v>40</v>
      </c>
      <c r="J3142" t="s">
        <v>43</v>
      </c>
      <c r="K3142" t="s">
        <v>41</v>
      </c>
      <c r="L3142" t="s">
        <v>37</v>
      </c>
      <c r="M3142">
        <v>12</v>
      </c>
      <c r="N3142" s="2"/>
      <c r="O3142" s="3">
        <v>6809</v>
      </c>
      <c r="P3142">
        <v>0</v>
      </c>
      <c r="Q3142">
        <v>4</v>
      </c>
      <c r="R3142" t="s">
        <v>28</v>
      </c>
      <c r="S3142">
        <v>1</v>
      </c>
    </row>
    <row r="3143" spans="1:19" ht="16.5" x14ac:dyDescent="0.3">
      <c r="A3143" t="s">
        <v>3206</v>
      </c>
      <c r="B3143" s="1">
        <v>45699</v>
      </c>
      <c r="C3143" s="1">
        <v>45703</v>
      </c>
      <c r="D3143">
        <v>2025</v>
      </c>
      <c r="E3143" t="s">
        <v>20</v>
      </c>
      <c r="F3143" t="s">
        <v>351</v>
      </c>
      <c r="G3143" t="s">
        <v>56</v>
      </c>
      <c r="H3143" t="s">
        <v>35</v>
      </c>
      <c r="I3143" t="s">
        <v>40</v>
      </c>
      <c r="J3143" t="s">
        <v>25</v>
      </c>
      <c r="K3143" t="s">
        <v>36</v>
      </c>
      <c r="L3143" t="s">
        <v>44</v>
      </c>
      <c r="M3143">
        <v>4</v>
      </c>
      <c r="N3143" s="2"/>
      <c r="O3143" s="3">
        <v>3401</v>
      </c>
      <c r="P3143">
        <v>0</v>
      </c>
      <c r="Q3143">
        <v>3</v>
      </c>
      <c r="R3143" t="s">
        <v>28</v>
      </c>
      <c r="S3143">
        <v>1</v>
      </c>
    </row>
    <row r="3144" spans="1:19" ht="16.5" x14ac:dyDescent="0.3">
      <c r="A3144" t="s">
        <v>3207</v>
      </c>
      <c r="B3144" s="1">
        <v>45699</v>
      </c>
      <c r="C3144" s="1">
        <v>45704</v>
      </c>
      <c r="D3144">
        <v>2025</v>
      </c>
      <c r="E3144" t="s">
        <v>20</v>
      </c>
      <c r="F3144" t="s">
        <v>351</v>
      </c>
      <c r="G3144" t="s">
        <v>56</v>
      </c>
      <c r="H3144" t="s">
        <v>30</v>
      </c>
      <c r="I3144" t="s">
        <v>40</v>
      </c>
      <c r="J3144" t="s">
        <v>25</v>
      </c>
      <c r="K3144" t="s">
        <v>36</v>
      </c>
      <c r="L3144" t="s">
        <v>44</v>
      </c>
      <c r="M3144">
        <v>5</v>
      </c>
      <c r="N3144" s="2"/>
      <c r="O3144" s="3">
        <v>5262</v>
      </c>
      <c r="P3144">
        <v>0</v>
      </c>
      <c r="Q3144">
        <v>4</v>
      </c>
      <c r="R3144" t="s">
        <v>28</v>
      </c>
      <c r="S3144">
        <v>1</v>
      </c>
    </row>
    <row r="3145" spans="1:19" ht="16.5" x14ac:dyDescent="0.3">
      <c r="A3145" t="s">
        <v>3208</v>
      </c>
      <c r="B3145" s="1">
        <v>45699</v>
      </c>
      <c r="C3145" s="1">
        <v>45705</v>
      </c>
      <c r="D3145">
        <v>2025</v>
      </c>
      <c r="E3145" t="s">
        <v>20</v>
      </c>
      <c r="F3145" t="s">
        <v>351</v>
      </c>
      <c r="G3145" t="s">
        <v>56</v>
      </c>
      <c r="H3145" t="s">
        <v>52</v>
      </c>
      <c r="I3145" t="s">
        <v>31</v>
      </c>
      <c r="J3145" t="s">
        <v>25</v>
      </c>
      <c r="K3145" t="s">
        <v>26</v>
      </c>
      <c r="L3145" t="s">
        <v>27</v>
      </c>
      <c r="M3145">
        <v>6</v>
      </c>
      <c r="N3145" s="2"/>
      <c r="O3145" s="3">
        <v>7363</v>
      </c>
      <c r="P3145">
        <v>0</v>
      </c>
      <c r="Q3145">
        <v>4</v>
      </c>
      <c r="R3145" t="s">
        <v>28</v>
      </c>
      <c r="S3145">
        <v>1</v>
      </c>
    </row>
    <row r="3146" spans="1:19" ht="16.5" x14ac:dyDescent="0.3">
      <c r="A3146" t="s">
        <v>3209</v>
      </c>
      <c r="B3146" s="1">
        <v>45699</v>
      </c>
      <c r="C3146" s="1">
        <v>45700</v>
      </c>
      <c r="D3146">
        <v>2025</v>
      </c>
      <c r="E3146" t="s">
        <v>20</v>
      </c>
      <c r="F3146" t="s">
        <v>351</v>
      </c>
      <c r="G3146" t="s">
        <v>56</v>
      </c>
      <c r="H3146" t="s">
        <v>30</v>
      </c>
      <c r="I3146" t="s">
        <v>24</v>
      </c>
      <c r="J3146" t="s">
        <v>25</v>
      </c>
      <c r="K3146" t="s">
        <v>32</v>
      </c>
      <c r="L3146" t="s">
        <v>27</v>
      </c>
      <c r="M3146">
        <v>1</v>
      </c>
      <c r="N3146" s="2">
        <v>86</v>
      </c>
      <c r="O3146" s="3">
        <v>1809</v>
      </c>
      <c r="P3146">
        <v>0</v>
      </c>
      <c r="Q3146">
        <v>5</v>
      </c>
      <c r="R3146" t="s">
        <v>33</v>
      </c>
      <c r="S3146">
        <v>1</v>
      </c>
    </row>
    <row r="3147" spans="1:19" ht="16.5" x14ac:dyDescent="0.3">
      <c r="A3147" t="s">
        <v>3210</v>
      </c>
      <c r="B3147" s="1">
        <v>45699</v>
      </c>
      <c r="C3147" s="1">
        <v>45700</v>
      </c>
      <c r="D3147">
        <v>2025</v>
      </c>
      <c r="E3147" t="s">
        <v>20</v>
      </c>
      <c r="F3147" t="s">
        <v>351</v>
      </c>
      <c r="G3147" t="s">
        <v>56</v>
      </c>
      <c r="H3147" t="s">
        <v>39</v>
      </c>
      <c r="I3147" t="s">
        <v>24</v>
      </c>
      <c r="J3147" t="s">
        <v>25</v>
      </c>
      <c r="K3147" t="s">
        <v>41</v>
      </c>
      <c r="L3147" t="s">
        <v>44</v>
      </c>
      <c r="M3147">
        <v>1</v>
      </c>
      <c r="N3147" s="2">
        <v>23</v>
      </c>
      <c r="O3147" s="3">
        <v>1384</v>
      </c>
      <c r="P3147">
        <v>0</v>
      </c>
      <c r="Q3147">
        <v>5</v>
      </c>
      <c r="R3147" t="s">
        <v>28</v>
      </c>
      <c r="S3147">
        <v>1</v>
      </c>
    </row>
    <row r="3148" spans="1:19" ht="16.5" x14ac:dyDescent="0.3">
      <c r="A3148" t="s">
        <v>3211</v>
      </c>
      <c r="B3148" s="1">
        <v>45699</v>
      </c>
      <c r="C3148" s="1">
        <v>45709</v>
      </c>
      <c r="D3148">
        <v>2025</v>
      </c>
      <c r="E3148" t="s">
        <v>20</v>
      </c>
      <c r="F3148" t="s">
        <v>351</v>
      </c>
      <c r="G3148" t="s">
        <v>56</v>
      </c>
      <c r="H3148" t="s">
        <v>35</v>
      </c>
      <c r="I3148" t="s">
        <v>24</v>
      </c>
      <c r="J3148" t="s">
        <v>25</v>
      </c>
      <c r="K3148" t="s">
        <v>32</v>
      </c>
      <c r="L3148" t="s">
        <v>27</v>
      </c>
      <c r="M3148">
        <v>10</v>
      </c>
      <c r="N3148" s="2">
        <v>47</v>
      </c>
      <c r="O3148" s="3">
        <v>6075</v>
      </c>
      <c r="P3148">
        <v>0</v>
      </c>
      <c r="Q3148">
        <v>4</v>
      </c>
      <c r="R3148" t="s">
        <v>28</v>
      </c>
      <c r="S3148">
        <v>1</v>
      </c>
    </row>
    <row r="3149" spans="1:19" ht="16.5" x14ac:dyDescent="0.3">
      <c r="A3149" t="s">
        <v>3212</v>
      </c>
      <c r="B3149" s="1">
        <v>45699</v>
      </c>
      <c r="C3149" s="1">
        <v>45713</v>
      </c>
      <c r="D3149">
        <v>2025</v>
      </c>
      <c r="E3149" t="s">
        <v>20</v>
      </c>
      <c r="F3149" t="s">
        <v>351</v>
      </c>
      <c r="G3149" t="s">
        <v>56</v>
      </c>
      <c r="H3149" t="s">
        <v>23</v>
      </c>
      <c r="I3149" t="s">
        <v>24</v>
      </c>
      <c r="J3149" t="s">
        <v>43</v>
      </c>
      <c r="K3149" t="s">
        <v>26</v>
      </c>
      <c r="L3149" t="s">
        <v>27</v>
      </c>
      <c r="M3149">
        <v>14</v>
      </c>
      <c r="N3149" s="2">
        <v>99</v>
      </c>
      <c r="O3149" s="3">
        <v>8054</v>
      </c>
      <c r="P3149">
        <v>1</v>
      </c>
      <c r="Q3149">
        <v>3</v>
      </c>
      <c r="R3149" t="s">
        <v>28</v>
      </c>
      <c r="S3149">
        <v>1</v>
      </c>
    </row>
    <row r="3150" spans="1:19" ht="16.5" x14ac:dyDescent="0.3">
      <c r="A3150" t="s">
        <v>3213</v>
      </c>
      <c r="B3150" s="1">
        <v>45699</v>
      </c>
      <c r="C3150" s="1">
        <v>45707</v>
      </c>
      <c r="D3150">
        <v>2025</v>
      </c>
      <c r="E3150" t="s">
        <v>20</v>
      </c>
      <c r="F3150" t="s">
        <v>351</v>
      </c>
      <c r="G3150" t="s">
        <v>56</v>
      </c>
      <c r="H3150" t="s">
        <v>39</v>
      </c>
      <c r="I3150" t="s">
        <v>40</v>
      </c>
      <c r="J3150" t="s">
        <v>43</v>
      </c>
      <c r="K3150" t="s">
        <v>41</v>
      </c>
      <c r="L3150" t="s">
        <v>44</v>
      </c>
      <c r="M3150">
        <v>8</v>
      </c>
      <c r="N3150" s="2"/>
      <c r="O3150" s="3">
        <v>5037</v>
      </c>
      <c r="P3150">
        <v>0</v>
      </c>
      <c r="Q3150">
        <v>4</v>
      </c>
      <c r="R3150" t="s">
        <v>33</v>
      </c>
      <c r="S3150">
        <v>1</v>
      </c>
    </row>
    <row r="3151" spans="1:19" ht="16.5" x14ac:dyDescent="0.3">
      <c r="A3151" t="s">
        <v>3214</v>
      </c>
      <c r="B3151" s="1">
        <v>45700</v>
      </c>
      <c r="C3151" s="1">
        <v>45705</v>
      </c>
      <c r="D3151">
        <v>2025</v>
      </c>
      <c r="E3151" t="s">
        <v>20</v>
      </c>
      <c r="F3151" t="s">
        <v>351</v>
      </c>
      <c r="G3151" t="s">
        <v>70</v>
      </c>
      <c r="H3151" t="s">
        <v>52</v>
      </c>
      <c r="I3151" t="s">
        <v>40</v>
      </c>
      <c r="J3151" t="s">
        <v>43</v>
      </c>
      <c r="K3151" t="s">
        <v>26</v>
      </c>
      <c r="L3151" t="s">
        <v>44</v>
      </c>
      <c r="M3151">
        <v>5</v>
      </c>
      <c r="N3151" s="2"/>
      <c r="O3151" s="3">
        <v>6314</v>
      </c>
      <c r="P3151">
        <v>0</v>
      </c>
      <c r="Q3151">
        <v>3</v>
      </c>
      <c r="R3151" t="s">
        <v>33</v>
      </c>
      <c r="S3151">
        <v>1</v>
      </c>
    </row>
    <row r="3152" spans="1:19" ht="16.5" x14ac:dyDescent="0.3">
      <c r="A3152" t="s">
        <v>3215</v>
      </c>
      <c r="B3152" s="1">
        <v>45700</v>
      </c>
      <c r="C3152" s="1">
        <v>45707</v>
      </c>
      <c r="D3152">
        <v>2025</v>
      </c>
      <c r="E3152" t="s">
        <v>20</v>
      </c>
      <c r="F3152" t="s">
        <v>351</v>
      </c>
      <c r="G3152" t="s">
        <v>70</v>
      </c>
      <c r="H3152" t="s">
        <v>39</v>
      </c>
      <c r="I3152" t="s">
        <v>24</v>
      </c>
      <c r="J3152" t="s">
        <v>25</v>
      </c>
      <c r="K3152" t="s">
        <v>41</v>
      </c>
      <c r="L3152" t="s">
        <v>44</v>
      </c>
      <c r="M3152">
        <v>7</v>
      </c>
      <c r="N3152" s="2">
        <v>119</v>
      </c>
      <c r="O3152" s="3">
        <v>5863</v>
      </c>
      <c r="P3152">
        <v>0</v>
      </c>
      <c r="Q3152">
        <v>2</v>
      </c>
      <c r="R3152" t="s">
        <v>28</v>
      </c>
      <c r="S3152">
        <v>1</v>
      </c>
    </row>
    <row r="3153" spans="1:19" ht="16.5" x14ac:dyDescent="0.3">
      <c r="A3153" t="s">
        <v>3216</v>
      </c>
      <c r="B3153" s="1">
        <v>45700</v>
      </c>
      <c r="C3153" s="1">
        <v>45704</v>
      </c>
      <c r="D3153">
        <v>2025</v>
      </c>
      <c r="E3153" t="s">
        <v>20</v>
      </c>
      <c r="F3153" t="s">
        <v>351</v>
      </c>
      <c r="G3153" t="s">
        <v>70</v>
      </c>
      <c r="H3153" t="s">
        <v>52</v>
      </c>
      <c r="I3153" t="s">
        <v>24</v>
      </c>
      <c r="J3153" t="s">
        <v>43</v>
      </c>
      <c r="K3153" t="s">
        <v>32</v>
      </c>
      <c r="L3153" t="s">
        <v>27</v>
      </c>
      <c r="M3153">
        <v>4</v>
      </c>
      <c r="N3153" s="2">
        <v>70</v>
      </c>
      <c r="O3153" s="3">
        <v>5145</v>
      </c>
      <c r="P3153">
        <v>0</v>
      </c>
      <c r="Q3153">
        <v>5</v>
      </c>
      <c r="R3153" t="s">
        <v>33</v>
      </c>
      <c r="S3153">
        <v>1</v>
      </c>
    </row>
    <row r="3154" spans="1:19" ht="16.5" x14ac:dyDescent="0.3">
      <c r="A3154" t="s">
        <v>3217</v>
      </c>
      <c r="B3154" s="1">
        <v>45700</v>
      </c>
      <c r="C3154" s="1">
        <v>45712</v>
      </c>
      <c r="D3154">
        <v>2025</v>
      </c>
      <c r="E3154" t="s">
        <v>20</v>
      </c>
      <c r="F3154" t="s">
        <v>351</v>
      </c>
      <c r="G3154" t="s">
        <v>70</v>
      </c>
      <c r="H3154" t="s">
        <v>23</v>
      </c>
      <c r="I3154" t="s">
        <v>24</v>
      </c>
      <c r="J3154" t="s">
        <v>25</v>
      </c>
      <c r="K3154" t="s">
        <v>32</v>
      </c>
      <c r="L3154" t="s">
        <v>37</v>
      </c>
      <c r="M3154">
        <v>12</v>
      </c>
      <c r="N3154" s="2">
        <v>30</v>
      </c>
      <c r="O3154" s="3">
        <v>6266</v>
      </c>
      <c r="P3154">
        <v>0</v>
      </c>
      <c r="Q3154">
        <v>4</v>
      </c>
      <c r="R3154" t="s">
        <v>33</v>
      </c>
      <c r="S3154">
        <v>1</v>
      </c>
    </row>
    <row r="3155" spans="1:19" ht="16.5" x14ac:dyDescent="0.3">
      <c r="A3155" t="s">
        <v>3218</v>
      </c>
      <c r="B3155" s="1">
        <v>45700</v>
      </c>
      <c r="C3155" s="1">
        <v>45704</v>
      </c>
      <c r="D3155">
        <v>2025</v>
      </c>
      <c r="E3155" t="s">
        <v>20</v>
      </c>
      <c r="F3155" t="s">
        <v>351</v>
      </c>
      <c r="G3155" t="s">
        <v>70</v>
      </c>
      <c r="H3155" t="s">
        <v>30</v>
      </c>
      <c r="I3155" t="s">
        <v>40</v>
      </c>
      <c r="J3155" t="s">
        <v>25</v>
      </c>
      <c r="K3155" t="s">
        <v>32</v>
      </c>
      <c r="L3155" t="s">
        <v>37</v>
      </c>
      <c r="M3155">
        <v>4</v>
      </c>
      <c r="N3155" s="2"/>
      <c r="O3155" s="3">
        <v>4849</v>
      </c>
      <c r="P3155">
        <v>0</v>
      </c>
      <c r="Q3155">
        <v>5</v>
      </c>
      <c r="R3155" t="s">
        <v>33</v>
      </c>
      <c r="S3155">
        <v>1</v>
      </c>
    </row>
    <row r="3156" spans="1:19" ht="16.5" x14ac:dyDescent="0.3">
      <c r="A3156" t="s">
        <v>3219</v>
      </c>
      <c r="B3156" s="1">
        <v>45700</v>
      </c>
      <c r="C3156" s="1">
        <v>45701</v>
      </c>
      <c r="D3156">
        <v>2025</v>
      </c>
      <c r="E3156" t="s">
        <v>20</v>
      </c>
      <c r="F3156" t="s">
        <v>351</v>
      </c>
      <c r="G3156" t="s">
        <v>70</v>
      </c>
      <c r="H3156" t="s">
        <v>39</v>
      </c>
      <c r="I3156" t="s">
        <v>24</v>
      </c>
      <c r="J3156" t="s">
        <v>25</v>
      </c>
      <c r="K3156" t="s">
        <v>41</v>
      </c>
      <c r="L3156" t="s">
        <v>27</v>
      </c>
      <c r="M3156">
        <v>1</v>
      </c>
      <c r="N3156" s="2">
        <v>73</v>
      </c>
      <c r="O3156" s="3">
        <v>1571</v>
      </c>
      <c r="P3156">
        <v>0</v>
      </c>
      <c r="Q3156">
        <v>4</v>
      </c>
      <c r="R3156" t="s">
        <v>28</v>
      </c>
      <c r="S3156">
        <v>1</v>
      </c>
    </row>
    <row r="3157" spans="1:19" ht="16.5" x14ac:dyDescent="0.3">
      <c r="A3157" t="s">
        <v>3220</v>
      </c>
      <c r="B3157" s="1">
        <v>45700</v>
      </c>
      <c r="C3157" s="1">
        <v>45703</v>
      </c>
      <c r="D3157">
        <v>2025</v>
      </c>
      <c r="E3157" t="s">
        <v>20</v>
      </c>
      <c r="F3157" t="s">
        <v>351</v>
      </c>
      <c r="G3157" t="s">
        <v>70</v>
      </c>
      <c r="H3157" t="s">
        <v>50</v>
      </c>
      <c r="I3157" t="s">
        <v>31</v>
      </c>
      <c r="J3157" t="s">
        <v>25</v>
      </c>
      <c r="K3157" t="s">
        <v>32</v>
      </c>
      <c r="L3157" t="s">
        <v>27</v>
      </c>
      <c r="M3157">
        <v>3</v>
      </c>
      <c r="N3157" s="2"/>
      <c r="O3157" s="3">
        <v>3793</v>
      </c>
      <c r="P3157">
        <v>0</v>
      </c>
      <c r="Q3157">
        <v>4</v>
      </c>
      <c r="R3157" t="s">
        <v>28</v>
      </c>
      <c r="S3157">
        <v>1</v>
      </c>
    </row>
    <row r="3158" spans="1:19" ht="16.5" x14ac:dyDescent="0.3">
      <c r="A3158" t="s">
        <v>3221</v>
      </c>
      <c r="B3158" s="1">
        <v>45701</v>
      </c>
      <c r="C3158" s="1">
        <v>45707</v>
      </c>
      <c r="D3158">
        <v>2025</v>
      </c>
      <c r="E3158" t="s">
        <v>20</v>
      </c>
      <c r="F3158" t="s">
        <v>351</v>
      </c>
      <c r="G3158" t="s">
        <v>78</v>
      </c>
      <c r="H3158" t="s">
        <v>39</v>
      </c>
      <c r="I3158" t="s">
        <v>24</v>
      </c>
      <c r="J3158" t="s">
        <v>25</v>
      </c>
      <c r="K3158" t="s">
        <v>41</v>
      </c>
      <c r="L3158" t="s">
        <v>44</v>
      </c>
      <c r="M3158">
        <v>6</v>
      </c>
      <c r="N3158" s="2">
        <v>41</v>
      </c>
      <c r="O3158" s="3">
        <v>4551</v>
      </c>
      <c r="P3158">
        <v>1</v>
      </c>
      <c r="Q3158">
        <v>3</v>
      </c>
      <c r="R3158" t="s">
        <v>33</v>
      </c>
      <c r="S3158">
        <v>1</v>
      </c>
    </row>
    <row r="3159" spans="1:19" ht="16.5" x14ac:dyDescent="0.3">
      <c r="A3159" t="s">
        <v>3222</v>
      </c>
      <c r="B3159" s="1">
        <v>45701</v>
      </c>
      <c r="C3159" s="1">
        <v>45705</v>
      </c>
      <c r="D3159">
        <v>2025</v>
      </c>
      <c r="E3159" t="s">
        <v>20</v>
      </c>
      <c r="F3159" t="s">
        <v>351</v>
      </c>
      <c r="G3159" t="s">
        <v>78</v>
      </c>
      <c r="H3159" t="s">
        <v>52</v>
      </c>
      <c r="I3159" t="s">
        <v>40</v>
      </c>
      <c r="J3159" t="s">
        <v>25</v>
      </c>
      <c r="K3159" t="s">
        <v>32</v>
      </c>
      <c r="L3159" t="s">
        <v>44</v>
      </c>
      <c r="M3159">
        <v>4</v>
      </c>
      <c r="N3159" s="2"/>
      <c r="O3159" s="3">
        <v>3517</v>
      </c>
      <c r="P3159">
        <v>0</v>
      </c>
      <c r="Q3159">
        <v>5</v>
      </c>
      <c r="R3159" t="s">
        <v>33</v>
      </c>
      <c r="S3159">
        <v>1</v>
      </c>
    </row>
    <row r="3160" spans="1:19" ht="16.5" x14ac:dyDescent="0.3">
      <c r="A3160" t="s">
        <v>3223</v>
      </c>
      <c r="B3160" s="1">
        <v>45701</v>
      </c>
      <c r="C3160" s="1">
        <v>45703</v>
      </c>
      <c r="D3160">
        <v>2025</v>
      </c>
      <c r="E3160" t="s">
        <v>20</v>
      </c>
      <c r="F3160" t="s">
        <v>351</v>
      </c>
      <c r="G3160" t="s">
        <v>78</v>
      </c>
      <c r="H3160" t="s">
        <v>30</v>
      </c>
      <c r="I3160" t="s">
        <v>40</v>
      </c>
      <c r="J3160" t="s">
        <v>25</v>
      </c>
      <c r="K3160" t="s">
        <v>32</v>
      </c>
      <c r="L3160" t="s">
        <v>44</v>
      </c>
      <c r="M3160">
        <v>2</v>
      </c>
      <c r="N3160" s="2"/>
      <c r="O3160" s="3">
        <v>3138</v>
      </c>
      <c r="P3160">
        <v>0</v>
      </c>
      <c r="Q3160">
        <v>4</v>
      </c>
      <c r="R3160" t="s">
        <v>28</v>
      </c>
      <c r="S3160">
        <v>1</v>
      </c>
    </row>
    <row r="3161" spans="1:19" ht="16.5" x14ac:dyDescent="0.3">
      <c r="A3161" t="s">
        <v>3224</v>
      </c>
      <c r="B3161" s="1">
        <v>45701</v>
      </c>
      <c r="C3161" s="1">
        <v>45706</v>
      </c>
      <c r="D3161">
        <v>2025</v>
      </c>
      <c r="E3161" t="s">
        <v>20</v>
      </c>
      <c r="F3161" t="s">
        <v>351</v>
      </c>
      <c r="G3161" t="s">
        <v>78</v>
      </c>
      <c r="H3161" t="s">
        <v>52</v>
      </c>
      <c r="I3161" t="s">
        <v>40</v>
      </c>
      <c r="J3161" t="s">
        <v>43</v>
      </c>
      <c r="K3161" t="s">
        <v>26</v>
      </c>
      <c r="L3161" t="s">
        <v>27</v>
      </c>
      <c r="M3161">
        <v>5</v>
      </c>
      <c r="N3161" s="2"/>
      <c r="O3161" s="3">
        <v>5648</v>
      </c>
      <c r="P3161">
        <v>1</v>
      </c>
      <c r="Q3161">
        <v>4</v>
      </c>
      <c r="R3161" t="s">
        <v>59</v>
      </c>
      <c r="S3161">
        <v>1</v>
      </c>
    </row>
    <row r="3162" spans="1:19" ht="16.5" x14ac:dyDescent="0.3">
      <c r="A3162" t="s">
        <v>3225</v>
      </c>
      <c r="B3162" s="1">
        <v>45701</v>
      </c>
      <c r="C3162" s="1">
        <v>45703</v>
      </c>
      <c r="D3162">
        <v>2025</v>
      </c>
      <c r="E3162" t="s">
        <v>20</v>
      </c>
      <c r="F3162" t="s">
        <v>351</v>
      </c>
      <c r="G3162" t="s">
        <v>78</v>
      </c>
      <c r="H3162" t="s">
        <v>23</v>
      </c>
      <c r="I3162" t="s">
        <v>24</v>
      </c>
      <c r="J3162" t="s">
        <v>43</v>
      </c>
      <c r="K3162" t="s">
        <v>53</v>
      </c>
      <c r="L3162" t="s">
        <v>44</v>
      </c>
      <c r="M3162">
        <v>2</v>
      </c>
      <c r="N3162" s="2">
        <v>80</v>
      </c>
      <c r="O3162" s="3">
        <v>2387</v>
      </c>
      <c r="P3162">
        <v>0</v>
      </c>
      <c r="Q3162">
        <v>5</v>
      </c>
      <c r="R3162" t="s">
        <v>33</v>
      </c>
      <c r="S3162">
        <v>1</v>
      </c>
    </row>
    <row r="3163" spans="1:19" ht="16.5" x14ac:dyDescent="0.3">
      <c r="A3163" t="s">
        <v>3226</v>
      </c>
      <c r="B3163" s="1">
        <v>45701</v>
      </c>
      <c r="C3163" s="1">
        <v>45715</v>
      </c>
      <c r="D3163">
        <v>2025</v>
      </c>
      <c r="E3163" t="s">
        <v>20</v>
      </c>
      <c r="F3163" t="s">
        <v>351</v>
      </c>
      <c r="G3163" t="s">
        <v>78</v>
      </c>
      <c r="H3163" t="s">
        <v>23</v>
      </c>
      <c r="I3163" t="s">
        <v>24</v>
      </c>
      <c r="J3163" t="s">
        <v>43</v>
      </c>
      <c r="K3163" t="s">
        <v>32</v>
      </c>
      <c r="L3163" t="s">
        <v>44</v>
      </c>
      <c r="M3163">
        <v>14</v>
      </c>
      <c r="N3163" s="2">
        <v>17</v>
      </c>
      <c r="O3163" s="3">
        <v>9060</v>
      </c>
      <c r="P3163">
        <v>0</v>
      </c>
      <c r="Q3163">
        <v>4</v>
      </c>
      <c r="R3163" t="s">
        <v>28</v>
      </c>
      <c r="S3163">
        <v>1</v>
      </c>
    </row>
    <row r="3164" spans="1:19" ht="16.5" x14ac:dyDescent="0.3">
      <c r="A3164" t="s">
        <v>3227</v>
      </c>
      <c r="B3164" s="1">
        <v>45702</v>
      </c>
      <c r="C3164" s="1">
        <v>45705</v>
      </c>
      <c r="D3164">
        <v>2025</v>
      </c>
      <c r="E3164" t="s">
        <v>20</v>
      </c>
      <c r="F3164" t="s">
        <v>351</v>
      </c>
      <c r="G3164" t="s">
        <v>83</v>
      </c>
      <c r="H3164" t="s">
        <v>39</v>
      </c>
      <c r="I3164" t="s">
        <v>24</v>
      </c>
      <c r="J3164" t="s">
        <v>43</v>
      </c>
      <c r="K3164" t="s">
        <v>41</v>
      </c>
      <c r="L3164" t="s">
        <v>27</v>
      </c>
      <c r="M3164">
        <v>3</v>
      </c>
      <c r="N3164" s="2">
        <v>103</v>
      </c>
      <c r="O3164" s="3">
        <v>2549</v>
      </c>
      <c r="P3164">
        <v>0</v>
      </c>
      <c r="Q3164">
        <v>4</v>
      </c>
      <c r="R3164" t="s">
        <v>59</v>
      </c>
      <c r="S3164">
        <v>1</v>
      </c>
    </row>
    <row r="3165" spans="1:19" ht="16.5" x14ac:dyDescent="0.3">
      <c r="A3165" t="s">
        <v>3228</v>
      </c>
      <c r="B3165" s="1">
        <v>45702</v>
      </c>
      <c r="C3165" s="1">
        <v>45703</v>
      </c>
      <c r="D3165">
        <v>2025</v>
      </c>
      <c r="E3165" t="s">
        <v>20</v>
      </c>
      <c r="F3165" t="s">
        <v>351</v>
      </c>
      <c r="G3165" t="s">
        <v>83</v>
      </c>
      <c r="H3165" t="s">
        <v>39</v>
      </c>
      <c r="I3165" t="s">
        <v>24</v>
      </c>
      <c r="J3165" t="s">
        <v>43</v>
      </c>
      <c r="K3165" t="s">
        <v>41</v>
      </c>
      <c r="L3165" t="s">
        <v>44</v>
      </c>
      <c r="M3165">
        <v>1</v>
      </c>
      <c r="N3165" s="2">
        <v>22</v>
      </c>
      <c r="O3165" s="3">
        <v>2026</v>
      </c>
      <c r="P3165">
        <v>0</v>
      </c>
      <c r="Q3165">
        <v>4</v>
      </c>
      <c r="R3165" t="s">
        <v>28</v>
      </c>
      <c r="S3165">
        <v>1</v>
      </c>
    </row>
    <row r="3166" spans="1:19" ht="16.5" x14ac:dyDescent="0.3">
      <c r="A3166" t="s">
        <v>3229</v>
      </c>
      <c r="B3166" s="1">
        <v>45702</v>
      </c>
      <c r="C3166" s="1">
        <v>45706</v>
      </c>
      <c r="D3166">
        <v>2025</v>
      </c>
      <c r="E3166" t="s">
        <v>20</v>
      </c>
      <c r="F3166" t="s">
        <v>351</v>
      </c>
      <c r="G3166" t="s">
        <v>83</v>
      </c>
      <c r="H3166" t="s">
        <v>30</v>
      </c>
      <c r="I3166" t="s">
        <v>40</v>
      </c>
      <c r="J3166" t="s">
        <v>25</v>
      </c>
      <c r="K3166" t="s">
        <v>26</v>
      </c>
      <c r="L3166" t="s">
        <v>44</v>
      </c>
      <c r="M3166">
        <v>4</v>
      </c>
      <c r="N3166" s="2"/>
      <c r="O3166" s="3">
        <v>4476</v>
      </c>
      <c r="P3166">
        <v>0</v>
      </c>
      <c r="Q3166">
        <v>5</v>
      </c>
      <c r="R3166" t="s">
        <v>33</v>
      </c>
      <c r="S3166">
        <v>1</v>
      </c>
    </row>
    <row r="3167" spans="1:19" ht="16.5" x14ac:dyDescent="0.3">
      <c r="A3167" t="s">
        <v>3230</v>
      </c>
      <c r="B3167" s="1">
        <v>45702</v>
      </c>
      <c r="C3167" s="1">
        <v>45703</v>
      </c>
      <c r="D3167">
        <v>2025</v>
      </c>
      <c r="E3167" t="s">
        <v>20</v>
      </c>
      <c r="F3167" t="s">
        <v>351</v>
      </c>
      <c r="G3167" t="s">
        <v>83</v>
      </c>
      <c r="H3167" t="s">
        <v>35</v>
      </c>
      <c r="I3167" t="s">
        <v>24</v>
      </c>
      <c r="J3167" t="s">
        <v>25</v>
      </c>
      <c r="K3167" t="s">
        <v>32</v>
      </c>
      <c r="L3167" t="s">
        <v>44</v>
      </c>
      <c r="M3167">
        <v>1</v>
      </c>
      <c r="N3167" s="2">
        <v>42</v>
      </c>
      <c r="O3167" s="3">
        <v>1366</v>
      </c>
      <c r="P3167">
        <v>0</v>
      </c>
      <c r="Q3167">
        <v>5</v>
      </c>
      <c r="R3167" t="s">
        <v>33</v>
      </c>
      <c r="S3167">
        <v>1</v>
      </c>
    </row>
    <row r="3168" spans="1:19" ht="16.5" x14ac:dyDescent="0.3">
      <c r="A3168" t="s">
        <v>3231</v>
      </c>
      <c r="B3168" s="1">
        <v>45702</v>
      </c>
      <c r="C3168" s="1">
        <v>45715</v>
      </c>
      <c r="D3168">
        <v>2025</v>
      </c>
      <c r="E3168" t="s">
        <v>20</v>
      </c>
      <c r="F3168" t="s">
        <v>351</v>
      </c>
      <c r="G3168" t="s">
        <v>83</v>
      </c>
      <c r="H3168" t="s">
        <v>23</v>
      </c>
      <c r="I3168" t="s">
        <v>24</v>
      </c>
      <c r="J3168" t="s">
        <v>43</v>
      </c>
      <c r="K3168" t="s">
        <v>26</v>
      </c>
      <c r="L3168" t="s">
        <v>37</v>
      </c>
      <c r="M3168">
        <v>13</v>
      </c>
      <c r="N3168" s="2">
        <v>29</v>
      </c>
      <c r="O3168" s="3">
        <v>10656</v>
      </c>
      <c r="P3168">
        <v>0</v>
      </c>
      <c r="Q3168">
        <v>4</v>
      </c>
      <c r="R3168" t="s">
        <v>33</v>
      </c>
      <c r="S3168">
        <v>1</v>
      </c>
    </row>
    <row r="3169" spans="1:19" ht="16.5" x14ac:dyDescent="0.3">
      <c r="A3169" t="s">
        <v>3232</v>
      </c>
      <c r="B3169" s="1">
        <v>45702</v>
      </c>
      <c r="C3169" s="1">
        <v>45703</v>
      </c>
      <c r="D3169">
        <v>2025</v>
      </c>
      <c r="E3169" t="s">
        <v>20</v>
      </c>
      <c r="F3169" t="s">
        <v>351</v>
      </c>
      <c r="G3169" t="s">
        <v>83</v>
      </c>
      <c r="H3169" t="s">
        <v>35</v>
      </c>
      <c r="I3169" t="s">
        <v>40</v>
      </c>
      <c r="J3169" t="s">
        <v>25</v>
      </c>
      <c r="K3169" t="s">
        <v>36</v>
      </c>
      <c r="L3169" t="s">
        <v>27</v>
      </c>
      <c r="M3169">
        <v>1</v>
      </c>
      <c r="N3169" s="2"/>
      <c r="O3169" s="3">
        <v>1765</v>
      </c>
      <c r="P3169">
        <v>0</v>
      </c>
      <c r="Q3169">
        <v>3</v>
      </c>
      <c r="R3169" t="s">
        <v>28</v>
      </c>
      <c r="S3169">
        <v>1</v>
      </c>
    </row>
    <row r="3170" spans="1:19" ht="16.5" x14ac:dyDescent="0.3">
      <c r="A3170" t="s">
        <v>3233</v>
      </c>
      <c r="B3170" s="1">
        <v>45702</v>
      </c>
      <c r="C3170" s="1">
        <v>45705</v>
      </c>
      <c r="D3170">
        <v>2025</v>
      </c>
      <c r="E3170" t="s">
        <v>20</v>
      </c>
      <c r="F3170" t="s">
        <v>351</v>
      </c>
      <c r="G3170" t="s">
        <v>83</v>
      </c>
      <c r="H3170" t="s">
        <v>30</v>
      </c>
      <c r="I3170" t="s">
        <v>40</v>
      </c>
      <c r="J3170" t="s">
        <v>25</v>
      </c>
      <c r="K3170" t="s">
        <v>32</v>
      </c>
      <c r="L3170" t="s">
        <v>44</v>
      </c>
      <c r="M3170">
        <v>3</v>
      </c>
      <c r="N3170" s="2"/>
      <c r="O3170" s="3">
        <v>3094</v>
      </c>
      <c r="P3170">
        <v>0</v>
      </c>
      <c r="Q3170">
        <v>4</v>
      </c>
      <c r="R3170" t="s">
        <v>28</v>
      </c>
      <c r="S3170">
        <v>1</v>
      </c>
    </row>
    <row r="3171" spans="1:19" ht="16.5" x14ac:dyDescent="0.3">
      <c r="A3171" t="s">
        <v>3234</v>
      </c>
      <c r="B3171" s="1">
        <v>45702</v>
      </c>
      <c r="C3171" s="1">
        <v>45704</v>
      </c>
      <c r="D3171">
        <v>2025</v>
      </c>
      <c r="E3171" t="s">
        <v>20</v>
      </c>
      <c r="F3171" t="s">
        <v>351</v>
      </c>
      <c r="G3171" t="s">
        <v>83</v>
      </c>
      <c r="H3171" t="s">
        <v>35</v>
      </c>
      <c r="I3171" t="s">
        <v>40</v>
      </c>
      <c r="J3171" t="s">
        <v>25</v>
      </c>
      <c r="K3171" t="s">
        <v>36</v>
      </c>
      <c r="L3171" t="s">
        <v>44</v>
      </c>
      <c r="M3171">
        <v>2</v>
      </c>
      <c r="N3171" s="2"/>
      <c r="O3171" s="3">
        <v>2024</v>
      </c>
      <c r="P3171">
        <v>0</v>
      </c>
      <c r="Q3171">
        <v>5</v>
      </c>
      <c r="R3171" t="s">
        <v>33</v>
      </c>
      <c r="S3171">
        <v>1</v>
      </c>
    </row>
    <row r="3172" spans="1:19" ht="16.5" x14ac:dyDescent="0.3">
      <c r="A3172" t="s">
        <v>3235</v>
      </c>
      <c r="B3172" s="1">
        <v>45702</v>
      </c>
      <c r="C3172" s="1">
        <v>45705</v>
      </c>
      <c r="D3172">
        <v>2025</v>
      </c>
      <c r="E3172" t="s">
        <v>20</v>
      </c>
      <c r="F3172" t="s">
        <v>351</v>
      </c>
      <c r="G3172" t="s">
        <v>83</v>
      </c>
      <c r="H3172" t="s">
        <v>23</v>
      </c>
      <c r="I3172" t="s">
        <v>40</v>
      </c>
      <c r="J3172" t="s">
        <v>25</v>
      </c>
      <c r="K3172" t="s">
        <v>53</v>
      </c>
      <c r="L3172" t="s">
        <v>37</v>
      </c>
      <c r="M3172">
        <v>3</v>
      </c>
      <c r="N3172" s="2"/>
      <c r="O3172" s="3">
        <v>2403</v>
      </c>
      <c r="P3172">
        <v>0</v>
      </c>
      <c r="Q3172">
        <v>4</v>
      </c>
      <c r="R3172" t="s">
        <v>33</v>
      </c>
      <c r="S3172">
        <v>1</v>
      </c>
    </row>
    <row r="3173" spans="1:19" ht="16.5" x14ac:dyDescent="0.3">
      <c r="A3173" t="s">
        <v>3236</v>
      </c>
      <c r="B3173" s="1">
        <v>45702</v>
      </c>
      <c r="C3173" s="1">
        <v>45704</v>
      </c>
      <c r="D3173">
        <v>2025</v>
      </c>
      <c r="E3173" t="s">
        <v>20</v>
      </c>
      <c r="F3173" t="s">
        <v>351</v>
      </c>
      <c r="G3173" t="s">
        <v>83</v>
      </c>
      <c r="H3173" t="s">
        <v>39</v>
      </c>
      <c r="I3173" t="s">
        <v>24</v>
      </c>
      <c r="J3173" t="s">
        <v>43</v>
      </c>
      <c r="K3173" t="s">
        <v>41</v>
      </c>
      <c r="L3173" t="s">
        <v>27</v>
      </c>
      <c r="M3173">
        <v>2</v>
      </c>
      <c r="N3173" s="2">
        <v>110</v>
      </c>
      <c r="O3173" s="3">
        <v>2342</v>
      </c>
      <c r="P3173">
        <v>1</v>
      </c>
      <c r="Q3173">
        <v>4</v>
      </c>
      <c r="R3173" t="s">
        <v>33</v>
      </c>
      <c r="S3173">
        <v>1</v>
      </c>
    </row>
    <row r="3174" spans="1:19" ht="16.5" x14ac:dyDescent="0.3">
      <c r="A3174" t="s">
        <v>3237</v>
      </c>
      <c r="B3174" s="1">
        <v>45702</v>
      </c>
      <c r="C3174" s="1">
        <v>45715</v>
      </c>
      <c r="D3174">
        <v>2025</v>
      </c>
      <c r="E3174" t="s">
        <v>20</v>
      </c>
      <c r="F3174" t="s">
        <v>351</v>
      </c>
      <c r="G3174" t="s">
        <v>83</v>
      </c>
      <c r="H3174" t="s">
        <v>23</v>
      </c>
      <c r="I3174" t="s">
        <v>24</v>
      </c>
      <c r="J3174" t="s">
        <v>43</v>
      </c>
      <c r="K3174" t="s">
        <v>36</v>
      </c>
      <c r="L3174" t="s">
        <v>27</v>
      </c>
      <c r="M3174">
        <v>13</v>
      </c>
      <c r="N3174" s="2">
        <v>98</v>
      </c>
      <c r="O3174" s="3">
        <v>9321</v>
      </c>
      <c r="P3174">
        <v>0</v>
      </c>
      <c r="Q3174">
        <v>5</v>
      </c>
      <c r="R3174" t="s">
        <v>33</v>
      </c>
      <c r="S3174">
        <v>1</v>
      </c>
    </row>
    <row r="3175" spans="1:19" ht="16.5" x14ac:dyDescent="0.3">
      <c r="A3175" t="s">
        <v>3238</v>
      </c>
      <c r="B3175" s="1">
        <v>45702</v>
      </c>
      <c r="C3175" s="1">
        <v>45706</v>
      </c>
      <c r="D3175">
        <v>2025</v>
      </c>
      <c r="E3175" t="s">
        <v>20</v>
      </c>
      <c r="F3175" t="s">
        <v>351</v>
      </c>
      <c r="G3175" t="s">
        <v>83</v>
      </c>
      <c r="H3175" t="s">
        <v>39</v>
      </c>
      <c r="I3175" t="s">
        <v>24</v>
      </c>
      <c r="J3175" t="s">
        <v>43</v>
      </c>
      <c r="K3175" t="s">
        <v>41</v>
      </c>
      <c r="L3175" t="s">
        <v>27</v>
      </c>
      <c r="M3175">
        <v>4</v>
      </c>
      <c r="N3175" s="2">
        <v>166</v>
      </c>
      <c r="O3175" s="3">
        <v>3012</v>
      </c>
      <c r="P3175">
        <v>0</v>
      </c>
      <c r="Q3175">
        <v>3</v>
      </c>
      <c r="R3175" t="s">
        <v>28</v>
      </c>
      <c r="S3175">
        <v>1</v>
      </c>
    </row>
    <row r="3176" spans="1:19" ht="16.5" x14ac:dyDescent="0.3">
      <c r="A3176" t="s">
        <v>3239</v>
      </c>
      <c r="B3176" s="1">
        <v>45702</v>
      </c>
      <c r="C3176" s="1">
        <v>45704</v>
      </c>
      <c r="D3176">
        <v>2025</v>
      </c>
      <c r="E3176" t="s">
        <v>20</v>
      </c>
      <c r="F3176" t="s">
        <v>351</v>
      </c>
      <c r="G3176" t="s">
        <v>83</v>
      </c>
      <c r="H3176" t="s">
        <v>50</v>
      </c>
      <c r="I3176" t="s">
        <v>40</v>
      </c>
      <c r="J3176" t="s">
        <v>43</v>
      </c>
      <c r="K3176" t="s">
        <v>32</v>
      </c>
      <c r="L3176" t="s">
        <v>37</v>
      </c>
      <c r="M3176">
        <v>2</v>
      </c>
      <c r="N3176" s="2"/>
      <c r="O3176" s="3">
        <v>3425</v>
      </c>
      <c r="P3176">
        <v>0</v>
      </c>
      <c r="Q3176">
        <v>4</v>
      </c>
      <c r="R3176" t="s">
        <v>33</v>
      </c>
      <c r="S3176">
        <v>1</v>
      </c>
    </row>
    <row r="3177" spans="1:19" ht="16.5" x14ac:dyDescent="0.3">
      <c r="A3177" t="s">
        <v>3240</v>
      </c>
      <c r="B3177" s="1">
        <v>45703</v>
      </c>
      <c r="C3177" s="1">
        <v>45714</v>
      </c>
      <c r="D3177">
        <v>2025</v>
      </c>
      <c r="E3177" t="s">
        <v>20</v>
      </c>
      <c r="F3177" t="s">
        <v>351</v>
      </c>
      <c r="G3177" t="s">
        <v>102</v>
      </c>
      <c r="H3177" t="s">
        <v>23</v>
      </c>
      <c r="I3177" t="s">
        <v>24</v>
      </c>
      <c r="J3177" t="s">
        <v>25</v>
      </c>
      <c r="K3177" t="s">
        <v>26</v>
      </c>
      <c r="L3177" t="s">
        <v>27</v>
      </c>
      <c r="M3177">
        <v>11</v>
      </c>
      <c r="N3177" s="2">
        <v>70</v>
      </c>
      <c r="O3177" s="3">
        <v>11217</v>
      </c>
      <c r="P3177">
        <v>0</v>
      </c>
      <c r="Q3177">
        <v>3</v>
      </c>
      <c r="R3177" t="s">
        <v>28</v>
      </c>
      <c r="S3177">
        <v>1</v>
      </c>
    </row>
    <row r="3178" spans="1:19" ht="16.5" x14ac:dyDescent="0.3">
      <c r="A3178" t="s">
        <v>3241</v>
      </c>
      <c r="B3178" s="1">
        <v>45703</v>
      </c>
      <c r="C3178" s="1">
        <v>45705</v>
      </c>
      <c r="D3178">
        <v>2025</v>
      </c>
      <c r="E3178" t="s">
        <v>20</v>
      </c>
      <c r="F3178" t="s">
        <v>351</v>
      </c>
      <c r="G3178" t="s">
        <v>102</v>
      </c>
      <c r="H3178" t="s">
        <v>39</v>
      </c>
      <c r="I3178" t="s">
        <v>40</v>
      </c>
      <c r="J3178" t="s">
        <v>43</v>
      </c>
      <c r="K3178" t="s">
        <v>41</v>
      </c>
      <c r="L3178" t="s">
        <v>27</v>
      </c>
      <c r="M3178">
        <v>2</v>
      </c>
      <c r="N3178" s="2"/>
      <c r="O3178" s="3">
        <v>2410</v>
      </c>
      <c r="P3178">
        <v>0</v>
      </c>
      <c r="Q3178">
        <v>4</v>
      </c>
      <c r="R3178" t="s">
        <v>28</v>
      </c>
      <c r="S3178">
        <v>1</v>
      </c>
    </row>
    <row r="3179" spans="1:19" ht="16.5" x14ac:dyDescent="0.3">
      <c r="A3179" t="s">
        <v>3242</v>
      </c>
      <c r="B3179" s="1">
        <v>45703</v>
      </c>
      <c r="C3179" s="1">
        <v>45706</v>
      </c>
      <c r="D3179">
        <v>2025</v>
      </c>
      <c r="E3179" t="s">
        <v>20</v>
      </c>
      <c r="F3179" t="s">
        <v>351</v>
      </c>
      <c r="G3179" t="s">
        <v>102</v>
      </c>
      <c r="H3179" t="s">
        <v>23</v>
      </c>
      <c r="I3179" t="s">
        <v>24</v>
      </c>
      <c r="J3179" t="s">
        <v>25</v>
      </c>
      <c r="K3179" t="s">
        <v>36</v>
      </c>
      <c r="L3179" t="s">
        <v>44</v>
      </c>
      <c r="M3179">
        <v>3</v>
      </c>
      <c r="N3179" s="2">
        <v>79</v>
      </c>
      <c r="O3179" s="3">
        <v>2840</v>
      </c>
      <c r="P3179">
        <v>0</v>
      </c>
      <c r="Q3179">
        <v>4</v>
      </c>
      <c r="R3179" t="s">
        <v>33</v>
      </c>
      <c r="S3179">
        <v>1</v>
      </c>
    </row>
    <row r="3180" spans="1:19" ht="16.5" x14ac:dyDescent="0.3">
      <c r="A3180" t="s">
        <v>3243</v>
      </c>
      <c r="B3180" s="1">
        <v>45703</v>
      </c>
      <c r="C3180" s="1">
        <v>45704</v>
      </c>
      <c r="D3180">
        <v>2025</v>
      </c>
      <c r="E3180" t="s">
        <v>20</v>
      </c>
      <c r="F3180" t="s">
        <v>351</v>
      </c>
      <c r="G3180" t="s">
        <v>102</v>
      </c>
      <c r="H3180" t="s">
        <v>39</v>
      </c>
      <c r="I3180" t="s">
        <v>31</v>
      </c>
      <c r="J3180" t="s">
        <v>43</v>
      </c>
      <c r="K3180" t="s">
        <v>41</v>
      </c>
      <c r="L3180" t="s">
        <v>27</v>
      </c>
      <c r="M3180">
        <v>1</v>
      </c>
      <c r="N3180" s="2"/>
      <c r="O3180" s="3">
        <v>1505</v>
      </c>
      <c r="P3180">
        <v>0</v>
      </c>
      <c r="Q3180">
        <v>3</v>
      </c>
      <c r="R3180" t="s">
        <v>33</v>
      </c>
      <c r="S3180">
        <v>1</v>
      </c>
    </row>
    <row r="3181" spans="1:19" ht="16.5" x14ac:dyDescent="0.3">
      <c r="A3181" t="s">
        <v>3244</v>
      </c>
      <c r="B3181" s="1">
        <v>45703</v>
      </c>
      <c r="C3181" s="1">
        <v>45705</v>
      </c>
      <c r="D3181">
        <v>2025</v>
      </c>
      <c r="E3181" t="s">
        <v>20</v>
      </c>
      <c r="F3181" t="s">
        <v>351</v>
      </c>
      <c r="G3181" t="s">
        <v>102</v>
      </c>
      <c r="H3181" t="s">
        <v>35</v>
      </c>
      <c r="I3181" t="s">
        <v>31</v>
      </c>
      <c r="J3181" t="s">
        <v>25</v>
      </c>
      <c r="K3181" t="s">
        <v>36</v>
      </c>
      <c r="L3181" t="s">
        <v>37</v>
      </c>
      <c r="M3181">
        <v>2</v>
      </c>
      <c r="N3181" s="2"/>
      <c r="O3181" s="3">
        <v>2431</v>
      </c>
      <c r="P3181">
        <v>0</v>
      </c>
      <c r="Q3181">
        <v>4</v>
      </c>
      <c r="R3181" t="s">
        <v>33</v>
      </c>
      <c r="S3181">
        <v>1</v>
      </c>
    </row>
    <row r="3182" spans="1:19" ht="16.5" x14ac:dyDescent="0.3">
      <c r="A3182" t="s">
        <v>3245</v>
      </c>
      <c r="B3182" s="1">
        <v>45703</v>
      </c>
      <c r="C3182" s="1">
        <v>45704</v>
      </c>
      <c r="D3182">
        <v>2025</v>
      </c>
      <c r="E3182" t="s">
        <v>20</v>
      </c>
      <c r="F3182" t="s">
        <v>351</v>
      </c>
      <c r="G3182" t="s">
        <v>102</v>
      </c>
      <c r="H3182" t="s">
        <v>39</v>
      </c>
      <c r="I3182" t="s">
        <v>24</v>
      </c>
      <c r="J3182" t="s">
        <v>43</v>
      </c>
      <c r="K3182" t="s">
        <v>41</v>
      </c>
      <c r="L3182" t="s">
        <v>44</v>
      </c>
      <c r="M3182">
        <v>1</v>
      </c>
      <c r="N3182" s="2">
        <v>61</v>
      </c>
      <c r="O3182" s="3">
        <v>1564</v>
      </c>
      <c r="P3182">
        <v>0</v>
      </c>
      <c r="Q3182">
        <v>4</v>
      </c>
      <c r="R3182" t="s">
        <v>59</v>
      </c>
      <c r="S3182">
        <v>1</v>
      </c>
    </row>
    <row r="3183" spans="1:19" ht="16.5" x14ac:dyDescent="0.3">
      <c r="A3183" t="s">
        <v>3246</v>
      </c>
      <c r="B3183" s="1">
        <v>45704</v>
      </c>
      <c r="C3183" s="1">
        <v>45710</v>
      </c>
      <c r="D3183">
        <v>2025</v>
      </c>
      <c r="E3183" t="s">
        <v>20</v>
      </c>
      <c r="F3183" t="s">
        <v>351</v>
      </c>
      <c r="G3183" t="s">
        <v>112</v>
      </c>
      <c r="H3183" t="s">
        <v>23</v>
      </c>
      <c r="I3183" t="s">
        <v>40</v>
      </c>
      <c r="J3183" t="s">
        <v>25</v>
      </c>
      <c r="K3183" t="s">
        <v>26</v>
      </c>
      <c r="L3183" t="s">
        <v>27</v>
      </c>
      <c r="M3183">
        <v>6</v>
      </c>
      <c r="N3183" s="2"/>
      <c r="O3183" s="3">
        <v>4504</v>
      </c>
      <c r="P3183">
        <v>0</v>
      </c>
      <c r="Q3183">
        <v>4</v>
      </c>
      <c r="R3183" t="s">
        <v>33</v>
      </c>
      <c r="S3183">
        <v>1</v>
      </c>
    </row>
    <row r="3184" spans="1:19" ht="16.5" x14ac:dyDescent="0.3">
      <c r="A3184" t="s">
        <v>3247</v>
      </c>
      <c r="B3184" s="1">
        <v>45704</v>
      </c>
      <c r="C3184" s="1">
        <v>45709</v>
      </c>
      <c r="D3184">
        <v>2025</v>
      </c>
      <c r="E3184" t="s">
        <v>20</v>
      </c>
      <c r="F3184" t="s">
        <v>351</v>
      </c>
      <c r="G3184" t="s">
        <v>112</v>
      </c>
      <c r="H3184" t="s">
        <v>50</v>
      </c>
      <c r="I3184" t="s">
        <v>40</v>
      </c>
      <c r="J3184" t="s">
        <v>43</v>
      </c>
      <c r="K3184" t="s">
        <v>53</v>
      </c>
      <c r="L3184" t="s">
        <v>27</v>
      </c>
      <c r="M3184">
        <v>5</v>
      </c>
      <c r="N3184" s="2"/>
      <c r="O3184" s="3">
        <v>7495</v>
      </c>
      <c r="P3184">
        <v>0</v>
      </c>
      <c r="Q3184">
        <v>4</v>
      </c>
      <c r="R3184" t="s">
        <v>33</v>
      </c>
      <c r="S3184">
        <v>1</v>
      </c>
    </row>
    <row r="3185" spans="1:19" ht="16.5" x14ac:dyDescent="0.3">
      <c r="A3185" t="s">
        <v>3248</v>
      </c>
      <c r="B3185" s="1">
        <v>45704</v>
      </c>
      <c r="C3185" s="1">
        <v>45707</v>
      </c>
      <c r="D3185">
        <v>2025</v>
      </c>
      <c r="E3185" t="s">
        <v>20</v>
      </c>
      <c r="F3185" t="s">
        <v>351</v>
      </c>
      <c r="G3185" t="s">
        <v>112</v>
      </c>
      <c r="H3185" t="s">
        <v>39</v>
      </c>
      <c r="I3185" t="s">
        <v>24</v>
      </c>
      <c r="J3185" t="s">
        <v>43</v>
      </c>
      <c r="K3185" t="s">
        <v>41</v>
      </c>
      <c r="L3185" t="s">
        <v>44</v>
      </c>
      <c r="M3185">
        <v>3</v>
      </c>
      <c r="N3185" s="2">
        <v>38</v>
      </c>
      <c r="O3185" s="3">
        <v>2117</v>
      </c>
      <c r="P3185">
        <v>0</v>
      </c>
      <c r="Q3185">
        <v>4</v>
      </c>
      <c r="R3185" t="s">
        <v>59</v>
      </c>
      <c r="S3185">
        <v>1</v>
      </c>
    </row>
    <row r="3186" spans="1:19" ht="16.5" x14ac:dyDescent="0.3">
      <c r="A3186" t="s">
        <v>3249</v>
      </c>
      <c r="B3186" s="1">
        <v>45704</v>
      </c>
      <c r="C3186" s="1">
        <v>45708</v>
      </c>
      <c r="D3186">
        <v>2025</v>
      </c>
      <c r="E3186" t="s">
        <v>20</v>
      </c>
      <c r="F3186" t="s">
        <v>351</v>
      </c>
      <c r="G3186" t="s">
        <v>112</v>
      </c>
      <c r="H3186" t="s">
        <v>23</v>
      </c>
      <c r="I3186" t="s">
        <v>40</v>
      </c>
      <c r="J3186" t="s">
        <v>43</v>
      </c>
      <c r="K3186" t="s">
        <v>26</v>
      </c>
      <c r="L3186" t="s">
        <v>44</v>
      </c>
      <c r="M3186">
        <v>4</v>
      </c>
      <c r="N3186" s="2"/>
      <c r="O3186" s="3">
        <v>2942</v>
      </c>
      <c r="P3186">
        <v>0</v>
      </c>
      <c r="Q3186">
        <v>5</v>
      </c>
      <c r="R3186" t="s">
        <v>28</v>
      </c>
      <c r="S3186">
        <v>1</v>
      </c>
    </row>
    <row r="3187" spans="1:19" ht="16.5" x14ac:dyDescent="0.3">
      <c r="A3187" t="s">
        <v>3250</v>
      </c>
      <c r="B3187" s="1">
        <v>45704</v>
      </c>
      <c r="C3187" s="1">
        <v>45710</v>
      </c>
      <c r="D3187">
        <v>2025</v>
      </c>
      <c r="E3187" t="s">
        <v>20</v>
      </c>
      <c r="F3187" t="s">
        <v>351</v>
      </c>
      <c r="G3187" t="s">
        <v>112</v>
      </c>
      <c r="H3187" t="s">
        <v>23</v>
      </c>
      <c r="I3187" t="s">
        <v>24</v>
      </c>
      <c r="J3187" t="s">
        <v>43</v>
      </c>
      <c r="K3187" t="s">
        <v>32</v>
      </c>
      <c r="L3187" t="s">
        <v>27</v>
      </c>
      <c r="M3187">
        <v>6</v>
      </c>
      <c r="N3187" s="2">
        <v>16</v>
      </c>
      <c r="O3187" s="3">
        <v>4566</v>
      </c>
      <c r="P3187">
        <v>0</v>
      </c>
      <c r="Q3187">
        <v>5</v>
      </c>
      <c r="R3187" t="s">
        <v>33</v>
      </c>
      <c r="S3187">
        <v>1</v>
      </c>
    </row>
    <row r="3188" spans="1:19" ht="16.5" x14ac:dyDescent="0.3">
      <c r="A3188" t="s">
        <v>3251</v>
      </c>
      <c r="B3188" s="1">
        <v>45704</v>
      </c>
      <c r="C3188" s="1">
        <v>45707</v>
      </c>
      <c r="D3188">
        <v>2025</v>
      </c>
      <c r="E3188" t="s">
        <v>20</v>
      </c>
      <c r="F3188" t="s">
        <v>351</v>
      </c>
      <c r="G3188" t="s">
        <v>112</v>
      </c>
      <c r="H3188" t="s">
        <v>23</v>
      </c>
      <c r="I3188" t="s">
        <v>24</v>
      </c>
      <c r="J3188" t="s">
        <v>25</v>
      </c>
      <c r="K3188" t="s">
        <v>32</v>
      </c>
      <c r="L3188" t="s">
        <v>27</v>
      </c>
      <c r="M3188">
        <v>3</v>
      </c>
      <c r="N3188" s="2">
        <v>65</v>
      </c>
      <c r="O3188" s="3">
        <v>2834</v>
      </c>
      <c r="P3188">
        <v>0</v>
      </c>
      <c r="Q3188">
        <v>4</v>
      </c>
      <c r="R3188" t="s">
        <v>33</v>
      </c>
      <c r="S3188">
        <v>1</v>
      </c>
    </row>
    <row r="3189" spans="1:19" ht="16.5" x14ac:dyDescent="0.3">
      <c r="A3189" t="s">
        <v>3252</v>
      </c>
      <c r="B3189" s="1">
        <v>45704</v>
      </c>
      <c r="C3189" s="1">
        <v>45710</v>
      </c>
      <c r="D3189">
        <v>2025</v>
      </c>
      <c r="E3189" t="s">
        <v>20</v>
      </c>
      <c r="F3189" t="s">
        <v>351</v>
      </c>
      <c r="G3189" t="s">
        <v>112</v>
      </c>
      <c r="H3189" t="s">
        <v>39</v>
      </c>
      <c r="I3189" t="s">
        <v>24</v>
      </c>
      <c r="J3189" t="s">
        <v>25</v>
      </c>
      <c r="K3189" t="s">
        <v>41</v>
      </c>
      <c r="L3189" t="s">
        <v>27</v>
      </c>
      <c r="M3189">
        <v>6</v>
      </c>
      <c r="N3189" s="2">
        <v>69</v>
      </c>
      <c r="O3189" s="3">
        <v>4478</v>
      </c>
      <c r="P3189">
        <v>0</v>
      </c>
      <c r="Q3189">
        <v>5</v>
      </c>
      <c r="R3189" t="s">
        <v>28</v>
      </c>
      <c r="S3189">
        <v>1</v>
      </c>
    </row>
    <row r="3190" spans="1:19" ht="16.5" x14ac:dyDescent="0.3">
      <c r="A3190" t="s">
        <v>3253</v>
      </c>
      <c r="B3190" s="1">
        <v>45704</v>
      </c>
      <c r="C3190" s="1">
        <v>45708</v>
      </c>
      <c r="D3190">
        <v>2025</v>
      </c>
      <c r="E3190" t="s">
        <v>20</v>
      </c>
      <c r="F3190" t="s">
        <v>351</v>
      </c>
      <c r="G3190" t="s">
        <v>112</v>
      </c>
      <c r="H3190" t="s">
        <v>39</v>
      </c>
      <c r="I3190" t="s">
        <v>24</v>
      </c>
      <c r="J3190" t="s">
        <v>25</v>
      </c>
      <c r="K3190" t="s">
        <v>41</v>
      </c>
      <c r="L3190" t="s">
        <v>27</v>
      </c>
      <c r="M3190">
        <v>4</v>
      </c>
      <c r="N3190" s="2">
        <v>38</v>
      </c>
      <c r="O3190" s="3">
        <v>2333</v>
      </c>
      <c r="P3190">
        <v>0</v>
      </c>
      <c r="Q3190">
        <v>5</v>
      </c>
      <c r="R3190" t="s">
        <v>33</v>
      </c>
      <c r="S3190">
        <v>1</v>
      </c>
    </row>
    <row r="3191" spans="1:19" ht="16.5" x14ac:dyDescent="0.3">
      <c r="A3191" t="s">
        <v>3254</v>
      </c>
      <c r="B3191" s="1">
        <v>45704</v>
      </c>
      <c r="C3191" s="1">
        <v>45711</v>
      </c>
      <c r="D3191">
        <v>2025</v>
      </c>
      <c r="E3191" t="s">
        <v>20</v>
      </c>
      <c r="F3191" t="s">
        <v>351</v>
      </c>
      <c r="G3191" t="s">
        <v>112</v>
      </c>
      <c r="H3191" t="s">
        <v>50</v>
      </c>
      <c r="I3191" t="s">
        <v>24</v>
      </c>
      <c r="J3191" t="s">
        <v>25</v>
      </c>
      <c r="K3191" t="s">
        <v>26</v>
      </c>
      <c r="L3191" t="s">
        <v>44</v>
      </c>
      <c r="M3191">
        <v>7</v>
      </c>
      <c r="N3191" s="2">
        <v>61</v>
      </c>
      <c r="O3191" s="3">
        <v>11275</v>
      </c>
      <c r="P3191">
        <v>0</v>
      </c>
      <c r="Q3191">
        <v>5</v>
      </c>
      <c r="R3191" t="s">
        <v>33</v>
      </c>
      <c r="S3191">
        <v>1</v>
      </c>
    </row>
    <row r="3192" spans="1:19" ht="16.5" x14ac:dyDescent="0.3">
      <c r="A3192" t="s">
        <v>3255</v>
      </c>
      <c r="B3192" s="1">
        <v>45704</v>
      </c>
      <c r="C3192" s="1">
        <v>45707</v>
      </c>
      <c r="D3192">
        <v>2025</v>
      </c>
      <c r="E3192" t="s">
        <v>20</v>
      </c>
      <c r="F3192" t="s">
        <v>351</v>
      </c>
      <c r="G3192" t="s">
        <v>112</v>
      </c>
      <c r="H3192" t="s">
        <v>52</v>
      </c>
      <c r="I3192" t="s">
        <v>40</v>
      </c>
      <c r="J3192" t="s">
        <v>43</v>
      </c>
      <c r="K3192" t="s">
        <v>26</v>
      </c>
      <c r="L3192" t="s">
        <v>44</v>
      </c>
      <c r="M3192">
        <v>3</v>
      </c>
      <c r="N3192" s="2"/>
      <c r="O3192" s="3">
        <v>3202</v>
      </c>
      <c r="P3192">
        <v>0</v>
      </c>
      <c r="Q3192">
        <v>3</v>
      </c>
      <c r="R3192" t="s">
        <v>33</v>
      </c>
      <c r="S3192">
        <v>1</v>
      </c>
    </row>
    <row r="3193" spans="1:19" ht="16.5" x14ac:dyDescent="0.3">
      <c r="A3193" t="s">
        <v>3256</v>
      </c>
      <c r="B3193" s="1">
        <v>45704</v>
      </c>
      <c r="C3193" s="1">
        <v>45705</v>
      </c>
      <c r="D3193">
        <v>2025</v>
      </c>
      <c r="E3193" t="s">
        <v>20</v>
      </c>
      <c r="F3193" t="s">
        <v>351</v>
      </c>
      <c r="G3193" t="s">
        <v>112</v>
      </c>
      <c r="H3193" t="s">
        <v>39</v>
      </c>
      <c r="I3193" t="s">
        <v>24</v>
      </c>
      <c r="J3193" t="s">
        <v>43</v>
      </c>
      <c r="K3193" t="s">
        <v>41</v>
      </c>
      <c r="L3193" t="s">
        <v>27</v>
      </c>
      <c r="M3193">
        <v>1</v>
      </c>
      <c r="N3193" s="2">
        <v>85</v>
      </c>
      <c r="O3193" s="3">
        <v>1451</v>
      </c>
      <c r="P3193">
        <v>0</v>
      </c>
      <c r="Q3193">
        <v>3</v>
      </c>
      <c r="R3193" t="s">
        <v>28</v>
      </c>
      <c r="S3193">
        <v>1</v>
      </c>
    </row>
    <row r="3194" spans="1:19" ht="16.5" x14ac:dyDescent="0.3">
      <c r="A3194" t="s">
        <v>3257</v>
      </c>
      <c r="B3194" s="1">
        <v>45704</v>
      </c>
      <c r="C3194" s="1">
        <v>45708</v>
      </c>
      <c r="D3194">
        <v>2025</v>
      </c>
      <c r="E3194" t="s">
        <v>20</v>
      </c>
      <c r="F3194" t="s">
        <v>351</v>
      </c>
      <c r="G3194" t="s">
        <v>112</v>
      </c>
      <c r="H3194" t="s">
        <v>35</v>
      </c>
      <c r="I3194" t="s">
        <v>40</v>
      </c>
      <c r="J3194" t="s">
        <v>25</v>
      </c>
      <c r="K3194" t="s">
        <v>36</v>
      </c>
      <c r="L3194" t="s">
        <v>27</v>
      </c>
      <c r="M3194">
        <v>4</v>
      </c>
      <c r="N3194" s="2"/>
      <c r="O3194" s="3">
        <v>3756</v>
      </c>
      <c r="P3194">
        <v>0</v>
      </c>
      <c r="Q3194">
        <v>4</v>
      </c>
      <c r="R3194" t="s">
        <v>165</v>
      </c>
      <c r="S3194">
        <v>1</v>
      </c>
    </row>
    <row r="3195" spans="1:19" ht="16.5" x14ac:dyDescent="0.3">
      <c r="A3195" t="s">
        <v>3258</v>
      </c>
      <c r="B3195" s="1">
        <v>45704</v>
      </c>
      <c r="C3195" s="1">
        <v>45718</v>
      </c>
      <c r="D3195">
        <v>2025</v>
      </c>
      <c r="E3195" t="s">
        <v>20</v>
      </c>
      <c r="F3195" t="s">
        <v>351</v>
      </c>
      <c r="G3195" t="s">
        <v>112</v>
      </c>
      <c r="H3195" t="s">
        <v>23</v>
      </c>
      <c r="I3195" t="s">
        <v>24</v>
      </c>
      <c r="J3195" t="s">
        <v>43</v>
      </c>
      <c r="K3195" t="s">
        <v>26</v>
      </c>
      <c r="L3195" t="s">
        <v>27</v>
      </c>
      <c r="M3195">
        <v>14</v>
      </c>
      <c r="N3195" s="2">
        <v>39</v>
      </c>
      <c r="O3195" s="3">
        <v>7062</v>
      </c>
      <c r="P3195">
        <v>0</v>
      </c>
      <c r="Q3195">
        <v>5</v>
      </c>
      <c r="R3195" t="s">
        <v>33</v>
      </c>
      <c r="S3195">
        <v>1</v>
      </c>
    </row>
    <row r="3196" spans="1:19" ht="16.5" x14ac:dyDescent="0.3">
      <c r="A3196" t="s">
        <v>3259</v>
      </c>
      <c r="B3196" s="1">
        <v>45704</v>
      </c>
      <c r="C3196" s="1">
        <v>45712</v>
      </c>
      <c r="D3196">
        <v>2025</v>
      </c>
      <c r="E3196" t="s">
        <v>20</v>
      </c>
      <c r="F3196" t="s">
        <v>351</v>
      </c>
      <c r="G3196" t="s">
        <v>112</v>
      </c>
      <c r="H3196" t="s">
        <v>23</v>
      </c>
      <c r="I3196" t="s">
        <v>24</v>
      </c>
      <c r="J3196" t="s">
        <v>25</v>
      </c>
      <c r="K3196" t="s">
        <v>32</v>
      </c>
      <c r="L3196" t="s">
        <v>27</v>
      </c>
      <c r="M3196">
        <v>8</v>
      </c>
      <c r="N3196" s="2">
        <v>57</v>
      </c>
      <c r="O3196" s="3">
        <v>5076</v>
      </c>
      <c r="P3196">
        <v>0</v>
      </c>
      <c r="Q3196">
        <v>5</v>
      </c>
      <c r="R3196" t="s">
        <v>33</v>
      </c>
      <c r="S3196">
        <v>1</v>
      </c>
    </row>
    <row r="3197" spans="1:19" ht="16.5" x14ac:dyDescent="0.3">
      <c r="A3197" t="s">
        <v>3260</v>
      </c>
      <c r="B3197" s="1">
        <v>45705</v>
      </c>
      <c r="C3197" s="1">
        <v>45721</v>
      </c>
      <c r="D3197">
        <v>2025</v>
      </c>
      <c r="E3197" t="s">
        <v>20</v>
      </c>
      <c r="F3197" t="s">
        <v>351</v>
      </c>
      <c r="G3197" t="s">
        <v>22</v>
      </c>
      <c r="H3197" t="s">
        <v>23</v>
      </c>
      <c r="I3197" t="s">
        <v>24</v>
      </c>
      <c r="J3197" t="s">
        <v>43</v>
      </c>
      <c r="K3197" t="s">
        <v>26</v>
      </c>
      <c r="L3197" t="s">
        <v>27</v>
      </c>
      <c r="M3197">
        <v>16</v>
      </c>
      <c r="N3197" s="2">
        <v>48</v>
      </c>
      <c r="O3197" s="3">
        <v>12513</v>
      </c>
      <c r="P3197">
        <v>0</v>
      </c>
      <c r="Q3197">
        <v>5</v>
      </c>
      <c r="R3197" t="s">
        <v>33</v>
      </c>
      <c r="S3197">
        <v>1</v>
      </c>
    </row>
    <row r="3198" spans="1:19" ht="16.5" x14ac:dyDescent="0.3">
      <c r="A3198" t="s">
        <v>3261</v>
      </c>
      <c r="B3198" s="1">
        <v>45705</v>
      </c>
      <c r="C3198" s="1">
        <v>45707</v>
      </c>
      <c r="D3198">
        <v>2025</v>
      </c>
      <c r="E3198" t="s">
        <v>20</v>
      </c>
      <c r="F3198" t="s">
        <v>351</v>
      </c>
      <c r="G3198" t="s">
        <v>22</v>
      </c>
      <c r="H3198" t="s">
        <v>50</v>
      </c>
      <c r="I3198" t="s">
        <v>40</v>
      </c>
      <c r="J3198" t="s">
        <v>25</v>
      </c>
      <c r="K3198" t="s">
        <v>26</v>
      </c>
      <c r="L3198" t="s">
        <v>27</v>
      </c>
      <c r="M3198">
        <v>2</v>
      </c>
      <c r="N3198" s="2"/>
      <c r="O3198" s="3">
        <v>3843</v>
      </c>
      <c r="P3198">
        <v>0</v>
      </c>
      <c r="Q3198">
        <v>5</v>
      </c>
      <c r="R3198" t="s">
        <v>28</v>
      </c>
      <c r="S3198">
        <v>1</v>
      </c>
    </row>
    <row r="3199" spans="1:19" ht="16.5" x14ac:dyDescent="0.3">
      <c r="A3199" t="s">
        <v>3262</v>
      </c>
      <c r="B3199" s="1">
        <v>45705</v>
      </c>
      <c r="C3199" s="1">
        <v>45707</v>
      </c>
      <c r="D3199">
        <v>2025</v>
      </c>
      <c r="E3199" t="s">
        <v>20</v>
      </c>
      <c r="F3199" t="s">
        <v>351</v>
      </c>
      <c r="G3199" t="s">
        <v>22</v>
      </c>
      <c r="H3199" t="s">
        <v>52</v>
      </c>
      <c r="I3199" t="s">
        <v>40</v>
      </c>
      <c r="J3199" t="s">
        <v>25</v>
      </c>
      <c r="K3199" t="s">
        <v>26</v>
      </c>
      <c r="L3199" t="s">
        <v>44</v>
      </c>
      <c r="M3199">
        <v>2</v>
      </c>
      <c r="N3199" s="2"/>
      <c r="O3199" s="3">
        <v>2816</v>
      </c>
      <c r="P3199">
        <v>0</v>
      </c>
      <c r="Q3199">
        <v>3</v>
      </c>
      <c r="R3199" t="s">
        <v>28</v>
      </c>
      <c r="S3199">
        <v>1</v>
      </c>
    </row>
    <row r="3200" spans="1:19" ht="16.5" x14ac:dyDescent="0.3">
      <c r="A3200" t="s">
        <v>3263</v>
      </c>
      <c r="B3200" s="1">
        <v>45705</v>
      </c>
      <c r="C3200" s="1">
        <v>45711</v>
      </c>
      <c r="D3200">
        <v>2025</v>
      </c>
      <c r="E3200" t="s">
        <v>20</v>
      </c>
      <c r="F3200" t="s">
        <v>351</v>
      </c>
      <c r="G3200" t="s">
        <v>22</v>
      </c>
      <c r="H3200" t="s">
        <v>52</v>
      </c>
      <c r="I3200" t="s">
        <v>24</v>
      </c>
      <c r="J3200" t="s">
        <v>43</v>
      </c>
      <c r="K3200" t="s">
        <v>32</v>
      </c>
      <c r="L3200" t="s">
        <v>37</v>
      </c>
      <c r="M3200">
        <v>6</v>
      </c>
      <c r="N3200" s="2">
        <v>78</v>
      </c>
      <c r="O3200" s="3">
        <v>5250</v>
      </c>
      <c r="P3200">
        <v>0</v>
      </c>
      <c r="Q3200">
        <v>5</v>
      </c>
      <c r="R3200" t="s">
        <v>165</v>
      </c>
      <c r="S3200">
        <v>1</v>
      </c>
    </row>
    <row r="3201" spans="1:19" ht="16.5" x14ac:dyDescent="0.3">
      <c r="A3201" t="s">
        <v>3264</v>
      </c>
      <c r="B3201" s="1">
        <v>45705</v>
      </c>
      <c r="C3201" s="1">
        <v>45712</v>
      </c>
      <c r="D3201">
        <v>2025</v>
      </c>
      <c r="E3201" t="s">
        <v>20</v>
      </c>
      <c r="F3201" t="s">
        <v>351</v>
      </c>
      <c r="G3201" t="s">
        <v>22</v>
      </c>
      <c r="H3201" t="s">
        <v>23</v>
      </c>
      <c r="I3201" t="s">
        <v>24</v>
      </c>
      <c r="J3201" t="s">
        <v>43</v>
      </c>
      <c r="K3201" t="s">
        <v>32</v>
      </c>
      <c r="L3201" t="s">
        <v>27</v>
      </c>
      <c r="M3201">
        <v>7</v>
      </c>
      <c r="N3201" s="2">
        <v>112</v>
      </c>
      <c r="O3201" s="3">
        <v>4206</v>
      </c>
      <c r="P3201">
        <v>0</v>
      </c>
      <c r="Q3201">
        <v>3</v>
      </c>
      <c r="R3201" t="s">
        <v>28</v>
      </c>
      <c r="S3201">
        <v>1</v>
      </c>
    </row>
    <row r="3202" spans="1:19" ht="16.5" x14ac:dyDescent="0.3">
      <c r="A3202" t="s">
        <v>3265</v>
      </c>
      <c r="B3202" s="1">
        <v>45705</v>
      </c>
      <c r="C3202" s="1">
        <v>45707</v>
      </c>
      <c r="D3202">
        <v>2025</v>
      </c>
      <c r="E3202" t="s">
        <v>20</v>
      </c>
      <c r="F3202" t="s">
        <v>351</v>
      </c>
      <c r="G3202" t="s">
        <v>22</v>
      </c>
      <c r="H3202" t="s">
        <v>35</v>
      </c>
      <c r="I3202" t="s">
        <v>24</v>
      </c>
      <c r="J3202" t="s">
        <v>25</v>
      </c>
      <c r="K3202" t="s">
        <v>32</v>
      </c>
      <c r="L3202" t="s">
        <v>44</v>
      </c>
      <c r="M3202">
        <v>2</v>
      </c>
      <c r="N3202" s="2">
        <v>25</v>
      </c>
      <c r="O3202" s="3">
        <v>2389</v>
      </c>
      <c r="P3202">
        <v>0</v>
      </c>
      <c r="Q3202">
        <v>5</v>
      </c>
      <c r="R3202" t="s">
        <v>33</v>
      </c>
      <c r="S3202">
        <v>1</v>
      </c>
    </row>
    <row r="3203" spans="1:19" ht="16.5" x14ac:dyDescent="0.3">
      <c r="A3203" t="s">
        <v>3266</v>
      </c>
      <c r="B3203" s="1">
        <v>45705</v>
      </c>
      <c r="C3203" s="1">
        <v>45707</v>
      </c>
      <c r="D3203">
        <v>2025</v>
      </c>
      <c r="E3203" t="s">
        <v>20</v>
      </c>
      <c r="F3203" t="s">
        <v>351</v>
      </c>
      <c r="G3203" t="s">
        <v>22</v>
      </c>
      <c r="H3203" t="s">
        <v>23</v>
      </c>
      <c r="I3203" t="s">
        <v>40</v>
      </c>
      <c r="J3203" t="s">
        <v>25</v>
      </c>
      <c r="K3203" t="s">
        <v>26</v>
      </c>
      <c r="L3203" t="s">
        <v>44</v>
      </c>
      <c r="M3203">
        <v>2</v>
      </c>
      <c r="N3203" s="2"/>
      <c r="O3203" s="3">
        <v>1919</v>
      </c>
      <c r="P3203">
        <v>1</v>
      </c>
      <c r="Q3203">
        <v>4</v>
      </c>
      <c r="R3203" t="s">
        <v>33</v>
      </c>
      <c r="S3203">
        <v>1</v>
      </c>
    </row>
    <row r="3204" spans="1:19" ht="16.5" x14ac:dyDescent="0.3">
      <c r="A3204" t="s">
        <v>3267</v>
      </c>
      <c r="B3204" s="1">
        <v>45705</v>
      </c>
      <c r="C3204" s="1">
        <v>45706</v>
      </c>
      <c r="D3204">
        <v>2025</v>
      </c>
      <c r="E3204" t="s">
        <v>20</v>
      </c>
      <c r="F3204" t="s">
        <v>351</v>
      </c>
      <c r="G3204" t="s">
        <v>22</v>
      </c>
      <c r="H3204" t="s">
        <v>52</v>
      </c>
      <c r="I3204" t="s">
        <v>24</v>
      </c>
      <c r="J3204" t="s">
        <v>25</v>
      </c>
      <c r="K3204" t="s">
        <v>53</v>
      </c>
      <c r="L3204" t="s">
        <v>37</v>
      </c>
      <c r="M3204">
        <v>1</v>
      </c>
      <c r="N3204" s="2">
        <v>82</v>
      </c>
      <c r="O3204" s="3">
        <v>1662</v>
      </c>
      <c r="P3204">
        <v>0</v>
      </c>
      <c r="Q3204">
        <v>5</v>
      </c>
      <c r="R3204" t="s">
        <v>33</v>
      </c>
      <c r="S3204">
        <v>1</v>
      </c>
    </row>
    <row r="3205" spans="1:19" ht="16.5" x14ac:dyDescent="0.3">
      <c r="A3205" t="s">
        <v>3268</v>
      </c>
      <c r="B3205" s="1">
        <v>45705</v>
      </c>
      <c r="C3205" s="1">
        <v>45707</v>
      </c>
      <c r="D3205">
        <v>2025</v>
      </c>
      <c r="E3205" t="s">
        <v>20</v>
      </c>
      <c r="F3205" t="s">
        <v>351</v>
      </c>
      <c r="G3205" t="s">
        <v>22</v>
      </c>
      <c r="H3205" t="s">
        <v>39</v>
      </c>
      <c r="I3205" t="s">
        <v>24</v>
      </c>
      <c r="J3205" t="s">
        <v>25</v>
      </c>
      <c r="K3205" t="s">
        <v>41</v>
      </c>
      <c r="L3205" t="s">
        <v>44</v>
      </c>
      <c r="M3205">
        <v>2</v>
      </c>
      <c r="N3205" s="2">
        <v>36</v>
      </c>
      <c r="O3205" s="3">
        <v>2082</v>
      </c>
      <c r="P3205">
        <v>0</v>
      </c>
      <c r="Q3205">
        <v>5</v>
      </c>
      <c r="R3205" t="s">
        <v>33</v>
      </c>
      <c r="S3205">
        <v>1</v>
      </c>
    </row>
    <row r="3206" spans="1:19" ht="16.5" x14ac:dyDescent="0.3">
      <c r="A3206" t="s">
        <v>3269</v>
      </c>
      <c r="B3206" s="1">
        <v>45705</v>
      </c>
      <c r="C3206" s="1">
        <v>45708</v>
      </c>
      <c r="D3206">
        <v>2025</v>
      </c>
      <c r="E3206" t="s">
        <v>20</v>
      </c>
      <c r="F3206" t="s">
        <v>351</v>
      </c>
      <c r="G3206" t="s">
        <v>22</v>
      </c>
      <c r="H3206" t="s">
        <v>39</v>
      </c>
      <c r="I3206" t="s">
        <v>24</v>
      </c>
      <c r="J3206" t="s">
        <v>43</v>
      </c>
      <c r="K3206" t="s">
        <v>41</v>
      </c>
      <c r="L3206" t="s">
        <v>27</v>
      </c>
      <c r="M3206">
        <v>3</v>
      </c>
      <c r="N3206" s="2">
        <v>72</v>
      </c>
      <c r="O3206" s="3">
        <v>2493</v>
      </c>
      <c r="P3206">
        <v>1</v>
      </c>
      <c r="Q3206">
        <v>3</v>
      </c>
      <c r="R3206" t="s">
        <v>33</v>
      </c>
      <c r="S3206">
        <v>1</v>
      </c>
    </row>
    <row r="3207" spans="1:19" ht="16.5" x14ac:dyDescent="0.3">
      <c r="A3207" t="s">
        <v>3270</v>
      </c>
      <c r="B3207" s="1">
        <v>45705</v>
      </c>
      <c r="C3207" s="1">
        <v>45706</v>
      </c>
      <c r="D3207">
        <v>2025</v>
      </c>
      <c r="E3207" t="s">
        <v>20</v>
      </c>
      <c r="F3207" t="s">
        <v>351</v>
      </c>
      <c r="G3207" t="s">
        <v>22</v>
      </c>
      <c r="H3207" t="s">
        <v>52</v>
      </c>
      <c r="I3207" t="s">
        <v>24</v>
      </c>
      <c r="J3207" t="s">
        <v>25</v>
      </c>
      <c r="K3207" t="s">
        <v>26</v>
      </c>
      <c r="L3207" t="s">
        <v>44</v>
      </c>
      <c r="M3207">
        <v>1</v>
      </c>
      <c r="N3207" s="2">
        <v>53</v>
      </c>
      <c r="O3207" s="3">
        <v>1949</v>
      </c>
      <c r="P3207">
        <v>0</v>
      </c>
      <c r="Q3207">
        <v>4</v>
      </c>
      <c r="R3207" t="s">
        <v>33</v>
      </c>
      <c r="S3207">
        <v>1</v>
      </c>
    </row>
    <row r="3208" spans="1:19" ht="16.5" x14ac:dyDescent="0.3">
      <c r="A3208" t="s">
        <v>3271</v>
      </c>
      <c r="B3208" s="1">
        <v>45705</v>
      </c>
      <c r="C3208" s="1">
        <v>45707</v>
      </c>
      <c r="D3208">
        <v>2025</v>
      </c>
      <c r="E3208" t="s">
        <v>20</v>
      </c>
      <c r="F3208" t="s">
        <v>351</v>
      </c>
      <c r="G3208" t="s">
        <v>22</v>
      </c>
      <c r="H3208" t="s">
        <v>52</v>
      </c>
      <c r="I3208" t="s">
        <v>40</v>
      </c>
      <c r="J3208" t="s">
        <v>43</v>
      </c>
      <c r="K3208" t="s">
        <v>26</v>
      </c>
      <c r="L3208" t="s">
        <v>27</v>
      </c>
      <c r="M3208">
        <v>2</v>
      </c>
      <c r="N3208" s="2"/>
      <c r="O3208" s="3">
        <v>2651</v>
      </c>
      <c r="P3208">
        <v>0</v>
      </c>
      <c r="Q3208">
        <v>4</v>
      </c>
      <c r="R3208" t="s">
        <v>33</v>
      </c>
      <c r="S3208">
        <v>1</v>
      </c>
    </row>
    <row r="3209" spans="1:19" ht="16.5" x14ac:dyDescent="0.3">
      <c r="A3209" t="s">
        <v>3272</v>
      </c>
      <c r="B3209" s="1">
        <v>45705</v>
      </c>
      <c r="C3209" s="1">
        <v>45712</v>
      </c>
      <c r="D3209">
        <v>2025</v>
      </c>
      <c r="E3209" t="s">
        <v>20</v>
      </c>
      <c r="F3209" t="s">
        <v>351</v>
      </c>
      <c r="G3209" t="s">
        <v>22</v>
      </c>
      <c r="H3209" t="s">
        <v>50</v>
      </c>
      <c r="I3209" t="s">
        <v>24</v>
      </c>
      <c r="J3209" t="s">
        <v>43</v>
      </c>
      <c r="K3209" t="s">
        <v>53</v>
      </c>
      <c r="L3209" t="s">
        <v>27</v>
      </c>
      <c r="M3209">
        <v>7</v>
      </c>
      <c r="N3209" s="2">
        <v>73</v>
      </c>
      <c r="O3209" s="3">
        <v>9618</v>
      </c>
      <c r="P3209">
        <v>0</v>
      </c>
      <c r="Q3209">
        <v>5</v>
      </c>
      <c r="R3209" t="s">
        <v>28</v>
      </c>
      <c r="S3209">
        <v>1</v>
      </c>
    </row>
    <row r="3210" spans="1:19" ht="16.5" x14ac:dyDescent="0.3">
      <c r="A3210" t="s">
        <v>3273</v>
      </c>
      <c r="B3210" s="1">
        <v>45706</v>
      </c>
      <c r="C3210" s="1">
        <v>45708</v>
      </c>
      <c r="D3210">
        <v>2025</v>
      </c>
      <c r="E3210" t="s">
        <v>20</v>
      </c>
      <c r="F3210" t="s">
        <v>351</v>
      </c>
      <c r="G3210" t="s">
        <v>56</v>
      </c>
      <c r="H3210" t="s">
        <v>39</v>
      </c>
      <c r="I3210" t="s">
        <v>24</v>
      </c>
      <c r="J3210" t="s">
        <v>25</v>
      </c>
      <c r="K3210" t="s">
        <v>41</v>
      </c>
      <c r="L3210" t="s">
        <v>44</v>
      </c>
      <c r="M3210">
        <v>2</v>
      </c>
      <c r="N3210" s="2">
        <v>29</v>
      </c>
      <c r="O3210" s="3">
        <v>1932</v>
      </c>
      <c r="P3210">
        <v>0</v>
      </c>
      <c r="Q3210">
        <v>5</v>
      </c>
      <c r="R3210" t="s">
        <v>33</v>
      </c>
      <c r="S3210">
        <v>1</v>
      </c>
    </row>
    <row r="3211" spans="1:19" ht="16.5" x14ac:dyDescent="0.3">
      <c r="A3211" t="s">
        <v>3274</v>
      </c>
      <c r="B3211" s="1">
        <v>45706</v>
      </c>
      <c r="C3211" s="1">
        <v>45709</v>
      </c>
      <c r="D3211">
        <v>2025</v>
      </c>
      <c r="E3211" t="s">
        <v>20</v>
      </c>
      <c r="F3211" t="s">
        <v>351</v>
      </c>
      <c r="G3211" t="s">
        <v>56</v>
      </c>
      <c r="H3211" t="s">
        <v>30</v>
      </c>
      <c r="I3211" t="s">
        <v>40</v>
      </c>
      <c r="J3211" t="s">
        <v>43</v>
      </c>
      <c r="K3211" t="s">
        <v>26</v>
      </c>
      <c r="L3211" t="s">
        <v>44</v>
      </c>
      <c r="M3211">
        <v>3</v>
      </c>
      <c r="N3211" s="2"/>
      <c r="O3211" s="3">
        <v>3833</v>
      </c>
      <c r="P3211">
        <v>0</v>
      </c>
      <c r="Q3211">
        <v>5</v>
      </c>
      <c r="R3211" t="s">
        <v>33</v>
      </c>
      <c r="S3211">
        <v>1</v>
      </c>
    </row>
    <row r="3212" spans="1:19" ht="16.5" x14ac:dyDescent="0.3">
      <c r="A3212" t="s">
        <v>3275</v>
      </c>
      <c r="B3212" s="1">
        <v>45706</v>
      </c>
      <c r="C3212" s="1">
        <v>45717</v>
      </c>
      <c r="D3212">
        <v>2025</v>
      </c>
      <c r="E3212" t="s">
        <v>20</v>
      </c>
      <c r="F3212" t="s">
        <v>351</v>
      </c>
      <c r="G3212" t="s">
        <v>56</v>
      </c>
      <c r="H3212" t="s">
        <v>23</v>
      </c>
      <c r="I3212" t="s">
        <v>24</v>
      </c>
      <c r="J3212" t="s">
        <v>25</v>
      </c>
      <c r="K3212" t="s">
        <v>26</v>
      </c>
      <c r="L3212" t="s">
        <v>27</v>
      </c>
      <c r="M3212">
        <v>11</v>
      </c>
      <c r="N3212" s="2">
        <v>75</v>
      </c>
      <c r="O3212" s="3">
        <v>8116</v>
      </c>
      <c r="P3212">
        <v>0</v>
      </c>
      <c r="Q3212">
        <v>5</v>
      </c>
      <c r="R3212" t="s">
        <v>28</v>
      </c>
      <c r="S3212">
        <v>1</v>
      </c>
    </row>
    <row r="3213" spans="1:19" ht="16.5" x14ac:dyDescent="0.3">
      <c r="A3213" t="s">
        <v>3276</v>
      </c>
      <c r="B3213" s="1">
        <v>45706</v>
      </c>
      <c r="C3213" s="1">
        <v>45714</v>
      </c>
      <c r="D3213">
        <v>2025</v>
      </c>
      <c r="E3213" t="s">
        <v>20</v>
      </c>
      <c r="F3213" t="s">
        <v>351</v>
      </c>
      <c r="G3213" t="s">
        <v>56</v>
      </c>
      <c r="H3213" t="s">
        <v>50</v>
      </c>
      <c r="I3213" t="s">
        <v>24</v>
      </c>
      <c r="J3213" t="s">
        <v>25</v>
      </c>
      <c r="K3213" t="s">
        <v>26</v>
      </c>
      <c r="L3213" t="s">
        <v>27</v>
      </c>
      <c r="M3213">
        <v>8</v>
      </c>
      <c r="N3213" s="2">
        <v>31</v>
      </c>
      <c r="O3213" s="3">
        <v>8969</v>
      </c>
      <c r="P3213">
        <v>0</v>
      </c>
      <c r="Q3213">
        <v>5</v>
      </c>
      <c r="R3213" t="s">
        <v>33</v>
      </c>
      <c r="S3213">
        <v>1</v>
      </c>
    </row>
    <row r="3214" spans="1:19" ht="16.5" x14ac:dyDescent="0.3">
      <c r="A3214" t="s">
        <v>3277</v>
      </c>
      <c r="B3214" s="1">
        <v>45706</v>
      </c>
      <c r="C3214" s="1">
        <v>45717</v>
      </c>
      <c r="D3214">
        <v>2025</v>
      </c>
      <c r="E3214" t="s">
        <v>20</v>
      </c>
      <c r="F3214" t="s">
        <v>351</v>
      </c>
      <c r="G3214" t="s">
        <v>56</v>
      </c>
      <c r="H3214" t="s">
        <v>50</v>
      </c>
      <c r="I3214" t="s">
        <v>40</v>
      </c>
      <c r="J3214" t="s">
        <v>43</v>
      </c>
      <c r="K3214" t="s">
        <v>53</v>
      </c>
      <c r="L3214" t="s">
        <v>37</v>
      </c>
      <c r="M3214">
        <v>11</v>
      </c>
      <c r="N3214" s="2"/>
      <c r="O3214" s="3">
        <v>17117</v>
      </c>
      <c r="P3214">
        <v>0</v>
      </c>
      <c r="Q3214">
        <v>3</v>
      </c>
      <c r="R3214" t="s">
        <v>33</v>
      </c>
      <c r="S3214">
        <v>1</v>
      </c>
    </row>
    <row r="3215" spans="1:19" ht="16.5" x14ac:dyDescent="0.3">
      <c r="A3215" t="s">
        <v>3278</v>
      </c>
      <c r="B3215" s="1">
        <v>45706</v>
      </c>
      <c r="C3215" s="1">
        <v>45712</v>
      </c>
      <c r="D3215">
        <v>2025</v>
      </c>
      <c r="E3215" t="s">
        <v>20</v>
      </c>
      <c r="F3215" t="s">
        <v>351</v>
      </c>
      <c r="G3215" t="s">
        <v>56</v>
      </c>
      <c r="H3215" t="s">
        <v>35</v>
      </c>
      <c r="I3215" t="s">
        <v>24</v>
      </c>
      <c r="J3215" t="s">
        <v>25</v>
      </c>
      <c r="K3215" t="s">
        <v>36</v>
      </c>
      <c r="L3215" t="s">
        <v>27</v>
      </c>
      <c r="M3215">
        <v>6</v>
      </c>
      <c r="N3215" s="2">
        <v>27</v>
      </c>
      <c r="O3215" s="3">
        <v>3464</v>
      </c>
      <c r="P3215">
        <v>0</v>
      </c>
      <c r="Q3215">
        <v>4</v>
      </c>
      <c r="R3215" t="s">
        <v>33</v>
      </c>
      <c r="S3215">
        <v>1</v>
      </c>
    </row>
    <row r="3216" spans="1:19" ht="16.5" x14ac:dyDescent="0.3">
      <c r="A3216" t="s">
        <v>3279</v>
      </c>
      <c r="B3216" s="1">
        <v>45706</v>
      </c>
      <c r="C3216" s="1">
        <v>45707</v>
      </c>
      <c r="D3216">
        <v>2025</v>
      </c>
      <c r="E3216" t="s">
        <v>20</v>
      </c>
      <c r="F3216" t="s">
        <v>351</v>
      </c>
      <c r="G3216" t="s">
        <v>56</v>
      </c>
      <c r="H3216" t="s">
        <v>23</v>
      </c>
      <c r="I3216" t="s">
        <v>40</v>
      </c>
      <c r="J3216" t="s">
        <v>43</v>
      </c>
      <c r="K3216" t="s">
        <v>32</v>
      </c>
      <c r="L3216" t="s">
        <v>44</v>
      </c>
      <c r="M3216">
        <v>1</v>
      </c>
      <c r="N3216" s="2"/>
      <c r="O3216" s="3">
        <v>1821</v>
      </c>
      <c r="P3216">
        <v>1</v>
      </c>
      <c r="Q3216">
        <v>5</v>
      </c>
      <c r="R3216" t="s">
        <v>33</v>
      </c>
      <c r="S3216">
        <v>1</v>
      </c>
    </row>
    <row r="3217" spans="1:19" ht="16.5" x14ac:dyDescent="0.3">
      <c r="A3217" t="s">
        <v>3280</v>
      </c>
      <c r="B3217" s="1">
        <v>45706</v>
      </c>
      <c r="C3217" s="1">
        <v>45713</v>
      </c>
      <c r="D3217">
        <v>2025</v>
      </c>
      <c r="E3217" t="s">
        <v>20</v>
      </c>
      <c r="F3217" t="s">
        <v>351</v>
      </c>
      <c r="G3217" t="s">
        <v>56</v>
      </c>
      <c r="H3217" t="s">
        <v>23</v>
      </c>
      <c r="I3217" t="s">
        <v>40</v>
      </c>
      <c r="J3217" t="s">
        <v>25</v>
      </c>
      <c r="K3217" t="s">
        <v>26</v>
      </c>
      <c r="L3217" t="s">
        <v>37</v>
      </c>
      <c r="M3217">
        <v>7</v>
      </c>
      <c r="N3217" s="2"/>
      <c r="O3217" s="3">
        <v>4712</v>
      </c>
      <c r="P3217">
        <v>0</v>
      </c>
      <c r="Q3217">
        <v>5</v>
      </c>
      <c r="R3217" t="s">
        <v>33</v>
      </c>
      <c r="S3217">
        <v>1</v>
      </c>
    </row>
    <row r="3218" spans="1:19" ht="16.5" x14ac:dyDescent="0.3">
      <c r="A3218" t="s">
        <v>3281</v>
      </c>
      <c r="B3218" s="1">
        <v>45706</v>
      </c>
      <c r="C3218" s="1">
        <v>45709</v>
      </c>
      <c r="D3218">
        <v>2025</v>
      </c>
      <c r="E3218" t="s">
        <v>20</v>
      </c>
      <c r="F3218" t="s">
        <v>351</v>
      </c>
      <c r="G3218" t="s">
        <v>56</v>
      </c>
      <c r="H3218" t="s">
        <v>30</v>
      </c>
      <c r="I3218" t="s">
        <v>40</v>
      </c>
      <c r="J3218" t="s">
        <v>43</v>
      </c>
      <c r="K3218" t="s">
        <v>26</v>
      </c>
      <c r="L3218" t="s">
        <v>27</v>
      </c>
      <c r="M3218">
        <v>3</v>
      </c>
      <c r="N3218" s="2"/>
      <c r="O3218" s="3">
        <v>3716</v>
      </c>
      <c r="P3218">
        <v>0</v>
      </c>
      <c r="Q3218">
        <v>4</v>
      </c>
      <c r="R3218" t="s">
        <v>33</v>
      </c>
      <c r="S3218">
        <v>1</v>
      </c>
    </row>
    <row r="3219" spans="1:19" ht="16.5" x14ac:dyDescent="0.3">
      <c r="A3219" t="s">
        <v>3282</v>
      </c>
      <c r="B3219" s="1">
        <v>45706</v>
      </c>
      <c r="C3219" s="1">
        <v>45708</v>
      </c>
      <c r="D3219">
        <v>2025</v>
      </c>
      <c r="E3219" t="s">
        <v>20</v>
      </c>
      <c r="F3219" t="s">
        <v>351</v>
      </c>
      <c r="G3219" t="s">
        <v>56</v>
      </c>
      <c r="H3219" t="s">
        <v>23</v>
      </c>
      <c r="I3219" t="s">
        <v>40</v>
      </c>
      <c r="J3219" t="s">
        <v>43</v>
      </c>
      <c r="K3219" t="s">
        <v>26</v>
      </c>
      <c r="L3219" t="s">
        <v>27</v>
      </c>
      <c r="M3219">
        <v>2</v>
      </c>
      <c r="N3219" s="2"/>
      <c r="O3219" s="3">
        <v>2351</v>
      </c>
      <c r="P3219">
        <v>0</v>
      </c>
      <c r="Q3219">
        <v>5</v>
      </c>
      <c r="R3219" t="s">
        <v>28</v>
      </c>
      <c r="S3219">
        <v>1</v>
      </c>
    </row>
    <row r="3220" spans="1:19" ht="16.5" x14ac:dyDescent="0.3">
      <c r="A3220" t="s">
        <v>3283</v>
      </c>
      <c r="B3220" s="1">
        <v>45707</v>
      </c>
      <c r="C3220" s="1">
        <v>45709</v>
      </c>
      <c r="D3220">
        <v>2025</v>
      </c>
      <c r="E3220" t="s">
        <v>20</v>
      </c>
      <c r="F3220" t="s">
        <v>351</v>
      </c>
      <c r="G3220" t="s">
        <v>70</v>
      </c>
      <c r="H3220" t="s">
        <v>30</v>
      </c>
      <c r="I3220" t="s">
        <v>40</v>
      </c>
      <c r="J3220" t="s">
        <v>43</v>
      </c>
      <c r="K3220" t="s">
        <v>53</v>
      </c>
      <c r="L3220" t="s">
        <v>27</v>
      </c>
      <c r="M3220">
        <v>2</v>
      </c>
      <c r="N3220" s="2"/>
      <c r="O3220" s="3">
        <v>2696</v>
      </c>
      <c r="P3220">
        <v>0</v>
      </c>
      <c r="Q3220">
        <v>5</v>
      </c>
      <c r="R3220" t="s">
        <v>33</v>
      </c>
      <c r="S3220">
        <v>1</v>
      </c>
    </row>
    <row r="3221" spans="1:19" ht="16.5" x14ac:dyDescent="0.3">
      <c r="A3221" t="s">
        <v>3284</v>
      </c>
      <c r="B3221" s="1">
        <v>45707</v>
      </c>
      <c r="C3221" s="1">
        <v>45716</v>
      </c>
      <c r="D3221">
        <v>2025</v>
      </c>
      <c r="E3221" t="s">
        <v>20</v>
      </c>
      <c r="F3221" t="s">
        <v>351</v>
      </c>
      <c r="G3221" t="s">
        <v>70</v>
      </c>
      <c r="H3221" t="s">
        <v>23</v>
      </c>
      <c r="I3221" t="s">
        <v>24</v>
      </c>
      <c r="J3221" t="s">
        <v>43</v>
      </c>
      <c r="K3221" t="s">
        <v>36</v>
      </c>
      <c r="L3221" t="s">
        <v>44</v>
      </c>
      <c r="M3221">
        <v>9</v>
      </c>
      <c r="N3221" s="2">
        <v>33</v>
      </c>
      <c r="O3221" s="3">
        <v>6865</v>
      </c>
      <c r="P3221">
        <v>0</v>
      </c>
      <c r="Q3221">
        <v>4</v>
      </c>
      <c r="R3221" t="s">
        <v>28</v>
      </c>
      <c r="S3221">
        <v>1</v>
      </c>
    </row>
    <row r="3222" spans="1:19" ht="16.5" x14ac:dyDescent="0.3">
      <c r="A3222" t="s">
        <v>3285</v>
      </c>
      <c r="B3222" s="1">
        <v>45707</v>
      </c>
      <c r="C3222" s="1">
        <v>45710</v>
      </c>
      <c r="D3222">
        <v>2025</v>
      </c>
      <c r="E3222" t="s">
        <v>20</v>
      </c>
      <c r="F3222" t="s">
        <v>351</v>
      </c>
      <c r="G3222" t="s">
        <v>70</v>
      </c>
      <c r="H3222" t="s">
        <v>39</v>
      </c>
      <c r="I3222" t="s">
        <v>31</v>
      </c>
      <c r="J3222" t="s">
        <v>43</v>
      </c>
      <c r="K3222" t="s">
        <v>41</v>
      </c>
      <c r="L3222" t="s">
        <v>44</v>
      </c>
      <c r="M3222">
        <v>3</v>
      </c>
      <c r="N3222" s="2"/>
      <c r="O3222" s="3">
        <v>2365</v>
      </c>
      <c r="P3222">
        <v>0</v>
      </c>
      <c r="Q3222">
        <v>4</v>
      </c>
      <c r="R3222" t="s">
        <v>33</v>
      </c>
      <c r="S3222">
        <v>1</v>
      </c>
    </row>
    <row r="3223" spans="1:19" ht="16.5" x14ac:dyDescent="0.3">
      <c r="A3223" t="s">
        <v>3286</v>
      </c>
      <c r="B3223" s="1">
        <v>45707</v>
      </c>
      <c r="C3223" s="1">
        <v>45711</v>
      </c>
      <c r="D3223">
        <v>2025</v>
      </c>
      <c r="E3223" t="s">
        <v>20</v>
      </c>
      <c r="F3223" t="s">
        <v>351</v>
      </c>
      <c r="G3223" t="s">
        <v>70</v>
      </c>
      <c r="H3223" t="s">
        <v>52</v>
      </c>
      <c r="I3223" t="s">
        <v>40</v>
      </c>
      <c r="J3223" t="s">
        <v>43</v>
      </c>
      <c r="K3223" t="s">
        <v>32</v>
      </c>
      <c r="L3223" t="s">
        <v>27</v>
      </c>
      <c r="M3223">
        <v>4</v>
      </c>
      <c r="N3223" s="2"/>
      <c r="O3223" s="3">
        <v>4014</v>
      </c>
      <c r="P3223">
        <v>0</v>
      </c>
      <c r="Q3223">
        <v>4</v>
      </c>
      <c r="R3223" t="s">
        <v>28</v>
      </c>
      <c r="S3223">
        <v>1</v>
      </c>
    </row>
    <row r="3224" spans="1:19" ht="16.5" x14ac:dyDescent="0.3">
      <c r="A3224" t="s">
        <v>3287</v>
      </c>
      <c r="B3224" s="1">
        <v>45707</v>
      </c>
      <c r="C3224" s="1">
        <v>45708</v>
      </c>
      <c r="D3224">
        <v>2025</v>
      </c>
      <c r="E3224" t="s">
        <v>20</v>
      </c>
      <c r="F3224" t="s">
        <v>351</v>
      </c>
      <c r="G3224" t="s">
        <v>70</v>
      </c>
      <c r="H3224" t="s">
        <v>23</v>
      </c>
      <c r="I3224" t="s">
        <v>40</v>
      </c>
      <c r="J3224" t="s">
        <v>25</v>
      </c>
      <c r="K3224" t="s">
        <v>32</v>
      </c>
      <c r="L3224" t="s">
        <v>44</v>
      </c>
      <c r="M3224">
        <v>1</v>
      </c>
      <c r="N3224" s="2"/>
      <c r="O3224" s="3">
        <v>1533</v>
      </c>
      <c r="P3224">
        <v>0</v>
      </c>
      <c r="Q3224">
        <v>5</v>
      </c>
      <c r="R3224" t="s">
        <v>28</v>
      </c>
      <c r="S3224">
        <v>1</v>
      </c>
    </row>
    <row r="3225" spans="1:19" ht="16.5" x14ac:dyDescent="0.3">
      <c r="A3225" t="s">
        <v>3288</v>
      </c>
      <c r="B3225" s="1">
        <v>45707</v>
      </c>
      <c r="C3225" s="1">
        <v>45708</v>
      </c>
      <c r="D3225">
        <v>2025</v>
      </c>
      <c r="E3225" t="s">
        <v>20</v>
      </c>
      <c r="F3225" t="s">
        <v>351</v>
      </c>
      <c r="G3225" t="s">
        <v>70</v>
      </c>
      <c r="H3225" t="s">
        <v>23</v>
      </c>
      <c r="I3225" t="s">
        <v>40</v>
      </c>
      <c r="J3225" t="s">
        <v>43</v>
      </c>
      <c r="K3225" t="s">
        <v>53</v>
      </c>
      <c r="L3225" t="s">
        <v>44</v>
      </c>
      <c r="M3225">
        <v>1</v>
      </c>
      <c r="N3225" s="2"/>
      <c r="O3225" s="3">
        <v>1622</v>
      </c>
      <c r="P3225">
        <v>1</v>
      </c>
      <c r="Q3225">
        <v>4</v>
      </c>
      <c r="R3225" t="s">
        <v>28</v>
      </c>
      <c r="S3225">
        <v>1</v>
      </c>
    </row>
    <row r="3226" spans="1:19" ht="16.5" x14ac:dyDescent="0.3">
      <c r="A3226" t="s">
        <v>3289</v>
      </c>
      <c r="B3226" s="1">
        <v>45707</v>
      </c>
      <c r="C3226" s="1">
        <v>45712</v>
      </c>
      <c r="D3226">
        <v>2025</v>
      </c>
      <c r="E3226" t="s">
        <v>20</v>
      </c>
      <c r="F3226" t="s">
        <v>351</v>
      </c>
      <c r="G3226" t="s">
        <v>70</v>
      </c>
      <c r="H3226" t="s">
        <v>52</v>
      </c>
      <c r="I3226" t="s">
        <v>40</v>
      </c>
      <c r="J3226" t="s">
        <v>25</v>
      </c>
      <c r="K3226" t="s">
        <v>53</v>
      </c>
      <c r="L3226" t="s">
        <v>27</v>
      </c>
      <c r="M3226">
        <v>5</v>
      </c>
      <c r="N3226" s="2"/>
      <c r="O3226" s="3">
        <v>6761</v>
      </c>
      <c r="P3226">
        <v>0</v>
      </c>
      <c r="Q3226">
        <v>5</v>
      </c>
      <c r="R3226" t="s">
        <v>33</v>
      </c>
      <c r="S3226">
        <v>1</v>
      </c>
    </row>
    <row r="3227" spans="1:19" ht="16.5" x14ac:dyDescent="0.3">
      <c r="A3227" t="s">
        <v>3290</v>
      </c>
      <c r="B3227" s="1">
        <v>45707</v>
      </c>
      <c r="C3227" s="1">
        <v>45712</v>
      </c>
      <c r="D3227">
        <v>2025</v>
      </c>
      <c r="E3227" t="s">
        <v>20</v>
      </c>
      <c r="F3227" t="s">
        <v>351</v>
      </c>
      <c r="G3227" t="s">
        <v>70</v>
      </c>
      <c r="H3227" t="s">
        <v>23</v>
      </c>
      <c r="I3227" t="s">
        <v>24</v>
      </c>
      <c r="J3227" t="s">
        <v>25</v>
      </c>
      <c r="K3227" t="s">
        <v>53</v>
      </c>
      <c r="L3227" t="s">
        <v>27</v>
      </c>
      <c r="M3227">
        <v>5</v>
      </c>
      <c r="N3227" s="2">
        <v>54</v>
      </c>
      <c r="O3227" s="3">
        <v>4265</v>
      </c>
      <c r="P3227">
        <v>1</v>
      </c>
      <c r="Q3227">
        <v>4</v>
      </c>
      <c r="R3227" t="s">
        <v>33</v>
      </c>
      <c r="S3227">
        <v>1</v>
      </c>
    </row>
    <row r="3228" spans="1:19" ht="16.5" x14ac:dyDescent="0.3">
      <c r="A3228" t="s">
        <v>3291</v>
      </c>
      <c r="B3228" s="1">
        <v>45707</v>
      </c>
      <c r="C3228" s="1">
        <v>45708</v>
      </c>
      <c r="D3228">
        <v>2025</v>
      </c>
      <c r="E3228" t="s">
        <v>20</v>
      </c>
      <c r="F3228" t="s">
        <v>351</v>
      </c>
      <c r="G3228" t="s">
        <v>70</v>
      </c>
      <c r="H3228" t="s">
        <v>52</v>
      </c>
      <c r="I3228" t="s">
        <v>40</v>
      </c>
      <c r="J3228" t="s">
        <v>43</v>
      </c>
      <c r="K3228" t="s">
        <v>32</v>
      </c>
      <c r="L3228" t="s">
        <v>27</v>
      </c>
      <c r="M3228">
        <v>1</v>
      </c>
      <c r="N3228" s="2"/>
      <c r="O3228" s="3">
        <v>1915</v>
      </c>
      <c r="P3228">
        <v>0</v>
      </c>
      <c r="Q3228">
        <v>4</v>
      </c>
      <c r="R3228" t="s">
        <v>59</v>
      </c>
      <c r="S3228">
        <v>1</v>
      </c>
    </row>
    <row r="3229" spans="1:19" ht="16.5" x14ac:dyDescent="0.3">
      <c r="A3229" t="s">
        <v>3292</v>
      </c>
      <c r="B3229" s="1">
        <v>45708</v>
      </c>
      <c r="C3229" s="1">
        <v>45716</v>
      </c>
      <c r="D3229">
        <v>2025</v>
      </c>
      <c r="E3229" t="s">
        <v>20</v>
      </c>
      <c r="F3229" t="s">
        <v>351</v>
      </c>
      <c r="G3229" t="s">
        <v>78</v>
      </c>
      <c r="H3229" t="s">
        <v>23</v>
      </c>
      <c r="I3229" t="s">
        <v>24</v>
      </c>
      <c r="J3229" t="s">
        <v>25</v>
      </c>
      <c r="K3229" t="s">
        <v>26</v>
      </c>
      <c r="L3229" t="s">
        <v>37</v>
      </c>
      <c r="M3229">
        <v>8</v>
      </c>
      <c r="N3229" s="2">
        <v>21</v>
      </c>
      <c r="O3229" s="3">
        <v>7243</v>
      </c>
      <c r="P3229">
        <v>0</v>
      </c>
      <c r="Q3229">
        <v>4</v>
      </c>
      <c r="R3229" t="s">
        <v>33</v>
      </c>
      <c r="S3229">
        <v>1</v>
      </c>
    </row>
    <row r="3230" spans="1:19" ht="16.5" x14ac:dyDescent="0.3">
      <c r="A3230" t="s">
        <v>3293</v>
      </c>
      <c r="B3230" s="1">
        <v>45708</v>
      </c>
      <c r="C3230" s="1">
        <v>45712</v>
      </c>
      <c r="D3230">
        <v>2025</v>
      </c>
      <c r="E3230" t="s">
        <v>20</v>
      </c>
      <c r="F3230" t="s">
        <v>351</v>
      </c>
      <c r="G3230" t="s">
        <v>78</v>
      </c>
      <c r="H3230" t="s">
        <v>35</v>
      </c>
      <c r="I3230" t="s">
        <v>24</v>
      </c>
      <c r="J3230" t="s">
        <v>25</v>
      </c>
      <c r="K3230" t="s">
        <v>36</v>
      </c>
      <c r="L3230" t="s">
        <v>27</v>
      </c>
      <c r="M3230">
        <v>4</v>
      </c>
      <c r="N3230" s="2">
        <v>68</v>
      </c>
      <c r="O3230" s="3">
        <v>3128</v>
      </c>
      <c r="P3230">
        <v>0</v>
      </c>
      <c r="Q3230">
        <v>5</v>
      </c>
      <c r="R3230" t="s">
        <v>28</v>
      </c>
      <c r="S3230">
        <v>1</v>
      </c>
    </row>
    <row r="3231" spans="1:19" ht="16.5" x14ac:dyDescent="0.3">
      <c r="A3231" t="s">
        <v>3294</v>
      </c>
      <c r="B3231" s="1">
        <v>45708</v>
      </c>
      <c r="C3231" s="1">
        <v>45714</v>
      </c>
      <c r="D3231">
        <v>2025</v>
      </c>
      <c r="E3231" t="s">
        <v>20</v>
      </c>
      <c r="F3231" t="s">
        <v>351</v>
      </c>
      <c r="G3231" t="s">
        <v>78</v>
      </c>
      <c r="H3231" t="s">
        <v>23</v>
      </c>
      <c r="I3231" t="s">
        <v>24</v>
      </c>
      <c r="J3231" t="s">
        <v>25</v>
      </c>
      <c r="K3231" t="s">
        <v>53</v>
      </c>
      <c r="L3231" t="s">
        <v>27</v>
      </c>
      <c r="M3231">
        <v>6</v>
      </c>
      <c r="N3231" s="2">
        <v>12</v>
      </c>
      <c r="O3231" s="3">
        <v>4126</v>
      </c>
      <c r="P3231">
        <v>0</v>
      </c>
      <c r="Q3231">
        <v>5</v>
      </c>
      <c r="R3231" t="s">
        <v>33</v>
      </c>
      <c r="S3231">
        <v>1</v>
      </c>
    </row>
    <row r="3232" spans="1:19" ht="16.5" x14ac:dyDescent="0.3">
      <c r="A3232" t="s">
        <v>3295</v>
      </c>
      <c r="B3232" s="1">
        <v>45708</v>
      </c>
      <c r="C3232" s="1">
        <v>45710</v>
      </c>
      <c r="D3232">
        <v>2025</v>
      </c>
      <c r="E3232" t="s">
        <v>20</v>
      </c>
      <c r="F3232" t="s">
        <v>351</v>
      </c>
      <c r="G3232" t="s">
        <v>78</v>
      </c>
      <c r="H3232" t="s">
        <v>35</v>
      </c>
      <c r="I3232" t="s">
        <v>24</v>
      </c>
      <c r="J3232" t="s">
        <v>25</v>
      </c>
      <c r="K3232" t="s">
        <v>32</v>
      </c>
      <c r="L3232" t="s">
        <v>27</v>
      </c>
      <c r="M3232">
        <v>2</v>
      </c>
      <c r="N3232" s="2">
        <v>35</v>
      </c>
      <c r="O3232" s="3">
        <v>2311</v>
      </c>
      <c r="P3232">
        <v>0</v>
      </c>
      <c r="Q3232">
        <v>4</v>
      </c>
      <c r="R3232" t="s">
        <v>33</v>
      </c>
      <c r="S3232">
        <v>1</v>
      </c>
    </row>
    <row r="3233" spans="1:19" ht="16.5" x14ac:dyDescent="0.3">
      <c r="A3233" t="s">
        <v>3296</v>
      </c>
      <c r="B3233" s="1">
        <v>45708</v>
      </c>
      <c r="C3233" s="1">
        <v>45715</v>
      </c>
      <c r="D3233">
        <v>2025</v>
      </c>
      <c r="E3233" t="s">
        <v>20</v>
      </c>
      <c r="F3233" t="s">
        <v>351</v>
      </c>
      <c r="G3233" t="s">
        <v>78</v>
      </c>
      <c r="H3233" t="s">
        <v>23</v>
      </c>
      <c r="I3233" t="s">
        <v>24</v>
      </c>
      <c r="J3233" t="s">
        <v>43</v>
      </c>
      <c r="K3233" t="s">
        <v>36</v>
      </c>
      <c r="L3233" t="s">
        <v>27</v>
      </c>
      <c r="M3233">
        <v>7</v>
      </c>
      <c r="N3233" s="2">
        <v>36</v>
      </c>
      <c r="O3233" s="3">
        <v>5064</v>
      </c>
      <c r="P3233">
        <v>1</v>
      </c>
      <c r="Q3233">
        <v>4</v>
      </c>
      <c r="R3233" t="s">
        <v>33</v>
      </c>
      <c r="S3233">
        <v>1</v>
      </c>
    </row>
    <row r="3234" spans="1:19" ht="16.5" x14ac:dyDescent="0.3">
      <c r="A3234" t="s">
        <v>3297</v>
      </c>
      <c r="B3234" s="1">
        <v>45708</v>
      </c>
      <c r="C3234" s="1">
        <v>45711</v>
      </c>
      <c r="D3234">
        <v>2025</v>
      </c>
      <c r="E3234" t="s">
        <v>20</v>
      </c>
      <c r="F3234" t="s">
        <v>351</v>
      </c>
      <c r="G3234" t="s">
        <v>78</v>
      </c>
      <c r="H3234" t="s">
        <v>50</v>
      </c>
      <c r="I3234" t="s">
        <v>24</v>
      </c>
      <c r="J3234" t="s">
        <v>25</v>
      </c>
      <c r="K3234" t="s">
        <v>26</v>
      </c>
      <c r="L3234" t="s">
        <v>44</v>
      </c>
      <c r="M3234">
        <v>3</v>
      </c>
      <c r="N3234" s="2">
        <v>27</v>
      </c>
      <c r="O3234" s="3">
        <v>4932</v>
      </c>
      <c r="P3234">
        <v>0</v>
      </c>
      <c r="Q3234">
        <v>4</v>
      </c>
      <c r="R3234" t="s">
        <v>33</v>
      </c>
      <c r="S3234">
        <v>1</v>
      </c>
    </row>
    <row r="3235" spans="1:19" ht="16.5" x14ac:dyDescent="0.3">
      <c r="A3235" t="s">
        <v>3298</v>
      </c>
      <c r="B3235" s="1">
        <v>45709</v>
      </c>
      <c r="C3235" s="1">
        <v>45715</v>
      </c>
      <c r="D3235">
        <v>2025</v>
      </c>
      <c r="E3235" t="s">
        <v>20</v>
      </c>
      <c r="F3235" t="s">
        <v>351</v>
      </c>
      <c r="G3235" t="s">
        <v>83</v>
      </c>
      <c r="H3235" t="s">
        <v>50</v>
      </c>
      <c r="I3235" t="s">
        <v>24</v>
      </c>
      <c r="J3235" t="s">
        <v>25</v>
      </c>
      <c r="K3235" t="s">
        <v>26</v>
      </c>
      <c r="L3235" t="s">
        <v>44</v>
      </c>
      <c r="M3235">
        <v>6</v>
      </c>
      <c r="N3235" s="2">
        <v>123</v>
      </c>
      <c r="O3235" s="3">
        <v>8445</v>
      </c>
      <c r="P3235">
        <v>0</v>
      </c>
      <c r="Q3235">
        <v>3</v>
      </c>
      <c r="R3235" t="s">
        <v>28</v>
      </c>
      <c r="S3235">
        <v>1</v>
      </c>
    </row>
    <row r="3236" spans="1:19" ht="16.5" x14ac:dyDescent="0.3">
      <c r="A3236" t="s">
        <v>3299</v>
      </c>
      <c r="B3236" s="1">
        <v>45709</v>
      </c>
      <c r="C3236" s="1">
        <v>45715</v>
      </c>
      <c r="D3236">
        <v>2025</v>
      </c>
      <c r="E3236" t="s">
        <v>20</v>
      </c>
      <c r="F3236" t="s">
        <v>351</v>
      </c>
      <c r="G3236" t="s">
        <v>83</v>
      </c>
      <c r="H3236" t="s">
        <v>23</v>
      </c>
      <c r="I3236" t="s">
        <v>24</v>
      </c>
      <c r="J3236" t="s">
        <v>43</v>
      </c>
      <c r="K3236" t="s">
        <v>53</v>
      </c>
      <c r="L3236" t="s">
        <v>37</v>
      </c>
      <c r="M3236">
        <v>6</v>
      </c>
      <c r="N3236" s="2">
        <v>101</v>
      </c>
      <c r="O3236" s="3">
        <v>4701</v>
      </c>
      <c r="P3236">
        <v>0</v>
      </c>
      <c r="Q3236">
        <v>5</v>
      </c>
      <c r="R3236" t="s">
        <v>28</v>
      </c>
      <c r="S3236">
        <v>1</v>
      </c>
    </row>
    <row r="3237" spans="1:19" ht="16.5" x14ac:dyDescent="0.3">
      <c r="A3237" t="s">
        <v>3300</v>
      </c>
      <c r="B3237" s="1">
        <v>45709</v>
      </c>
      <c r="C3237" s="1">
        <v>45718</v>
      </c>
      <c r="D3237">
        <v>2025</v>
      </c>
      <c r="E3237" t="s">
        <v>20</v>
      </c>
      <c r="F3237" t="s">
        <v>351</v>
      </c>
      <c r="G3237" t="s">
        <v>83</v>
      </c>
      <c r="H3237" t="s">
        <v>30</v>
      </c>
      <c r="I3237" t="s">
        <v>40</v>
      </c>
      <c r="J3237" t="s">
        <v>43</v>
      </c>
      <c r="K3237" t="s">
        <v>32</v>
      </c>
      <c r="L3237" t="s">
        <v>44</v>
      </c>
      <c r="M3237">
        <v>9</v>
      </c>
      <c r="N3237" s="2"/>
      <c r="O3237" s="3">
        <v>10861</v>
      </c>
      <c r="P3237">
        <v>0</v>
      </c>
      <c r="Q3237">
        <v>5</v>
      </c>
      <c r="R3237" t="s">
        <v>28</v>
      </c>
      <c r="S3237">
        <v>1</v>
      </c>
    </row>
    <row r="3238" spans="1:19" ht="16.5" x14ac:dyDescent="0.3">
      <c r="A3238" t="s">
        <v>3301</v>
      </c>
      <c r="B3238" s="1">
        <v>45709</v>
      </c>
      <c r="C3238" s="1">
        <v>45718</v>
      </c>
      <c r="D3238">
        <v>2025</v>
      </c>
      <c r="E3238" t="s">
        <v>20</v>
      </c>
      <c r="F3238" t="s">
        <v>351</v>
      </c>
      <c r="G3238" t="s">
        <v>83</v>
      </c>
      <c r="H3238" t="s">
        <v>30</v>
      </c>
      <c r="I3238" t="s">
        <v>24</v>
      </c>
      <c r="J3238" t="s">
        <v>43</v>
      </c>
      <c r="K3238" t="s">
        <v>36</v>
      </c>
      <c r="L3238" t="s">
        <v>37</v>
      </c>
      <c r="M3238">
        <v>9</v>
      </c>
      <c r="N3238" s="2">
        <v>23</v>
      </c>
      <c r="O3238" s="3">
        <v>10128</v>
      </c>
      <c r="P3238">
        <v>0</v>
      </c>
      <c r="Q3238">
        <v>5</v>
      </c>
      <c r="R3238" t="s">
        <v>33</v>
      </c>
      <c r="S3238">
        <v>1</v>
      </c>
    </row>
    <row r="3239" spans="1:19" ht="16.5" x14ac:dyDescent="0.3">
      <c r="A3239" t="s">
        <v>3302</v>
      </c>
      <c r="B3239" s="1">
        <v>45709</v>
      </c>
      <c r="C3239" s="1">
        <v>45716</v>
      </c>
      <c r="D3239">
        <v>2025</v>
      </c>
      <c r="E3239" t="s">
        <v>20</v>
      </c>
      <c r="F3239" t="s">
        <v>351</v>
      </c>
      <c r="G3239" t="s">
        <v>83</v>
      </c>
      <c r="H3239" t="s">
        <v>50</v>
      </c>
      <c r="I3239" t="s">
        <v>40</v>
      </c>
      <c r="J3239" t="s">
        <v>43</v>
      </c>
      <c r="K3239" t="s">
        <v>32</v>
      </c>
      <c r="L3239" t="s">
        <v>37</v>
      </c>
      <c r="M3239">
        <v>7</v>
      </c>
      <c r="N3239" s="2"/>
      <c r="O3239" s="3">
        <v>10743</v>
      </c>
      <c r="P3239">
        <v>0</v>
      </c>
      <c r="Q3239">
        <v>4</v>
      </c>
      <c r="R3239" t="s">
        <v>59</v>
      </c>
      <c r="S3239">
        <v>1</v>
      </c>
    </row>
    <row r="3240" spans="1:19" ht="16.5" x14ac:dyDescent="0.3">
      <c r="A3240" t="s">
        <v>3303</v>
      </c>
      <c r="B3240" s="1">
        <v>45709</v>
      </c>
      <c r="C3240" s="1">
        <v>45710</v>
      </c>
      <c r="D3240">
        <v>2025</v>
      </c>
      <c r="E3240" t="s">
        <v>20</v>
      </c>
      <c r="F3240" t="s">
        <v>351</v>
      </c>
      <c r="G3240" t="s">
        <v>83</v>
      </c>
      <c r="H3240" t="s">
        <v>35</v>
      </c>
      <c r="I3240" t="s">
        <v>24</v>
      </c>
      <c r="J3240" t="s">
        <v>25</v>
      </c>
      <c r="K3240" t="s">
        <v>36</v>
      </c>
      <c r="L3240" t="s">
        <v>44</v>
      </c>
      <c r="M3240">
        <v>1</v>
      </c>
      <c r="N3240" s="2">
        <v>40</v>
      </c>
      <c r="O3240" s="3">
        <v>1736</v>
      </c>
      <c r="P3240">
        <v>0</v>
      </c>
      <c r="Q3240">
        <v>4</v>
      </c>
      <c r="R3240" t="s">
        <v>33</v>
      </c>
      <c r="S3240">
        <v>1</v>
      </c>
    </row>
    <row r="3241" spans="1:19" ht="16.5" x14ac:dyDescent="0.3">
      <c r="A3241" t="s">
        <v>3304</v>
      </c>
      <c r="B3241" s="1">
        <v>45709</v>
      </c>
      <c r="C3241" s="1">
        <v>45713</v>
      </c>
      <c r="D3241">
        <v>2025</v>
      </c>
      <c r="E3241" t="s">
        <v>20</v>
      </c>
      <c r="F3241" t="s">
        <v>351</v>
      </c>
      <c r="G3241" t="s">
        <v>83</v>
      </c>
      <c r="H3241" t="s">
        <v>23</v>
      </c>
      <c r="I3241" t="s">
        <v>24</v>
      </c>
      <c r="J3241" t="s">
        <v>43</v>
      </c>
      <c r="K3241" t="s">
        <v>26</v>
      </c>
      <c r="L3241" t="s">
        <v>44</v>
      </c>
      <c r="M3241">
        <v>4</v>
      </c>
      <c r="N3241" s="2">
        <v>28</v>
      </c>
      <c r="O3241" s="3">
        <v>3289</v>
      </c>
      <c r="P3241">
        <v>1</v>
      </c>
      <c r="Q3241">
        <v>4</v>
      </c>
      <c r="R3241" t="s">
        <v>33</v>
      </c>
      <c r="S3241">
        <v>1</v>
      </c>
    </row>
    <row r="3242" spans="1:19" ht="16.5" x14ac:dyDescent="0.3">
      <c r="A3242" t="s">
        <v>3305</v>
      </c>
      <c r="B3242" s="1">
        <v>45709</v>
      </c>
      <c r="C3242" s="1">
        <v>45716</v>
      </c>
      <c r="D3242">
        <v>2025</v>
      </c>
      <c r="E3242" t="s">
        <v>20</v>
      </c>
      <c r="F3242" t="s">
        <v>351</v>
      </c>
      <c r="G3242" t="s">
        <v>83</v>
      </c>
      <c r="H3242" t="s">
        <v>30</v>
      </c>
      <c r="I3242" t="s">
        <v>31</v>
      </c>
      <c r="J3242" t="s">
        <v>25</v>
      </c>
      <c r="K3242" t="s">
        <v>26</v>
      </c>
      <c r="L3242" t="s">
        <v>27</v>
      </c>
      <c r="M3242">
        <v>7</v>
      </c>
      <c r="N3242" s="2"/>
      <c r="O3242" s="3">
        <v>7372</v>
      </c>
      <c r="P3242">
        <v>0</v>
      </c>
      <c r="Q3242">
        <v>4</v>
      </c>
      <c r="R3242" t="s">
        <v>33</v>
      </c>
      <c r="S3242">
        <v>1</v>
      </c>
    </row>
    <row r="3243" spans="1:19" ht="16.5" x14ac:dyDescent="0.3">
      <c r="A3243" t="s">
        <v>3306</v>
      </c>
      <c r="B3243" s="1">
        <v>45709</v>
      </c>
      <c r="C3243" s="1">
        <v>45714</v>
      </c>
      <c r="D3243">
        <v>2025</v>
      </c>
      <c r="E3243" t="s">
        <v>20</v>
      </c>
      <c r="F3243" t="s">
        <v>351</v>
      </c>
      <c r="G3243" t="s">
        <v>83</v>
      </c>
      <c r="H3243" t="s">
        <v>30</v>
      </c>
      <c r="I3243" t="s">
        <v>24</v>
      </c>
      <c r="J3243" t="s">
        <v>43</v>
      </c>
      <c r="K3243" t="s">
        <v>32</v>
      </c>
      <c r="L3243" t="s">
        <v>27</v>
      </c>
      <c r="M3243">
        <v>5</v>
      </c>
      <c r="N3243" s="2">
        <v>25</v>
      </c>
      <c r="O3243" s="3">
        <v>5849</v>
      </c>
      <c r="P3243">
        <v>0</v>
      </c>
      <c r="Q3243">
        <v>4</v>
      </c>
      <c r="R3243" t="s">
        <v>33</v>
      </c>
      <c r="S3243">
        <v>1</v>
      </c>
    </row>
    <row r="3244" spans="1:19" ht="16.5" x14ac:dyDescent="0.3">
      <c r="A3244" t="s">
        <v>3307</v>
      </c>
      <c r="B3244" s="1">
        <v>45709</v>
      </c>
      <c r="C3244" s="1">
        <v>45718</v>
      </c>
      <c r="D3244">
        <v>2025</v>
      </c>
      <c r="E3244" t="s">
        <v>20</v>
      </c>
      <c r="F3244" t="s">
        <v>351</v>
      </c>
      <c r="G3244" t="s">
        <v>83</v>
      </c>
      <c r="H3244" t="s">
        <v>50</v>
      </c>
      <c r="I3244" t="s">
        <v>24</v>
      </c>
      <c r="J3244" t="s">
        <v>43</v>
      </c>
      <c r="K3244" t="s">
        <v>36</v>
      </c>
      <c r="L3244" t="s">
        <v>44</v>
      </c>
      <c r="M3244">
        <v>9</v>
      </c>
      <c r="N3244" s="2">
        <v>97</v>
      </c>
      <c r="O3244" s="3">
        <v>10489</v>
      </c>
      <c r="P3244">
        <v>0</v>
      </c>
      <c r="Q3244">
        <v>2</v>
      </c>
      <c r="R3244" t="s">
        <v>28</v>
      </c>
      <c r="S3244">
        <v>1</v>
      </c>
    </row>
    <row r="3245" spans="1:19" ht="16.5" x14ac:dyDescent="0.3">
      <c r="A3245" t="s">
        <v>3308</v>
      </c>
      <c r="B3245" s="1">
        <v>45709</v>
      </c>
      <c r="C3245" s="1">
        <v>45712</v>
      </c>
      <c r="D3245">
        <v>2025</v>
      </c>
      <c r="E3245" t="s">
        <v>20</v>
      </c>
      <c r="F3245" t="s">
        <v>351</v>
      </c>
      <c r="G3245" t="s">
        <v>83</v>
      </c>
      <c r="H3245" t="s">
        <v>23</v>
      </c>
      <c r="I3245" t="s">
        <v>24</v>
      </c>
      <c r="J3245" t="s">
        <v>43</v>
      </c>
      <c r="K3245" t="s">
        <v>32</v>
      </c>
      <c r="L3245" t="s">
        <v>27</v>
      </c>
      <c r="M3245">
        <v>3</v>
      </c>
      <c r="N3245" s="2">
        <v>93</v>
      </c>
      <c r="O3245" s="3">
        <v>3162</v>
      </c>
      <c r="P3245">
        <v>0</v>
      </c>
      <c r="Q3245">
        <v>4</v>
      </c>
      <c r="R3245" t="s">
        <v>28</v>
      </c>
      <c r="S3245">
        <v>1</v>
      </c>
    </row>
    <row r="3246" spans="1:19" ht="16.5" x14ac:dyDescent="0.3">
      <c r="A3246" t="s">
        <v>3309</v>
      </c>
      <c r="B3246" s="1">
        <v>45709</v>
      </c>
      <c r="C3246" s="1">
        <v>45716</v>
      </c>
      <c r="D3246">
        <v>2025</v>
      </c>
      <c r="E3246" t="s">
        <v>20</v>
      </c>
      <c r="F3246" t="s">
        <v>351</v>
      </c>
      <c r="G3246" t="s">
        <v>83</v>
      </c>
      <c r="H3246" t="s">
        <v>23</v>
      </c>
      <c r="I3246" t="s">
        <v>40</v>
      </c>
      <c r="J3246" t="s">
        <v>43</v>
      </c>
      <c r="K3246" t="s">
        <v>26</v>
      </c>
      <c r="L3246" t="s">
        <v>44</v>
      </c>
      <c r="M3246">
        <v>7</v>
      </c>
      <c r="N3246" s="2"/>
      <c r="O3246" s="3">
        <v>4685</v>
      </c>
      <c r="P3246">
        <v>0</v>
      </c>
      <c r="Q3246">
        <v>4</v>
      </c>
      <c r="R3246" t="s">
        <v>28</v>
      </c>
      <c r="S3246">
        <v>1</v>
      </c>
    </row>
    <row r="3247" spans="1:19" ht="16.5" x14ac:dyDescent="0.3">
      <c r="A3247" t="s">
        <v>3310</v>
      </c>
      <c r="B3247" s="1">
        <v>45710</v>
      </c>
      <c r="C3247" s="1">
        <v>45713</v>
      </c>
      <c r="D3247">
        <v>2025</v>
      </c>
      <c r="E3247" t="s">
        <v>20</v>
      </c>
      <c r="F3247" t="s">
        <v>351</v>
      </c>
      <c r="G3247" t="s">
        <v>102</v>
      </c>
      <c r="H3247" t="s">
        <v>30</v>
      </c>
      <c r="I3247" t="s">
        <v>31</v>
      </c>
      <c r="J3247" t="s">
        <v>25</v>
      </c>
      <c r="K3247" t="s">
        <v>26</v>
      </c>
      <c r="L3247" t="s">
        <v>27</v>
      </c>
      <c r="M3247">
        <v>3</v>
      </c>
      <c r="N3247" s="2"/>
      <c r="O3247" s="3">
        <v>2479</v>
      </c>
      <c r="P3247">
        <v>0</v>
      </c>
      <c r="Q3247">
        <v>4</v>
      </c>
      <c r="R3247" t="s">
        <v>33</v>
      </c>
      <c r="S3247">
        <v>1</v>
      </c>
    </row>
    <row r="3248" spans="1:19" ht="16.5" x14ac:dyDescent="0.3">
      <c r="A3248" t="s">
        <v>3311</v>
      </c>
      <c r="B3248" s="1">
        <v>45710</v>
      </c>
      <c r="C3248" s="1">
        <v>45723</v>
      </c>
      <c r="D3248">
        <v>2025</v>
      </c>
      <c r="E3248" t="s">
        <v>20</v>
      </c>
      <c r="F3248" t="s">
        <v>351</v>
      </c>
      <c r="G3248" t="s">
        <v>102</v>
      </c>
      <c r="H3248" t="s">
        <v>23</v>
      </c>
      <c r="I3248" t="s">
        <v>24</v>
      </c>
      <c r="J3248" t="s">
        <v>43</v>
      </c>
      <c r="K3248" t="s">
        <v>32</v>
      </c>
      <c r="L3248" t="s">
        <v>44</v>
      </c>
      <c r="M3248">
        <v>13</v>
      </c>
      <c r="N3248" s="2">
        <v>151</v>
      </c>
      <c r="O3248" s="3">
        <v>8035</v>
      </c>
      <c r="P3248">
        <v>0</v>
      </c>
      <c r="Q3248">
        <v>3</v>
      </c>
      <c r="R3248" t="s">
        <v>33</v>
      </c>
      <c r="S3248">
        <v>1</v>
      </c>
    </row>
    <row r="3249" spans="1:19" ht="16.5" x14ac:dyDescent="0.3">
      <c r="A3249" t="s">
        <v>3312</v>
      </c>
      <c r="B3249" s="1">
        <v>45710</v>
      </c>
      <c r="C3249" s="1">
        <v>45713</v>
      </c>
      <c r="D3249">
        <v>2025</v>
      </c>
      <c r="E3249" t="s">
        <v>20</v>
      </c>
      <c r="F3249" t="s">
        <v>351</v>
      </c>
      <c r="G3249" t="s">
        <v>102</v>
      </c>
      <c r="H3249" t="s">
        <v>35</v>
      </c>
      <c r="I3249" t="s">
        <v>40</v>
      </c>
      <c r="J3249" t="s">
        <v>25</v>
      </c>
      <c r="K3249" t="s">
        <v>36</v>
      </c>
      <c r="L3249" t="s">
        <v>44</v>
      </c>
      <c r="M3249">
        <v>3</v>
      </c>
      <c r="N3249" s="2"/>
      <c r="O3249" s="3">
        <v>2945</v>
      </c>
      <c r="P3249">
        <v>0</v>
      </c>
      <c r="Q3249">
        <v>3</v>
      </c>
      <c r="R3249" t="s">
        <v>33</v>
      </c>
      <c r="S3249">
        <v>1</v>
      </c>
    </row>
    <row r="3250" spans="1:19" ht="16.5" x14ac:dyDescent="0.3">
      <c r="A3250" t="s">
        <v>3313</v>
      </c>
      <c r="B3250" s="1">
        <v>45710</v>
      </c>
      <c r="C3250" s="1">
        <v>45713</v>
      </c>
      <c r="D3250">
        <v>2025</v>
      </c>
      <c r="E3250" t="s">
        <v>20</v>
      </c>
      <c r="F3250" t="s">
        <v>351</v>
      </c>
      <c r="G3250" t="s">
        <v>102</v>
      </c>
      <c r="H3250" t="s">
        <v>39</v>
      </c>
      <c r="I3250" t="s">
        <v>40</v>
      </c>
      <c r="J3250" t="s">
        <v>25</v>
      </c>
      <c r="K3250" t="s">
        <v>41</v>
      </c>
      <c r="L3250" t="s">
        <v>27</v>
      </c>
      <c r="M3250">
        <v>3</v>
      </c>
      <c r="N3250" s="2"/>
      <c r="O3250" s="3">
        <v>3058</v>
      </c>
      <c r="P3250">
        <v>0</v>
      </c>
      <c r="Q3250">
        <v>5</v>
      </c>
      <c r="R3250" t="s">
        <v>33</v>
      </c>
      <c r="S3250">
        <v>1</v>
      </c>
    </row>
    <row r="3251" spans="1:19" ht="16.5" x14ac:dyDescent="0.3">
      <c r="A3251" t="s">
        <v>3314</v>
      </c>
      <c r="B3251" s="1">
        <v>45710</v>
      </c>
      <c r="C3251" s="1">
        <v>45712</v>
      </c>
      <c r="D3251">
        <v>2025</v>
      </c>
      <c r="E3251" t="s">
        <v>20</v>
      </c>
      <c r="F3251" t="s">
        <v>351</v>
      </c>
      <c r="G3251" t="s">
        <v>102</v>
      </c>
      <c r="H3251" t="s">
        <v>30</v>
      </c>
      <c r="I3251" t="s">
        <v>24</v>
      </c>
      <c r="J3251" t="s">
        <v>25</v>
      </c>
      <c r="K3251" t="s">
        <v>53</v>
      </c>
      <c r="L3251" t="s">
        <v>27</v>
      </c>
      <c r="M3251">
        <v>2</v>
      </c>
      <c r="N3251" s="2">
        <v>147</v>
      </c>
      <c r="O3251" s="3">
        <v>2331</v>
      </c>
      <c r="P3251">
        <v>0</v>
      </c>
      <c r="Q3251">
        <v>3</v>
      </c>
      <c r="R3251" t="s">
        <v>33</v>
      </c>
      <c r="S3251">
        <v>1</v>
      </c>
    </row>
    <row r="3252" spans="1:19" ht="16.5" x14ac:dyDescent="0.3">
      <c r="A3252" t="s">
        <v>3315</v>
      </c>
      <c r="B3252" s="1">
        <v>45710</v>
      </c>
      <c r="C3252" s="1">
        <v>45714</v>
      </c>
      <c r="D3252">
        <v>2025</v>
      </c>
      <c r="E3252" t="s">
        <v>20</v>
      </c>
      <c r="F3252" t="s">
        <v>351</v>
      </c>
      <c r="G3252" t="s">
        <v>102</v>
      </c>
      <c r="H3252" t="s">
        <v>35</v>
      </c>
      <c r="I3252" t="s">
        <v>40</v>
      </c>
      <c r="J3252" t="s">
        <v>25</v>
      </c>
      <c r="K3252" t="s">
        <v>32</v>
      </c>
      <c r="L3252" t="s">
        <v>37</v>
      </c>
      <c r="M3252">
        <v>4</v>
      </c>
      <c r="N3252" s="2"/>
      <c r="O3252" s="3">
        <v>3360</v>
      </c>
      <c r="P3252">
        <v>0</v>
      </c>
      <c r="Q3252">
        <v>5</v>
      </c>
      <c r="R3252" t="s">
        <v>33</v>
      </c>
      <c r="S3252">
        <v>1</v>
      </c>
    </row>
    <row r="3253" spans="1:19" ht="16.5" x14ac:dyDescent="0.3">
      <c r="A3253" t="s">
        <v>3316</v>
      </c>
      <c r="B3253" s="1">
        <v>45710</v>
      </c>
      <c r="C3253" s="1">
        <v>45714</v>
      </c>
      <c r="D3253">
        <v>2025</v>
      </c>
      <c r="E3253" t="s">
        <v>20</v>
      </c>
      <c r="F3253" t="s">
        <v>351</v>
      </c>
      <c r="G3253" t="s">
        <v>102</v>
      </c>
      <c r="H3253" t="s">
        <v>30</v>
      </c>
      <c r="I3253" t="s">
        <v>40</v>
      </c>
      <c r="J3253" t="s">
        <v>43</v>
      </c>
      <c r="K3253" t="s">
        <v>32</v>
      </c>
      <c r="L3253" t="s">
        <v>44</v>
      </c>
      <c r="M3253">
        <v>4</v>
      </c>
      <c r="N3253" s="2"/>
      <c r="O3253" s="3">
        <v>4371</v>
      </c>
      <c r="P3253">
        <v>0</v>
      </c>
      <c r="Q3253">
        <v>4</v>
      </c>
      <c r="R3253" t="s">
        <v>33</v>
      </c>
      <c r="S3253">
        <v>1</v>
      </c>
    </row>
    <row r="3254" spans="1:19" ht="16.5" x14ac:dyDescent="0.3">
      <c r="A3254" t="s">
        <v>3317</v>
      </c>
      <c r="B3254" s="1">
        <v>45710</v>
      </c>
      <c r="C3254" s="1">
        <v>45713</v>
      </c>
      <c r="D3254">
        <v>2025</v>
      </c>
      <c r="E3254" t="s">
        <v>20</v>
      </c>
      <c r="F3254" t="s">
        <v>351</v>
      </c>
      <c r="G3254" t="s">
        <v>102</v>
      </c>
      <c r="H3254" t="s">
        <v>39</v>
      </c>
      <c r="I3254" t="s">
        <v>24</v>
      </c>
      <c r="J3254" t="s">
        <v>25</v>
      </c>
      <c r="K3254" t="s">
        <v>41</v>
      </c>
      <c r="L3254" t="s">
        <v>44</v>
      </c>
      <c r="M3254">
        <v>3</v>
      </c>
      <c r="N3254" s="2">
        <v>71</v>
      </c>
      <c r="O3254" s="3">
        <v>2368</v>
      </c>
      <c r="P3254">
        <v>0</v>
      </c>
      <c r="Q3254">
        <v>5</v>
      </c>
      <c r="R3254" t="s">
        <v>33</v>
      </c>
      <c r="S3254">
        <v>1</v>
      </c>
    </row>
    <row r="3255" spans="1:19" ht="16.5" x14ac:dyDescent="0.3">
      <c r="A3255" t="s">
        <v>3318</v>
      </c>
      <c r="B3255" s="1">
        <v>45710</v>
      </c>
      <c r="C3255" s="1">
        <v>45715</v>
      </c>
      <c r="D3255">
        <v>2025</v>
      </c>
      <c r="E3255" t="s">
        <v>20</v>
      </c>
      <c r="F3255" t="s">
        <v>351</v>
      </c>
      <c r="G3255" t="s">
        <v>102</v>
      </c>
      <c r="H3255" t="s">
        <v>52</v>
      </c>
      <c r="I3255" t="s">
        <v>24</v>
      </c>
      <c r="J3255" t="s">
        <v>25</v>
      </c>
      <c r="K3255" t="s">
        <v>32</v>
      </c>
      <c r="L3255" t="s">
        <v>44</v>
      </c>
      <c r="M3255">
        <v>5</v>
      </c>
      <c r="N3255" s="2">
        <v>46</v>
      </c>
      <c r="O3255" s="3">
        <v>6117</v>
      </c>
      <c r="P3255">
        <v>0</v>
      </c>
      <c r="Q3255">
        <v>5</v>
      </c>
      <c r="R3255" t="s">
        <v>33</v>
      </c>
      <c r="S3255">
        <v>1</v>
      </c>
    </row>
    <row r="3256" spans="1:19" ht="16.5" x14ac:dyDescent="0.3">
      <c r="A3256" t="s">
        <v>3319</v>
      </c>
      <c r="B3256" s="1">
        <v>45710</v>
      </c>
      <c r="C3256" s="1">
        <v>45715</v>
      </c>
      <c r="D3256">
        <v>2025</v>
      </c>
      <c r="E3256" t="s">
        <v>20</v>
      </c>
      <c r="F3256" t="s">
        <v>351</v>
      </c>
      <c r="G3256" t="s">
        <v>102</v>
      </c>
      <c r="H3256" t="s">
        <v>39</v>
      </c>
      <c r="I3256" t="s">
        <v>24</v>
      </c>
      <c r="J3256" t="s">
        <v>43</v>
      </c>
      <c r="K3256" t="s">
        <v>41</v>
      </c>
      <c r="L3256" t="s">
        <v>37</v>
      </c>
      <c r="M3256">
        <v>5</v>
      </c>
      <c r="N3256" s="2">
        <v>74</v>
      </c>
      <c r="O3256" s="3">
        <v>3462</v>
      </c>
      <c r="P3256">
        <v>0</v>
      </c>
      <c r="Q3256">
        <v>5</v>
      </c>
      <c r="R3256" t="s">
        <v>33</v>
      </c>
      <c r="S3256">
        <v>1</v>
      </c>
    </row>
    <row r="3257" spans="1:19" ht="16.5" x14ac:dyDescent="0.3">
      <c r="A3257" t="s">
        <v>3320</v>
      </c>
      <c r="B3257" s="1">
        <v>45711</v>
      </c>
      <c r="C3257" s="1">
        <v>45714</v>
      </c>
      <c r="D3257">
        <v>2025</v>
      </c>
      <c r="E3257" t="s">
        <v>20</v>
      </c>
      <c r="F3257" t="s">
        <v>351</v>
      </c>
      <c r="G3257" t="s">
        <v>112</v>
      </c>
      <c r="H3257" t="s">
        <v>30</v>
      </c>
      <c r="I3257" t="s">
        <v>24</v>
      </c>
      <c r="J3257" t="s">
        <v>25</v>
      </c>
      <c r="K3257" t="s">
        <v>53</v>
      </c>
      <c r="L3257" t="s">
        <v>27</v>
      </c>
      <c r="M3257">
        <v>3</v>
      </c>
      <c r="N3257" s="2">
        <v>39</v>
      </c>
      <c r="O3257" s="3">
        <v>3995</v>
      </c>
      <c r="P3257">
        <v>0</v>
      </c>
      <c r="Q3257">
        <v>4</v>
      </c>
      <c r="R3257" t="s">
        <v>33</v>
      </c>
      <c r="S3257">
        <v>1</v>
      </c>
    </row>
    <row r="3258" spans="1:19" ht="16.5" x14ac:dyDescent="0.3">
      <c r="A3258" t="s">
        <v>3321</v>
      </c>
      <c r="B3258" s="1">
        <v>45711</v>
      </c>
      <c r="C3258" s="1">
        <v>45717</v>
      </c>
      <c r="D3258">
        <v>2025</v>
      </c>
      <c r="E3258" t="s">
        <v>20</v>
      </c>
      <c r="F3258" t="s">
        <v>351</v>
      </c>
      <c r="G3258" t="s">
        <v>112</v>
      </c>
      <c r="H3258" t="s">
        <v>30</v>
      </c>
      <c r="I3258" t="s">
        <v>24</v>
      </c>
      <c r="J3258" t="s">
        <v>43</v>
      </c>
      <c r="K3258" t="s">
        <v>53</v>
      </c>
      <c r="L3258" t="s">
        <v>27</v>
      </c>
      <c r="M3258">
        <v>6</v>
      </c>
      <c r="N3258" s="2">
        <v>60</v>
      </c>
      <c r="O3258" s="3">
        <v>7823</v>
      </c>
      <c r="P3258">
        <v>0</v>
      </c>
      <c r="Q3258">
        <v>4</v>
      </c>
      <c r="R3258" t="s">
        <v>33</v>
      </c>
      <c r="S3258">
        <v>1</v>
      </c>
    </row>
    <row r="3259" spans="1:19" ht="16.5" x14ac:dyDescent="0.3">
      <c r="A3259" t="s">
        <v>3322</v>
      </c>
      <c r="B3259" s="1">
        <v>45711</v>
      </c>
      <c r="C3259" s="1">
        <v>45716</v>
      </c>
      <c r="D3259">
        <v>2025</v>
      </c>
      <c r="E3259" t="s">
        <v>20</v>
      </c>
      <c r="F3259" t="s">
        <v>351</v>
      </c>
      <c r="G3259" t="s">
        <v>112</v>
      </c>
      <c r="H3259" t="s">
        <v>35</v>
      </c>
      <c r="I3259" t="s">
        <v>24</v>
      </c>
      <c r="J3259" t="s">
        <v>25</v>
      </c>
      <c r="K3259" t="s">
        <v>36</v>
      </c>
      <c r="L3259" t="s">
        <v>44</v>
      </c>
      <c r="M3259">
        <v>5</v>
      </c>
      <c r="N3259" s="2">
        <v>38</v>
      </c>
      <c r="O3259" s="3">
        <v>4254</v>
      </c>
      <c r="P3259">
        <v>0</v>
      </c>
      <c r="Q3259">
        <v>4</v>
      </c>
      <c r="R3259" t="s">
        <v>33</v>
      </c>
      <c r="S3259">
        <v>1</v>
      </c>
    </row>
    <row r="3260" spans="1:19" ht="16.5" x14ac:dyDescent="0.3">
      <c r="A3260" t="s">
        <v>3323</v>
      </c>
      <c r="B3260" s="1">
        <v>45711</v>
      </c>
      <c r="C3260" s="1">
        <v>45718</v>
      </c>
      <c r="D3260">
        <v>2025</v>
      </c>
      <c r="E3260" t="s">
        <v>20</v>
      </c>
      <c r="F3260" t="s">
        <v>351</v>
      </c>
      <c r="G3260" t="s">
        <v>112</v>
      </c>
      <c r="H3260" t="s">
        <v>23</v>
      </c>
      <c r="I3260" t="s">
        <v>24</v>
      </c>
      <c r="J3260" t="s">
        <v>43</v>
      </c>
      <c r="K3260" t="s">
        <v>26</v>
      </c>
      <c r="L3260" t="s">
        <v>44</v>
      </c>
      <c r="M3260">
        <v>7</v>
      </c>
      <c r="N3260" s="2">
        <v>61</v>
      </c>
      <c r="O3260" s="3">
        <v>5771</v>
      </c>
      <c r="P3260">
        <v>0</v>
      </c>
      <c r="Q3260">
        <v>5</v>
      </c>
      <c r="R3260" t="s">
        <v>33</v>
      </c>
      <c r="S3260">
        <v>1</v>
      </c>
    </row>
    <row r="3261" spans="1:19" ht="16.5" x14ac:dyDescent="0.3">
      <c r="A3261" t="s">
        <v>3324</v>
      </c>
      <c r="B3261" s="1">
        <v>45712</v>
      </c>
      <c r="C3261" s="1">
        <v>45715</v>
      </c>
      <c r="D3261">
        <v>2025</v>
      </c>
      <c r="E3261" t="s">
        <v>20</v>
      </c>
      <c r="F3261" t="s">
        <v>351</v>
      </c>
      <c r="G3261" t="s">
        <v>22</v>
      </c>
      <c r="H3261" t="s">
        <v>39</v>
      </c>
      <c r="I3261" t="s">
        <v>24</v>
      </c>
      <c r="J3261" t="s">
        <v>43</v>
      </c>
      <c r="K3261" t="s">
        <v>41</v>
      </c>
      <c r="L3261" t="s">
        <v>44</v>
      </c>
      <c r="M3261">
        <v>3</v>
      </c>
      <c r="N3261" s="2">
        <v>13</v>
      </c>
      <c r="O3261" s="3">
        <v>2044</v>
      </c>
      <c r="P3261">
        <v>0</v>
      </c>
      <c r="Q3261">
        <v>4</v>
      </c>
      <c r="R3261" t="s">
        <v>28</v>
      </c>
      <c r="S3261">
        <v>1</v>
      </c>
    </row>
    <row r="3262" spans="1:19" ht="16.5" x14ac:dyDescent="0.3">
      <c r="A3262" t="s">
        <v>3325</v>
      </c>
      <c r="B3262" s="1">
        <v>45712</v>
      </c>
      <c r="C3262" s="1">
        <v>45713</v>
      </c>
      <c r="D3262">
        <v>2025</v>
      </c>
      <c r="E3262" t="s">
        <v>20</v>
      </c>
      <c r="F3262" t="s">
        <v>351</v>
      </c>
      <c r="G3262" t="s">
        <v>22</v>
      </c>
      <c r="H3262" t="s">
        <v>39</v>
      </c>
      <c r="I3262" t="s">
        <v>40</v>
      </c>
      <c r="J3262" t="s">
        <v>43</v>
      </c>
      <c r="K3262" t="s">
        <v>41</v>
      </c>
      <c r="L3262" t="s">
        <v>27</v>
      </c>
      <c r="M3262">
        <v>1</v>
      </c>
      <c r="N3262" s="2"/>
      <c r="O3262" s="3">
        <v>1472</v>
      </c>
      <c r="P3262">
        <v>0</v>
      </c>
      <c r="Q3262">
        <v>4</v>
      </c>
      <c r="R3262" t="s">
        <v>33</v>
      </c>
      <c r="S3262">
        <v>1</v>
      </c>
    </row>
    <row r="3263" spans="1:19" ht="16.5" x14ac:dyDescent="0.3">
      <c r="A3263" t="s">
        <v>3326</v>
      </c>
      <c r="B3263" s="1">
        <v>45712</v>
      </c>
      <c r="C3263" s="1">
        <v>45713</v>
      </c>
      <c r="D3263">
        <v>2025</v>
      </c>
      <c r="E3263" t="s">
        <v>20</v>
      </c>
      <c r="F3263" t="s">
        <v>351</v>
      </c>
      <c r="G3263" t="s">
        <v>22</v>
      </c>
      <c r="H3263" t="s">
        <v>39</v>
      </c>
      <c r="I3263" t="s">
        <v>24</v>
      </c>
      <c r="J3263" t="s">
        <v>25</v>
      </c>
      <c r="K3263" t="s">
        <v>41</v>
      </c>
      <c r="L3263" t="s">
        <v>44</v>
      </c>
      <c r="M3263">
        <v>1</v>
      </c>
      <c r="N3263" s="2">
        <v>108</v>
      </c>
      <c r="O3263" s="3">
        <v>1287</v>
      </c>
      <c r="P3263">
        <v>0</v>
      </c>
      <c r="Q3263">
        <v>4</v>
      </c>
      <c r="R3263" t="s">
        <v>33</v>
      </c>
      <c r="S3263">
        <v>1</v>
      </c>
    </row>
    <row r="3264" spans="1:19" ht="16.5" x14ac:dyDescent="0.3">
      <c r="A3264" t="s">
        <v>3327</v>
      </c>
      <c r="B3264" s="1">
        <v>45712</v>
      </c>
      <c r="C3264" s="1">
        <v>45716</v>
      </c>
      <c r="D3264">
        <v>2025</v>
      </c>
      <c r="E3264" t="s">
        <v>20</v>
      </c>
      <c r="F3264" t="s">
        <v>351</v>
      </c>
      <c r="G3264" t="s">
        <v>22</v>
      </c>
      <c r="H3264" t="s">
        <v>23</v>
      </c>
      <c r="I3264" t="s">
        <v>24</v>
      </c>
      <c r="J3264" t="s">
        <v>25</v>
      </c>
      <c r="K3264" t="s">
        <v>53</v>
      </c>
      <c r="L3264" t="s">
        <v>44</v>
      </c>
      <c r="M3264">
        <v>4</v>
      </c>
      <c r="N3264" s="2">
        <v>71</v>
      </c>
      <c r="O3264" s="3">
        <v>3516</v>
      </c>
      <c r="P3264">
        <v>0</v>
      </c>
      <c r="Q3264">
        <v>5</v>
      </c>
      <c r="R3264" t="s">
        <v>59</v>
      </c>
      <c r="S3264">
        <v>1</v>
      </c>
    </row>
    <row r="3265" spans="1:19" ht="16.5" x14ac:dyDescent="0.3">
      <c r="A3265" t="s">
        <v>3328</v>
      </c>
      <c r="B3265" s="1">
        <v>45712</v>
      </c>
      <c r="C3265" s="1">
        <v>45717</v>
      </c>
      <c r="D3265">
        <v>2025</v>
      </c>
      <c r="E3265" t="s">
        <v>20</v>
      </c>
      <c r="F3265" t="s">
        <v>351</v>
      </c>
      <c r="G3265" t="s">
        <v>22</v>
      </c>
      <c r="H3265" t="s">
        <v>23</v>
      </c>
      <c r="I3265" t="s">
        <v>40</v>
      </c>
      <c r="J3265" t="s">
        <v>25</v>
      </c>
      <c r="K3265" t="s">
        <v>32</v>
      </c>
      <c r="L3265" t="s">
        <v>27</v>
      </c>
      <c r="M3265">
        <v>5</v>
      </c>
      <c r="N3265" s="2"/>
      <c r="O3265" s="3">
        <v>4467</v>
      </c>
      <c r="P3265">
        <v>0</v>
      </c>
      <c r="Q3265">
        <v>4</v>
      </c>
      <c r="R3265" t="s">
        <v>33</v>
      </c>
      <c r="S3265">
        <v>1</v>
      </c>
    </row>
    <row r="3266" spans="1:19" ht="16.5" x14ac:dyDescent="0.3">
      <c r="A3266" t="s">
        <v>3329</v>
      </c>
      <c r="B3266" s="1">
        <v>45712</v>
      </c>
      <c r="C3266" s="1">
        <v>45715</v>
      </c>
      <c r="D3266">
        <v>2025</v>
      </c>
      <c r="E3266" t="s">
        <v>20</v>
      </c>
      <c r="F3266" t="s">
        <v>351</v>
      </c>
      <c r="G3266" t="s">
        <v>22</v>
      </c>
      <c r="H3266" t="s">
        <v>39</v>
      </c>
      <c r="I3266" t="s">
        <v>24</v>
      </c>
      <c r="J3266" t="s">
        <v>43</v>
      </c>
      <c r="K3266" t="s">
        <v>41</v>
      </c>
      <c r="L3266" t="s">
        <v>44</v>
      </c>
      <c r="M3266">
        <v>3</v>
      </c>
      <c r="N3266" s="2">
        <v>39</v>
      </c>
      <c r="O3266" s="3">
        <v>2071</v>
      </c>
      <c r="P3266">
        <v>0</v>
      </c>
      <c r="Q3266">
        <v>5</v>
      </c>
      <c r="R3266" t="s">
        <v>33</v>
      </c>
      <c r="S3266">
        <v>1</v>
      </c>
    </row>
    <row r="3267" spans="1:19" ht="16.5" x14ac:dyDescent="0.3">
      <c r="A3267" t="s">
        <v>3330</v>
      </c>
      <c r="B3267" s="1">
        <v>45712</v>
      </c>
      <c r="C3267" s="1">
        <v>45714</v>
      </c>
      <c r="D3267">
        <v>2025</v>
      </c>
      <c r="E3267" t="s">
        <v>20</v>
      </c>
      <c r="F3267" t="s">
        <v>351</v>
      </c>
      <c r="G3267" t="s">
        <v>22</v>
      </c>
      <c r="H3267" t="s">
        <v>39</v>
      </c>
      <c r="I3267" t="s">
        <v>31</v>
      </c>
      <c r="J3267" t="s">
        <v>43</v>
      </c>
      <c r="K3267" t="s">
        <v>41</v>
      </c>
      <c r="L3267" t="s">
        <v>44</v>
      </c>
      <c r="M3267">
        <v>2</v>
      </c>
      <c r="N3267" s="2"/>
      <c r="O3267" s="3">
        <v>2028</v>
      </c>
      <c r="P3267">
        <v>0</v>
      </c>
      <c r="Q3267">
        <v>4</v>
      </c>
      <c r="R3267" t="s">
        <v>33</v>
      </c>
      <c r="S3267">
        <v>1</v>
      </c>
    </row>
    <row r="3268" spans="1:19" ht="16.5" x14ac:dyDescent="0.3">
      <c r="A3268" t="s">
        <v>3331</v>
      </c>
      <c r="B3268" s="1">
        <v>45712</v>
      </c>
      <c r="C3268" s="1">
        <v>45716</v>
      </c>
      <c r="D3268">
        <v>2025</v>
      </c>
      <c r="E3268" t="s">
        <v>20</v>
      </c>
      <c r="F3268" t="s">
        <v>351</v>
      </c>
      <c r="G3268" t="s">
        <v>22</v>
      </c>
      <c r="H3268" t="s">
        <v>50</v>
      </c>
      <c r="I3268" t="s">
        <v>24</v>
      </c>
      <c r="J3268" t="s">
        <v>25</v>
      </c>
      <c r="K3268" t="s">
        <v>26</v>
      </c>
      <c r="L3268" t="s">
        <v>44</v>
      </c>
      <c r="M3268">
        <v>4</v>
      </c>
      <c r="N3268" s="2">
        <v>39</v>
      </c>
      <c r="O3268" s="3">
        <v>4154</v>
      </c>
      <c r="P3268">
        <v>1</v>
      </c>
      <c r="Q3268">
        <v>4</v>
      </c>
      <c r="R3268" t="s">
        <v>28</v>
      </c>
      <c r="S3268">
        <v>1</v>
      </c>
    </row>
    <row r="3269" spans="1:19" ht="16.5" x14ac:dyDescent="0.3">
      <c r="A3269" t="s">
        <v>3332</v>
      </c>
      <c r="B3269" s="1">
        <v>45712</v>
      </c>
      <c r="C3269" s="1">
        <v>45715</v>
      </c>
      <c r="D3269">
        <v>2025</v>
      </c>
      <c r="E3269" t="s">
        <v>20</v>
      </c>
      <c r="F3269" t="s">
        <v>351</v>
      </c>
      <c r="G3269" t="s">
        <v>22</v>
      </c>
      <c r="H3269" t="s">
        <v>50</v>
      </c>
      <c r="I3269" t="s">
        <v>24</v>
      </c>
      <c r="J3269" t="s">
        <v>25</v>
      </c>
      <c r="K3269" t="s">
        <v>53</v>
      </c>
      <c r="L3269" t="s">
        <v>44</v>
      </c>
      <c r="M3269">
        <v>3</v>
      </c>
      <c r="N3269" s="2">
        <v>23</v>
      </c>
      <c r="O3269" s="3">
        <v>3824</v>
      </c>
      <c r="P3269">
        <v>0</v>
      </c>
      <c r="Q3269">
        <v>4</v>
      </c>
      <c r="R3269" t="s">
        <v>28</v>
      </c>
      <c r="S3269">
        <v>1</v>
      </c>
    </row>
    <row r="3270" spans="1:19" ht="16.5" x14ac:dyDescent="0.3">
      <c r="A3270" t="s">
        <v>3333</v>
      </c>
      <c r="B3270" s="1">
        <v>45712</v>
      </c>
      <c r="C3270" s="1">
        <v>45716</v>
      </c>
      <c r="D3270">
        <v>2025</v>
      </c>
      <c r="E3270" t="s">
        <v>20</v>
      </c>
      <c r="F3270" t="s">
        <v>351</v>
      </c>
      <c r="G3270" t="s">
        <v>22</v>
      </c>
      <c r="H3270" t="s">
        <v>50</v>
      </c>
      <c r="I3270" t="s">
        <v>40</v>
      </c>
      <c r="J3270" t="s">
        <v>25</v>
      </c>
      <c r="K3270" t="s">
        <v>36</v>
      </c>
      <c r="L3270" t="s">
        <v>27</v>
      </c>
      <c r="M3270">
        <v>4</v>
      </c>
      <c r="N3270" s="2"/>
      <c r="O3270" s="3">
        <v>4724</v>
      </c>
      <c r="P3270">
        <v>0</v>
      </c>
      <c r="Q3270">
        <v>5</v>
      </c>
      <c r="R3270" t="s">
        <v>33</v>
      </c>
      <c r="S3270">
        <v>1</v>
      </c>
    </row>
    <row r="3271" spans="1:19" ht="16.5" x14ac:dyDescent="0.3">
      <c r="A3271" t="s">
        <v>3334</v>
      </c>
      <c r="B3271" s="1">
        <v>45712</v>
      </c>
      <c r="C3271" s="1">
        <v>45713</v>
      </c>
      <c r="D3271">
        <v>2025</v>
      </c>
      <c r="E3271" t="s">
        <v>20</v>
      </c>
      <c r="F3271" t="s">
        <v>351</v>
      </c>
      <c r="G3271" t="s">
        <v>22</v>
      </c>
      <c r="H3271" t="s">
        <v>39</v>
      </c>
      <c r="I3271" t="s">
        <v>40</v>
      </c>
      <c r="J3271" t="s">
        <v>43</v>
      </c>
      <c r="K3271" t="s">
        <v>41</v>
      </c>
      <c r="L3271" t="s">
        <v>37</v>
      </c>
      <c r="M3271">
        <v>1</v>
      </c>
      <c r="N3271" s="2"/>
      <c r="O3271" s="3">
        <v>1111</v>
      </c>
      <c r="P3271">
        <v>0</v>
      </c>
      <c r="Q3271">
        <v>4</v>
      </c>
      <c r="R3271" t="s">
        <v>59</v>
      </c>
      <c r="S3271">
        <v>1</v>
      </c>
    </row>
    <row r="3272" spans="1:19" ht="16.5" x14ac:dyDescent="0.3">
      <c r="A3272" t="s">
        <v>3335</v>
      </c>
      <c r="B3272" s="1">
        <v>45713</v>
      </c>
      <c r="C3272" s="1">
        <v>45722</v>
      </c>
      <c r="D3272">
        <v>2025</v>
      </c>
      <c r="E3272" t="s">
        <v>20</v>
      </c>
      <c r="F3272" t="s">
        <v>351</v>
      </c>
      <c r="G3272" t="s">
        <v>56</v>
      </c>
      <c r="H3272" t="s">
        <v>23</v>
      </c>
      <c r="I3272" t="s">
        <v>24</v>
      </c>
      <c r="J3272" t="s">
        <v>43</v>
      </c>
      <c r="K3272" t="s">
        <v>26</v>
      </c>
      <c r="L3272" t="s">
        <v>37</v>
      </c>
      <c r="M3272">
        <v>9</v>
      </c>
      <c r="N3272" s="2">
        <v>22</v>
      </c>
      <c r="O3272" s="3">
        <v>4621</v>
      </c>
      <c r="P3272">
        <v>0</v>
      </c>
      <c r="Q3272">
        <v>4</v>
      </c>
      <c r="R3272" t="s">
        <v>33</v>
      </c>
      <c r="S3272">
        <v>1</v>
      </c>
    </row>
    <row r="3273" spans="1:19" ht="16.5" x14ac:dyDescent="0.3">
      <c r="A3273" t="s">
        <v>3336</v>
      </c>
      <c r="B3273" s="1">
        <v>45713</v>
      </c>
      <c r="C3273" s="1">
        <v>45716</v>
      </c>
      <c r="D3273">
        <v>2025</v>
      </c>
      <c r="E3273" t="s">
        <v>20</v>
      </c>
      <c r="F3273" t="s">
        <v>351</v>
      </c>
      <c r="G3273" t="s">
        <v>56</v>
      </c>
      <c r="H3273" t="s">
        <v>23</v>
      </c>
      <c r="I3273" t="s">
        <v>24</v>
      </c>
      <c r="J3273" t="s">
        <v>25</v>
      </c>
      <c r="K3273" t="s">
        <v>26</v>
      </c>
      <c r="L3273" t="s">
        <v>37</v>
      </c>
      <c r="M3273">
        <v>3</v>
      </c>
      <c r="N3273" s="2">
        <v>16</v>
      </c>
      <c r="O3273" s="3">
        <v>3197</v>
      </c>
      <c r="P3273">
        <v>0</v>
      </c>
      <c r="Q3273">
        <v>4</v>
      </c>
      <c r="R3273" t="s">
        <v>59</v>
      </c>
      <c r="S3273">
        <v>1</v>
      </c>
    </row>
    <row r="3274" spans="1:19" ht="16.5" x14ac:dyDescent="0.3">
      <c r="A3274" t="s">
        <v>3337</v>
      </c>
      <c r="B3274" s="1">
        <v>45713</v>
      </c>
      <c r="C3274" s="1">
        <v>45716</v>
      </c>
      <c r="D3274">
        <v>2025</v>
      </c>
      <c r="E3274" t="s">
        <v>20</v>
      </c>
      <c r="F3274" t="s">
        <v>351</v>
      </c>
      <c r="G3274" t="s">
        <v>56</v>
      </c>
      <c r="H3274" t="s">
        <v>30</v>
      </c>
      <c r="I3274" t="s">
        <v>24</v>
      </c>
      <c r="J3274" t="s">
        <v>25</v>
      </c>
      <c r="K3274" t="s">
        <v>53</v>
      </c>
      <c r="L3274" t="s">
        <v>44</v>
      </c>
      <c r="M3274">
        <v>3</v>
      </c>
      <c r="N3274" s="2">
        <v>20</v>
      </c>
      <c r="O3274" s="3">
        <v>2926</v>
      </c>
      <c r="P3274">
        <v>0</v>
      </c>
      <c r="Q3274">
        <v>4</v>
      </c>
      <c r="R3274" t="s">
        <v>33</v>
      </c>
      <c r="S3274">
        <v>1</v>
      </c>
    </row>
    <row r="3275" spans="1:19" ht="16.5" x14ac:dyDescent="0.3">
      <c r="A3275" t="s">
        <v>3338</v>
      </c>
      <c r="B3275" s="1">
        <v>45713</v>
      </c>
      <c r="C3275" s="1">
        <v>45717</v>
      </c>
      <c r="D3275">
        <v>2025</v>
      </c>
      <c r="E3275" t="s">
        <v>20</v>
      </c>
      <c r="F3275" t="s">
        <v>351</v>
      </c>
      <c r="G3275" t="s">
        <v>56</v>
      </c>
      <c r="H3275" t="s">
        <v>50</v>
      </c>
      <c r="I3275" t="s">
        <v>40</v>
      </c>
      <c r="J3275" t="s">
        <v>25</v>
      </c>
      <c r="K3275" t="s">
        <v>36</v>
      </c>
      <c r="L3275" t="s">
        <v>27</v>
      </c>
      <c r="M3275">
        <v>4</v>
      </c>
      <c r="N3275" s="2"/>
      <c r="O3275" s="3">
        <v>5681</v>
      </c>
      <c r="P3275">
        <v>0</v>
      </c>
      <c r="Q3275">
        <v>5</v>
      </c>
      <c r="R3275" t="s">
        <v>33</v>
      </c>
      <c r="S3275">
        <v>1</v>
      </c>
    </row>
    <row r="3276" spans="1:19" ht="16.5" x14ac:dyDescent="0.3">
      <c r="A3276" t="s">
        <v>3339</v>
      </c>
      <c r="B3276" s="1">
        <v>45713</v>
      </c>
      <c r="C3276" s="1">
        <v>45714</v>
      </c>
      <c r="D3276">
        <v>2025</v>
      </c>
      <c r="E3276" t="s">
        <v>20</v>
      </c>
      <c r="F3276" t="s">
        <v>351</v>
      </c>
      <c r="G3276" t="s">
        <v>56</v>
      </c>
      <c r="H3276" t="s">
        <v>52</v>
      </c>
      <c r="I3276" t="s">
        <v>40</v>
      </c>
      <c r="J3276" t="s">
        <v>43</v>
      </c>
      <c r="K3276" t="s">
        <v>53</v>
      </c>
      <c r="L3276" t="s">
        <v>44</v>
      </c>
      <c r="M3276">
        <v>1</v>
      </c>
      <c r="N3276" s="2"/>
      <c r="O3276" s="3">
        <v>2056</v>
      </c>
      <c r="P3276">
        <v>0</v>
      </c>
      <c r="Q3276">
        <v>5</v>
      </c>
      <c r="R3276" t="s">
        <v>33</v>
      </c>
      <c r="S3276">
        <v>1</v>
      </c>
    </row>
    <row r="3277" spans="1:19" ht="16.5" x14ac:dyDescent="0.3">
      <c r="A3277" t="s">
        <v>3340</v>
      </c>
      <c r="B3277" s="1">
        <v>45713</v>
      </c>
      <c r="C3277" s="1">
        <v>45717</v>
      </c>
      <c r="D3277">
        <v>2025</v>
      </c>
      <c r="E3277" t="s">
        <v>20</v>
      </c>
      <c r="F3277" t="s">
        <v>351</v>
      </c>
      <c r="G3277" t="s">
        <v>56</v>
      </c>
      <c r="H3277" t="s">
        <v>52</v>
      </c>
      <c r="I3277" t="s">
        <v>24</v>
      </c>
      <c r="J3277" t="s">
        <v>43</v>
      </c>
      <c r="K3277" t="s">
        <v>26</v>
      </c>
      <c r="L3277" t="s">
        <v>44</v>
      </c>
      <c r="M3277">
        <v>4</v>
      </c>
      <c r="N3277" s="2">
        <v>68</v>
      </c>
      <c r="O3277" s="3">
        <v>4278</v>
      </c>
      <c r="P3277">
        <v>0</v>
      </c>
      <c r="Q3277">
        <v>3</v>
      </c>
      <c r="R3277" t="s">
        <v>165</v>
      </c>
      <c r="S3277">
        <v>1</v>
      </c>
    </row>
    <row r="3278" spans="1:19" ht="16.5" x14ac:dyDescent="0.3">
      <c r="A3278" t="s">
        <v>3341</v>
      </c>
      <c r="B3278" s="1">
        <v>45713</v>
      </c>
      <c r="C3278" s="1">
        <v>45715</v>
      </c>
      <c r="D3278">
        <v>2025</v>
      </c>
      <c r="E3278" t="s">
        <v>20</v>
      </c>
      <c r="F3278" t="s">
        <v>351</v>
      </c>
      <c r="G3278" t="s">
        <v>56</v>
      </c>
      <c r="H3278" t="s">
        <v>30</v>
      </c>
      <c r="I3278" t="s">
        <v>40</v>
      </c>
      <c r="J3278" t="s">
        <v>43</v>
      </c>
      <c r="K3278" t="s">
        <v>32</v>
      </c>
      <c r="L3278" t="s">
        <v>44</v>
      </c>
      <c r="M3278">
        <v>2</v>
      </c>
      <c r="N3278" s="2"/>
      <c r="O3278" s="3">
        <v>2794</v>
      </c>
      <c r="P3278">
        <v>0</v>
      </c>
      <c r="Q3278">
        <v>4</v>
      </c>
      <c r="R3278" t="s">
        <v>33</v>
      </c>
      <c r="S3278">
        <v>1</v>
      </c>
    </row>
    <row r="3279" spans="1:19" ht="16.5" x14ac:dyDescent="0.3">
      <c r="A3279" t="s">
        <v>3342</v>
      </c>
      <c r="B3279" s="1">
        <v>45714</v>
      </c>
      <c r="C3279" s="1">
        <v>45716</v>
      </c>
      <c r="D3279">
        <v>2025</v>
      </c>
      <c r="E3279" t="s">
        <v>20</v>
      </c>
      <c r="F3279" t="s">
        <v>351</v>
      </c>
      <c r="G3279" t="s">
        <v>70</v>
      </c>
      <c r="H3279" t="s">
        <v>50</v>
      </c>
      <c r="I3279" t="s">
        <v>31</v>
      </c>
      <c r="J3279" t="s">
        <v>43</v>
      </c>
      <c r="K3279" t="s">
        <v>53</v>
      </c>
      <c r="L3279" t="s">
        <v>44</v>
      </c>
      <c r="M3279">
        <v>2</v>
      </c>
      <c r="N3279" s="2"/>
      <c r="O3279" s="3">
        <v>3482</v>
      </c>
      <c r="P3279">
        <v>0</v>
      </c>
      <c r="Q3279">
        <v>5</v>
      </c>
      <c r="R3279" t="s">
        <v>165</v>
      </c>
      <c r="S3279">
        <v>1</v>
      </c>
    </row>
    <row r="3280" spans="1:19" ht="16.5" x14ac:dyDescent="0.3">
      <c r="A3280" t="s">
        <v>3343</v>
      </c>
      <c r="B3280" s="1">
        <v>45714</v>
      </c>
      <c r="C3280" s="1">
        <v>45716</v>
      </c>
      <c r="D3280">
        <v>2025</v>
      </c>
      <c r="E3280" t="s">
        <v>20</v>
      </c>
      <c r="F3280" t="s">
        <v>351</v>
      </c>
      <c r="G3280" t="s">
        <v>70</v>
      </c>
      <c r="H3280" t="s">
        <v>30</v>
      </c>
      <c r="I3280" t="s">
        <v>24</v>
      </c>
      <c r="J3280" t="s">
        <v>25</v>
      </c>
      <c r="K3280" t="s">
        <v>36</v>
      </c>
      <c r="L3280" t="s">
        <v>27</v>
      </c>
      <c r="M3280">
        <v>2</v>
      </c>
      <c r="N3280" s="2">
        <v>28</v>
      </c>
      <c r="O3280" s="3">
        <v>2792</v>
      </c>
      <c r="P3280">
        <v>0</v>
      </c>
      <c r="Q3280">
        <v>5</v>
      </c>
      <c r="R3280" t="s">
        <v>33</v>
      </c>
      <c r="S3280">
        <v>1</v>
      </c>
    </row>
    <row r="3281" spans="1:19" ht="16.5" x14ac:dyDescent="0.3">
      <c r="A3281" t="s">
        <v>3344</v>
      </c>
      <c r="B3281" s="1">
        <v>45714</v>
      </c>
      <c r="C3281" s="1">
        <v>45715</v>
      </c>
      <c r="D3281">
        <v>2025</v>
      </c>
      <c r="E3281" t="s">
        <v>20</v>
      </c>
      <c r="F3281" t="s">
        <v>351</v>
      </c>
      <c r="G3281" t="s">
        <v>70</v>
      </c>
      <c r="H3281" t="s">
        <v>52</v>
      </c>
      <c r="I3281" t="s">
        <v>40</v>
      </c>
      <c r="J3281" t="s">
        <v>25</v>
      </c>
      <c r="K3281" t="s">
        <v>53</v>
      </c>
      <c r="L3281" t="s">
        <v>27</v>
      </c>
      <c r="M3281">
        <v>1</v>
      </c>
      <c r="N3281" s="2"/>
      <c r="O3281" s="3">
        <v>1825</v>
      </c>
      <c r="P3281">
        <v>1</v>
      </c>
      <c r="Q3281">
        <v>4</v>
      </c>
      <c r="R3281" t="s">
        <v>28</v>
      </c>
      <c r="S3281">
        <v>1</v>
      </c>
    </row>
    <row r="3282" spans="1:19" ht="16.5" x14ac:dyDescent="0.3">
      <c r="A3282" t="s">
        <v>3345</v>
      </c>
      <c r="B3282" s="1">
        <v>45714</v>
      </c>
      <c r="C3282" s="1">
        <v>45718</v>
      </c>
      <c r="D3282">
        <v>2025</v>
      </c>
      <c r="E3282" t="s">
        <v>20</v>
      </c>
      <c r="F3282" t="s">
        <v>351</v>
      </c>
      <c r="G3282" t="s">
        <v>70</v>
      </c>
      <c r="H3282" t="s">
        <v>23</v>
      </c>
      <c r="I3282" t="s">
        <v>24</v>
      </c>
      <c r="J3282" t="s">
        <v>43</v>
      </c>
      <c r="K3282" t="s">
        <v>36</v>
      </c>
      <c r="L3282" t="s">
        <v>44</v>
      </c>
      <c r="M3282">
        <v>4</v>
      </c>
      <c r="N3282" s="2">
        <v>121</v>
      </c>
      <c r="O3282" s="3">
        <v>3830</v>
      </c>
      <c r="P3282">
        <v>0</v>
      </c>
      <c r="Q3282">
        <v>3</v>
      </c>
      <c r="R3282" t="s">
        <v>33</v>
      </c>
      <c r="S3282">
        <v>1</v>
      </c>
    </row>
    <row r="3283" spans="1:19" ht="16.5" x14ac:dyDescent="0.3">
      <c r="A3283" t="s">
        <v>3346</v>
      </c>
      <c r="B3283" s="1">
        <v>45714</v>
      </c>
      <c r="C3283" s="1">
        <v>45719</v>
      </c>
      <c r="D3283">
        <v>2025</v>
      </c>
      <c r="E3283" t="s">
        <v>20</v>
      </c>
      <c r="F3283" t="s">
        <v>351</v>
      </c>
      <c r="G3283" t="s">
        <v>70</v>
      </c>
      <c r="H3283" t="s">
        <v>23</v>
      </c>
      <c r="I3283" t="s">
        <v>40</v>
      </c>
      <c r="J3283" t="s">
        <v>25</v>
      </c>
      <c r="K3283" t="s">
        <v>26</v>
      </c>
      <c r="L3283" t="s">
        <v>44</v>
      </c>
      <c r="M3283">
        <v>5</v>
      </c>
      <c r="N3283" s="2"/>
      <c r="O3283" s="3">
        <v>5275</v>
      </c>
      <c r="P3283">
        <v>0</v>
      </c>
      <c r="Q3283">
        <v>4</v>
      </c>
      <c r="R3283" t="s">
        <v>33</v>
      </c>
      <c r="S3283">
        <v>1</v>
      </c>
    </row>
    <row r="3284" spans="1:19" ht="16.5" x14ac:dyDescent="0.3">
      <c r="A3284" t="s">
        <v>3347</v>
      </c>
      <c r="B3284" s="1">
        <v>45714</v>
      </c>
      <c r="C3284" s="1">
        <v>45722</v>
      </c>
      <c r="D3284">
        <v>2025</v>
      </c>
      <c r="E3284" t="s">
        <v>20</v>
      </c>
      <c r="F3284" t="s">
        <v>351</v>
      </c>
      <c r="G3284" t="s">
        <v>70</v>
      </c>
      <c r="H3284" t="s">
        <v>23</v>
      </c>
      <c r="I3284" t="s">
        <v>24</v>
      </c>
      <c r="J3284" t="s">
        <v>25</v>
      </c>
      <c r="K3284" t="s">
        <v>26</v>
      </c>
      <c r="L3284" t="s">
        <v>27</v>
      </c>
      <c r="M3284">
        <v>8</v>
      </c>
      <c r="N3284" s="2">
        <v>35</v>
      </c>
      <c r="O3284" s="3">
        <v>5696</v>
      </c>
      <c r="P3284">
        <v>0</v>
      </c>
      <c r="Q3284">
        <v>3</v>
      </c>
      <c r="R3284" t="s">
        <v>33</v>
      </c>
      <c r="S3284">
        <v>1</v>
      </c>
    </row>
    <row r="3285" spans="1:19" ht="16.5" x14ac:dyDescent="0.3">
      <c r="A3285" t="s">
        <v>3348</v>
      </c>
      <c r="B3285" s="1">
        <v>45714</v>
      </c>
      <c r="C3285" s="1">
        <v>45725</v>
      </c>
      <c r="D3285">
        <v>2025</v>
      </c>
      <c r="E3285" t="s">
        <v>20</v>
      </c>
      <c r="F3285" t="s">
        <v>351</v>
      </c>
      <c r="G3285" t="s">
        <v>70</v>
      </c>
      <c r="H3285" t="s">
        <v>30</v>
      </c>
      <c r="I3285" t="s">
        <v>40</v>
      </c>
      <c r="J3285" t="s">
        <v>43</v>
      </c>
      <c r="K3285" t="s">
        <v>26</v>
      </c>
      <c r="L3285" t="s">
        <v>44</v>
      </c>
      <c r="M3285">
        <v>11</v>
      </c>
      <c r="N3285" s="2"/>
      <c r="O3285" s="3">
        <v>11564</v>
      </c>
      <c r="P3285">
        <v>1</v>
      </c>
      <c r="Q3285">
        <v>4</v>
      </c>
      <c r="R3285" t="s">
        <v>33</v>
      </c>
      <c r="S3285">
        <v>1</v>
      </c>
    </row>
    <row r="3286" spans="1:19" ht="16.5" x14ac:dyDescent="0.3">
      <c r="A3286" t="s">
        <v>3349</v>
      </c>
      <c r="B3286" s="1">
        <v>45714</v>
      </c>
      <c r="C3286" s="1">
        <v>45719</v>
      </c>
      <c r="D3286">
        <v>2025</v>
      </c>
      <c r="E3286" t="s">
        <v>20</v>
      </c>
      <c r="F3286" t="s">
        <v>351</v>
      </c>
      <c r="G3286" t="s">
        <v>70</v>
      </c>
      <c r="H3286" t="s">
        <v>50</v>
      </c>
      <c r="I3286" t="s">
        <v>24</v>
      </c>
      <c r="J3286" t="s">
        <v>25</v>
      </c>
      <c r="K3286" t="s">
        <v>32</v>
      </c>
      <c r="L3286" t="s">
        <v>27</v>
      </c>
      <c r="M3286">
        <v>5</v>
      </c>
      <c r="N3286" s="2">
        <v>27</v>
      </c>
      <c r="O3286" s="3">
        <v>6365</v>
      </c>
      <c r="P3286">
        <v>1</v>
      </c>
      <c r="Q3286">
        <v>4</v>
      </c>
      <c r="R3286" t="s">
        <v>33</v>
      </c>
      <c r="S3286">
        <v>1</v>
      </c>
    </row>
    <row r="3287" spans="1:19" ht="16.5" x14ac:dyDescent="0.3">
      <c r="A3287" t="s">
        <v>3350</v>
      </c>
      <c r="B3287" s="1">
        <v>45714</v>
      </c>
      <c r="C3287" s="1">
        <v>45716</v>
      </c>
      <c r="D3287">
        <v>2025</v>
      </c>
      <c r="E3287" t="s">
        <v>20</v>
      </c>
      <c r="F3287" t="s">
        <v>351</v>
      </c>
      <c r="G3287" t="s">
        <v>70</v>
      </c>
      <c r="H3287" t="s">
        <v>23</v>
      </c>
      <c r="I3287" t="s">
        <v>24</v>
      </c>
      <c r="J3287" t="s">
        <v>43</v>
      </c>
      <c r="K3287" t="s">
        <v>32</v>
      </c>
      <c r="L3287" t="s">
        <v>27</v>
      </c>
      <c r="M3287">
        <v>2</v>
      </c>
      <c r="N3287" s="2">
        <v>70</v>
      </c>
      <c r="O3287" s="3">
        <v>1376</v>
      </c>
      <c r="P3287">
        <v>0</v>
      </c>
      <c r="Q3287">
        <v>5</v>
      </c>
      <c r="R3287" t="s">
        <v>33</v>
      </c>
      <c r="S3287">
        <v>1</v>
      </c>
    </row>
    <row r="3288" spans="1:19" ht="16.5" x14ac:dyDescent="0.3">
      <c r="A3288" t="s">
        <v>3351</v>
      </c>
      <c r="B3288" s="1">
        <v>45714</v>
      </c>
      <c r="C3288" s="1">
        <v>45715</v>
      </c>
      <c r="D3288">
        <v>2025</v>
      </c>
      <c r="E3288" t="s">
        <v>20</v>
      </c>
      <c r="F3288" t="s">
        <v>351</v>
      </c>
      <c r="G3288" t="s">
        <v>70</v>
      </c>
      <c r="H3288" t="s">
        <v>30</v>
      </c>
      <c r="I3288" t="s">
        <v>24</v>
      </c>
      <c r="J3288" t="s">
        <v>43</v>
      </c>
      <c r="K3288" t="s">
        <v>53</v>
      </c>
      <c r="L3288" t="s">
        <v>27</v>
      </c>
      <c r="M3288">
        <v>1</v>
      </c>
      <c r="N3288" s="2">
        <v>16</v>
      </c>
      <c r="O3288" s="3">
        <v>1832</v>
      </c>
      <c r="P3288">
        <v>0</v>
      </c>
      <c r="Q3288">
        <v>4</v>
      </c>
      <c r="R3288" t="s">
        <v>33</v>
      </c>
      <c r="S3288">
        <v>1</v>
      </c>
    </row>
    <row r="3289" spans="1:19" ht="16.5" x14ac:dyDescent="0.3">
      <c r="A3289" t="s">
        <v>3352</v>
      </c>
      <c r="B3289" s="1">
        <v>45714</v>
      </c>
      <c r="C3289" s="1">
        <v>45715</v>
      </c>
      <c r="D3289">
        <v>2025</v>
      </c>
      <c r="E3289" t="s">
        <v>20</v>
      </c>
      <c r="F3289" t="s">
        <v>351</v>
      </c>
      <c r="G3289" t="s">
        <v>70</v>
      </c>
      <c r="H3289" t="s">
        <v>50</v>
      </c>
      <c r="I3289" t="s">
        <v>24</v>
      </c>
      <c r="J3289" t="s">
        <v>43</v>
      </c>
      <c r="K3289" t="s">
        <v>53</v>
      </c>
      <c r="L3289" t="s">
        <v>27</v>
      </c>
      <c r="M3289">
        <v>1</v>
      </c>
      <c r="N3289" s="2">
        <v>92</v>
      </c>
      <c r="O3289" s="3">
        <v>1919</v>
      </c>
      <c r="P3289">
        <v>0</v>
      </c>
      <c r="Q3289">
        <v>2</v>
      </c>
      <c r="R3289" t="s">
        <v>33</v>
      </c>
      <c r="S3289">
        <v>1</v>
      </c>
    </row>
    <row r="3290" spans="1:19" ht="16.5" x14ac:dyDescent="0.3">
      <c r="A3290" t="s">
        <v>3353</v>
      </c>
      <c r="B3290" s="1">
        <v>45714</v>
      </c>
      <c r="C3290" s="1">
        <v>45717</v>
      </c>
      <c r="D3290">
        <v>2025</v>
      </c>
      <c r="E3290" t="s">
        <v>20</v>
      </c>
      <c r="F3290" t="s">
        <v>351</v>
      </c>
      <c r="G3290" t="s">
        <v>70</v>
      </c>
      <c r="H3290" t="s">
        <v>23</v>
      </c>
      <c r="I3290" t="s">
        <v>31</v>
      </c>
      <c r="J3290" t="s">
        <v>25</v>
      </c>
      <c r="K3290" t="s">
        <v>53</v>
      </c>
      <c r="L3290" t="s">
        <v>44</v>
      </c>
      <c r="M3290">
        <v>3</v>
      </c>
      <c r="N3290" s="2"/>
      <c r="O3290" s="3">
        <v>3510</v>
      </c>
      <c r="P3290">
        <v>0</v>
      </c>
      <c r="Q3290">
        <v>5</v>
      </c>
      <c r="R3290" t="s">
        <v>28</v>
      </c>
      <c r="S3290">
        <v>1</v>
      </c>
    </row>
    <row r="3291" spans="1:19" ht="16.5" x14ac:dyDescent="0.3">
      <c r="A3291" t="s">
        <v>3354</v>
      </c>
      <c r="B3291" s="1">
        <v>45714</v>
      </c>
      <c r="C3291" s="1">
        <v>45721</v>
      </c>
      <c r="D3291">
        <v>2025</v>
      </c>
      <c r="E3291" t="s">
        <v>20</v>
      </c>
      <c r="F3291" t="s">
        <v>351</v>
      </c>
      <c r="G3291" t="s">
        <v>70</v>
      </c>
      <c r="H3291" t="s">
        <v>52</v>
      </c>
      <c r="I3291" t="s">
        <v>24</v>
      </c>
      <c r="J3291" t="s">
        <v>43</v>
      </c>
      <c r="K3291" t="s">
        <v>26</v>
      </c>
      <c r="L3291" t="s">
        <v>27</v>
      </c>
      <c r="M3291">
        <v>7</v>
      </c>
      <c r="N3291" s="2">
        <v>76</v>
      </c>
      <c r="O3291" s="3">
        <v>7658</v>
      </c>
      <c r="P3291">
        <v>0</v>
      </c>
      <c r="Q3291">
        <v>4</v>
      </c>
      <c r="R3291" t="s">
        <v>28</v>
      </c>
      <c r="S3291">
        <v>1</v>
      </c>
    </row>
    <row r="3292" spans="1:19" ht="16.5" x14ac:dyDescent="0.3">
      <c r="A3292" t="s">
        <v>3355</v>
      </c>
      <c r="B3292" s="1">
        <v>45714</v>
      </c>
      <c r="C3292" s="1">
        <v>45717</v>
      </c>
      <c r="D3292">
        <v>2025</v>
      </c>
      <c r="E3292" t="s">
        <v>20</v>
      </c>
      <c r="F3292" t="s">
        <v>351</v>
      </c>
      <c r="G3292" t="s">
        <v>70</v>
      </c>
      <c r="H3292" t="s">
        <v>23</v>
      </c>
      <c r="I3292" t="s">
        <v>24</v>
      </c>
      <c r="J3292" t="s">
        <v>25</v>
      </c>
      <c r="K3292" t="s">
        <v>32</v>
      </c>
      <c r="L3292" t="s">
        <v>27</v>
      </c>
      <c r="M3292">
        <v>3</v>
      </c>
      <c r="N3292" s="2">
        <v>79</v>
      </c>
      <c r="O3292" s="3">
        <v>2935</v>
      </c>
      <c r="P3292">
        <v>1</v>
      </c>
      <c r="Q3292">
        <v>3</v>
      </c>
      <c r="R3292" t="s">
        <v>33</v>
      </c>
      <c r="S3292">
        <v>1</v>
      </c>
    </row>
    <row r="3293" spans="1:19" ht="16.5" x14ac:dyDescent="0.3">
      <c r="A3293" t="s">
        <v>3356</v>
      </c>
      <c r="B3293" s="1">
        <v>45714</v>
      </c>
      <c r="C3293" s="1">
        <v>45715</v>
      </c>
      <c r="D3293">
        <v>2025</v>
      </c>
      <c r="E3293" t="s">
        <v>20</v>
      </c>
      <c r="F3293" t="s">
        <v>351</v>
      </c>
      <c r="G3293" t="s">
        <v>70</v>
      </c>
      <c r="H3293" t="s">
        <v>52</v>
      </c>
      <c r="I3293" t="s">
        <v>24</v>
      </c>
      <c r="J3293" t="s">
        <v>25</v>
      </c>
      <c r="K3293" t="s">
        <v>36</v>
      </c>
      <c r="L3293" t="s">
        <v>44</v>
      </c>
      <c r="M3293">
        <v>1</v>
      </c>
      <c r="N3293" s="2">
        <v>174</v>
      </c>
      <c r="O3293" s="3">
        <v>2050</v>
      </c>
      <c r="P3293">
        <v>1</v>
      </c>
      <c r="Q3293">
        <v>3</v>
      </c>
      <c r="R3293" t="s">
        <v>28</v>
      </c>
      <c r="S3293">
        <v>1</v>
      </c>
    </row>
    <row r="3294" spans="1:19" ht="16.5" x14ac:dyDescent="0.3">
      <c r="A3294" t="s">
        <v>3357</v>
      </c>
      <c r="B3294" s="1">
        <v>45714</v>
      </c>
      <c r="C3294" s="1">
        <v>45722</v>
      </c>
      <c r="D3294">
        <v>2025</v>
      </c>
      <c r="E3294" t="s">
        <v>20</v>
      </c>
      <c r="F3294" t="s">
        <v>351</v>
      </c>
      <c r="G3294" t="s">
        <v>70</v>
      </c>
      <c r="H3294" t="s">
        <v>50</v>
      </c>
      <c r="I3294" t="s">
        <v>24</v>
      </c>
      <c r="J3294" t="s">
        <v>43</v>
      </c>
      <c r="K3294" t="s">
        <v>36</v>
      </c>
      <c r="L3294" t="s">
        <v>44</v>
      </c>
      <c r="M3294">
        <v>8</v>
      </c>
      <c r="N3294" s="2">
        <v>115</v>
      </c>
      <c r="O3294" s="3">
        <v>9868</v>
      </c>
      <c r="P3294">
        <v>0</v>
      </c>
      <c r="Q3294">
        <v>4</v>
      </c>
      <c r="R3294" t="s">
        <v>33</v>
      </c>
      <c r="S3294">
        <v>1</v>
      </c>
    </row>
    <row r="3295" spans="1:19" ht="16.5" x14ac:dyDescent="0.3">
      <c r="A3295" t="s">
        <v>3358</v>
      </c>
      <c r="B3295" s="1">
        <v>45715</v>
      </c>
      <c r="C3295" s="1">
        <v>45722</v>
      </c>
      <c r="D3295">
        <v>2025</v>
      </c>
      <c r="E3295" t="s">
        <v>20</v>
      </c>
      <c r="F3295" t="s">
        <v>351</v>
      </c>
      <c r="G3295" t="s">
        <v>78</v>
      </c>
      <c r="H3295" t="s">
        <v>35</v>
      </c>
      <c r="I3295" t="s">
        <v>31</v>
      </c>
      <c r="J3295" t="s">
        <v>25</v>
      </c>
      <c r="K3295" t="s">
        <v>36</v>
      </c>
      <c r="L3295" t="s">
        <v>27</v>
      </c>
      <c r="M3295">
        <v>7</v>
      </c>
      <c r="N3295" s="2"/>
      <c r="O3295" s="3">
        <v>3907</v>
      </c>
      <c r="P3295">
        <v>0</v>
      </c>
      <c r="Q3295">
        <v>4</v>
      </c>
      <c r="R3295" t="s">
        <v>165</v>
      </c>
      <c r="S3295">
        <v>1</v>
      </c>
    </row>
    <row r="3296" spans="1:19" ht="16.5" x14ac:dyDescent="0.3">
      <c r="A3296" t="s">
        <v>3359</v>
      </c>
      <c r="B3296" s="1">
        <v>45715</v>
      </c>
      <c r="C3296" s="1">
        <v>45717</v>
      </c>
      <c r="D3296">
        <v>2025</v>
      </c>
      <c r="E3296" t="s">
        <v>20</v>
      </c>
      <c r="F3296" t="s">
        <v>351</v>
      </c>
      <c r="G3296" t="s">
        <v>78</v>
      </c>
      <c r="H3296" t="s">
        <v>30</v>
      </c>
      <c r="I3296" t="s">
        <v>24</v>
      </c>
      <c r="J3296" t="s">
        <v>25</v>
      </c>
      <c r="K3296" t="s">
        <v>53</v>
      </c>
      <c r="L3296" t="s">
        <v>27</v>
      </c>
      <c r="M3296">
        <v>2</v>
      </c>
      <c r="N3296" s="2">
        <v>76</v>
      </c>
      <c r="O3296" s="3">
        <v>3256</v>
      </c>
      <c r="P3296">
        <v>0</v>
      </c>
      <c r="Q3296">
        <v>4</v>
      </c>
      <c r="R3296" t="s">
        <v>28</v>
      </c>
      <c r="S3296">
        <v>1</v>
      </c>
    </row>
    <row r="3297" spans="1:19" ht="16.5" x14ac:dyDescent="0.3">
      <c r="A3297" t="s">
        <v>3360</v>
      </c>
      <c r="B3297" s="1">
        <v>45715</v>
      </c>
      <c r="C3297" s="1">
        <v>45717</v>
      </c>
      <c r="D3297">
        <v>2025</v>
      </c>
      <c r="E3297" t="s">
        <v>20</v>
      </c>
      <c r="F3297" t="s">
        <v>351</v>
      </c>
      <c r="G3297" t="s">
        <v>78</v>
      </c>
      <c r="H3297" t="s">
        <v>30</v>
      </c>
      <c r="I3297" t="s">
        <v>40</v>
      </c>
      <c r="J3297" t="s">
        <v>43</v>
      </c>
      <c r="K3297" t="s">
        <v>26</v>
      </c>
      <c r="L3297" t="s">
        <v>37</v>
      </c>
      <c r="M3297">
        <v>2</v>
      </c>
      <c r="N3297" s="2"/>
      <c r="O3297" s="3">
        <v>3001</v>
      </c>
      <c r="P3297">
        <v>0</v>
      </c>
      <c r="Q3297">
        <v>4</v>
      </c>
      <c r="R3297" t="s">
        <v>33</v>
      </c>
      <c r="S3297">
        <v>1</v>
      </c>
    </row>
    <row r="3298" spans="1:19" ht="16.5" x14ac:dyDescent="0.3">
      <c r="A3298" t="s">
        <v>3361</v>
      </c>
      <c r="B3298" s="1">
        <v>45715</v>
      </c>
      <c r="C3298" s="1">
        <v>45716</v>
      </c>
      <c r="D3298">
        <v>2025</v>
      </c>
      <c r="E3298" t="s">
        <v>20</v>
      </c>
      <c r="F3298" t="s">
        <v>351</v>
      </c>
      <c r="G3298" t="s">
        <v>78</v>
      </c>
      <c r="H3298" t="s">
        <v>35</v>
      </c>
      <c r="I3298" t="s">
        <v>24</v>
      </c>
      <c r="J3298" t="s">
        <v>25</v>
      </c>
      <c r="K3298" t="s">
        <v>36</v>
      </c>
      <c r="L3298" t="s">
        <v>27</v>
      </c>
      <c r="M3298">
        <v>1</v>
      </c>
      <c r="N3298" s="2">
        <v>88</v>
      </c>
      <c r="O3298" s="3">
        <v>1923</v>
      </c>
      <c r="P3298">
        <v>0</v>
      </c>
      <c r="Q3298">
        <v>4</v>
      </c>
      <c r="R3298" t="s">
        <v>33</v>
      </c>
      <c r="S3298">
        <v>1</v>
      </c>
    </row>
    <row r="3299" spans="1:19" ht="16.5" x14ac:dyDescent="0.3">
      <c r="A3299" t="s">
        <v>3362</v>
      </c>
      <c r="B3299" s="1">
        <v>45715</v>
      </c>
      <c r="C3299" s="1">
        <v>45717</v>
      </c>
      <c r="D3299">
        <v>2025</v>
      </c>
      <c r="E3299" t="s">
        <v>20</v>
      </c>
      <c r="F3299" t="s">
        <v>351</v>
      </c>
      <c r="G3299" t="s">
        <v>78</v>
      </c>
      <c r="H3299" t="s">
        <v>35</v>
      </c>
      <c r="I3299" t="s">
        <v>24</v>
      </c>
      <c r="J3299" t="s">
        <v>25</v>
      </c>
      <c r="K3299" t="s">
        <v>32</v>
      </c>
      <c r="L3299" t="s">
        <v>27</v>
      </c>
      <c r="M3299">
        <v>2</v>
      </c>
      <c r="N3299" s="2">
        <v>58</v>
      </c>
      <c r="O3299" s="3">
        <v>2297</v>
      </c>
      <c r="P3299">
        <v>0</v>
      </c>
      <c r="Q3299">
        <v>4</v>
      </c>
      <c r="R3299" t="s">
        <v>33</v>
      </c>
      <c r="S3299">
        <v>1</v>
      </c>
    </row>
    <row r="3300" spans="1:19" ht="16.5" x14ac:dyDescent="0.3">
      <c r="A3300" t="s">
        <v>3363</v>
      </c>
      <c r="B3300" s="1">
        <v>45715</v>
      </c>
      <c r="C3300" s="1">
        <v>45719</v>
      </c>
      <c r="D3300">
        <v>2025</v>
      </c>
      <c r="E3300" t="s">
        <v>20</v>
      </c>
      <c r="F3300" t="s">
        <v>351</v>
      </c>
      <c r="G3300" t="s">
        <v>78</v>
      </c>
      <c r="H3300" t="s">
        <v>39</v>
      </c>
      <c r="I3300" t="s">
        <v>24</v>
      </c>
      <c r="J3300" t="s">
        <v>43</v>
      </c>
      <c r="K3300" t="s">
        <v>41</v>
      </c>
      <c r="L3300" t="s">
        <v>44</v>
      </c>
      <c r="M3300">
        <v>4</v>
      </c>
      <c r="N3300" s="2">
        <v>48</v>
      </c>
      <c r="O3300" s="3">
        <v>2712</v>
      </c>
      <c r="P3300">
        <v>0</v>
      </c>
      <c r="Q3300">
        <v>4</v>
      </c>
      <c r="R3300" t="s">
        <v>33</v>
      </c>
      <c r="S3300">
        <v>1</v>
      </c>
    </row>
    <row r="3301" spans="1:19" ht="16.5" x14ac:dyDescent="0.3">
      <c r="A3301" t="s">
        <v>3364</v>
      </c>
      <c r="B3301" s="1">
        <v>45715</v>
      </c>
      <c r="C3301" s="1">
        <v>45724</v>
      </c>
      <c r="D3301">
        <v>2025</v>
      </c>
      <c r="E3301" t="s">
        <v>20</v>
      </c>
      <c r="F3301" t="s">
        <v>351</v>
      </c>
      <c r="G3301" t="s">
        <v>78</v>
      </c>
      <c r="H3301" t="s">
        <v>30</v>
      </c>
      <c r="I3301" t="s">
        <v>40</v>
      </c>
      <c r="J3301" t="s">
        <v>25</v>
      </c>
      <c r="K3301" t="s">
        <v>36</v>
      </c>
      <c r="L3301" t="s">
        <v>44</v>
      </c>
      <c r="M3301">
        <v>9</v>
      </c>
      <c r="N3301" s="2"/>
      <c r="O3301" s="3">
        <v>12036</v>
      </c>
      <c r="P3301">
        <v>1</v>
      </c>
      <c r="Q3301">
        <v>4</v>
      </c>
      <c r="R3301" t="s">
        <v>33</v>
      </c>
      <c r="S3301">
        <v>1</v>
      </c>
    </row>
    <row r="3302" spans="1:19" ht="16.5" x14ac:dyDescent="0.3">
      <c r="A3302" t="s">
        <v>3365</v>
      </c>
      <c r="B3302" s="1">
        <v>45715</v>
      </c>
      <c r="C3302" s="1">
        <v>45717</v>
      </c>
      <c r="D3302">
        <v>2025</v>
      </c>
      <c r="E3302" t="s">
        <v>20</v>
      </c>
      <c r="F3302" t="s">
        <v>351</v>
      </c>
      <c r="G3302" t="s">
        <v>78</v>
      </c>
      <c r="H3302" t="s">
        <v>50</v>
      </c>
      <c r="I3302" t="s">
        <v>40</v>
      </c>
      <c r="J3302" t="s">
        <v>25</v>
      </c>
      <c r="K3302" t="s">
        <v>36</v>
      </c>
      <c r="L3302" t="s">
        <v>27</v>
      </c>
      <c r="M3302">
        <v>2</v>
      </c>
      <c r="N3302" s="2"/>
      <c r="O3302" s="3">
        <v>3070</v>
      </c>
      <c r="P3302">
        <v>0</v>
      </c>
      <c r="Q3302">
        <v>4</v>
      </c>
      <c r="R3302" t="s">
        <v>33</v>
      </c>
      <c r="S3302">
        <v>1</v>
      </c>
    </row>
    <row r="3303" spans="1:19" ht="16.5" x14ac:dyDescent="0.3">
      <c r="A3303" t="s">
        <v>3366</v>
      </c>
      <c r="B3303" s="1">
        <v>45715</v>
      </c>
      <c r="C3303" s="1">
        <v>45720</v>
      </c>
      <c r="D3303">
        <v>2025</v>
      </c>
      <c r="E3303" t="s">
        <v>20</v>
      </c>
      <c r="F3303" t="s">
        <v>351</v>
      </c>
      <c r="G3303" t="s">
        <v>78</v>
      </c>
      <c r="H3303" t="s">
        <v>30</v>
      </c>
      <c r="I3303" t="s">
        <v>24</v>
      </c>
      <c r="J3303" t="s">
        <v>25</v>
      </c>
      <c r="K3303" t="s">
        <v>32</v>
      </c>
      <c r="L3303" t="s">
        <v>44</v>
      </c>
      <c r="M3303">
        <v>5</v>
      </c>
      <c r="N3303" s="2">
        <v>30</v>
      </c>
      <c r="O3303" s="3">
        <v>5811</v>
      </c>
      <c r="P3303">
        <v>0</v>
      </c>
      <c r="Q3303">
        <v>5</v>
      </c>
      <c r="R3303" t="s">
        <v>28</v>
      </c>
      <c r="S3303">
        <v>1</v>
      </c>
    </row>
    <row r="3304" spans="1:19" ht="16.5" x14ac:dyDescent="0.3">
      <c r="A3304" t="s">
        <v>3367</v>
      </c>
      <c r="B3304" s="1">
        <v>45715</v>
      </c>
      <c r="C3304" s="1">
        <v>45720</v>
      </c>
      <c r="D3304">
        <v>2025</v>
      </c>
      <c r="E3304" t="s">
        <v>20</v>
      </c>
      <c r="F3304" t="s">
        <v>351</v>
      </c>
      <c r="G3304" t="s">
        <v>78</v>
      </c>
      <c r="H3304" t="s">
        <v>50</v>
      </c>
      <c r="I3304" t="s">
        <v>24</v>
      </c>
      <c r="J3304" t="s">
        <v>25</v>
      </c>
      <c r="K3304" t="s">
        <v>26</v>
      </c>
      <c r="L3304" t="s">
        <v>27</v>
      </c>
      <c r="M3304">
        <v>5</v>
      </c>
      <c r="N3304" s="2">
        <v>42</v>
      </c>
      <c r="O3304" s="3">
        <v>5127</v>
      </c>
      <c r="P3304">
        <v>1</v>
      </c>
      <c r="Q3304">
        <v>4</v>
      </c>
      <c r="R3304" t="s">
        <v>28</v>
      </c>
      <c r="S3304">
        <v>1</v>
      </c>
    </row>
    <row r="3305" spans="1:19" ht="16.5" x14ac:dyDescent="0.3">
      <c r="A3305" t="s">
        <v>3368</v>
      </c>
      <c r="B3305" s="1">
        <v>45716</v>
      </c>
      <c r="C3305" s="1">
        <v>45720</v>
      </c>
      <c r="D3305">
        <v>2025</v>
      </c>
      <c r="E3305" t="s">
        <v>20</v>
      </c>
      <c r="F3305" t="s">
        <v>351</v>
      </c>
      <c r="G3305" t="s">
        <v>83</v>
      </c>
      <c r="H3305" t="s">
        <v>50</v>
      </c>
      <c r="I3305" t="s">
        <v>24</v>
      </c>
      <c r="J3305" t="s">
        <v>25</v>
      </c>
      <c r="K3305" t="s">
        <v>32</v>
      </c>
      <c r="L3305" t="s">
        <v>44</v>
      </c>
      <c r="M3305">
        <v>4</v>
      </c>
      <c r="N3305" s="2">
        <v>134</v>
      </c>
      <c r="O3305" s="3">
        <v>5575</v>
      </c>
      <c r="P3305">
        <v>0</v>
      </c>
      <c r="Q3305">
        <v>3</v>
      </c>
      <c r="R3305" t="s">
        <v>28</v>
      </c>
      <c r="S3305">
        <v>1</v>
      </c>
    </row>
    <row r="3306" spans="1:19" ht="16.5" x14ac:dyDescent="0.3">
      <c r="A3306" t="s">
        <v>3369</v>
      </c>
      <c r="B3306" s="1">
        <v>45716</v>
      </c>
      <c r="C3306" s="1">
        <v>45718</v>
      </c>
      <c r="D3306">
        <v>2025</v>
      </c>
      <c r="E3306" t="s">
        <v>20</v>
      </c>
      <c r="F3306" t="s">
        <v>351</v>
      </c>
      <c r="G3306" t="s">
        <v>83</v>
      </c>
      <c r="H3306" t="s">
        <v>50</v>
      </c>
      <c r="I3306" t="s">
        <v>40</v>
      </c>
      <c r="J3306" t="s">
        <v>25</v>
      </c>
      <c r="K3306" t="s">
        <v>32</v>
      </c>
      <c r="L3306" t="s">
        <v>44</v>
      </c>
      <c r="M3306">
        <v>2</v>
      </c>
      <c r="N3306" s="2"/>
      <c r="O3306" s="3">
        <v>3683</v>
      </c>
      <c r="P3306">
        <v>0</v>
      </c>
      <c r="Q3306">
        <v>4</v>
      </c>
      <c r="R3306" t="s">
        <v>33</v>
      </c>
      <c r="S3306">
        <v>1</v>
      </c>
    </row>
    <row r="3307" spans="1:19" ht="16.5" x14ac:dyDescent="0.3">
      <c r="A3307" t="s">
        <v>3370</v>
      </c>
      <c r="B3307" s="1">
        <v>45716</v>
      </c>
      <c r="C3307" s="1">
        <v>45729</v>
      </c>
      <c r="D3307">
        <v>2025</v>
      </c>
      <c r="E3307" t="s">
        <v>20</v>
      </c>
      <c r="F3307" t="s">
        <v>351</v>
      </c>
      <c r="G3307" t="s">
        <v>83</v>
      </c>
      <c r="H3307" t="s">
        <v>50</v>
      </c>
      <c r="I3307" t="s">
        <v>24</v>
      </c>
      <c r="J3307" t="s">
        <v>43</v>
      </c>
      <c r="K3307" t="s">
        <v>26</v>
      </c>
      <c r="L3307" t="s">
        <v>44</v>
      </c>
      <c r="M3307">
        <v>13</v>
      </c>
      <c r="N3307" s="2">
        <v>99</v>
      </c>
      <c r="O3307" s="3">
        <v>19171</v>
      </c>
      <c r="P3307">
        <v>0</v>
      </c>
      <c r="Q3307">
        <v>4</v>
      </c>
      <c r="R3307" t="s">
        <v>33</v>
      </c>
      <c r="S3307">
        <v>1</v>
      </c>
    </row>
    <row r="3308" spans="1:19" ht="16.5" x14ac:dyDescent="0.3">
      <c r="A3308" t="s">
        <v>3371</v>
      </c>
      <c r="B3308" s="1">
        <v>45716</v>
      </c>
      <c r="C3308" s="1">
        <v>45718</v>
      </c>
      <c r="D3308">
        <v>2025</v>
      </c>
      <c r="E3308" t="s">
        <v>20</v>
      </c>
      <c r="F3308" t="s">
        <v>351</v>
      </c>
      <c r="G3308" t="s">
        <v>83</v>
      </c>
      <c r="H3308" t="s">
        <v>35</v>
      </c>
      <c r="I3308" t="s">
        <v>24</v>
      </c>
      <c r="J3308" t="s">
        <v>25</v>
      </c>
      <c r="K3308" t="s">
        <v>32</v>
      </c>
      <c r="L3308" t="s">
        <v>44</v>
      </c>
      <c r="M3308">
        <v>2</v>
      </c>
      <c r="N3308" s="2">
        <v>39</v>
      </c>
      <c r="O3308" s="3">
        <v>2383</v>
      </c>
      <c r="P3308">
        <v>0</v>
      </c>
      <c r="Q3308">
        <v>5</v>
      </c>
      <c r="R3308" t="s">
        <v>28</v>
      </c>
      <c r="S3308">
        <v>1</v>
      </c>
    </row>
    <row r="3309" spans="1:19" ht="16.5" x14ac:dyDescent="0.3">
      <c r="A3309" t="s">
        <v>3372</v>
      </c>
      <c r="B3309" s="1">
        <v>45716</v>
      </c>
      <c r="C3309" s="1">
        <v>45719</v>
      </c>
      <c r="D3309">
        <v>2025</v>
      </c>
      <c r="E3309" t="s">
        <v>20</v>
      </c>
      <c r="F3309" t="s">
        <v>351</v>
      </c>
      <c r="G3309" t="s">
        <v>83</v>
      </c>
      <c r="H3309" t="s">
        <v>39</v>
      </c>
      <c r="I3309" t="s">
        <v>24</v>
      </c>
      <c r="J3309" t="s">
        <v>43</v>
      </c>
      <c r="K3309" t="s">
        <v>41</v>
      </c>
      <c r="L3309" t="s">
        <v>37</v>
      </c>
      <c r="M3309">
        <v>3</v>
      </c>
      <c r="N3309" s="2">
        <v>152</v>
      </c>
      <c r="O3309" s="3">
        <v>2817</v>
      </c>
      <c r="P3309">
        <v>0</v>
      </c>
      <c r="Q3309">
        <v>3</v>
      </c>
      <c r="R3309" t="s">
        <v>28</v>
      </c>
      <c r="S3309">
        <v>1</v>
      </c>
    </row>
    <row r="3310" spans="1:19" ht="16.5" x14ac:dyDescent="0.3">
      <c r="A3310" t="s">
        <v>3373</v>
      </c>
      <c r="B3310" s="1">
        <v>45716</v>
      </c>
      <c r="C3310" s="1">
        <v>45717</v>
      </c>
      <c r="D3310">
        <v>2025</v>
      </c>
      <c r="E3310" t="s">
        <v>20</v>
      </c>
      <c r="F3310" t="s">
        <v>351</v>
      </c>
      <c r="G3310" t="s">
        <v>83</v>
      </c>
      <c r="H3310" t="s">
        <v>50</v>
      </c>
      <c r="I3310" t="s">
        <v>24</v>
      </c>
      <c r="J3310" t="s">
        <v>25</v>
      </c>
      <c r="K3310" t="s">
        <v>32</v>
      </c>
      <c r="L3310" t="s">
        <v>44</v>
      </c>
      <c r="M3310">
        <v>1</v>
      </c>
      <c r="N3310" s="2">
        <v>52</v>
      </c>
      <c r="O3310" s="3">
        <v>2429</v>
      </c>
      <c r="P3310">
        <v>0</v>
      </c>
      <c r="Q3310">
        <v>4</v>
      </c>
      <c r="R3310" t="s">
        <v>33</v>
      </c>
      <c r="S3310">
        <v>1</v>
      </c>
    </row>
    <row r="3311" spans="1:19" ht="16.5" x14ac:dyDescent="0.3">
      <c r="A3311" t="s">
        <v>3374</v>
      </c>
      <c r="B3311" s="1">
        <v>45716</v>
      </c>
      <c r="C3311" s="1">
        <v>45720</v>
      </c>
      <c r="D3311">
        <v>2025</v>
      </c>
      <c r="E3311" t="s">
        <v>20</v>
      </c>
      <c r="F3311" t="s">
        <v>351</v>
      </c>
      <c r="G3311" t="s">
        <v>83</v>
      </c>
      <c r="H3311" t="s">
        <v>30</v>
      </c>
      <c r="I3311" t="s">
        <v>24</v>
      </c>
      <c r="J3311" t="s">
        <v>43</v>
      </c>
      <c r="K3311" t="s">
        <v>32</v>
      </c>
      <c r="L3311" t="s">
        <v>27</v>
      </c>
      <c r="M3311">
        <v>4</v>
      </c>
      <c r="N3311" s="2">
        <v>117</v>
      </c>
      <c r="O3311" s="3">
        <v>4892</v>
      </c>
      <c r="P3311">
        <v>0</v>
      </c>
      <c r="Q3311">
        <v>3</v>
      </c>
      <c r="R3311" t="s">
        <v>28</v>
      </c>
      <c r="S3311">
        <v>1</v>
      </c>
    </row>
    <row r="3312" spans="1:19" ht="16.5" x14ac:dyDescent="0.3">
      <c r="A3312" t="s">
        <v>3375</v>
      </c>
      <c r="B3312" s="1">
        <v>45717</v>
      </c>
      <c r="C3312" s="1">
        <v>45719</v>
      </c>
      <c r="D3312">
        <v>2025</v>
      </c>
      <c r="E3312" t="s">
        <v>20</v>
      </c>
      <c r="F3312" t="s">
        <v>605</v>
      </c>
      <c r="G3312" t="s">
        <v>102</v>
      </c>
      <c r="H3312" t="s">
        <v>52</v>
      </c>
      <c r="I3312" t="s">
        <v>40</v>
      </c>
      <c r="J3312" t="s">
        <v>25</v>
      </c>
      <c r="K3312" t="s">
        <v>36</v>
      </c>
      <c r="L3312" t="s">
        <v>44</v>
      </c>
      <c r="M3312">
        <v>2</v>
      </c>
      <c r="N3312" s="2"/>
      <c r="O3312" s="3">
        <v>2147</v>
      </c>
      <c r="P3312">
        <v>1</v>
      </c>
      <c r="Q3312">
        <v>4</v>
      </c>
      <c r="R3312" t="s">
        <v>28</v>
      </c>
      <c r="S3312">
        <v>1</v>
      </c>
    </row>
    <row r="3313" spans="1:19" ht="16.5" x14ac:dyDescent="0.3">
      <c r="A3313" t="s">
        <v>3376</v>
      </c>
      <c r="B3313" s="1">
        <v>45717</v>
      </c>
      <c r="C3313" s="1">
        <v>45724</v>
      </c>
      <c r="D3313">
        <v>2025</v>
      </c>
      <c r="E3313" t="s">
        <v>20</v>
      </c>
      <c r="F3313" t="s">
        <v>605</v>
      </c>
      <c r="G3313" t="s">
        <v>102</v>
      </c>
      <c r="H3313" t="s">
        <v>39</v>
      </c>
      <c r="I3313" t="s">
        <v>40</v>
      </c>
      <c r="J3313" t="s">
        <v>43</v>
      </c>
      <c r="K3313" t="s">
        <v>41</v>
      </c>
      <c r="L3313" t="s">
        <v>37</v>
      </c>
      <c r="M3313">
        <v>7</v>
      </c>
      <c r="N3313" s="2"/>
      <c r="O3313" s="3">
        <v>4459</v>
      </c>
      <c r="P3313">
        <v>0</v>
      </c>
      <c r="Q3313">
        <v>4</v>
      </c>
      <c r="R3313" t="s">
        <v>33</v>
      </c>
      <c r="S3313">
        <v>1</v>
      </c>
    </row>
    <row r="3314" spans="1:19" ht="16.5" x14ac:dyDescent="0.3">
      <c r="A3314" t="s">
        <v>3377</v>
      </c>
      <c r="B3314" s="1">
        <v>45717</v>
      </c>
      <c r="C3314" s="1">
        <v>45723</v>
      </c>
      <c r="D3314">
        <v>2025</v>
      </c>
      <c r="E3314" t="s">
        <v>20</v>
      </c>
      <c r="F3314" t="s">
        <v>605</v>
      </c>
      <c r="G3314" t="s">
        <v>102</v>
      </c>
      <c r="H3314" t="s">
        <v>23</v>
      </c>
      <c r="I3314" t="s">
        <v>24</v>
      </c>
      <c r="J3314" t="s">
        <v>43</v>
      </c>
      <c r="K3314" t="s">
        <v>26</v>
      </c>
      <c r="L3314" t="s">
        <v>27</v>
      </c>
      <c r="M3314">
        <v>6</v>
      </c>
      <c r="N3314" s="2">
        <v>47</v>
      </c>
      <c r="O3314" s="3">
        <v>5454</v>
      </c>
      <c r="P3314">
        <v>0</v>
      </c>
      <c r="Q3314">
        <v>4</v>
      </c>
      <c r="R3314" t="s">
        <v>165</v>
      </c>
      <c r="S3314">
        <v>1</v>
      </c>
    </row>
    <row r="3315" spans="1:19" ht="16.5" x14ac:dyDescent="0.3">
      <c r="A3315" t="s">
        <v>3378</v>
      </c>
      <c r="B3315" s="1">
        <v>45717</v>
      </c>
      <c r="C3315" s="1">
        <v>45718</v>
      </c>
      <c r="D3315">
        <v>2025</v>
      </c>
      <c r="E3315" t="s">
        <v>20</v>
      </c>
      <c r="F3315" t="s">
        <v>605</v>
      </c>
      <c r="G3315" t="s">
        <v>102</v>
      </c>
      <c r="H3315" t="s">
        <v>39</v>
      </c>
      <c r="I3315" t="s">
        <v>40</v>
      </c>
      <c r="J3315" t="s">
        <v>25</v>
      </c>
      <c r="K3315" t="s">
        <v>41</v>
      </c>
      <c r="L3315" t="s">
        <v>27</v>
      </c>
      <c r="M3315">
        <v>1</v>
      </c>
      <c r="N3315" s="2"/>
      <c r="O3315" s="3">
        <v>1503</v>
      </c>
      <c r="P3315">
        <v>0</v>
      </c>
      <c r="Q3315">
        <v>4</v>
      </c>
      <c r="R3315" t="s">
        <v>33</v>
      </c>
      <c r="S3315">
        <v>1</v>
      </c>
    </row>
    <row r="3316" spans="1:19" ht="16.5" x14ac:dyDescent="0.3">
      <c r="A3316" t="s">
        <v>3379</v>
      </c>
      <c r="B3316" s="1">
        <v>45717</v>
      </c>
      <c r="C3316" s="1">
        <v>45719</v>
      </c>
      <c r="D3316">
        <v>2025</v>
      </c>
      <c r="E3316" t="s">
        <v>20</v>
      </c>
      <c r="F3316" t="s">
        <v>605</v>
      </c>
      <c r="G3316" t="s">
        <v>102</v>
      </c>
      <c r="H3316" t="s">
        <v>50</v>
      </c>
      <c r="I3316" t="s">
        <v>24</v>
      </c>
      <c r="J3316" t="s">
        <v>43</v>
      </c>
      <c r="K3316" t="s">
        <v>32</v>
      </c>
      <c r="L3316" t="s">
        <v>44</v>
      </c>
      <c r="M3316">
        <v>2</v>
      </c>
      <c r="N3316" s="2">
        <v>68</v>
      </c>
      <c r="O3316" s="3">
        <v>2558</v>
      </c>
      <c r="P3316">
        <v>0</v>
      </c>
      <c r="Q3316">
        <v>3</v>
      </c>
      <c r="R3316" t="s">
        <v>28</v>
      </c>
      <c r="S3316">
        <v>1</v>
      </c>
    </row>
    <row r="3317" spans="1:19" ht="16.5" x14ac:dyDescent="0.3">
      <c r="A3317" t="s">
        <v>3380</v>
      </c>
      <c r="B3317" s="1">
        <v>45717</v>
      </c>
      <c r="C3317" s="1">
        <v>45719</v>
      </c>
      <c r="D3317">
        <v>2025</v>
      </c>
      <c r="E3317" t="s">
        <v>20</v>
      </c>
      <c r="F3317" t="s">
        <v>605</v>
      </c>
      <c r="G3317" t="s">
        <v>102</v>
      </c>
      <c r="H3317" t="s">
        <v>39</v>
      </c>
      <c r="I3317" t="s">
        <v>24</v>
      </c>
      <c r="J3317" t="s">
        <v>43</v>
      </c>
      <c r="K3317" t="s">
        <v>41</v>
      </c>
      <c r="L3317" t="s">
        <v>37</v>
      </c>
      <c r="M3317">
        <v>2</v>
      </c>
      <c r="N3317" s="2">
        <v>77</v>
      </c>
      <c r="O3317" s="3">
        <v>2173</v>
      </c>
      <c r="P3317">
        <v>0</v>
      </c>
      <c r="Q3317">
        <v>5</v>
      </c>
      <c r="R3317" t="s">
        <v>33</v>
      </c>
      <c r="S3317">
        <v>1</v>
      </c>
    </row>
    <row r="3318" spans="1:19" ht="16.5" x14ac:dyDescent="0.3">
      <c r="A3318" t="s">
        <v>3381</v>
      </c>
      <c r="B3318" s="1">
        <v>45717</v>
      </c>
      <c r="C3318" s="1">
        <v>45727</v>
      </c>
      <c r="D3318">
        <v>2025</v>
      </c>
      <c r="E3318" t="s">
        <v>20</v>
      </c>
      <c r="F3318" t="s">
        <v>605</v>
      </c>
      <c r="G3318" t="s">
        <v>102</v>
      </c>
      <c r="H3318" t="s">
        <v>23</v>
      </c>
      <c r="I3318" t="s">
        <v>40</v>
      </c>
      <c r="J3318" t="s">
        <v>25</v>
      </c>
      <c r="K3318" t="s">
        <v>36</v>
      </c>
      <c r="L3318" t="s">
        <v>27</v>
      </c>
      <c r="M3318">
        <v>10</v>
      </c>
      <c r="N3318" s="2"/>
      <c r="O3318" s="3">
        <v>7707</v>
      </c>
      <c r="P3318">
        <v>0</v>
      </c>
      <c r="Q3318">
        <v>4</v>
      </c>
      <c r="R3318" t="s">
        <v>33</v>
      </c>
      <c r="S3318">
        <v>1</v>
      </c>
    </row>
    <row r="3319" spans="1:19" ht="16.5" x14ac:dyDescent="0.3">
      <c r="A3319" t="s">
        <v>3382</v>
      </c>
      <c r="B3319" s="1">
        <v>45717</v>
      </c>
      <c r="C3319" s="1">
        <v>45725</v>
      </c>
      <c r="D3319">
        <v>2025</v>
      </c>
      <c r="E3319" t="s">
        <v>20</v>
      </c>
      <c r="F3319" t="s">
        <v>605</v>
      </c>
      <c r="G3319" t="s">
        <v>102</v>
      </c>
      <c r="H3319" t="s">
        <v>23</v>
      </c>
      <c r="I3319" t="s">
        <v>24</v>
      </c>
      <c r="J3319" t="s">
        <v>43</v>
      </c>
      <c r="K3319" t="s">
        <v>32</v>
      </c>
      <c r="L3319" t="s">
        <v>44</v>
      </c>
      <c r="M3319">
        <v>8</v>
      </c>
      <c r="N3319" s="2">
        <v>112</v>
      </c>
      <c r="O3319" s="3">
        <v>4123</v>
      </c>
      <c r="P3319">
        <v>0</v>
      </c>
      <c r="Q3319">
        <v>3</v>
      </c>
      <c r="R3319" t="s">
        <v>28</v>
      </c>
      <c r="S3319">
        <v>1</v>
      </c>
    </row>
    <row r="3320" spans="1:19" ht="16.5" x14ac:dyDescent="0.3">
      <c r="A3320" t="s">
        <v>3383</v>
      </c>
      <c r="B3320" s="1">
        <v>45717</v>
      </c>
      <c r="C3320" s="1">
        <v>45731</v>
      </c>
      <c r="D3320">
        <v>2025</v>
      </c>
      <c r="E3320" t="s">
        <v>20</v>
      </c>
      <c r="F3320" t="s">
        <v>605</v>
      </c>
      <c r="G3320" t="s">
        <v>102</v>
      </c>
      <c r="H3320" t="s">
        <v>23</v>
      </c>
      <c r="I3320" t="s">
        <v>24</v>
      </c>
      <c r="J3320" t="s">
        <v>43</v>
      </c>
      <c r="K3320" t="s">
        <v>32</v>
      </c>
      <c r="L3320" t="s">
        <v>44</v>
      </c>
      <c r="M3320">
        <v>14</v>
      </c>
      <c r="N3320" s="2">
        <v>108</v>
      </c>
      <c r="O3320" s="3">
        <v>8541</v>
      </c>
      <c r="P3320">
        <v>1</v>
      </c>
      <c r="Q3320">
        <v>3</v>
      </c>
      <c r="R3320" t="s">
        <v>33</v>
      </c>
      <c r="S3320">
        <v>1</v>
      </c>
    </row>
    <row r="3321" spans="1:19" ht="16.5" x14ac:dyDescent="0.3">
      <c r="A3321" t="s">
        <v>3384</v>
      </c>
      <c r="B3321" s="1">
        <v>45718</v>
      </c>
      <c r="C3321" s="1">
        <v>45723</v>
      </c>
      <c r="D3321">
        <v>2025</v>
      </c>
      <c r="E3321" t="s">
        <v>20</v>
      </c>
      <c r="F3321" t="s">
        <v>605</v>
      </c>
      <c r="G3321" t="s">
        <v>112</v>
      </c>
      <c r="H3321" t="s">
        <v>39</v>
      </c>
      <c r="I3321" t="s">
        <v>24</v>
      </c>
      <c r="J3321" t="s">
        <v>43</v>
      </c>
      <c r="K3321" t="s">
        <v>41</v>
      </c>
      <c r="L3321" t="s">
        <v>27</v>
      </c>
      <c r="M3321">
        <v>5</v>
      </c>
      <c r="N3321" s="2">
        <v>54</v>
      </c>
      <c r="O3321" s="3">
        <v>3184</v>
      </c>
      <c r="P3321">
        <v>0</v>
      </c>
      <c r="Q3321">
        <v>3</v>
      </c>
      <c r="R3321" t="s">
        <v>28</v>
      </c>
      <c r="S3321">
        <v>1</v>
      </c>
    </row>
    <row r="3322" spans="1:19" ht="16.5" x14ac:dyDescent="0.3">
      <c r="A3322" t="s">
        <v>3385</v>
      </c>
      <c r="B3322" s="1">
        <v>45718</v>
      </c>
      <c r="C3322" s="1">
        <v>45722</v>
      </c>
      <c r="D3322">
        <v>2025</v>
      </c>
      <c r="E3322" t="s">
        <v>20</v>
      </c>
      <c r="F3322" t="s">
        <v>605</v>
      </c>
      <c r="G3322" t="s">
        <v>112</v>
      </c>
      <c r="H3322" t="s">
        <v>23</v>
      </c>
      <c r="I3322" t="s">
        <v>40</v>
      </c>
      <c r="J3322" t="s">
        <v>43</v>
      </c>
      <c r="K3322" t="s">
        <v>53</v>
      </c>
      <c r="L3322" t="s">
        <v>27</v>
      </c>
      <c r="M3322">
        <v>4</v>
      </c>
      <c r="N3322" s="2"/>
      <c r="O3322" s="3">
        <v>3444</v>
      </c>
      <c r="P3322">
        <v>0</v>
      </c>
      <c r="Q3322">
        <v>5</v>
      </c>
      <c r="R3322" t="s">
        <v>33</v>
      </c>
      <c r="S3322">
        <v>1</v>
      </c>
    </row>
    <row r="3323" spans="1:19" ht="16.5" x14ac:dyDescent="0.3">
      <c r="A3323" t="s">
        <v>3386</v>
      </c>
      <c r="B3323" s="1">
        <v>45718</v>
      </c>
      <c r="C3323" s="1">
        <v>45721</v>
      </c>
      <c r="D3323">
        <v>2025</v>
      </c>
      <c r="E3323" t="s">
        <v>20</v>
      </c>
      <c r="F3323" t="s">
        <v>605</v>
      </c>
      <c r="G3323" t="s">
        <v>112</v>
      </c>
      <c r="H3323" t="s">
        <v>35</v>
      </c>
      <c r="I3323" t="s">
        <v>24</v>
      </c>
      <c r="J3323" t="s">
        <v>25</v>
      </c>
      <c r="K3323" t="s">
        <v>36</v>
      </c>
      <c r="L3323" t="s">
        <v>44</v>
      </c>
      <c r="M3323">
        <v>3</v>
      </c>
      <c r="N3323" s="2">
        <v>36</v>
      </c>
      <c r="O3323" s="3">
        <v>3102</v>
      </c>
      <c r="P3323">
        <v>0</v>
      </c>
      <c r="Q3323">
        <v>3</v>
      </c>
      <c r="R3323" t="s">
        <v>33</v>
      </c>
      <c r="S3323">
        <v>1</v>
      </c>
    </row>
    <row r="3324" spans="1:19" ht="16.5" x14ac:dyDescent="0.3">
      <c r="A3324" t="s">
        <v>3387</v>
      </c>
      <c r="B3324" s="1">
        <v>45718</v>
      </c>
      <c r="C3324" s="1">
        <v>45720</v>
      </c>
      <c r="D3324">
        <v>2025</v>
      </c>
      <c r="E3324" t="s">
        <v>20</v>
      </c>
      <c r="F3324" t="s">
        <v>605</v>
      </c>
      <c r="G3324" t="s">
        <v>112</v>
      </c>
      <c r="H3324" t="s">
        <v>30</v>
      </c>
      <c r="I3324" t="s">
        <v>24</v>
      </c>
      <c r="J3324" t="s">
        <v>25</v>
      </c>
      <c r="K3324" t="s">
        <v>26</v>
      </c>
      <c r="L3324" t="s">
        <v>44</v>
      </c>
      <c r="M3324">
        <v>2</v>
      </c>
      <c r="N3324" s="2">
        <v>70</v>
      </c>
      <c r="O3324" s="3">
        <v>3117</v>
      </c>
      <c r="P3324">
        <v>0</v>
      </c>
      <c r="Q3324">
        <v>5</v>
      </c>
      <c r="R3324" t="s">
        <v>33</v>
      </c>
      <c r="S3324">
        <v>1</v>
      </c>
    </row>
    <row r="3325" spans="1:19" ht="16.5" x14ac:dyDescent="0.3">
      <c r="A3325" t="s">
        <v>3388</v>
      </c>
      <c r="B3325" s="1">
        <v>45718</v>
      </c>
      <c r="C3325" s="1">
        <v>45719</v>
      </c>
      <c r="D3325">
        <v>2025</v>
      </c>
      <c r="E3325" t="s">
        <v>20</v>
      </c>
      <c r="F3325" t="s">
        <v>605</v>
      </c>
      <c r="G3325" t="s">
        <v>112</v>
      </c>
      <c r="H3325" t="s">
        <v>39</v>
      </c>
      <c r="I3325" t="s">
        <v>24</v>
      </c>
      <c r="J3325" t="s">
        <v>25</v>
      </c>
      <c r="K3325" t="s">
        <v>41</v>
      </c>
      <c r="L3325" t="s">
        <v>44</v>
      </c>
      <c r="M3325">
        <v>1</v>
      </c>
      <c r="N3325" s="2">
        <v>21</v>
      </c>
      <c r="O3325" s="3">
        <v>1165</v>
      </c>
      <c r="P3325">
        <v>0</v>
      </c>
      <c r="Q3325">
        <v>4</v>
      </c>
      <c r="R3325" t="s">
        <v>33</v>
      </c>
      <c r="S3325">
        <v>1</v>
      </c>
    </row>
    <row r="3326" spans="1:19" ht="16.5" x14ac:dyDescent="0.3">
      <c r="A3326" t="s">
        <v>3389</v>
      </c>
      <c r="B3326" s="1">
        <v>45718</v>
      </c>
      <c r="C3326" s="1">
        <v>45719</v>
      </c>
      <c r="D3326">
        <v>2025</v>
      </c>
      <c r="E3326" t="s">
        <v>20</v>
      </c>
      <c r="F3326" t="s">
        <v>605</v>
      </c>
      <c r="G3326" t="s">
        <v>112</v>
      </c>
      <c r="H3326" t="s">
        <v>52</v>
      </c>
      <c r="I3326" t="s">
        <v>24</v>
      </c>
      <c r="J3326" t="s">
        <v>25</v>
      </c>
      <c r="K3326" t="s">
        <v>32</v>
      </c>
      <c r="L3326" t="s">
        <v>27</v>
      </c>
      <c r="M3326">
        <v>1</v>
      </c>
      <c r="N3326" s="2">
        <v>164</v>
      </c>
      <c r="O3326" s="3">
        <v>1629</v>
      </c>
      <c r="P3326">
        <v>0</v>
      </c>
      <c r="Q3326">
        <v>3</v>
      </c>
      <c r="R3326" t="s">
        <v>59</v>
      </c>
      <c r="S3326">
        <v>1</v>
      </c>
    </row>
    <row r="3327" spans="1:19" ht="16.5" x14ac:dyDescent="0.3">
      <c r="A3327" t="s">
        <v>3390</v>
      </c>
      <c r="B3327" s="1">
        <v>45719</v>
      </c>
      <c r="C3327" s="1">
        <v>45730</v>
      </c>
      <c r="D3327">
        <v>2025</v>
      </c>
      <c r="E3327" t="s">
        <v>20</v>
      </c>
      <c r="F3327" t="s">
        <v>605</v>
      </c>
      <c r="G3327" t="s">
        <v>22</v>
      </c>
      <c r="H3327" t="s">
        <v>23</v>
      </c>
      <c r="I3327" t="s">
        <v>24</v>
      </c>
      <c r="J3327" t="s">
        <v>25</v>
      </c>
      <c r="K3327" t="s">
        <v>26</v>
      </c>
      <c r="L3327" t="s">
        <v>44</v>
      </c>
      <c r="M3327">
        <v>11</v>
      </c>
      <c r="N3327" s="2">
        <v>19</v>
      </c>
      <c r="O3327" s="3">
        <v>10116</v>
      </c>
      <c r="P3327">
        <v>0</v>
      </c>
      <c r="Q3327">
        <v>4</v>
      </c>
      <c r="R3327" t="s">
        <v>28</v>
      </c>
      <c r="S3327">
        <v>1</v>
      </c>
    </row>
    <row r="3328" spans="1:19" ht="16.5" x14ac:dyDescent="0.3">
      <c r="A3328" t="s">
        <v>3391</v>
      </c>
      <c r="B3328" s="1">
        <v>45719</v>
      </c>
      <c r="C3328" s="1">
        <v>45720</v>
      </c>
      <c r="D3328">
        <v>2025</v>
      </c>
      <c r="E3328" t="s">
        <v>20</v>
      </c>
      <c r="F3328" t="s">
        <v>605</v>
      </c>
      <c r="G3328" t="s">
        <v>22</v>
      </c>
      <c r="H3328" t="s">
        <v>39</v>
      </c>
      <c r="I3328" t="s">
        <v>24</v>
      </c>
      <c r="J3328" t="s">
        <v>25</v>
      </c>
      <c r="K3328" t="s">
        <v>41</v>
      </c>
      <c r="L3328" t="s">
        <v>27</v>
      </c>
      <c r="M3328">
        <v>1</v>
      </c>
      <c r="N3328" s="2">
        <v>37</v>
      </c>
      <c r="O3328" s="3">
        <v>1955</v>
      </c>
      <c r="P3328">
        <v>0</v>
      </c>
      <c r="Q3328">
        <v>5</v>
      </c>
      <c r="R3328" t="s">
        <v>33</v>
      </c>
      <c r="S3328">
        <v>1</v>
      </c>
    </row>
    <row r="3329" spans="1:19" ht="16.5" x14ac:dyDescent="0.3">
      <c r="A3329" t="s">
        <v>3392</v>
      </c>
      <c r="B3329" s="1">
        <v>45719</v>
      </c>
      <c r="C3329" s="1">
        <v>45729</v>
      </c>
      <c r="D3329">
        <v>2025</v>
      </c>
      <c r="E3329" t="s">
        <v>20</v>
      </c>
      <c r="F3329" t="s">
        <v>605</v>
      </c>
      <c r="G3329" t="s">
        <v>22</v>
      </c>
      <c r="H3329" t="s">
        <v>23</v>
      </c>
      <c r="I3329" t="s">
        <v>40</v>
      </c>
      <c r="J3329" t="s">
        <v>25</v>
      </c>
      <c r="K3329" t="s">
        <v>26</v>
      </c>
      <c r="L3329" t="s">
        <v>27</v>
      </c>
      <c r="M3329">
        <v>10</v>
      </c>
      <c r="N3329" s="2"/>
      <c r="O3329" s="3">
        <v>4697</v>
      </c>
      <c r="P3329">
        <v>0</v>
      </c>
      <c r="Q3329">
        <v>4</v>
      </c>
      <c r="R3329" t="s">
        <v>28</v>
      </c>
      <c r="S3329">
        <v>1</v>
      </c>
    </row>
    <row r="3330" spans="1:19" ht="16.5" x14ac:dyDescent="0.3">
      <c r="A3330" t="s">
        <v>3393</v>
      </c>
      <c r="B3330" s="1">
        <v>45719</v>
      </c>
      <c r="C3330" s="1">
        <v>45724</v>
      </c>
      <c r="D3330">
        <v>2025</v>
      </c>
      <c r="E3330" t="s">
        <v>20</v>
      </c>
      <c r="F3330" t="s">
        <v>605</v>
      </c>
      <c r="G3330" t="s">
        <v>22</v>
      </c>
      <c r="H3330" t="s">
        <v>39</v>
      </c>
      <c r="I3330" t="s">
        <v>24</v>
      </c>
      <c r="J3330" t="s">
        <v>25</v>
      </c>
      <c r="K3330" t="s">
        <v>41</v>
      </c>
      <c r="L3330" t="s">
        <v>44</v>
      </c>
      <c r="M3330">
        <v>5</v>
      </c>
      <c r="N3330" s="2">
        <v>37</v>
      </c>
      <c r="O3330" s="3">
        <v>3683</v>
      </c>
      <c r="P3330">
        <v>0</v>
      </c>
      <c r="Q3330">
        <v>4</v>
      </c>
      <c r="R3330" t="s">
        <v>33</v>
      </c>
      <c r="S3330">
        <v>1</v>
      </c>
    </row>
    <row r="3331" spans="1:19" ht="16.5" x14ac:dyDescent="0.3">
      <c r="A3331" t="s">
        <v>3394</v>
      </c>
      <c r="B3331" s="1">
        <v>45719</v>
      </c>
      <c r="C3331" s="1">
        <v>45720</v>
      </c>
      <c r="D3331">
        <v>2025</v>
      </c>
      <c r="E3331" t="s">
        <v>20</v>
      </c>
      <c r="F3331" t="s">
        <v>605</v>
      </c>
      <c r="G3331" t="s">
        <v>22</v>
      </c>
      <c r="H3331" t="s">
        <v>35</v>
      </c>
      <c r="I3331" t="s">
        <v>40</v>
      </c>
      <c r="J3331" t="s">
        <v>25</v>
      </c>
      <c r="K3331" t="s">
        <v>36</v>
      </c>
      <c r="L3331" t="s">
        <v>27</v>
      </c>
      <c r="M3331">
        <v>1</v>
      </c>
      <c r="N3331" s="2"/>
      <c r="O3331" s="3">
        <v>1697</v>
      </c>
      <c r="P3331">
        <v>0</v>
      </c>
      <c r="Q3331">
        <v>4</v>
      </c>
      <c r="R3331" t="s">
        <v>59</v>
      </c>
      <c r="S3331">
        <v>1</v>
      </c>
    </row>
    <row r="3332" spans="1:19" ht="16.5" x14ac:dyDescent="0.3">
      <c r="A3332" t="s">
        <v>3395</v>
      </c>
      <c r="B3332" s="1">
        <v>45720</v>
      </c>
      <c r="C3332" s="1">
        <v>45739</v>
      </c>
      <c r="D3332">
        <v>2025</v>
      </c>
      <c r="E3332" t="s">
        <v>20</v>
      </c>
      <c r="F3332" t="s">
        <v>605</v>
      </c>
      <c r="G3332" t="s">
        <v>56</v>
      </c>
      <c r="H3332" t="s">
        <v>23</v>
      </c>
      <c r="I3332" t="s">
        <v>24</v>
      </c>
      <c r="J3332" t="s">
        <v>43</v>
      </c>
      <c r="K3332" t="s">
        <v>26</v>
      </c>
      <c r="L3332" t="s">
        <v>27</v>
      </c>
      <c r="M3332">
        <v>19</v>
      </c>
      <c r="N3332" s="2">
        <v>115</v>
      </c>
      <c r="O3332" s="3">
        <v>9838</v>
      </c>
      <c r="P3332">
        <v>1</v>
      </c>
      <c r="Q3332">
        <v>3</v>
      </c>
      <c r="R3332" t="s">
        <v>28</v>
      </c>
      <c r="S3332">
        <v>1</v>
      </c>
    </row>
    <row r="3333" spans="1:19" ht="16.5" x14ac:dyDescent="0.3">
      <c r="A3333" t="s">
        <v>3396</v>
      </c>
      <c r="B3333" s="1">
        <v>45720</v>
      </c>
      <c r="C3333" s="1">
        <v>45722</v>
      </c>
      <c r="D3333">
        <v>2025</v>
      </c>
      <c r="E3333" t="s">
        <v>20</v>
      </c>
      <c r="F3333" t="s">
        <v>605</v>
      </c>
      <c r="G3333" t="s">
        <v>56</v>
      </c>
      <c r="H3333" t="s">
        <v>23</v>
      </c>
      <c r="I3333" t="s">
        <v>24</v>
      </c>
      <c r="J3333" t="s">
        <v>43</v>
      </c>
      <c r="K3333" t="s">
        <v>53</v>
      </c>
      <c r="L3333" t="s">
        <v>27</v>
      </c>
      <c r="M3333">
        <v>2</v>
      </c>
      <c r="N3333" s="2">
        <v>24</v>
      </c>
      <c r="O3333" s="3">
        <v>2320</v>
      </c>
      <c r="P3333">
        <v>0</v>
      </c>
      <c r="Q3333">
        <v>4</v>
      </c>
      <c r="R3333" t="s">
        <v>28</v>
      </c>
      <c r="S3333">
        <v>1</v>
      </c>
    </row>
    <row r="3334" spans="1:19" ht="16.5" x14ac:dyDescent="0.3">
      <c r="A3334" t="s">
        <v>3397</v>
      </c>
      <c r="B3334" s="1">
        <v>45720</v>
      </c>
      <c r="C3334" s="1">
        <v>45722</v>
      </c>
      <c r="D3334">
        <v>2025</v>
      </c>
      <c r="E3334" t="s">
        <v>20</v>
      </c>
      <c r="F3334" t="s">
        <v>605</v>
      </c>
      <c r="G3334" t="s">
        <v>56</v>
      </c>
      <c r="H3334" t="s">
        <v>35</v>
      </c>
      <c r="I3334" t="s">
        <v>24</v>
      </c>
      <c r="J3334" t="s">
        <v>25</v>
      </c>
      <c r="K3334" t="s">
        <v>32</v>
      </c>
      <c r="L3334" t="s">
        <v>37</v>
      </c>
      <c r="M3334">
        <v>2</v>
      </c>
      <c r="N3334" s="2">
        <v>26</v>
      </c>
      <c r="O3334" s="3">
        <v>2210</v>
      </c>
      <c r="P3334">
        <v>0</v>
      </c>
      <c r="Q3334">
        <v>5</v>
      </c>
      <c r="R3334" t="s">
        <v>33</v>
      </c>
      <c r="S3334">
        <v>1</v>
      </c>
    </row>
    <row r="3335" spans="1:19" ht="16.5" x14ac:dyDescent="0.3">
      <c r="A3335" t="s">
        <v>3398</v>
      </c>
      <c r="B3335" s="1">
        <v>45720</v>
      </c>
      <c r="C3335" s="1">
        <v>45725</v>
      </c>
      <c r="D3335">
        <v>2025</v>
      </c>
      <c r="E3335" t="s">
        <v>20</v>
      </c>
      <c r="F3335" t="s">
        <v>605</v>
      </c>
      <c r="G3335" t="s">
        <v>56</v>
      </c>
      <c r="H3335" t="s">
        <v>30</v>
      </c>
      <c r="I3335" t="s">
        <v>40</v>
      </c>
      <c r="J3335" t="s">
        <v>25</v>
      </c>
      <c r="K3335" t="s">
        <v>36</v>
      </c>
      <c r="L3335" t="s">
        <v>44</v>
      </c>
      <c r="M3335">
        <v>5</v>
      </c>
      <c r="N3335" s="2"/>
      <c r="O3335" s="3">
        <v>6139</v>
      </c>
      <c r="P3335">
        <v>1</v>
      </c>
      <c r="Q3335">
        <v>5</v>
      </c>
      <c r="R3335" t="s">
        <v>33</v>
      </c>
      <c r="S3335">
        <v>1</v>
      </c>
    </row>
    <row r="3336" spans="1:19" ht="16.5" x14ac:dyDescent="0.3">
      <c r="A3336" t="s">
        <v>3399</v>
      </c>
      <c r="B3336" s="1">
        <v>45720</v>
      </c>
      <c r="C3336" s="1">
        <v>45722</v>
      </c>
      <c r="D3336">
        <v>2025</v>
      </c>
      <c r="E3336" t="s">
        <v>20</v>
      </c>
      <c r="F3336" t="s">
        <v>605</v>
      </c>
      <c r="G3336" t="s">
        <v>56</v>
      </c>
      <c r="H3336" t="s">
        <v>39</v>
      </c>
      <c r="I3336" t="s">
        <v>24</v>
      </c>
      <c r="J3336" t="s">
        <v>25</v>
      </c>
      <c r="K3336" t="s">
        <v>41</v>
      </c>
      <c r="L3336" t="s">
        <v>27</v>
      </c>
      <c r="M3336">
        <v>2</v>
      </c>
      <c r="N3336" s="2">
        <v>47</v>
      </c>
      <c r="O3336" s="3">
        <v>1805</v>
      </c>
      <c r="P3336">
        <v>0</v>
      </c>
      <c r="Q3336">
        <v>5</v>
      </c>
      <c r="R3336" t="s">
        <v>28</v>
      </c>
      <c r="S3336">
        <v>1</v>
      </c>
    </row>
    <row r="3337" spans="1:19" ht="16.5" x14ac:dyDescent="0.3">
      <c r="A3337" t="s">
        <v>3400</v>
      </c>
      <c r="B3337" s="1">
        <v>45720</v>
      </c>
      <c r="C3337" s="1">
        <v>45722</v>
      </c>
      <c r="D3337">
        <v>2025</v>
      </c>
      <c r="E3337" t="s">
        <v>20</v>
      </c>
      <c r="F3337" t="s">
        <v>605</v>
      </c>
      <c r="G3337" t="s">
        <v>56</v>
      </c>
      <c r="H3337" t="s">
        <v>52</v>
      </c>
      <c r="I3337" t="s">
        <v>40</v>
      </c>
      <c r="J3337" t="s">
        <v>43</v>
      </c>
      <c r="K3337" t="s">
        <v>26</v>
      </c>
      <c r="L3337" t="s">
        <v>27</v>
      </c>
      <c r="M3337">
        <v>2</v>
      </c>
      <c r="N3337" s="2"/>
      <c r="O3337" s="3">
        <v>3061</v>
      </c>
      <c r="P3337">
        <v>0</v>
      </c>
      <c r="Q3337">
        <v>4</v>
      </c>
      <c r="R3337" t="s">
        <v>33</v>
      </c>
      <c r="S3337">
        <v>1</v>
      </c>
    </row>
    <row r="3338" spans="1:19" ht="16.5" x14ac:dyDescent="0.3">
      <c r="A3338" t="s">
        <v>3401</v>
      </c>
      <c r="B3338" s="1">
        <v>45720</v>
      </c>
      <c r="C3338" s="1">
        <v>45723</v>
      </c>
      <c r="D3338">
        <v>2025</v>
      </c>
      <c r="E3338" t="s">
        <v>20</v>
      </c>
      <c r="F3338" t="s">
        <v>605</v>
      </c>
      <c r="G3338" t="s">
        <v>56</v>
      </c>
      <c r="H3338" t="s">
        <v>39</v>
      </c>
      <c r="I3338" t="s">
        <v>24</v>
      </c>
      <c r="J3338" t="s">
        <v>43</v>
      </c>
      <c r="K3338" t="s">
        <v>41</v>
      </c>
      <c r="L3338" t="s">
        <v>37</v>
      </c>
      <c r="M3338">
        <v>3</v>
      </c>
      <c r="N3338" s="2">
        <v>53</v>
      </c>
      <c r="O3338" s="3">
        <v>2229</v>
      </c>
      <c r="P3338">
        <v>0</v>
      </c>
      <c r="Q3338">
        <v>4</v>
      </c>
      <c r="R3338" t="s">
        <v>59</v>
      </c>
      <c r="S3338">
        <v>1</v>
      </c>
    </row>
    <row r="3339" spans="1:19" ht="16.5" x14ac:dyDescent="0.3">
      <c r="A3339" t="s">
        <v>3402</v>
      </c>
      <c r="B3339" s="1">
        <v>45720</v>
      </c>
      <c r="C3339" s="1">
        <v>45723</v>
      </c>
      <c r="D3339">
        <v>2025</v>
      </c>
      <c r="E3339" t="s">
        <v>20</v>
      </c>
      <c r="F3339" t="s">
        <v>605</v>
      </c>
      <c r="G3339" t="s">
        <v>56</v>
      </c>
      <c r="H3339" t="s">
        <v>50</v>
      </c>
      <c r="I3339" t="s">
        <v>24</v>
      </c>
      <c r="J3339" t="s">
        <v>43</v>
      </c>
      <c r="K3339" t="s">
        <v>53</v>
      </c>
      <c r="L3339" t="s">
        <v>44</v>
      </c>
      <c r="M3339">
        <v>3</v>
      </c>
      <c r="N3339" s="2">
        <v>48</v>
      </c>
      <c r="O3339" s="3">
        <v>2790</v>
      </c>
      <c r="P3339">
        <v>0</v>
      </c>
      <c r="Q3339">
        <v>4</v>
      </c>
      <c r="R3339" t="s">
        <v>28</v>
      </c>
      <c r="S3339">
        <v>1</v>
      </c>
    </row>
    <row r="3340" spans="1:19" ht="16.5" x14ac:dyDescent="0.3">
      <c r="A3340" t="s">
        <v>3403</v>
      </c>
      <c r="B3340" s="1">
        <v>45720</v>
      </c>
      <c r="C3340" s="1">
        <v>45724</v>
      </c>
      <c r="D3340">
        <v>2025</v>
      </c>
      <c r="E3340" t="s">
        <v>20</v>
      </c>
      <c r="F3340" t="s">
        <v>605</v>
      </c>
      <c r="G3340" t="s">
        <v>56</v>
      </c>
      <c r="H3340" t="s">
        <v>50</v>
      </c>
      <c r="I3340" t="s">
        <v>24</v>
      </c>
      <c r="J3340" t="s">
        <v>43</v>
      </c>
      <c r="K3340" t="s">
        <v>53</v>
      </c>
      <c r="L3340" t="s">
        <v>44</v>
      </c>
      <c r="M3340">
        <v>4</v>
      </c>
      <c r="N3340" s="2">
        <v>101</v>
      </c>
      <c r="O3340" s="3">
        <v>5800</v>
      </c>
      <c r="P3340">
        <v>0</v>
      </c>
      <c r="Q3340">
        <v>3</v>
      </c>
      <c r="R3340" t="s">
        <v>28</v>
      </c>
      <c r="S3340">
        <v>1</v>
      </c>
    </row>
    <row r="3341" spans="1:19" ht="16.5" x14ac:dyDescent="0.3">
      <c r="A3341" t="s">
        <v>3404</v>
      </c>
      <c r="B3341" s="1">
        <v>45721</v>
      </c>
      <c r="C3341" s="1">
        <v>45730</v>
      </c>
      <c r="D3341">
        <v>2025</v>
      </c>
      <c r="E3341" t="s">
        <v>20</v>
      </c>
      <c r="F3341" t="s">
        <v>605</v>
      </c>
      <c r="G3341" t="s">
        <v>70</v>
      </c>
      <c r="H3341" t="s">
        <v>30</v>
      </c>
      <c r="I3341" t="s">
        <v>40</v>
      </c>
      <c r="J3341" t="s">
        <v>43</v>
      </c>
      <c r="K3341" t="s">
        <v>53</v>
      </c>
      <c r="L3341" t="s">
        <v>44</v>
      </c>
      <c r="M3341">
        <v>9</v>
      </c>
      <c r="N3341" s="2"/>
      <c r="O3341" s="3">
        <v>9186</v>
      </c>
      <c r="P3341">
        <v>0</v>
      </c>
      <c r="Q3341">
        <v>4</v>
      </c>
      <c r="R3341" t="s">
        <v>33</v>
      </c>
      <c r="S3341">
        <v>1</v>
      </c>
    </row>
    <row r="3342" spans="1:19" ht="16.5" x14ac:dyDescent="0.3">
      <c r="A3342" t="s">
        <v>3405</v>
      </c>
      <c r="B3342" s="1">
        <v>45721</v>
      </c>
      <c r="C3342" s="1">
        <v>45724</v>
      </c>
      <c r="D3342">
        <v>2025</v>
      </c>
      <c r="E3342" t="s">
        <v>20</v>
      </c>
      <c r="F3342" t="s">
        <v>605</v>
      </c>
      <c r="G3342" t="s">
        <v>70</v>
      </c>
      <c r="H3342" t="s">
        <v>23</v>
      </c>
      <c r="I3342" t="s">
        <v>24</v>
      </c>
      <c r="J3342" t="s">
        <v>43</v>
      </c>
      <c r="K3342" t="s">
        <v>36</v>
      </c>
      <c r="L3342" t="s">
        <v>44</v>
      </c>
      <c r="M3342">
        <v>3</v>
      </c>
      <c r="N3342" s="2">
        <v>16</v>
      </c>
      <c r="O3342" s="3">
        <v>3237</v>
      </c>
      <c r="P3342">
        <v>0</v>
      </c>
      <c r="Q3342">
        <v>5</v>
      </c>
      <c r="R3342" t="s">
        <v>33</v>
      </c>
      <c r="S3342">
        <v>1</v>
      </c>
    </row>
    <row r="3343" spans="1:19" ht="16.5" x14ac:dyDescent="0.3">
      <c r="A3343" t="s">
        <v>3406</v>
      </c>
      <c r="B3343" s="1">
        <v>45721</v>
      </c>
      <c r="C3343" s="1">
        <v>45723</v>
      </c>
      <c r="D3343">
        <v>2025</v>
      </c>
      <c r="E3343" t="s">
        <v>20</v>
      </c>
      <c r="F3343" t="s">
        <v>605</v>
      </c>
      <c r="G3343" t="s">
        <v>70</v>
      </c>
      <c r="H3343" t="s">
        <v>23</v>
      </c>
      <c r="I3343" t="s">
        <v>31</v>
      </c>
      <c r="J3343" t="s">
        <v>25</v>
      </c>
      <c r="K3343" t="s">
        <v>36</v>
      </c>
      <c r="L3343" t="s">
        <v>27</v>
      </c>
      <c r="M3343">
        <v>2</v>
      </c>
      <c r="N3343" s="2"/>
      <c r="O3343" s="3">
        <v>2485</v>
      </c>
      <c r="P3343">
        <v>0</v>
      </c>
      <c r="Q3343">
        <v>4</v>
      </c>
      <c r="R3343" t="s">
        <v>33</v>
      </c>
      <c r="S3343">
        <v>1</v>
      </c>
    </row>
    <row r="3344" spans="1:19" ht="16.5" x14ac:dyDescent="0.3">
      <c r="A3344" t="s">
        <v>3407</v>
      </c>
      <c r="B3344" s="1">
        <v>45721</v>
      </c>
      <c r="C3344" s="1">
        <v>45722</v>
      </c>
      <c r="D3344">
        <v>2025</v>
      </c>
      <c r="E3344" t="s">
        <v>20</v>
      </c>
      <c r="F3344" t="s">
        <v>605</v>
      </c>
      <c r="G3344" t="s">
        <v>70</v>
      </c>
      <c r="H3344" t="s">
        <v>35</v>
      </c>
      <c r="I3344" t="s">
        <v>24</v>
      </c>
      <c r="J3344" t="s">
        <v>25</v>
      </c>
      <c r="K3344" t="s">
        <v>36</v>
      </c>
      <c r="L3344" t="s">
        <v>44</v>
      </c>
      <c r="M3344">
        <v>1</v>
      </c>
      <c r="N3344" s="2">
        <v>82</v>
      </c>
      <c r="O3344" s="3">
        <v>1478</v>
      </c>
      <c r="P3344">
        <v>0</v>
      </c>
      <c r="Q3344">
        <v>4</v>
      </c>
      <c r="R3344" t="s">
        <v>28</v>
      </c>
      <c r="S3344">
        <v>1</v>
      </c>
    </row>
    <row r="3345" spans="1:19" ht="16.5" x14ac:dyDescent="0.3">
      <c r="A3345" t="s">
        <v>3408</v>
      </c>
      <c r="B3345" s="1">
        <v>45721</v>
      </c>
      <c r="C3345" s="1">
        <v>45729</v>
      </c>
      <c r="D3345">
        <v>2025</v>
      </c>
      <c r="E3345" t="s">
        <v>20</v>
      </c>
      <c r="F3345" t="s">
        <v>605</v>
      </c>
      <c r="G3345" t="s">
        <v>70</v>
      </c>
      <c r="H3345" t="s">
        <v>35</v>
      </c>
      <c r="I3345" t="s">
        <v>31</v>
      </c>
      <c r="J3345" t="s">
        <v>25</v>
      </c>
      <c r="K3345" t="s">
        <v>36</v>
      </c>
      <c r="L3345" t="s">
        <v>44</v>
      </c>
      <c r="M3345">
        <v>8</v>
      </c>
      <c r="N3345" s="2"/>
      <c r="O3345" s="3">
        <v>5433</v>
      </c>
      <c r="P3345">
        <v>0</v>
      </c>
      <c r="Q3345">
        <v>4</v>
      </c>
      <c r="R3345" t="s">
        <v>33</v>
      </c>
      <c r="S3345">
        <v>1</v>
      </c>
    </row>
    <row r="3346" spans="1:19" ht="16.5" x14ac:dyDescent="0.3">
      <c r="A3346" t="s">
        <v>3409</v>
      </c>
      <c r="B3346" s="1">
        <v>45721</v>
      </c>
      <c r="C3346" s="1">
        <v>45726</v>
      </c>
      <c r="D3346">
        <v>2025</v>
      </c>
      <c r="E3346" t="s">
        <v>20</v>
      </c>
      <c r="F3346" t="s">
        <v>605</v>
      </c>
      <c r="G3346" t="s">
        <v>70</v>
      </c>
      <c r="H3346" t="s">
        <v>23</v>
      </c>
      <c r="I3346" t="s">
        <v>24</v>
      </c>
      <c r="J3346" t="s">
        <v>43</v>
      </c>
      <c r="K3346" t="s">
        <v>26</v>
      </c>
      <c r="L3346" t="s">
        <v>44</v>
      </c>
      <c r="M3346">
        <v>5</v>
      </c>
      <c r="N3346" s="2">
        <v>71</v>
      </c>
      <c r="O3346" s="3">
        <v>4274</v>
      </c>
      <c r="P3346">
        <v>0</v>
      </c>
      <c r="Q3346">
        <v>5</v>
      </c>
      <c r="R3346" t="s">
        <v>33</v>
      </c>
      <c r="S3346">
        <v>1</v>
      </c>
    </row>
    <row r="3347" spans="1:19" ht="16.5" x14ac:dyDescent="0.3">
      <c r="A3347" t="s">
        <v>3410</v>
      </c>
      <c r="B3347" s="1">
        <v>45721</v>
      </c>
      <c r="C3347" s="1">
        <v>45729</v>
      </c>
      <c r="D3347">
        <v>2025</v>
      </c>
      <c r="E3347" t="s">
        <v>20</v>
      </c>
      <c r="F3347" t="s">
        <v>605</v>
      </c>
      <c r="G3347" t="s">
        <v>70</v>
      </c>
      <c r="H3347" t="s">
        <v>23</v>
      </c>
      <c r="I3347" t="s">
        <v>24</v>
      </c>
      <c r="J3347" t="s">
        <v>43</v>
      </c>
      <c r="K3347" t="s">
        <v>53</v>
      </c>
      <c r="L3347" t="s">
        <v>44</v>
      </c>
      <c r="M3347">
        <v>8</v>
      </c>
      <c r="N3347" s="2">
        <v>40</v>
      </c>
      <c r="O3347" s="3">
        <v>6390</v>
      </c>
      <c r="P3347">
        <v>0</v>
      </c>
      <c r="Q3347">
        <v>4</v>
      </c>
      <c r="R3347" t="s">
        <v>33</v>
      </c>
      <c r="S3347">
        <v>1</v>
      </c>
    </row>
    <row r="3348" spans="1:19" ht="16.5" x14ac:dyDescent="0.3">
      <c r="A3348" t="s">
        <v>3411</v>
      </c>
      <c r="B3348" s="1">
        <v>45721</v>
      </c>
      <c r="C3348" s="1">
        <v>45723</v>
      </c>
      <c r="D3348">
        <v>2025</v>
      </c>
      <c r="E3348" t="s">
        <v>20</v>
      </c>
      <c r="F3348" t="s">
        <v>605</v>
      </c>
      <c r="G3348" t="s">
        <v>70</v>
      </c>
      <c r="H3348" t="s">
        <v>35</v>
      </c>
      <c r="I3348" t="s">
        <v>24</v>
      </c>
      <c r="J3348" t="s">
        <v>25</v>
      </c>
      <c r="K3348" t="s">
        <v>36</v>
      </c>
      <c r="L3348" t="s">
        <v>44</v>
      </c>
      <c r="M3348">
        <v>2</v>
      </c>
      <c r="N3348" s="2">
        <v>59</v>
      </c>
      <c r="O3348" s="3">
        <v>1885</v>
      </c>
      <c r="P3348">
        <v>0</v>
      </c>
      <c r="Q3348">
        <v>5</v>
      </c>
      <c r="R3348" t="s">
        <v>33</v>
      </c>
      <c r="S3348">
        <v>1</v>
      </c>
    </row>
    <row r="3349" spans="1:19" ht="16.5" x14ac:dyDescent="0.3">
      <c r="A3349" t="s">
        <v>3412</v>
      </c>
      <c r="B3349" s="1">
        <v>45721</v>
      </c>
      <c r="C3349" s="1">
        <v>45722</v>
      </c>
      <c r="D3349">
        <v>2025</v>
      </c>
      <c r="E3349" t="s">
        <v>20</v>
      </c>
      <c r="F3349" t="s">
        <v>605</v>
      </c>
      <c r="G3349" t="s">
        <v>70</v>
      </c>
      <c r="H3349" t="s">
        <v>39</v>
      </c>
      <c r="I3349" t="s">
        <v>24</v>
      </c>
      <c r="J3349" t="s">
        <v>25</v>
      </c>
      <c r="K3349" t="s">
        <v>41</v>
      </c>
      <c r="L3349" t="s">
        <v>27</v>
      </c>
      <c r="M3349">
        <v>1</v>
      </c>
      <c r="N3349" s="2">
        <v>57</v>
      </c>
      <c r="O3349" s="3">
        <v>1666</v>
      </c>
      <c r="P3349">
        <v>0</v>
      </c>
      <c r="Q3349">
        <v>4</v>
      </c>
      <c r="R3349" t="s">
        <v>33</v>
      </c>
      <c r="S3349">
        <v>1</v>
      </c>
    </row>
    <row r="3350" spans="1:19" ht="16.5" x14ac:dyDescent="0.3">
      <c r="A3350" t="s">
        <v>3413</v>
      </c>
      <c r="B3350" s="1">
        <v>45721</v>
      </c>
      <c r="C3350" s="1">
        <v>45727</v>
      </c>
      <c r="D3350">
        <v>2025</v>
      </c>
      <c r="E3350" t="s">
        <v>20</v>
      </c>
      <c r="F3350" t="s">
        <v>605</v>
      </c>
      <c r="G3350" t="s">
        <v>70</v>
      </c>
      <c r="H3350" t="s">
        <v>23</v>
      </c>
      <c r="I3350" t="s">
        <v>24</v>
      </c>
      <c r="J3350" t="s">
        <v>25</v>
      </c>
      <c r="K3350" t="s">
        <v>26</v>
      </c>
      <c r="L3350" t="s">
        <v>27</v>
      </c>
      <c r="M3350">
        <v>6</v>
      </c>
      <c r="N3350" s="2">
        <v>78</v>
      </c>
      <c r="O3350" s="3">
        <v>3995</v>
      </c>
      <c r="P3350">
        <v>1</v>
      </c>
      <c r="Q3350">
        <v>4</v>
      </c>
      <c r="R3350" t="s">
        <v>28</v>
      </c>
      <c r="S3350">
        <v>1</v>
      </c>
    </row>
    <row r="3351" spans="1:19" ht="16.5" x14ac:dyDescent="0.3">
      <c r="A3351" t="s">
        <v>3414</v>
      </c>
      <c r="B3351" s="1">
        <v>45721</v>
      </c>
      <c r="C3351" s="1">
        <v>45723</v>
      </c>
      <c r="D3351">
        <v>2025</v>
      </c>
      <c r="E3351" t="s">
        <v>20</v>
      </c>
      <c r="F3351" t="s">
        <v>605</v>
      </c>
      <c r="G3351" t="s">
        <v>70</v>
      </c>
      <c r="H3351" t="s">
        <v>23</v>
      </c>
      <c r="I3351" t="s">
        <v>24</v>
      </c>
      <c r="J3351" t="s">
        <v>43</v>
      </c>
      <c r="K3351" t="s">
        <v>53</v>
      </c>
      <c r="L3351" t="s">
        <v>44</v>
      </c>
      <c r="M3351">
        <v>2</v>
      </c>
      <c r="N3351" s="2">
        <v>43</v>
      </c>
      <c r="O3351" s="3">
        <v>1758</v>
      </c>
      <c r="P3351">
        <v>0</v>
      </c>
      <c r="Q3351">
        <v>4</v>
      </c>
      <c r="R3351" t="s">
        <v>28</v>
      </c>
      <c r="S3351">
        <v>1</v>
      </c>
    </row>
    <row r="3352" spans="1:19" ht="16.5" x14ac:dyDescent="0.3">
      <c r="A3352" t="s">
        <v>3415</v>
      </c>
      <c r="B3352" s="1">
        <v>45722</v>
      </c>
      <c r="C3352" s="1">
        <v>45723</v>
      </c>
      <c r="D3352">
        <v>2025</v>
      </c>
      <c r="E3352" t="s">
        <v>20</v>
      </c>
      <c r="F3352" t="s">
        <v>605</v>
      </c>
      <c r="G3352" t="s">
        <v>78</v>
      </c>
      <c r="H3352" t="s">
        <v>35</v>
      </c>
      <c r="I3352" t="s">
        <v>24</v>
      </c>
      <c r="J3352" t="s">
        <v>25</v>
      </c>
      <c r="K3352" t="s">
        <v>32</v>
      </c>
      <c r="L3352" t="s">
        <v>44</v>
      </c>
      <c r="M3352">
        <v>1</v>
      </c>
      <c r="N3352" s="2">
        <v>80</v>
      </c>
      <c r="O3352" s="3">
        <v>1273</v>
      </c>
      <c r="P3352">
        <v>0</v>
      </c>
      <c r="Q3352">
        <v>4</v>
      </c>
      <c r="R3352" t="s">
        <v>33</v>
      </c>
      <c r="S3352">
        <v>1</v>
      </c>
    </row>
    <row r="3353" spans="1:19" ht="16.5" x14ac:dyDescent="0.3">
      <c r="A3353" t="s">
        <v>3416</v>
      </c>
      <c r="B3353" s="1">
        <v>45722</v>
      </c>
      <c r="C3353" s="1">
        <v>45724</v>
      </c>
      <c r="D3353">
        <v>2025</v>
      </c>
      <c r="E3353" t="s">
        <v>20</v>
      </c>
      <c r="F3353" t="s">
        <v>605</v>
      </c>
      <c r="G3353" t="s">
        <v>78</v>
      </c>
      <c r="H3353" t="s">
        <v>52</v>
      </c>
      <c r="I3353" t="s">
        <v>40</v>
      </c>
      <c r="J3353" t="s">
        <v>25</v>
      </c>
      <c r="K3353" t="s">
        <v>53</v>
      </c>
      <c r="L3353" t="s">
        <v>44</v>
      </c>
      <c r="M3353">
        <v>2</v>
      </c>
      <c r="N3353" s="2"/>
      <c r="O3353" s="3">
        <v>2245</v>
      </c>
      <c r="P3353">
        <v>0</v>
      </c>
      <c r="Q3353">
        <v>5</v>
      </c>
      <c r="R3353" t="s">
        <v>33</v>
      </c>
      <c r="S3353">
        <v>1</v>
      </c>
    </row>
    <row r="3354" spans="1:19" ht="16.5" x14ac:dyDescent="0.3">
      <c r="A3354" t="s">
        <v>3417</v>
      </c>
      <c r="B3354" s="1">
        <v>45722</v>
      </c>
      <c r="C3354" s="1">
        <v>45726</v>
      </c>
      <c r="D3354">
        <v>2025</v>
      </c>
      <c r="E3354" t="s">
        <v>20</v>
      </c>
      <c r="F3354" t="s">
        <v>605</v>
      </c>
      <c r="G3354" t="s">
        <v>78</v>
      </c>
      <c r="H3354" t="s">
        <v>50</v>
      </c>
      <c r="I3354" t="s">
        <v>31</v>
      </c>
      <c r="J3354" t="s">
        <v>25</v>
      </c>
      <c r="K3354" t="s">
        <v>26</v>
      </c>
      <c r="L3354" t="s">
        <v>27</v>
      </c>
      <c r="M3354">
        <v>4</v>
      </c>
      <c r="N3354" s="2"/>
      <c r="O3354" s="3">
        <v>4479</v>
      </c>
      <c r="P3354">
        <v>0</v>
      </c>
      <c r="Q3354">
        <v>5</v>
      </c>
      <c r="R3354" t="s">
        <v>33</v>
      </c>
      <c r="S3354">
        <v>1</v>
      </c>
    </row>
    <row r="3355" spans="1:19" ht="16.5" x14ac:dyDescent="0.3">
      <c r="A3355" t="s">
        <v>3418</v>
      </c>
      <c r="B3355" s="1">
        <v>45722</v>
      </c>
      <c r="C3355" s="1">
        <v>45728</v>
      </c>
      <c r="D3355">
        <v>2025</v>
      </c>
      <c r="E3355" t="s">
        <v>20</v>
      </c>
      <c r="F3355" t="s">
        <v>605</v>
      </c>
      <c r="G3355" t="s">
        <v>78</v>
      </c>
      <c r="H3355" t="s">
        <v>50</v>
      </c>
      <c r="I3355" t="s">
        <v>40</v>
      </c>
      <c r="J3355" t="s">
        <v>25</v>
      </c>
      <c r="K3355" t="s">
        <v>53</v>
      </c>
      <c r="L3355" t="s">
        <v>44</v>
      </c>
      <c r="M3355">
        <v>6</v>
      </c>
      <c r="N3355" s="2"/>
      <c r="O3355" s="3">
        <v>6590</v>
      </c>
      <c r="P3355">
        <v>0</v>
      </c>
      <c r="Q3355">
        <v>4</v>
      </c>
      <c r="R3355" t="s">
        <v>33</v>
      </c>
      <c r="S3355">
        <v>1</v>
      </c>
    </row>
    <row r="3356" spans="1:19" ht="16.5" x14ac:dyDescent="0.3">
      <c r="A3356" t="s">
        <v>3419</v>
      </c>
      <c r="B3356" s="1">
        <v>45722</v>
      </c>
      <c r="C3356" s="1">
        <v>45723</v>
      </c>
      <c r="D3356">
        <v>2025</v>
      </c>
      <c r="E3356" t="s">
        <v>20</v>
      </c>
      <c r="F3356" t="s">
        <v>605</v>
      </c>
      <c r="G3356" t="s">
        <v>78</v>
      </c>
      <c r="H3356" t="s">
        <v>35</v>
      </c>
      <c r="I3356" t="s">
        <v>24</v>
      </c>
      <c r="J3356" t="s">
        <v>25</v>
      </c>
      <c r="K3356" t="s">
        <v>36</v>
      </c>
      <c r="L3356" t="s">
        <v>37</v>
      </c>
      <c r="M3356">
        <v>1</v>
      </c>
      <c r="N3356" s="2">
        <v>15</v>
      </c>
      <c r="O3356" s="3">
        <v>1362</v>
      </c>
      <c r="P3356">
        <v>0</v>
      </c>
      <c r="Q3356">
        <v>4</v>
      </c>
      <c r="R3356" t="s">
        <v>33</v>
      </c>
      <c r="S3356">
        <v>1</v>
      </c>
    </row>
    <row r="3357" spans="1:19" ht="16.5" x14ac:dyDescent="0.3">
      <c r="A3357" t="s">
        <v>3420</v>
      </c>
      <c r="B3357" s="1">
        <v>45722</v>
      </c>
      <c r="C3357" s="1">
        <v>45729</v>
      </c>
      <c r="D3357">
        <v>2025</v>
      </c>
      <c r="E3357" t="s">
        <v>20</v>
      </c>
      <c r="F3357" t="s">
        <v>605</v>
      </c>
      <c r="G3357" t="s">
        <v>78</v>
      </c>
      <c r="H3357" t="s">
        <v>23</v>
      </c>
      <c r="I3357" t="s">
        <v>24</v>
      </c>
      <c r="J3357" t="s">
        <v>43</v>
      </c>
      <c r="K3357" t="s">
        <v>26</v>
      </c>
      <c r="L3357" t="s">
        <v>44</v>
      </c>
      <c r="M3357">
        <v>7</v>
      </c>
      <c r="N3357" s="2">
        <v>30</v>
      </c>
      <c r="O3357" s="3">
        <v>5472</v>
      </c>
      <c r="P3357">
        <v>0</v>
      </c>
      <c r="Q3357">
        <v>4</v>
      </c>
      <c r="R3357" t="s">
        <v>33</v>
      </c>
      <c r="S3357">
        <v>1</v>
      </c>
    </row>
    <row r="3358" spans="1:19" ht="16.5" x14ac:dyDescent="0.3">
      <c r="A3358" t="s">
        <v>3421</v>
      </c>
      <c r="B3358" s="1">
        <v>45723</v>
      </c>
      <c r="C3358" s="1">
        <v>45726</v>
      </c>
      <c r="D3358">
        <v>2025</v>
      </c>
      <c r="E3358" t="s">
        <v>20</v>
      </c>
      <c r="F3358" t="s">
        <v>605</v>
      </c>
      <c r="G3358" t="s">
        <v>83</v>
      </c>
      <c r="H3358" t="s">
        <v>35</v>
      </c>
      <c r="I3358" t="s">
        <v>40</v>
      </c>
      <c r="J3358" t="s">
        <v>25</v>
      </c>
      <c r="K3358" t="s">
        <v>32</v>
      </c>
      <c r="L3358" t="s">
        <v>27</v>
      </c>
      <c r="M3358">
        <v>3</v>
      </c>
      <c r="N3358" s="2"/>
      <c r="O3358" s="3">
        <v>2654</v>
      </c>
      <c r="P3358">
        <v>0</v>
      </c>
      <c r="Q3358">
        <v>3</v>
      </c>
      <c r="R3358" t="s">
        <v>28</v>
      </c>
      <c r="S3358">
        <v>1</v>
      </c>
    </row>
    <row r="3359" spans="1:19" ht="16.5" x14ac:dyDescent="0.3">
      <c r="A3359" t="s">
        <v>3422</v>
      </c>
      <c r="B3359" s="1">
        <v>45723</v>
      </c>
      <c r="C3359" s="1">
        <v>45727</v>
      </c>
      <c r="D3359">
        <v>2025</v>
      </c>
      <c r="E3359" t="s">
        <v>20</v>
      </c>
      <c r="F3359" t="s">
        <v>605</v>
      </c>
      <c r="G3359" t="s">
        <v>83</v>
      </c>
      <c r="H3359" t="s">
        <v>35</v>
      </c>
      <c r="I3359" t="s">
        <v>40</v>
      </c>
      <c r="J3359" t="s">
        <v>25</v>
      </c>
      <c r="K3359" t="s">
        <v>36</v>
      </c>
      <c r="L3359" t="s">
        <v>44</v>
      </c>
      <c r="M3359">
        <v>4</v>
      </c>
      <c r="N3359" s="2"/>
      <c r="O3359" s="3">
        <v>4162</v>
      </c>
      <c r="P3359">
        <v>1</v>
      </c>
      <c r="Q3359">
        <v>4</v>
      </c>
      <c r="R3359" t="s">
        <v>33</v>
      </c>
      <c r="S3359">
        <v>1</v>
      </c>
    </row>
    <row r="3360" spans="1:19" ht="16.5" x14ac:dyDescent="0.3">
      <c r="A3360" t="s">
        <v>3423</v>
      </c>
      <c r="B3360" s="1">
        <v>45723</v>
      </c>
      <c r="C3360" s="1">
        <v>45728</v>
      </c>
      <c r="D3360">
        <v>2025</v>
      </c>
      <c r="E3360" t="s">
        <v>20</v>
      </c>
      <c r="F3360" t="s">
        <v>605</v>
      </c>
      <c r="G3360" t="s">
        <v>83</v>
      </c>
      <c r="H3360" t="s">
        <v>30</v>
      </c>
      <c r="I3360" t="s">
        <v>40</v>
      </c>
      <c r="J3360" t="s">
        <v>25</v>
      </c>
      <c r="K3360" t="s">
        <v>26</v>
      </c>
      <c r="L3360" t="s">
        <v>27</v>
      </c>
      <c r="M3360">
        <v>5</v>
      </c>
      <c r="N3360" s="2"/>
      <c r="O3360" s="3">
        <v>5366</v>
      </c>
      <c r="P3360">
        <v>0</v>
      </c>
      <c r="Q3360">
        <v>4</v>
      </c>
      <c r="R3360" t="s">
        <v>28</v>
      </c>
      <c r="S3360">
        <v>1</v>
      </c>
    </row>
    <row r="3361" spans="1:19" ht="16.5" x14ac:dyDescent="0.3">
      <c r="A3361" t="s">
        <v>3424</v>
      </c>
      <c r="B3361" s="1">
        <v>45723</v>
      </c>
      <c r="C3361" s="1">
        <v>45727</v>
      </c>
      <c r="D3361">
        <v>2025</v>
      </c>
      <c r="E3361" t="s">
        <v>20</v>
      </c>
      <c r="F3361" t="s">
        <v>605</v>
      </c>
      <c r="G3361" t="s">
        <v>83</v>
      </c>
      <c r="H3361" t="s">
        <v>30</v>
      </c>
      <c r="I3361" t="s">
        <v>40</v>
      </c>
      <c r="J3361" t="s">
        <v>43</v>
      </c>
      <c r="K3361" t="s">
        <v>36</v>
      </c>
      <c r="L3361" t="s">
        <v>37</v>
      </c>
      <c r="M3361">
        <v>4</v>
      </c>
      <c r="N3361" s="2"/>
      <c r="O3361" s="3">
        <v>5074</v>
      </c>
      <c r="P3361">
        <v>0</v>
      </c>
      <c r="Q3361">
        <v>4</v>
      </c>
      <c r="R3361" t="s">
        <v>33</v>
      </c>
      <c r="S3361">
        <v>1</v>
      </c>
    </row>
    <row r="3362" spans="1:19" ht="16.5" x14ac:dyDescent="0.3">
      <c r="A3362" t="s">
        <v>3425</v>
      </c>
      <c r="B3362" s="1">
        <v>45723</v>
      </c>
      <c r="C3362" s="1">
        <v>45730</v>
      </c>
      <c r="D3362">
        <v>2025</v>
      </c>
      <c r="E3362" t="s">
        <v>20</v>
      </c>
      <c r="F3362" t="s">
        <v>605</v>
      </c>
      <c r="G3362" t="s">
        <v>83</v>
      </c>
      <c r="H3362" t="s">
        <v>39</v>
      </c>
      <c r="I3362" t="s">
        <v>24</v>
      </c>
      <c r="J3362" t="s">
        <v>25</v>
      </c>
      <c r="K3362" t="s">
        <v>41</v>
      </c>
      <c r="L3362" t="s">
        <v>44</v>
      </c>
      <c r="M3362">
        <v>7</v>
      </c>
      <c r="N3362" s="2">
        <v>37</v>
      </c>
      <c r="O3362" s="3">
        <v>5161</v>
      </c>
      <c r="P3362">
        <v>0</v>
      </c>
      <c r="Q3362">
        <v>4</v>
      </c>
      <c r="R3362" t="s">
        <v>33</v>
      </c>
      <c r="S3362">
        <v>1</v>
      </c>
    </row>
    <row r="3363" spans="1:19" ht="16.5" x14ac:dyDescent="0.3">
      <c r="A3363" t="s">
        <v>3426</v>
      </c>
      <c r="B3363" s="1">
        <v>45723</v>
      </c>
      <c r="C3363" s="1">
        <v>45728</v>
      </c>
      <c r="D3363">
        <v>2025</v>
      </c>
      <c r="E3363" t="s">
        <v>20</v>
      </c>
      <c r="F3363" t="s">
        <v>605</v>
      </c>
      <c r="G3363" t="s">
        <v>83</v>
      </c>
      <c r="H3363" t="s">
        <v>39</v>
      </c>
      <c r="I3363" t="s">
        <v>40</v>
      </c>
      <c r="J3363" t="s">
        <v>43</v>
      </c>
      <c r="K3363" t="s">
        <v>41</v>
      </c>
      <c r="L3363" t="s">
        <v>44</v>
      </c>
      <c r="M3363">
        <v>5</v>
      </c>
      <c r="N3363" s="2"/>
      <c r="O3363" s="3">
        <v>4352</v>
      </c>
      <c r="P3363">
        <v>0</v>
      </c>
      <c r="Q3363">
        <v>3</v>
      </c>
      <c r="R3363" t="s">
        <v>33</v>
      </c>
      <c r="S3363">
        <v>1</v>
      </c>
    </row>
    <row r="3364" spans="1:19" ht="16.5" x14ac:dyDescent="0.3">
      <c r="A3364" t="s">
        <v>3427</v>
      </c>
      <c r="B3364" s="1">
        <v>45723</v>
      </c>
      <c r="C3364" s="1">
        <v>45730</v>
      </c>
      <c r="D3364">
        <v>2025</v>
      </c>
      <c r="E3364" t="s">
        <v>20</v>
      </c>
      <c r="F3364" t="s">
        <v>605</v>
      </c>
      <c r="G3364" t="s">
        <v>83</v>
      </c>
      <c r="H3364" t="s">
        <v>50</v>
      </c>
      <c r="I3364" t="s">
        <v>24</v>
      </c>
      <c r="J3364" t="s">
        <v>43</v>
      </c>
      <c r="K3364" t="s">
        <v>32</v>
      </c>
      <c r="L3364" t="s">
        <v>44</v>
      </c>
      <c r="M3364">
        <v>7</v>
      </c>
      <c r="N3364" s="2">
        <v>67</v>
      </c>
      <c r="O3364" s="3">
        <v>10069</v>
      </c>
      <c r="P3364">
        <v>0</v>
      </c>
      <c r="Q3364">
        <v>4</v>
      </c>
      <c r="R3364" t="s">
        <v>28</v>
      </c>
      <c r="S3364">
        <v>1</v>
      </c>
    </row>
    <row r="3365" spans="1:19" ht="16.5" x14ac:dyDescent="0.3">
      <c r="A3365" t="s">
        <v>3428</v>
      </c>
      <c r="B3365" s="1">
        <v>45724</v>
      </c>
      <c r="C3365" s="1">
        <v>45725</v>
      </c>
      <c r="D3365">
        <v>2025</v>
      </c>
      <c r="E3365" t="s">
        <v>20</v>
      </c>
      <c r="F3365" t="s">
        <v>605</v>
      </c>
      <c r="G3365" t="s">
        <v>102</v>
      </c>
      <c r="H3365" t="s">
        <v>30</v>
      </c>
      <c r="I3365" t="s">
        <v>40</v>
      </c>
      <c r="J3365" t="s">
        <v>25</v>
      </c>
      <c r="K3365" t="s">
        <v>26</v>
      </c>
      <c r="L3365" t="s">
        <v>37</v>
      </c>
      <c r="M3365">
        <v>1</v>
      </c>
      <c r="N3365" s="2"/>
      <c r="O3365" s="3">
        <v>1663</v>
      </c>
      <c r="P3365">
        <v>0</v>
      </c>
      <c r="Q3365">
        <v>4</v>
      </c>
      <c r="R3365" t="s">
        <v>33</v>
      </c>
      <c r="S3365">
        <v>1</v>
      </c>
    </row>
    <row r="3366" spans="1:19" ht="16.5" x14ac:dyDescent="0.3">
      <c r="A3366" t="s">
        <v>3429</v>
      </c>
      <c r="B3366" s="1">
        <v>45724</v>
      </c>
      <c r="C3366" s="1">
        <v>45725</v>
      </c>
      <c r="D3366">
        <v>2025</v>
      </c>
      <c r="E3366" t="s">
        <v>20</v>
      </c>
      <c r="F3366" t="s">
        <v>605</v>
      </c>
      <c r="G3366" t="s">
        <v>102</v>
      </c>
      <c r="H3366" t="s">
        <v>35</v>
      </c>
      <c r="I3366" t="s">
        <v>24</v>
      </c>
      <c r="J3366" t="s">
        <v>25</v>
      </c>
      <c r="K3366" t="s">
        <v>36</v>
      </c>
      <c r="L3366" t="s">
        <v>44</v>
      </c>
      <c r="M3366">
        <v>1</v>
      </c>
      <c r="N3366" s="2">
        <v>71</v>
      </c>
      <c r="O3366" s="3">
        <v>1496</v>
      </c>
      <c r="P3366">
        <v>0</v>
      </c>
      <c r="Q3366">
        <v>5</v>
      </c>
      <c r="R3366" t="s">
        <v>28</v>
      </c>
      <c r="S3366">
        <v>1</v>
      </c>
    </row>
    <row r="3367" spans="1:19" ht="16.5" x14ac:dyDescent="0.3">
      <c r="A3367" t="s">
        <v>3430</v>
      </c>
      <c r="B3367" s="1">
        <v>45724</v>
      </c>
      <c r="C3367" s="1">
        <v>45733</v>
      </c>
      <c r="D3367">
        <v>2025</v>
      </c>
      <c r="E3367" t="s">
        <v>20</v>
      </c>
      <c r="F3367" t="s">
        <v>605</v>
      </c>
      <c r="G3367" t="s">
        <v>102</v>
      </c>
      <c r="H3367" t="s">
        <v>30</v>
      </c>
      <c r="I3367" t="s">
        <v>40</v>
      </c>
      <c r="J3367" t="s">
        <v>25</v>
      </c>
      <c r="K3367" t="s">
        <v>26</v>
      </c>
      <c r="L3367" t="s">
        <v>44</v>
      </c>
      <c r="M3367">
        <v>9</v>
      </c>
      <c r="N3367" s="2"/>
      <c r="O3367" s="3">
        <v>7657</v>
      </c>
      <c r="P3367">
        <v>0</v>
      </c>
      <c r="Q3367">
        <v>4</v>
      </c>
      <c r="R3367" t="s">
        <v>33</v>
      </c>
      <c r="S3367">
        <v>1</v>
      </c>
    </row>
    <row r="3368" spans="1:19" ht="16.5" x14ac:dyDescent="0.3">
      <c r="A3368" t="s">
        <v>3431</v>
      </c>
      <c r="B3368" s="1">
        <v>45724</v>
      </c>
      <c r="C3368" s="1">
        <v>45726</v>
      </c>
      <c r="D3368">
        <v>2025</v>
      </c>
      <c r="E3368" t="s">
        <v>20</v>
      </c>
      <c r="F3368" t="s">
        <v>605</v>
      </c>
      <c r="G3368" t="s">
        <v>102</v>
      </c>
      <c r="H3368" t="s">
        <v>35</v>
      </c>
      <c r="I3368" t="s">
        <v>40</v>
      </c>
      <c r="J3368" t="s">
        <v>25</v>
      </c>
      <c r="K3368" t="s">
        <v>32</v>
      </c>
      <c r="L3368" t="s">
        <v>44</v>
      </c>
      <c r="M3368">
        <v>2</v>
      </c>
      <c r="N3368" s="2"/>
      <c r="O3368" s="3">
        <v>1619</v>
      </c>
      <c r="P3368">
        <v>0</v>
      </c>
      <c r="Q3368">
        <v>4</v>
      </c>
      <c r="R3368" t="s">
        <v>33</v>
      </c>
      <c r="S3368">
        <v>1</v>
      </c>
    </row>
    <row r="3369" spans="1:19" ht="16.5" x14ac:dyDescent="0.3">
      <c r="A3369" t="s">
        <v>3432</v>
      </c>
      <c r="B3369" s="1">
        <v>45724</v>
      </c>
      <c r="C3369" s="1">
        <v>45725</v>
      </c>
      <c r="D3369">
        <v>2025</v>
      </c>
      <c r="E3369" t="s">
        <v>20</v>
      </c>
      <c r="F3369" t="s">
        <v>605</v>
      </c>
      <c r="G3369" t="s">
        <v>102</v>
      </c>
      <c r="H3369" t="s">
        <v>35</v>
      </c>
      <c r="I3369" t="s">
        <v>24</v>
      </c>
      <c r="J3369" t="s">
        <v>25</v>
      </c>
      <c r="K3369" t="s">
        <v>36</v>
      </c>
      <c r="L3369" t="s">
        <v>44</v>
      </c>
      <c r="M3369">
        <v>1</v>
      </c>
      <c r="N3369" s="2">
        <v>47</v>
      </c>
      <c r="O3369" s="3">
        <v>1324</v>
      </c>
      <c r="P3369">
        <v>0</v>
      </c>
      <c r="Q3369">
        <v>4</v>
      </c>
      <c r="R3369" t="s">
        <v>33</v>
      </c>
      <c r="S3369">
        <v>1</v>
      </c>
    </row>
    <row r="3370" spans="1:19" ht="16.5" x14ac:dyDescent="0.3">
      <c r="A3370" t="s">
        <v>3433</v>
      </c>
      <c r="B3370" s="1">
        <v>45724</v>
      </c>
      <c r="C3370" s="1">
        <v>45731</v>
      </c>
      <c r="D3370">
        <v>2025</v>
      </c>
      <c r="E3370" t="s">
        <v>20</v>
      </c>
      <c r="F3370" t="s">
        <v>605</v>
      </c>
      <c r="G3370" t="s">
        <v>102</v>
      </c>
      <c r="H3370" t="s">
        <v>50</v>
      </c>
      <c r="I3370" t="s">
        <v>24</v>
      </c>
      <c r="J3370" t="s">
        <v>43</v>
      </c>
      <c r="K3370" t="s">
        <v>36</v>
      </c>
      <c r="L3370" t="s">
        <v>44</v>
      </c>
      <c r="M3370">
        <v>7</v>
      </c>
      <c r="N3370" s="2">
        <v>20</v>
      </c>
      <c r="O3370" s="3">
        <v>10743</v>
      </c>
      <c r="P3370">
        <v>0</v>
      </c>
      <c r="Q3370">
        <v>4</v>
      </c>
      <c r="R3370" t="s">
        <v>33</v>
      </c>
      <c r="S3370">
        <v>1</v>
      </c>
    </row>
    <row r="3371" spans="1:19" ht="16.5" x14ac:dyDescent="0.3">
      <c r="A3371" t="s">
        <v>3434</v>
      </c>
      <c r="B3371" s="1">
        <v>45724</v>
      </c>
      <c r="C3371" s="1">
        <v>45726</v>
      </c>
      <c r="D3371">
        <v>2025</v>
      </c>
      <c r="E3371" t="s">
        <v>20</v>
      </c>
      <c r="F3371" t="s">
        <v>605</v>
      </c>
      <c r="G3371" t="s">
        <v>102</v>
      </c>
      <c r="H3371" t="s">
        <v>35</v>
      </c>
      <c r="I3371" t="s">
        <v>24</v>
      </c>
      <c r="J3371" t="s">
        <v>25</v>
      </c>
      <c r="K3371" t="s">
        <v>32</v>
      </c>
      <c r="L3371" t="s">
        <v>44</v>
      </c>
      <c r="M3371">
        <v>2</v>
      </c>
      <c r="N3371" s="2">
        <v>63</v>
      </c>
      <c r="O3371" s="3">
        <v>1754</v>
      </c>
      <c r="P3371">
        <v>0</v>
      </c>
      <c r="Q3371">
        <v>3</v>
      </c>
      <c r="R3371" t="s">
        <v>33</v>
      </c>
      <c r="S3371">
        <v>1</v>
      </c>
    </row>
    <row r="3372" spans="1:19" ht="16.5" x14ac:dyDescent="0.3">
      <c r="A3372" t="s">
        <v>3435</v>
      </c>
      <c r="B3372" s="1">
        <v>45724</v>
      </c>
      <c r="C3372" s="1">
        <v>45728</v>
      </c>
      <c r="D3372">
        <v>2025</v>
      </c>
      <c r="E3372" t="s">
        <v>20</v>
      </c>
      <c r="F3372" t="s">
        <v>605</v>
      </c>
      <c r="G3372" t="s">
        <v>102</v>
      </c>
      <c r="H3372" t="s">
        <v>23</v>
      </c>
      <c r="I3372" t="s">
        <v>40</v>
      </c>
      <c r="J3372" t="s">
        <v>25</v>
      </c>
      <c r="K3372" t="s">
        <v>32</v>
      </c>
      <c r="L3372" t="s">
        <v>27</v>
      </c>
      <c r="M3372">
        <v>4</v>
      </c>
      <c r="N3372" s="2"/>
      <c r="O3372" s="3">
        <v>2717</v>
      </c>
      <c r="P3372">
        <v>0</v>
      </c>
      <c r="Q3372">
        <v>3</v>
      </c>
      <c r="R3372" t="s">
        <v>33</v>
      </c>
      <c r="S3372">
        <v>1</v>
      </c>
    </row>
    <row r="3373" spans="1:19" ht="16.5" x14ac:dyDescent="0.3">
      <c r="A3373" t="s">
        <v>3436</v>
      </c>
      <c r="B3373" s="1">
        <v>45724</v>
      </c>
      <c r="C3373" s="1">
        <v>45730</v>
      </c>
      <c r="D3373">
        <v>2025</v>
      </c>
      <c r="E3373" t="s">
        <v>20</v>
      </c>
      <c r="F3373" t="s">
        <v>605</v>
      </c>
      <c r="G3373" t="s">
        <v>102</v>
      </c>
      <c r="H3373" t="s">
        <v>30</v>
      </c>
      <c r="I3373" t="s">
        <v>24</v>
      </c>
      <c r="J3373" t="s">
        <v>25</v>
      </c>
      <c r="K3373" t="s">
        <v>53</v>
      </c>
      <c r="L3373" t="s">
        <v>27</v>
      </c>
      <c r="M3373">
        <v>6</v>
      </c>
      <c r="N3373" s="2">
        <v>45</v>
      </c>
      <c r="O3373" s="3">
        <v>8056</v>
      </c>
      <c r="P3373">
        <v>0</v>
      </c>
      <c r="Q3373">
        <v>4</v>
      </c>
      <c r="R3373" t="s">
        <v>33</v>
      </c>
      <c r="S3373">
        <v>1</v>
      </c>
    </row>
    <row r="3374" spans="1:19" ht="16.5" x14ac:dyDescent="0.3">
      <c r="A3374" t="s">
        <v>3437</v>
      </c>
      <c r="B3374" s="1">
        <v>45725</v>
      </c>
      <c r="C3374" s="1">
        <v>45731</v>
      </c>
      <c r="D3374">
        <v>2025</v>
      </c>
      <c r="E3374" t="s">
        <v>20</v>
      </c>
      <c r="F3374" t="s">
        <v>605</v>
      </c>
      <c r="G3374" t="s">
        <v>112</v>
      </c>
      <c r="H3374" t="s">
        <v>50</v>
      </c>
      <c r="I3374" t="s">
        <v>24</v>
      </c>
      <c r="J3374" t="s">
        <v>43</v>
      </c>
      <c r="K3374" t="s">
        <v>32</v>
      </c>
      <c r="L3374" t="s">
        <v>27</v>
      </c>
      <c r="M3374">
        <v>6</v>
      </c>
      <c r="N3374" s="2">
        <v>41</v>
      </c>
      <c r="O3374" s="3">
        <v>7068</v>
      </c>
      <c r="P3374">
        <v>0</v>
      </c>
      <c r="Q3374">
        <v>5</v>
      </c>
      <c r="R3374" t="s">
        <v>33</v>
      </c>
      <c r="S3374">
        <v>1</v>
      </c>
    </row>
    <row r="3375" spans="1:19" ht="16.5" x14ac:dyDescent="0.3">
      <c r="A3375" t="s">
        <v>3438</v>
      </c>
      <c r="B3375" s="1">
        <v>45725</v>
      </c>
      <c r="C3375" s="1">
        <v>45730</v>
      </c>
      <c r="D3375">
        <v>2025</v>
      </c>
      <c r="E3375" t="s">
        <v>20</v>
      </c>
      <c r="F3375" t="s">
        <v>605</v>
      </c>
      <c r="G3375" t="s">
        <v>112</v>
      </c>
      <c r="H3375" t="s">
        <v>23</v>
      </c>
      <c r="I3375" t="s">
        <v>24</v>
      </c>
      <c r="J3375" t="s">
        <v>25</v>
      </c>
      <c r="K3375" t="s">
        <v>53</v>
      </c>
      <c r="L3375" t="s">
        <v>44</v>
      </c>
      <c r="M3375">
        <v>5</v>
      </c>
      <c r="N3375" s="2">
        <v>47</v>
      </c>
      <c r="O3375" s="3">
        <v>3475</v>
      </c>
      <c r="P3375">
        <v>0</v>
      </c>
      <c r="Q3375">
        <v>3</v>
      </c>
      <c r="R3375" t="s">
        <v>28</v>
      </c>
      <c r="S3375">
        <v>1</v>
      </c>
    </row>
    <row r="3376" spans="1:19" ht="16.5" x14ac:dyDescent="0.3">
      <c r="A3376" t="s">
        <v>3439</v>
      </c>
      <c r="B3376" s="1">
        <v>45725</v>
      </c>
      <c r="C3376" s="1">
        <v>45726</v>
      </c>
      <c r="D3376">
        <v>2025</v>
      </c>
      <c r="E3376" t="s">
        <v>20</v>
      </c>
      <c r="F3376" t="s">
        <v>605</v>
      </c>
      <c r="G3376" t="s">
        <v>112</v>
      </c>
      <c r="H3376" t="s">
        <v>35</v>
      </c>
      <c r="I3376" t="s">
        <v>40</v>
      </c>
      <c r="J3376" t="s">
        <v>25</v>
      </c>
      <c r="K3376" t="s">
        <v>36</v>
      </c>
      <c r="L3376" t="s">
        <v>27</v>
      </c>
      <c r="M3376">
        <v>1</v>
      </c>
      <c r="N3376" s="2"/>
      <c r="O3376" s="3">
        <v>1598</v>
      </c>
      <c r="P3376">
        <v>0</v>
      </c>
      <c r="Q3376">
        <v>5</v>
      </c>
      <c r="R3376" t="s">
        <v>28</v>
      </c>
      <c r="S3376">
        <v>1</v>
      </c>
    </row>
    <row r="3377" spans="1:19" ht="16.5" x14ac:dyDescent="0.3">
      <c r="A3377" t="s">
        <v>3440</v>
      </c>
      <c r="B3377" s="1">
        <v>45725</v>
      </c>
      <c r="C3377" s="1">
        <v>45726</v>
      </c>
      <c r="D3377">
        <v>2025</v>
      </c>
      <c r="E3377" t="s">
        <v>20</v>
      </c>
      <c r="F3377" t="s">
        <v>605</v>
      </c>
      <c r="G3377" t="s">
        <v>112</v>
      </c>
      <c r="H3377" t="s">
        <v>39</v>
      </c>
      <c r="I3377" t="s">
        <v>40</v>
      </c>
      <c r="J3377" t="s">
        <v>25</v>
      </c>
      <c r="K3377" t="s">
        <v>41</v>
      </c>
      <c r="L3377" t="s">
        <v>37</v>
      </c>
      <c r="M3377">
        <v>1</v>
      </c>
      <c r="N3377" s="2"/>
      <c r="O3377" s="3">
        <v>1597</v>
      </c>
      <c r="P3377">
        <v>0</v>
      </c>
      <c r="Q3377">
        <v>4</v>
      </c>
      <c r="R3377" t="s">
        <v>33</v>
      </c>
      <c r="S3377">
        <v>1</v>
      </c>
    </row>
    <row r="3378" spans="1:19" ht="16.5" x14ac:dyDescent="0.3">
      <c r="A3378" t="s">
        <v>3441</v>
      </c>
      <c r="B3378" s="1">
        <v>45726</v>
      </c>
      <c r="C3378" s="1">
        <v>45732</v>
      </c>
      <c r="D3378">
        <v>2025</v>
      </c>
      <c r="E3378" t="s">
        <v>20</v>
      </c>
      <c r="F3378" t="s">
        <v>605</v>
      </c>
      <c r="G3378" t="s">
        <v>22</v>
      </c>
      <c r="H3378" t="s">
        <v>23</v>
      </c>
      <c r="I3378" t="s">
        <v>31</v>
      </c>
      <c r="J3378" t="s">
        <v>43</v>
      </c>
      <c r="K3378" t="s">
        <v>26</v>
      </c>
      <c r="L3378" t="s">
        <v>27</v>
      </c>
      <c r="M3378">
        <v>6</v>
      </c>
      <c r="N3378" s="2"/>
      <c r="O3378" s="3">
        <v>4381</v>
      </c>
      <c r="P3378">
        <v>1</v>
      </c>
      <c r="Q3378">
        <v>4</v>
      </c>
      <c r="R3378" t="s">
        <v>33</v>
      </c>
      <c r="S3378">
        <v>1</v>
      </c>
    </row>
    <row r="3379" spans="1:19" ht="16.5" x14ac:dyDescent="0.3">
      <c r="A3379" t="s">
        <v>3442</v>
      </c>
      <c r="B3379" s="1">
        <v>45726</v>
      </c>
      <c r="C3379" s="1">
        <v>45730</v>
      </c>
      <c r="D3379">
        <v>2025</v>
      </c>
      <c r="E3379" t="s">
        <v>20</v>
      </c>
      <c r="F3379" t="s">
        <v>605</v>
      </c>
      <c r="G3379" t="s">
        <v>22</v>
      </c>
      <c r="H3379" t="s">
        <v>50</v>
      </c>
      <c r="I3379" t="s">
        <v>24</v>
      </c>
      <c r="J3379" t="s">
        <v>25</v>
      </c>
      <c r="K3379" t="s">
        <v>26</v>
      </c>
      <c r="L3379" t="s">
        <v>44</v>
      </c>
      <c r="M3379">
        <v>4</v>
      </c>
      <c r="N3379" s="2">
        <v>21</v>
      </c>
      <c r="O3379" s="3">
        <v>4923</v>
      </c>
      <c r="P3379">
        <v>0</v>
      </c>
      <c r="Q3379">
        <v>4</v>
      </c>
      <c r="R3379" t="s">
        <v>28</v>
      </c>
      <c r="S3379">
        <v>1</v>
      </c>
    </row>
    <row r="3380" spans="1:19" ht="16.5" x14ac:dyDescent="0.3">
      <c r="A3380" t="s">
        <v>3443</v>
      </c>
      <c r="B3380" s="1">
        <v>45726</v>
      </c>
      <c r="C3380" s="1">
        <v>45729</v>
      </c>
      <c r="D3380">
        <v>2025</v>
      </c>
      <c r="E3380" t="s">
        <v>20</v>
      </c>
      <c r="F3380" t="s">
        <v>605</v>
      </c>
      <c r="G3380" t="s">
        <v>22</v>
      </c>
      <c r="H3380" t="s">
        <v>52</v>
      </c>
      <c r="I3380" t="s">
        <v>40</v>
      </c>
      <c r="J3380" t="s">
        <v>43</v>
      </c>
      <c r="K3380" t="s">
        <v>26</v>
      </c>
      <c r="L3380" t="s">
        <v>44</v>
      </c>
      <c r="M3380">
        <v>3</v>
      </c>
      <c r="N3380" s="2"/>
      <c r="O3380" s="3">
        <v>4327</v>
      </c>
      <c r="P3380">
        <v>0</v>
      </c>
      <c r="Q3380">
        <v>4</v>
      </c>
      <c r="R3380" t="s">
        <v>33</v>
      </c>
      <c r="S3380">
        <v>1</v>
      </c>
    </row>
    <row r="3381" spans="1:19" ht="16.5" x14ac:dyDescent="0.3">
      <c r="A3381" t="s">
        <v>3444</v>
      </c>
      <c r="B3381" s="1">
        <v>45726</v>
      </c>
      <c r="C3381" s="1">
        <v>45727</v>
      </c>
      <c r="D3381">
        <v>2025</v>
      </c>
      <c r="E3381" t="s">
        <v>20</v>
      </c>
      <c r="F3381" t="s">
        <v>605</v>
      </c>
      <c r="G3381" t="s">
        <v>22</v>
      </c>
      <c r="H3381" t="s">
        <v>52</v>
      </c>
      <c r="I3381" t="s">
        <v>40</v>
      </c>
      <c r="J3381" t="s">
        <v>43</v>
      </c>
      <c r="K3381" t="s">
        <v>32</v>
      </c>
      <c r="L3381" t="s">
        <v>44</v>
      </c>
      <c r="M3381">
        <v>1</v>
      </c>
      <c r="N3381" s="2"/>
      <c r="O3381" s="3">
        <v>2204</v>
      </c>
      <c r="P3381">
        <v>0</v>
      </c>
      <c r="Q3381">
        <v>5</v>
      </c>
      <c r="R3381" t="s">
        <v>33</v>
      </c>
      <c r="S3381">
        <v>1</v>
      </c>
    </row>
    <row r="3382" spans="1:19" ht="16.5" x14ac:dyDescent="0.3">
      <c r="A3382" t="s">
        <v>3445</v>
      </c>
      <c r="B3382" s="1">
        <v>45726</v>
      </c>
      <c r="C3382" s="1">
        <v>45729</v>
      </c>
      <c r="D3382">
        <v>2025</v>
      </c>
      <c r="E3382" t="s">
        <v>20</v>
      </c>
      <c r="F3382" t="s">
        <v>605</v>
      </c>
      <c r="G3382" t="s">
        <v>22</v>
      </c>
      <c r="H3382" t="s">
        <v>35</v>
      </c>
      <c r="I3382" t="s">
        <v>24</v>
      </c>
      <c r="J3382" t="s">
        <v>25</v>
      </c>
      <c r="K3382" t="s">
        <v>32</v>
      </c>
      <c r="L3382" t="s">
        <v>44</v>
      </c>
      <c r="M3382">
        <v>3</v>
      </c>
      <c r="N3382" s="2">
        <v>54</v>
      </c>
      <c r="O3382" s="3">
        <v>2353</v>
      </c>
      <c r="P3382">
        <v>0</v>
      </c>
      <c r="Q3382">
        <v>4</v>
      </c>
      <c r="R3382" t="s">
        <v>28</v>
      </c>
      <c r="S3382">
        <v>1</v>
      </c>
    </row>
    <row r="3383" spans="1:19" ht="16.5" x14ac:dyDescent="0.3">
      <c r="A3383" t="s">
        <v>3446</v>
      </c>
      <c r="B3383" s="1">
        <v>45726</v>
      </c>
      <c r="C3383" s="1">
        <v>45738</v>
      </c>
      <c r="D3383">
        <v>2025</v>
      </c>
      <c r="E3383" t="s">
        <v>20</v>
      </c>
      <c r="F3383" t="s">
        <v>605</v>
      </c>
      <c r="G3383" t="s">
        <v>22</v>
      </c>
      <c r="H3383" t="s">
        <v>30</v>
      </c>
      <c r="I3383" t="s">
        <v>24</v>
      </c>
      <c r="J3383" t="s">
        <v>43</v>
      </c>
      <c r="K3383" t="s">
        <v>26</v>
      </c>
      <c r="L3383" t="s">
        <v>37</v>
      </c>
      <c r="M3383">
        <v>12</v>
      </c>
      <c r="N3383" s="2">
        <v>35</v>
      </c>
      <c r="O3383" s="3">
        <v>13855</v>
      </c>
      <c r="P3383">
        <v>0</v>
      </c>
      <c r="Q3383">
        <v>5</v>
      </c>
      <c r="R3383" t="s">
        <v>33</v>
      </c>
      <c r="S3383">
        <v>1</v>
      </c>
    </row>
    <row r="3384" spans="1:19" ht="16.5" x14ac:dyDescent="0.3">
      <c r="A3384" t="s">
        <v>3447</v>
      </c>
      <c r="B3384" s="1">
        <v>45727</v>
      </c>
      <c r="C3384" s="1">
        <v>45732</v>
      </c>
      <c r="D3384">
        <v>2025</v>
      </c>
      <c r="E3384" t="s">
        <v>20</v>
      </c>
      <c r="F3384" t="s">
        <v>605</v>
      </c>
      <c r="G3384" t="s">
        <v>56</v>
      </c>
      <c r="H3384" t="s">
        <v>23</v>
      </c>
      <c r="I3384" t="s">
        <v>24</v>
      </c>
      <c r="J3384" t="s">
        <v>43</v>
      </c>
      <c r="K3384" t="s">
        <v>36</v>
      </c>
      <c r="L3384" t="s">
        <v>27</v>
      </c>
      <c r="M3384">
        <v>5</v>
      </c>
      <c r="N3384" s="2">
        <v>77</v>
      </c>
      <c r="O3384" s="3">
        <v>3132</v>
      </c>
      <c r="P3384">
        <v>0</v>
      </c>
      <c r="Q3384">
        <v>4</v>
      </c>
      <c r="R3384" t="s">
        <v>28</v>
      </c>
      <c r="S3384">
        <v>1</v>
      </c>
    </row>
    <row r="3385" spans="1:19" ht="16.5" x14ac:dyDescent="0.3">
      <c r="A3385" t="s">
        <v>3448</v>
      </c>
      <c r="B3385" s="1">
        <v>45727</v>
      </c>
      <c r="C3385" s="1">
        <v>45731</v>
      </c>
      <c r="D3385">
        <v>2025</v>
      </c>
      <c r="E3385" t="s">
        <v>20</v>
      </c>
      <c r="F3385" t="s">
        <v>605</v>
      </c>
      <c r="G3385" t="s">
        <v>56</v>
      </c>
      <c r="H3385" t="s">
        <v>35</v>
      </c>
      <c r="I3385" t="s">
        <v>40</v>
      </c>
      <c r="J3385" t="s">
        <v>25</v>
      </c>
      <c r="K3385" t="s">
        <v>36</v>
      </c>
      <c r="L3385" t="s">
        <v>27</v>
      </c>
      <c r="M3385">
        <v>4</v>
      </c>
      <c r="N3385" s="2"/>
      <c r="O3385" s="3">
        <v>3811</v>
      </c>
      <c r="P3385">
        <v>1</v>
      </c>
      <c r="Q3385">
        <v>5</v>
      </c>
      <c r="R3385" t="s">
        <v>28</v>
      </c>
      <c r="S3385">
        <v>1</v>
      </c>
    </row>
    <row r="3386" spans="1:19" ht="16.5" x14ac:dyDescent="0.3">
      <c r="A3386" t="s">
        <v>3449</v>
      </c>
      <c r="B3386" s="1">
        <v>45727</v>
      </c>
      <c r="C3386" s="1">
        <v>45734</v>
      </c>
      <c r="D3386">
        <v>2025</v>
      </c>
      <c r="E3386" t="s">
        <v>20</v>
      </c>
      <c r="F3386" t="s">
        <v>605</v>
      </c>
      <c r="G3386" t="s">
        <v>56</v>
      </c>
      <c r="H3386" t="s">
        <v>52</v>
      </c>
      <c r="I3386" t="s">
        <v>40</v>
      </c>
      <c r="J3386" t="s">
        <v>25</v>
      </c>
      <c r="K3386" t="s">
        <v>53</v>
      </c>
      <c r="L3386" t="s">
        <v>27</v>
      </c>
      <c r="M3386">
        <v>7</v>
      </c>
      <c r="N3386" s="2"/>
      <c r="O3386" s="3">
        <v>8252</v>
      </c>
      <c r="P3386">
        <v>0</v>
      </c>
      <c r="Q3386">
        <v>5</v>
      </c>
      <c r="R3386" t="s">
        <v>33</v>
      </c>
      <c r="S3386">
        <v>1</v>
      </c>
    </row>
    <row r="3387" spans="1:19" ht="16.5" x14ac:dyDescent="0.3">
      <c r="A3387" t="s">
        <v>3450</v>
      </c>
      <c r="B3387" s="1">
        <v>45727</v>
      </c>
      <c r="C3387" s="1">
        <v>45732</v>
      </c>
      <c r="D3387">
        <v>2025</v>
      </c>
      <c r="E3387" t="s">
        <v>20</v>
      </c>
      <c r="F3387" t="s">
        <v>605</v>
      </c>
      <c r="G3387" t="s">
        <v>56</v>
      </c>
      <c r="H3387" t="s">
        <v>30</v>
      </c>
      <c r="I3387" t="s">
        <v>24</v>
      </c>
      <c r="J3387" t="s">
        <v>43</v>
      </c>
      <c r="K3387" t="s">
        <v>32</v>
      </c>
      <c r="L3387" t="s">
        <v>27</v>
      </c>
      <c r="M3387">
        <v>5</v>
      </c>
      <c r="N3387" s="2">
        <v>34</v>
      </c>
      <c r="O3387" s="3">
        <v>8650</v>
      </c>
      <c r="P3387">
        <v>0</v>
      </c>
      <c r="Q3387">
        <v>3</v>
      </c>
      <c r="R3387" t="s">
        <v>28</v>
      </c>
      <c r="S3387">
        <v>1</v>
      </c>
    </row>
    <row r="3388" spans="1:19" ht="16.5" x14ac:dyDescent="0.3">
      <c r="A3388" t="s">
        <v>3451</v>
      </c>
      <c r="B3388" s="1">
        <v>45727</v>
      </c>
      <c r="C3388" s="1">
        <v>45734</v>
      </c>
      <c r="D3388">
        <v>2025</v>
      </c>
      <c r="E3388" t="s">
        <v>20</v>
      </c>
      <c r="F3388" t="s">
        <v>605</v>
      </c>
      <c r="G3388" t="s">
        <v>56</v>
      </c>
      <c r="H3388" t="s">
        <v>23</v>
      </c>
      <c r="I3388" t="s">
        <v>24</v>
      </c>
      <c r="J3388" t="s">
        <v>25</v>
      </c>
      <c r="K3388" t="s">
        <v>53</v>
      </c>
      <c r="L3388" t="s">
        <v>37</v>
      </c>
      <c r="M3388">
        <v>7</v>
      </c>
      <c r="N3388" s="2">
        <v>17</v>
      </c>
      <c r="O3388" s="3">
        <v>6220</v>
      </c>
      <c r="P3388">
        <v>0</v>
      </c>
      <c r="Q3388">
        <v>5</v>
      </c>
      <c r="R3388" t="s">
        <v>33</v>
      </c>
      <c r="S3388">
        <v>1</v>
      </c>
    </row>
    <row r="3389" spans="1:19" ht="16.5" x14ac:dyDescent="0.3">
      <c r="A3389" t="s">
        <v>3452</v>
      </c>
      <c r="B3389" s="1">
        <v>45727</v>
      </c>
      <c r="C3389" s="1">
        <v>45729</v>
      </c>
      <c r="D3389">
        <v>2025</v>
      </c>
      <c r="E3389" t="s">
        <v>20</v>
      </c>
      <c r="F3389" t="s">
        <v>605</v>
      </c>
      <c r="G3389" t="s">
        <v>56</v>
      </c>
      <c r="H3389" t="s">
        <v>39</v>
      </c>
      <c r="I3389" t="s">
        <v>24</v>
      </c>
      <c r="J3389" t="s">
        <v>43</v>
      </c>
      <c r="K3389" t="s">
        <v>41</v>
      </c>
      <c r="L3389" t="s">
        <v>44</v>
      </c>
      <c r="M3389">
        <v>2</v>
      </c>
      <c r="N3389" s="2">
        <v>20</v>
      </c>
      <c r="O3389" s="3">
        <v>1690</v>
      </c>
      <c r="P3389">
        <v>0</v>
      </c>
      <c r="Q3389">
        <v>5</v>
      </c>
      <c r="R3389" t="s">
        <v>33</v>
      </c>
      <c r="S3389">
        <v>1</v>
      </c>
    </row>
    <row r="3390" spans="1:19" ht="16.5" x14ac:dyDescent="0.3">
      <c r="A3390" t="s">
        <v>3453</v>
      </c>
      <c r="B3390" s="1">
        <v>45727</v>
      </c>
      <c r="C3390" s="1">
        <v>45730</v>
      </c>
      <c r="D3390">
        <v>2025</v>
      </c>
      <c r="E3390" t="s">
        <v>20</v>
      </c>
      <c r="F3390" t="s">
        <v>605</v>
      </c>
      <c r="G3390" t="s">
        <v>56</v>
      </c>
      <c r="H3390" t="s">
        <v>50</v>
      </c>
      <c r="I3390" t="s">
        <v>40</v>
      </c>
      <c r="J3390" t="s">
        <v>25</v>
      </c>
      <c r="K3390" t="s">
        <v>53</v>
      </c>
      <c r="L3390" t="s">
        <v>27</v>
      </c>
      <c r="M3390">
        <v>3</v>
      </c>
      <c r="N3390" s="2"/>
      <c r="O3390" s="3">
        <v>5075</v>
      </c>
      <c r="P3390">
        <v>1</v>
      </c>
      <c r="Q3390">
        <v>5</v>
      </c>
      <c r="R3390" t="s">
        <v>28</v>
      </c>
      <c r="S3390">
        <v>1</v>
      </c>
    </row>
    <row r="3391" spans="1:19" ht="16.5" x14ac:dyDescent="0.3">
      <c r="A3391" t="s">
        <v>3454</v>
      </c>
      <c r="B3391" s="1">
        <v>45727</v>
      </c>
      <c r="C3391" s="1">
        <v>45729</v>
      </c>
      <c r="D3391">
        <v>2025</v>
      </c>
      <c r="E3391" t="s">
        <v>20</v>
      </c>
      <c r="F3391" t="s">
        <v>605</v>
      </c>
      <c r="G3391" t="s">
        <v>56</v>
      </c>
      <c r="H3391" t="s">
        <v>39</v>
      </c>
      <c r="I3391" t="s">
        <v>24</v>
      </c>
      <c r="J3391" t="s">
        <v>25</v>
      </c>
      <c r="K3391" t="s">
        <v>41</v>
      </c>
      <c r="L3391" t="s">
        <v>27</v>
      </c>
      <c r="M3391">
        <v>2</v>
      </c>
      <c r="N3391" s="2">
        <v>26</v>
      </c>
      <c r="O3391" s="3">
        <v>2108</v>
      </c>
      <c r="P3391">
        <v>0</v>
      </c>
      <c r="Q3391">
        <v>4</v>
      </c>
      <c r="R3391" t="s">
        <v>33</v>
      </c>
      <c r="S3391">
        <v>1</v>
      </c>
    </row>
    <row r="3392" spans="1:19" ht="16.5" x14ac:dyDescent="0.3">
      <c r="A3392" t="s">
        <v>3455</v>
      </c>
      <c r="B3392" s="1">
        <v>45728</v>
      </c>
      <c r="C3392" s="1">
        <v>45732</v>
      </c>
      <c r="D3392">
        <v>2025</v>
      </c>
      <c r="E3392" t="s">
        <v>20</v>
      </c>
      <c r="F3392" t="s">
        <v>605</v>
      </c>
      <c r="G3392" t="s">
        <v>70</v>
      </c>
      <c r="H3392" t="s">
        <v>35</v>
      </c>
      <c r="I3392" t="s">
        <v>40</v>
      </c>
      <c r="J3392" t="s">
        <v>25</v>
      </c>
      <c r="K3392" t="s">
        <v>32</v>
      </c>
      <c r="L3392" t="s">
        <v>44</v>
      </c>
      <c r="M3392">
        <v>4</v>
      </c>
      <c r="N3392" s="2"/>
      <c r="O3392" s="3">
        <v>2910</v>
      </c>
      <c r="P3392">
        <v>0</v>
      </c>
      <c r="Q3392">
        <v>4</v>
      </c>
      <c r="R3392" t="s">
        <v>33</v>
      </c>
      <c r="S3392">
        <v>1</v>
      </c>
    </row>
    <row r="3393" spans="1:19" ht="16.5" x14ac:dyDescent="0.3">
      <c r="A3393" t="s">
        <v>3456</v>
      </c>
      <c r="B3393" s="1">
        <v>45728</v>
      </c>
      <c r="C3393" s="1">
        <v>45729</v>
      </c>
      <c r="D3393">
        <v>2025</v>
      </c>
      <c r="E3393" t="s">
        <v>20</v>
      </c>
      <c r="F3393" t="s">
        <v>605</v>
      </c>
      <c r="G3393" t="s">
        <v>70</v>
      </c>
      <c r="H3393" t="s">
        <v>52</v>
      </c>
      <c r="I3393" t="s">
        <v>40</v>
      </c>
      <c r="J3393" t="s">
        <v>43</v>
      </c>
      <c r="K3393" t="s">
        <v>26</v>
      </c>
      <c r="L3393" t="s">
        <v>27</v>
      </c>
      <c r="M3393">
        <v>1</v>
      </c>
      <c r="N3393" s="2"/>
      <c r="O3393" s="3">
        <v>1878</v>
      </c>
      <c r="P3393">
        <v>1</v>
      </c>
      <c r="Q3393">
        <v>5</v>
      </c>
      <c r="R3393" t="s">
        <v>33</v>
      </c>
      <c r="S3393">
        <v>1</v>
      </c>
    </row>
    <row r="3394" spans="1:19" ht="16.5" x14ac:dyDescent="0.3">
      <c r="A3394" t="s">
        <v>3457</v>
      </c>
      <c r="B3394" s="1">
        <v>45728</v>
      </c>
      <c r="C3394" s="1">
        <v>45740</v>
      </c>
      <c r="D3394">
        <v>2025</v>
      </c>
      <c r="E3394" t="s">
        <v>20</v>
      </c>
      <c r="F3394" t="s">
        <v>605</v>
      </c>
      <c r="G3394" t="s">
        <v>70</v>
      </c>
      <c r="H3394" t="s">
        <v>30</v>
      </c>
      <c r="I3394" t="s">
        <v>40</v>
      </c>
      <c r="J3394" t="s">
        <v>25</v>
      </c>
      <c r="K3394" t="s">
        <v>26</v>
      </c>
      <c r="L3394" t="s">
        <v>44</v>
      </c>
      <c r="M3394">
        <v>12</v>
      </c>
      <c r="N3394" s="2"/>
      <c r="O3394" s="3">
        <v>10485</v>
      </c>
      <c r="P3394">
        <v>0</v>
      </c>
      <c r="Q3394">
        <v>4</v>
      </c>
      <c r="R3394" t="s">
        <v>165</v>
      </c>
      <c r="S3394">
        <v>1</v>
      </c>
    </row>
    <row r="3395" spans="1:19" ht="16.5" x14ac:dyDescent="0.3">
      <c r="A3395" t="s">
        <v>3458</v>
      </c>
      <c r="B3395" s="1">
        <v>45728</v>
      </c>
      <c r="C3395" s="1">
        <v>45729</v>
      </c>
      <c r="D3395">
        <v>2025</v>
      </c>
      <c r="E3395" t="s">
        <v>20</v>
      </c>
      <c r="F3395" t="s">
        <v>605</v>
      </c>
      <c r="G3395" t="s">
        <v>70</v>
      </c>
      <c r="H3395" t="s">
        <v>23</v>
      </c>
      <c r="I3395" t="s">
        <v>40</v>
      </c>
      <c r="J3395" t="s">
        <v>43</v>
      </c>
      <c r="K3395" t="s">
        <v>53</v>
      </c>
      <c r="L3395" t="s">
        <v>44</v>
      </c>
      <c r="M3395">
        <v>1</v>
      </c>
      <c r="N3395" s="2"/>
      <c r="O3395" s="3">
        <v>1610</v>
      </c>
      <c r="P3395">
        <v>0</v>
      </c>
      <c r="Q3395">
        <v>3</v>
      </c>
      <c r="R3395" t="s">
        <v>33</v>
      </c>
      <c r="S3395">
        <v>1</v>
      </c>
    </row>
    <row r="3396" spans="1:19" ht="16.5" x14ac:dyDescent="0.3">
      <c r="A3396" t="s">
        <v>3459</v>
      </c>
      <c r="B3396" s="1">
        <v>45728</v>
      </c>
      <c r="C3396" s="1">
        <v>45730</v>
      </c>
      <c r="D3396">
        <v>2025</v>
      </c>
      <c r="E3396" t="s">
        <v>20</v>
      </c>
      <c r="F3396" t="s">
        <v>605</v>
      </c>
      <c r="G3396" t="s">
        <v>70</v>
      </c>
      <c r="H3396" t="s">
        <v>23</v>
      </c>
      <c r="I3396" t="s">
        <v>24</v>
      </c>
      <c r="J3396" t="s">
        <v>25</v>
      </c>
      <c r="K3396" t="s">
        <v>26</v>
      </c>
      <c r="L3396" t="s">
        <v>27</v>
      </c>
      <c r="M3396">
        <v>2</v>
      </c>
      <c r="N3396" s="2">
        <v>14</v>
      </c>
      <c r="O3396" s="3">
        <v>1835</v>
      </c>
      <c r="P3396">
        <v>0</v>
      </c>
      <c r="Q3396">
        <v>2</v>
      </c>
      <c r="R3396" t="s">
        <v>28</v>
      </c>
      <c r="S3396">
        <v>1</v>
      </c>
    </row>
    <row r="3397" spans="1:19" ht="16.5" x14ac:dyDescent="0.3">
      <c r="A3397" t="s">
        <v>3460</v>
      </c>
      <c r="B3397" s="1">
        <v>45728</v>
      </c>
      <c r="C3397" s="1">
        <v>45731</v>
      </c>
      <c r="D3397">
        <v>2025</v>
      </c>
      <c r="E3397" t="s">
        <v>20</v>
      </c>
      <c r="F3397" t="s">
        <v>605</v>
      </c>
      <c r="G3397" t="s">
        <v>70</v>
      </c>
      <c r="H3397" t="s">
        <v>30</v>
      </c>
      <c r="I3397" t="s">
        <v>40</v>
      </c>
      <c r="J3397" t="s">
        <v>43</v>
      </c>
      <c r="K3397" t="s">
        <v>53</v>
      </c>
      <c r="L3397" t="s">
        <v>44</v>
      </c>
      <c r="M3397">
        <v>3</v>
      </c>
      <c r="N3397" s="2"/>
      <c r="O3397" s="3">
        <v>3606</v>
      </c>
      <c r="P3397">
        <v>0</v>
      </c>
      <c r="Q3397">
        <v>3</v>
      </c>
      <c r="R3397" t="s">
        <v>28</v>
      </c>
      <c r="S3397">
        <v>1</v>
      </c>
    </row>
    <row r="3398" spans="1:19" ht="16.5" x14ac:dyDescent="0.3">
      <c r="A3398" t="s">
        <v>3461</v>
      </c>
      <c r="B3398" s="1">
        <v>45729</v>
      </c>
      <c r="C3398" s="1">
        <v>45734</v>
      </c>
      <c r="D3398">
        <v>2025</v>
      </c>
      <c r="E3398" t="s">
        <v>20</v>
      </c>
      <c r="F3398" t="s">
        <v>605</v>
      </c>
      <c r="G3398" t="s">
        <v>78</v>
      </c>
      <c r="H3398" t="s">
        <v>23</v>
      </c>
      <c r="I3398" t="s">
        <v>31</v>
      </c>
      <c r="J3398" t="s">
        <v>25</v>
      </c>
      <c r="K3398" t="s">
        <v>32</v>
      </c>
      <c r="L3398" t="s">
        <v>37</v>
      </c>
      <c r="M3398">
        <v>5</v>
      </c>
      <c r="N3398" s="2"/>
      <c r="O3398" s="3">
        <v>2655</v>
      </c>
      <c r="P3398">
        <v>0</v>
      </c>
      <c r="Q3398">
        <v>5</v>
      </c>
      <c r="R3398" t="s">
        <v>33</v>
      </c>
      <c r="S3398">
        <v>1</v>
      </c>
    </row>
    <row r="3399" spans="1:19" ht="16.5" x14ac:dyDescent="0.3">
      <c r="A3399" t="s">
        <v>3462</v>
      </c>
      <c r="B3399" s="1">
        <v>45729</v>
      </c>
      <c r="C3399" s="1">
        <v>45734</v>
      </c>
      <c r="D3399">
        <v>2025</v>
      </c>
      <c r="E3399" t="s">
        <v>20</v>
      </c>
      <c r="F3399" t="s">
        <v>605</v>
      </c>
      <c r="G3399" t="s">
        <v>78</v>
      </c>
      <c r="H3399" t="s">
        <v>52</v>
      </c>
      <c r="I3399" t="s">
        <v>40</v>
      </c>
      <c r="J3399" t="s">
        <v>25</v>
      </c>
      <c r="K3399" t="s">
        <v>36</v>
      </c>
      <c r="L3399" t="s">
        <v>44</v>
      </c>
      <c r="M3399">
        <v>5</v>
      </c>
      <c r="N3399" s="2"/>
      <c r="O3399" s="3">
        <v>7374</v>
      </c>
      <c r="P3399">
        <v>0</v>
      </c>
      <c r="Q3399">
        <v>4</v>
      </c>
      <c r="R3399" t="s">
        <v>33</v>
      </c>
      <c r="S3399">
        <v>1</v>
      </c>
    </row>
    <row r="3400" spans="1:19" ht="16.5" x14ac:dyDescent="0.3">
      <c r="A3400" t="s">
        <v>3463</v>
      </c>
      <c r="B3400" s="1">
        <v>45729</v>
      </c>
      <c r="C3400" s="1">
        <v>45731</v>
      </c>
      <c r="D3400">
        <v>2025</v>
      </c>
      <c r="E3400" t="s">
        <v>20</v>
      </c>
      <c r="F3400" t="s">
        <v>605</v>
      </c>
      <c r="G3400" t="s">
        <v>78</v>
      </c>
      <c r="H3400" t="s">
        <v>52</v>
      </c>
      <c r="I3400" t="s">
        <v>40</v>
      </c>
      <c r="J3400" t="s">
        <v>43</v>
      </c>
      <c r="K3400" t="s">
        <v>26</v>
      </c>
      <c r="L3400" t="s">
        <v>37</v>
      </c>
      <c r="M3400">
        <v>2</v>
      </c>
      <c r="N3400" s="2"/>
      <c r="O3400" s="3">
        <v>2145</v>
      </c>
      <c r="P3400">
        <v>0</v>
      </c>
      <c r="Q3400">
        <v>5</v>
      </c>
      <c r="R3400" t="s">
        <v>33</v>
      </c>
      <c r="S3400">
        <v>1</v>
      </c>
    </row>
    <row r="3401" spans="1:19" ht="16.5" x14ac:dyDescent="0.3">
      <c r="A3401" t="s">
        <v>3464</v>
      </c>
      <c r="B3401" s="1">
        <v>45729</v>
      </c>
      <c r="C3401" s="1">
        <v>45732</v>
      </c>
      <c r="D3401">
        <v>2025</v>
      </c>
      <c r="E3401" t="s">
        <v>20</v>
      </c>
      <c r="F3401" t="s">
        <v>605</v>
      </c>
      <c r="G3401" t="s">
        <v>78</v>
      </c>
      <c r="H3401" t="s">
        <v>30</v>
      </c>
      <c r="I3401" t="s">
        <v>40</v>
      </c>
      <c r="J3401" t="s">
        <v>25</v>
      </c>
      <c r="K3401" t="s">
        <v>26</v>
      </c>
      <c r="L3401" t="s">
        <v>44</v>
      </c>
      <c r="M3401">
        <v>3</v>
      </c>
      <c r="N3401" s="2"/>
      <c r="O3401" s="3">
        <v>4060</v>
      </c>
      <c r="P3401">
        <v>0</v>
      </c>
      <c r="Q3401">
        <v>5</v>
      </c>
      <c r="R3401" t="s">
        <v>33</v>
      </c>
      <c r="S3401">
        <v>1</v>
      </c>
    </row>
    <row r="3402" spans="1:19" ht="16.5" x14ac:dyDescent="0.3">
      <c r="A3402" t="s">
        <v>3465</v>
      </c>
      <c r="B3402" s="1">
        <v>45729</v>
      </c>
      <c r="C3402" s="1">
        <v>45731</v>
      </c>
      <c r="D3402">
        <v>2025</v>
      </c>
      <c r="E3402" t="s">
        <v>20</v>
      </c>
      <c r="F3402" t="s">
        <v>605</v>
      </c>
      <c r="G3402" t="s">
        <v>78</v>
      </c>
      <c r="H3402" t="s">
        <v>35</v>
      </c>
      <c r="I3402" t="s">
        <v>24</v>
      </c>
      <c r="J3402" t="s">
        <v>25</v>
      </c>
      <c r="K3402" t="s">
        <v>32</v>
      </c>
      <c r="L3402" t="s">
        <v>27</v>
      </c>
      <c r="M3402">
        <v>2</v>
      </c>
      <c r="N3402" s="2">
        <v>16</v>
      </c>
      <c r="O3402" s="3">
        <v>2172</v>
      </c>
      <c r="P3402">
        <v>0</v>
      </c>
      <c r="Q3402">
        <v>4</v>
      </c>
      <c r="R3402" t="s">
        <v>28</v>
      </c>
      <c r="S3402">
        <v>1</v>
      </c>
    </row>
    <row r="3403" spans="1:19" ht="16.5" x14ac:dyDescent="0.3">
      <c r="A3403" t="s">
        <v>3466</v>
      </c>
      <c r="B3403" s="1">
        <v>45729</v>
      </c>
      <c r="C3403" s="1">
        <v>45734</v>
      </c>
      <c r="D3403">
        <v>2025</v>
      </c>
      <c r="E3403" t="s">
        <v>20</v>
      </c>
      <c r="F3403" t="s">
        <v>605</v>
      </c>
      <c r="G3403" t="s">
        <v>78</v>
      </c>
      <c r="H3403" t="s">
        <v>30</v>
      </c>
      <c r="I3403" t="s">
        <v>40</v>
      </c>
      <c r="J3403" t="s">
        <v>25</v>
      </c>
      <c r="K3403" t="s">
        <v>53</v>
      </c>
      <c r="L3403" t="s">
        <v>27</v>
      </c>
      <c r="M3403">
        <v>5</v>
      </c>
      <c r="N3403" s="2"/>
      <c r="O3403" s="3">
        <v>6495</v>
      </c>
      <c r="P3403">
        <v>0</v>
      </c>
      <c r="Q3403">
        <v>5</v>
      </c>
      <c r="R3403" t="s">
        <v>28</v>
      </c>
      <c r="S3403">
        <v>1</v>
      </c>
    </row>
    <row r="3404" spans="1:19" ht="16.5" x14ac:dyDescent="0.3">
      <c r="A3404" t="s">
        <v>3467</v>
      </c>
      <c r="B3404" s="1">
        <v>45729</v>
      </c>
      <c r="C3404" s="1">
        <v>45734</v>
      </c>
      <c r="D3404">
        <v>2025</v>
      </c>
      <c r="E3404" t="s">
        <v>20</v>
      </c>
      <c r="F3404" t="s">
        <v>605</v>
      </c>
      <c r="G3404" t="s">
        <v>78</v>
      </c>
      <c r="H3404" t="s">
        <v>23</v>
      </c>
      <c r="I3404" t="s">
        <v>40</v>
      </c>
      <c r="J3404" t="s">
        <v>43</v>
      </c>
      <c r="K3404" t="s">
        <v>53</v>
      </c>
      <c r="L3404" t="s">
        <v>27</v>
      </c>
      <c r="M3404">
        <v>5</v>
      </c>
      <c r="N3404" s="2"/>
      <c r="O3404" s="3">
        <v>4936</v>
      </c>
      <c r="P3404">
        <v>0</v>
      </c>
      <c r="Q3404">
        <v>4</v>
      </c>
      <c r="R3404" t="s">
        <v>28</v>
      </c>
      <c r="S3404">
        <v>1</v>
      </c>
    </row>
    <row r="3405" spans="1:19" ht="16.5" x14ac:dyDescent="0.3">
      <c r="A3405" t="s">
        <v>3468</v>
      </c>
      <c r="B3405" s="1">
        <v>45729</v>
      </c>
      <c r="C3405" s="1">
        <v>45730</v>
      </c>
      <c r="D3405">
        <v>2025</v>
      </c>
      <c r="E3405" t="s">
        <v>20</v>
      </c>
      <c r="F3405" t="s">
        <v>605</v>
      </c>
      <c r="G3405" t="s">
        <v>78</v>
      </c>
      <c r="H3405" t="s">
        <v>30</v>
      </c>
      <c r="I3405" t="s">
        <v>40</v>
      </c>
      <c r="J3405" t="s">
        <v>43</v>
      </c>
      <c r="K3405" t="s">
        <v>26</v>
      </c>
      <c r="L3405" t="s">
        <v>27</v>
      </c>
      <c r="M3405">
        <v>1</v>
      </c>
      <c r="N3405" s="2"/>
      <c r="O3405" s="3">
        <v>1128</v>
      </c>
      <c r="P3405">
        <v>0</v>
      </c>
      <c r="Q3405">
        <v>4</v>
      </c>
      <c r="R3405" t="s">
        <v>33</v>
      </c>
      <c r="S3405">
        <v>1</v>
      </c>
    </row>
    <row r="3406" spans="1:19" ht="16.5" x14ac:dyDescent="0.3">
      <c r="A3406" t="s">
        <v>3469</v>
      </c>
      <c r="B3406" s="1">
        <v>45729</v>
      </c>
      <c r="C3406" s="1">
        <v>45733</v>
      </c>
      <c r="D3406">
        <v>2025</v>
      </c>
      <c r="E3406" t="s">
        <v>20</v>
      </c>
      <c r="F3406" t="s">
        <v>605</v>
      </c>
      <c r="G3406" t="s">
        <v>78</v>
      </c>
      <c r="H3406" t="s">
        <v>23</v>
      </c>
      <c r="I3406" t="s">
        <v>24</v>
      </c>
      <c r="J3406" t="s">
        <v>25</v>
      </c>
      <c r="K3406" t="s">
        <v>53</v>
      </c>
      <c r="L3406" t="s">
        <v>27</v>
      </c>
      <c r="M3406">
        <v>4</v>
      </c>
      <c r="N3406" s="2">
        <v>48</v>
      </c>
      <c r="O3406" s="3">
        <v>4447</v>
      </c>
      <c r="P3406">
        <v>0</v>
      </c>
      <c r="Q3406">
        <v>4</v>
      </c>
      <c r="R3406" t="s">
        <v>28</v>
      </c>
      <c r="S3406">
        <v>1</v>
      </c>
    </row>
    <row r="3407" spans="1:19" ht="16.5" x14ac:dyDescent="0.3">
      <c r="A3407" t="s">
        <v>3470</v>
      </c>
      <c r="B3407" s="1">
        <v>45730</v>
      </c>
      <c r="C3407" s="1">
        <v>45733</v>
      </c>
      <c r="D3407">
        <v>2025</v>
      </c>
      <c r="E3407" t="s">
        <v>20</v>
      </c>
      <c r="F3407" t="s">
        <v>605</v>
      </c>
      <c r="G3407" t="s">
        <v>83</v>
      </c>
      <c r="H3407" t="s">
        <v>30</v>
      </c>
      <c r="I3407" t="s">
        <v>40</v>
      </c>
      <c r="J3407" t="s">
        <v>43</v>
      </c>
      <c r="K3407" t="s">
        <v>26</v>
      </c>
      <c r="L3407" t="s">
        <v>27</v>
      </c>
      <c r="M3407">
        <v>3</v>
      </c>
      <c r="N3407" s="2"/>
      <c r="O3407" s="3">
        <v>3306</v>
      </c>
      <c r="P3407">
        <v>0</v>
      </c>
      <c r="Q3407">
        <v>5</v>
      </c>
      <c r="R3407" t="s">
        <v>33</v>
      </c>
      <c r="S3407">
        <v>1</v>
      </c>
    </row>
    <row r="3408" spans="1:19" ht="16.5" x14ac:dyDescent="0.3">
      <c r="A3408" t="s">
        <v>3471</v>
      </c>
      <c r="B3408" s="1">
        <v>45730</v>
      </c>
      <c r="C3408" s="1">
        <v>45734</v>
      </c>
      <c r="D3408">
        <v>2025</v>
      </c>
      <c r="E3408" t="s">
        <v>20</v>
      </c>
      <c r="F3408" t="s">
        <v>605</v>
      </c>
      <c r="G3408" t="s">
        <v>83</v>
      </c>
      <c r="H3408" t="s">
        <v>23</v>
      </c>
      <c r="I3408" t="s">
        <v>24</v>
      </c>
      <c r="J3408" t="s">
        <v>43</v>
      </c>
      <c r="K3408" t="s">
        <v>32</v>
      </c>
      <c r="L3408" t="s">
        <v>27</v>
      </c>
      <c r="M3408">
        <v>4</v>
      </c>
      <c r="N3408" s="2">
        <v>133</v>
      </c>
      <c r="O3408" s="3">
        <v>3628</v>
      </c>
      <c r="P3408">
        <v>0</v>
      </c>
      <c r="Q3408">
        <v>4</v>
      </c>
      <c r="R3408" t="s">
        <v>33</v>
      </c>
      <c r="S3408">
        <v>1</v>
      </c>
    </row>
    <row r="3409" spans="1:19" ht="16.5" x14ac:dyDescent="0.3">
      <c r="A3409" t="s">
        <v>3472</v>
      </c>
      <c r="B3409" s="1">
        <v>45730</v>
      </c>
      <c r="C3409" s="1">
        <v>45738</v>
      </c>
      <c r="D3409">
        <v>2025</v>
      </c>
      <c r="E3409" t="s">
        <v>20</v>
      </c>
      <c r="F3409" t="s">
        <v>605</v>
      </c>
      <c r="G3409" t="s">
        <v>83</v>
      </c>
      <c r="H3409" t="s">
        <v>30</v>
      </c>
      <c r="I3409" t="s">
        <v>24</v>
      </c>
      <c r="J3409" t="s">
        <v>25</v>
      </c>
      <c r="K3409" t="s">
        <v>26</v>
      </c>
      <c r="L3409" t="s">
        <v>27</v>
      </c>
      <c r="M3409">
        <v>8</v>
      </c>
      <c r="N3409" s="2">
        <v>47</v>
      </c>
      <c r="O3409" s="3">
        <v>7306</v>
      </c>
      <c r="P3409">
        <v>0</v>
      </c>
      <c r="Q3409">
        <v>4</v>
      </c>
      <c r="R3409" t="s">
        <v>33</v>
      </c>
      <c r="S3409">
        <v>1</v>
      </c>
    </row>
    <row r="3410" spans="1:19" ht="16.5" x14ac:dyDescent="0.3">
      <c r="A3410" t="s">
        <v>3473</v>
      </c>
      <c r="B3410" s="1">
        <v>45730</v>
      </c>
      <c r="C3410" s="1">
        <v>45731</v>
      </c>
      <c r="D3410">
        <v>2025</v>
      </c>
      <c r="E3410" t="s">
        <v>20</v>
      </c>
      <c r="F3410" t="s">
        <v>605</v>
      </c>
      <c r="G3410" t="s">
        <v>83</v>
      </c>
      <c r="H3410" t="s">
        <v>30</v>
      </c>
      <c r="I3410" t="s">
        <v>40</v>
      </c>
      <c r="J3410" t="s">
        <v>25</v>
      </c>
      <c r="K3410" t="s">
        <v>36</v>
      </c>
      <c r="L3410" t="s">
        <v>44</v>
      </c>
      <c r="M3410">
        <v>1</v>
      </c>
      <c r="N3410" s="2"/>
      <c r="O3410" s="3">
        <v>1983</v>
      </c>
      <c r="P3410">
        <v>1</v>
      </c>
      <c r="Q3410">
        <v>3</v>
      </c>
      <c r="R3410" t="s">
        <v>33</v>
      </c>
      <c r="S3410">
        <v>1</v>
      </c>
    </row>
    <row r="3411" spans="1:19" ht="16.5" x14ac:dyDescent="0.3">
      <c r="A3411" t="s">
        <v>3474</v>
      </c>
      <c r="B3411" s="1">
        <v>45730</v>
      </c>
      <c r="C3411" s="1">
        <v>45732</v>
      </c>
      <c r="D3411">
        <v>2025</v>
      </c>
      <c r="E3411" t="s">
        <v>20</v>
      </c>
      <c r="F3411" t="s">
        <v>605</v>
      </c>
      <c r="G3411" t="s">
        <v>83</v>
      </c>
      <c r="H3411" t="s">
        <v>23</v>
      </c>
      <c r="I3411" t="s">
        <v>24</v>
      </c>
      <c r="J3411" t="s">
        <v>25</v>
      </c>
      <c r="K3411" t="s">
        <v>32</v>
      </c>
      <c r="L3411" t="s">
        <v>27</v>
      </c>
      <c r="M3411">
        <v>2</v>
      </c>
      <c r="N3411" s="2">
        <v>46</v>
      </c>
      <c r="O3411" s="3">
        <v>1754</v>
      </c>
      <c r="P3411">
        <v>0</v>
      </c>
      <c r="Q3411">
        <v>5</v>
      </c>
      <c r="R3411" t="s">
        <v>33</v>
      </c>
      <c r="S3411">
        <v>1</v>
      </c>
    </row>
    <row r="3412" spans="1:19" ht="16.5" x14ac:dyDescent="0.3">
      <c r="A3412" t="s">
        <v>3475</v>
      </c>
      <c r="B3412" s="1">
        <v>45730</v>
      </c>
      <c r="C3412" s="1">
        <v>45734</v>
      </c>
      <c r="D3412">
        <v>2025</v>
      </c>
      <c r="E3412" t="s">
        <v>20</v>
      </c>
      <c r="F3412" t="s">
        <v>605</v>
      </c>
      <c r="G3412" t="s">
        <v>83</v>
      </c>
      <c r="H3412" t="s">
        <v>23</v>
      </c>
      <c r="I3412" t="s">
        <v>40</v>
      </c>
      <c r="J3412" t="s">
        <v>43</v>
      </c>
      <c r="K3412" t="s">
        <v>36</v>
      </c>
      <c r="L3412" t="s">
        <v>37</v>
      </c>
      <c r="M3412">
        <v>4</v>
      </c>
      <c r="N3412" s="2"/>
      <c r="O3412" s="3">
        <v>3608</v>
      </c>
      <c r="P3412">
        <v>0</v>
      </c>
      <c r="Q3412">
        <v>3</v>
      </c>
      <c r="R3412" t="s">
        <v>28</v>
      </c>
      <c r="S3412">
        <v>1</v>
      </c>
    </row>
    <row r="3413" spans="1:19" ht="16.5" x14ac:dyDescent="0.3">
      <c r="A3413" t="s">
        <v>3476</v>
      </c>
      <c r="B3413" s="1">
        <v>45730</v>
      </c>
      <c r="C3413" s="1">
        <v>45734</v>
      </c>
      <c r="D3413">
        <v>2025</v>
      </c>
      <c r="E3413" t="s">
        <v>20</v>
      </c>
      <c r="F3413" t="s">
        <v>605</v>
      </c>
      <c r="G3413" t="s">
        <v>83</v>
      </c>
      <c r="H3413" t="s">
        <v>30</v>
      </c>
      <c r="I3413" t="s">
        <v>24</v>
      </c>
      <c r="J3413" t="s">
        <v>43</v>
      </c>
      <c r="K3413" t="s">
        <v>53</v>
      </c>
      <c r="L3413" t="s">
        <v>27</v>
      </c>
      <c r="M3413">
        <v>4</v>
      </c>
      <c r="N3413" s="2">
        <v>93</v>
      </c>
      <c r="O3413" s="3">
        <v>3931</v>
      </c>
      <c r="P3413">
        <v>0</v>
      </c>
      <c r="Q3413">
        <v>2</v>
      </c>
      <c r="R3413" t="s">
        <v>33</v>
      </c>
      <c r="S3413">
        <v>1</v>
      </c>
    </row>
    <row r="3414" spans="1:19" ht="16.5" x14ac:dyDescent="0.3">
      <c r="A3414" t="s">
        <v>3477</v>
      </c>
      <c r="B3414" s="1">
        <v>45730</v>
      </c>
      <c r="C3414" s="1">
        <v>45732</v>
      </c>
      <c r="D3414">
        <v>2025</v>
      </c>
      <c r="E3414" t="s">
        <v>20</v>
      </c>
      <c r="F3414" t="s">
        <v>605</v>
      </c>
      <c r="G3414" t="s">
        <v>83</v>
      </c>
      <c r="H3414" t="s">
        <v>39</v>
      </c>
      <c r="I3414" t="s">
        <v>24</v>
      </c>
      <c r="J3414" t="s">
        <v>43</v>
      </c>
      <c r="K3414" t="s">
        <v>41</v>
      </c>
      <c r="L3414" t="s">
        <v>27</v>
      </c>
      <c r="M3414">
        <v>2</v>
      </c>
      <c r="N3414" s="2">
        <v>54</v>
      </c>
      <c r="O3414" s="3">
        <v>2088</v>
      </c>
      <c r="P3414">
        <v>0</v>
      </c>
      <c r="Q3414">
        <v>5</v>
      </c>
      <c r="R3414" t="s">
        <v>59</v>
      </c>
      <c r="S3414">
        <v>1</v>
      </c>
    </row>
    <row r="3415" spans="1:19" ht="16.5" x14ac:dyDescent="0.3">
      <c r="A3415" t="s">
        <v>3478</v>
      </c>
      <c r="B3415" s="1">
        <v>45730</v>
      </c>
      <c r="C3415" s="1">
        <v>45733</v>
      </c>
      <c r="D3415">
        <v>2025</v>
      </c>
      <c r="E3415" t="s">
        <v>20</v>
      </c>
      <c r="F3415" t="s">
        <v>605</v>
      </c>
      <c r="G3415" t="s">
        <v>83</v>
      </c>
      <c r="H3415" t="s">
        <v>39</v>
      </c>
      <c r="I3415" t="s">
        <v>24</v>
      </c>
      <c r="J3415" t="s">
        <v>43</v>
      </c>
      <c r="K3415" t="s">
        <v>41</v>
      </c>
      <c r="L3415" t="s">
        <v>27</v>
      </c>
      <c r="M3415">
        <v>3</v>
      </c>
      <c r="N3415" s="2">
        <v>65</v>
      </c>
      <c r="O3415" s="3">
        <v>2318</v>
      </c>
      <c r="P3415">
        <v>0</v>
      </c>
      <c r="Q3415">
        <v>4</v>
      </c>
      <c r="R3415" t="s">
        <v>33</v>
      </c>
      <c r="S3415">
        <v>1</v>
      </c>
    </row>
    <row r="3416" spans="1:19" ht="16.5" x14ac:dyDescent="0.3">
      <c r="A3416" t="s">
        <v>3479</v>
      </c>
      <c r="B3416" s="1">
        <v>45730</v>
      </c>
      <c r="C3416" s="1">
        <v>45731</v>
      </c>
      <c r="D3416">
        <v>2025</v>
      </c>
      <c r="E3416" t="s">
        <v>20</v>
      </c>
      <c r="F3416" t="s">
        <v>605</v>
      </c>
      <c r="G3416" t="s">
        <v>83</v>
      </c>
      <c r="H3416" t="s">
        <v>23</v>
      </c>
      <c r="I3416" t="s">
        <v>31</v>
      </c>
      <c r="J3416" t="s">
        <v>43</v>
      </c>
      <c r="K3416" t="s">
        <v>53</v>
      </c>
      <c r="L3416" t="s">
        <v>27</v>
      </c>
      <c r="M3416">
        <v>1</v>
      </c>
      <c r="N3416" s="2"/>
      <c r="O3416" s="3">
        <v>1237</v>
      </c>
      <c r="P3416">
        <v>0</v>
      </c>
      <c r="Q3416">
        <v>4</v>
      </c>
      <c r="R3416" t="s">
        <v>33</v>
      </c>
      <c r="S3416">
        <v>1</v>
      </c>
    </row>
    <row r="3417" spans="1:19" ht="16.5" x14ac:dyDescent="0.3">
      <c r="A3417" t="s">
        <v>3480</v>
      </c>
      <c r="B3417" s="1">
        <v>45731</v>
      </c>
      <c r="C3417" s="1">
        <v>45736</v>
      </c>
      <c r="D3417">
        <v>2025</v>
      </c>
      <c r="E3417" t="s">
        <v>20</v>
      </c>
      <c r="F3417" t="s">
        <v>605</v>
      </c>
      <c r="G3417" t="s">
        <v>102</v>
      </c>
      <c r="H3417" t="s">
        <v>50</v>
      </c>
      <c r="I3417" t="s">
        <v>24</v>
      </c>
      <c r="J3417" t="s">
        <v>43</v>
      </c>
      <c r="K3417" t="s">
        <v>53</v>
      </c>
      <c r="L3417" t="s">
        <v>37</v>
      </c>
      <c r="M3417">
        <v>5</v>
      </c>
      <c r="N3417" s="2">
        <v>146</v>
      </c>
      <c r="O3417" s="3">
        <v>7121</v>
      </c>
      <c r="P3417">
        <v>0</v>
      </c>
      <c r="Q3417">
        <v>3</v>
      </c>
      <c r="R3417" t="s">
        <v>28</v>
      </c>
      <c r="S3417">
        <v>1</v>
      </c>
    </row>
    <row r="3418" spans="1:19" ht="16.5" x14ac:dyDescent="0.3">
      <c r="A3418" t="s">
        <v>3481</v>
      </c>
      <c r="B3418" s="1">
        <v>45731</v>
      </c>
      <c r="C3418" s="1">
        <v>45734</v>
      </c>
      <c r="D3418">
        <v>2025</v>
      </c>
      <c r="E3418" t="s">
        <v>20</v>
      </c>
      <c r="F3418" t="s">
        <v>605</v>
      </c>
      <c r="G3418" t="s">
        <v>102</v>
      </c>
      <c r="H3418" t="s">
        <v>39</v>
      </c>
      <c r="I3418" t="s">
        <v>40</v>
      </c>
      <c r="J3418" t="s">
        <v>25</v>
      </c>
      <c r="K3418" t="s">
        <v>41</v>
      </c>
      <c r="L3418" t="s">
        <v>27</v>
      </c>
      <c r="M3418">
        <v>3</v>
      </c>
      <c r="N3418" s="2"/>
      <c r="O3418" s="3">
        <v>2666</v>
      </c>
      <c r="P3418">
        <v>0</v>
      </c>
      <c r="Q3418">
        <v>4</v>
      </c>
      <c r="R3418" t="s">
        <v>33</v>
      </c>
      <c r="S3418">
        <v>1</v>
      </c>
    </row>
    <row r="3419" spans="1:19" ht="16.5" x14ac:dyDescent="0.3">
      <c r="A3419" t="s">
        <v>3482</v>
      </c>
      <c r="B3419" s="1">
        <v>45731</v>
      </c>
      <c r="C3419" s="1">
        <v>45732</v>
      </c>
      <c r="D3419">
        <v>2025</v>
      </c>
      <c r="E3419" t="s">
        <v>20</v>
      </c>
      <c r="F3419" t="s">
        <v>605</v>
      </c>
      <c r="G3419" t="s">
        <v>102</v>
      </c>
      <c r="H3419" t="s">
        <v>39</v>
      </c>
      <c r="I3419" t="s">
        <v>24</v>
      </c>
      <c r="J3419" t="s">
        <v>43</v>
      </c>
      <c r="K3419" t="s">
        <v>41</v>
      </c>
      <c r="L3419" t="s">
        <v>44</v>
      </c>
      <c r="M3419">
        <v>1</v>
      </c>
      <c r="N3419" s="2">
        <v>18</v>
      </c>
      <c r="O3419" s="3">
        <v>1484</v>
      </c>
      <c r="P3419">
        <v>0</v>
      </c>
      <c r="Q3419">
        <v>5</v>
      </c>
      <c r="R3419" t="s">
        <v>33</v>
      </c>
      <c r="S3419">
        <v>1</v>
      </c>
    </row>
    <row r="3420" spans="1:19" ht="16.5" x14ac:dyDescent="0.3">
      <c r="A3420" t="s">
        <v>3483</v>
      </c>
      <c r="B3420" s="1">
        <v>45731</v>
      </c>
      <c r="C3420" s="1">
        <v>45734</v>
      </c>
      <c r="D3420">
        <v>2025</v>
      </c>
      <c r="E3420" t="s">
        <v>20</v>
      </c>
      <c r="F3420" t="s">
        <v>605</v>
      </c>
      <c r="G3420" t="s">
        <v>102</v>
      </c>
      <c r="H3420" t="s">
        <v>35</v>
      </c>
      <c r="I3420" t="s">
        <v>24</v>
      </c>
      <c r="J3420" t="s">
        <v>25</v>
      </c>
      <c r="K3420" t="s">
        <v>36</v>
      </c>
      <c r="L3420" t="s">
        <v>44</v>
      </c>
      <c r="M3420">
        <v>3</v>
      </c>
      <c r="N3420" s="2">
        <v>67</v>
      </c>
      <c r="O3420" s="3">
        <v>2901</v>
      </c>
      <c r="P3420">
        <v>0</v>
      </c>
      <c r="Q3420">
        <v>5</v>
      </c>
      <c r="R3420" t="s">
        <v>28</v>
      </c>
      <c r="S3420">
        <v>1</v>
      </c>
    </row>
    <row r="3421" spans="1:19" ht="16.5" x14ac:dyDescent="0.3">
      <c r="A3421" t="s">
        <v>3484</v>
      </c>
      <c r="B3421" s="1">
        <v>45731</v>
      </c>
      <c r="C3421" s="1">
        <v>45734</v>
      </c>
      <c r="D3421">
        <v>2025</v>
      </c>
      <c r="E3421" t="s">
        <v>20</v>
      </c>
      <c r="F3421" t="s">
        <v>605</v>
      </c>
      <c r="G3421" t="s">
        <v>102</v>
      </c>
      <c r="H3421" t="s">
        <v>35</v>
      </c>
      <c r="I3421" t="s">
        <v>31</v>
      </c>
      <c r="J3421" t="s">
        <v>25</v>
      </c>
      <c r="K3421" t="s">
        <v>32</v>
      </c>
      <c r="L3421" t="s">
        <v>27</v>
      </c>
      <c r="M3421">
        <v>3</v>
      </c>
      <c r="N3421" s="2"/>
      <c r="O3421" s="3">
        <v>2385</v>
      </c>
      <c r="P3421">
        <v>0</v>
      </c>
      <c r="Q3421">
        <v>4</v>
      </c>
      <c r="R3421" t="s">
        <v>28</v>
      </c>
      <c r="S3421">
        <v>1</v>
      </c>
    </row>
    <row r="3422" spans="1:19" ht="16.5" x14ac:dyDescent="0.3">
      <c r="A3422" t="s">
        <v>3485</v>
      </c>
      <c r="B3422" s="1">
        <v>45731</v>
      </c>
      <c r="C3422" s="1">
        <v>45733</v>
      </c>
      <c r="D3422">
        <v>2025</v>
      </c>
      <c r="E3422" t="s">
        <v>20</v>
      </c>
      <c r="F3422" t="s">
        <v>605</v>
      </c>
      <c r="G3422" t="s">
        <v>102</v>
      </c>
      <c r="H3422" t="s">
        <v>39</v>
      </c>
      <c r="I3422" t="s">
        <v>40</v>
      </c>
      <c r="J3422" t="s">
        <v>43</v>
      </c>
      <c r="K3422" t="s">
        <v>41</v>
      </c>
      <c r="L3422" t="s">
        <v>27</v>
      </c>
      <c r="M3422">
        <v>2</v>
      </c>
      <c r="N3422" s="2"/>
      <c r="O3422" s="3">
        <v>1731</v>
      </c>
      <c r="P3422">
        <v>0</v>
      </c>
      <c r="Q3422">
        <v>4</v>
      </c>
      <c r="R3422" t="s">
        <v>33</v>
      </c>
      <c r="S3422">
        <v>1</v>
      </c>
    </row>
    <row r="3423" spans="1:19" ht="16.5" x14ac:dyDescent="0.3">
      <c r="A3423" t="s">
        <v>3486</v>
      </c>
      <c r="B3423" s="1">
        <v>45731</v>
      </c>
      <c r="C3423" s="1">
        <v>45740</v>
      </c>
      <c r="D3423">
        <v>2025</v>
      </c>
      <c r="E3423" t="s">
        <v>20</v>
      </c>
      <c r="F3423" t="s">
        <v>605</v>
      </c>
      <c r="G3423" t="s">
        <v>102</v>
      </c>
      <c r="H3423" t="s">
        <v>23</v>
      </c>
      <c r="I3423" t="s">
        <v>40</v>
      </c>
      <c r="J3423" t="s">
        <v>25</v>
      </c>
      <c r="K3423" t="s">
        <v>32</v>
      </c>
      <c r="L3423" t="s">
        <v>37</v>
      </c>
      <c r="M3423">
        <v>9</v>
      </c>
      <c r="N3423" s="2"/>
      <c r="O3423" s="3">
        <v>7017</v>
      </c>
      <c r="P3423">
        <v>0</v>
      </c>
      <c r="Q3423">
        <v>4</v>
      </c>
      <c r="R3423" t="s">
        <v>28</v>
      </c>
      <c r="S3423">
        <v>1</v>
      </c>
    </row>
    <row r="3424" spans="1:19" ht="16.5" x14ac:dyDescent="0.3">
      <c r="A3424" t="s">
        <v>3487</v>
      </c>
      <c r="B3424" s="1">
        <v>45731</v>
      </c>
      <c r="C3424" s="1">
        <v>45734</v>
      </c>
      <c r="D3424">
        <v>2025</v>
      </c>
      <c r="E3424" t="s">
        <v>20</v>
      </c>
      <c r="F3424" t="s">
        <v>605</v>
      </c>
      <c r="G3424" t="s">
        <v>102</v>
      </c>
      <c r="H3424" t="s">
        <v>23</v>
      </c>
      <c r="I3424" t="s">
        <v>24</v>
      </c>
      <c r="J3424" t="s">
        <v>43</v>
      </c>
      <c r="K3424" t="s">
        <v>53</v>
      </c>
      <c r="L3424" t="s">
        <v>27</v>
      </c>
      <c r="M3424">
        <v>3</v>
      </c>
      <c r="N3424" s="2">
        <v>32</v>
      </c>
      <c r="O3424" s="3">
        <v>3117</v>
      </c>
      <c r="P3424">
        <v>1</v>
      </c>
      <c r="Q3424">
        <v>4</v>
      </c>
      <c r="R3424" t="s">
        <v>33</v>
      </c>
      <c r="S3424">
        <v>1</v>
      </c>
    </row>
    <row r="3425" spans="1:19" ht="16.5" x14ac:dyDescent="0.3">
      <c r="A3425" t="s">
        <v>3488</v>
      </c>
      <c r="B3425" s="1">
        <v>45731</v>
      </c>
      <c r="C3425" s="1">
        <v>45732</v>
      </c>
      <c r="D3425">
        <v>2025</v>
      </c>
      <c r="E3425" t="s">
        <v>20</v>
      </c>
      <c r="F3425" t="s">
        <v>605</v>
      </c>
      <c r="G3425" t="s">
        <v>102</v>
      </c>
      <c r="H3425" t="s">
        <v>35</v>
      </c>
      <c r="I3425" t="s">
        <v>24</v>
      </c>
      <c r="J3425" t="s">
        <v>25</v>
      </c>
      <c r="K3425" t="s">
        <v>36</v>
      </c>
      <c r="L3425" t="s">
        <v>44</v>
      </c>
      <c r="M3425">
        <v>1</v>
      </c>
      <c r="N3425" s="2">
        <v>129</v>
      </c>
      <c r="O3425" s="3">
        <v>1572</v>
      </c>
      <c r="P3425">
        <v>0</v>
      </c>
      <c r="Q3425">
        <v>3</v>
      </c>
      <c r="R3425" t="s">
        <v>33</v>
      </c>
      <c r="S3425">
        <v>1</v>
      </c>
    </row>
    <row r="3426" spans="1:19" ht="16.5" x14ac:dyDescent="0.3">
      <c r="A3426" t="s">
        <v>3489</v>
      </c>
      <c r="B3426" s="1">
        <v>45731</v>
      </c>
      <c r="C3426" s="1">
        <v>45737</v>
      </c>
      <c r="D3426">
        <v>2025</v>
      </c>
      <c r="E3426" t="s">
        <v>20</v>
      </c>
      <c r="F3426" t="s">
        <v>605</v>
      </c>
      <c r="G3426" t="s">
        <v>102</v>
      </c>
      <c r="H3426" t="s">
        <v>23</v>
      </c>
      <c r="I3426" t="s">
        <v>40</v>
      </c>
      <c r="J3426" t="s">
        <v>43</v>
      </c>
      <c r="K3426" t="s">
        <v>26</v>
      </c>
      <c r="L3426" t="s">
        <v>44</v>
      </c>
      <c r="M3426">
        <v>6</v>
      </c>
      <c r="N3426" s="2"/>
      <c r="O3426" s="3">
        <v>5310</v>
      </c>
      <c r="P3426">
        <v>0</v>
      </c>
      <c r="Q3426">
        <v>5</v>
      </c>
      <c r="R3426" t="s">
        <v>33</v>
      </c>
      <c r="S3426">
        <v>1</v>
      </c>
    </row>
    <row r="3427" spans="1:19" ht="16.5" x14ac:dyDescent="0.3">
      <c r="A3427" t="s">
        <v>3490</v>
      </c>
      <c r="B3427" s="1">
        <v>45731</v>
      </c>
      <c r="C3427" s="1">
        <v>45741</v>
      </c>
      <c r="D3427">
        <v>2025</v>
      </c>
      <c r="E3427" t="s">
        <v>20</v>
      </c>
      <c r="F3427" t="s">
        <v>605</v>
      </c>
      <c r="G3427" t="s">
        <v>102</v>
      </c>
      <c r="H3427" t="s">
        <v>50</v>
      </c>
      <c r="I3427" t="s">
        <v>24</v>
      </c>
      <c r="J3427" t="s">
        <v>25</v>
      </c>
      <c r="K3427" t="s">
        <v>36</v>
      </c>
      <c r="L3427" t="s">
        <v>27</v>
      </c>
      <c r="M3427">
        <v>10</v>
      </c>
      <c r="N3427" s="2">
        <v>18</v>
      </c>
      <c r="O3427" s="3">
        <v>10890</v>
      </c>
      <c r="P3427">
        <v>0</v>
      </c>
      <c r="Q3427">
        <v>4</v>
      </c>
      <c r="R3427" t="s">
        <v>28</v>
      </c>
      <c r="S3427">
        <v>1</v>
      </c>
    </row>
    <row r="3428" spans="1:19" ht="16.5" x14ac:dyDescent="0.3">
      <c r="A3428" t="s">
        <v>3491</v>
      </c>
      <c r="B3428" s="1">
        <v>45732</v>
      </c>
      <c r="C3428" s="1">
        <v>45735</v>
      </c>
      <c r="D3428">
        <v>2025</v>
      </c>
      <c r="E3428" t="s">
        <v>20</v>
      </c>
      <c r="F3428" t="s">
        <v>605</v>
      </c>
      <c r="G3428" t="s">
        <v>112</v>
      </c>
      <c r="H3428" t="s">
        <v>50</v>
      </c>
      <c r="I3428" t="s">
        <v>24</v>
      </c>
      <c r="J3428" t="s">
        <v>43</v>
      </c>
      <c r="K3428" t="s">
        <v>32</v>
      </c>
      <c r="L3428" t="s">
        <v>44</v>
      </c>
      <c r="M3428">
        <v>3</v>
      </c>
      <c r="N3428" s="2">
        <v>30</v>
      </c>
      <c r="O3428" s="3">
        <v>2857</v>
      </c>
      <c r="P3428">
        <v>1</v>
      </c>
      <c r="Q3428">
        <v>4</v>
      </c>
      <c r="R3428" t="s">
        <v>33</v>
      </c>
      <c r="S3428">
        <v>1</v>
      </c>
    </row>
    <row r="3429" spans="1:19" ht="16.5" x14ac:dyDescent="0.3">
      <c r="A3429" t="s">
        <v>3492</v>
      </c>
      <c r="B3429" s="1">
        <v>45732</v>
      </c>
      <c r="C3429" s="1">
        <v>45733</v>
      </c>
      <c r="D3429">
        <v>2025</v>
      </c>
      <c r="E3429" t="s">
        <v>20</v>
      </c>
      <c r="F3429" t="s">
        <v>605</v>
      </c>
      <c r="G3429" t="s">
        <v>112</v>
      </c>
      <c r="H3429" t="s">
        <v>52</v>
      </c>
      <c r="I3429" t="s">
        <v>40</v>
      </c>
      <c r="J3429" t="s">
        <v>25</v>
      </c>
      <c r="K3429" t="s">
        <v>26</v>
      </c>
      <c r="L3429" t="s">
        <v>27</v>
      </c>
      <c r="M3429">
        <v>1</v>
      </c>
      <c r="N3429" s="2"/>
      <c r="O3429" s="3">
        <v>1782</v>
      </c>
      <c r="P3429">
        <v>0</v>
      </c>
      <c r="Q3429">
        <v>5</v>
      </c>
      <c r="R3429" t="s">
        <v>33</v>
      </c>
      <c r="S3429">
        <v>1</v>
      </c>
    </row>
    <row r="3430" spans="1:19" ht="16.5" x14ac:dyDescent="0.3">
      <c r="A3430" t="s">
        <v>3493</v>
      </c>
      <c r="B3430" s="1">
        <v>45732</v>
      </c>
      <c r="C3430" s="1">
        <v>45733</v>
      </c>
      <c r="D3430">
        <v>2025</v>
      </c>
      <c r="E3430" t="s">
        <v>20</v>
      </c>
      <c r="F3430" t="s">
        <v>605</v>
      </c>
      <c r="G3430" t="s">
        <v>112</v>
      </c>
      <c r="H3430" t="s">
        <v>23</v>
      </c>
      <c r="I3430" t="s">
        <v>40</v>
      </c>
      <c r="J3430" t="s">
        <v>25</v>
      </c>
      <c r="K3430" t="s">
        <v>53</v>
      </c>
      <c r="L3430" t="s">
        <v>27</v>
      </c>
      <c r="M3430">
        <v>1</v>
      </c>
      <c r="N3430" s="2"/>
      <c r="O3430" s="3">
        <v>1622</v>
      </c>
      <c r="P3430">
        <v>0</v>
      </c>
      <c r="Q3430">
        <v>4</v>
      </c>
      <c r="R3430" t="s">
        <v>33</v>
      </c>
      <c r="S3430">
        <v>1</v>
      </c>
    </row>
    <row r="3431" spans="1:19" ht="16.5" x14ac:dyDescent="0.3">
      <c r="A3431" t="s">
        <v>3494</v>
      </c>
      <c r="B3431" s="1">
        <v>45732</v>
      </c>
      <c r="C3431" s="1">
        <v>45734</v>
      </c>
      <c r="D3431">
        <v>2025</v>
      </c>
      <c r="E3431" t="s">
        <v>20</v>
      </c>
      <c r="F3431" t="s">
        <v>605</v>
      </c>
      <c r="G3431" t="s">
        <v>112</v>
      </c>
      <c r="H3431" t="s">
        <v>50</v>
      </c>
      <c r="I3431" t="s">
        <v>24</v>
      </c>
      <c r="J3431" t="s">
        <v>43</v>
      </c>
      <c r="K3431" t="s">
        <v>36</v>
      </c>
      <c r="L3431" t="s">
        <v>27</v>
      </c>
      <c r="M3431">
        <v>2</v>
      </c>
      <c r="N3431" s="2">
        <v>47</v>
      </c>
      <c r="O3431" s="3">
        <v>4025</v>
      </c>
      <c r="P3431">
        <v>0</v>
      </c>
      <c r="Q3431">
        <v>3</v>
      </c>
      <c r="R3431" t="s">
        <v>33</v>
      </c>
      <c r="S3431">
        <v>1</v>
      </c>
    </row>
    <row r="3432" spans="1:19" ht="16.5" x14ac:dyDescent="0.3">
      <c r="A3432" t="s">
        <v>3495</v>
      </c>
      <c r="B3432" s="1">
        <v>45732</v>
      </c>
      <c r="C3432" s="1">
        <v>45736</v>
      </c>
      <c r="D3432">
        <v>2025</v>
      </c>
      <c r="E3432" t="s">
        <v>20</v>
      </c>
      <c r="F3432" t="s">
        <v>605</v>
      </c>
      <c r="G3432" t="s">
        <v>112</v>
      </c>
      <c r="H3432" t="s">
        <v>23</v>
      </c>
      <c r="I3432" t="s">
        <v>24</v>
      </c>
      <c r="J3432" t="s">
        <v>25</v>
      </c>
      <c r="K3432" t="s">
        <v>32</v>
      </c>
      <c r="L3432" t="s">
        <v>27</v>
      </c>
      <c r="M3432">
        <v>4</v>
      </c>
      <c r="N3432" s="2">
        <v>50</v>
      </c>
      <c r="O3432" s="3">
        <v>3250</v>
      </c>
      <c r="P3432">
        <v>0</v>
      </c>
      <c r="Q3432">
        <v>4</v>
      </c>
      <c r="R3432" t="s">
        <v>28</v>
      </c>
      <c r="S3432">
        <v>1</v>
      </c>
    </row>
    <row r="3433" spans="1:19" ht="16.5" x14ac:dyDescent="0.3">
      <c r="A3433" t="s">
        <v>3496</v>
      </c>
      <c r="B3433" s="1">
        <v>45732</v>
      </c>
      <c r="C3433" s="1">
        <v>45733</v>
      </c>
      <c r="D3433">
        <v>2025</v>
      </c>
      <c r="E3433" t="s">
        <v>20</v>
      </c>
      <c r="F3433" t="s">
        <v>605</v>
      </c>
      <c r="G3433" t="s">
        <v>112</v>
      </c>
      <c r="H3433" t="s">
        <v>35</v>
      </c>
      <c r="I3433" t="s">
        <v>24</v>
      </c>
      <c r="J3433" t="s">
        <v>25</v>
      </c>
      <c r="K3433" t="s">
        <v>36</v>
      </c>
      <c r="L3433" t="s">
        <v>44</v>
      </c>
      <c r="M3433">
        <v>1</v>
      </c>
      <c r="N3433" s="2">
        <v>61</v>
      </c>
      <c r="O3433" s="3">
        <v>1367</v>
      </c>
      <c r="P3433">
        <v>0</v>
      </c>
      <c r="Q3433">
        <v>5</v>
      </c>
      <c r="R3433" t="s">
        <v>28</v>
      </c>
      <c r="S3433">
        <v>1</v>
      </c>
    </row>
    <row r="3434" spans="1:19" ht="16.5" x14ac:dyDescent="0.3">
      <c r="A3434" t="s">
        <v>3497</v>
      </c>
      <c r="B3434" s="1">
        <v>45732</v>
      </c>
      <c r="C3434" s="1">
        <v>45734</v>
      </c>
      <c r="D3434">
        <v>2025</v>
      </c>
      <c r="E3434" t="s">
        <v>20</v>
      </c>
      <c r="F3434" t="s">
        <v>605</v>
      </c>
      <c r="G3434" t="s">
        <v>112</v>
      </c>
      <c r="H3434" t="s">
        <v>39</v>
      </c>
      <c r="I3434" t="s">
        <v>24</v>
      </c>
      <c r="J3434" t="s">
        <v>43</v>
      </c>
      <c r="K3434" t="s">
        <v>41</v>
      </c>
      <c r="L3434" t="s">
        <v>44</v>
      </c>
      <c r="M3434">
        <v>2</v>
      </c>
      <c r="N3434" s="2">
        <v>29</v>
      </c>
      <c r="O3434" s="3">
        <v>2882</v>
      </c>
      <c r="P3434">
        <v>0</v>
      </c>
      <c r="Q3434">
        <v>4</v>
      </c>
      <c r="R3434" t="s">
        <v>28</v>
      </c>
      <c r="S3434">
        <v>1</v>
      </c>
    </row>
    <row r="3435" spans="1:19" ht="16.5" x14ac:dyDescent="0.3">
      <c r="A3435" t="s">
        <v>3498</v>
      </c>
      <c r="B3435" s="1">
        <v>45732</v>
      </c>
      <c r="C3435" s="1">
        <v>45736</v>
      </c>
      <c r="D3435">
        <v>2025</v>
      </c>
      <c r="E3435" t="s">
        <v>20</v>
      </c>
      <c r="F3435" t="s">
        <v>605</v>
      </c>
      <c r="G3435" t="s">
        <v>112</v>
      </c>
      <c r="H3435" t="s">
        <v>52</v>
      </c>
      <c r="I3435" t="s">
        <v>40</v>
      </c>
      <c r="J3435" t="s">
        <v>25</v>
      </c>
      <c r="K3435" t="s">
        <v>26</v>
      </c>
      <c r="L3435" t="s">
        <v>27</v>
      </c>
      <c r="M3435">
        <v>4</v>
      </c>
      <c r="N3435" s="2"/>
      <c r="O3435" s="3">
        <v>4259</v>
      </c>
      <c r="P3435">
        <v>0</v>
      </c>
      <c r="Q3435">
        <v>4</v>
      </c>
      <c r="R3435" t="s">
        <v>28</v>
      </c>
      <c r="S3435">
        <v>1</v>
      </c>
    </row>
    <row r="3436" spans="1:19" ht="16.5" x14ac:dyDescent="0.3">
      <c r="A3436" t="s">
        <v>3499</v>
      </c>
      <c r="B3436" s="1">
        <v>45732</v>
      </c>
      <c r="C3436" s="1">
        <v>45733</v>
      </c>
      <c r="D3436">
        <v>2025</v>
      </c>
      <c r="E3436" t="s">
        <v>20</v>
      </c>
      <c r="F3436" t="s">
        <v>605</v>
      </c>
      <c r="G3436" t="s">
        <v>112</v>
      </c>
      <c r="H3436" t="s">
        <v>35</v>
      </c>
      <c r="I3436" t="s">
        <v>40</v>
      </c>
      <c r="J3436" t="s">
        <v>25</v>
      </c>
      <c r="K3436" t="s">
        <v>36</v>
      </c>
      <c r="L3436" t="s">
        <v>27</v>
      </c>
      <c r="M3436">
        <v>1</v>
      </c>
      <c r="N3436" s="2"/>
      <c r="O3436" s="3">
        <v>1572</v>
      </c>
      <c r="P3436">
        <v>0</v>
      </c>
      <c r="Q3436">
        <v>3</v>
      </c>
      <c r="R3436" t="s">
        <v>33</v>
      </c>
      <c r="S3436">
        <v>1</v>
      </c>
    </row>
    <row r="3437" spans="1:19" ht="16.5" x14ac:dyDescent="0.3">
      <c r="A3437" t="s">
        <v>3500</v>
      </c>
      <c r="B3437" s="1">
        <v>45732</v>
      </c>
      <c r="C3437" s="1">
        <v>45738</v>
      </c>
      <c r="D3437">
        <v>2025</v>
      </c>
      <c r="E3437" t="s">
        <v>20</v>
      </c>
      <c r="F3437" t="s">
        <v>605</v>
      </c>
      <c r="G3437" t="s">
        <v>112</v>
      </c>
      <c r="H3437" t="s">
        <v>50</v>
      </c>
      <c r="I3437" t="s">
        <v>40</v>
      </c>
      <c r="J3437" t="s">
        <v>43</v>
      </c>
      <c r="K3437" t="s">
        <v>32</v>
      </c>
      <c r="L3437" t="s">
        <v>44</v>
      </c>
      <c r="M3437">
        <v>6</v>
      </c>
      <c r="N3437" s="2"/>
      <c r="O3437" s="3">
        <v>8996</v>
      </c>
      <c r="P3437">
        <v>0</v>
      </c>
      <c r="Q3437">
        <v>5</v>
      </c>
      <c r="R3437" t="s">
        <v>59</v>
      </c>
      <c r="S3437">
        <v>1</v>
      </c>
    </row>
    <row r="3438" spans="1:19" ht="16.5" x14ac:dyDescent="0.3">
      <c r="A3438" t="s">
        <v>3501</v>
      </c>
      <c r="B3438" s="1">
        <v>45733</v>
      </c>
      <c r="C3438" s="1">
        <v>45741</v>
      </c>
      <c r="D3438">
        <v>2025</v>
      </c>
      <c r="E3438" t="s">
        <v>20</v>
      </c>
      <c r="F3438" t="s">
        <v>605</v>
      </c>
      <c r="G3438" t="s">
        <v>22</v>
      </c>
      <c r="H3438" t="s">
        <v>39</v>
      </c>
      <c r="I3438" t="s">
        <v>24</v>
      </c>
      <c r="J3438" t="s">
        <v>25</v>
      </c>
      <c r="K3438" t="s">
        <v>41</v>
      </c>
      <c r="L3438" t="s">
        <v>44</v>
      </c>
      <c r="M3438">
        <v>8</v>
      </c>
      <c r="N3438" s="2">
        <v>41</v>
      </c>
      <c r="O3438" s="3">
        <v>4552</v>
      </c>
      <c r="P3438">
        <v>0</v>
      </c>
      <c r="Q3438">
        <v>4</v>
      </c>
      <c r="R3438" t="s">
        <v>33</v>
      </c>
      <c r="S3438">
        <v>1</v>
      </c>
    </row>
    <row r="3439" spans="1:19" ht="16.5" x14ac:dyDescent="0.3">
      <c r="A3439" t="s">
        <v>3502</v>
      </c>
      <c r="B3439" s="1">
        <v>45733</v>
      </c>
      <c r="C3439" s="1">
        <v>45735</v>
      </c>
      <c r="D3439">
        <v>2025</v>
      </c>
      <c r="E3439" t="s">
        <v>20</v>
      </c>
      <c r="F3439" t="s">
        <v>605</v>
      </c>
      <c r="G3439" t="s">
        <v>22</v>
      </c>
      <c r="H3439" t="s">
        <v>35</v>
      </c>
      <c r="I3439" t="s">
        <v>40</v>
      </c>
      <c r="J3439" t="s">
        <v>25</v>
      </c>
      <c r="K3439" t="s">
        <v>36</v>
      </c>
      <c r="L3439" t="s">
        <v>27</v>
      </c>
      <c r="M3439">
        <v>2</v>
      </c>
      <c r="N3439" s="2"/>
      <c r="O3439" s="3">
        <v>1932</v>
      </c>
      <c r="P3439">
        <v>0</v>
      </c>
      <c r="Q3439">
        <v>3</v>
      </c>
      <c r="R3439" t="s">
        <v>28</v>
      </c>
      <c r="S3439">
        <v>1</v>
      </c>
    </row>
    <row r="3440" spans="1:19" ht="16.5" x14ac:dyDescent="0.3">
      <c r="A3440" t="s">
        <v>3503</v>
      </c>
      <c r="B3440" s="1">
        <v>45733</v>
      </c>
      <c r="C3440" s="1">
        <v>45738</v>
      </c>
      <c r="D3440">
        <v>2025</v>
      </c>
      <c r="E3440" t="s">
        <v>20</v>
      </c>
      <c r="F3440" t="s">
        <v>605</v>
      </c>
      <c r="G3440" t="s">
        <v>22</v>
      </c>
      <c r="H3440" t="s">
        <v>50</v>
      </c>
      <c r="I3440" t="s">
        <v>24</v>
      </c>
      <c r="J3440" t="s">
        <v>43</v>
      </c>
      <c r="K3440" t="s">
        <v>53</v>
      </c>
      <c r="L3440" t="s">
        <v>44</v>
      </c>
      <c r="M3440">
        <v>5</v>
      </c>
      <c r="N3440" s="2">
        <v>35</v>
      </c>
      <c r="O3440" s="3">
        <v>6909</v>
      </c>
      <c r="P3440">
        <v>0</v>
      </c>
      <c r="Q3440">
        <v>4</v>
      </c>
      <c r="R3440" t="s">
        <v>28</v>
      </c>
      <c r="S3440">
        <v>1</v>
      </c>
    </row>
    <row r="3441" spans="1:19" ht="16.5" x14ac:dyDescent="0.3">
      <c r="A3441" t="s">
        <v>3504</v>
      </c>
      <c r="B3441" s="1">
        <v>45733</v>
      </c>
      <c r="C3441" s="1">
        <v>45738</v>
      </c>
      <c r="D3441">
        <v>2025</v>
      </c>
      <c r="E3441" t="s">
        <v>20</v>
      </c>
      <c r="F3441" t="s">
        <v>605</v>
      </c>
      <c r="G3441" t="s">
        <v>22</v>
      </c>
      <c r="H3441" t="s">
        <v>50</v>
      </c>
      <c r="I3441" t="s">
        <v>24</v>
      </c>
      <c r="J3441" t="s">
        <v>25</v>
      </c>
      <c r="K3441" t="s">
        <v>53</v>
      </c>
      <c r="L3441" t="s">
        <v>44</v>
      </c>
      <c r="M3441">
        <v>5</v>
      </c>
      <c r="N3441" s="2">
        <v>44</v>
      </c>
      <c r="O3441" s="3">
        <v>4986</v>
      </c>
      <c r="P3441">
        <v>0</v>
      </c>
      <c r="Q3441">
        <v>3</v>
      </c>
      <c r="R3441" t="s">
        <v>33</v>
      </c>
      <c r="S3441">
        <v>1</v>
      </c>
    </row>
    <row r="3442" spans="1:19" ht="16.5" x14ac:dyDescent="0.3">
      <c r="A3442" t="s">
        <v>3505</v>
      </c>
      <c r="B3442" s="1">
        <v>45734</v>
      </c>
      <c r="C3442" s="1">
        <v>45737</v>
      </c>
      <c r="D3442">
        <v>2025</v>
      </c>
      <c r="E3442" t="s">
        <v>20</v>
      </c>
      <c r="F3442" t="s">
        <v>605</v>
      </c>
      <c r="G3442" t="s">
        <v>56</v>
      </c>
      <c r="H3442" t="s">
        <v>50</v>
      </c>
      <c r="I3442" t="s">
        <v>24</v>
      </c>
      <c r="J3442" t="s">
        <v>25</v>
      </c>
      <c r="K3442" t="s">
        <v>26</v>
      </c>
      <c r="L3442" t="s">
        <v>44</v>
      </c>
      <c r="M3442">
        <v>3</v>
      </c>
      <c r="N3442" s="2">
        <v>62</v>
      </c>
      <c r="O3442" s="3">
        <v>3211</v>
      </c>
      <c r="P3442">
        <v>1</v>
      </c>
      <c r="Q3442">
        <v>4</v>
      </c>
      <c r="R3442" t="s">
        <v>33</v>
      </c>
      <c r="S3442">
        <v>1</v>
      </c>
    </row>
    <row r="3443" spans="1:19" ht="16.5" x14ac:dyDescent="0.3">
      <c r="A3443" t="s">
        <v>3506</v>
      </c>
      <c r="B3443" s="1">
        <v>45734</v>
      </c>
      <c r="C3443" s="1">
        <v>45735</v>
      </c>
      <c r="D3443">
        <v>2025</v>
      </c>
      <c r="E3443" t="s">
        <v>20</v>
      </c>
      <c r="F3443" t="s">
        <v>605</v>
      </c>
      <c r="G3443" t="s">
        <v>56</v>
      </c>
      <c r="H3443" t="s">
        <v>30</v>
      </c>
      <c r="I3443" t="s">
        <v>24</v>
      </c>
      <c r="J3443" t="s">
        <v>43</v>
      </c>
      <c r="K3443" t="s">
        <v>53</v>
      </c>
      <c r="L3443" t="s">
        <v>44</v>
      </c>
      <c r="M3443">
        <v>1</v>
      </c>
      <c r="N3443" s="2">
        <v>57</v>
      </c>
      <c r="O3443" s="3">
        <v>1831</v>
      </c>
      <c r="P3443">
        <v>0</v>
      </c>
      <c r="Q3443">
        <v>5</v>
      </c>
      <c r="R3443" t="s">
        <v>28</v>
      </c>
      <c r="S3443">
        <v>1</v>
      </c>
    </row>
    <row r="3444" spans="1:19" ht="16.5" x14ac:dyDescent="0.3">
      <c r="A3444" t="s">
        <v>3507</v>
      </c>
      <c r="B3444" s="1">
        <v>45734</v>
      </c>
      <c r="C3444" s="1">
        <v>45736</v>
      </c>
      <c r="D3444">
        <v>2025</v>
      </c>
      <c r="E3444" t="s">
        <v>20</v>
      </c>
      <c r="F3444" t="s">
        <v>605</v>
      </c>
      <c r="G3444" t="s">
        <v>56</v>
      </c>
      <c r="H3444" t="s">
        <v>35</v>
      </c>
      <c r="I3444" t="s">
        <v>24</v>
      </c>
      <c r="J3444" t="s">
        <v>25</v>
      </c>
      <c r="K3444" t="s">
        <v>32</v>
      </c>
      <c r="L3444" t="s">
        <v>27</v>
      </c>
      <c r="M3444">
        <v>2</v>
      </c>
      <c r="N3444" s="2">
        <v>44</v>
      </c>
      <c r="O3444" s="3">
        <v>2429</v>
      </c>
      <c r="P3444">
        <v>0</v>
      </c>
      <c r="Q3444">
        <v>4</v>
      </c>
      <c r="R3444" t="s">
        <v>28</v>
      </c>
      <c r="S3444">
        <v>1</v>
      </c>
    </row>
    <row r="3445" spans="1:19" ht="16.5" x14ac:dyDescent="0.3">
      <c r="A3445" t="s">
        <v>3508</v>
      </c>
      <c r="B3445" s="1">
        <v>45734</v>
      </c>
      <c r="C3445" s="1">
        <v>45741</v>
      </c>
      <c r="D3445">
        <v>2025</v>
      </c>
      <c r="E3445" t="s">
        <v>20</v>
      </c>
      <c r="F3445" t="s">
        <v>605</v>
      </c>
      <c r="G3445" t="s">
        <v>56</v>
      </c>
      <c r="H3445" t="s">
        <v>52</v>
      </c>
      <c r="I3445" t="s">
        <v>24</v>
      </c>
      <c r="J3445" t="s">
        <v>25</v>
      </c>
      <c r="K3445" t="s">
        <v>26</v>
      </c>
      <c r="L3445" t="s">
        <v>27</v>
      </c>
      <c r="M3445">
        <v>7</v>
      </c>
      <c r="N3445" s="2">
        <v>50</v>
      </c>
      <c r="O3445" s="3">
        <v>8633</v>
      </c>
      <c r="P3445">
        <v>0</v>
      </c>
      <c r="Q3445">
        <v>5</v>
      </c>
      <c r="R3445" t="s">
        <v>33</v>
      </c>
      <c r="S3445">
        <v>1</v>
      </c>
    </row>
    <row r="3446" spans="1:19" ht="16.5" x14ac:dyDescent="0.3">
      <c r="A3446" t="s">
        <v>3509</v>
      </c>
      <c r="B3446" s="1">
        <v>45734</v>
      </c>
      <c r="C3446" s="1">
        <v>45741</v>
      </c>
      <c r="D3446">
        <v>2025</v>
      </c>
      <c r="E3446" t="s">
        <v>20</v>
      </c>
      <c r="F3446" t="s">
        <v>605</v>
      </c>
      <c r="G3446" t="s">
        <v>56</v>
      </c>
      <c r="H3446" t="s">
        <v>50</v>
      </c>
      <c r="I3446" t="s">
        <v>24</v>
      </c>
      <c r="J3446" t="s">
        <v>43</v>
      </c>
      <c r="K3446" t="s">
        <v>53</v>
      </c>
      <c r="L3446" t="s">
        <v>27</v>
      </c>
      <c r="M3446">
        <v>7</v>
      </c>
      <c r="N3446" s="2">
        <v>58</v>
      </c>
      <c r="O3446" s="3">
        <v>9258</v>
      </c>
      <c r="P3446">
        <v>0</v>
      </c>
      <c r="Q3446">
        <v>4</v>
      </c>
      <c r="R3446" t="s">
        <v>33</v>
      </c>
      <c r="S3446">
        <v>1</v>
      </c>
    </row>
    <row r="3447" spans="1:19" ht="16.5" x14ac:dyDescent="0.3">
      <c r="A3447" t="s">
        <v>3510</v>
      </c>
      <c r="B3447" s="1">
        <v>45734</v>
      </c>
      <c r="C3447" s="1">
        <v>45738</v>
      </c>
      <c r="D3447">
        <v>2025</v>
      </c>
      <c r="E3447" t="s">
        <v>20</v>
      </c>
      <c r="F3447" t="s">
        <v>605</v>
      </c>
      <c r="G3447" t="s">
        <v>56</v>
      </c>
      <c r="H3447" t="s">
        <v>30</v>
      </c>
      <c r="I3447" t="s">
        <v>40</v>
      </c>
      <c r="J3447" t="s">
        <v>43</v>
      </c>
      <c r="K3447" t="s">
        <v>26</v>
      </c>
      <c r="L3447" t="s">
        <v>44</v>
      </c>
      <c r="M3447">
        <v>4</v>
      </c>
      <c r="N3447" s="2"/>
      <c r="O3447" s="3">
        <v>6093</v>
      </c>
      <c r="P3447">
        <v>0</v>
      </c>
      <c r="Q3447">
        <v>4</v>
      </c>
      <c r="R3447" t="s">
        <v>28</v>
      </c>
      <c r="S3447">
        <v>1</v>
      </c>
    </row>
    <row r="3448" spans="1:19" ht="16.5" x14ac:dyDescent="0.3">
      <c r="A3448" t="s">
        <v>3511</v>
      </c>
      <c r="B3448" s="1">
        <v>45734</v>
      </c>
      <c r="C3448" s="1">
        <v>45735</v>
      </c>
      <c r="D3448">
        <v>2025</v>
      </c>
      <c r="E3448" t="s">
        <v>20</v>
      </c>
      <c r="F3448" t="s">
        <v>605</v>
      </c>
      <c r="G3448" t="s">
        <v>56</v>
      </c>
      <c r="H3448" t="s">
        <v>35</v>
      </c>
      <c r="I3448" t="s">
        <v>40</v>
      </c>
      <c r="J3448" t="s">
        <v>25</v>
      </c>
      <c r="K3448" t="s">
        <v>32</v>
      </c>
      <c r="L3448" t="s">
        <v>27</v>
      </c>
      <c r="M3448">
        <v>1</v>
      </c>
      <c r="N3448" s="2"/>
      <c r="O3448" s="3">
        <v>1798</v>
      </c>
      <c r="P3448">
        <v>0</v>
      </c>
      <c r="Q3448">
        <v>3</v>
      </c>
      <c r="R3448" t="s">
        <v>33</v>
      </c>
      <c r="S3448">
        <v>1</v>
      </c>
    </row>
    <row r="3449" spans="1:19" ht="16.5" x14ac:dyDescent="0.3">
      <c r="A3449" t="s">
        <v>3512</v>
      </c>
      <c r="B3449" s="1">
        <v>45734</v>
      </c>
      <c r="C3449" s="1">
        <v>45735</v>
      </c>
      <c r="D3449">
        <v>2025</v>
      </c>
      <c r="E3449" t="s">
        <v>20</v>
      </c>
      <c r="F3449" t="s">
        <v>605</v>
      </c>
      <c r="G3449" t="s">
        <v>56</v>
      </c>
      <c r="H3449" t="s">
        <v>35</v>
      </c>
      <c r="I3449" t="s">
        <v>24</v>
      </c>
      <c r="J3449" t="s">
        <v>25</v>
      </c>
      <c r="K3449" t="s">
        <v>36</v>
      </c>
      <c r="L3449" t="s">
        <v>44</v>
      </c>
      <c r="M3449">
        <v>1</v>
      </c>
      <c r="N3449" s="2">
        <v>11</v>
      </c>
      <c r="O3449" s="3">
        <v>1173</v>
      </c>
      <c r="P3449">
        <v>0</v>
      </c>
      <c r="Q3449">
        <v>3</v>
      </c>
      <c r="R3449" t="s">
        <v>33</v>
      </c>
      <c r="S3449">
        <v>1</v>
      </c>
    </row>
    <row r="3450" spans="1:19" ht="16.5" x14ac:dyDescent="0.3">
      <c r="A3450" t="s">
        <v>3513</v>
      </c>
      <c r="B3450" s="1">
        <v>45734</v>
      </c>
      <c r="C3450" s="1">
        <v>45742</v>
      </c>
      <c r="D3450">
        <v>2025</v>
      </c>
      <c r="E3450" t="s">
        <v>20</v>
      </c>
      <c r="F3450" t="s">
        <v>605</v>
      </c>
      <c r="G3450" t="s">
        <v>56</v>
      </c>
      <c r="H3450" t="s">
        <v>23</v>
      </c>
      <c r="I3450" t="s">
        <v>40</v>
      </c>
      <c r="J3450" t="s">
        <v>25</v>
      </c>
      <c r="K3450" t="s">
        <v>26</v>
      </c>
      <c r="L3450" t="s">
        <v>27</v>
      </c>
      <c r="M3450">
        <v>8</v>
      </c>
      <c r="N3450" s="2"/>
      <c r="O3450" s="3">
        <v>5842</v>
      </c>
      <c r="P3450">
        <v>0</v>
      </c>
      <c r="Q3450">
        <v>4</v>
      </c>
      <c r="R3450" t="s">
        <v>28</v>
      </c>
      <c r="S3450">
        <v>1</v>
      </c>
    </row>
    <row r="3451" spans="1:19" ht="16.5" x14ac:dyDescent="0.3">
      <c r="A3451" t="s">
        <v>3514</v>
      </c>
      <c r="B3451" s="1">
        <v>45734</v>
      </c>
      <c r="C3451" s="1">
        <v>45737</v>
      </c>
      <c r="D3451">
        <v>2025</v>
      </c>
      <c r="E3451" t="s">
        <v>20</v>
      </c>
      <c r="F3451" t="s">
        <v>605</v>
      </c>
      <c r="G3451" t="s">
        <v>56</v>
      </c>
      <c r="H3451" t="s">
        <v>23</v>
      </c>
      <c r="I3451" t="s">
        <v>24</v>
      </c>
      <c r="J3451" t="s">
        <v>25</v>
      </c>
      <c r="K3451" t="s">
        <v>53</v>
      </c>
      <c r="L3451" t="s">
        <v>44</v>
      </c>
      <c r="M3451">
        <v>3</v>
      </c>
      <c r="N3451" s="2">
        <v>75</v>
      </c>
      <c r="O3451" s="3">
        <v>2006</v>
      </c>
      <c r="P3451">
        <v>1</v>
      </c>
      <c r="Q3451">
        <v>3</v>
      </c>
      <c r="R3451" t="s">
        <v>28</v>
      </c>
      <c r="S3451">
        <v>1</v>
      </c>
    </row>
    <row r="3452" spans="1:19" ht="16.5" x14ac:dyDescent="0.3">
      <c r="A3452" t="s">
        <v>3515</v>
      </c>
      <c r="B3452" s="1">
        <v>45734</v>
      </c>
      <c r="C3452" s="1">
        <v>45736</v>
      </c>
      <c r="D3452">
        <v>2025</v>
      </c>
      <c r="E3452" t="s">
        <v>20</v>
      </c>
      <c r="F3452" t="s">
        <v>605</v>
      </c>
      <c r="G3452" t="s">
        <v>56</v>
      </c>
      <c r="H3452" t="s">
        <v>30</v>
      </c>
      <c r="I3452" t="s">
        <v>24</v>
      </c>
      <c r="J3452" t="s">
        <v>25</v>
      </c>
      <c r="K3452" t="s">
        <v>32</v>
      </c>
      <c r="L3452" t="s">
        <v>44</v>
      </c>
      <c r="M3452">
        <v>2</v>
      </c>
      <c r="N3452" s="2">
        <v>25</v>
      </c>
      <c r="O3452" s="3">
        <v>3182</v>
      </c>
      <c r="P3452">
        <v>0</v>
      </c>
      <c r="Q3452">
        <v>5</v>
      </c>
      <c r="R3452" t="s">
        <v>33</v>
      </c>
      <c r="S3452">
        <v>1</v>
      </c>
    </row>
    <row r="3453" spans="1:19" ht="16.5" x14ac:dyDescent="0.3">
      <c r="A3453" t="s">
        <v>3516</v>
      </c>
      <c r="B3453" s="1">
        <v>45734</v>
      </c>
      <c r="C3453" s="1">
        <v>45735</v>
      </c>
      <c r="D3453">
        <v>2025</v>
      </c>
      <c r="E3453" t="s">
        <v>20</v>
      </c>
      <c r="F3453" t="s">
        <v>605</v>
      </c>
      <c r="G3453" t="s">
        <v>56</v>
      </c>
      <c r="H3453" t="s">
        <v>39</v>
      </c>
      <c r="I3453" t="s">
        <v>24</v>
      </c>
      <c r="J3453" t="s">
        <v>25</v>
      </c>
      <c r="K3453" t="s">
        <v>41</v>
      </c>
      <c r="L3453" t="s">
        <v>37</v>
      </c>
      <c r="M3453">
        <v>1</v>
      </c>
      <c r="N3453" s="2">
        <v>78</v>
      </c>
      <c r="O3453" s="3">
        <v>1210</v>
      </c>
      <c r="P3453">
        <v>0</v>
      </c>
      <c r="Q3453">
        <v>5</v>
      </c>
      <c r="R3453" t="s">
        <v>33</v>
      </c>
      <c r="S3453">
        <v>1</v>
      </c>
    </row>
    <row r="3454" spans="1:19" ht="16.5" x14ac:dyDescent="0.3">
      <c r="A3454" t="s">
        <v>3517</v>
      </c>
      <c r="B3454" s="1">
        <v>45735</v>
      </c>
      <c r="C3454" s="1">
        <v>45744</v>
      </c>
      <c r="D3454">
        <v>2025</v>
      </c>
      <c r="E3454" t="s">
        <v>20</v>
      </c>
      <c r="F3454" t="s">
        <v>605</v>
      </c>
      <c r="G3454" t="s">
        <v>70</v>
      </c>
      <c r="H3454" t="s">
        <v>30</v>
      </c>
      <c r="I3454" t="s">
        <v>24</v>
      </c>
      <c r="J3454" t="s">
        <v>43</v>
      </c>
      <c r="K3454" t="s">
        <v>32</v>
      </c>
      <c r="L3454" t="s">
        <v>44</v>
      </c>
      <c r="M3454">
        <v>9</v>
      </c>
      <c r="N3454" s="2">
        <v>70</v>
      </c>
      <c r="O3454" s="3">
        <v>9220</v>
      </c>
      <c r="P3454">
        <v>0</v>
      </c>
      <c r="Q3454">
        <v>5</v>
      </c>
      <c r="R3454" t="s">
        <v>28</v>
      </c>
      <c r="S3454">
        <v>1</v>
      </c>
    </row>
    <row r="3455" spans="1:19" ht="16.5" x14ac:dyDescent="0.3">
      <c r="A3455" t="s">
        <v>3518</v>
      </c>
      <c r="B3455" s="1">
        <v>45735</v>
      </c>
      <c r="C3455" s="1">
        <v>45737</v>
      </c>
      <c r="D3455">
        <v>2025</v>
      </c>
      <c r="E3455" t="s">
        <v>20</v>
      </c>
      <c r="F3455" t="s">
        <v>605</v>
      </c>
      <c r="G3455" t="s">
        <v>70</v>
      </c>
      <c r="H3455" t="s">
        <v>52</v>
      </c>
      <c r="I3455" t="s">
        <v>40</v>
      </c>
      <c r="J3455" t="s">
        <v>43</v>
      </c>
      <c r="K3455" t="s">
        <v>26</v>
      </c>
      <c r="L3455" t="s">
        <v>37</v>
      </c>
      <c r="M3455">
        <v>2</v>
      </c>
      <c r="N3455" s="2"/>
      <c r="O3455" s="3">
        <v>1790</v>
      </c>
      <c r="P3455">
        <v>0</v>
      </c>
      <c r="Q3455">
        <v>5</v>
      </c>
      <c r="R3455" t="s">
        <v>165</v>
      </c>
      <c r="S3455">
        <v>1</v>
      </c>
    </row>
    <row r="3456" spans="1:19" ht="16.5" x14ac:dyDescent="0.3">
      <c r="A3456" t="s">
        <v>3519</v>
      </c>
      <c r="B3456" s="1">
        <v>45735</v>
      </c>
      <c r="C3456" s="1">
        <v>45736</v>
      </c>
      <c r="D3456">
        <v>2025</v>
      </c>
      <c r="E3456" t="s">
        <v>20</v>
      </c>
      <c r="F3456" t="s">
        <v>605</v>
      </c>
      <c r="G3456" t="s">
        <v>70</v>
      </c>
      <c r="H3456" t="s">
        <v>35</v>
      </c>
      <c r="I3456" t="s">
        <v>24</v>
      </c>
      <c r="J3456" t="s">
        <v>25</v>
      </c>
      <c r="K3456" t="s">
        <v>32</v>
      </c>
      <c r="L3456" t="s">
        <v>37</v>
      </c>
      <c r="M3456">
        <v>1</v>
      </c>
      <c r="N3456" s="2">
        <v>37</v>
      </c>
      <c r="O3456" s="3">
        <v>1463</v>
      </c>
      <c r="P3456">
        <v>0</v>
      </c>
      <c r="Q3456">
        <v>5</v>
      </c>
      <c r="R3456" t="s">
        <v>28</v>
      </c>
      <c r="S3456">
        <v>1</v>
      </c>
    </row>
    <row r="3457" spans="1:19" ht="16.5" x14ac:dyDescent="0.3">
      <c r="A3457" t="s">
        <v>3520</v>
      </c>
      <c r="B3457" s="1">
        <v>45735</v>
      </c>
      <c r="C3457" s="1">
        <v>45740</v>
      </c>
      <c r="D3457">
        <v>2025</v>
      </c>
      <c r="E3457" t="s">
        <v>20</v>
      </c>
      <c r="F3457" t="s">
        <v>605</v>
      </c>
      <c r="G3457" t="s">
        <v>70</v>
      </c>
      <c r="H3457" t="s">
        <v>35</v>
      </c>
      <c r="I3457" t="s">
        <v>24</v>
      </c>
      <c r="J3457" t="s">
        <v>25</v>
      </c>
      <c r="K3457" t="s">
        <v>36</v>
      </c>
      <c r="L3457" t="s">
        <v>37</v>
      </c>
      <c r="M3457">
        <v>5</v>
      </c>
      <c r="N3457" s="2">
        <v>20</v>
      </c>
      <c r="O3457" s="3">
        <v>4021</v>
      </c>
      <c r="P3457">
        <v>0</v>
      </c>
      <c r="Q3457">
        <v>4</v>
      </c>
      <c r="R3457" t="s">
        <v>33</v>
      </c>
      <c r="S3457">
        <v>1</v>
      </c>
    </row>
    <row r="3458" spans="1:19" ht="16.5" x14ac:dyDescent="0.3">
      <c r="A3458" t="s">
        <v>3521</v>
      </c>
      <c r="B3458" s="1">
        <v>45735</v>
      </c>
      <c r="C3458" s="1">
        <v>45738</v>
      </c>
      <c r="D3458">
        <v>2025</v>
      </c>
      <c r="E3458" t="s">
        <v>20</v>
      </c>
      <c r="F3458" t="s">
        <v>605</v>
      </c>
      <c r="G3458" t="s">
        <v>70</v>
      </c>
      <c r="H3458" t="s">
        <v>30</v>
      </c>
      <c r="I3458" t="s">
        <v>40</v>
      </c>
      <c r="J3458" t="s">
        <v>25</v>
      </c>
      <c r="K3458" t="s">
        <v>26</v>
      </c>
      <c r="L3458" t="s">
        <v>27</v>
      </c>
      <c r="M3458">
        <v>3</v>
      </c>
      <c r="N3458" s="2"/>
      <c r="O3458" s="3">
        <v>3636</v>
      </c>
      <c r="P3458">
        <v>0</v>
      </c>
      <c r="Q3458">
        <v>5</v>
      </c>
      <c r="R3458" t="s">
        <v>33</v>
      </c>
      <c r="S3458">
        <v>1</v>
      </c>
    </row>
    <row r="3459" spans="1:19" ht="16.5" x14ac:dyDescent="0.3">
      <c r="A3459" t="s">
        <v>3522</v>
      </c>
      <c r="B3459" s="1">
        <v>45735</v>
      </c>
      <c r="C3459" s="1">
        <v>45737</v>
      </c>
      <c r="D3459">
        <v>2025</v>
      </c>
      <c r="E3459" t="s">
        <v>20</v>
      </c>
      <c r="F3459" t="s">
        <v>605</v>
      </c>
      <c r="G3459" t="s">
        <v>70</v>
      </c>
      <c r="H3459" t="s">
        <v>30</v>
      </c>
      <c r="I3459" t="s">
        <v>31</v>
      </c>
      <c r="J3459" t="s">
        <v>25</v>
      </c>
      <c r="K3459" t="s">
        <v>53</v>
      </c>
      <c r="L3459" t="s">
        <v>44</v>
      </c>
      <c r="M3459">
        <v>2</v>
      </c>
      <c r="N3459" s="2"/>
      <c r="O3459" s="3">
        <v>2828</v>
      </c>
      <c r="P3459">
        <v>1</v>
      </c>
      <c r="Q3459">
        <v>3</v>
      </c>
      <c r="R3459" t="s">
        <v>33</v>
      </c>
      <c r="S3459">
        <v>1</v>
      </c>
    </row>
    <row r="3460" spans="1:19" ht="16.5" x14ac:dyDescent="0.3">
      <c r="A3460" t="s">
        <v>3523</v>
      </c>
      <c r="B3460" s="1">
        <v>45735</v>
      </c>
      <c r="C3460" s="1">
        <v>45749</v>
      </c>
      <c r="D3460">
        <v>2025</v>
      </c>
      <c r="E3460" t="s">
        <v>20</v>
      </c>
      <c r="F3460" t="s">
        <v>605</v>
      </c>
      <c r="G3460" t="s">
        <v>70</v>
      </c>
      <c r="H3460" t="s">
        <v>23</v>
      </c>
      <c r="I3460" t="s">
        <v>24</v>
      </c>
      <c r="J3460" t="s">
        <v>43</v>
      </c>
      <c r="K3460" t="s">
        <v>53</v>
      </c>
      <c r="L3460" t="s">
        <v>27</v>
      </c>
      <c r="M3460">
        <v>14</v>
      </c>
      <c r="N3460" s="2">
        <v>39</v>
      </c>
      <c r="O3460" s="3">
        <v>11391</v>
      </c>
      <c r="P3460">
        <v>0</v>
      </c>
      <c r="Q3460">
        <v>4</v>
      </c>
      <c r="R3460" t="s">
        <v>165</v>
      </c>
      <c r="S3460">
        <v>1</v>
      </c>
    </row>
    <row r="3461" spans="1:19" ht="16.5" x14ac:dyDescent="0.3">
      <c r="A3461" t="s">
        <v>3524</v>
      </c>
      <c r="B3461" s="1">
        <v>45735</v>
      </c>
      <c r="C3461" s="1">
        <v>45737</v>
      </c>
      <c r="D3461">
        <v>2025</v>
      </c>
      <c r="E3461" t="s">
        <v>20</v>
      </c>
      <c r="F3461" t="s">
        <v>605</v>
      </c>
      <c r="G3461" t="s">
        <v>70</v>
      </c>
      <c r="H3461" t="s">
        <v>30</v>
      </c>
      <c r="I3461" t="s">
        <v>40</v>
      </c>
      <c r="J3461" t="s">
        <v>43</v>
      </c>
      <c r="K3461" t="s">
        <v>26</v>
      </c>
      <c r="L3461" t="s">
        <v>27</v>
      </c>
      <c r="M3461">
        <v>2</v>
      </c>
      <c r="N3461" s="2"/>
      <c r="O3461" s="3">
        <v>2085</v>
      </c>
      <c r="P3461">
        <v>0</v>
      </c>
      <c r="Q3461">
        <v>3</v>
      </c>
      <c r="R3461" t="s">
        <v>28</v>
      </c>
      <c r="S3461">
        <v>1</v>
      </c>
    </row>
    <row r="3462" spans="1:19" ht="16.5" x14ac:dyDescent="0.3">
      <c r="A3462" t="s">
        <v>3525</v>
      </c>
      <c r="B3462" s="1">
        <v>45735</v>
      </c>
      <c r="C3462" s="1">
        <v>45745</v>
      </c>
      <c r="D3462">
        <v>2025</v>
      </c>
      <c r="E3462" t="s">
        <v>20</v>
      </c>
      <c r="F3462" t="s">
        <v>605</v>
      </c>
      <c r="G3462" t="s">
        <v>70</v>
      </c>
      <c r="H3462" t="s">
        <v>30</v>
      </c>
      <c r="I3462" t="s">
        <v>24</v>
      </c>
      <c r="J3462" t="s">
        <v>43</v>
      </c>
      <c r="K3462" t="s">
        <v>26</v>
      </c>
      <c r="L3462" t="s">
        <v>44</v>
      </c>
      <c r="M3462">
        <v>10</v>
      </c>
      <c r="N3462" s="2">
        <v>59</v>
      </c>
      <c r="O3462" s="3">
        <v>14759</v>
      </c>
      <c r="P3462">
        <v>0</v>
      </c>
      <c r="Q3462">
        <v>4</v>
      </c>
      <c r="R3462" t="s">
        <v>33</v>
      </c>
      <c r="S3462">
        <v>1</v>
      </c>
    </row>
    <row r="3463" spans="1:19" ht="16.5" x14ac:dyDescent="0.3">
      <c r="A3463" t="s">
        <v>3526</v>
      </c>
      <c r="B3463" s="1">
        <v>45735</v>
      </c>
      <c r="C3463" s="1">
        <v>45739</v>
      </c>
      <c r="D3463">
        <v>2025</v>
      </c>
      <c r="E3463" t="s">
        <v>20</v>
      </c>
      <c r="F3463" t="s">
        <v>605</v>
      </c>
      <c r="G3463" t="s">
        <v>70</v>
      </c>
      <c r="H3463" t="s">
        <v>23</v>
      </c>
      <c r="I3463" t="s">
        <v>24</v>
      </c>
      <c r="J3463" t="s">
        <v>25</v>
      </c>
      <c r="K3463" t="s">
        <v>53</v>
      </c>
      <c r="L3463" t="s">
        <v>44</v>
      </c>
      <c r="M3463">
        <v>4</v>
      </c>
      <c r="N3463" s="2">
        <v>33</v>
      </c>
      <c r="O3463" s="3">
        <v>3079</v>
      </c>
      <c r="P3463">
        <v>0</v>
      </c>
      <c r="Q3463">
        <v>3</v>
      </c>
      <c r="R3463" t="s">
        <v>165</v>
      </c>
      <c r="S3463">
        <v>1</v>
      </c>
    </row>
    <row r="3464" spans="1:19" ht="16.5" x14ac:dyDescent="0.3">
      <c r="A3464" t="s">
        <v>3527</v>
      </c>
      <c r="B3464" s="1">
        <v>45736</v>
      </c>
      <c r="C3464" s="1">
        <v>45737</v>
      </c>
      <c r="D3464">
        <v>2025</v>
      </c>
      <c r="E3464" t="s">
        <v>20</v>
      </c>
      <c r="F3464" t="s">
        <v>605</v>
      </c>
      <c r="G3464" t="s">
        <v>78</v>
      </c>
      <c r="H3464" t="s">
        <v>35</v>
      </c>
      <c r="I3464" t="s">
        <v>24</v>
      </c>
      <c r="J3464" t="s">
        <v>25</v>
      </c>
      <c r="K3464" t="s">
        <v>32</v>
      </c>
      <c r="L3464" t="s">
        <v>44</v>
      </c>
      <c r="M3464">
        <v>1</v>
      </c>
      <c r="N3464" s="2">
        <v>17</v>
      </c>
      <c r="O3464" s="3">
        <v>1642</v>
      </c>
      <c r="P3464">
        <v>0</v>
      </c>
      <c r="Q3464">
        <v>5</v>
      </c>
      <c r="R3464" t="s">
        <v>33</v>
      </c>
      <c r="S3464">
        <v>1</v>
      </c>
    </row>
    <row r="3465" spans="1:19" ht="16.5" x14ac:dyDescent="0.3">
      <c r="A3465" t="s">
        <v>3528</v>
      </c>
      <c r="B3465" s="1">
        <v>45736</v>
      </c>
      <c r="C3465" s="1">
        <v>45742</v>
      </c>
      <c r="D3465">
        <v>2025</v>
      </c>
      <c r="E3465" t="s">
        <v>20</v>
      </c>
      <c r="F3465" t="s">
        <v>605</v>
      </c>
      <c r="G3465" t="s">
        <v>78</v>
      </c>
      <c r="H3465" t="s">
        <v>52</v>
      </c>
      <c r="I3465" t="s">
        <v>24</v>
      </c>
      <c r="J3465" t="s">
        <v>25</v>
      </c>
      <c r="K3465" t="s">
        <v>53</v>
      </c>
      <c r="L3465" t="s">
        <v>44</v>
      </c>
      <c r="M3465">
        <v>6</v>
      </c>
      <c r="N3465" s="2">
        <v>37</v>
      </c>
      <c r="O3465" s="3">
        <v>5137</v>
      </c>
      <c r="P3465">
        <v>0</v>
      </c>
      <c r="Q3465">
        <v>3</v>
      </c>
      <c r="R3465" t="s">
        <v>33</v>
      </c>
      <c r="S3465">
        <v>1</v>
      </c>
    </row>
    <row r="3466" spans="1:19" ht="16.5" x14ac:dyDescent="0.3">
      <c r="A3466" t="s">
        <v>3529</v>
      </c>
      <c r="B3466" s="1">
        <v>45736</v>
      </c>
      <c r="C3466" s="1">
        <v>45748</v>
      </c>
      <c r="D3466">
        <v>2025</v>
      </c>
      <c r="E3466" t="s">
        <v>20</v>
      </c>
      <c r="F3466" t="s">
        <v>605</v>
      </c>
      <c r="G3466" t="s">
        <v>78</v>
      </c>
      <c r="H3466" t="s">
        <v>23</v>
      </c>
      <c r="I3466" t="s">
        <v>24</v>
      </c>
      <c r="J3466" t="s">
        <v>25</v>
      </c>
      <c r="K3466" t="s">
        <v>53</v>
      </c>
      <c r="L3466" t="s">
        <v>27</v>
      </c>
      <c r="M3466">
        <v>12</v>
      </c>
      <c r="N3466" s="2">
        <v>13</v>
      </c>
      <c r="O3466" s="3">
        <v>9895</v>
      </c>
      <c r="P3466">
        <v>1</v>
      </c>
      <c r="Q3466">
        <v>4</v>
      </c>
      <c r="R3466" t="s">
        <v>28</v>
      </c>
      <c r="S3466">
        <v>1</v>
      </c>
    </row>
    <row r="3467" spans="1:19" ht="16.5" x14ac:dyDescent="0.3">
      <c r="A3467" t="s">
        <v>3530</v>
      </c>
      <c r="B3467" s="1">
        <v>45736</v>
      </c>
      <c r="C3467" s="1">
        <v>45740</v>
      </c>
      <c r="D3467">
        <v>2025</v>
      </c>
      <c r="E3467" t="s">
        <v>20</v>
      </c>
      <c r="F3467" t="s">
        <v>605</v>
      </c>
      <c r="G3467" t="s">
        <v>78</v>
      </c>
      <c r="H3467" t="s">
        <v>52</v>
      </c>
      <c r="I3467" t="s">
        <v>40</v>
      </c>
      <c r="J3467" t="s">
        <v>25</v>
      </c>
      <c r="K3467" t="s">
        <v>26</v>
      </c>
      <c r="L3467" t="s">
        <v>37</v>
      </c>
      <c r="M3467">
        <v>4</v>
      </c>
      <c r="N3467" s="2"/>
      <c r="O3467" s="3">
        <v>5405</v>
      </c>
      <c r="P3467">
        <v>0</v>
      </c>
      <c r="Q3467">
        <v>4</v>
      </c>
      <c r="R3467" t="s">
        <v>28</v>
      </c>
      <c r="S3467">
        <v>1</v>
      </c>
    </row>
    <row r="3468" spans="1:19" ht="16.5" x14ac:dyDescent="0.3">
      <c r="A3468" t="s">
        <v>3531</v>
      </c>
      <c r="B3468" s="1">
        <v>45736</v>
      </c>
      <c r="C3468" s="1">
        <v>45742</v>
      </c>
      <c r="D3468">
        <v>2025</v>
      </c>
      <c r="E3468" t="s">
        <v>20</v>
      </c>
      <c r="F3468" t="s">
        <v>605</v>
      </c>
      <c r="G3468" t="s">
        <v>78</v>
      </c>
      <c r="H3468" t="s">
        <v>52</v>
      </c>
      <c r="I3468" t="s">
        <v>40</v>
      </c>
      <c r="J3468" t="s">
        <v>43</v>
      </c>
      <c r="K3468" t="s">
        <v>26</v>
      </c>
      <c r="L3468" t="s">
        <v>27</v>
      </c>
      <c r="M3468">
        <v>6</v>
      </c>
      <c r="N3468" s="2"/>
      <c r="O3468" s="3">
        <v>5245</v>
      </c>
      <c r="P3468">
        <v>0</v>
      </c>
      <c r="Q3468">
        <v>5</v>
      </c>
      <c r="R3468" t="s">
        <v>28</v>
      </c>
      <c r="S3468">
        <v>1</v>
      </c>
    </row>
    <row r="3469" spans="1:19" ht="16.5" x14ac:dyDescent="0.3">
      <c r="A3469" t="s">
        <v>3532</v>
      </c>
      <c r="B3469" s="1">
        <v>45736</v>
      </c>
      <c r="C3469" s="1">
        <v>45741</v>
      </c>
      <c r="D3469">
        <v>2025</v>
      </c>
      <c r="E3469" t="s">
        <v>20</v>
      </c>
      <c r="F3469" t="s">
        <v>605</v>
      </c>
      <c r="G3469" t="s">
        <v>78</v>
      </c>
      <c r="H3469" t="s">
        <v>30</v>
      </c>
      <c r="I3469" t="s">
        <v>40</v>
      </c>
      <c r="J3469" t="s">
        <v>25</v>
      </c>
      <c r="K3469" t="s">
        <v>26</v>
      </c>
      <c r="L3469" t="s">
        <v>44</v>
      </c>
      <c r="M3469">
        <v>5</v>
      </c>
      <c r="N3469" s="2"/>
      <c r="O3469" s="3">
        <v>5828</v>
      </c>
      <c r="P3469">
        <v>0</v>
      </c>
      <c r="Q3469">
        <v>5</v>
      </c>
      <c r="R3469" t="s">
        <v>33</v>
      </c>
      <c r="S3469">
        <v>1</v>
      </c>
    </row>
    <row r="3470" spans="1:19" ht="16.5" x14ac:dyDescent="0.3">
      <c r="A3470" t="s">
        <v>3533</v>
      </c>
      <c r="B3470" s="1">
        <v>45737</v>
      </c>
      <c r="C3470" s="1">
        <v>45743</v>
      </c>
      <c r="D3470">
        <v>2025</v>
      </c>
      <c r="E3470" t="s">
        <v>20</v>
      </c>
      <c r="F3470" t="s">
        <v>605</v>
      </c>
      <c r="G3470" t="s">
        <v>83</v>
      </c>
      <c r="H3470" t="s">
        <v>30</v>
      </c>
      <c r="I3470" t="s">
        <v>40</v>
      </c>
      <c r="J3470" t="s">
        <v>43</v>
      </c>
      <c r="K3470" t="s">
        <v>26</v>
      </c>
      <c r="L3470" t="s">
        <v>27</v>
      </c>
      <c r="M3470">
        <v>6</v>
      </c>
      <c r="N3470" s="2"/>
      <c r="O3470" s="3">
        <v>6306</v>
      </c>
      <c r="P3470">
        <v>0</v>
      </c>
      <c r="Q3470">
        <v>4</v>
      </c>
      <c r="R3470" t="s">
        <v>33</v>
      </c>
      <c r="S3470">
        <v>1</v>
      </c>
    </row>
    <row r="3471" spans="1:19" ht="16.5" x14ac:dyDescent="0.3">
      <c r="A3471" t="s">
        <v>3534</v>
      </c>
      <c r="B3471" s="1">
        <v>45737</v>
      </c>
      <c r="C3471" s="1">
        <v>45739</v>
      </c>
      <c r="D3471">
        <v>2025</v>
      </c>
      <c r="E3471" t="s">
        <v>20</v>
      </c>
      <c r="F3471" t="s">
        <v>605</v>
      </c>
      <c r="G3471" t="s">
        <v>83</v>
      </c>
      <c r="H3471" t="s">
        <v>30</v>
      </c>
      <c r="I3471" t="s">
        <v>31</v>
      </c>
      <c r="J3471" t="s">
        <v>43</v>
      </c>
      <c r="K3471" t="s">
        <v>53</v>
      </c>
      <c r="L3471" t="s">
        <v>44</v>
      </c>
      <c r="M3471">
        <v>2</v>
      </c>
      <c r="N3471" s="2"/>
      <c r="O3471" s="3">
        <v>2680</v>
      </c>
      <c r="P3471">
        <v>0</v>
      </c>
      <c r="Q3471">
        <v>4</v>
      </c>
      <c r="R3471" t="s">
        <v>33</v>
      </c>
      <c r="S3471">
        <v>1</v>
      </c>
    </row>
    <row r="3472" spans="1:19" ht="16.5" x14ac:dyDescent="0.3">
      <c r="A3472" t="s">
        <v>3535</v>
      </c>
      <c r="B3472" s="1">
        <v>45737</v>
      </c>
      <c r="C3472" s="1">
        <v>45740</v>
      </c>
      <c r="D3472">
        <v>2025</v>
      </c>
      <c r="E3472" t="s">
        <v>20</v>
      </c>
      <c r="F3472" t="s">
        <v>605</v>
      </c>
      <c r="G3472" t="s">
        <v>83</v>
      </c>
      <c r="H3472" t="s">
        <v>35</v>
      </c>
      <c r="I3472" t="s">
        <v>24</v>
      </c>
      <c r="J3472" t="s">
        <v>25</v>
      </c>
      <c r="K3472" t="s">
        <v>32</v>
      </c>
      <c r="L3472" t="s">
        <v>27</v>
      </c>
      <c r="M3472">
        <v>3</v>
      </c>
      <c r="N3472" s="2">
        <v>33</v>
      </c>
      <c r="O3472" s="3">
        <v>2695</v>
      </c>
      <c r="P3472">
        <v>0</v>
      </c>
      <c r="Q3472">
        <v>5</v>
      </c>
      <c r="R3472" t="s">
        <v>33</v>
      </c>
      <c r="S3472">
        <v>1</v>
      </c>
    </row>
    <row r="3473" spans="1:19" ht="16.5" x14ac:dyDescent="0.3">
      <c r="A3473" t="s">
        <v>3536</v>
      </c>
      <c r="B3473" s="1">
        <v>45737</v>
      </c>
      <c r="C3473" s="1">
        <v>45741</v>
      </c>
      <c r="D3473">
        <v>2025</v>
      </c>
      <c r="E3473" t="s">
        <v>20</v>
      </c>
      <c r="F3473" t="s">
        <v>605</v>
      </c>
      <c r="G3473" t="s">
        <v>83</v>
      </c>
      <c r="H3473" t="s">
        <v>30</v>
      </c>
      <c r="I3473" t="s">
        <v>40</v>
      </c>
      <c r="J3473" t="s">
        <v>25</v>
      </c>
      <c r="K3473" t="s">
        <v>36</v>
      </c>
      <c r="L3473" t="s">
        <v>44</v>
      </c>
      <c r="M3473">
        <v>4</v>
      </c>
      <c r="N3473" s="2"/>
      <c r="O3473" s="3">
        <v>3930</v>
      </c>
      <c r="P3473">
        <v>0</v>
      </c>
      <c r="Q3473">
        <v>4</v>
      </c>
      <c r="R3473" t="s">
        <v>33</v>
      </c>
      <c r="S3473">
        <v>1</v>
      </c>
    </row>
    <row r="3474" spans="1:19" ht="16.5" x14ac:dyDescent="0.3">
      <c r="A3474" t="s">
        <v>3537</v>
      </c>
      <c r="B3474" s="1">
        <v>45737</v>
      </c>
      <c r="C3474" s="1">
        <v>45738</v>
      </c>
      <c r="D3474">
        <v>2025</v>
      </c>
      <c r="E3474" t="s">
        <v>20</v>
      </c>
      <c r="F3474" t="s">
        <v>605</v>
      </c>
      <c r="G3474" t="s">
        <v>83</v>
      </c>
      <c r="H3474" t="s">
        <v>23</v>
      </c>
      <c r="I3474" t="s">
        <v>24</v>
      </c>
      <c r="J3474" t="s">
        <v>25</v>
      </c>
      <c r="K3474" t="s">
        <v>26</v>
      </c>
      <c r="L3474" t="s">
        <v>27</v>
      </c>
      <c r="M3474">
        <v>1</v>
      </c>
      <c r="N3474" s="2">
        <v>85</v>
      </c>
      <c r="O3474" s="3">
        <v>1436</v>
      </c>
      <c r="P3474">
        <v>1</v>
      </c>
      <c r="Q3474">
        <v>4</v>
      </c>
      <c r="R3474" t="s">
        <v>33</v>
      </c>
      <c r="S3474">
        <v>1</v>
      </c>
    </row>
    <row r="3475" spans="1:19" ht="16.5" x14ac:dyDescent="0.3">
      <c r="A3475" t="s">
        <v>3538</v>
      </c>
      <c r="B3475" s="1">
        <v>45737</v>
      </c>
      <c r="C3475" s="1">
        <v>45738</v>
      </c>
      <c r="D3475">
        <v>2025</v>
      </c>
      <c r="E3475" t="s">
        <v>20</v>
      </c>
      <c r="F3475" t="s">
        <v>605</v>
      </c>
      <c r="G3475" t="s">
        <v>83</v>
      </c>
      <c r="H3475" t="s">
        <v>35</v>
      </c>
      <c r="I3475" t="s">
        <v>40</v>
      </c>
      <c r="J3475" t="s">
        <v>25</v>
      </c>
      <c r="K3475" t="s">
        <v>32</v>
      </c>
      <c r="L3475" t="s">
        <v>27</v>
      </c>
      <c r="M3475">
        <v>1</v>
      </c>
      <c r="N3475" s="2"/>
      <c r="O3475" s="3">
        <v>1329</v>
      </c>
      <c r="P3475">
        <v>0</v>
      </c>
      <c r="Q3475">
        <v>5</v>
      </c>
      <c r="R3475" t="s">
        <v>33</v>
      </c>
      <c r="S3475">
        <v>1</v>
      </c>
    </row>
    <row r="3476" spans="1:19" ht="16.5" x14ac:dyDescent="0.3">
      <c r="A3476" t="s">
        <v>3539</v>
      </c>
      <c r="B3476" s="1">
        <v>45737</v>
      </c>
      <c r="C3476" s="1">
        <v>45740</v>
      </c>
      <c r="D3476">
        <v>2025</v>
      </c>
      <c r="E3476" t="s">
        <v>20</v>
      </c>
      <c r="F3476" t="s">
        <v>605</v>
      </c>
      <c r="G3476" t="s">
        <v>83</v>
      </c>
      <c r="H3476" t="s">
        <v>52</v>
      </c>
      <c r="I3476" t="s">
        <v>31</v>
      </c>
      <c r="J3476" t="s">
        <v>25</v>
      </c>
      <c r="K3476" t="s">
        <v>32</v>
      </c>
      <c r="L3476" t="s">
        <v>27</v>
      </c>
      <c r="M3476">
        <v>3</v>
      </c>
      <c r="N3476" s="2"/>
      <c r="O3476" s="3">
        <v>3298</v>
      </c>
      <c r="P3476">
        <v>0</v>
      </c>
      <c r="Q3476">
        <v>4</v>
      </c>
      <c r="R3476" t="s">
        <v>33</v>
      </c>
      <c r="S3476">
        <v>1</v>
      </c>
    </row>
    <row r="3477" spans="1:19" ht="16.5" x14ac:dyDescent="0.3">
      <c r="A3477" t="s">
        <v>3540</v>
      </c>
      <c r="B3477" s="1">
        <v>45738</v>
      </c>
      <c r="C3477" s="1">
        <v>45741</v>
      </c>
      <c r="D3477">
        <v>2025</v>
      </c>
      <c r="E3477" t="s">
        <v>20</v>
      </c>
      <c r="F3477" t="s">
        <v>605</v>
      </c>
      <c r="G3477" t="s">
        <v>102</v>
      </c>
      <c r="H3477" t="s">
        <v>35</v>
      </c>
      <c r="I3477" t="s">
        <v>24</v>
      </c>
      <c r="J3477" t="s">
        <v>25</v>
      </c>
      <c r="K3477" t="s">
        <v>36</v>
      </c>
      <c r="L3477" t="s">
        <v>44</v>
      </c>
      <c r="M3477">
        <v>3</v>
      </c>
      <c r="N3477" s="2">
        <v>170</v>
      </c>
      <c r="O3477" s="3">
        <v>2824</v>
      </c>
      <c r="P3477">
        <v>0</v>
      </c>
      <c r="Q3477">
        <v>4</v>
      </c>
      <c r="R3477" t="s">
        <v>33</v>
      </c>
      <c r="S3477">
        <v>1</v>
      </c>
    </row>
    <row r="3478" spans="1:19" ht="16.5" x14ac:dyDescent="0.3">
      <c r="A3478" t="s">
        <v>3541</v>
      </c>
      <c r="B3478" s="1">
        <v>45738</v>
      </c>
      <c r="C3478" s="1">
        <v>45750</v>
      </c>
      <c r="D3478">
        <v>2025</v>
      </c>
      <c r="E3478" t="s">
        <v>20</v>
      </c>
      <c r="F3478" t="s">
        <v>605</v>
      </c>
      <c r="G3478" t="s">
        <v>102</v>
      </c>
      <c r="H3478" t="s">
        <v>23</v>
      </c>
      <c r="I3478" t="s">
        <v>24</v>
      </c>
      <c r="J3478" t="s">
        <v>43</v>
      </c>
      <c r="K3478" t="s">
        <v>32</v>
      </c>
      <c r="L3478" t="s">
        <v>44</v>
      </c>
      <c r="M3478">
        <v>12</v>
      </c>
      <c r="N3478" s="2">
        <v>17</v>
      </c>
      <c r="O3478" s="3">
        <v>8293</v>
      </c>
      <c r="P3478">
        <v>0</v>
      </c>
      <c r="Q3478">
        <v>4</v>
      </c>
      <c r="R3478" t="s">
        <v>33</v>
      </c>
      <c r="S3478">
        <v>1</v>
      </c>
    </row>
    <row r="3479" spans="1:19" ht="16.5" x14ac:dyDescent="0.3">
      <c r="A3479" t="s">
        <v>3542</v>
      </c>
      <c r="B3479" s="1">
        <v>45738</v>
      </c>
      <c r="C3479" s="1">
        <v>45740</v>
      </c>
      <c r="D3479">
        <v>2025</v>
      </c>
      <c r="E3479" t="s">
        <v>20</v>
      </c>
      <c r="F3479" t="s">
        <v>605</v>
      </c>
      <c r="G3479" t="s">
        <v>102</v>
      </c>
      <c r="H3479" t="s">
        <v>50</v>
      </c>
      <c r="I3479" t="s">
        <v>24</v>
      </c>
      <c r="J3479" t="s">
        <v>25</v>
      </c>
      <c r="K3479" t="s">
        <v>26</v>
      </c>
      <c r="L3479" t="s">
        <v>44</v>
      </c>
      <c r="M3479">
        <v>2</v>
      </c>
      <c r="N3479" s="2">
        <v>64</v>
      </c>
      <c r="O3479" s="3">
        <v>3349</v>
      </c>
      <c r="P3479">
        <v>0</v>
      </c>
      <c r="Q3479">
        <v>5</v>
      </c>
      <c r="R3479" t="s">
        <v>33</v>
      </c>
      <c r="S3479">
        <v>1</v>
      </c>
    </row>
    <row r="3480" spans="1:19" ht="16.5" x14ac:dyDescent="0.3">
      <c r="A3480" t="s">
        <v>3543</v>
      </c>
      <c r="B3480" s="1">
        <v>45738</v>
      </c>
      <c r="C3480" s="1">
        <v>45743</v>
      </c>
      <c r="D3480">
        <v>2025</v>
      </c>
      <c r="E3480" t="s">
        <v>20</v>
      </c>
      <c r="F3480" t="s">
        <v>605</v>
      </c>
      <c r="G3480" t="s">
        <v>102</v>
      </c>
      <c r="H3480" t="s">
        <v>35</v>
      </c>
      <c r="I3480" t="s">
        <v>24</v>
      </c>
      <c r="J3480" t="s">
        <v>25</v>
      </c>
      <c r="K3480" t="s">
        <v>32</v>
      </c>
      <c r="L3480" t="s">
        <v>27</v>
      </c>
      <c r="M3480">
        <v>5</v>
      </c>
      <c r="N3480" s="2">
        <v>37</v>
      </c>
      <c r="O3480" s="3">
        <v>3418</v>
      </c>
      <c r="P3480">
        <v>0</v>
      </c>
      <c r="Q3480">
        <v>5</v>
      </c>
      <c r="R3480" t="s">
        <v>28</v>
      </c>
      <c r="S3480">
        <v>1</v>
      </c>
    </row>
    <row r="3481" spans="1:19" ht="16.5" x14ac:dyDescent="0.3">
      <c r="A3481" t="s">
        <v>3544</v>
      </c>
      <c r="B3481" s="1">
        <v>45738</v>
      </c>
      <c r="C3481" s="1">
        <v>45741</v>
      </c>
      <c r="D3481">
        <v>2025</v>
      </c>
      <c r="E3481" t="s">
        <v>20</v>
      </c>
      <c r="F3481" t="s">
        <v>605</v>
      </c>
      <c r="G3481" t="s">
        <v>102</v>
      </c>
      <c r="H3481" t="s">
        <v>23</v>
      </c>
      <c r="I3481" t="s">
        <v>24</v>
      </c>
      <c r="J3481" t="s">
        <v>43</v>
      </c>
      <c r="K3481" t="s">
        <v>53</v>
      </c>
      <c r="L3481" t="s">
        <v>37</v>
      </c>
      <c r="M3481">
        <v>3</v>
      </c>
      <c r="N3481" s="2">
        <v>88</v>
      </c>
      <c r="O3481" s="3">
        <v>2437</v>
      </c>
      <c r="P3481">
        <v>0</v>
      </c>
      <c r="Q3481">
        <v>3</v>
      </c>
      <c r="R3481" t="s">
        <v>33</v>
      </c>
      <c r="S3481">
        <v>1</v>
      </c>
    </row>
    <row r="3482" spans="1:19" ht="16.5" x14ac:dyDescent="0.3">
      <c r="A3482" t="s">
        <v>3545</v>
      </c>
      <c r="B3482" s="1">
        <v>45738</v>
      </c>
      <c r="C3482" s="1">
        <v>45744</v>
      </c>
      <c r="D3482">
        <v>2025</v>
      </c>
      <c r="E3482" t="s">
        <v>20</v>
      </c>
      <c r="F3482" t="s">
        <v>605</v>
      </c>
      <c r="G3482" t="s">
        <v>102</v>
      </c>
      <c r="H3482" t="s">
        <v>35</v>
      </c>
      <c r="I3482" t="s">
        <v>24</v>
      </c>
      <c r="J3482" t="s">
        <v>25</v>
      </c>
      <c r="K3482" t="s">
        <v>32</v>
      </c>
      <c r="L3482" t="s">
        <v>27</v>
      </c>
      <c r="M3482">
        <v>6</v>
      </c>
      <c r="N3482" s="2">
        <v>46</v>
      </c>
      <c r="O3482" s="3">
        <v>4848</v>
      </c>
      <c r="P3482">
        <v>0</v>
      </c>
      <c r="Q3482">
        <v>5</v>
      </c>
      <c r="R3482" t="s">
        <v>33</v>
      </c>
      <c r="S3482">
        <v>1</v>
      </c>
    </row>
    <row r="3483" spans="1:19" ht="16.5" x14ac:dyDescent="0.3">
      <c r="A3483" t="s">
        <v>3546</v>
      </c>
      <c r="B3483" s="1">
        <v>45738</v>
      </c>
      <c r="C3483" s="1">
        <v>45742</v>
      </c>
      <c r="D3483">
        <v>2025</v>
      </c>
      <c r="E3483" t="s">
        <v>20</v>
      </c>
      <c r="F3483" t="s">
        <v>605</v>
      </c>
      <c r="G3483" t="s">
        <v>102</v>
      </c>
      <c r="H3483" t="s">
        <v>30</v>
      </c>
      <c r="I3483" t="s">
        <v>24</v>
      </c>
      <c r="J3483" t="s">
        <v>43</v>
      </c>
      <c r="K3483" t="s">
        <v>36</v>
      </c>
      <c r="L3483" t="s">
        <v>44</v>
      </c>
      <c r="M3483">
        <v>4</v>
      </c>
      <c r="N3483" s="2">
        <v>55</v>
      </c>
      <c r="O3483" s="3">
        <v>4858</v>
      </c>
      <c r="P3483">
        <v>0</v>
      </c>
      <c r="Q3483">
        <v>5</v>
      </c>
      <c r="R3483" t="s">
        <v>33</v>
      </c>
      <c r="S3483">
        <v>1</v>
      </c>
    </row>
    <row r="3484" spans="1:19" ht="16.5" x14ac:dyDescent="0.3">
      <c r="A3484" t="s">
        <v>3547</v>
      </c>
      <c r="B3484" s="1">
        <v>45738</v>
      </c>
      <c r="C3484" s="1">
        <v>45746</v>
      </c>
      <c r="D3484">
        <v>2025</v>
      </c>
      <c r="E3484" t="s">
        <v>20</v>
      </c>
      <c r="F3484" t="s">
        <v>605</v>
      </c>
      <c r="G3484" t="s">
        <v>102</v>
      </c>
      <c r="H3484" t="s">
        <v>23</v>
      </c>
      <c r="I3484" t="s">
        <v>24</v>
      </c>
      <c r="J3484" t="s">
        <v>43</v>
      </c>
      <c r="K3484" t="s">
        <v>26</v>
      </c>
      <c r="L3484" t="s">
        <v>44</v>
      </c>
      <c r="M3484">
        <v>8</v>
      </c>
      <c r="N3484" s="2">
        <v>58</v>
      </c>
      <c r="O3484" s="3">
        <v>5341</v>
      </c>
      <c r="P3484">
        <v>0</v>
      </c>
      <c r="Q3484">
        <v>5</v>
      </c>
      <c r="R3484" t="s">
        <v>33</v>
      </c>
      <c r="S3484">
        <v>1</v>
      </c>
    </row>
    <row r="3485" spans="1:19" ht="16.5" x14ac:dyDescent="0.3">
      <c r="A3485" t="s">
        <v>3548</v>
      </c>
      <c r="B3485" s="1">
        <v>45738</v>
      </c>
      <c r="C3485" s="1">
        <v>45740</v>
      </c>
      <c r="D3485">
        <v>2025</v>
      </c>
      <c r="E3485" t="s">
        <v>20</v>
      </c>
      <c r="F3485" t="s">
        <v>605</v>
      </c>
      <c r="G3485" t="s">
        <v>102</v>
      </c>
      <c r="H3485" t="s">
        <v>23</v>
      </c>
      <c r="I3485" t="s">
        <v>24</v>
      </c>
      <c r="J3485" t="s">
        <v>43</v>
      </c>
      <c r="K3485" t="s">
        <v>36</v>
      </c>
      <c r="L3485" t="s">
        <v>27</v>
      </c>
      <c r="M3485">
        <v>2</v>
      </c>
      <c r="N3485" s="2">
        <v>106</v>
      </c>
      <c r="O3485" s="3">
        <v>2129</v>
      </c>
      <c r="P3485">
        <v>1</v>
      </c>
      <c r="Q3485">
        <v>3</v>
      </c>
      <c r="R3485" t="s">
        <v>33</v>
      </c>
      <c r="S3485">
        <v>1</v>
      </c>
    </row>
    <row r="3486" spans="1:19" ht="16.5" x14ac:dyDescent="0.3">
      <c r="A3486" t="s">
        <v>3549</v>
      </c>
      <c r="B3486" s="1">
        <v>45738</v>
      </c>
      <c r="C3486" s="1">
        <v>45741</v>
      </c>
      <c r="D3486">
        <v>2025</v>
      </c>
      <c r="E3486" t="s">
        <v>20</v>
      </c>
      <c r="F3486" t="s">
        <v>605</v>
      </c>
      <c r="G3486" t="s">
        <v>102</v>
      </c>
      <c r="H3486" t="s">
        <v>35</v>
      </c>
      <c r="I3486" t="s">
        <v>24</v>
      </c>
      <c r="J3486" t="s">
        <v>25</v>
      </c>
      <c r="K3486" t="s">
        <v>36</v>
      </c>
      <c r="L3486" t="s">
        <v>37</v>
      </c>
      <c r="M3486">
        <v>3</v>
      </c>
      <c r="N3486" s="2">
        <v>20</v>
      </c>
      <c r="O3486" s="3">
        <v>3599</v>
      </c>
      <c r="P3486">
        <v>0</v>
      </c>
      <c r="Q3486">
        <v>5</v>
      </c>
      <c r="R3486" t="s">
        <v>33</v>
      </c>
      <c r="S3486">
        <v>1</v>
      </c>
    </row>
    <row r="3487" spans="1:19" ht="16.5" x14ac:dyDescent="0.3">
      <c r="A3487" t="s">
        <v>3550</v>
      </c>
      <c r="B3487" s="1">
        <v>45739</v>
      </c>
      <c r="C3487" s="1">
        <v>45740</v>
      </c>
      <c r="D3487">
        <v>2025</v>
      </c>
      <c r="E3487" t="s">
        <v>20</v>
      </c>
      <c r="F3487" t="s">
        <v>605</v>
      </c>
      <c r="G3487" t="s">
        <v>112</v>
      </c>
      <c r="H3487" t="s">
        <v>39</v>
      </c>
      <c r="I3487" t="s">
        <v>24</v>
      </c>
      <c r="J3487" t="s">
        <v>25</v>
      </c>
      <c r="K3487" t="s">
        <v>41</v>
      </c>
      <c r="L3487" t="s">
        <v>27</v>
      </c>
      <c r="M3487">
        <v>1</v>
      </c>
      <c r="N3487" s="2">
        <v>35</v>
      </c>
      <c r="O3487" s="3">
        <v>1791</v>
      </c>
      <c r="P3487">
        <v>0</v>
      </c>
      <c r="Q3487">
        <v>4</v>
      </c>
      <c r="R3487" t="s">
        <v>28</v>
      </c>
      <c r="S3487">
        <v>1</v>
      </c>
    </row>
    <row r="3488" spans="1:19" ht="16.5" x14ac:dyDescent="0.3">
      <c r="A3488" t="s">
        <v>3551</v>
      </c>
      <c r="B3488" s="1">
        <v>45739</v>
      </c>
      <c r="C3488" s="1">
        <v>45740</v>
      </c>
      <c r="D3488">
        <v>2025</v>
      </c>
      <c r="E3488" t="s">
        <v>20</v>
      </c>
      <c r="F3488" t="s">
        <v>605</v>
      </c>
      <c r="G3488" t="s">
        <v>112</v>
      </c>
      <c r="H3488" t="s">
        <v>39</v>
      </c>
      <c r="I3488" t="s">
        <v>24</v>
      </c>
      <c r="J3488" t="s">
        <v>43</v>
      </c>
      <c r="K3488" t="s">
        <v>41</v>
      </c>
      <c r="L3488" t="s">
        <v>44</v>
      </c>
      <c r="M3488">
        <v>1</v>
      </c>
      <c r="N3488" s="2">
        <v>48</v>
      </c>
      <c r="O3488" s="3">
        <v>1429</v>
      </c>
      <c r="P3488">
        <v>0</v>
      </c>
      <c r="Q3488">
        <v>4</v>
      </c>
      <c r="R3488" t="s">
        <v>33</v>
      </c>
      <c r="S3488">
        <v>1</v>
      </c>
    </row>
    <row r="3489" spans="1:19" ht="16.5" x14ac:dyDescent="0.3">
      <c r="A3489" t="s">
        <v>3552</v>
      </c>
      <c r="B3489" s="1">
        <v>45739</v>
      </c>
      <c r="C3489" s="1">
        <v>45746</v>
      </c>
      <c r="D3489">
        <v>2025</v>
      </c>
      <c r="E3489" t="s">
        <v>20</v>
      </c>
      <c r="F3489" t="s">
        <v>605</v>
      </c>
      <c r="G3489" t="s">
        <v>112</v>
      </c>
      <c r="H3489" t="s">
        <v>30</v>
      </c>
      <c r="I3489" t="s">
        <v>40</v>
      </c>
      <c r="J3489" t="s">
        <v>43</v>
      </c>
      <c r="K3489" t="s">
        <v>53</v>
      </c>
      <c r="L3489" t="s">
        <v>44</v>
      </c>
      <c r="M3489">
        <v>7</v>
      </c>
      <c r="N3489" s="2"/>
      <c r="O3489" s="3">
        <v>8475</v>
      </c>
      <c r="P3489">
        <v>0</v>
      </c>
      <c r="Q3489">
        <v>4</v>
      </c>
      <c r="R3489" t="s">
        <v>28</v>
      </c>
      <c r="S3489">
        <v>1</v>
      </c>
    </row>
    <row r="3490" spans="1:19" ht="16.5" x14ac:dyDescent="0.3">
      <c r="A3490" t="s">
        <v>3553</v>
      </c>
      <c r="B3490" s="1">
        <v>45739</v>
      </c>
      <c r="C3490" s="1">
        <v>45742</v>
      </c>
      <c r="D3490">
        <v>2025</v>
      </c>
      <c r="E3490" t="s">
        <v>20</v>
      </c>
      <c r="F3490" t="s">
        <v>605</v>
      </c>
      <c r="G3490" t="s">
        <v>112</v>
      </c>
      <c r="H3490" t="s">
        <v>50</v>
      </c>
      <c r="I3490" t="s">
        <v>24</v>
      </c>
      <c r="J3490" t="s">
        <v>25</v>
      </c>
      <c r="K3490" t="s">
        <v>53</v>
      </c>
      <c r="L3490" t="s">
        <v>27</v>
      </c>
      <c r="M3490">
        <v>3</v>
      </c>
      <c r="N3490" s="2">
        <v>18</v>
      </c>
      <c r="O3490" s="3">
        <v>5797</v>
      </c>
      <c r="P3490">
        <v>0</v>
      </c>
      <c r="Q3490">
        <v>4</v>
      </c>
      <c r="R3490" t="s">
        <v>28</v>
      </c>
      <c r="S3490">
        <v>1</v>
      </c>
    </row>
    <row r="3491" spans="1:19" ht="16.5" x14ac:dyDescent="0.3">
      <c r="A3491" t="s">
        <v>3554</v>
      </c>
      <c r="B3491" s="1">
        <v>45739</v>
      </c>
      <c r="C3491" s="1">
        <v>45740</v>
      </c>
      <c r="D3491">
        <v>2025</v>
      </c>
      <c r="E3491" t="s">
        <v>20</v>
      </c>
      <c r="F3491" t="s">
        <v>605</v>
      </c>
      <c r="G3491" t="s">
        <v>112</v>
      </c>
      <c r="H3491" t="s">
        <v>35</v>
      </c>
      <c r="I3491" t="s">
        <v>31</v>
      </c>
      <c r="J3491" t="s">
        <v>25</v>
      </c>
      <c r="K3491" t="s">
        <v>32</v>
      </c>
      <c r="L3491" t="s">
        <v>44</v>
      </c>
      <c r="M3491">
        <v>1</v>
      </c>
      <c r="N3491" s="2"/>
      <c r="O3491" s="3">
        <v>1437</v>
      </c>
      <c r="P3491">
        <v>0</v>
      </c>
      <c r="Q3491">
        <v>5</v>
      </c>
      <c r="R3491" t="s">
        <v>28</v>
      </c>
      <c r="S3491">
        <v>1</v>
      </c>
    </row>
    <row r="3492" spans="1:19" ht="16.5" x14ac:dyDescent="0.3">
      <c r="A3492" t="s">
        <v>3555</v>
      </c>
      <c r="B3492" s="1">
        <v>45739</v>
      </c>
      <c r="C3492" s="1">
        <v>45741</v>
      </c>
      <c r="D3492">
        <v>2025</v>
      </c>
      <c r="E3492" t="s">
        <v>20</v>
      </c>
      <c r="F3492" t="s">
        <v>605</v>
      </c>
      <c r="G3492" t="s">
        <v>112</v>
      </c>
      <c r="H3492" t="s">
        <v>39</v>
      </c>
      <c r="I3492" t="s">
        <v>31</v>
      </c>
      <c r="J3492" t="s">
        <v>43</v>
      </c>
      <c r="K3492" t="s">
        <v>41</v>
      </c>
      <c r="L3492" t="s">
        <v>27</v>
      </c>
      <c r="M3492">
        <v>2</v>
      </c>
      <c r="N3492" s="2"/>
      <c r="O3492" s="3">
        <v>2453</v>
      </c>
      <c r="P3492">
        <v>0</v>
      </c>
      <c r="Q3492">
        <v>5</v>
      </c>
      <c r="R3492" t="s">
        <v>33</v>
      </c>
      <c r="S3492">
        <v>1</v>
      </c>
    </row>
    <row r="3493" spans="1:19" ht="16.5" x14ac:dyDescent="0.3">
      <c r="A3493" t="s">
        <v>3556</v>
      </c>
      <c r="B3493" s="1">
        <v>45739</v>
      </c>
      <c r="C3493" s="1">
        <v>45743</v>
      </c>
      <c r="D3493">
        <v>2025</v>
      </c>
      <c r="E3493" t="s">
        <v>20</v>
      </c>
      <c r="F3493" t="s">
        <v>605</v>
      </c>
      <c r="G3493" t="s">
        <v>112</v>
      </c>
      <c r="H3493" t="s">
        <v>30</v>
      </c>
      <c r="I3493" t="s">
        <v>40</v>
      </c>
      <c r="J3493" t="s">
        <v>43</v>
      </c>
      <c r="K3493" t="s">
        <v>53</v>
      </c>
      <c r="L3493" t="s">
        <v>44</v>
      </c>
      <c r="M3493">
        <v>4</v>
      </c>
      <c r="N3493" s="2"/>
      <c r="O3493" s="3">
        <v>4847</v>
      </c>
      <c r="P3493">
        <v>0</v>
      </c>
      <c r="Q3493">
        <v>5</v>
      </c>
      <c r="R3493" t="s">
        <v>33</v>
      </c>
      <c r="S3493">
        <v>1</v>
      </c>
    </row>
    <row r="3494" spans="1:19" ht="16.5" x14ac:dyDescent="0.3">
      <c r="A3494" t="s">
        <v>3557</v>
      </c>
      <c r="B3494" s="1">
        <v>45739</v>
      </c>
      <c r="C3494" s="1">
        <v>45741</v>
      </c>
      <c r="D3494">
        <v>2025</v>
      </c>
      <c r="E3494" t="s">
        <v>20</v>
      </c>
      <c r="F3494" t="s">
        <v>605</v>
      </c>
      <c r="G3494" t="s">
        <v>112</v>
      </c>
      <c r="H3494" t="s">
        <v>39</v>
      </c>
      <c r="I3494" t="s">
        <v>40</v>
      </c>
      <c r="J3494" t="s">
        <v>43</v>
      </c>
      <c r="K3494" t="s">
        <v>41</v>
      </c>
      <c r="L3494" t="s">
        <v>44</v>
      </c>
      <c r="M3494">
        <v>2</v>
      </c>
      <c r="N3494" s="2"/>
      <c r="O3494" s="3">
        <v>1562</v>
      </c>
      <c r="P3494">
        <v>0</v>
      </c>
      <c r="Q3494">
        <v>5</v>
      </c>
      <c r="R3494" t="s">
        <v>28</v>
      </c>
      <c r="S3494">
        <v>1</v>
      </c>
    </row>
    <row r="3495" spans="1:19" ht="16.5" x14ac:dyDescent="0.3">
      <c r="A3495" t="s">
        <v>3558</v>
      </c>
      <c r="B3495" s="1">
        <v>45740</v>
      </c>
      <c r="C3495" s="1">
        <v>45741</v>
      </c>
      <c r="D3495">
        <v>2025</v>
      </c>
      <c r="E3495" t="s">
        <v>20</v>
      </c>
      <c r="F3495" t="s">
        <v>605</v>
      </c>
      <c r="G3495" t="s">
        <v>22</v>
      </c>
      <c r="H3495" t="s">
        <v>30</v>
      </c>
      <c r="I3495" t="s">
        <v>40</v>
      </c>
      <c r="J3495" t="s">
        <v>25</v>
      </c>
      <c r="K3495" t="s">
        <v>26</v>
      </c>
      <c r="L3495" t="s">
        <v>44</v>
      </c>
      <c r="M3495">
        <v>1</v>
      </c>
      <c r="N3495" s="2"/>
      <c r="O3495" s="3">
        <v>2128</v>
      </c>
      <c r="P3495">
        <v>0</v>
      </c>
      <c r="Q3495">
        <v>5</v>
      </c>
      <c r="R3495" t="s">
        <v>33</v>
      </c>
      <c r="S3495">
        <v>1</v>
      </c>
    </row>
    <row r="3496" spans="1:19" ht="16.5" x14ac:dyDescent="0.3">
      <c r="A3496" t="s">
        <v>3559</v>
      </c>
      <c r="B3496" s="1">
        <v>45740</v>
      </c>
      <c r="C3496" s="1">
        <v>45753</v>
      </c>
      <c r="D3496">
        <v>2025</v>
      </c>
      <c r="E3496" t="s">
        <v>20</v>
      </c>
      <c r="F3496" t="s">
        <v>605</v>
      </c>
      <c r="G3496" t="s">
        <v>22</v>
      </c>
      <c r="H3496" t="s">
        <v>23</v>
      </c>
      <c r="I3496" t="s">
        <v>24</v>
      </c>
      <c r="J3496" t="s">
        <v>25</v>
      </c>
      <c r="K3496" t="s">
        <v>36</v>
      </c>
      <c r="L3496" t="s">
        <v>44</v>
      </c>
      <c r="M3496">
        <v>13</v>
      </c>
      <c r="N3496" s="2">
        <v>20</v>
      </c>
      <c r="O3496" s="3">
        <v>8752</v>
      </c>
      <c r="P3496">
        <v>1</v>
      </c>
      <c r="Q3496">
        <v>4</v>
      </c>
      <c r="R3496" t="s">
        <v>33</v>
      </c>
      <c r="S3496">
        <v>1</v>
      </c>
    </row>
    <row r="3497" spans="1:19" ht="16.5" x14ac:dyDescent="0.3">
      <c r="A3497" t="s">
        <v>3560</v>
      </c>
      <c r="B3497" s="1">
        <v>45740</v>
      </c>
      <c r="C3497" s="1">
        <v>45742</v>
      </c>
      <c r="D3497">
        <v>2025</v>
      </c>
      <c r="E3497" t="s">
        <v>20</v>
      </c>
      <c r="F3497" t="s">
        <v>605</v>
      </c>
      <c r="G3497" t="s">
        <v>22</v>
      </c>
      <c r="H3497" t="s">
        <v>50</v>
      </c>
      <c r="I3497" t="s">
        <v>40</v>
      </c>
      <c r="J3497" t="s">
        <v>25</v>
      </c>
      <c r="K3497" t="s">
        <v>53</v>
      </c>
      <c r="L3497" t="s">
        <v>27</v>
      </c>
      <c r="M3497">
        <v>2</v>
      </c>
      <c r="N3497" s="2"/>
      <c r="O3497" s="3">
        <v>3184</v>
      </c>
      <c r="P3497">
        <v>0</v>
      </c>
      <c r="Q3497">
        <v>5</v>
      </c>
      <c r="R3497" t="s">
        <v>28</v>
      </c>
      <c r="S3497">
        <v>1</v>
      </c>
    </row>
    <row r="3498" spans="1:19" ht="16.5" x14ac:dyDescent="0.3">
      <c r="A3498" t="s">
        <v>3561</v>
      </c>
      <c r="B3498" s="1">
        <v>45740</v>
      </c>
      <c r="C3498" s="1">
        <v>45746</v>
      </c>
      <c r="D3498">
        <v>2025</v>
      </c>
      <c r="E3498" t="s">
        <v>20</v>
      </c>
      <c r="F3498" t="s">
        <v>605</v>
      </c>
      <c r="G3498" t="s">
        <v>22</v>
      </c>
      <c r="H3498" t="s">
        <v>30</v>
      </c>
      <c r="I3498" t="s">
        <v>40</v>
      </c>
      <c r="J3498" t="s">
        <v>25</v>
      </c>
      <c r="K3498" t="s">
        <v>26</v>
      </c>
      <c r="L3498" t="s">
        <v>44</v>
      </c>
      <c r="M3498">
        <v>6</v>
      </c>
      <c r="N3498" s="2"/>
      <c r="O3498" s="3">
        <v>6455</v>
      </c>
      <c r="P3498">
        <v>1</v>
      </c>
      <c r="Q3498">
        <v>3</v>
      </c>
      <c r="R3498" t="s">
        <v>33</v>
      </c>
      <c r="S3498">
        <v>1</v>
      </c>
    </row>
    <row r="3499" spans="1:19" ht="16.5" x14ac:dyDescent="0.3">
      <c r="A3499" t="s">
        <v>3562</v>
      </c>
      <c r="B3499" s="1">
        <v>45740</v>
      </c>
      <c r="C3499" s="1">
        <v>45743</v>
      </c>
      <c r="D3499">
        <v>2025</v>
      </c>
      <c r="E3499" t="s">
        <v>20</v>
      </c>
      <c r="F3499" t="s">
        <v>605</v>
      </c>
      <c r="G3499" t="s">
        <v>22</v>
      </c>
      <c r="H3499" t="s">
        <v>50</v>
      </c>
      <c r="I3499" t="s">
        <v>24</v>
      </c>
      <c r="J3499" t="s">
        <v>43</v>
      </c>
      <c r="K3499" t="s">
        <v>36</v>
      </c>
      <c r="L3499" t="s">
        <v>44</v>
      </c>
      <c r="M3499">
        <v>3</v>
      </c>
      <c r="N3499" s="2">
        <v>46</v>
      </c>
      <c r="O3499" s="3">
        <v>4600</v>
      </c>
      <c r="P3499">
        <v>0</v>
      </c>
      <c r="Q3499">
        <v>3</v>
      </c>
      <c r="R3499" t="s">
        <v>28</v>
      </c>
      <c r="S3499">
        <v>1</v>
      </c>
    </row>
    <row r="3500" spans="1:19" ht="16.5" x14ac:dyDescent="0.3">
      <c r="A3500" t="s">
        <v>3563</v>
      </c>
      <c r="B3500" s="1">
        <v>45740</v>
      </c>
      <c r="C3500" s="1">
        <v>45742</v>
      </c>
      <c r="D3500">
        <v>2025</v>
      </c>
      <c r="E3500" t="s">
        <v>20</v>
      </c>
      <c r="F3500" t="s">
        <v>605</v>
      </c>
      <c r="G3500" t="s">
        <v>22</v>
      </c>
      <c r="H3500" t="s">
        <v>30</v>
      </c>
      <c r="I3500" t="s">
        <v>40</v>
      </c>
      <c r="J3500" t="s">
        <v>43</v>
      </c>
      <c r="K3500" t="s">
        <v>26</v>
      </c>
      <c r="L3500" t="s">
        <v>44</v>
      </c>
      <c r="M3500">
        <v>2</v>
      </c>
      <c r="N3500" s="2"/>
      <c r="O3500" s="3">
        <v>2238</v>
      </c>
      <c r="P3500">
        <v>1</v>
      </c>
      <c r="Q3500">
        <v>4</v>
      </c>
      <c r="R3500" t="s">
        <v>28</v>
      </c>
      <c r="S3500">
        <v>1</v>
      </c>
    </row>
    <row r="3501" spans="1:19" ht="16.5" x14ac:dyDescent="0.3">
      <c r="A3501" t="s">
        <v>3564</v>
      </c>
      <c r="B3501" s="1">
        <v>45740</v>
      </c>
      <c r="C3501" s="1">
        <v>45743</v>
      </c>
      <c r="D3501">
        <v>2025</v>
      </c>
      <c r="E3501" t="s">
        <v>20</v>
      </c>
      <c r="F3501" t="s">
        <v>605</v>
      </c>
      <c r="G3501" t="s">
        <v>22</v>
      </c>
      <c r="H3501" t="s">
        <v>23</v>
      </c>
      <c r="I3501" t="s">
        <v>24</v>
      </c>
      <c r="J3501" t="s">
        <v>43</v>
      </c>
      <c r="K3501" t="s">
        <v>26</v>
      </c>
      <c r="L3501" t="s">
        <v>44</v>
      </c>
      <c r="M3501">
        <v>3</v>
      </c>
      <c r="N3501" s="2">
        <v>89</v>
      </c>
      <c r="O3501" s="3">
        <v>2722</v>
      </c>
      <c r="P3501">
        <v>0</v>
      </c>
      <c r="Q3501">
        <v>5</v>
      </c>
      <c r="R3501" t="s">
        <v>165</v>
      </c>
      <c r="S3501">
        <v>1</v>
      </c>
    </row>
    <row r="3502" spans="1:19" ht="16.5" x14ac:dyDescent="0.3">
      <c r="A3502" t="s">
        <v>3565</v>
      </c>
      <c r="B3502" s="1">
        <v>45740</v>
      </c>
      <c r="C3502" s="1">
        <v>45751</v>
      </c>
      <c r="D3502">
        <v>2025</v>
      </c>
      <c r="E3502" t="s">
        <v>20</v>
      </c>
      <c r="F3502" t="s">
        <v>605</v>
      </c>
      <c r="G3502" t="s">
        <v>22</v>
      </c>
      <c r="H3502" t="s">
        <v>30</v>
      </c>
      <c r="I3502" t="s">
        <v>24</v>
      </c>
      <c r="J3502" t="s">
        <v>43</v>
      </c>
      <c r="K3502" t="s">
        <v>26</v>
      </c>
      <c r="L3502" t="s">
        <v>27</v>
      </c>
      <c r="M3502">
        <v>11</v>
      </c>
      <c r="N3502" s="2">
        <v>53</v>
      </c>
      <c r="O3502" s="3">
        <v>11552</v>
      </c>
      <c r="P3502">
        <v>0</v>
      </c>
      <c r="Q3502">
        <v>5</v>
      </c>
      <c r="R3502" t="s">
        <v>33</v>
      </c>
      <c r="S3502">
        <v>1</v>
      </c>
    </row>
    <row r="3503" spans="1:19" ht="16.5" x14ac:dyDescent="0.3">
      <c r="A3503" t="s">
        <v>3566</v>
      </c>
      <c r="B3503" s="1">
        <v>45740</v>
      </c>
      <c r="C3503" s="1">
        <v>45743</v>
      </c>
      <c r="D3503">
        <v>2025</v>
      </c>
      <c r="E3503" t="s">
        <v>20</v>
      </c>
      <c r="F3503" t="s">
        <v>605</v>
      </c>
      <c r="G3503" t="s">
        <v>22</v>
      </c>
      <c r="H3503" t="s">
        <v>50</v>
      </c>
      <c r="I3503" t="s">
        <v>24</v>
      </c>
      <c r="J3503" t="s">
        <v>25</v>
      </c>
      <c r="K3503" t="s">
        <v>36</v>
      </c>
      <c r="L3503" t="s">
        <v>44</v>
      </c>
      <c r="M3503">
        <v>3</v>
      </c>
      <c r="N3503" s="2">
        <v>42</v>
      </c>
      <c r="O3503" s="3">
        <v>4304</v>
      </c>
      <c r="P3503">
        <v>0</v>
      </c>
      <c r="Q3503">
        <v>4</v>
      </c>
      <c r="R3503" t="s">
        <v>28</v>
      </c>
      <c r="S3503">
        <v>1</v>
      </c>
    </row>
    <row r="3504" spans="1:19" ht="16.5" x14ac:dyDescent="0.3">
      <c r="A3504" t="s">
        <v>3567</v>
      </c>
      <c r="B3504" s="1">
        <v>45740</v>
      </c>
      <c r="C3504" s="1">
        <v>45757</v>
      </c>
      <c r="D3504">
        <v>2025</v>
      </c>
      <c r="E3504" t="s">
        <v>20</v>
      </c>
      <c r="F3504" t="s">
        <v>605</v>
      </c>
      <c r="G3504" t="s">
        <v>22</v>
      </c>
      <c r="H3504" t="s">
        <v>23</v>
      </c>
      <c r="I3504" t="s">
        <v>24</v>
      </c>
      <c r="J3504" t="s">
        <v>25</v>
      </c>
      <c r="K3504" t="s">
        <v>26</v>
      </c>
      <c r="L3504" t="s">
        <v>44</v>
      </c>
      <c r="M3504">
        <v>17</v>
      </c>
      <c r="N3504" s="2">
        <v>57</v>
      </c>
      <c r="O3504" s="3">
        <v>10619</v>
      </c>
      <c r="P3504">
        <v>0</v>
      </c>
      <c r="Q3504">
        <v>4</v>
      </c>
      <c r="R3504" t="s">
        <v>28</v>
      </c>
      <c r="S3504">
        <v>1</v>
      </c>
    </row>
    <row r="3505" spans="1:19" ht="16.5" x14ac:dyDescent="0.3">
      <c r="A3505" t="s">
        <v>3568</v>
      </c>
      <c r="B3505" s="1">
        <v>45740</v>
      </c>
      <c r="C3505" s="1">
        <v>45747</v>
      </c>
      <c r="D3505">
        <v>2025</v>
      </c>
      <c r="E3505" t="s">
        <v>20</v>
      </c>
      <c r="F3505" t="s">
        <v>605</v>
      </c>
      <c r="G3505" t="s">
        <v>22</v>
      </c>
      <c r="H3505" t="s">
        <v>39</v>
      </c>
      <c r="I3505" t="s">
        <v>40</v>
      </c>
      <c r="J3505" t="s">
        <v>25</v>
      </c>
      <c r="K3505" t="s">
        <v>41</v>
      </c>
      <c r="L3505" t="s">
        <v>27</v>
      </c>
      <c r="M3505">
        <v>7</v>
      </c>
      <c r="N3505" s="2"/>
      <c r="O3505" s="3">
        <v>4046</v>
      </c>
      <c r="P3505">
        <v>0</v>
      </c>
      <c r="Q3505">
        <v>4</v>
      </c>
      <c r="R3505" t="s">
        <v>28</v>
      </c>
      <c r="S3505">
        <v>1</v>
      </c>
    </row>
    <row r="3506" spans="1:19" ht="16.5" x14ac:dyDescent="0.3">
      <c r="A3506" t="s">
        <v>3569</v>
      </c>
      <c r="B3506" s="1">
        <v>45741</v>
      </c>
      <c r="C3506" s="1">
        <v>45747</v>
      </c>
      <c r="D3506">
        <v>2025</v>
      </c>
      <c r="E3506" t="s">
        <v>20</v>
      </c>
      <c r="F3506" t="s">
        <v>605</v>
      </c>
      <c r="G3506" t="s">
        <v>56</v>
      </c>
      <c r="H3506" t="s">
        <v>35</v>
      </c>
      <c r="I3506" t="s">
        <v>24</v>
      </c>
      <c r="J3506" t="s">
        <v>25</v>
      </c>
      <c r="K3506" t="s">
        <v>32</v>
      </c>
      <c r="L3506" t="s">
        <v>27</v>
      </c>
      <c r="M3506">
        <v>6</v>
      </c>
      <c r="N3506" s="2">
        <v>78</v>
      </c>
      <c r="O3506" s="3">
        <v>5779</v>
      </c>
      <c r="P3506">
        <v>0</v>
      </c>
      <c r="Q3506">
        <v>4</v>
      </c>
      <c r="R3506" t="s">
        <v>28</v>
      </c>
      <c r="S3506">
        <v>1</v>
      </c>
    </row>
    <row r="3507" spans="1:19" ht="16.5" x14ac:dyDescent="0.3">
      <c r="A3507" t="s">
        <v>3570</v>
      </c>
      <c r="B3507" s="1">
        <v>45741</v>
      </c>
      <c r="C3507" s="1">
        <v>45745</v>
      </c>
      <c r="D3507">
        <v>2025</v>
      </c>
      <c r="E3507" t="s">
        <v>20</v>
      </c>
      <c r="F3507" t="s">
        <v>605</v>
      </c>
      <c r="G3507" t="s">
        <v>56</v>
      </c>
      <c r="H3507" t="s">
        <v>23</v>
      </c>
      <c r="I3507" t="s">
        <v>24</v>
      </c>
      <c r="J3507" t="s">
        <v>25</v>
      </c>
      <c r="K3507" t="s">
        <v>32</v>
      </c>
      <c r="L3507" t="s">
        <v>27</v>
      </c>
      <c r="M3507">
        <v>4</v>
      </c>
      <c r="N3507" s="2">
        <v>29</v>
      </c>
      <c r="O3507" s="3">
        <v>2654</v>
      </c>
      <c r="P3507">
        <v>0</v>
      </c>
      <c r="Q3507">
        <v>4</v>
      </c>
      <c r="R3507" t="s">
        <v>33</v>
      </c>
      <c r="S3507">
        <v>1</v>
      </c>
    </row>
    <row r="3508" spans="1:19" ht="16.5" x14ac:dyDescent="0.3">
      <c r="A3508" t="s">
        <v>3571</v>
      </c>
      <c r="B3508" s="1">
        <v>45741</v>
      </c>
      <c r="C3508" s="1">
        <v>45743</v>
      </c>
      <c r="D3508">
        <v>2025</v>
      </c>
      <c r="E3508" t="s">
        <v>20</v>
      </c>
      <c r="F3508" t="s">
        <v>605</v>
      </c>
      <c r="G3508" t="s">
        <v>56</v>
      </c>
      <c r="H3508" t="s">
        <v>23</v>
      </c>
      <c r="I3508" t="s">
        <v>24</v>
      </c>
      <c r="J3508" t="s">
        <v>25</v>
      </c>
      <c r="K3508" t="s">
        <v>53</v>
      </c>
      <c r="L3508" t="s">
        <v>37</v>
      </c>
      <c r="M3508">
        <v>2</v>
      </c>
      <c r="N3508" s="2">
        <v>34</v>
      </c>
      <c r="O3508" s="3">
        <v>2446</v>
      </c>
      <c r="P3508">
        <v>0</v>
      </c>
      <c r="Q3508">
        <v>4</v>
      </c>
      <c r="R3508" t="s">
        <v>33</v>
      </c>
      <c r="S3508">
        <v>1</v>
      </c>
    </row>
    <row r="3509" spans="1:19" ht="16.5" x14ac:dyDescent="0.3">
      <c r="A3509" t="s">
        <v>3572</v>
      </c>
      <c r="B3509" s="1">
        <v>45741</v>
      </c>
      <c r="C3509" s="1">
        <v>45746</v>
      </c>
      <c r="D3509">
        <v>2025</v>
      </c>
      <c r="E3509" t="s">
        <v>20</v>
      </c>
      <c r="F3509" t="s">
        <v>605</v>
      </c>
      <c r="G3509" t="s">
        <v>56</v>
      </c>
      <c r="H3509" t="s">
        <v>23</v>
      </c>
      <c r="I3509" t="s">
        <v>24</v>
      </c>
      <c r="J3509" t="s">
        <v>25</v>
      </c>
      <c r="K3509" t="s">
        <v>32</v>
      </c>
      <c r="L3509" t="s">
        <v>27</v>
      </c>
      <c r="M3509">
        <v>5</v>
      </c>
      <c r="N3509" s="2">
        <v>66</v>
      </c>
      <c r="O3509" s="3">
        <v>3506</v>
      </c>
      <c r="P3509">
        <v>0</v>
      </c>
      <c r="Q3509">
        <v>3</v>
      </c>
      <c r="R3509" t="s">
        <v>28</v>
      </c>
      <c r="S3509">
        <v>1</v>
      </c>
    </row>
    <row r="3510" spans="1:19" ht="16.5" x14ac:dyDescent="0.3">
      <c r="A3510" t="s">
        <v>3573</v>
      </c>
      <c r="B3510" s="1">
        <v>45741</v>
      </c>
      <c r="C3510" s="1">
        <v>45744</v>
      </c>
      <c r="D3510">
        <v>2025</v>
      </c>
      <c r="E3510" t="s">
        <v>20</v>
      </c>
      <c r="F3510" t="s">
        <v>605</v>
      </c>
      <c r="G3510" t="s">
        <v>56</v>
      </c>
      <c r="H3510" t="s">
        <v>35</v>
      </c>
      <c r="I3510" t="s">
        <v>40</v>
      </c>
      <c r="J3510" t="s">
        <v>25</v>
      </c>
      <c r="K3510" t="s">
        <v>36</v>
      </c>
      <c r="L3510" t="s">
        <v>27</v>
      </c>
      <c r="M3510">
        <v>3</v>
      </c>
      <c r="N3510" s="2"/>
      <c r="O3510" s="3">
        <v>2651</v>
      </c>
      <c r="P3510">
        <v>0</v>
      </c>
      <c r="Q3510">
        <v>5</v>
      </c>
      <c r="R3510" t="s">
        <v>28</v>
      </c>
      <c r="S3510">
        <v>1</v>
      </c>
    </row>
    <row r="3511" spans="1:19" ht="16.5" x14ac:dyDescent="0.3">
      <c r="A3511" t="s">
        <v>3574</v>
      </c>
      <c r="B3511" s="1">
        <v>45741</v>
      </c>
      <c r="C3511" s="1">
        <v>45742</v>
      </c>
      <c r="D3511">
        <v>2025</v>
      </c>
      <c r="E3511" t="s">
        <v>20</v>
      </c>
      <c r="F3511" t="s">
        <v>605</v>
      </c>
      <c r="G3511" t="s">
        <v>56</v>
      </c>
      <c r="H3511" t="s">
        <v>50</v>
      </c>
      <c r="I3511" t="s">
        <v>31</v>
      </c>
      <c r="J3511" t="s">
        <v>25</v>
      </c>
      <c r="K3511" t="s">
        <v>53</v>
      </c>
      <c r="L3511" t="s">
        <v>27</v>
      </c>
      <c r="M3511">
        <v>1</v>
      </c>
      <c r="N3511" s="2"/>
      <c r="O3511" s="3">
        <v>2079</v>
      </c>
      <c r="P3511">
        <v>0</v>
      </c>
      <c r="Q3511">
        <v>4</v>
      </c>
      <c r="R3511" t="s">
        <v>28</v>
      </c>
      <c r="S3511">
        <v>1</v>
      </c>
    </row>
    <row r="3512" spans="1:19" ht="16.5" x14ac:dyDescent="0.3">
      <c r="A3512" t="s">
        <v>3575</v>
      </c>
      <c r="B3512" s="1">
        <v>45742</v>
      </c>
      <c r="C3512" s="1">
        <v>45751</v>
      </c>
      <c r="D3512">
        <v>2025</v>
      </c>
      <c r="E3512" t="s">
        <v>20</v>
      </c>
      <c r="F3512" t="s">
        <v>605</v>
      </c>
      <c r="G3512" t="s">
        <v>70</v>
      </c>
      <c r="H3512" t="s">
        <v>30</v>
      </c>
      <c r="I3512" t="s">
        <v>40</v>
      </c>
      <c r="J3512" t="s">
        <v>25</v>
      </c>
      <c r="K3512" t="s">
        <v>53</v>
      </c>
      <c r="L3512" t="s">
        <v>37</v>
      </c>
      <c r="M3512">
        <v>9</v>
      </c>
      <c r="N3512" s="2"/>
      <c r="O3512" s="3">
        <v>9733</v>
      </c>
      <c r="P3512">
        <v>0</v>
      </c>
      <c r="Q3512">
        <v>3</v>
      </c>
      <c r="R3512" t="s">
        <v>33</v>
      </c>
      <c r="S3512">
        <v>1</v>
      </c>
    </row>
    <row r="3513" spans="1:19" ht="16.5" x14ac:dyDescent="0.3">
      <c r="A3513" t="s">
        <v>3576</v>
      </c>
      <c r="B3513" s="1">
        <v>45742</v>
      </c>
      <c r="C3513" s="1">
        <v>45746</v>
      </c>
      <c r="D3513">
        <v>2025</v>
      </c>
      <c r="E3513" t="s">
        <v>20</v>
      </c>
      <c r="F3513" t="s">
        <v>605</v>
      </c>
      <c r="G3513" t="s">
        <v>70</v>
      </c>
      <c r="H3513" t="s">
        <v>50</v>
      </c>
      <c r="I3513" t="s">
        <v>24</v>
      </c>
      <c r="J3513" t="s">
        <v>25</v>
      </c>
      <c r="K3513" t="s">
        <v>36</v>
      </c>
      <c r="L3513" t="s">
        <v>27</v>
      </c>
      <c r="M3513">
        <v>4</v>
      </c>
      <c r="N3513" s="2">
        <v>82</v>
      </c>
      <c r="O3513" s="3">
        <v>5314</v>
      </c>
      <c r="P3513">
        <v>0</v>
      </c>
      <c r="Q3513">
        <v>4</v>
      </c>
      <c r="R3513" t="s">
        <v>33</v>
      </c>
      <c r="S3513">
        <v>1</v>
      </c>
    </row>
    <row r="3514" spans="1:19" ht="16.5" x14ac:dyDescent="0.3">
      <c r="A3514" t="s">
        <v>3577</v>
      </c>
      <c r="B3514" s="1">
        <v>45743</v>
      </c>
      <c r="C3514" s="1">
        <v>45749</v>
      </c>
      <c r="D3514">
        <v>2025</v>
      </c>
      <c r="E3514" t="s">
        <v>20</v>
      </c>
      <c r="F3514" t="s">
        <v>605</v>
      </c>
      <c r="G3514" t="s">
        <v>78</v>
      </c>
      <c r="H3514" t="s">
        <v>52</v>
      </c>
      <c r="I3514" t="s">
        <v>24</v>
      </c>
      <c r="J3514" t="s">
        <v>25</v>
      </c>
      <c r="K3514" t="s">
        <v>53</v>
      </c>
      <c r="L3514" t="s">
        <v>37</v>
      </c>
      <c r="M3514">
        <v>6</v>
      </c>
      <c r="N3514" s="2">
        <v>24</v>
      </c>
      <c r="O3514" s="3">
        <v>5405</v>
      </c>
      <c r="P3514">
        <v>0</v>
      </c>
      <c r="Q3514">
        <v>4</v>
      </c>
      <c r="R3514" t="s">
        <v>28</v>
      </c>
      <c r="S3514">
        <v>1</v>
      </c>
    </row>
    <row r="3515" spans="1:19" ht="16.5" x14ac:dyDescent="0.3">
      <c r="A3515" t="s">
        <v>3578</v>
      </c>
      <c r="B3515" s="1">
        <v>45743</v>
      </c>
      <c r="C3515" s="1">
        <v>45744</v>
      </c>
      <c r="D3515">
        <v>2025</v>
      </c>
      <c r="E3515" t="s">
        <v>20</v>
      </c>
      <c r="F3515" t="s">
        <v>605</v>
      </c>
      <c r="G3515" t="s">
        <v>78</v>
      </c>
      <c r="H3515" t="s">
        <v>30</v>
      </c>
      <c r="I3515" t="s">
        <v>40</v>
      </c>
      <c r="J3515" t="s">
        <v>25</v>
      </c>
      <c r="K3515" t="s">
        <v>53</v>
      </c>
      <c r="L3515" t="s">
        <v>27</v>
      </c>
      <c r="M3515">
        <v>1</v>
      </c>
      <c r="N3515" s="2"/>
      <c r="O3515" s="3">
        <v>1739</v>
      </c>
      <c r="P3515">
        <v>0</v>
      </c>
      <c r="Q3515">
        <v>3</v>
      </c>
      <c r="R3515" t="s">
        <v>33</v>
      </c>
      <c r="S3515">
        <v>1</v>
      </c>
    </row>
    <row r="3516" spans="1:19" ht="16.5" x14ac:dyDescent="0.3">
      <c r="A3516" t="s">
        <v>3579</v>
      </c>
      <c r="B3516" s="1">
        <v>45743</v>
      </c>
      <c r="C3516" s="1">
        <v>45755</v>
      </c>
      <c r="D3516">
        <v>2025</v>
      </c>
      <c r="E3516" t="s">
        <v>20</v>
      </c>
      <c r="F3516" t="s">
        <v>605</v>
      </c>
      <c r="G3516" t="s">
        <v>78</v>
      </c>
      <c r="H3516" t="s">
        <v>50</v>
      </c>
      <c r="I3516" t="s">
        <v>24</v>
      </c>
      <c r="J3516" t="s">
        <v>43</v>
      </c>
      <c r="K3516" t="s">
        <v>26</v>
      </c>
      <c r="L3516" t="s">
        <v>37</v>
      </c>
      <c r="M3516">
        <v>12</v>
      </c>
      <c r="N3516" s="2">
        <v>34</v>
      </c>
      <c r="O3516" s="3">
        <v>15241</v>
      </c>
      <c r="P3516">
        <v>1</v>
      </c>
      <c r="Q3516">
        <v>4</v>
      </c>
      <c r="R3516" t="s">
        <v>33</v>
      </c>
      <c r="S3516">
        <v>1</v>
      </c>
    </row>
    <row r="3517" spans="1:19" ht="16.5" x14ac:dyDescent="0.3">
      <c r="A3517" t="s">
        <v>3580</v>
      </c>
      <c r="B3517" s="1">
        <v>45743</v>
      </c>
      <c r="C3517" s="1">
        <v>45746</v>
      </c>
      <c r="D3517">
        <v>2025</v>
      </c>
      <c r="E3517" t="s">
        <v>20</v>
      </c>
      <c r="F3517" t="s">
        <v>605</v>
      </c>
      <c r="G3517" t="s">
        <v>78</v>
      </c>
      <c r="H3517" t="s">
        <v>39</v>
      </c>
      <c r="I3517" t="s">
        <v>24</v>
      </c>
      <c r="J3517" t="s">
        <v>25</v>
      </c>
      <c r="K3517" t="s">
        <v>41</v>
      </c>
      <c r="L3517" t="s">
        <v>27</v>
      </c>
      <c r="M3517">
        <v>3</v>
      </c>
      <c r="N3517" s="2">
        <v>24</v>
      </c>
      <c r="O3517" s="3">
        <v>3141</v>
      </c>
      <c r="P3517">
        <v>0</v>
      </c>
      <c r="Q3517">
        <v>5</v>
      </c>
      <c r="R3517" t="s">
        <v>28</v>
      </c>
      <c r="S3517">
        <v>1</v>
      </c>
    </row>
    <row r="3518" spans="1:19" ht="16.5" x14ac:dyDescent="0.3">
      <c r="A3518" t="s">
        <v>3581</v>
      </c>
      <c r="B3518" s="1">
        <v>45743</v>
      </c>
      <c r="C3518" s="1">
        <v>45745</v>
      </c>
      <c r="D3518">
        <v>2025</v>
      </c>
      <c r="E3518" t="s">
        <v>20</v>
      </c>
      <c r="F3518" t="s">
        <v>605</v>
      </c>
      <c r="G3518" t="s">
        <v>78</v>
      </c>
      <c r="H3518" t="s">
        <v>30</v>
      </c>
      <c r="I3518" t="s">
        <v>40</v>
      </c>
      <c r="J3518" t="s">
        <v>25</v>
      </c>
      <c r="K3518" t="s">
        <v>36</v>
      </c>
      <c r="L3518" t="s">
        <v>44</v>
      </c>
      <c r="M3518">
        <v>2</v>
      </c>
      <c r="N3518" s="2"/>
      <c r="O3518" s="3">
        <v>3342</v>
      </c>
      <c r="P3518">
        <v>0</v>
      </c>
      <c r="Q3518">
        <v>4</v>
      </c>
      <c r="R3518" t="s">
        <v>33</v>
      </c>
      <c r="S3518">
        <v>1</v>
      </c>
    </row>
    <row r="3519" spans="1:19" ht="16.5" x14ac:dyDescent="0.3">
      <c r="A3519" t="s">
        <v>3582</v>
      </c>
      <c r="B3519" s="1">
        <v>45743</v>
      </c>
      <c r="C3519" s="1">
        <v>45750</v>
      </c>
      <c r="D3519">
        <v>2025</v>
      </c>
      <c r="E3519" t="s">
        <v>20</v>
      </c>
      <c r="F3519" t="s">
        <v>605</v>
      </c>
      <c r="G3519" t="s">
        <v>78</v>
      </c>
      <c r="H3519" t="s">
        <v>30</v>
      </c>
      <c r="I3519" t="s">
        <v>40</v>
      </c>
      <c r="J3519" t="s">
        <v>43</v>
      </c>
      <c r="K3519" t="s">
        <v>26</v>
      </c>
      <c r="L3519" t="s">
        <v>44</v>
      </c>
      <c r="M3519">
        <v>7</v>
      </c>
      <c r="N3519" s="2"/>
      <c r="O3519" s="3">
        <v>5995</v>
      </c>
      <c r="P3519">
        <v>0</v>
      </c>
      <c r="Q3519">
        <v>4</v>
      </c>
      <c r="R3519" t="s">
        <v>33</v>
      </c>
      <c r="S3519">
        <v>1</v>
      </c>
    </row>
    <row r="3520" spans="1:19" ht="16.5" x14ac:dyDescent="0.3">
      <c r="A3520" t="s">
        <v>3583</v>
      </c>
      <c r="B3520" s="1">
        <v>45743</v>
      </c>
      <c r="C3520" s="1">
        <v>45744</v>
      </c>
      <c r="D3520">
        <v>2025</v>
      </c>
      <c r="E3520" t="s">
        <v>20</v>
      </c>
      <c r="F3520" t="s">
        <v>605</v>
      </c>
      <c r="G3520" t="s">
        <v>78</v>
      </c>
      <c r="H3520" t="s">
        <v>39</v>
      </c>
      <c r="I3520" t="s">
        <v>24</v>
      </c>
      <c r="J3520" t="s">
        <v>25</v>
      </c>
      <c r="K3520" t="s">
        <v>41</v>
      </c>
      <c r="L3520" t="s">
        <v>27</v>
      </c>
      <c r="M3520">
        <v>1</v>
      </c>
      <c r="N3520" s="2">
        <v>72</v>
      </c>
      <c r="O3520" s="3">
        <v>1268</v>
      </c>
      <c r="P3520">
        <v>0</v>
      </c>
      <c r="Q3520">
        <v>4</v>
      </c>
      <c r="R3520" t="s">
        <v>33</v>
      </c>
      <c r="S3520">
        <v>1</v>
      </c>
    </row>
    <row r="3521" spans="1:19" ht="16.5" x14ac:dyDescent="0.3">
      <c r="A3521" t="s">
        <v>3584</v>
      </c>
      <c r="B3521" s="1">
        <v>45743</v>
      </c>
      <c r="C3521" s="1">
        <v>45744</v>
      </c>
      <c r="D3521">
        <v>2025</v>
      </c>
      <c r="E3521" t="s">
        <v>20</v>
      </c>
      <c r="F3521" t="s">
        <v>605</v>
      </c>
      <c r="G3521" t="s">
        <v>78</v>
      </c>
      <c r="H3521" t="s">
        <v>35</v>
      </c>
      <c r="I3521" t="s">
        <v>24</v>
      </c>
      <c r="J3521" t="s">
        <v>25</v>
      </c>
      <c r="K3521" t="s">
        <v>32</v>
      </c>
      <c r="L3521" t="s">
        <v>37</v>
      </c>
      <c r="M3521">
        <v>1</v>
      </c>
      <c r="N3521" s="2">
        <v>22</v>
      </c>
      <c r="O3521" s="3">
        <v>1361</v>
      </c>
      <c r="P3521">
        <v>0</v>
      </c>
      <c r="Q3521">
        <v>3</v>
      </c>
      <c r="R3521" t="s">
        <v>28</v>
      </c>
      <c r="S3521">
        <v>1</v>
      </c>
    </row>
    <row r="3522" spans="1:19" ht="16.5" x14ac:dyDescent="0.3">
      <c r="A3522" t="s">
        <v>3585</v>
      </c>
      <c r="B3522" s="1">
        <v>45743</v>
      </c>
      <c r="C3522" s="1">
        <v>45747</v>
      </c>
      <c r="D3522">
        <v>2025</v>
      </c>
      <c r="E3522" t="s">
        <v>20</v>
      </c>
      <c r="F3522" t="s">
        <v>605</v>
      </c>
      <c r="G3522" t="s">
        <v>78</v>
      </c>
      <c r="H3522" t="s">
        <v>39</v>
      </c>
      <c r="I3522" t="s">
        <v>40</v>
      </c>
      <c r="J3522" t="s">
        <v>25</v>
      </c>
      <c r="K3522" t="s">
        <v>41</v>
      </c>
      <c r="L3522" t="s">
        <v>44</v>
      </c>
      <c r="M3522">
        <v>4</v>
      </c>
      <c r="N3522" s="2"/>
      <c r="O3522" s="3">
        <v>3144</v>
      </c>
      <c r="P3522">
        <v>0</v>
      </c>
      <c r="Q3522">
        <v>3</v>
      </c>
      <c r="R3522" t="s">
        <v>33</v>
      </c>
      <c r="S3522">
        <v>1</v>
      </c>
    </row>
    <row r="3523" spans="1:19" ht="16.5" x14ac:dyDescent="0.3">
      <c r="A3523" t="s">
        <v>3586</v>
      </c>
      <c r="B3523" s="1">
        <v>45743</v>
      </c>
      <c r="C3523" s="1">
        <v>45746</v>
      </c>
      <c r="D3523">
        <v>2025</v>
      </c>
      <c r="E3523" t="s">
        <v>20</v>
      </c>
      <c r="F3523" t="s">
        <v>605</v>
      </c>
      <c r="G3523" t="s">
        <v>78</v>
      </c>
      <c r="H3523" t="s">
        <v>35</v>
      </c>
      <c r="I3523" t="s">
        <v>24</v>
      </c>
      <c r="J3523" t="s">
        <v>25</v>
      </c>
      <c r="K3523" t="s">
        <v>36</v>
      </c>
      <c r="L3523" t="s">
        <v>44</v>
      </c>
      <c r="M3523">
        <v>3</v>
      </c>
      <c r="N3523" s="2">
        <v>50</v>
      </c>
      <c r="O3523" s="3">
        <v>2642</v>
      </c>
      <c r="P3523">
        <v>0</v>
      </c>
      <c r="Q3523">
        <v>4</v>
      </c>
      <c r="R3523" t="s">
        <v>33</v>
      </c>
      <c r="S3523">
        <v>1</v>
      </c>
    </row>
    <row r="3524" spans="1:19" ht="16.5" x14ac:dyDescent="0.3">
      <c r="A3524" t="s">
        <v>3587</v>
      </c>
      <c r="B3524" s="1">
        <v>45743</v>
      </c>
      <c r="C3524" s="1">
        <v>45746</v>
      </c>
      <c r="D3524">
        <v>2025</v>
      </c>
      <c r="E3524" t="s">
        <v>20</v>
      </c>
      <c r="F3524" t="s">
        <v>605</v>
      </c>
      <c r="G3524" t="s">
        <v>78</v>
      </c>
      <c r="H3524" t="s">
        <v>52</v>
      </c>
      <c r="I3524" t="s">
        <v>40</v>
      </c>
      <c r="J3524" t="s">
        <v>43</v>
      </c>
      <c r="K3524" t="s">
        <v>26</v>
      </c>
      <c r="L3524" t="s">
        <v>37</v>
      </c>
      <c r="M3524">
        <v>3</v>
      </c>
      <c r="N3524" s="2"/>
      <c r="O3524" s="3">
        <v>2181</v>
      </c>
      <c r="P3524">
        <v>0</v>
      </c>
      <c r="Q3524">
        <v>5</v>
      </c>
      <c r="R3524" t="s">
        <v>28</v>
      </c>
      <c r="S3524">
        <v>1</v>
      </c>
    </row>
    <row r="3525" spans="1:19" ht="16.5" x14ac:dyDescent="0.3">
      <c r="A3525" t="s">
        <v>3588</v>
      </c>
      <c r="B3525" s="1">
        <v>45743</v>
      </c>
      <c r="C3525" s="1">
        <v>45745</v>
      </c>
      <c r="D3525">
        <v>2025</v>
      </c>
      <c r="E3525" t="s">
        <v>20</v>
      </c>
      <c r="F3525" t="s">
        <v>605</v>
      </c>
      <c r="G3525" t="s">
        <v>78</v>
      </c>
      <c r="H3525" t="s">
        <v>50</v>
      </c>
      <c r="I3525" t="s">
        <v>24</v>
      </c>
      <c r="J3525" t="s">
        <v>25</v>
      </c>
      <c r="K3525" t="s">
        <v>32</v>
      </c>
      <c r="L3525" t="s">
        <v>27</v>
      </c>
      <c r="M3525">
        <v>2</v>
      </c>
      <c r="N3525" s="2">
        <v>97</v>
      </c>
      <c r="O3525" s="3">
        <v>2776</v>
      </c>
      <c r="P3525">
        <v>0</v>
      </c>
      <c r="Q3525">
        <v>4</v>
      </c>
      <c r="R3525" t="s">
        <v>33</v>
      </c>
      <c r="S3525">
        <v>1</v>
      </c>
    </row>
    <row r="3526" spans="1:19" ht="16.5" x14ac:dyDescent="0.3">
      <c r="A3526" t="s">
        <v>3589</v>
      </c>
      <c r="B3526" s="1">
        <v>45744</v>
      </c>
      <c r="C3526" s="1">
        <v>45746</v>
      </c>
      <c r="D3526">
        <v>2025</v>
      </c>
      <c r="E3526" t="s">
        <v>20</v>
      </c>
      <c r="F3526" t="s">
        <v>605</v>
      </c>
      <c r="G3526" t="s">
        <v>83</v>
      </c>
      <c r="H3526" t="s">
        <v>30</v>
      </c>
      <c r="I3526" t="s">
        <v>40</v>
      </c>
      <c r="J3526" t="s">
        <v>43</v>
      </c>
      <c r="K3526" t="s">
        <v>53</v>
      </c>
      <c r="L3526" t="s">
        <v>44</v>
      </c>
      <c r="M3526">
        <v>2</v>
      </c>
      <c r="N3526" s="2"/>
      <c r="O3526" s="3">
        <v>3359</v>
      </c>
      <c r="P3526">
        <v>0</v>
      </c>
      <c r="Q3526">
        <v>5</v>
      </c>
      <c r="R3526" t="s">
        <v>28</v>
      </c>
      <c r="S3526">
        <v>1</v>
      </c>
    </row>
    <row r="3527" spans="1:19" ht="16.5" x14ac:dyDescent="0.3">
      <c r="A3527" t="s">
        <v>3590</v>
      </c>
      <c r="B3527" s="1">
        <v>45744</v>
      </c>
      <c r="C3527" s="1">
        <v>45750</v>
      </c>
      <c r="D3527">
        <v>2025</v>
      </c>
      <c r="E3527" t="s">
        <v>20</v>
      </c>
      <c r="F3527" t="s">
        <v>605</v>
      </c>
      <c r="G3527" t="s">
        <v>83</v>
      </c>
      <c r="H3527" t="s">
        <v>50</v>
      </c>
      <c r="I3527" t="s">
        <v>24</v>
      </c>
      <c r="J3527" t="s">
        <v>43</v>
      </c>
      <c r="K3527" t="s">
        <v>53</v>
      </c>
      <c r="L3527" t="s">
        <v>44</v>
      </c>
      <c r="M3527">
        <v>6</v>
      </c>
      <c r="N3527" s="2">
        <v>74</v>
      </c>
      <c r="O3527" s="3">
        <v>8069</v>
      </c>
      <c r="P3527">
        <v>0</v>
      </c>
      <c r="Q3527">
        <v>4</v>
      </c>
      <c r="R3527" t="s">
        <v>33</v>
      </c>
      <c r="S3527">
        <v>1</v>
      </c>
    </row>
    <row r="3528" spans="1:19" ht="16.5" x14ac:dyDescent="0.3">
      <c r="A3528" t="s">
        <v>3591</v>
      </c>
      <c r="B3528" s="1">
        <v>45744</v>
      </c>
      <c r="C3528" s="1">
        <v>45746</v>
      </c>
      <c r="D3528">
        <v>2025</v>
      </c>
      <c r="E3528" t="s">
        <v>20</v>
      </c>
      <c r="F3528" t="s">
        <v>605</v>
      </c>
      <c r="G3528" t="s">
        <v>83</v>
      </c>
      <c r="H3528" t="s">
        <v>39</v>
      </c>
      <c r="I3528" t="s">
        <v>24</v>
      </c>
      <c r="J3528" t="s">
        <v>25</v>
      </c>
      <c r="K3528" t="s">
        <v>41</v>
      </c>
      <c r="L3528" t="s">
        <v>27</v>
      </c>
      <c r="M3528">
        <v>2</v>
      </c>
      <c r="N3528" s="2">
        <v>76</v>
      </c>
      <c r="O3528" s="3">
        <v>2121</v>
      </c>
      <c r="P3528">
        <v>0</v>
      </c>
      <c r="Q3528">
        <v>3</v>
      </c>
      <c r="R3528" t="s">
        <v>33</v>
      </c>
      <c r="S3528">
        <v>1</v>
      </c>
    </row>
    <row r="3529" spans="1:19" ht="16.5" x14ac:dyDescent="0.3">
      <c r="A3529" t="s">
        <v>3592</v>
      </c>
      <c r="B3529" s="1">
        <v>45744</v>
      </c>
      <c r="C3529" s="1">
        <v>45750</v>
      </c>
      <c r="D3529">
        <v>2025</v>
      </c>
      <c r="E3529" t="s">
        <v>20</v>
      </c>
      <c r="F3529" t="s">
        <v>605</v>
      </c>
      <c r="G3529" t="s">
        <v>83</v>
      </c>
      <c r="H3529" t="s">
        <v>39</v>
      </c>
      <c r="I3529" t="s">
        <v>31</v>
      </c>
      <c r="J3529" t="s">
        <v>25</v>
      </c>
      <c r="K3529" t="s">
        <v>41</v>
      </c>
      <c r="L3529" t="s">
        <v>37</v>
      </c>
      <c r="M3529">
        <v>6</v>
      </c>
      <c r="N3529" s="2"/>
      <c r="O3529" s="3">
        <v>5258</v>
      </c>
      <c r="P3529">
        <v>0</v>
      </c>
      <c r="Q3529">
        <v>5</v>
      </c>
      <c r="R3529" t="s">
        <v>33</v>
      </c>
      <c r="S3529">
        <v>1</v>
      </c>
    </row>
    <row r="3530" spans="1:19" ht="16.5" x14ac:dyDescent="0.3">
      <c r="A3530" t="s">
        <v>3593</v>
      </c>
      <c r="B3530" s="1">
        <v>45744</v>
      </c>
      <c r="C3530" s="1">
        <v>45745</v>
      </c>
      <c r="D3530">
        <v>2025</v>
      </c>
      <c r="E3530" t="s">
        <v>20</v>
      </c>
      <c r="F3530" t="s">
        <v>605</v>
      </c>
      <c r="G3530" t="s">
        <v>83</v>
      </c>
      <c r="H3530" t="s">
        <v>35</v>
      </c>
      <c r="I3530" t="s">
        <v>24</v>
      </c>
      <c r="J3530" t="s">
        <v>25</v>
      </c>
      <c r="K3530" t="s">
        <v>36</v>
      </c>
      <c r="L3530" t="s">
        <v>44</v>
      </c>
      <c r="M3530">
        <v>1</v>
      </c>
      <c r="N3530" s="2">
        <v>54</v>
      </c>
      <c r="O3530" s="3">
        <v>1341</v>
      </c>
      <c r="P3530">
        <v>0</v>
      </c>
      <c r="Q3530">
        <v>4</v>
      </c>
      <c r="R3530" t="s">
        <v>28</v>
      </c>
      <c r="S3530">
        <v>1</v>
      </c>
    </row>
    <row r="3531" spans="1:19" ht="16.5" x14ac:dyDescent="0.3">
      <c r="A3531" t="s">
        <v>3594</v>
      </c>
      <c r="B3531" s="1">
        <v>45744</v>
      </c>
      <c r="C3531" s="1">
        <v>45749</v>
      </c>
      <c r="D3531">
        <v>2025</v>
      </c>
      <c r="E3531" t="s">
        <v>20</v>
      </c>
      <c r="F3531" t="s">
        <v>605</v>
      </c>
      <c r="G3531" t="s">
        <v>83</v>
      </c>
      <c r="H3531" t="s">
        <v>39</v>
      </c>
      <c r="I3531" t="s">
        <v>24</v>
      </c>
      <c r="J3531" t="s">
        <v>25</v>
      </c>
      <c r="K3531" t="s">
        <v>41</v>
      </c>
      <c r="L3531" t="s">
        <v>44</v>
      </c>
      <c r="M3531">
        <v>5</v>
      </c>
      <c r="N3531" s="2">
        <v>57</v>
      </c>
      <c r="O3531" s="3">
        <v>3624</v>
      </c>
      <c r="P3531">
        <v>0</v>
      </c>
      <c r="Q3531">
        <v>5</v>
      </c>
      <c r="R3531" t="s">
        <v>28</v>
      </c>
      <c r="S3531">
        <v>1</v>
      </c>
    </row>
    <row r="3532" spans="1:19" ht="16.5" x14ac:dyDescent="0.3">
      <c r="A3532" t="s">
        <v>3595</v>
      </c>
      <c r="B3532" s="1">
        <v>45744</v>
      </c>
      <c r="C3532" s="1">
        <v>45745</v>
      </c>
      <c r="D3532">
        <v>2025</v>
      </c>
      <c r="E3532" t="s">
        <v>20</v>
      </c>
      <c r="F3532" t="s">
        <v>605</v>
      </c>
      <c r="G3532" t="s">
        <v>83</v>
      </c>
      <c r="H3532" t="s">
        <v>30</v>
      </c>
      <c r="I3532" t="s">
        <v>24</v>
      </c>
      <c r="J3532" t="s">
        <v>43</v>
      </c>
      <c r="K3532" t="s">
        <v>53</v>
      </c>
      <c r="L3532" t="s">
        <v>44</v>
      </c>
      <c r="M3532">
        <v>1</v>
      </c>
      <c r="N3532" s="2">
        <v>115</v>
      </c>
      <c r="O3532" s="3">
        <v>2290</v>
      </c>
      <c r="P3532">
        <v>0</v>
      </c>
      <c r="Q3532">
        <v>4</v>
      </c>
      <c r="R3532" t="s">
        <v>28</v>
      </c>
      <c r="S3532">
        <v>1</v>
      </c>
    </row>
    <row r="3533" spans="1:19" ht="16.5" x14ac:dyDescent="0.3">
      <c r="A3533" t="s">
        <v>3596</v>
      </c>
      <c r="B3533" s="1">
        <v>45744</v>
      </c>
      <c r="C3533" s="1">
        <v>45745</v>
      </c>
      <c r="D3533">
        <v>2025</v>
      </c>
      <c r="E3533" t="s">
        <v>20</v>
      </c>
      <c r="F3533" t="s">
        <v>605</v>
      </c>
      <c r="G3533" t="s">
        <v>83</v>
      </c>
      <c r="H3533" t="s">
        <v>35</v>
      </c>
      <c r="I3533" t="s">
        <v>40</v>
      </c>
      <c r="J3533" t="s">
        <v>25</v>
      </c>
      <c r="K3533" t="s">
        <v>36</v>
      </c>
      <c r="L3533" t="s">
        <v>27</v>
      </c>
      <c r="M3533">
        <v>1</v>
      </c>
      <c r="N3533" s="2"/>
      <c r="O3533" s="3">
        <v>1445</v>
      </c>
      <c r="P3533">
        <v>0</v>
      </c>
      <c r="Q3533">
        <v>5</v>
      </c>
      <c r="R3533" t="s">
        <v>33</v>
      </c>
      <c r="S3533">
        <v>1</v>
      </c>
    </row>
    <row r="3534" spans="1:19" ht="16.5" x14ac:dyDescent="0.3">
      <c r="A3534" t="s">
        <v>3597</v>
      </c>
      <c r="B3534" s="1">
        <v>45744</v>
      </c>
      <c r="C3534" s="1">
        <v>45746</v>
      </c>
      <c r="D3534">
        <v>2025</v>
      </c>
      <c r="E3534" t="s">
        <v>20</v>
      </c>
      <c r="F3534" t="s">
        <v>605</v>
      </c>
      <c r="G3534" t="s">
        <v>83</v>
      </c>
      <c r="H3534" t="s">
        <v>35</v>
      </c>
      <c r="I3534" t="s">
        <v>24</v>
      </c>
      <c r="J3534" t="s">
        <v>25</v>
      </c>
      <c r="K3534" t="s">
        <v>32</v>
      </c>
      <c r="L3534" t="s">
        <v>44</v>
      </c>
      <c r="M3534">
        <v>2</v>
      </c>
      <c r="N3534" s="2">
        <v>55</v>
      </c>
      <c r="O3534" s="3">
        <v>2598</v>
      </c>
      <c r="P3534">
        <v>0</v>
      </c>
      <c r="Q3534">
        <v>3</v>
      </c>
      <c r="R3534" t="s">
        <v>28</v>
      </c>
      <c r="S3534">
        <v>1</v>
      </c>
    </row>
    <row r="3535" spans="1:19" ht="16.5" x14ac:dyDescent="0.3">
      <c r="A3535" t="s">
        <v>3598</v>
      </c>
      <c r="B3535" s="1">
        <v>45745</v>
      </c>
      <c r="C3535" s="1">
        <v>45750</v>
      </c>
      <c r="D3535">
        <v>2025</v>
      </c>
      <c r="E3535" t="s">
        <v>20</v>
      </c>
      <c r="F3535" t="s">
        <v>605</v>
      </c>
      <c r="G3535" t="s">
        <v>102</v>
      </c>
      <c r="H3535" t="s">
        <v>39</v>
      </c>
      <c r="I3535" t="s">
        <v>40</v>
      </c>
      <c r="J3535" t="s">
        <v>25</v>
      </c>
      <c r="K3535" t="s">
        <v>41</v>
      </c>
      <c r="L3535" t="s">
        <v>44</v>
      </c>
      <c r="M3535">
        <v>5</v>
      </c>
      <c r="N3535" s="2"/>
      <c r="O3535" s="3">
        <v>3993</v>
      </c>
      <c r="P3535">
        <v>0</v>
      </c>
      <c r="Q3535">
        <v>4</v>
      </c>
      <c r="R3535" t="s">
        <v>33</v>
      </c>
      <c r="S3535">
        <v>1</v>
      </c>
    </row>
    <row r="3536" spans="1:19" ht="16.5" x14ac:dyDescent="0.3">
      <c r="A3536" t="s">
        <v>3599</v>
      </c>
      <c r="B3536" s="1">
        <v>45745</v>
      </c>
      <c r="C3536" s="1">
        <v>45747</v>
      </c>
      <c r="D3536">
        <v>2025</v>
      </c>
      <c r="E3536" t="s">
        <v>20</v>
      </c>
      <c r="F3536" t="s">
        <v>605</v>
      </c>
      <c r="G3536" t="s">
        <v>102</v>
      </c>
      <c r="H3536" t="s">
        <v>50</v>
      </c>
      <c r="I3536" t="s">
        <v>24</v>
      </c>
      <c r="J3536" t="s">
        <v>43</v>
      </c>
      <c r="K3536" t="s">
        <v>32</v>
      </c>
      <c r="L3536" t="s">
        <v>27</v>
      </c>
      <c r="M3536">
        <v>2</v>
      </c>
      <c r="N3536" s="2">
        <v>31</v>
      </c>
      <c r="O3536" s="3">
        <v>3454</v>
      </c>
      <c r="P3536">
        <v>0</v>
      </c>
      <c r="Q3536">
        <v>4</v>
      </c>
      <c r="R3536" t="s">
        <v>33</v>
      </c>
      <c r="S3536">
        <v>1</v>
      </c>
    </row>
    <row r="3537" spans="1:19" ht="16.5" x14ac:dyDescent="0.3">
      <c r="A3537" t="s">
        <v>3600</v>
      </c>
      <c r="B3537" s="1">
        <v>45745</v>
      </c>
      <c r="C3537" s="1">
        <v>45757</v>
      </c>
      <c r="D3537">
        <v>2025</v>
      </c>
      <c r="E3537" t="s">
        <v>20</v>
      </c>
      <c r="F3537" t="s">
        <v>605</v>
      </c>
      <c r="G3537" t="s">
        <v>102</v>
      </c>
      <c r="H3537" t="s">
        <v>50</v>
      </c>
      <c r="I3537" t="s">
        <v>40</v>
      </c>
      <c r="J3537" t="s">
        <v>25</v>
      </c>
      <c r="K3537" t="s">
        <v>32</v>
      </c>
      <c r="L3537" t="s">
        <v>44</v>
      </c>
      <c r="M3537">
        <v>12</v>
      </c>
      <c r="N3537" s="2"/>
      <c r="O3537" s="3">
        <v>10199</v>
      </c>
      <c r="P3537">
        <v>0</v>
      </c>
      <c r="Q3537">
        <v>5</v>
      </c>
      <c r="R3537" t="s">
        <v>33</v>
      </c>
      <c r="S3537">
        <v>1</v>
      </c>
    </row>
    <row r="3538" spans="1:19" ht="16.5" x14ac:dyDescent="0.3">
      <c r="A3538" t="s">
        <v>3601</v>
      </c>
      <c r="B3538" s="1">
        <v>45745</v>
      </c>
      <c r="C3538" s="1">
        <v>45751</v>
      </c>
      <c r="D3538">
        <v>2025</v>
      </c>
      <c r="E3538" t="s">
        <v>20</v>
      </c>
      <c r="F3538" t="s">
        <v>605</v>
      </c>
      <c r="G3538" t="s">
        <v>102</v>
      </c>
      <c r="H3538" t="s">
        <v>23</v>
      </c>
      <c r="I3538" t="s">
        <v>24</v>
      </c>
      <c r="J3538" t="s">
        <v>43</v>
      </c>
      <c r="K3538" t="s">
        <v>36</v>
      </c>
      <c r="L3538" t="s">
        <v>44</v>
      </c>
      <c r="M3538">
        <v>6</v>
      </c>
      <c r="N3538" s="2">
        <v>115</v>
      </c>
      <c r="O3538" s="3">
        <v>3966</v>
      </c>
      <c r="P3538">
        <v>0</v>
      </c>
      <c r="Q3538">
        <v>3</v>
      </c>
      <c r="R3538" t="s">
        <v>33</v>
      </c>
      <c r="S3538">
        <v>1</v>
      </c>
    </row>
    <row r="3539" spans="1:19" ht="16.5" x14ac:dyDescent="0.3">
      <c r="A3539" t="s">
        <v>3602</v>
      </c>
      <c r="B3539" s="1">
        <v>45745</v>
      </c>
      <c r="C3539" s="1">
        <v>45747</v>
      </c>
      <c r="D3539">
        <v>2025</v>
      </c>
      <c r="E3539" t="s">
        <v>20</v>
      </c>
      <c r="F3539" t="s">
        <v>605</v>
      </c>
      <c r="G3539" t="s">
        <v>102</v>
      </c>
      <c r="H3539" t="s">
        <v>30</v>
      </c>
      <c r="I3539" t="s">
        <v>40</v>
      </c>
      <c r="J3539" t="s">
        <v>25</v>
      </c>
      <c r="K3539" t="s">
        <v>26</v>
      </c>
      <c r="L3539" t="s">
        <v>27</v>
      </c>
      <c r="M3539">
        <v>2</v>
      </c>
      <c r="N3539" s="2"/>
      <c r="O3539" s="3">
        <v>2998</v>
      </c>
      <c r="P3539">
        <v>0</v>
      </c>
      <c r="Q3539">
        <v>4</v>
      </c>
      <c r="R3539" t="s">
        <v>33</v>
      </c>
      <c r="S3539">
        <v>1</v>
      </c>
    </row>
    <row r="3540" spans="1:19" ht="16.5" x14ac:dyDescent="0.3">
      <c r="A3540" t="s">
        <v>3603</v>
      </c>
      <c r="B3540" s="1">
        <v>45746</v>
      </c>
      <c r="C3540" s="1">
        <v>45748</v>
      </c>
      <c r="D3540">
        <v>2025</v>
      </c>
      <c r="E3540" t="s">
        <v>20</v>
      </c>
      <c r="F3540" t="s">
        <v>605</v>
      </c>
      <c r="G3540" t="s">
        <v>112</v>
      </c>
      <c r="H3540" t="s">
        <v>52</v>
      </c>
      <c r="I3540" t="s">
        <v>24</v>
      </c>
      <c r="J3540" t="s">
        <v>43</v>
      </c>
      <c r="K3540" t="s">
        <v>32</v>
      </c>
      <c r="L3540" t="s">
        <v>27</v>
      </c>
      <c r="M3540">
        <v>2</v>
      </c>
      <c r="N3540" s="2">
        <v>49</v>
      </c>
      <c r="O3540" s="3">
        <v>2820</v>
      </c>
      <c r="P3540">
        <v>0</v>
      </c>
      <c r="Q3540">
        <v>5</v>
      </c>
      <c r="R3540" t="s">
        <v>28</v>
      </c>
      <c r="S3540">
        <v>1</v>
      </c>
    </row>
    <row r="3541" spans="1:19" ht="16.5" x14ac:dyDescent="0.3">
      <c r="A3541" t="s">
        <v>3604</v>
      </c>
      <c r="B3541" s="1">
        <v>45746</v>
      </c>
      <c r="C3541" s="1">
        <v>45755</v>
      </c>
      <c r="D3541">
        <v>2025</v>
      </c>
      <c r="E3541" t="s">
        <v>20</v>
      </c>
      <c r="F3541" t="s">
        <v>605</v>
      </c>
      <c r="G3541" t="s">
        <v>112</v>
      </c>
      <c r="H3541" t="s">
        <v>52</v>
      </c>
      <c r="I3541" t="s">
        <v>40</v>
      </c>
      <c r="J3541" t="s">
        <v>25</v>
      </c>
      <c r="K3541" t="s">
        <v>53</v>
      </c>
      <c r="L3541" t="s">
        <v>44</v>
      </c>
      <c r="M3541">
        <v>9</v>
      </c>
      <c r="N3541" s="2"/>
      <c r="O3541" s="3">
        <v>9748</v>
      </c>
      <c r="P3541">
        <v>0</v>
      </c>
      <c r="Q3541">
        <v>4</v>
      </c>
      <c r="R3541" t="s">
        <v>33</v>
      </c>
      <c r="S3541">
        <v>1</v>
      </c>
    </row>
    <row r="3542" spans="1:19" ht="16.5" x14ac:dyDescent="0.3">
      <c r="A3542" t="s">
        <v>3605</v>
      </c>
      <c r="B3542" s="1">
        <v>45746</v>
      </c>
      <c r="C3542" s="1">
        <v>45755</v>
      </c>
      <c r="D3542">
        <v>2025</v>
      </c>
      <c r="E3542" t="s">
        <v>20</v>
      </c>
      <c r="F3542" t="s">
        <v>605</v>
      </c>
      <c r="G3542" t="s">
        <v>112</v>
      </c>
      <c r="H3542" t="s">
        <v>23</v>
      </c>
      <c r="I3542" t="s">
        <v>24</v>
      </c>
      <c r="J3542" t="s">
        <v>43</v>
      </c>
      <c r="K3542" t="s">
        <v>26</v>
      </c>
      <c r="L3542" t="s">
        <v>44</v>
      </c>
      <c r="M3542">
        <v>9</v>
      </c>
      <c r="N3542" s="2">
        <v>27</v>
      </c>
      <c r="O3542" s="3">
        <v>6548</v>
      </c>
      <c r="P3542">
        <v>0</v>
      </c>
      <c r="Q3542">
        <v>4</v>
      </c>
      <c r="R3542" t="s">
        <v>33</v>
      </c>
      <c r="S3542">
        <v>1</v>
      </c>
    </row>
    <row r="3543" spans="1:19" ht="16.5" x14ac:dyDescent="0.3">
      <c r="A3543" t="s">
        <v>3606</v>
      </c>
      <c r="B3543" s="1">
        <v>45746</v>
      </c>
      <c r="C3543" s="1">
        <v>45748</v>
      </c>
      <c r="D3543">
        <v>2025</v>
      </c>
      <c r="E3543" t="s">
        <v>20</v>
      </c>
      <c r="F3543" t="s">
        <v>605</v>
      </c>
      <c r="G3543" t="s">
        <v>112</v>
      </c>
      <c r="H3543" t="s">
        <v>30</v>
      </c>
      <c r="I3543" t="s">
        <v>40</v>
      </c>
      <c r="J3543" t="s">
        <v>25</v>
      </c>
      <c r="K3543" t="s">
        <v>32</v>
      </c>
      <c r="L3543" t="s">
        <v>44</v>
      </c>
      <c r="M3543">
        <v>2</v>
      </c>
      <c r="N3543" s="2"/>
      <c r="O3543" s="3">
        <v>3252</v>
      </c>
      <c r="P3543">
        <v>0</v>
      </c>
      <c r="Q3543">
        <v>4</v>
      </c>
      <c r="R3543" t="s">
        <v>28</v>
      </c>
      <c r="S3543">
        <v>1</v>
      </c>
    </row>
    <row r="3544" spans="1:19" ht="16.5" x14ac:dyDescent="0.3">
      <c r="A3544" t="s">
        <v>3607</v>
      </c>
      <c r="B3544" s="1">
        <v>45746</v>
      </c>
      <c r="C3544" s="1">
        <v>45758</v>
      </c>
      <c r="D3544">
        <v>2025</v>
      </c>
      <c r="E3544" t="s">
        <v>20</v>
      </c>
      <c r="F3544" t="s">
        <v>605</v>
      </c>
      <c r="G3544" t="s">
        <v>112</v>
      </c>
      <c r="H3544" t="s">
        <v>23</v>
      </c>
      <c r="I3544" t="s">
        <v>24</v>
      </c>
      <c r="J3544" t="s">
        <v>43</v>
      </c>
      <c r="K3544" t="s">
        <v>26</v>
      </c>
      <c r="L3544" t="s">
        <v>27</v>
      </c>
      <c r="M3544">
        <v>12</v>
      </c>
      <c r="N3544" s="2">
        <v>61</v>
      </c>
      <c r="O3544" s="3">
        <v>6055</v>
      </c>
      <c r="P3544">
        <v>1</v>
      </c>
      <c r="Q3544">
        <v>4</v>
      </c>
      <c r="R3544" t="s">
        <v>59</v>
      </c>
      <c r="S3544">
        <v>1</v>
      </c>
    </row>
    <row r="3545" spans="1:19" ht="16.5" x14ac:dyDescent="0.3">
      <c r="A3545" t="s">
        <v>3608</v>
      </c>
      <c r="B3545" s="1">
        <v>45746</v>
      </c>
      <c r="C3545" s="1">
        <v>45750</v>
      </c>
      <c r="D3545">
        <v>2025</v>
      </c>
      <c r="E3545" t="s">
        <v>20</v>
      </c>
      <c r="F3545" t="s">
        <v>605</v>
      </c>
      <c r="G3545" t="s">
        <v>112</v>
      </c>
      <c r="H3545" t="s">
        <v>50</v>
      </c>
      <c r="I3545" t="s">
        <v>24</v>
      </c>
      <c r="J3545" t="s">
        <v>43</v>
      </c>
      <c r="K3545" t="s">
        <v>26</v>
      </c>
      <c r="L3545" t="s">
        <v>44</v>
      </c>
      <c r="M3545">
        <v>4</v>
      </c>
      <c r="N3545" s="2">
        <v>57</v>
      </c>
      <c r="O3545" s="3">
        <v>5135</v>
      </c>
      <c r="P3545">
        <v>0</v>
      </c>
      <c r="Q3545">
        <v>4</v>
      </c>
      <c r="R3545" t="s">
        <v>33</v>
      </c>
      <c r="S3545">
        <v>1</v>
      </c>
    </row>
    <row r="3546" spans="1:19" ht="16.5" x14ac:dyDescent="0.3">
      <c r="A3546" t="s">
        <v>3609</v>
      </c>
      <c r="B3546" s="1">
        <v>45747</v>
      </c>
      <c r="C3546" s="1">
        <v>45749</v>
      </c>
      <c r="D3546">
        <v>2025</v>
      </c>
      <c r="E3546" t="s">
        <v>20</v>
      </c>
      <c r="F3546" t="s">
        <v>605</v>
      </c>
      <c r="G3546" t="s">
        <v>22</v>
      </c>
      <c r="H3546" t="s">
        <v>52</v>
      </c>
      <c r="I3546" t="s">
        <v>40</v>
      </c>
      <c r="J3546" t="s">
        <v>43</v>
      </c>
      <c r="K3546" t="s">
        <v>26</v>
      </c>
      <c r="L3546" t="s">
        <v>27</v>
      </c>
      <c r="M3546">
        <v>2</v>
      </c>
      <c r="N3546" s="2"/>
      <c r="O3546" s="3">
        <v>2772</v>
      </c>
      <c r="P3546">
        <v>0</v>
      </c>
      <c r="Q3546">
        <v>4</v>
      </c>
      <c r="R3546" t="s">
        <v>33</v>
      </c>
      <c r="S3546">
        <v>1</v>
      </c>
    </row>
    <row r="3547" spans="1:19" ht="16.5" x14ac:dyDescent="0.3">
      <c r="A3547" t="s">
        <v>3610</v>
      </c>
      <c r="B3547" s="1">
        <v>45747</v>
      </c>
      <c r="C3547" s="1">
        <v>45749</v>
      </c>
      <c r="D3547">
        <v>2025</v>
      </c>
      <c r="E3547" t="s">
        <v>20</v>
      </c>
      <c r="F3547" t="s">
        <v>605</v>
      </c>
      <c r="G3547" t="s">
        <v>22</v>
      </c>
      <c r="H3547" t="s">
        <v>50</v>
      </c>
      <c r="I3547" t="s">
        <v>24</v>
      </c>
      <c r="J3547" t="s">
        <v>25</v>
      </c>
      <c r="K3547" t="s">
        <v>32</v>
      </c>
      <c r="L3547" t="s">
        <v>44</v>
      </c>
      <c r="M3547">
        <v>2</v>
      </c>
      <c r="N3547" s="2">
        <v>42</v>
      </c>
      <c r="O3547" s="3">
        <v>2630</v>
      </c>
      <c r="P3547">
        <v>0</v>
      </c>
      <c r="Q3547">
        <v>4</v>
      </c>
      <c r="R3547" t="s">
        <v>33</v>
      </c>
      <c r="S3547">
        <v>1</v>
      </c>
    </row>
    <row r="3548" spans="1:19" ht="16.5" x14ac:dyDescent="0.3">
      <c r="A3548" t="s">
        <v>3611</v>
      </c>
      <c r="B3548" s="1">
        <v>45747</v>
      </c>
      <c r="C3548" s="1">
        <v>45760</v>
      </c>
      <c r="D3548">
        <v>2025</v>
      </c>
      <c r="E3548" t="s">
        <v>20</v>
      </c>
      <c r="F3548" t="s">
        <v>605</v>
      </c>
      <c r="G3548" t="s">
        <v>22</v>
      </c>
      <c r="H3548" t="s">
        <v>23</v>
      </c>
      <c r="I3548" t="s">
        <v>31</v>
      </c>
      <c r="J3548" t="s">
        <v>43</v>
      </c>
      <c r="K3548" t="s">
        <v>53</v>
      </c>
      <c r="L3548" t="s">
        <v>27</v>
      </c>
      <c r="M3548">
        <v>13</v>
      </c>
      <c r="N3548" s="2"/>
      <c r="O3548" s="3">
        <v>5258</v>
      </c>
      <c r="P3548">
        <v>0</v>
      </c>
      <c r="Q3548">
        <v>5</v>
      </c>
      <c r="R3548" t="s">
        <v>33</v>
      </c>
      <c r="S3548">
        <v>1</v>
      </c>
    </row>
    <row r="3549" spans="1:19" ht="16.5" x14ac:dyDescent="0.3">
      <c r="A3549" t="s">
        <v>3612</v>
      </c>
      <c r="B3549" s="1">
        <v>45747</v>
      </c>
      <c r="C3549" s="1">
        <v>45748</v>
      </c>
      <c r="D3549">
        <v>2025</v>
      </c>
      <c r="E3549" t="s">
        <v>20</v>
      </c>
      <c r="F3549" t="s">
        <v>605</v>
      </c>
      <c r="G3549" t="s">
        <v>22</v>
      </c>
      <c r="H3549" t="s">
        <v>39</v>
      </c>
      <c r="I3549" t="s">
        <v>24</v>
      </c>
      <c r="J3549" t="s">
        <v>43</v>
      </c>
      <c r="K3549" t="s">
        <v>41</v>
      </c>
      <c r="L3549" t="s">
        <v>27</v>
      </c>
      <c r="M3549">
        <v>1</v>
      </c>
      <c r="N3549" s="2">
        <v>25</v>
      </c>
      <c r="O3549" s="3">
        <v>1177</v>
      </c>
      <c r="P3549">
        <v>0</v>
      </c>
      <c r="Q3549">
        <v>5</v>
      </c>
      <c r="R3549" t="s">
        <v>33</v>
      </c>
      <c r="S3549">
        <v>1</v>
      </c>
    </row>
    <row r="3550" spans="1:19" ht="16.5" x14ac:dyDescent="0.3">
      <c r="A3550" t="s">
        <v>3613</v>
      </c>
      <c r="B3550" s="1">
        <v>45747</v>
      </c>
      <c r="C3550" s="1">
        <v>45748</v>
      </c>
      <c r="D3550">
        <v>2025</v>
      </c>
      <c r="E3550" t="s">
        <v>20</v>
      </c>
      <c r="F3550" t="s">
        <v>605</v>
      </c>
      <c r="G3550" t="s">
        <v>22</v>
      </c>
      <c r="H3550" t="s">
        <v>52</v>
      </c>
      <c r="I3550" t="s">
        <v>40</v>
      </c>
      <c r="J3550" t="s">
        <v>25</v>
      </c>
      <c r="K3550" t="s">
        <v>32</v>
      </c>
      <c r="L3550" t="s">
        <v>27</v>
      </c>
      <c r="M3550">
        <v>1</v>
      </c>
      <c r="N3550" s="2"/>
      <c r="O3550" s="3">
        <v>1662</v>
      </c>
      <c r="P3550">
        <v>0</v>
      </c>
      <c r="Q3550">
        <v>4</v>
      </c>
      <c r="R3550" t="s">
        <v>33</v>
      </c>
      <c r="S3550">
        <v>1</v>
      </c>
    </row>
    <row r="3551" spans="1:19" ht="16.5" x14ac:dyDescent="0.3">
      <c r="A3551" t="s">
        <v>3614</v>
      </c>
      <c r="B3551" s="1">
        <v>45747</v>
      </c>
      <c r="C3551" s="1">
        <v>45749</v>
      </c>
      <c r="D3551">
        <v>2025</v>
      </c>
      <c r="E3551" t="s">
        <v>20</v>
      </c>
      <c r="F3551" t="s">
        <v>605</v>
      </c>
      <c r="G3551" t="s">
        <v>22</v>
      </c>
      <c r="H3551" t="s">
        <v>23</v>
      </c>
      <c r="I3551" t="s">
        <v>24</v>
      </c>
      <c r="J3551" t="s">
        <v>43</v>
      </c>
      <c r="K3551" t="s">
        <v>53</v>
      </c>
      <c r="L3551" t="s">
        <v>44</v>
      </c>
      <c r="M3551">
        <v>2</v>
      </c>
      <c r="N3551" s="2">
        <v>23</v>
      </c>
      <c r="O3551" s="3">
        <v>1981</v>
      </c>
      <c r="P3551">
        <v>0</v>
      </c>
      <c r="Q3551">
        <v>4</v>
      </c>
      <c r="R3551" t="s">
        <v>33</v>
      </c>
      <c r="S3551">
        <v>1</v>
      </c>
    </row>
    <row r="3552" spans="1:19" ht="16.5" x14ac:dyDescent="0.3">
      <c r="A3552" t="s">
        <v>3615</v>
      </c>
      <c r="B3552" s="1">
        <v>45747</v>
      </c>
      <c r="C3552" s="1">
        <v>45752</v>
      </c>
      <c r="D3552">
        <v>2025</v>
      </c>
      <c r="E3552" t="s">
        <v>20</v>
      </c>
      <c r="F3552" t="s">
        <v>605</v>
      </c>
      <c r="G3552" t="s">
        <v>22</v>
      </c>
      <c r="H3552" t="s">
        <v>23</v>
      </c>
      <c r="I3552" t="s">
        <v>40</v>
      </c>
      <c r="J3552" t="s">
        <v>25</v>
      </c>
      <c r="K3552" t="s">
        <v>26</v>
      </c>
      <c r="L3552" t="s">
        <v>44</v>
      </c>
      <c r="M3552">
        <v>5</v>
      </c>
      <c r="N3552" s="2"/>
      <c r="O3552" s="3">
        <v>3204</v>
      </c>
      <c r="P3552">
        <v>0</v>
      </c>
      <c r="Q3552">
        <v>5</v>
      </c>
      <c r="R3552" t="s">
        <v>33</v>
      </c>
      <c r="S3552">
        <v>1</v>
      </c>
    </row>
    <row r="3553" spans="1:19" ht="16.5" x14ac:dyDescent="0.3">
      <c r="A3553" t="s">
        <v>3616</v>
      </c>
      <c r="B3553" s="1">
        <v>45747</v>
      </c>
      <c r="C3553" s="1">
        <v>45754</v>
      </c>
      <c r="D3553">
        <v>2025</v>
      </c>
      <c r="E3553" t="s">
        <v>20</v>
      </c>
      <c r="F3553" t="s">
        <v>605</v>
      </c>
      <c r="G3553" t="s">
        <v>22</v>
      </c>
      <c r="H3553" t="s">
        <v>52</v>
      </c>
      <c r="I3553" t="s">
        <v>40</v>
      </c>
      <c r="J3553" t="s">
        <v>25</v>
      </c>
      <c r="K3553" t="s">
        <v>53</v>
      </c>
      <c r="L3553" t="s">
        <v>44</v>
      </c>
      <c r="M3553">
        <v>7</v>
      </c>
      <c r="N3553" s="2"/>
      <c r="O3553" s="3">
        <v>8242</v>
      </c>
      <c r="P3553">
        <v>0</v>
      </c>
      <c r="Q3553">
        <v>4</v>
      </c>
      <c r="R3553" t="s">
        <v>28</v>
      </c>
      <c r="S3553">
        <v>1</v>
      </c>
    </row>
    <row r="3554" spans="1:19" ht="16.5" x14ac:dyDescent="0.3">
      <c r="A3554" t="s">
        <v>3617</v>
      </c>
      <c r="B3554" s="1">
        <v>45748</v>
      </c>
      <c r="C3554" s="1">
        <v>45752</v>
      </c>
      <c r="D3554">
        <v>2025</v>
      </c>
      <c r="E3554" t="s">
        <v>836</v>
      </c>
      <c r="F3554" t="s">
        <v>837</v>
      </c>
      <c r="G3554" t="s">
        <v>56</v>
      </c>
      <c r="H3554" t="s">
        <v>30</v>
      </c>
      <c r="I3554" t="s">
        <v>40</v>
      </c>
      <c r="J3554" t="s">
        <v>43</v>
      </c>
      <c r="K3554" t="s">
        <v>36</v>
      </c>
      <c r="L3554" t="s">
        <v>27</v>
      </c>
      <c r="M3554">
        <v>4</v>
      </c>
      <c r="N3554" s="2"/>
      <c r="O3554" s="3">
        <v>3788</v>
      </c>
      <c r="P3554">
        <v>0</v>
      </c>
      <c r="Q3554">
        <v>4</v>
      </c>
      <c r="R3554" t="s">
        <v>33</v>
      </c>
      <c r="S3554">
        <v>1</v>
      </c>
    </row>
    <row r="3555" spans="1:19" ht="16.5" x14ac:dyDescent="0.3">
      <c r="A3555" t="s">
        <v>3618</v>
      </c>
      <c r="B3555" s="1">
        <v>45748</v>
      </c>
      <c r="C3555" s="1">
        <v>45754</v>
      </c>
      <c r="D3555">
        <v>2025</v>
      </c>
      <c r="E3555" t="s">
        <v>836</v>
      </c>
      <c r="F3555" t="s">
        <v>837</v>
      </c>
      <c r="G3555" t="s">
        <v>56</v>
      </c>
      <c r="H3555" t="s">
        <v>30</v>
      </c>
      <c r="I3555" t="s">
        <v>40</v>
      </c>
      <c r="J3555" t="s">
        <v>43</v>
      </c>
      <c r="K3555" t="s">
        <v>53</v>
      </c>
      <c r="L3555" t="s">
        <v>27</v>
      </c>
      <c r="M3555">
        <v>6</v>
      </c>
      <c r="N3555" s="2"/>
      <c r="O3555" s="3">
        <v>6443</v>
      </c>
      <c r="P3555">
        <v>0</v>
      </c>
      <c r="Q3555">
        <v>4</v>
      </c>
      <c r="R3555" t="s">
        <v>28</v>
      </c>
      <c r="S3555">
        <v>1</v>
      </c>
    </row>
    <row r="3556" spans="1:19" ht="16.5" x14ac:dyDescent="0.3">
      <c r="A3556" t="s">
        <v>3619</v>
      </c>
      <c r="B3556" s="1">
        <v>45748</v>
      </c>
      <c r="C3556" s="1">
        <v>45750</v>
      </c>
      <c r="D3556">
        <v>2025</v>
      </c>
      <c r="E3556" t="s">
        <v>836</v>
      </c>
      <c r="F3556" t="s">
        <v>837</v>
      </c>
      <c r="G3556" t="s">
        <v>56</v>
      </c>
      <c r="H3556" t="s">
        <v>52</v>
      </c>
      <c r="I3556" t="s">
        <v>40</v>
      </c>
      <c r="J3556" t="s">
        <v>25</v>
      </c>
      <c r="K3556" t="s">
        <v>53</v>
      </c>
      <c r="L3556" t="s">
        <v>44</v>
      </c>
      <c r="M3556">
        <v>2</v>
      </c>
      <c r="N3556" s="2"/>
      <c r="O3556" s="3">
        <v>2887</v>
      </c>
      <c r="P3556">
        <v>0</v>
      </c>
      <c r="Q3556">
        <v>5</v>
      </c>
      <c r="R3556" t="s">
        <v>33</v>
      </c>
      <c r="S3556">
        <v>1</v>
      </c>
    </row>
    <row r="3557" spans="1:19" ht="16.5" x14ac:dyDescent="0.3">
      <c r="A3557" t="s">
        <v>3620</v>
      </c>
      <c r="B3557" s="1">
        <v>45748</v>
      </c>
      <c r="C3557" s="1">
        <v>45751</v>
      </c>
      <c r="D3557">
        <v>2025</v>
      </c>
      <c r="E3557" t="s">
        <v>836</v>
      </c>
      <c r="F3557" t="s">
        <v>837</v>
      </c>
      <c r="G3557" t="s">
        <v>56</v>
      </c>
      <c r="H3557" t="s">
        <v>30</v>
      </c>
      <c r="I3557" t="s">
        <v>40</v>
      </c>
      <c r="J3557" t="s">
        <v>43</v>
      </c>
      <c r="K3557" t="s">
        <v>32</v>
      </c>
      <c r="L3557" t="s">
        <v>44</v>
      </c>
      <c r="M3557">
        <v>3</v>
      </c>
      <c r="N3557" s="2"/>
      <c r="O3557" s="3">
        <v>3238</v>
      </c>
      <c r="P3557">
        <v>0</v>
      </c>
      <c r="Q3557">
        <v>4</v>
      </c>
      <c r="R3557" t="s">
        <v>33</v>
      </c>
      <c r="S3557">
        <v>1</v>
      </c>
    </row>
    <row r="3558" spans="1:19" ht="16.5" x14ac:dyDescent="0.3">
      <c r="A3558" t="s">
        <v>3621</v>
      </c>
      <c r="B3558" s="1">
        <v>45748</v>
      </c>
      <c r="C3558" s="1">
        <v>45764</v>
      </c>
      <c r="D3558">
        <v>2025</v>
      </c>
      <c r="E3558" t="s">
        <v>836</v>
      </c>
      <c r="F3558" t="s">
        <v>837</v>
      </c>
      <c r="G3558" t="s">
        <v>56</v>
      </c>
      <c r="H3558" t="s">
        <v>23</v>
      </c>
      <c r="I3558" t="s">
        <v>24</v>
      </c>
      <c r="J3558" t="s">
        <v>43</v>
      </c>
      <c r="K3558" t="s">
        <v>32</v>
      </c>
      <c r="L3558" t="s">
        <v>27</v>
      </c>
      <c r="M3558">
        <v>16</v>
      </c>
      <c r="N3558" s="2">
        <v>72</v>
      </c>
      <c r="O3558" s="3">
        <v>7758</v>
      </c>
      <c r="P3558">
        <v>0</v>
      </c>
      <c r="Q3558">
        <v>3</v>
      </c>
      <c r="R3558" t="s">
        <v>33</v>
      </c>
      <c r="S3558">
        <v>1</v>
      </c>
    </row>
    <row r="3559" spans="1:19" ht="16.5" x14ac:dyDescent="0.3">
      <c r="A3559" t="s">
        <v>3622</v>
      </c>
      <c r="B3559" s="1">
        <v>45748</v>
      </c>
      <c r="C3559" s="1">
        <v>45750</v>
      </c>
      <c r="D3559">
        <v>2025</v>
      </c>
      <c r="E3559" t="s">
        <v>836</v>
      </c>
      <c r="F3559" t="s">
        <v>837</v>
      </c>
      <c r="G3559" t="s">
        <v>56</v>
      </c>
      <c r="H3559" t="s">
        <v>39</v>
      </c>
      <c r="I3559" t="s">
        <v>24</v>
      </c>
      <c r="J3559" t="s">
        <v>25</v>
      </c>
      <c r="K3559" t="s">
        <v>41</v>
      </c>
      <c r="L3559" t="s">
        <v>27</v>
      </c>
      <c r="M3559">
        <v>2</v>
      </c>
      <c r="N3559" s="2">
        <v>40</v>
      </c>
      <c r="O3559" s="3">
        <v>2335</v>
      </c>
      <c r="P3559">
        <v>0</v>
      </c>
      <c r="Q3559">
        <v>4</v>
      </c>
      <c r="R3559" t="s">
        <v>33</v>
      </c>
      <c r="S3559">
        <v>1</v>
      </c>
    </row>
    <row r="3560" spans="1:19" ht="16.5" x14ac:dyDescent="0.3">
      <c r="A3560" t="s">
        <v>3623</v>
      </c>
      <c r="B3560" s="1">
        <v>45748</v>
      </c>
      <c r="C3560" s="1">
        <v>45749</v>
      </c>
      <c r="D3560">
        <v>2025</v>
      </c>
      <c r="E3560" t="s">
        <v>836</v>
      </c>
      <c r="F3560" t="s">
        <v>837</v>
      </c>
      <c r="G3560" t="s">
        <v>56</v>
      </c>
      <c r="H3560" t="s">
        <v>35</v>
      </c>
      <c r="I3560" t="s">
        <v>24</v>
      </c>
      <c r="J3560" t="s">
        <v>25</v>
      </c>
      <c r="K3560" t="s">
        <v>32</v>
      </c>
      <c r="L3560" t="s">
        <v>37</v>
      </c>
      <c r="M3560">
        <v>1</v>
      </c>
      <c r="N3560" s="2">
        <v>63</v>
      </c>
      <c r="O3560" s="3">
        <v>1646</v>
      </c>
      <c r="P3560">
        <v>0</v>
      </c>
      <c r="Q3560">
        <v>3</v>
      </c>
      <c r="R3560" t="s">
        <v>28</v>
      </c>
      <c r="S3560">
        <v>1</v>
      </c>
    </row>
    <row r="3561" spans="1:19" ht="16.5" x14ac:dyDescent="0.3">
      <c r="A3561" t="s">
        <v>3624</v>
      </c>
      <c r="B3561" s="1">
        <v>45748</v>
      </c>
      <c r="C3561" s="1">
        <v>45750</v>
      </c>
      <c r="D3561">
        <v>2025</v>
      </c>
      <c r="E3561" t="s">
        <v>836</v>
      </c>
      <c r="F3561" t="s">
        <v>837</v>
      </c>
      <c r="G3561" t="s">
        <v>56</v>
      </c>
      <c r="H3561" t="s">
        <v>30</v>
      </c>
      <c r="I3561" t="s">
        <v>40</v>
      </c>
      <c r="J3561" t="s">
        <v>43</v>
      </c>
      <c r="K3561" t="s">
        <v>53</v>
      </c>
      <c r="L3561" t="s">
        <v>27</v>
      </c>
      <c r="M3561">
        <v>2</v>
      </c>
      <c r="N3561" s="2"/>
      <c r="O3561" s="3">
        <v>2861</v>
      </c>
      <c r="P3561">
        <v>0</v>
      </c>
      <c r="Q3561">
        <v>4</v>
      </c>
      <c r="R3561" t="s">
        <v>33</v>
      </c>
      <c r="S3561">
        <v>1</v>
      </c>
    </row>
    <row r="3562" spans="1:19" ht="16.5" x14ac:dyDescent="0.3">
      <c r="A3562" t="s">
        <v>3625</v>
      </c>
      <c r="B3562" s="1">
        <v>45748</v>
      </c>
      <c r="C3562" s="1">
        <v>45751</v>
      </c>
      <c r="D3562">
        <v>2025</v>
      </c>
      <c r="E3562" t="s">
        <v>836</v>
      </c>
      <c r="F3562" t="s">
        <v>837</v>
      </c>
      <c r="G3562" t="s">
        <v>56</v>
      </c>
      <c r="H3562" t="s">
        <v>39</v>
      </c>
      <c r="I3562" t="s">
        <v>24</v>
      </c>
      <c r="J3562" t="s">
        <v>25</v>
      </c>
      <c r="K3562" t="s">
        <v>41</v>
      </c>
      <c r="L3562" t="s">
        <v>27</v>
      </c>
      <c r="M3562">
        <v>3</v>
      </c>
      <c r="N3562" s="2">
        <v>29</v>
      </c>
      <c r="O3562" s="3">
        <v>2064</v>
      </c>
      <c r="P3562">
        <v>0</v>
      </c>
      <c r="Q3562">
        <v>4</v>
      </c>
      <c r="R3562" t="s">
        <v>33</v>
      </c>
      <c r="S3562">
        <v>1</v>
      </c>
    </row>
    <row r="3563" spans="1:19" ht="16.5" x14ac:dyDescent="0.3">
      <c r="A3563" t="s">
        <v>3626</v>
      </c>
      <c r="B3563" s="1">
        <v>45748</v>
      </c>
      <c r="C3563" s="1">
        <v>45749</v>
      </c>
      <c r="D3563">
        <v>2025</v>
      </c>
      <c r="E3563" t="s">
        <v>836</v>
      </c>
      <c r="F3563" t="s">
        <v>837</v>
      </c>
      <c r="G3563" t="s">
        <v>56</v>
      </c>
      <c r="H3563" t="s">
        <v>39</v>
      </c>
      <c r="I3563" t="s">
        <v>40</v>
      </c>
      <c r="J3563" t="s">
        <v>43</v>
      </c>
      <c r="K3563" t="s">
        <v>41</v>
      </c>
      <c r="L3563" t="s">
        <v>37</v>
      </c>
      <c r="M3563">
        <v>1</v>
      </c>
      <c r="N3563" s="2"/>
      <c r="O3563" s="3">
        <v>1405</v>
      </c>
      <c r="P3563">
        <v>0</v>
      </c>
      <c r="Q3563">
        <v>5</v>
      </c>
      <c r="R3563" t="s">
        <v>28</v>
      </c>
      <c r="S3563">
        <v>1</v>
      </c>
    </row>
    <row r="3564" spans="1:19" ht="16.5" x14ac:dyDescent="0.3">
      <c r="A3564" t="s">
        <v>3627</v>
      </c>
      <c r="B3564" s="1">
        <v>45748</v>
      </c>
      <c r="C3564" s="1">
        <v>45754</v>
      </c>
      <c r="D3564">
        <v>2025</v>
      </c>
      <c r="E3564" t="s">
        <v>836</v>
      </c>
      <c r="F3564" t="s">
        <v>837</v>
      </c>
      <c r="G3564" t="s">
        <v>56</v>
      </c>
      <c r="H3564" t="s">
        <v>23</v>
      </c>
      <c r="I3564" t="s">
        <v>24</v>
      </c>
      <c r="J3564" t="s">
        <v>25</v>
      </c>
      <c r="K3564" t="s">
        <v>36</v>
      </c>
      <c r="L3564" t="s">
        <v>44</v>
      </c>
      <c r="M3564">
        <v>6</v>
      </c>
      <c r="N3564" s="2">
        <v>46</v>
      </c>
      <c r="O3564" s="3">
        <v>3840</v>
      </c>
      <c r="P3564">
        <v>0</v>
      </c>
      <c r="Q3564">
        <v>4</v>
      </c>
      <c r="R3564" t="s">
        <v>28</v>
      </c>
      <c r="S3564">
        <v>1</v>
      </c>
    </row>
    <row r="3565" spans="1:19" ht="16.5" x14ac:dyDescent="0.3">
      <c r="A3565" t="s">
        <v>3628</v>
      </c>
      <c r="B3565" s="1">
        <v>45748</v>
      </c>
      <c r="C3565" s="1">
        <v>45749</v>
      </c>
      <c r="D3565">
        <v>2025</v>
      </c>
      <c r="E3565" t="s">
        <v>836</v>
      </c>
      <c r="F3565" t="s">
        <v>837</v>
      </c>
      <c r="G3565" t="s">
        <v>56</v>
      </c>
      <c r="H3565" t="s">
        <v>30</v>
      </c>
      <c r="I3565" t="s">
        <v>40</v>
      </c>
      <c r="J3565" t="s">
        <v>43</v>
      </c>
      <c r="K3565" t="s">
        <v>32</v>
      </c>
      <c r="L3565" t="s">
        <v>27</v>
      </c>
      <c r="M3565">
        <v>1</v>
      </c>
      <c r="N3565" s="2"/>
      <c r="O3565" s="3">
        <v>1718</v>
      </c>
      <c r="P3565">
        <v>0</v>
      </c>
      <c r="Q3565">
        <v>4</v>
      </c>
      <c r="R3565" t="s">
        <v>33</v>
      </c>
      <c r="S3565">
        <v>1</v>
      </c>
    </row>
    <row r="3566" spans="1:19" ht="16.5" x14ac:dyDescent="0.3">
      <c r="A3566" t="s">
        <v>3629</v>
      </c>
      <c r="B3566" s="1">
        <v>45749</v>
      </c>
      <c r="C3566" s="1">
        <v>45754</v>
      </c>
      <c r="D3566">
        <v>2025</v>
      </c>
      <c r="E3566" t="s">
        <v>836</v>
      </c>
      <c r="F3566" t="s">
        <v>837</v>
      </c>
      <c r="G3566" t="s">
        <v>70</v>
      </c>
      <c r="H3566" t="s">
        <v>39</v>
      </c>
      <c r="I3566" t="s">
        <v>24</v>
      </c>
      <c r="J3566" t="s">
        <v>25</v>
      </c>
      <c r="K3566" t="s">
        <v>41</v>
      </c>
      <c r="L3566" t="s">
        <v>44</v>
      </c>
      <c r="M3566">
        <v>5</v>
      </c>
      <c r="N3566" s="2">
        <v>46</v>
      </c>
      <c r="O3566" s="3">
        <v>3803</v>
      </c>
      <c r="P3566">
        <v>0</v>
      </c>
      <c r="Q3566">
        <v>4</v>
      </c>
      <c r="R3566" t="s">
        <v>33</v>
      </c>
      <c r="S3566">
        <v>1</v>
      </c>
    </row>
    <row r="3567" spans="1:19" ht="16.5" x14ac:dyDescent="0.3">
      <c r="A3567" t="s">
        <v>3630</v>
      </c>
      <c r="B3567" s="1">
        <v>45749</v>
      </c>
      <c r="C3567" s="1">
        <v>45751</v>
      </c>
      <c r="D3567">
        <v>2025</v>
      </c>
      <c r="E3567" t="s">
        <v>836</v>
      </c>
      <c r="F3567" t="s">
        <v>837</v>
      </c>
      <c r="G3567" t="s">
        <v>70</v>
      </c>
      <c r="H3567" t="s">
        <v>30</v>
      </c>
      <c r="I3567" t="s">
        <v>40</v>
      </c>
      <c r="J3567" t="s">
        <v>43</v>
      </c>
      <c r="K3567" t="s">
        <v>26</v>
      </c>
      <c r="L3567" t="s">
        <v>27</v>
      </c>
      <c r="M3567">
        <v>2</v>
      </c>
      <c r="N3567" s="2"/>
      <c r="O3567" s="3">
        <v>3437</v>
      </c>
      <c r="P3567">
        <v>0</v>
      </c>
      <c r="Q3567">
        <v>5</v>
      </c>
      <c r="R3567" t="s">
        <v>33</v>
      </c>
      <c r="S3567">
        <v>1</v>
      </c>
    </row>
    <row r="3568" spans="1:19" ht="16.5" x14ac:dyDescent="0.3">
      <c r="A3568" t="s">
        <v>3631</v>
      </c>
      <c r="B3568" s="1">
        <v>45749</v>
      </c>
      <c r="C3568" s="1">
        <v>45750</v>
      </c>
      <c r="D3568">
        <v>2025</v>
      </c>
      <c r="E3568" t="s">
        <v>836</v>
      </c>
      <c r="F3568" t="s">
        <v>837</v>
      </c>
      <c r="G3568" t="s">
        <v>70</v>
      </c>
      <c r="H3568" t="s">
        <v>35</v>
      </c>
      <c r="I3568" t="s">
        <v>40</v>
      </c>
      <c r="J3568" t="s">
        <v>25</v>
      </c>
      <c r="K3568" t="s">
        <v>32</v>
      </c>
      <c r="L3568" t="s">
        <v>27</v>
      </c>
      <c r="M3568">
        <v>1</v>
      </c>
      <c r="N3568" s="2"/>
      <c r="O3568" s="3">
        <v>1535</v>
      </c>
      <c r="P3568">
        <v>0</v>
      </c>
      <c r="Q3568">
        <v>4</v>
      </c>
      <c r="R3568" t="s">
        <v>33</v>
      </c>
      <c r="S3568">
        <v>1</v>
      </c>
    </row>
    <row r="3569" spans="1:19" ht="16.5" x14ac:dyDescent="0.3">
      <c r="A3569" t="s">
        <v>3632</v>
      </c>
      <c r="B3569" s="1">
        <v>45749</v>
      </c>
      <c r="C3569" s="1">
        <v>45752</v>
      </c>
      <c r="D3569">
        <v>2025</v>
      </c>
      <c r="E3569" t="s">
        <v>836</v>
      </c>
      <c r="F3569" t="s">
        <v>837</v>
      </c>
      <c r="G3569" t="s">
        <v>70</v>
      </c>
      <c r="H3569" t="s">
        <v>23</v>
      </c>
      <c r="I3569" t="s">
        <v>24</v>
      </c>
      <c r="J3569" t="s">
        <v>43</v>
      </c>
      <c r="K3569" t="s">
        <v>36</v>
      </c>
      <c r="L3569" t="s">
        <v>44</v>
      </c>
      <c r="M3569">
        <v>3</v>
      </c>
      <c r="N3569" s="2">
        <v>50</v>
      </c>
      <c r="O3569" s="3">
        <v>2841</v>
      </c>
      <c r="P3569">
        <v>0</v>
      </c>
      <c r="Q3569">
        <v>4</v>
      </c>
      <c r="R3569" t="s">
        <v>33</v>
      </c>
      <c r="S3569">
        <v>1</v>
      </c>
    </row>
    <row r="3570" spans="1:19" ht="16.5" x14ac:dyDescent="0.3">
      <c r="A3570" t="s">
        <v>3633</v>
      </c>
      <c r="B3570" s="1">
        <v>45749</v>
      </c>
      <c r="C3570" s="1">
        <v>45752</v>
      </c>
      <c r="D3570">
        <v>2025</v>
      </c>
      <c r="E3570" t="s">
        <v>836</v>
      </c>
      <c r="F3570" t="s">
        <v>837</v>
      </c>
      <c r="G3570" t="s">
        <v>70</v>
      </c>
      <c r="H3570" t="s">
        <v>35</v>
      </c>
      <c r="I3570" t="s">
        <v>31</v>
      </c>
      <c r="J3570" t="s">
        <v>25</v>
      </c>
      <c r="K3570" t="s">
        <v>36</v>
      </c>
      <c r="L3570" t="s">
        <v>44</v>
      </c>
      <c r="M3570">
        <v>3</v>
      </c>
      <c r="N3570" s="2"/>
      <c r="O3570" s="3">
        <v>2649</v>
      </c>
      <c r="P3570">
        <v>0</v>
      </c>
      <c r="Q3570">
        <v>5</v>
      </c>
      <c r="R3570" t="s">
        <v>33</v>
      </c>
      <c r="S3570">
        <v>1</v>
      </c>
    </row>
    <row r="3571" spans="1:19" ht="16.5" x14ac:dyDescent="0.3">
      <c r="A3571" t="s">
        <v>3634</v>
      </c>
      <c r="B3571" s="1">
        <v>45749</v>
      </c>
      <c r="C3571" s="1">
        <v>45751</v>
      </c>
      <c r="D3571">
        <v>2025</v>
      </c>
      <c r="E3571" t="s">
        <v>836</v>
      </c>
      <c r="F3571" t="s">
        <v>837</v>
      </c>
      <c r="G3571" t="s">
        <v>70</v>
      </c>
      <c r="H3571" t="s">
        <v>30</v>
      </c>
      <c r="I3571" t="s">
        <v>40</v>
      </c>
      <c r="J3571" t="s">
        <v>25</v>
      </c>
      <c r="K3571" t="s">
        <v>32</v>
      </c>
      <c r="L3571" t="s">
        <v>27</v>
      </c>
      <c r="M3571">
        <v>2</v>
      </c>
      <c r="N3571" s="2"/>
      <c r="O3571" s="3">
        <v>2522</v>
      </c>
      <c r="P3571">
        <v>0</v>
      </c>
      <c r="Q3571">
        <v>4</v>
      </c>
      <c r="R3571" t="s">
        <v>33</v>
      </c>
      <c r="S3571">
        <v>1</v>
      </c>
    </row>
    <row r="3572" spans="1:19" ht="16.5" x14ac:dyDescent="0.3">
      <c r="A3572" t="s">
        <v>3635</v>
      </c>
      <c r="B3572" s="1">
        <v>45749</v>
      </c>
      <c r="C3572" s="1">
        <v>45753</v>
      </c>
      <c r="D3572">
        <v>2025</v>
      </c>
      <c r="E3572" t="s">
        <v>836</v>
      </c>
      <c r="F3572" t="s">
        <v>837</v>
      </c>
      <c r="G3572" t="s">
        <v>70</v>
      </c>
      <c r="H3572" t="s">
        <v>30</v>
      </c>
      <c r="I3572" t="s">
        <v>24</v>
      </c>
      <c r="J3572" t="s">
        <v>43</v>
      </c>
      <c r="K3572" t="s">
        <v>26</v>
      </c>
      <c r="L3572" t="s">
        <v>44</v>
      </c>
      <c r="M3572">
        <v>4</v>
      </c>
      <c r="N3572" s="2">
        <v>88</v>
      </c>
      <c r="O3572" s="3">
        <v>3375</v>
      </c>
      <c r="P3572">
        <v>0</v>
      </c>
      <c r="Q3572">
        <v>4</v>
      </c>
      <c r="R3572" t="s">
        <v>33</v>
      </c>
      <c r="S3572">
        <v>1</v>
      </c>
    </row>
    <row r="3573" spans="1:19" ht="16.5" x14ac:dyDescent="0.3">
      <c r="A3573" t="s">
        <v>3636</v>
      </c>
      <c r="B3573" s="1">
        <v>45749</v>
      </c>
      <c r="C3573" s="1">
        <v>45754</v>
      </c>
      <c r="D3573">
        <v>2025</v>
      </c>
      <c r="E3573" t="s">
        <v>836</v>
      </c>
      <c r="F3573" t="s">
        <v>837</v>
      </c>
      <c r="G3573" t="s">
        <v>70</v>
      </c>
      <c r="H3573" t="s">
        <v>23</v>
      </c>
      <c r="I3573" t="s">
        <v>24</v>
      </c>
      <c r="J3573" t="s">
        <v>25</v>
      </c>
      <c r="K3573" t="s">
        <v>26</v>
      </c>
      <c r="L3573" t="s">
        <v>27</v>
      </c>
      <c r="M3573">
        <v>5</v>
      </c>
      <c r="N3573" s="2">
        <v>25</v>
      </c>
      <c r="O3573" s="3">
        <v>4127</v>
      </c>
      <c r="P3573">
        <v>1</v>
      </c>
      <c r="Q3573">
        <v>4</v>
      </c>
      <c r="R3573" t="s">
        <v>33</v>
      </c>
      <c r="S3573">
        <v>1</v>
      </c>
    </row>
    <row r="3574" spans="1:19" ht="16.5" x14ac:dyDescent="0.3">
      <c r="A3574" t="s">
        <v>3637</v>
      </c>
      <c r="B3574" s="1">
        <v>45749</v>
      </c>
      <c r="C3574" s="1">
        <v>45750</v>
      </c>
      <c r="D3574">
        <v>2025</v>
      </c>
      <c r="E3574" t="s">
        <v>836</v>
      </c>
      <c r="F3574" t="s">
        <v>837</v>
      </c>
      <c r="G3574" t="s">
        <v>70</v>
      </c>
      <c r="H3574" t="s">
        <v>39</v>
      </c>
      <c r="I3574" t="s">
        <v>40</v>
      </c>
      <c r="J3574" t="s">
        <v>25</v>
      </c>
      <c r="K3574" t="s">
        <v>41</v>
      </c>
      <c r="L3574" t="s">
        <v>27</v>
      </c>
      <c r="M3574">
        <v>1</v>
      </c>
      <c r="N3574" s="2"/>
      <c r="O3574" s="3">
        <v>1379</v>
      </c>
      <c r="P3574">
        <v>0</v>
      </c>
      <c r="Q3574">
        <v>4</v>
      </c>
      <c r="R3574" t="s">
        <v>33</v>
      </c>
      <c r="S3574">
        <v>1</v>
      </c>
    </row>
    <row r="3575" spans="1:19" ht="16.5" x14ac:dyDescent="0.3">
      <c r="A3575" t="s">
        <v>3638</v>
      </c>
      <c r="B3575" s="1">
        <v>45750</v>
      </c>
      <c r="C3575" s="1">
        <v>45755</v>
      </c>
      <c r="D3575">
        <v>2025</v>
      </c>
      <c r="E3575" t="s">
        <v>836</v>
      </c>
      <c r="F3575" t="s">
        <v>837</v>
      </c>
      <c r="G3575" t="s">
        <v>78</v>
      </c>
      <c r="H3575" t="s">
        <v>39</v>
      </c>
      <c r="I3575" t="s">
        <v>24</v>
      </c>
      <c r="J3575" t="s">
        <v>25</v>
      </c>
      <c r="K3575" t="s">
        <v>41</v>
      </c>
      <c r="L3575" t="s">
        <v>27</v>
      </c>
      <c r="M3575">
        <v>5</v>
      </c>
      <c r="N3575" s="2">
        <v>66</v>
      </c>
      <c r="O3575" s="3">
        <v>3406</v>
      </c>
      <c r="P3575">
        <v>1</v>
      </c>
      <c r="Q3575">
        <v>3</v>
      </c>
      <c r="R3575" t="s">
        <v>33</v>
      </c>
      <c r="S3575">
        <v>1</v>
      </c>
    </row>
    <row r="3576" spans="1:19" ht="16.5" x14ac:dyDescent="0.3">
      <c r="A3576" t="s">
        <v>3639</v>
      </c>
      <c r="B3576" s="1">
        <v>45750</v>
      </c>
      <c r="C3576" s="1">
        <v>45756</v>
      </c>
      <c r="D3576">
        <v>2025</v>
      </c>
      <c r="E3576" t="s">
        <v>836</v>
      </c>
      <c r="F3576" t="s">
        <v>837</v>
      </c>
      <c r="G3576" t="s">
        <v>78</v>
      </c>
      <c r="H3576" t="s">
        <v>23</v>
      </c>
      <c r="I3576" t="s">
        <v>40</v>
      </c>
      <c r="J3576" t="s">
        <v>43</v>
      </c>
      <c r="K3576" t="s">
        <v>32</v>
      </c>
      <c r="L3576" t="s">
        <v>44</v>
      </c>
      <c r="M3576">
        <v>6</v>
      </c>
      <c r="N3576" s="2"/>
      <c r="O3576" s="3">
        <v>5297</v>
      </c>
      <c r="P3576">
        <v>0</v>
      </c>
      <c r="Q3576">
        <v>4</v>
      </c>
      <c r="R3576" t="s">
        <v>33</v>
      </c>
      <c r="S3576">
        <v>1</v>
      </c>
    </row>
    <row r="3577" spans="1:19" ht="16.5" x14ac:dyDescent="0.3">
      <c r="A3577" t="s">
        <v>3640</v>
      </c>
      <c r="B3577" s="1">
        <v>45750</v>
      </c>
      <c r="C3577" s="1">
        <v>45756</v>
      </c>
      <c r="D3577">
        <v>2025</v>
      </c>
      <c r="E3577" t="s">
        <v>836</v>
      </c>
      <c r="F3577" t="s">
        <v>837</v>
      </c>
      <c r="G3577" t="s">
        <v>78</v>
      </c>
      <c r="H3577" t="s">
        <v>35</v>
      </c>
      <c r="I3577" t="s">
        <v>40</v>
      </c>
      <c r="J3577" t="s">
        <v>25</v>
      </c>
      <c r="K3577" t="s">
        <v>32</v>
      </c>
      <c r="L3577" t="s">
        <v>27</v>
      </c>
      <c r="M3577">
        <v>6</v>
      </c>
      <c r="N3577" s="2"/>
      <c r="O3577" s="3">
        <v>4582</v>
      </c>
      <c r="P3577">
        <v>0</v>
      </c>
      <c r="Q3577">
        <v>4</v>
      </c>
      <c r="R3577" t="s">
        <v>28</v>
      </c>
      <c r="S3577">
        <v>1</v>
      </c>
    </row>
    <row r="3578" spans="1:19" ht="16.5" x14ac:dyDescent="0.3">
      <c r="A3578" t="s">
        <v>3641</v>
      </c>
      <c r="B3578" s="1">
        <v>45750</v>
      </c>
      <c r="C3578" s="1">
        <v>45758</v>
      </c>
      <c r="D3578">
        <v>2025</v>
      </c>
      <c r="E3578" t="s">
        <v>836</v>
      </c>
      <c r="F3578" t="s">
        <v>837</v>
      </c>
      <c r="G3578" t="s">
        <v>78</v>
      </c>
      <c r="H3578" t="s">
        <v>50</v>
      </c>
      <c r="I3578" t="s">
        <v>24</v>
      </c>
      <c r="J3578" t="s">
        <v>25</v>
      </c>
      <c r="K3578" t="s">
        <v>36</v>
      </c>
      <c r="L3578" t="s">
        <v>37</v>
      </c>
      <c r="M3578">
        <v>8</v>
      </c>
      <c r="N3578" s="2">
        <v>67</v>
      </c>
      <c r="O3578" s="3">
        <v>8976</v>
      </c>
      <c r="P3578">
        <v>0</v>
      </c>
      <c r="Q3578">
        <v>5</v>
      </c>
      <c r="R3578" t="s">
        <v>33</v>
      </c>
      <c r="S3578">
        <v>1</v>
      </c>
    </row>
    <row r="3579" spans="1:19" ht="16.5" x14ac:dyDescent="0.3">
      <c r="A3579" t="s">
        <v>3642</v>
      </c>
      <c r="B3579" s="1">
        <v>45750</v>
      </c>
      <c r="C3579" s="1">
        <v>45751</v>
      </c>
      <c r="D3579">
        <v>2025</v>
      </c>
      <c r="E3579" t="s">
        <v>836</v>
      </c>
      <c r="F3579" t="s">
        <v>837</v>
      </c>
      <c r="G3579" t="s">
        <v>78</v>
      </c>
      <c r="H3579" t="s">
        <v>52</v>
      </c>
      <c r="I3579" t="s">
        <v>24</v>
      </c>
      <c r="J3579" t="s">
        <v>25</v>
      </c>
      <c r="K3579" t="s">
        <v>36</v>
      </c>
      <c r="L3579" t="s">
        <v>27</v>
      </c>
      <c r="M3579">
        <v>1</v>
      </c>
      <c r="N3579" s="2">
        <v>51</v>
      </c>
      <c r="O3579" s="3">
        <v>2145</v>
      </c>
      <c r="P3579">
        <v>0</v>
      </c>
      <c r="Q3579">
        <v>4</v>
      </c>
      <c r="R3579" t="s">
        <v>33</v>
      </c>
      <c r="S3579">
        <v>1</v>
      </c>
    </row>
    <row r="3580" spans="1:19" ht="16.5" x14ac:dyDescent="0.3">
      <c r="A3580" t="s">
        <v>3643</v>
      </c>
      <c r="B3580" s="1">
        <v>45750</v>
      </c>
      <c r="C3580" s="1">
        <v>45752</v>
      </c>
      <c r="D3580">
        <v>2025</v>
      </c>
      <c r="E3580" t="s">
        <v>836</v>
      </c>
      <c r="F3580" t="s">
        <v>837</v>
      </c>
      <c r="G3580" t="s">
        <v>78</v>
      </c>
      <c r="H3580" t="s">
        <v>52</v>
      </c>
      <c r="I3580" t="s">
        <v>40</v>
      </c>
      <c r="J3580" t="s">
        <v>43</v>
      </c>
      <c r="K3580" t="s">
        <v>32</v>
      </c>
      <c r="L3580" t="s">
        <v>44</v>
      </c>
      <c r="M3580">
        <v>2</v>
      </c>
      <c r="N3580" s="2"/>
      <c r="O3580" s="3">
        <v>2181</v>
      </c>
      <c r="P3580">
        <v>0</v>
      </c>
      <c r="Q3580">
        <v>5</v>
      </c>
      <c r="R3580" t="s">
        <v>33</v>
      </c>
      <c r="S3580">
        <v>1</v>
      </c>
    </row>
    <row r="3581" spans="1:19" ht="16.5" x14ac:dyDescent="0.3">
      <c r="A3581" t="s">
        <v>3644</v>
      </c>
      <c r="B3581" s="1">
        <v>45750</v>
      </c>
      <c r="C3581" s="1">
        <v>45760</v>
      </c>
      <c r="D3581">
        <v>2025</v>
      </c>
      <c r="E3581" t="s">
        <v>836</v>
      </c>
      <c r="F3581" t="s">
        <v>837</v>
      </c>
      <c r="G3581" t="s">
        <v>78</v>
      </c>
      <c r="H3581" t="s">
        <v>23</v>
      </c>
      <c r="I3581" t="s">
        <v>24</v>
      </c>
      <c r="J3581" t="s">
        <v>43</v>
      </c>
      <c r="K3581" t="s">
        <v>36</v>
      </c>
      <c r="L3581" t="s">
        <v>37</v>
      </c>
      <c r="M3581">
        <v>10</v>
      </c>
      <c r="N3581" s="2">
        <v>46</v>
      </c>
      <c r="O3581" s="3">
        <v>6900</v>
      </c>
      <c r="P3581">
        <v>0</v>
      </c>
      <c r="Q3581">
        <v>4</v>
      </c>
      <c r="R3581" t="s">
        <v>33</v>
      </c>
      <c r="S3581">
        <v>1</v>
      </c>
    </row>
    <row r="3582" spans="1:19" ht="16.5" x14ac:dyDescent="0.3">
      <c r="A3582" t="s">
        <v>3645</v>
      </c>
      <c r="B3582" s="1">
        <v>45750</v>
      </c>
      <c r="C3582" s="1">
        <v>45763</v>
      </c>
      <c r="D3582">
        <v>2025</v>
      </c>
      <c r="E3582" t="s">
        <v>836</v>
      </c>
      <c r="F3582" t="s">
        <v>837</v>
      </c>
      <c r="G3582" t="s">
        <v>78</v>
      </c>
      <c r="H3582" t="s">
        <v>23</v>
      </c>
      <c r="I3582" t="s">
        <v>40</v>
      </c>
      <c r="J3582" t="s">
        <v>43</v>
      </c>
      <c r="K3582" t="s">
        <v>26</v>
      </c>
      <c r="L3582" t="s">
        <v>44</v>
      </c>
      <c r="M3582">
        <v>13</v>
      </c>
      <c r="N3582" s="2"/>
      <c r="O3582" s="3">
        <v>11500</v>
      </c>
      <c r="P3582">
        <v>0</v>
      </c>
      <c r="Q3582">
        <v>4</v>
      </c>
      <c r="R3582" t="s">
        <v>33</v>
      </c>
      <c r="S3582">
        <v>1</v>
      </c>
    </row>
    <row r="3583" spans="1:19" ht="16.5" x14ac:dyDescent="0.3">
      <c r="A3583" t="s">
        <v>3646</v>
      </c>
      <c r="B3583" s="1">
        <v>45751</v>
      </c>
      <c r="C3583" s="1">
        <v>45752</v>
      </c>
      <c r="D3583">
        <v>2025</v>
      </c>
      <c r="E3583" t="s">
        <v>836</v>
      </c>
      <c r="F3583" t="s">
        <v>837</v>
      </c>
      <c r="G3583" t="s">
        <v>83</v>
      </c>
      <c r="H3583" t="s">
        <v>50</v>
      </c>
      <c r="I3583" t="s">
        <v>24</v>
      </c>
      <c r="J3583" t="s">
        <v>25</v>
      </c>
      <c r="K3583" t="s">
        <v>53</v>
      </c>
      <c r="L3583" t="s">
        <v>27</v>
      </c>
      <c r="M3583">
        <v>1</v>
      </c>
      <c r="N3583" s="2">
        <v>139</v>
      </c>
      <c r="O3583" s="3">
        <v>2108</v>
      </c>
      <c r="P3583">
        <v>0</v>
      </c>
      <c r="Q3583">
        <v>4</v>
      </c>
      <c r="R3583" t="s">
        <v>33</v>
      </c>
      <c r="S3583">
        <v>1</v>
      </c>
    </row>
    <row r="3584" spans="1:19" ht="16.5" x14ac:dyDescent="0.3">
      <c r="A3584" t="s">
        <v>3647</v>
      </c>
      <c r="B3584" s="1">
        <v>45751</v>
      </c>
      <c r="C3584" s="1">
        <v>45756</v>
      </c>
      <c r="D3584">
        <v>2025</v>
      </c>
      <c r="E3584" t="s">
        <v>836</v>
      </c>
      <c r="F3584" t="s">
        <v>837</v>
      </c>
      <c r="G3584" t="s">
        <v>83</v>
      </c>
      <c r="H3584" t="s">
        <v>23</v>
      </c>
      <c r="I3584" t="s">
        <v>40</v>
      </c>
      <c r="J3584" t="s">
        <v>43</v>
      </c>
      <c r="K3584" t="s">
        <v>26</v>
      </c>
      <c r="L3584" t="s">
        <v>44</v>
      </c>
      <c r="M3584">
        <v>5</v>
      </c>
      <c r="N3584" s="2"/>
      <c r="O3584" s="3">
        <v>4230</v>
      </c>
      <c r="P3584">
        <v>0</v>
      </c>
      <c r="Q3584">
        <v>4</v>
      </c>
      <c r="R3584" t="s">
        <v>33</v>
      </c>
      <c r="S3584">
        <v>1</v>
      </c>
    </row>
    <row r="3585" spans="1:19" ht="16.5" x14ac:dyDescent="0.3">
      <c r="A3585" t="s">
        <v>3648</v>
      </c>
      <c r="B3585" s="1">
        <v>45751</v>
      </c>
      <c r="C3585" s="1">
        <v>45752</v>
      </c>
      <c r="D3585">
        <v>2025</v>
      </c>
      <c r="E3585" t="s">
        <v>836</v>
      </c>
      <c r="F3585" t="s">
        <v>837</v>
      </c>
      <c r="G3585" t="s">
        <v>83</v>
      </c>
      <c r="H3585" t="s">
        <v>52</v>
      </c>
      <c r="I3585" t="s">
        <v>24</v>
      </c>
      <c r="J3585" t="s">
        <v>43</v>
      </c>
      <c r="K3585" t="s">
        <v>26</v>
      </c>
      <c r="L3585" t="s">
        <v>27</v>
      </c>
      <c r="M3585">
        <v>1</v>
      </c>
      <c r="N3585" s="2">
        <v>43</v>
      </c>
      <c r="O3585" s="3">
        <v>1802</v>
      </c>
      <c r="P3585">
        <v>0</v>
      </c>
      <c r="Q3585">
        <v>5</v>
      </c>
      <c r="R3585" t="s">
        <v>33</v>
      </c>
      <c r="S3585">
        <v>1</v>
      </c>
    </row>
    <row r="3586" spans="1:19" ht="16.5" x14ac:dyDescent="0.3">
      <c r="A3586" t="s">
        <v>3649</v>
      </c>
      <c r="B3586" s="1">
        <v>45751</v>
      </c>
      <c r="C3586" s="1">
        <v>45760</v>
      </c>
      <c r="D3586">
        <v>2025</v>
      </c>
      <c r="E3586" t="s">
        <v>836</v>
      </c>
      <c r="F3586" t="s">
        <v>837</v>
      </c>
      <c r="G3586" t="s">
        <v>83</v>
      </c>
      <c r="H3586" t="s">
        <v>23</v>
      </c>
      <c r="I3586" t="s">
        <v>40</v>
      </c>
      <c r="J3586" t="s">
        <v>25</v>
      </c>
      <c r="K3586" t="s">
        <v>53</v>
      </c>
      <c r="L3586" t="s">
        <v>44</v>
      </c>
      <c r="M3586">
        <v>9</v>
      </c>
      <c r="N3586" s="2"/>
      <c r="O3586" s="3">
        <v>5550</v>
      </c>
      <c r="P3586">
        <v>0</v>
      </c>
      <c r="Q3586">
        <v>4</v>
      </c>
      <c r="R3586" t="s">
        <v>28</v>
      </c>
      <c r="S3586">
        <v>1</v>
      </c>
    </row>
    <row r="3587" spans="1:19" ht="16.5" x14ac:dyDescent="0.3">
      <c r="A3587" t="s">
        <v>3650</v>
      </c>
      <c r="B3587" s="1">
        <v>45751</v>
      </c>
      <c r="C3587" s="1">
        <v>45764</v>
      </c>
      <c r="D3587">
        <v>2025</v>
      </c>
      <c r="E3587" t="s">
        <v>836</v>
      </c>
      <c r="F3587" t="s">
        <v>837</v>
      </c>
      <c r="G3587" t="s">
        <v>83</v>
      </c>
      <c r="H3587" t="s">
        <v>52</v>
      </c>
      <c r="I3587" t="s">
        <v>24</v>
      </c>
      <c r="J3587" t="s">
        <v>25</v>
      </c>
      <c r="K3587" t="s">
        <v>26</v>
      </c>
      <c r="L3587" t="s">
        <v>44</v>
      </c>
      <c r="M3587">
        <v>13</v>
      </c>
      <c r="N3587" s="2">
        <v>65</v>
      </c>
      <c r="O3587" s="3">
        <v>12748</v>
      </c>
      <c r="P3587">
        <v>0</v>
      </c>
      <c r="Q3587">
        <v>4</v>
      </c>
      <c r="R3587" t="s">
        <v>28</v>
      </c>
      <c r="S3587">
        <v>1</v>
      </c>
    </row>
    <row r="3588" spans="1:19" ht="16.5" x14ac:dyDescent="0.3">
      <c r="A3588" t="s">
        <v>3651</v>
      </c>
      <c r="B3588" s="1">
        <v>45751</v>
      </c>
      <c r="C3588" s="1">
        <v>45753</v>
      </c>
      <c r="D3588">
        <v>2025</v>
      </c>
      <c r="E3588" t="s">
        <v>836</v>
      </c>
      <c r="F3588" t="s">
        <v>837</v>
      </c>
      <c r="G3588" t="s">
        <v>83</v>
      </c>
      <c r="H3588" t="s">
        <v>30</v>
      </c>
      <c r="I3588" t="s">
        <v>24</v>
      </c>
      <c r="J3588" t="s">
        <v>25</v>
      </c>
      <c r="K3588" t="s">
        <v>32</v>
      </c>
      <c r="L3588" t="s">
        <v>27</v>
      </c>
      <c r="M3588">
        <v>2</v>
      </c>
      <c r="N3588" s="2">
        <v>63</v>
      </c>
      <c r="O3588" s="3">
        <v>3276</v>
      </c>
      <c r="P3588">
        <v>1</v>
      </c>
      <c r="Q3588">
        <v>4</v>
      </c>
      <c r="R3588" t="s">
        <v>33</v>
      </c>
      <c r="S3588">
        <v>1</v>
      </c>
    </row>
    <row r="3589" spans="1:19" ht="16.5" x14ac:dyDescent="0.3">
      <c r="A3589" t="s">
        <v>3652</v>
      </c>
      <c r="B3589" s="1">
        <v>45751</v>
      </c>
      <c r="C3589" s="1">
        <v>45754</v>
      </c>
      <c r="D3589">
        <v>2025</v>
      </c>
      <c r="E3589" t="s">
        <v>836</v>
      </c>
      <c r="F3589" t="s">
        <v>837</v>
      </c>
      <c r="G3589" t="s">
        <v>83</v>
      </c>
      <c r="H3589" t="s">
        <v>30</v>
      </c>
      <c r="I3589" t="s">
        <v>40</v>
      </c>
      <c r="J3589" t="s">
        <v>25</v>
      </c>
      <c r="K3589" t="s">
        <v>26</v>
      </c>
      <c r="L3589" t="s">
        <v>27</v>
      </c>
      <c r="M3589">
        <v>3</v>
      </c>
      <c r="N3589" s="2"/>
      <c r="O3589" s="3">
        <v>3420</v>
      </c>
      <c r="P3589">
        <v>0</v>
      </c>
      <c r="Q3589">
        <v>5</v>
      </c>
      <c r="R3589" t="s">
        <v>33</v>
      </c>
      <c r="S3589">
        <v>1</v>
      </c>
    </row>
    <row r="3590" spans="1:19" ht="16.5" x14ac:dyDescent="0.3">
      <c r="A3590" t="s">
        <v>3653</v>
      </c>
      <c r="B3590" s="1">
        <v>45751</v>
      </c>
      <c r="C3590" s="1">
        <v>45753</v>
      </c>
      <c r="D3590">
        <v>2025</v>
      </c>
      <c r="E3590" t="s">
        <v>836</v>
      </c>
      <c r="F3590" t="s">
        <v>837</v>
      </c>
      <c r="G3590" t="s">
        <v>83</v>
      </c>
      <c r="H3590" t="s">
        <v>23</v>
      </c>
      <c r="I3590" t="s">
        <v>40</v>
      </c>
      <c r="J3590" t="s">
        <v>43</v>
      </c>
      <c r="K3590" t="s">
        <v>26</v>
      </c>
      <c r="L3590" t="s">
        <v>44</v>
      </c>
      <c r="M3590">
        <v>2</v>
      </c>
      <c r="N3590" s="2"/>
      <c r="O3590" s="3">
        <v>2387</v>
      </c>
      <c r="P3590">
        <v>0</v>
      </c>
      <c r="Q3590">
        <v>4</v>
      </c>
      <c r="R3590" t="s">
        <v>33</v>
      </c>
      <c r="S3590">
        <v>1</v>
      </c>
    </row>
    <row r="3591" spans="1:19" ht="16.5" x14ac:dyDescent="0.3">
      <c r="A3591" t="s">
        <v>3654</v>
      </c>
      <c r="B3591" s="1">
        <v>45751</v>
      </c>
      <c r="C3591" s="1">
        <v>45756</v>
      </c>
      <c r="D3591">
        <v>2025</v>
      </c>
      <c r="E3591" t="s">
        <v>836</v>
      </c>
      <c r="F3591" t="s">
        <v>837</v>
      </c>
      <c r="G3591" t="s">
        <v>83</v>
      </c>
      <c r="H3591" t="s">
        <v>39</v>
      </c>
      <c r="I3591" t="s">
        <v>24</v>
      </c>
      <c r="J3591" t="s">
        <v>43</v>
      </c>
      <c r="K3591" t="s">
        <v>41</v>
      </c>
      <c r="L3591" t="s">
        <v>44</v>
      </c>
      <c r="M3591">
        <v>5</v>
      </c>
      <c r="N3591" s="2">
        <v>45</v>
      </c>
      <c r="O3591" s="3">
        <v>2827</v>
      </c>
      <c r="P3591">
        <v>0</v>
      </c>
      <c r="Q3591">
        <v>3</v>
      </c>
      <c r="R3591" t="s">
        <v>59</v>
      </c>
      <c r="S3591">
        <v>1</v>
      </c>
    </row>
    <row r="3592" spans="1:19" ht="16.5" x14ac:dyDescent="0.3">
      <c r="A3592" t="s">
        <v>3655</v>
      </c>
      <c r="B3592" s="1">
        <v>45751</v>
      </c>
      <c r="C3592" s="1">
        <v>45756</v>
      </c>
      <c r="D3592">
        <v>2025</v>
      </c>
      <c r="E3592" t="s">
        <v>836</v>
      </c>
      <c r="F3592" t="s">
        <v>837</v>
      </c>
      <c r="G3592" t="s">
        <v>83</v>
      </c>
      <c r="H3592" t="s">
        <v>30</v>
      </c>
      <c r="I3592" t="s">
        <v>31</v>
      </c>
      <c r="J3592" t="s">
        <v>43</v>
      </c>
      <c r="K3592" t="s">
        <v>53</v>
      </c>
      <c r="L3592" t="s">
        <v>27</v>
      </c>
      <c r="M3592">
        <v>5</v>
      </c>
      <c r="N3592" s="2"/>
      <c r="O3592" s="3">
        <v>5021</v>
      </c>
      <c r="P3592">
        <v>0</v>
      </c>
      <c r="Q3592">
        <v>4</v>
      </c>
      <c r="R3592" t="s">
        <v>33</v>
      </c>
      <c r="S3592">
        <v>1</v>
      </c>
    </row>
    <row r="3593" spans="1:19" ht="16.5" x14ac:dyDescent="0.3">
      <c r="A3593" t="s">
        <v>3656</v>
      </c>
      <c r="B3593" s="1">
        <v>45752</v>
      </c>
      <c r="C3593" s="1">
        <v>45754</v>
      </c>
      <c r="D3593">
        <v>2025</v>
      </c>
      <c r="E3593" t="s">
        <v>836</v>
      </c>
      <c r="F3593" t="s">
        <v>837</v>
      </c>
      <c r="G3593" t="s">
        <v>102</v>
      </c>
      <c r="H3593" t="s">
        <v>35</v>
      </c>
      <c r="I3593" t="s">
        <v>24</v>
      </c>
      <c r="J3593" t="s">
        <v>25</v>
      </c>
      <c r="K3593" t="s">
        <v>32</v>
      </c>
      <c r="L3593" t="s">
        <v>27</v>
      </c>
      <c r="M3593">
        <v>2</v>
      </c>
      <c r="N3593" s="2">
        <v>16</v>
      </c>
      <c r="O3593" s="3">
        <v>2241</v>
      </c>
      <c r="P3593">
        <v>0</v>
      </c>
      <c r="Q3593">
        <v>3</v>
      </c>
      <c r="R3593" t="s">
        <v>33</v>
      </c>
      <c r="S3593">
        <v>1</v>
      </c>
    </row>
    <row r="3594" spans="1:19" ht="16.5" x14ac:dyDescent="0.3">
      <c r="A3594" t="s">
        <v>3657</v>
      </c>
      <c r="B3594" s="1">
        <v>45752</v>
      </c>
      <c r="C3594" s="1">
        <v>45761</v>
      </c>
      <c r="D3594">
        <v>2025</v>
      </c>
      <c r="E3594" t="s">
        <v>836</v>
      </c>
      <c r="F3594" t="s">
        <v>837</v>
      </c>
      <c r="G3594" t="s">
        <v>102</v>
      </c>
      <c r="H3594" t="s">
        <v>30</v>
      </c>
      <c r="I3594" t="s">
        <v>40</v>
      </c>
      <c r="J3594" t="s">
        <v>25</v>
      </c>
      <c r="K3594" t="s">
        <v>26</v>
      </c>
      <c r="L3594" t="s">
        <v>27</v>
      </c>
      <c r="M3594">
        <v>9</v>
      </c>
      <c r="N3594" s="2"/>
      <c r="O3594" s="3">
        <v>9098</v>
      </c>
      <c r="P3594">
        <v>0</v>
      </c>
      <c r="Q3594">
        <v>4</v>
      </c>
      <c r="R3594" t="s">
        <v>33</v>
      </c>
      <c r="S3594">
        <v>1</v>
      </c>
    </row>
    <row r="3595" spans="1:19" ht="16.5" x14ac:dyDescent="0.3">
      <c r="A3595" t="s">
        <v>3658</v>
      </c>
      <c r="B3595" s="1">
        <v>45752</v>
      </c>
      <c r="C3595" s="1">
        <v>45754</v>
      </c>
      <c r="D3595">
        <v>2025</v>
      </c>
      <c r="E3595" t="s">
        <v>836</v>
      </c>
      <c r="F3595" t="s">
        <v>837</v>
      </c>
      <c r="G3595" t="s">
        <v>102</v>
      </c>
      <c r="H3595" t="s">
        <v>52</v>
      </c>
      <c r="I3595" t="s">
        <v>40</v>
      </c>
      <c r="J3595" t="s">
        <v>25</v>
      </c>
      <c r="K3595" t="s">
        <v>32</v>
      </c>
      <c r="L3595" t="s">
        <v>37</v>
      </c>
      <c r="M3595">
        <v>2</v>
      </c>
      <c r="N3595" s="2"/>
      <c r="O3595" s="3">
        <v>2378</v>
      </c>
      <c r="P3595">
        <v>0</v>
      </c>
      <c r="Q3595">
        <v>5</v>
      </c>
      <c r="R3595" t="s">
        <v>28</v>
      </c>
      <c r="S3595">
        <v>1</v>
      </c>
    </row>
    <row r="3596" spans="1:19" ht="16.5" x14ac:dyDescent="0.3">
      <c r="A3596" t="s">
        <v>3659</v>
      </c>
      <c r="B3596" s="1">
        <v>45752</v>
      </c>
      <c r="C3596" s="1">
        <v>45753</v>
      </c>
      <c r="D3596">
        <v>2025</v>
      </c>
      <c r="E3596" t="s">
        <v>836</v>
      </c>
      <c r="F3596" t="s">
        <v>837</v>
      </c>
      <c r="G3596" t="s">
        <v>102</v>
      </c>
      <c r="H3596" t="s">
        <v>39</v>
      </c>
      <c r="I3596" t="s">
        <v>31</v>
      </c>
      <c r="J3596" t="s">
        <v>43</v>
      </c>
      <c r="K3596" t="s">
        <v>41</v>
      </c>
      <c r="L3596" t="s">
        <v>27</v>
      </c>
      <c r="M3596">
        <v>1</v>
      </c>
      <c r="N3596" s="2"/>
      <c r="O3596" s="3">
        <v>1880</v>
      </c>
      <c r="P3596">
        <v>0</v>
      </c>
      <c r="Q3596">
        <v>4</v>
      </c>
      <c r="R3596" t="s">
        <v>28</v>
      </c>
      <c r="S3596">
        <v>1</v>
      </c>
    </row>
    <row r="3597" spans="1:19" ht="16.5" x14ac:dyDescent="0.3">
      <c r="A3597" t="s">
        <v>3660</v>
      </c>
      <c r="B3597" s="1">
        <v>45753</v>
      </c>
      <c r="C3597" s="1">
        <v>45755</v>
      </c>
      <c r="D3597">
        <v>2025</v>
      </c>
      <c r="E3597" t="s">
        <v>836</v>
      </c>
      <c r="F3597" t="s">
        <v>837</v>
      </c>
      <c r="G3597" t="s">
        <v>112</v>
      </c>
      <c r="H3597" t="s">
        <v>35</v>
      </c>
      <c r="I3597" t="s">
        <v>24</v>
      </c>
      <c r="J3597" t="s">
        <v>25</v>
      </c>
      <c r="K3597" t="s">
        <v>32</v>
      </c>
      <c r="L3597" t="s">
        <v>44</v>
      </c>
      <c r="M3597">
        <v>2</v>
      </c>
      <c r="N3597" s="2">
        <v>25</v>
      </c>
      <c r="O3597" s="3">
        <v>2023</v>
      </c>
      <c r="P3597">
        <v>0</v>
      </c>
      <c r="Q3597">
        <v>5</v>
      </c>
      <c r="R3597" t="s">
        <v>28</v>
      </c>
      <c r="S3597">
        <v>1</v>
      </c>
    </row>
    <row r="3598" spans="1:19" ht="16.5" x14ac:dyDescent="0.3">
      <c r="A3598" t="s">
        <v>3661</v>
      </c>
      <c r="B3598" s="1">
        <v>45753</v>
      </c>
      <c r="C3598" s="1">
        <v>45755</v>
      </c>
      <c r="D3598">
        <v>2025</v>
      </c>
      <c r="E3598" t="s">
        <v>836</v>
      </c>
      <c r="F3598" t="s">
        <v>837</v>
      </c>
      <c r="G3598" t="s">
        <v>112</v>
      </c>
      <c r="H3598" t="s">
        <v>23</v>
      </c>
      <c r="I3598" t="s">
        <v>24</v>
      </c>
      <c r="J3598" t="s">
        <v>43</v>
      </c>
      <c r="K3598" t="s">
        <v>53</v>
      </c>
      <c r="L3598" t="s">
        <v>27</v>
      </c>
      <c r="M3598">
        <v>2</v>
      </c>
      <c r="N3598" s="2">
        <v>14</v>
      </c>
      <c r="O3598" s="3">
        <v>2232</v>
      </c>
      <c r="P3598">
        <v>0</v>
      </c>
      <c r="Q3598">
        <v>3</v>
      </c>
      <c r="R3598" t="s">
        <v>33</v>
      </c>
      <c r="S3598">
        <v>1</v>
      </c>
    </row>
    <row r="3599" spans="1:19" ht="16.5" x14ac:dyDescent="0.3">
      <c r="A3599" t="s">
        <v>3662</v>
      </c>
      <c r="B3599" s="1">
        <v>45753</v>
      </c>
      <c r="C3599" s="1">
        <v>45759</v>
      </c>
      <c r="D3599">
        <v>2025</v>
      </c>
      <c r="E3599" t="s">
        <v>836</v>
      </c>
      <c r="F3599" t="s">
        <v>837</v>
      </c>
      <c r="G3599" t="s">
        <v>112</v>
      </c>
      <c r="H3599" t="s">
        <v>52</v>
      </c>
      <c r="I3599" t="s">
        <v>24</v>
      </c>
      <c r="J3599" t="s">
        <v>43</v>
      </c>
      <c r="K3599" t="s">
        <v>32</v>
      </c>
      <c r="L3599" t="s">
        <v>44</v>
      </c>
      <c r="M3599">
        <v>6</v>
      </c>
      <c r="N3599" s="2">
        <v>28</v>
      </c>
      <c r="O3599" s="3">
        <v>6880</v>
      </c>
      <c r="P3599">
        <v>0</v>
      </c>
      <c r="Q3599">
        <v>4</v>
      </c>
      <c r="R3599" t="s">
        <v>33</v>
      </c>
      <c r="S3599">
        <v>1</v>
      </c>
    </row>
    <row r="3600" spans="1:19" ht="16.5" x14ac:dyDescent="0.3">
      <c r="A3600" t="s">
        <v>3663</v>
      </c>
      <c r="B3600" s="1">
        <v>45753</v>
      </c>
      <c r="C3600" s="1">
        <v>45763</v>
      </c>
      <c r="D3600">
        <v>2025</v>
      </c>
      <c r="E3600" t="s">
        <v>836</v>
      </c>
      <c r="F3600" t="s">
        <v>837</v>
      </c>
      <c r="G3600" t="s">
        <v>112</v>
      </c>
      <c r="H3600" t="s">
        <v>23</v>
      </c>
      <c r="I3600" t="s">
        <v>24</v>
      </c>
      <c r="J3600" t="s">
        <v>43</v>
      </c>
      <c r="K3600" t="s">
        <v>26</v>
      </c>
      <c r="L3600" t="s">
        <v>44</v>
      </c>
      <c r="M3600">
        <v>10</v>
      </c>
      <c r="N3600" s="2">
        <v>40</v>
      </c>
      <c r="O3600" s="3">
        <v>6495</v>
      </c>
      <c r="P3600">
        <v>0</v>
      </c>
      <c r="Q3600">
        <v>5</v>
      </c>
      <c r="R3600" t="s">
        <v>28</v>
      </c>
      <c r="S3600">
        <v>1</v>
      </c>
    </row>
    <row r="3601" spans="1:19" ht="16.5" x14ac:dyDescent="0.3">
      <c r="A3601" t="s">
        <v>3664</v>
      </c>
      <c r="B3601" s="1">
        <v>45753</v>
      </c>
      <c r="C3601" s="1">
        <v>45756</v>
      </c>
      <c r="D3601">
        <v>2025</v>
      </c>
      <c r="E3601" t="s">
        <v>836</v>
      </c>
      <c r="F3601" t="s">
        <v>837</v>
      </c>
      <c r="G3601" t="s">
        <v>112</v>
      </c>
      <c r="H3601" t="s">
        <v>39</v>
      </c>
      <c r="I3601" t="s">
        <v>40</v>
      </c>
      <c r="J3601" t="s">
        <v>25</v>
      </c>
      <c r="K3601" t="s">
        <v>41</v>
      </c>
      <c r="L3601" t="s">
        <v>44</v>
      </c>
      <c r="M3601">
        <v>3</v>
      </c>
      <c r="N3601" s="2"/>
      <c r="O3601" s="3">
        <v>2086</v>
      </c>
      <c r="P3601">
        <v>0</v>
      </c>
      <c r="Q3601">
        <v>4</v>
      </c>
      <c r="R3601" t="s">
        <v>33</v>
      </c>
      <c r="S3601">
        <v>1</v>
      </c>
    </row>
    <row r="3602" spans="1:19" ht="16.5" x14ac:dyDescent="0.3">
      <c r="A3602" t="s">
        <v>3665</v>
      </c>
      <c r="B3602" s="1">
        <v>45753</v>
      </c>
      <c r="C3602" s="1">
        <v>45755</v>
      </c>
      <c r="D3602">
        <v>2025</v>
      </c>
      <c r="E3602" t="s">
        <v>836</v>
      </c>
      <c r="F3602" t="s">
        <v>837</v>
      </c>
      <c r="G3602" t="s">
        <v>112</v>
      </c>
      <c r="H3602" t="s">
        <v>23</v>
      </c>
      <c r="I3602" t="s">
        <v>24</v>
      </c>
      <c r="J3602" t="s">
        <v>25</v>
      </c>
      <c r="K3602" t="s">
        <v>53</v>
      </c>
      <c r="L3602" t="s">
        <v>44</v>
      </c>
      <c r="M3602">
        <v>2</v>
      </c>
      <c r="N3602" s="2">
        <v>31</v>
      </c>
      <c r="O3602" s="3">
        <v>1453</v>
      </c>
      <c r="P3602">
        <v>0</v>
      </c>
      <c r="Q3602">
        <v>5</v>
      </c>
      <c r="R3602" t="s">
        <v>33</v>
      </c>
      <c r="S3602">
        <v>1</v>
      </c>
    </row>
    <row r="3603" spans="1:19" ht="16.5" x14ac:dyDescent="0.3">
      <c r="A3603" t="s">
        <v>3666</v>
      </c>
      <c r="B3603" s="1">
        <v>45753</v>
      </c>
      <c r="C3603" s="1">
        <v>45759</v>
      </c>
      <c r="D3603">
        <v>2025</v>
      </c>
      <c r="E3603" t="s">
        <v>836</v>
      </c>
      <c r="F3603" t="s">
        <v>837</v>
      </c>
      <c r="G3603" t="s">
        <v>112</v>
      </c>
      <c r="H3603" t="s">
        <v>52</v>
      </c>
      <c r="I3603" t="s">
        <v>40</v>
      </c>
      <c r="J3603" t="s">
        <v>25</v>
      </c>
      <c r="K3603" t="s">
        <v>26</v>
      </c>
      <c r="L3603" t="s">
        <v>37</v>
      </c>
      <c r="M3603">
        <v>6</v>
      </c>
      <c r="N3603" s="2"/>
      <c r="O3603" s="3">
        <v>6662</v>
      </c>
      <c r="P3603">
        <v>0</v>
      </c>
      <c r="Q3603">
        <v>5</v>
      </c>
      <c r="R3603" t="s">
        <v>28</v>
      </c>
      <c r="S3603">
        <v>1</v>
      </c>
    </row>
    <row r="3604" spans="1:19" ht="16.5" x14ac:dyDescent="0.3">
      <c r="A3604" t="s">
        <v>3667</v>
      </c>
      <c r="B3604" s="1">
        <v>45754</v>
      </c>
      <c r="C3604" s="1">
        <v>45761</v>
      </c>
      <c r="D3604">
        <v>2025</v>
      </c>
      <c r="E3604" t="s">
        <v>836</v>
      </c>
      <c r="F3604" t="s">
        <v>837</v>
      </c>
      <c r="G3604" t="s">
        <v>22</v>
      </c>
      <c r="H3604" t="s">
        <v>50</v>
      </c>
      <c r="I3604" t="s">
        <v>24</v>
      </c>
      <c r="J3604" t="s">
        <v>25</v>
      </c>
      <c r="K3604" t="s">
        <v>36</v>
      </c>
      <c r="L3604" t="s">
        <v>27</v>
      </c>
      <c r="M3604">
        <v>7</v>
      </c>
      <c r="N3604" s="2">
        <v>61</v>
      </c>
      <c r="O3604" s="3">
        <v>8753</v>
      </c>
      <c r="P3604">
        <v>0</v>
      </c>
      <c r="Q3604">
        <v>4</v>
      </c>
      <c r="R3604" t="s">
        <v>28</v>
      </c>
      <c r="S3604">
        <v>1</v>
      </c>
    </row>
    <row r="3605" spans="1:19" ht="16.5" x14ac:dyDescent="0.3">
      <c r="A3605" t="s">
        <v>3668</v>
      </c>
      <c r="B3605" s="1">
        <v>45754</v>
      </c>
      <c r="C3605" s="1">
        <v>45764</v>
      </c>
      <c r="D3605">
        <v>2025</v>
      </c>
      <c r="E3605" t="s">
        <v>836</v>
      </c>
      <c r="F3605" t="s">
        <v>837</v>
      </c>
      <c r="G3605" t="s">
        <v>22</v>
      </c>
      <c r="H3605" t="s">
        <v>23</v>
      </c>
      <c r="I3605" t="s">
        <v>24</v>
      </c>
      <c r="J3605" t="s">
        <v>25</v>
      </c>
      <c r="K3605" t="s">
        <v>26</v>
      </c>
      <c r="L3605" t="s">
        <v>27</v>
      </c>
      <c r="M3605">
        <v>10</v>
      </c>
      <c r="N3605" s="2">
        <v>37</v>
      </c>
      <c r="O3605" s="3">
        <v>6813</v>
      </c>
      <c r="P3605">
        <v>0</v>
      </c>
      <c r="Q3605">
        <v>5</v>
      </c>
      <c r="R3605" t="s">
        <v>33</v>
      </c>
      <c r="S3605">
        <v>1</v>
      </c>
    </row>
    <row r="3606" spans="1:19" ht="16.5" x14ac:dyDescent="0.3">
      <c r="A3606" t="s">
        <v>3669</v>
      </c>
      <c r="B3606" s="1">
        <v>45754</v>
      </c>
      <c r="C3606" s="1">
        <v>45755</v>
      </c>
      <c r="D3606">
        <v>2025</v>
      </c>
      <c r="E3606" t="s">
        <v>836</v>
      </c>
      <c r="F3606" t="s">
        <v>837</v>
      </c>
      <c r="G3606" t="s">
        <v>22</v>
      </c>
      <c r="H3606" t="s">
        <v>35</v>
      </c>
      <c r="I3606" t="s">
        <v>24</v>
      </c>
      <c r="J3606" t="s">
        <v>25</v>
      </c>
      <c r="K3606" t="s">
        <v>36</v>
      </c>
      <c r="L3606" t="s">
        <v>44</v>
      </c>
      <c r="M3606">
        <v>1</v>
      </c>
      <c r="N3606" s="2">
        <v>65</v>
      </c>
      <c r="O3606" s="3">
        <v>1318</v>
      </c>
      <c r="P3606">
        <v>0</v>
      </c>
      <c r="Q3606">
        <v>4</v>
      </c>
      <c r="R3606" t="s">
        <v>28</v>
      </c>
      <c r="S3606">
        <v>1</v>
      </c>
    </row>
    <row r="3607" spans="1:19" ht="16.5" x14ac:dyDescent="0.3">
      <c r="A3607" t="s">
        <v>3670</v>
      </c>
      <c r="B3607" s="1">
        <v>45754</v>
      </c>
      <c r="C3607" s="1">
        <v>45756</v>
      </c>
      <c r="D3607">
        <v>2025</v>
      </c>
      <c r="E3607" t="s">
        <v>836</v>
      </c>
      <c r="F3607" t="s">
        <v>837</v>
      </c>
      <c r="G3607" t="s">
        <v>22</v>
      </c>
      <c r="H3607" t="s">
        <v>39</v>
      </c>
      <c r="I3607" t="s">
        <v>24</v>
      </c>
      <c r="J3607" t="s">
        <v>25</v>
      </c>
      <c r="K3607" t="s">
        <v>41</v>
      </c>
      <c r="L3607" t="s">
        <v>27</v>
      </c>
      <c r="M3607">
        <v>2</v>
      </c>
      <c r="N3607" s="2">
        <v>42</v>
      </c>
      <c r="O3607" s="3">
        <v>2395</v>
      </c>
      <c r="P3607">
        <v>0</v>
      </c>
      <c r="Q3607">
        <v>4</v>
      </c>
      <c r="R3607" t="s">
        <v>28</v>
      </c>
      <c r="S3607">
        <v>1</v>
      </c>
    </row>
    <row r="3608" spans="1:19" ht="16.5" x14ac:dyDescent="0.3">
      <c r="A3608" t="s">
        <v>3671</v>
      </c>
      <c r="B3608" s="1">
        <v>45754</v>
      </c>
      <c r="C3608" s="1">
        <v>45762</v>
      </c>
      <c r="D3608">
        <v>2025</v>
      </c>
      <c r="E3608" t="s">
        <v>836</v>
      </c>
      <c r="F3608" t="s">
        <v>837</v>
      </c>
      <c r="G3608" t="s">
        <v>22</v>
      </c>
      <c r="H3608" t="s">
        <v>23</v>
      </c>
      <c r="I3608" t="s">
        <v>24</v>
      </c>
      <c r="J3608" t="s">
        <v>43</v>
      </c>
      <c r="K3608" t="s">
        <v>53</v>
      </c>
      <c r="L3608" t="s">
        <v>44</v>
      </c>
      <c r="M3608">
        <v>8</v>
      </c>
      <c r="N3608" s="2">
        <v>65</v>
      </c>
      <c r="O3608" s="3">
        <v>6258</v>
      </c>
      <c r="P3608">
        <v>0</v>
      </c>
      <c r="Q3608">
        <v>5</v>
      </c>
      <c r="R3608" t="s">
        <v>33</v>
      </c>
      <c r="S3608">
        <v>1</v>
      </c>
    </row>
    <row r="3609" spans="1:19" ht="16.5" x14ac:dyDescent="0.3">
      <c r="A3609" t="s">
        <v>3672</v>
      </c>
      <c r="B3609" s="1">
        <v>45754</v>
      </c>
      <c r="C3609" s="1">
        <v>45755</v>
      </c>
      <c r="D3609">
        <v>2025</v>
      </c>
      <c r="E3609" t="s">
        <v>836</v>
      </c>
      <c r="F3609" t="s">
        <v>837</v>
      </c>
      <c r="G3609" t="s">
        <v>22</v>
      </c>
      <c r="H3609" t="s">
        <v>30</v>
      </c>
      <c r="I3609" t="s">
        <v>40</v>
      </c>
      <c r="J3609" t="s">
        <v>43</v>
      </c>
      <c r="K3609" t="s">
        <v>32</v>
      </c>
      <c r="L3609" t="s">
        <v>37</v>
      </c>
      <c r="M3609">
        <v>1</v>
      </c>
      <c r="N3609" s="2"/>
      <c r="O3609" s="3">
        <v>2039</v>
      </c>
      <c r="P3609">
        <v>0</v>
      </c>
      <c r="Q3609">
        <v>5</v>
      </c>
      <c r="R3609" t="s">
        <v>33</v>
      </c>
      <c r="S3609">
        <v>1</v>
      </c>
    </row>
    <row r="3610" spans="1:19" ht="16.5" x14ac:dyDescent="0.3">
      <c r="A3610" t="s">
        <v>3673</v>
      </c>
      <c r="B3610" s="1">
        <v>45754</v>
      </c>
      <c r="C3610" s="1">
        <v>45763</v>
      </c>
      <c r="D3610">
        <v>2025</v>
      </c>
      <c r="E3610" t="s">
        <v>836</v>
      </c>
      <c r="F3610" t="s">
        <v>837</v>
      </c>
      <c r="G3610" t="s">
        <v>22</v>
      </c>
      <c r="H3610" t="s">
        <v>30</v>
      </c>
      <c r="I3610" t="s">
        <v>40</v>
      </c>
      <c r="J3610" t="s">
        <v>25</v>
      </c>
      <c r="K3610" t="s">
        <v>26</v>
      </c>
      <c r="L3610" t="s">
        <v>27</v>
      </c>
      <c r="M3610">
        <v>9</v>
      </c>
      <c r="N3610" s="2"/>
      <c r="O3610" s="3">
        <v>7144</v>
      </c>
      <c r="P3610">
        <v>0</v>
      </c>
      <c r="Q3610">
        <v>5</v>
      </c>
      <c r="R3610" t="s">
        <v>33</v>
      </c>
      <c r="S3610">
        <v>1</v>
      </c>
    </row>
    <row r="3611" spans="1:19" ht="16.5" x14ac:dyDescent="0.3">
      <c r="A3611" t="s">
        <v>3674</v>
      </c>
      <c r="B3611" s="1">
        <v>45754</v>
      </c>
      <c r="C3611" s="1">
        <v>45759</v>
      </c>
      <c r="D3611">
        <v>2025</v>
      </c>
      <c r="E3611" t="s">
        <v>836</v>
      </c>
      <c r="F3611" t="s">
        <v>837</v>
      </c>
      <c r="G3611" t="s">
        <v>22</v>
      </c>
      <c r="H3611" t="s">
        <v>30</v>
      </c>
      <c r="I3611" t="s">
        <v>40</v>
      </c>
      <c r="J3611" t="s">
        <v>25</v>
      </c>
      <c r="K3611" t="s">
        <v>53</v>
      </c>
      <c r="L3611" t="s">
        <v>27</v>
      </c>
      <c r="M3611">
        <v>5</v>
      </c>
      <c r="N3611" s="2"/>
      <c r="O3611" s="3">
        <v>5297</v>
      </c>
      <c r="P3611">
        <v>0</v>
      </c>
      <c r="Q3611">
        <v>5</v>
      </c>
      <c r="R3611" t="s">
        <v>28</v>
      </c>
      <c r="S3611">
        <v>1</v>
      </c>
    </row>
    <row r="3612" spans="1:19" ht="16.5" x14ac:dyDescent="0.3">
      <c r="A3612" t="s">
        <v>3675</v>
      </c>
      <c r="B3612" s="1">
        <v>45754</v>
      </c>
      <c r="C3612" s="1">
        <v>45757</v>
      </c>
      <c r="D3612">
        <v>2025</v>
      </c>
      <c r="E3612" t="s">
        <v>836</v>
      </c>
      <c r="F3612" t="s">
        <v>837</v>
      </c>
      <c r="G3612" t="s">
        <v>22</v>
      </c>
      <c r="H3612" t="s">
        <v>23</v>
      </c>
      <c r="I3612" t="s">
        <v>24</v>
      </c>
      <c r="J3612" t="s">
        <v>43</v>
      </c>
      <c r="K3612" t="s">
        <v>53</v>
      </c>
      <c r="L3612" t="s">
        <v>27</v>
      </c>
      <c r="M3612">
        <v>3</v>
      </c>
      <c r="N3612" s="2">
        <v>25</v>
      </c>
      <c r="O3612" s="3">
        <v>3315</v>
      </c>
      <c r="P3612">
        <v>0</v>
      </c>
      <c r="Q3612">
        <v>4</v>
      </c>
      <c r="R3612" t="s">
        <v>59</v>
      </c>
      <c r="S3612">
        <v>1</v>
      </c>
    </row>
    <row r="3613" spans="1:19" ht="16.5" x14ac:dyDescent="0.3">
      <c r="A3613" t="s">
        <v>3676</v>
      </c>
      <c r="B3613" s="1">
        <v>45754</v>
      </c>
      <c r="C3613" s="1">
        <v>45758</v>
      </c>
      <c r="D3613">
        <v>2025</v>
      </c>
      <c r="E3613" t="s">
        <v>836</v>
      </c>
      <c r="F3613" t="s">
        <v>837</v>
      </c>
      <c r="G3613" t="s">
        <v>22</v>
      </c>
      <c r="H3613" t="s">
        <v>39</v>
      </c>
      <c r="I3613" t="s">
        <v>24</v>
      </c>
      <c r="J3613" t="s">
        <v>25</v>
      </c>
      <c r="K3613" t="s">
        <v>41</v>
      </c>
      <c r="L3613" t="s">
        <v>44</v>
      </c>
      <c r="M3613">
        <v>4</v>
      </c>
      <c r="N3613" s="2">
        <v>58</v>
      </c>
      <c r="O3613" s="3">
        <v>2396</v>
      </c>
      <c r="P3613">
        <v>0</v>
      </c>
      <c r="Q3613">
        <v>5</v>
      </c>
      <c r="R3613" t="s">
        <v>28</v>
      </c>
      <c r="S3613">
        <v>1</v>
      </c>
    </row>
    <row r="3614" spans="1:19" ht="16.5" x14ac:dyDescent="0.3">
      <c r="A3614" t="s">
        <v>3677</v>
      </c>
      <c r="B3614" s="1">
        <v>45754</v>
      </c>
      <c r="C3614" s="1">
        <v>45760</v>
      </c>
      <c r="D3614">
        <v>2025</v>
      </c>
      <c r="E3614" t="s">
        <v>836</v>
      </c>
      <c r="F3614" t="s">
        <v>837</v>
      </c>
      <c r="G3614" t="s">
        <v>22</v>
      </c>
      <c r="H3614" t="s">
        <v>30</v>
      </c>
      <c r="I3614" t="s">
        <v>40</v>
      </c>
      <c r="J3614" t="s">
        <v>43</v>
      </c>
      <c r="K3614" t="s">
        <v>26</v>
      </c>
      <c r="L3614" t="s">
        <v>44</v>
      </c>
      <c r="M3614">
        <v>6</v>
      </c>
      <c r="N3614" s="2"/>
      <c r="O3614" s="3">
        <v>6775</v>
      </c>
      <c r="P3614">
        <v>0</v>
      </c>
      <c r="Q3614">
        <v>5</v>
      </c>
      <c r="R3614" t="s">
        <v>28</v>
      </c>
      <c r="S3614">
        <v>1</v>
      </c>
    </row>
    <row r="3615" spans="1:19" ht="16.5" x14ac:dyDescent="0.3">
      <c r="A3615" t="s">
        <v>3678</v>
      </c>
      <c r="B3615" s="1">
        <v>45754</v>
      </c>
      <c r="C3615" s="1">
        <v>45757</v>
      </c>
      <c r="D3615">
        <v>2025</v>
      </c>
      <c r="E3615" t="s">
        <v>836</v>
      </c>
      <c r="F3615" t="s">
        <v>837</v>
      </c>
      <c r="G3615" t="s">
        <v>22</v>
      </c>
      <c r="H3615" t="s">
        <v>35</v>
      </c>
      <c r="I3615" t="s">
        <v>24</v>
      </c>
      <c r="J3615" t="s">
        <v>25</v>
      </c>
      <c r="K3615" t="s">
        <v>32</v>
      </c>
      <c r="L3615" t="s">
        <v>44</v>
      </c>
      <c r="M3615">
        <v>3</v>
      </c>
      <c r="N3615" s="2">
        <v>68</v>
      </c>
      <c r="O3615" s="3">
        <v>3050</v>
      </c>
      <c r="P3615">
        <v>0</v>
      </c>
      <c r="Q3615">
        <v>4</v>
      </c>
      <c r="R3615" t="s">
        <v>33</v>
      </c>
      <c r="S3615">
        <v>1</v>
      </c>
    </row>
    <row r="3616" spans="1:19" ht="16.5" x14ac:dyDescent="0.3">
      <c r="A3616" t="s">
        <v>3679</v>
      </c>
      <c r="B3616" s="1">
        <v>45755</v>
      </c>
      <c r="C3616" s="1">
        <v>45760</v>
      </c>
      <c r="D3616">
        <v>2025</v>
      </c>
      <c r="E3616" t="s">
        <v>836</v>
      </c>
      <c r="F3616" t="s">
        <v>837</v>
      </c>
      <c r="G3616" t="s">
        <v>56</v>
      </c>
      <c r="H3616" t="s">
        <v>52</v>
      </c>
      <c r="I3616" t="s">
        <v>40</v>
      </c>
      <c r="J3616" t="s">
        <v>43</v>
      </c>
      <c r="K3616" t="s">
        <v>32</v>
      </c>
      <c r="L3616" t="s">
        <v>27</v>
      </c>
      <c r="M3616">
        <v>5</v>
      </c>
      <c r="N3616" s="2"/>
      <c r="O3616" s="3">
        <v>5794</v>
      </c>
      <c r="P3616">
        <v>0</v>
      </c>
      <c r="Q3616">
        <v>4</v>
      </c>
      <c r="R3616" t="s">
        <v>33</v>
      </c>
      <c r="S3616">
        <v>1</v>
      </c>
    </row>
    <row r="3617" spans="1:19" ht="16.5" x14ac:dyDescent="0.3">
      <c r="A3617" t="s">
        <v>3680</v>
      </c>
      <c r="B3617" s="1">
        <v>45755</v>
      </c>
      <c r="C3617" s="1">
        <v>45756</v>
      </c>
      <c r="D3617">
        <v>2025</v>
      </c>
      <c r="E3617" t="s">
        <v>836</v>
      </c>
      <c r="F3617" t="s">
        <v>837</v>
      </c>
      <c r="G3617" t="s">
        <v>56</v>
      </c>
      <c r="H3617" t="s">
        <v>35</v>
      </c>
      <c r="I3617" t="s">
        <v>24</v>
      </c>
      <c r="J3617" t="s">
        <v>25</v>
      </c>
      <c r="K3617" t="s">
        <v>36</v>
      </c>
      <c r="L3617" t="s">
        <v>44</v>
      </c>
      <c r="M3617">
        <v>1</v>
      </c>
      <c r="N3617" s="2">
        <v>28</v>
      </c>
      <c r="O3617" s="3">
        <v>1133</v>
      </c>
      <c r="P3617">
        <v>1</v>
      </c>
      <c r="Q3617">
        <v>3</v>
      </c>
      <c r="R3617" t="s">
        <v>28</v>
      </c>
      <c r="S3617">
        <v>1</v>
      </c>
    </row>
    <row r="3618" spans="1:19" ht="16.5" x14ac:dyDescent="0.3">
      <c r="A3618" t="s">
        <v>3681</v>
      </c>
      <c r="B3618" s="1">
        <v>45755</v>
      </c>
      <c r="C3618" s="1">
        <v>45759</v>
      </c>
      <c r="D3618">
        <v>2025</v>
      </c>
      <c r="E3618" t="s">
        <v>836</v>
      </c>
      <c r="F3618" t="s">
        <v>837</v>
      </c>
      <c r="G3618" t="s">
        <v>56</v>
      </c>
      <c r="H3618" t="s">
        <v>30</v>
      </c>
      <c r="I3618" t="s">
        <v>24</v>
      </c>
      <c r="J3618" t="s">
        <v>43</v>
      </c>
      <c r="K3618" t="s">
        <v>26</v>
      </c>
      <c r="L3618" t="s">
        <v>44</v>
      </c>
      <c r="M3618">
        <v>4</v>
      </c>
      <c r="N3618" s="2">
        <v>79</v>
      </c>
      <c r="O3618" s="3">
        <v>4128</v>
      </c>
      <c r="P3618">
        <v>0</v>
      </c>
      <c r="Q3618">
        <v>3</v>
      </c>
      <c r="R3618" t="s">
        <v>33</v>
      </c>
      <c r="S3618">
        <v>1</v>
      </c>
    </row>
    <row r="3619" spans="1:19" ht="16.5" x14ac:dyDescent="0.3">
      <c r="A3619" t="s">
        <v>3682</v>
      </c>
      <c r="B3619" s="1">
        <v>45755</v>
      </c>
      <c r="C3619" s="1">
        <v>45758</v>
      </c>
      <c r="D3619">
        <v>2025</v>
      </c>
      <c r="E3619" t="s">
        <v>836</v>
      </c>
      <c r="F3619" t="s">
        <v>837</v>
      </c>
      <c r="G3619" t="s">
        <v>56</v>
      </c>
      <c r="H3619" t="s">
        <v>35</v>
      </c>
      <c r="I3619" t="s">
        <v>24</v>
      </c>
      <c r="J3619" t="s">
        <v>25</v>
      </c>
      <c r="K3619" t="s">
        <v>36</v>
      </c>
      <c r="L3619" t="s">
        <v>27</v>
      </c>
      <c r="M3619">
        <v>3</v>
      </c>
      <c r="N3619" s="2">
        <v>52</v>
      </c>
      <c r="O3619" s="3">
        <v>2733</v>
      </c>
      <c r="P3619">
        <v>0</v>
      </c>
      <c r="Q3619">
        <v>5</v>
      </c>
      <c r="R3619" t="s">
        <v>33</v>
      </c>
      <c r="S3619">
        <v>1</v>
      </c>
    </row>
    <row r="3620" spans="1:19" ht="16.5" x14ac:dyDescent="0.3">
      <c r="A3620" t="s">
        <v>3683</v>
      </c>
      <c r="B3620" s="1">
        <v>45755</v>
      </c>
      <c r="C3620" s="1">
        <v>45757</v>
      </c>
      <c r="D3620">
        <v>2025</v>
      </c>
      <c r="E3620" t="s">
        <v>836</v>
      </c>
      <c r="F3620" t="s">
        <v>837</v>
      </c>
      <c r="G3620" t="s">
        <v>56</v>
      </c>
      <c r="H3620" t="s">
        <v>23</v>
      </c>
      <c r="I3620" t="s">
        <v>24</v>
      </c>
      <c r="J3620" t="s">
        <v>43</v>
      </c>
      <c r="K3620" t="s">
        <v>53</v>
      </c>
      <c r="L3620" t="s">
        <v>37</v>
      </c>
      <c r="M3620">
        <v>2</v>
      </c>
      <c r="N3620" s="2">
        <v>42</v>
      </c>
      <c r="O3620" s="3">
        <v>2638</v>
      </c>
      <c r="P3620">
        <v>1</v>
      </c>
      <c r="Q3620">
        <v>4</v>
      </c>
      <c r="R3620" t="s">
        <v>28</v>
      </c>
      <c r="S3620">
        <v>1</v>
      </c>
    </row>
    <row r="3621" spans="1:19" ht="16.5" x14ac:dyDescent="0.3">
      <c r="A3621" t="s">
        <v>3684</v>
      </c>
      <c r="B3621" s="1">
        <v>45755</v>
      </c>
      <c r="C3621" s="1">
        <v>45765</v>
      </c>
      <c r="D3621">
        <v>2025</v>
      </c>
      <c r="E3621" t="s">
        <v>836</v>
      </c>
      <c r="F3621" t="s">
        <v>837</v>
      </c>
      <c r="G3621" t="s">
        <v>56</v>
      </c>
      <c r="H3621" t="s">
        <v>50</v>
      </c>
      <c r="I3621" t="s">
        <v>24</v>
      </c>
      <c r="J3621" t="s">
        <v>25</v>
      </c>
      <c r="K3621" t="s">
        <v>53</v>
      </c>
      <c r="L3621" t="s">
        <v>44</v>
      </c>
      <c r="M3621">
        <v>10</v>
      </c>
      <c r="N3621" s="2">
        <v>27</v>
      </c>
      <c r="O3621" s="3">
        <v>10503</v>
      </c>
      <c r="P3621">
        <v>0</v>
      </c>
      <c r="Q3621">
        <v>4</v>
      </c>
      <c r="R3621" t="s">
        <v>33</v>
      </c>
      <c r="S3621">
        <v>1</v>
      </c>
    </row>
    <row r="3622" spans="1:19" ht="16.5" x14ac:dyDescent="0.3">
      <c r="A3622" t="s">
        <v>3685</v>
      </c>
      <c r="B3622" s="1">
        <v>45755</v>
      </c>
      <c r="C3622" s="1">
        <v>45757</v>
      </c>
      <c r="D3622">
        <v>2025</v>
      </c>
      <c r="E3622" t="s">
        <v>836</v>
      </c>
      <c r="F3622" t="s">
        <v>837</v>
      </c>
      <c r="G3622" t="s">
        <v>56</v>
      </c>
      <c r="H3622" t="s">
        <v>39</v>
      </c>
      <c r="I3622" t="s">
        <v>24</v>
      </c>
      <c r="J3622" t="s">
        <v>25</v>
      </c>
      <c r="K3622" t="s">
        <v>41</v>
      </c>
      <c r="L3622" t="s">
        <v>37</v>
      </c>
      <c r="M3622">
        <v>2</v>
      </c>
      <c r="N3622" s="2">
        <v>56</v>
      </c>
      <c r="O3622" s="3">
        <v>1471</v>
      </c>
      <c r="P3622">
        <v>0</v>
      </c>
      <c r="Q3622">
        <v>3</v>
      </c>
      <c r="R3622" t="s">
        <v>33</v>
      </c>
      <c r="S3622">
        <v>1</v>
      </c>
    </row>
    <row r="3623" spans="1:19" ht="16.5" x14ac:dyDescent="0.3">
      <c r="A3623" t="s">
        <v>3686</v>
      </c>
      <c r="B3623" s="1">
        <v>45756</v>
      </c>
      <c r="C3623" s="1">
        <v>45766</v>
      </c>
      <c r="D3623">
        <v>2025</v>
      </c>
      <c r="E3623" t="s">
        <v>836</v>
      </c>
      <c r="F3623" t="s">
        <v>837</v>
      </c>
      <c r="G3623" t="s">
        <v>70</v>
      </c>
      <c r="H3623" t="s">
        <v>35</v>
      </c>
      <c r="I3623" t="s">
        <v>24</v>
      </c>
      <c r="J3623" t="s">
        <v>25</v>
      </c>
      <c r="K3623" t="s">
        <v>36</v>
      </c>
      <c r="L3623" t="s">
        <v>44</v>
      </c>
      <c r="M3623">
        <v>10</v>
      </c>
      <c r="N3623" s="2">
        <v>75</v>
      </c>
      <c r="O3623" s="3">
        <v>7409</v>
      </c>
      <c r="P3623">
        <v>0</v>
      </c>
      <c r="Q3623">
        <v>4</v>
      </c>
      <c r="R3623" t="s">
        <v>33</v>
      </c>
      <c r="S3623">
        <v>1</v>
      </c>
    </row>
    <row r="3624" spans="1:19" ht="16.5" x14ac:dyDescent="0.3">
      <c r="A3624" t="s">
        <v>3687</v>
      </c>
      <c r="B3624" s="1">
        <v>45756</v>
      </c>
      <c r="C3624" s="1">
        <v>45758</v>
      </c>
      <c r="D3624">
        <v>2025</v>
      </c>
      <c r="E3624" t="s">
        <v>836</v>
      </c>
      <c r="F3624" t="s">
        <v>837</v>
      </c>
      <c r="G3624" t="s">
        <v>70</v>
      </c>
      <c r="H3624" t="s">
        <v>39</v>
      </c>
      <c r="I3624" t="s">
        <v>24</v>
      </c>
      <c r="J3624" t="s">
        <v>25</v>
      </c>
      <c r="K3624" t="s">
        <v>41</v>
      </c>
      <c r="L3624" t="s">
        <v>44</v>
      </c>
      <c r="M3624">
        <v>2</v>
      </c>
      <c r="N3624" s="2">
        <v>94</v>
      </c>
      <c r="O3624" s="3">
        <v>2242</v>
      </c>
      <c r="P3624">
        <v>0</v>
      </c>
      <c r="Q3624">
        <v>3</v>
      </c>
      <c r="R3624" t="s">
        <v>59</v>
      </c>
      <c r="S3624">
        <v>1</v>
      </c>
    </row>
    <row r="3625" spans="1:19" ht="16.5" x14ac:dyDescent="0.3">
      <c r="A3625" t="s">
        <v>3688</v>
      </c>
      <c r="B3625" s="1">
        <v>45756</v>
      </c>
      <c r="C3625" s="1">
        <v>45758</v>
      </c>
      <c r="D3625">
        <v>2025</v>
      </c>
      <c r="E3625" t="s">
        <v>836</v>
      </c>
      <c r="F3625" t="s">
        <v>837</v>
      </c>
      <c r="G3625" t="s">
        <v>70</v>
      </c>
      <c r="H3625" t="s">
        <v>39</v>
      </c>
      <c r="I3625" t="s">
        <v>24</v>
      </c>
      <c r="J3625" t="s">
        <v>25</v>
      </c>
      <c r="K3625" t="s">
        <v>41</v>
      </c>
      <c r="L3625" t="s">
        <v>27</v>
      </c>
      <c r="M3625">
        <v>2</v>
      </c>
      <c r="N3625" s="2">
        <v>26</v>
      </c>
      <c r="O3625" s="3">
        <v>2103</v>
      </c>
      <c r="P3625">
        <v>0</v>
      </c>
      <c r="Q3625">
        <v>5</v>
      </c>
      <c r="R3625" t="s">
        <v>28</v>
      </c>
      <c r="S3625">
        <v>1</v>
      </c>
    </row>
    <row r="3626" spans="1:19" ht="16.5" x14ac:dyDescent="0.3">
      <c r="A3626" t="s">
        <v>3689</v>
      </c>
      <c r="B3626" s="1">
        <v>45756</v>
      </c>
      <c r="C3626" s="1">
        <v>45757</v>
      </c>
      <c r="D3626">
        <v>2025</v>
      </c>
      <c r="E3626" t="s">
        <v>836</v>
      </c>
      <c r="F3626" t="s">
        <v>837</v>
      </c>
      <c r="G3626" t="s">
        <v>70</v>
      </c>
      <c r="H3626" t="s">
        <v>23</v>
      </c>
      <c r="I3626" t="s">
        <v>24</v>
      </c>
      <c r="J3626" t="s">
        <v>25</v>
      </c>
      <c r="K3626" t="s">
        <v>26</v>
      </c>
      <c r="L3626" t="s">
        <v>27</v>
      </c>
      <c r="M3626">
        <v>1</v>
      </c>
      <c r="N3626" s="2">
        <v>26</v>
      </c>
      <c r="O3626" s="3">
        <v>1406</v>
      </c>
      <c r="P3626">
        <v>0</v>
      </c>
      <c r="Q3626">
        <v>5</v>
      </c>
      <c r="R3626" t="s">
        <v>28</v>
      </c>
      <c r="S3626">
        <v>1</v>
      </c>
    </row>
    <row r="3627" spans="1:19" ht="16.5" x14ac:dyDescent="0.3">
      <c r="A3627" t="s">
        <v>3690</v>
      </c>
      <c r="B3627" s="1">
        <v>45756</v>
      </c>
      <c r="C3627" s="1">
        <v>45770</v>
      </c>
      <c r="D3627">
        <v>2025</v>
      </c>
      <c r="E3627" t="s">
        <v>836</v>
      </c>
      <c r="F3627" t="s">
        <v>837</v>
      </c>
      <c r="G3627" t="s">
        <v>70</v>
      </c>
      <c r="H3627" t="s">
        <v>30</v>
      </c>
      <c r="I3627" t="s">
        <v>40</v>
      </c>
      <c r="J3627" t="s">
        <v>43</v>
      </c>
      <c r="K3627" t="s">
        <v>26</v>
      </c>
      <c r="L3627" t="s">
        <v>44</v>
      </c>
      <c r="M3627">
        <v>14</v>
      </c>
      <c r="N3627" s="2"/>
      <c r="O3627" s="3">
        <v>13440</v>
      </c>
      <c r="P3627">
        <v>0</v>
      </c>
      <c r="Q3627">
        <v>5</v>
      </c>
      <c r="R3627" t="s">
        <v>33</v>
      </c>
      <c r="S3627">
        <v>1</v>
      </c>
    </row>
    <row r="3628" spans="1:19" ht="16.5" x14ac:dyDescent="0.3">
      <c r="A3628" t="s">
        <v>3691</v>
      </c>
      <c r="B3628" s="1">
        <v>45756</v>
      </c>
      <c r="C3628" s="1">
        <v>45761</v>
      </c>
      <c r="D3628">
        <v>2025</v>
      </c>
      <c r="E3628" t="s">
        <v>836</v>
      </c>
      <c r="F3628" t="s">
        <v>837</v>
      </c>
      <c r="G3628" t="s">
        <v>70</v>
      </c>
      <c r="H3628" t="s">
        <v>52</v>
      </c>
      <c r="I3628" t="s">
        <v>40</v>
      </c>
      <c r="J3628" t="s">
        <v>25</v>
      </c>
      <c r="K3628" t="s">
        <v>26</v>
      </c>
      <c r="L3628" t="s">
        <v>27</v>
      </c>
      <c r="M3628">
        <v>5</v>
      </c>
      <c r="N3628" s="2"/>
      <c r="O3628" s="3">
        <v>5536</v>
      </c>
      <c r="P3628">
        <v>0</v>
      </c>
      <c r="Q3628">
        <v>4</v>
      </c>
      <c r="R3628" t="s">
        <v>33</v>
      </c>
      <c r="S3628">
        <v>1</v>
      </c>
    </row>
    <row r="3629" spans="1:19" ht="16.5" x14ac:dyDescent="0.3">
      <c r="A3629" t="s">
        <v>3692</v>
      </c>
      <c r="B3629" s="1">
        <v>45756</v>
      </c>
      <c r="C3629" s="1">
        <v>45757</v>
      </c>
      <c r="D3629">
        <v>2025</v>
      </c>
      <c r="E3629" t="s">
        <v>836</v>
      </c>
      <c r="F3629" t="s">
        <v>837</v>
      </c>
      <c r="G3629" t="s">
        <v>70</v>
      </c>
      <c r="H3629" t="s">
        <v>23</v>
      </c>
      <c r="I3629" t="s">
        <v>24</v>
      </c>
      <c r="J3629" t="s">
        <v>43</v>
      </c>
      <c r="K3629" t="s">
        <v>53</v>
      </c>
      <c r="L3629" t="s">
        <v>44</v>
      </c>
      <c r="M3629">
        <v>1</v>
      </c>
      <c r="N3629" s="2">
        <v>59</v>
      </c>
      <c r="O3629" s="3">
        <v>1434</v>
      </c>
      <c r="P3629">
        <v>0</v>
      </c>
      <c r="Q3629">
        <v>5</v>
      </c>
      <c r="R3629" t="s">
        <v>33</v>
      </c>
      <c r="S3629">
        <v>1</v>
      </c>
    </row>
    <row r="3630" spans="1:19" ht="16.5" x14ac:dyDescent="0.3">
      <c r="A3630" t="s">
        <v>3693</v>
      </c>
      <c r="B3630" s="1">
        <v>45757</v>
      </c>
      <c r="C3630" s="1">
        <v>45761</v>
      </c>
      <c r="D3630">
        <v>2025</v>
      </c>
      <c r="E3630" t="s">
        <v>836</v>
      </c>
      <c r="F3630" t="s">
        <v>837</v>
      </c>
      <c r="G3630" t="s">
        <v>78</v>
      </c>
      <c r="H3630" t="s">
        <v>30</v>
      </c>
      <c r="I3630" t="s">
        <v>40</v>
      </c>
      <c r="J3630" t="s">
        <v>25</v>
      </c>
      <c r="K3630" t="s">
        <v>36</v>
      </c>
      <c r="L3630" t="s">
        <v>27</v>
      </c>
      <c r="M3630">
        <v>4</v>
      </c>
      <c r="N3630" s="2"/>
      <c r="O3630" s="3">
        <v>5285</v>
      </c>
      <c r="P3630">
        <v>0</v>
      </c>
      <c r="Q3630">
        <v>5</v>
      </c>
      <c r="R3630" t="s">
        <v>33</v>
      </c>
      <c r="S3630">
        <v>1</v>
      </c>
    </row>
    <row r="3631" spans="1:19" ht="16.5" x14ac:dyDescent="0.3">
      <c r="A3631" t="s">
        <v>3694</v>
      </c>
      <c r="B3631" s="1">
        <v>45757</v>
      </c>
      <c r="C3631" s="1">
        <v>45760</v>
      </c>
      <c r="D3631">
        <v>2025</v>
      </c>
      <c r="E3631" t="s">
        <v>836</v>
      </c>
      <c r="F3631" t="s">
        <v>837</v>
      </c>
      <c r="G3631" t="s">
        <v>78</v>
      </c>
      <c r="H3631" t="s">
        <v>35</v>
      </c>
      <c r="I3631" t="s">
        <v>24</v>
      </c>
      <c r="J3631" t="s">
        <v>25</v>
      </c>
      <c r="K3631" t="s">
        <v>32</v>
      </c>
      <c r="L3631" t="s">
        <v>37</v>
      </c>
      <c r="M3631">
        <v>3</v>
      </c>
      <c r="N3631" s="2">
        <v>38</v>
      </c>
      <c r="O3631" s="3">
        <v>2871</v>
      </c>
      <c r="P3631">
        <v>0</v>
      </c>
      <c r="Q3631">
        <v>4</v>
      </c>
      <c r="R3631" t="s">
        <v>33</v>
      </c>
      <c r="S3631">
        <v>1</v>
      </c>
    </row>
    <row r="3632" spans="1:19" ht="16.5" x14ac:dyDescent="0.3">
      <c r="A3632" t="s">
        <v>3695</v>
      </c>
      <c r="B3632" s="1">
        <v>45757</v>
      </c>
      <c r="C3632" s="1">
        <v>45760</v>
      </c>
      <c r="D3632">
        <v>2025</v>
      </c>
      <c r="E3632" t="s">
        <v>836</v>
      </c>
      <c r="F3632" t="s">
        <v>837</v>
      </c>
      <c r="G3632" t="s">
        <v>78</v>
      </c>
      <c r="H3632" t="s">
        <v>52</v>
      </c>
      <c r="I3632" t="s">
        <v>24</v>
      </c>
      <c r="J3632" t="s">
        <v>43</v>
      </c>
      <c r="K3632" t="s">
        <v>26</v>
      </c>
      <c r="L3632" t="s">
        <v>44</v>
      </c>
      <c r="M3632">
        <v>3</v>
      </c>
      <c r="N3632" s="2">
        <v>31</v>
      </c>
      <c r="O3632" s="3">
        <v>2949</v>
      </c>
      <c r="P3632">
        <v>0</v>
      </c>
      <c r="Q3632">
        <v>4</v>
      </c>
      <c r="R3632" t="s">
        <v>59</v>
      </c>
      <c r="S3632">
        <v>1</v>
      </c>
    </row>
    <row r="3633" spans="1:19" ht="16.5" x14ac:dyDescent="0.3">
      <c r="A3633" t="s">
        <v>3696</v>
      </c>
      <c r="B3633" s="1">
        <v>45757</v>
      </c>
      <c r="C3633" s="1">
        <v>45761</v>
      </c>
      <c r="D3633">
        <v>2025</v>
      </c>
      <c r="E3633" t="s">
        <v>836</v>
      </c>
      <c r="F3633" t="s">
        <v>837</v>
      </c>
      <c r="G3633" t="s">
        <v>78</v>
      </c>
      <c r="H3633" t="s">
        <v>39</v>
      </c>
      <c r="I3633" t="s">
        <v>40</v>
      </c>
      <c r="J3633" t="s">
        <v>25</v>
      </c>
      <c r="K3633" t="s">
        <v>41</v>
      </c>
      <c r="L3633" t="s">
        <v>44</v>
      </c>
      <c r="M3633">
        <v>4</v>
      </c>
      <c r="N3633" s="2"/>
      <c r="O3633" s="3">
        <v>2941</v>
      </c>
      <c r="P3633">
        <v>0</v>
      </c>
      <c r="Q3633">
        <v>4</v>
      </c>
      <c r="R3633" t="s">
        <v>33</v>
      </c>
      <c r="S3633">
        <v>1</v>
      </c>
    </row>
    <row r="3634" spans="1:19" ht="16.5" x14ac:dyDescent="0.3">
      <c r="A3634" t="s">
        <v>3697</v>
      </c>
      <c r="B3634" s="1">
        <v>45757</v>
      </c>
      <c r="C3634" s="1">
        <v>45760</v>
      </c>
      <c r="D3634">
        <v>2025</v>
      </c>
      <c r="E3634" t="s">
        <v>836</v>
      </c>
      <c r="F3634" t="s">
        <v>837</v>
      </c>
      <c r="G3634" t="s">
        <v>78</v>
      </c>
      <c r="H3634" t="s">
        <v>35</v>
      </c>
      <c r="I3634" t="s">
        <v>40</v>
      </c>
      <c r="J3634" t="s">
        <v>25</v>
      </c>
      <c r="K3634" t="s">
        <v>36</v>
      </c>
      <c r="L3634" t="s">
        <v>44</v>
      </c>
      <c r="M3634">
        <v>3</v>
      </c>
      <c r="N3634" s="2"/>
      <c r="O3634" s="3">
        <v>2677</v>
      </c>
      <c r="P3634">
        <v>0</v>
      </c>
      <c r="Q3634">
        <v>4</v>
      </c>
      <c r="R3634" t="s">
        <v>33</v>
      </c>
      <c r="S3634">
        <v>1</v>
      </c>
    </row>
    <row r="3635" spans="1:19" ht="16.5" x14ac:dyDescent="0.3">
      <c r="A3635" t="s">
        <v>3698</v>
      </c>
      <c r="B3635" s="1">
        <v>45758</v>
      </c>
      <c r="C3635" s="1">
        <v>45761</v>
      </c>
      <c r="D3635">
        <v>2025</v>
      </c>
      <c r="E3635" t="s">
        <v>836</v>
      </c>
      <c r="F3635" t="s">
        <v>837</v>
      </c>
      <c r="G3635" t="s">
        <v>83</v>
      </c>
      <c r="H3635" t="s">
        <v>30</v>
      </c>
      <c r="I3635" t="s">
        <v>40</v>
      </c>
      <c r="J3635" t="s">
        <v>25</v>
      </c>
      <c r="K3635" t="s">
        <v>32</v>
      </c>
      <c r="L3635" t="s">
        <v>44</v>
      </c>
      <c r="M3635">
        <v>3</v>
      </c>
      <c r="N3635" s="2"/>
      <c r="O3635" s="3">
        <v>4162</v>
      </c>
      <c r="P3635">
        <v>0</v>
      </c>
      <c r="Q3635">
        <v>5</v>
      </c>
      <c r="R3635" t="s">
        <v>28</v>
      </c>
      <c r="S3635">
        <v>1</v>
      </c>
    </row>
    <row r="3636" spans="1:19" ht="16.5" x14ac:dyDescent="0.3">
      <c r="A3636" t="s">
        <v>3699</v>
      </c>
      <c r="B3636" s="1">
        <v>45758</v>
      </c>
      <c r="C3636" s="1">
        <v>45771</v>
      </c>
      <c r="D3636">
        <v>2025</v>
      </c>
      <c r="E3636" t="s">
        <v>836</v>
      </c>
      <c r="F3636" t="s">
        <v>837</v>
      </c>
      <c r="G3636" t="s">
        <v>83</v>
      </c>
      <c r="H3636" t="s">
        <v>30</v>
      </c>
      <c r="I3636" t="s">
        <v>40</v>
      </c>
      <c r="J3636" t="s">
        <v>43</v>
      </c>
      <c r="K3636" t="s">
        <v>36</v>
      </c>
      <c r="L3636" t="s">
        <v>44</v>
      </c>
      <c r="M3636">
        <v>13</v>
      </c>
      <c r="N3636" s="2"/>
      <c r="O3636" s="3">
        <v>14638</v>
      </c>
      <c r="P3636">
        <v>0</v>
      </c>
      <c r="Q3636">
        <v>4</v>
      </c>
      <c r="R3636" t="s">
        <v>28</v>
      </c>
      <c r="S3636">
        <v>1</v>
      </c>
    </row>
    <row r="3637" spans="1:19" ht="16.5" x14ac:dyDescent="0.3">
      <c r="A3637" t="s">
        <v>3700</v>
      </c>
      <c r="B3637" s="1">
        <v>45758</v>
      </c>
      <c r="C3637" s="1">
        <v>45761</v>
      </c>
      <c r="D3637">
        <v>2025</v>
      </c>
      <c r="E3637" t="s">
        <v>836</v>
      </c>
      <c r="F3637" t="s">
        <v>837</v>
      </c>
      <c r="G3637" t="s">
        <v>83</v>
      </c>
      <c r="H3637" t="s">
        <v>30</v>
      </c>
      <c r="I3637" t="s">
        <v>24</v>
      </c>
      <c r="J3637" t="s">
        <v>43</v>
      </c>
      <c r="K3637" t="s">
        <v>32</v>
      </c>
      <c r="L3637" t="s">
        <v>27</v>
      </c>
      <c r="M3637">
        <v>3</v>
      </c>
      <c r="N3637" s="2">
        <v>197</v>
      </c>
      <c r="O3637" s="3">
        <v>4354</v>
      </c>
      <c r="P3637">
        <v>0</v>
      </c>
      <c r="Q3637">
        <v>3</v>
      </c>
      <c r="R3637" t="s">
        <v>33</v>
      </c>
      <c r="S3637">
        <v>1</v>
      </c>
    </row>
    <row r="3638" spans="1:19" ht="16.5" x14ac:dyDescent="0.3">
      <c r="A3638" t="s">
        <v>3701</v>
      </c>
      <c r="B3638" s="1">
        <v>45758</v>
      </c>
      <c r="C3638" s="1">
        <v>45759</v>
      </c>
      <c r="D3638">
        <v>2025</v>
      </c>
      <c r="E3638" t="s">
        <v>836</v>
      </c>
      <c r="F3638" t="s">
        <v>837</v>
      </c>
      <c r="G3638" t="s">
        <v>83</v>
      </c>
      <c r="H3638" t="s">
        <v>35</v>
      </c>
      <c r="I3638" t="s">
        <v>24</v>
      </c>
      <c r="J3638" t="s">
        <v>25</v>
      </c>
      <c r="K3638" t="s">
        <v>36</v>
      </c>
      <c r="L3638" t="s">
        <v>37</v>
      </c>
      <c r="M3638">
        <v>1</v>
      </c>
      <c r="N3638" s="2">
        <v>124</v>
      </c>
      <c r="O3638" s="3">
        <v>1318</v>
      </c>
      <c r="P3638">
        <v>0</v>
      </c>
      <c r="Q3638">
        <v>3</v>
      </c>
      <c r="R3638" t="s">
        <v>33</v>
      </c>
      <c r="S3638">
        <v>1</v>
      </c>
    </row>
    <row r="3639" spans="1:19" ht="16.5" x14ac:dyDescent="0.3">
      <c r="A3639" t="s">
        <v>3702</v>
      </c>
      <c r="B3639" s="1">
        <v>45758</v>
      </c>
      <c r="C3639" s="1">
        <v>45766</v>
      </c>
      <c r="D3639">
        <v>2025</v>
      </c>
      <c r="E3639" t="s">
        <v>836</v>
      </c>
      <c r="F3639" t="s">
        <v>837</v>
      </c>
      <c r="G3639" t="s">
        <v>83</v>
      </c>
      <c r="H3639" t="s">
        <v>50</v>
      </c>
      <c r="I3639" t="s">
        <v>24</v>
      </c>
      <c r="J3639" t="s">
        <v>43</v>
      </c>
      <c r="K3639" t="s">
        <v>36</v>
      </c>
      <c r="L3639" t="s">
        <v>27</v>
      </c>
      <c r="M3639">
        <v>8</v>
      </c>
      <c r="N3639" s="2">
        <v>52</v>
      </c>
      <c r="O3639" s="3">
        <v>13672</v>
      </c>
      <c r="P3639">
        <v>0</v>
      </c>
      <c r="Q3639">
        <v>5</v>
      </c>
      <c r="R3639" t="s">
        <v>28</v>
      </c>
      <c r="S3639">
        <v>1</v>
      </c>
    </row>
    <row r="3640" spans="1:19" ht="16.5" x14ac:dyDescent="0.3">
      <c r="A3640" t="s">
        <v>3703</v>
      </c>
      <c r="B3640" s="1">
        <v>45758</v>
      </c>
      <c r="C3640" s="1">
        <v>45760</v>
      </c>
      <c r="D3640">
        <v>2025</v>
      </c>
      <c r="E3640" t="s">
        <v>836</v>
      </c>
      <c r="F3640" t="s">
        <v>837</v>
      </c>
      <c r="G3640" t="s">
        <v>83</v>
      </c>
      <c r="H3640" t="s">
        <v>39</v>
      </c>
      <c r="I3640" t="s">
        <v>24</v>
      </c>
      <c r="J3640" t="s">
        <v>43</v>
      </c>
      <c r="K3640" t="s">
        <v>41</v>
      </c>
      <c r="L3640" t="s">
        <v>37</v>
      </c>
      <c r="M3640">
        <v>2</v>
      </c>
      <c r="N3640" s="2">
        <v>47</v>
      </c>
      <c r="O3640" s="3">
        <v>2128</v>
      </c>
      <c r="P3640">
        <v>0</v>
      </c>
      <c r="Q3640">
        <v>3</v>
      </c>
      <c r="R3640" t="s">
        <v>33</v>
      </c>
      <c r="S3640">
        <v>1</v>
      </c>
    </row>
    <row r="3641" spans="1:19" ht="16.5" x14ac:dyDescent="0.3">
      <c r="A3641" t="s">
        <v>3704</v>
      </c>
      <c r="B3641" s="1">
        <v>45758</v>
      </c>
      <c r="C3641" s="1">
        <v>45760</v>
      </c>
      <c r="D3641">
        <v>2025</v>
      </c>
      <c r="E3641" t="s">
        <v>836</v>
      </c>
      <c r="F3641" t="s">
        <v>837</v>
      </c>
      <c r="G3641" t="s">
        <v>83</v>
      </c>
      <c r="H3641" t="s">
        <v>35</v>
      </c>
      <c r="I3641" t="s">
        <v>24</v>
      </c>
      <c r="J3641" t="s">
        <v>25</v>
      </c>
      <c r="K3641" t="s">
        <v>36</v>
      </c>
      <c r="L3641" t="s">
        <v>27</v>
      </c>
      <c r="M3641">
        <v>2</v>
      </c>
      <c r="N3641" s="2">
        <v>34</v>
      </c>
      <c r="O3641" s="3">
        <v>1884</v>
      </c>
      <c r="P3641">
        <v>0</v>
      </c>
      <c r="Q3641">
        <v>4</v>
      </c>
      <c r="R3641" t="s">
        <v>33</v>
      </c>
      <c r="S3641">
        <v>1</v>
      </c>
    </row>
    <row r="3642" spans="1:19" ht="16.5" x14ac:dyDescent="0.3">
      <c r="A3642" t="s">
        <v>3705</v>
      </c>
      <c r="B3642" s="1">
        <v>45758</v>
      </c>
      <c r="C3642" s="1">
        <v>45760</v>
      </c>
      <c r="D3642">
        <v>2025</v>
      </c>
      <c r="E3642" t="s">
        <v>836</v>
      </c>
      <c r="F3642" t="s">
        <v>837</v>
      </c>
      <c r="G3642" t="s">
        <v>83</v>
      </c>
      <c r="H3642" t="s">
        <v>23</v>
      </c>
      <c r="I3642" t="s">
        <v>24</v>
      </c>
      <c r="J3642" t="s">
        <v>43</v>
      </c>
      <c r="K3642" t="s">
        <v>53</v>
      </c>
      <c r="L3642" t="s">
        <v>27</v>
      </c>
      <c r="M3642">
        <v>2</v>
      </c>
      <c r="N3642" s="2">
        <v>102</v>
      </c>
      <c r="O3642" s="3">
        <v>1850</v>
      </c>
      <c r="P3642">
        <v>0</v>
      </c>
      <c r="Q3642">
        <v>4</v>
      </c>
      <c r="R3642" t="s">
        <v>28</v>
      </c>
      <c r="S3642">
        <v>1</v>
      </c>
    </row>
    <row r="3643" spans="1:19" ht="16.5" x14ac:dyDescent="0.3">
      <c r="A3643" t="s">
        <v>3706</v>
      </c>
      <c r="B3643" s="1">
        <v>45758</v>
      </c>
      <c r="C3643" s="1">
        <v>45760</v>
      </c>
      <c r="D3643">
        <v>2025</v>
      </c>
      <c r="E3643" t="s">
        <v>836</v>
      </c>
      <c r="F3643" t="s">
        <v>837</v>
      </c>
      <c r="G3643" t="s">
        <v>83</v>
      </c>
      <c r="H3643" t="s">
        <v>23</v>
      </c>
      <c r="I3643" t="s">
        <v>24</v>
      </c>
      <c r="J3643" t="s">
        <v>25</v>
      </c>
      <c r="K3643" t="s">
        <v>36</v>
      </c>
      <c r="L3643" t="s">
        <v>44</v>
      </c>
      <c r="M3643">
        <v>2</v>
      </c>
      <c r="N3643" s="2">
        <v>20</v>
      </c>
      <c r="O3643" s="3">
        <v>2600</v>
      </c>
      <c r="P3643">
        <v>0</v>
      </c>
      <c r="Q3643">
        <v>4</v>
      </c>
      <c r="R3643" t="s">
        <v>33</v>
      </c>
      <c r="S3643">
        <v>1</v>
      </c>
    </row>
    <row r="3644" spans="1:19" ht="16.5" x14ac:dyDescent="0.3">
      <c r="A3644" t="s">
        <v>3707</v>
      </c>
      <c r="B3644" s="1">
        <v>45758</v>
      </c>
      <c r="C3644" s="1">
        <v>45766</v>
      </c>
      <c r="D3644">
        <v>2025</v>
      </c>
      <c r="E3644" t="s">
        <v>836</v>
      </c>
      <c r="F3644" t="s">
        <v>837</v>
      </c>
      <c r="G3644" t="s">
        <v>83</v>
      </c>
      <c r="H3644" t="s">
        <v>50</v>
      </c>
      <c r="I3644" t="s">
        <v>24</v>
      </c>
      <c r="J3644" t="s">
        <v>43</v>
      </c>
      <c r="K3644" t="s">
        <v>26</v>
      </c>
      <c r="L3644" t="s">
        <v>44</v>
      </c>
      <c r="M3644">
        <v>8</v>
      </c>
      <c r="N3644" s="2">
        <v>62</v>
      </c>
      <c r="O3644" s="3">
        <v>6678</v>
      </c>
      <c r="P3644">
        <v>0</v>
      </c>
      <c r="Q3644">
        <v>3</v>
      </c>
      <c r="R3644" t="s">
        <v>33</v>
      </c>
      <c r="S3644">
        <v>1</v>
      </c>
    </row>
    <row r="3645" spans="1:19" ht="16.5" x14ac:dyDescent="0.3">
      <c r="A3645" t="s">
        <v>3708</v>
      </c>
      <c r="B3645" s="1">
        <v>45759</v>
      </c>
      <c r="C3645" s="1">
        <v>45760</v>
      </c>
      <c r="D3645">
        <v>2025</v>
      </c>
      <c r="E3645" t="s">
        <v>836</v>
      </c>
      <c r="F3645" t="s">
        <v>837</v>
      </c>
      <c r="G3645" t="s">
        <v>102</v>
      </c>
      <c r="H3645" t="s">
        <v>50</v>
      </c>
      <c r="I3645" t="s">
        <v>31</v>
      </c>
      <c r="J3645" t="s">
        <v>43</v>
      </c>
      <c r="K3645" t="s">
        <v>53</v>
      </c>
      <c r="L3645" t="s">
        <v>37</v>
      </c>
      <c r="M3645">
        <v>1</v>
      </c>
      <c r="N3645" s="2"/>
      <c r="O3645" s="3">
        <v>1930</v>
      </c>
      <c r="P3645">
        <v>0</v>
      </c>
      <c r="Q3645">
        <v>4</v>
      </c>
      <c r="R3645" t="s">
        <v>28</v>
      </c>
      <c r="S3645">
        <v>1</v>
      </c>
    </row>
    <row r="3646" spans="1:19" ht="16.5" x14ac:dyDescent="0.3">
      <c r="A3646" t="s">
        <v>3709</v>
      </c>
      <c r="B3646" s="1">
        <v>45759</v>
      </c>
      <c r="C3646" s="1">
        <v>45762</v>
      </c>
      <c r="D3646">
        <v>2025</v>
      </c>
      <c r="E3646" t="s">
        <v>836</v>
      </c>
      <c r="F3646" t="s">
        <v>837</v>
      </c>
      <c r="G3646" t="s">
        <v>102</v>
      </c>
      <c r="H3646" t="s">
        <v>39</v>
      </c>
      <c r="I3646" t="s">
        <v>24</v>
      </c>
      <c r="J3646" t="s">
        <v>43</v>
      </c>
      <c r="K3646" t="s">
        <v>41</v>
      </c>
      <c r="L3646" t="s">
        <v>27</v>
      </c>
      <c r="M3646">
        <v>3</v>
      </c>
      <c r="N3646" s="2">
        <v>47</v>
      </c>
      <c r="O3646" s="3">
        <v>2925</v>
      </c>
      <c r="P3646">
        <v>0</v>
      </c>
      <c r="Q3646">
        <v>3</v>
      </c>
      <c r="R3646" t="s">
        <v>33</v>
      </c>
      <c r="S3646">
        <v>1</v>
      </c>
    </row>
    <row r="3647" spans="1:19" ht="16.5" x14ac:dyDescent="0.3">
      <c r="A3647" t="s">
        <v>3710</v>
      </c>
      <c r="B3647" s="1">
        <v>45759</v>
      </c>
      <c r="C3647" s="1">
        <v>45762</v>
      </c>
      <c r="D3647">
        <v>2025</v>
      </c>
      <c r="E3647" t="s">
        <v>836</v>
      </c>
      <c r="F3647" t="s">
        <v>837</v>
      </c>
      <c r="G3647" t="s">
        <v>102</v>
      </c>
      <c r="H3647" t="s">
        <v>52</v>
      </c>
      <c r="I3647" t="s">
        <v>40</v>
      </c>
      <c r="J3647" t="s">
        <v>43</v>
      </c>
      <c r="K3647" t="s">
        <v>36</v>
      </c>
      <c r="L3647" t="s">
        <v>44</v>
      </c>
      <c r="M3647">
        <v>3</v>
      </c>
      <c r="N3647" s="2"/>
      <c r="O3647" s="3">
        <v>3994</v>
      </c>
      <c r="P3647">
        <v>0</v>
      </c>
      <c r="Q3647">
        <v>3</v>
      </c>
      <c r="R3647" t="s">
        <v>28</v>
      </c>
      <c r="S3647">
        <v>1</v>
      </c>
    </row>
    <row r="3648" spans="1:19" ht="16.5" x14ac:dyDescent="0.3">
      <c r="A3648" t="s">
        <v>3711</v>
      </c>
      <c r="B3648" s="1">
        <v>45759</v>
      </c>
      <c r="C3648" s="1">
        <v>45763</v>
      </c>
      <c r="D3648">
        <v>2025</v>
      </c>
      <c r="E3648" t="s">
        <v>836</v>
      </c>
      <c r="F3648" t="s">
        <v>837</v>
      </c>
      <c r="G3648" t="s">
        <v>102</v>
      </c>
      <c r="H3648" t="s">
        <v>39</v>
      </c>
      <c r="I3648" t="s">
        <v>24</v>
      </c>
      <c r="J3648" t="s">
        <v>43</v>
      </c>
      <c r="K3648" t="s">
        <v>41</v>
      </c>
      <c r="L3648" t="s">
        <v>27</v>
      </c>
      <c r="M3648">
        <v>4</v>
      </c>
      <c r="N3648" s="2">
        <v>123</v>
      </c>
      <c r="O3648" s="3">
        <v>3080</v>
      </c>
      <c r="P3648">
        <v>0</v>
      </c>
      <c r="Q3648">
        <v>4</v>
      </c>
      <c r="R3648" t="s">
        <v>33</v>
      </c>
      <c r="S3648">
        <v>1</v>
      </c>
    </row>
    <row r="3649" spans="1:19" ht="16.5" x14ac:dyDescent="0.3">
      <c r="A3649" t="s">
        <v>3712</v>
      </c>
      <c r="B3649" s="1">
        <v>45759</v>
      </c>
      <c r="C3649" s="1">
        <v>45762</v>
      </c>
      <c r="D3649">
        <v>2025</v>
      </c>
      <c r="E3649" t="s">
        <v>836</v>
      </c>
      <c r="F3649" t="s">
        <v>837</v>
      </c>
      <c r="G3649" t="s">
        <v>102</v>
      </c>
      <c r="H3649" t="s">
        <v>39</v>
      </c>
      <c r="I3649" t="s">
        <v>24</v>
      </c>
      <c r="J3649" t="s">
        <v>25</v>
      </c>
      <c r="K3649" t="s">
        <v>41</v>
      </c>
      <c r="L3649" t="s">
        <v>27</v>
      </c>
      <c r="M3649">
        <v>3</v>
      </c>
      <c r="N3649" s="2">
        <v>70</v>
      </c>
      <c r="O3649" s="3">
        <v>2766</v>
      </c>
      <c r="P3649">
        <v>0</v>
      </c>
      <c r="Q3649">
        <v>4</v>
      </c>
      <c r="R3649" t="s">
        <v>165</v>
      </c>
      <c r="S3649">
        <v>1</v>
      </c>
    </row>
    <row r="3650" spans="1:19" ht="16.5" x14ac:dyDescent="0.3">
      <c r="A3650" t="s">
        <v>3713</v>
      </c>
      <c r="B3650" s="1">
        <v>45759</v>
      </c>
      <c r="C3650" s="1">
        <v>45770</v>
      </c>
      <c r="D3650">
        <v>2025</v>
      </c>
      <c r="E3650" t="s">
        <v>836</v>
      </c>
      <c r="F3650" t="s">
        <v>837</v>
      </c>
      <c r="G3650" t="s">
        <v>102</v>
      </c>
      <c r="H3650" t="s">
        <v>50</v>
      </c>
      <c r="I3650" t="s">
        <v>40</v>
      </c>
      <c r="J3650" t="s">
        <v>25</v>
      </c>
      <c r="K3650" t="s">
        <v>26</v>
      </c>
      <c r="L3650" t="s">
        <v>27</v>
      </c>
      <c r="M3650">
        <v>11</v>
      </c>
      <c r="N3650" s="2"/>
      <c r="O3650" s="3">
        <v>11973</v>
      </c>
      <c r="P3650">
        <v>0</v>
      </c>
      <c r="Q3650">
        <v>4</v>
      </c>
      <c r="R3650" t="s">
        <v>33</v>
      </c>
      <c r="S3650">
        <v>1</v>
      </c>
    </row>
    <row r="3651" spans="1:19" ht="16.5" x14ac:dyDescent="0.3">
      <c r="A3651" t="s">
        <v>3714</v>
      </c>
      <c r="B3651" s="1">
        <v>45759</v>
      </c>
      <c r="C3651" s="1">
        <v>45760</v>
      </c>
      <c r="D3651">
        <v>2025</v>
      </c>
      <c r="E3651" t="s">
        <v>836</v>
      </c>
      <c r="F3651" t="s">
        <v>837</v>
      </c>
      <c r="G3651" t="s">
        <v>102</v>
      </c>
      <c r="H3651" t="s">
        <v>35</v>
      </c>
      <c r="I3651" t="s">
        <v>40</v>
      </c>
      <c r="J3651" t="s">
        <v>25</v>
      </c>
      <c r="K3651" t="s">
        <v>32</v>
      </c>
      <c r="L3651" t="s">
        <v>27</v>
      </c>
      <c r="M3651">
        <v>1</v>
      </c>
      <c r="N3651" s="2"/>
      <c r="O3651" s="3">
        <v>1521</v>
      </c>
      <c r="P3651">
        <v>0</v>
      </c>
      <c r="Q3651">
        <v>5</v>
      </c>
      <c r="R3651" t="s">
        <v>33</v>
      </c>
      <c r="S3651">
        <v>1</v>
      </c>
    </row>
    <row r="3652" spans="1:19" ht="16.5" x14ac:dyDescent="0.3">
      <c r="A3652" t="s">
        <v>3715</v>
      </c>
      <c r="B3652" s="1">
        <v>45759</v>
      </c>
      <c r="C3652" s="1">
        <v>45766</v>
      </c>
      <c r="D3652">
        <v>2025</v>
      </c>
      <c r="E3652" t="s">
        <v>836</v>
      </c>
      <c r="F3652" t="s">
        <v>837</v>
      </c>
      <c r="G3652" t="s">
        <v>102</v>
      </c>
      <c r="H3652" t="s">
        <v>50</v>
      </c>
      <c r="I3652" t="s">
        <v>24</v>
      </c>
      <c r="J3652" t="s">
        <v>43</v>
      </c>
      <c r="K3652" t="s">
        <v>53</v>
      </c>
      <c r="L3652" t="s">
        <v>27</v>
      </c>
      <c r="M3652">
        <v>7</v>
      </c>
      <c r="N3652" s="2">
        <v>31</v>
      </c>
      <c r="O3652" s="3">
        <v>6891</v>
      </c>
      <c r="P3652">
        <v>0</v>
      </c>
      <c r="Q3652">
        <v>3</v>
      </c>
      <c r="R3652" t="s">
        <v>33</v>
      </c>
      <c r="S3652">
        <v>1</v>
      </c>
    </row>
    <row r="3653" spans="1:19" ht="16.5" x14ac:dyDescent="0.3">
      <c r="A3653" t="s">
        <v>3716</v>
      </c>
      <c r="B3653" s="1">
        <v>45759</v>
      </c>
      <c r="C3653" s="1">
        <v>45764</v>
      </c>
      <c r="D3653">
        <v>2025</v>
      </c>
      <c r="E3653" t="s">
        <v>836</v>
      </c>
      <c r="F3653" t="s">
        <v>837</v>
      </c>
      <c r="G3653" t="s">
        <v>102</v>
      </c>
      <c r="H3653" t="s">
        <v>30</v>
      </c>
      <c r="I3653" t="s">
        <v>40</v>
      </c>
      <c r="J3653" t="s">
        <v>25</v>
      </c>
      <c r="K3653" t="s">
        <v>53</v>
      </c>
      <c r="L3653" t="s">
        <v>27</v>
      </c>
      <c r="M3653">
        <v>5</v>
      </c>
      <c r="N3653" s="2"/>
      <c r="O3653" s="3">
        <v>5200</v>
      </c>
      <c r="P3653">
        <v>0</v>
      </c>
      <c r="Q3653">
        <v>4</v>
      </c>
      <c r="R3653" t="s">
        <v>33</v>
      </c>
      <c r="S3653">
        <v>1</v>
      </c>
    </row>
    <row r="3654" spans="1:19" ht="16.5" x14ac:dyDescent="0.3">
      <c r="A3654" t="s">
        <v>3717</v>
      </c>
      <c r="B3654" s="1">
        <v>45760</v>
      </c>
      <c r="C3654" s="1">
        <v>45761</v>
      </c>
      <c r="D3654">
        <v>2025</v>
      </c>
      <c r="E3654" t="s">
        <v>836</v>
      </c>
      <c r="F3654" t="s">
        <v>837</v>
      </c>
      <c r="G3654" t="s">
        <v>112</v>
      </c>
      <c r="H3654" t="s">
        <v>35</v>
      </c>
      <c r="I3654" t="s">
        <v>24</v>
      </c>
      <c r="J3654" t="s">
        <v>25</v>
      </c>
      <c r="K3654" t="s">
        <v>32</v>
      </c>
      <c r="L3654" t="s">
        <v>44</v>
      </c>
      <c r="M3654">
        <v>1</v>
      </c>
      <c r="N3654" s="2">
        <v>34</v>
      </c>
      <c r="O3654" s="3">
        <v>1148</v>
      </c>
      <c r="P3654">
        <v>0</v>
      </c>
      <c r="Q3654">
        <v>5</v>
      </c>
      <c r="R3654" t="s">
        <v>33</v>
      </c>
      <c r="S3654">
        <v>1</v>
      </c>
    </row>
    <row r="3655" spans="1:19" ht="16.5" x14ac:dyDescent="0.3">
      <c r="A3655" t="s">
        <v>3718</v>
      </c>
      <c r="B3655" s="1">
        <v>45760</v>
      </c>
      <c r="C3655" s="1">
        <v>45766</v>
      </c>
      <c r="D3655">
        <v>2025</v>
      </c>
      <c r="E3655" t="s">
        <v>836</v>
      </c>
      <c r="F3655" t="s">
        <v>837</v>
      </c>
      <c r="G3655" t="s">
        <v>112</v>
      </c>
      <c r="H3655" t="s">
        <v>30</v>
      </c>
      <c r="I3655" t="s">
        <v>40</v>
      </c>
      <c r="J3655" t="s">
        <v>25</v>
      </c>
      <c r="K3655" t="s">
        <v>53</v>
      </c>
      <c r="L3655" t="s">
        <v>44</v>
      </c>
      <c r="M3655">
        <v>6</v>
      </c>
      <c r="N3655" s="2"/>
      <c r="O3655" s="3">
        <v>6410</v>
      </c>
      <c r="P3655">
        <v>0</v>
      </c>
      <c r="Q3655">
        <v>5</v>
      </c>
      <c r="R3655" t="s">
        <v>28</v>
      </c>
      <c r="S3655">
        <v>1</v>
      </c>
    </row>
    <row r="3656" spans="1:19" ht="16.5" x14ac:dyDescent="0.3">
      <c r="A3656" t="s">
        <v>3719</v>
      </c>
      <c r="B3656" s="1">
        <v>45760</v>
      </c>
      <c r="C3656" s="1">
        <v>45761</v>
      </c>
      <c r="D3656">
        <v>2025</v>
      </c>
      <c r="E3656" t="s">
        <v>836</v>
      </c>
      <c r="F3656" t="s">
        <v>837</v>
      </c>
      <c r="G3656" t="s">
        <v>112</v>
      </c>
      <c r="H3656" t="s">
        <v>39</v>
      </c>
      <c r="I3656" t="s">
        <v>24</v>
      </c>
      <c r="J3656" t="s">
        <v>43</v>
      </c>
      <c r="K3656" t="s">
        <v>41</v>
      </c>
      <c r="L3656" t="s">
        <v>37</v>
      </c>
      <c r="M3656">
        <v>1</v>
      </c>
      <c r="N3656" s="2">
        <v>40</v>
      </c>
      <c r="O3656" s="3">
        <v>1663</v>
      </c>
      <c r="P3656">
        <v>0</v>
      </c>
      <c r="Q3656">
        <v>4</v>
      </c>
      <c r="R3656" t="s">
        <v>33</v>
      </c>
      <c r="S3656">
        <v>1</v>
      </c>
    </row>
    <row r="3657" spans="1:19" ht="16.5" x14ac:dyDescent="0.3">
      <c r="A3657" t="s">
        <v>3720</v>
      </c>
      <c r="B3657" s="1">
        <v>45760</v>
      </c>
      <c r="C3657" s="1">
        <v>45769</v>
      </c>
      <c r="D3657">
        <v>2025</v>
      </c>
      <c r="E3657" t="s">
        <v>836</v>
      </c>
      <c r="F3657" t="s">
        <v>837</v>
      </c>
      <c r="G3657" t="s">
        <v>112</v>
      </c>
      <c r="H3657" t="s">
        <v>39</v>
      </c>
      <c r="I3657" t="s">
        <v>24</v>
      </c>
      <c r="J3657" t="s">
        <v>43</v>
      </c>
      <c r="K3657" t="s">
        <v>41</v>
      </c>
      <c r="L3657" t="s">
        <v>44</v>
      </c>
      <c r="M3657">
        <v>9</v>
      </c>
      <c r="N3657" s="2">
        <v>14</v>
      </c>
      <c r="O3657" s="3">
        <v>6587</v>
      </c>
      <c r="P3657">
        <v>0</v>
      </c>
      <c r="Q3657">
        <v>4</v>
      </c>
      <c r="R3657" t="s">
        <v>33</v>
      </c>
      <c r="S3657">
        <v>1</v>
      </c>
    </row>
    <row r="3658" spans="1:19" ht="16.5" x14ac:dyDescent="0.3">
      <c r="A3658" t="s">
        <v>3721</v>
      </c>
      <c r="B3658" s="1">
        <v>45760</v>
      </c>
      <c r="C3658" s="1">
        <v>45764</v>
      </c>
      <c r="D3658">
        <v>2025</v>
      </c>
      <c r="E3658" t="s">
        <v>836</v>
      </c>
      <c r="F3658" t="s">
        <v>837</v>
      </c>
      <c r="G3658" t="s">
        <v>112</v>
      </c>
      <c r="H3658" t="s">
        <v>39</v>
      </c>
      <c r="I3658" t="s">
        <v>24</v>
      </c>
      <c r="J3658" t="s">
        <v>43</v>
      </c>
      <c r="K3658" t="s">
        <v>41</v>
      </c>
      <c r="L3658" t="s">
        <v>44</v>
      </c>
      <c r="M3658">
        <v>4</v>
      </c>
      <c r="N3658" s="2">
        <v>77</v>
      </c>
      <c r="O3658" s="3">
        <v>3095</v>
      </c>
      <c r="P3658">
        <v>0</v>
      </c>
      <c r="Q3658">
        <v>5</v>
      </c>
      <c r="R3658" t="s">
        <v>33</v>
      </c>
      <c r="S3658">
        <v>1</v>
      </c>
    </row>
    <row r="3659" spans="1:19" ht="16.5" x14ac:dyDescent="0.3">
      <c r="A3659" t="s">
        <v>3722</v>
      </c>
      <c r="B3659" s="1">
        <v>45760</v>
      </c>
      <c r="C3659" s="1">
        <v>45766</v>
      </c>
      <c r="D3659">
        <v>2025</v>
      </c>
      <c r="E3659" t="s">
        <v>836</v>
      </c>
      <c r="F3659" t="s">
        <v>837</v>
      </c>
      <c r="G3659" t="s">
        <v>112</v>
      </c>
      <c r="H3659" t="s">
        <v>23</v>
      </c>
      <c r="I3659" t="s">
        <v>24</v>
      </c>
      <c r="J3659" t="s">
        <v>25</v>
      </c>
      <c r="K3659" t="s">
        <v>26</v>
      </c>
      <c r="L3659" t="s">
        <v>44</v>
      </c>
      <c r="M3659">
        <v>6</v>
      </c>
      <c r="N3659" s="2">
        <v>67</v>
      </c>
      <c r="O3659" s="3">
        <v>5973</v>
      </c>
      <c r="P3659">
        <v>0</v>
      </c>
      <c r="Q3659">
        <v>5</v>
      </c>
      <c r="R3659" t="s">
        <v>33</v>
      </c>
      <c r="S3659">
        <v>1</v>
      </c>
    </row>
    <row r="3660" spans="1:19" ht="16.5" x14ac:dyDescent="0.3">
      <c r="A3660" t="s">
        <v>3723</v>
      </c>
      <c r="B3660" s="1">
        <v>45760</v>
      </c>
      <c r="C3660" s="1">
        <v>45766</v>
      </c>
      <c r="D3660">
        <v>2025</v>
      </c>
      <c r="E3660" t="s">
        <v>836</v>
      </c>
      <c r="F3660" t="s">
        <v>837</v>
      </c>
      <c r="G3660" t="s">
        <v>112</v>
      </c>
      <c r="H3660" t="s">
        <v>23</v>
      </c>
      <c r="I3660" t="s">
        <v>24</v>
      </c>
      <c r="J3660" t="s">
        <v>43</v>
      </c>
      <c r="K3660" t="s">
        <v>26</v>
      </c>
      <c r="L3660" t="s">
        <v>27</v>
      </c>
      <c r="M3660">
        <v>6</v>
      </c>
      <c r="N3660" s="2">
        <v>66</v>
      </c>
      <c r="O3660" s="3">
        <v>5493</v>
      </c>
      <c r="P3660">
        <v>0</v>
      </c>
      <c r="Q3660">
        <v>4</v>
      </c>
      <c r="R3660" t="s">
        <v>33</v>
      </c>
      <c r="S3660">
        <v>1</v>
      </c>
    </row>
    <row r="3661" spans="1:19" ht="16.5" x14ac:dyDescent="0.3">
      <c r="A3661" t="s">
        <v>3724</v>
      </c>
      <c r="B3661" s="1">
        <v>45760</v>
      </c>
      <c r="C3661" s="1">
        <v>45767</v>
      </c>
      <c r="D3661">
        <v>2025</v>
      </c>
      <c r="E3661" t="s">
        <v>836</v>
      </c>
      <c r="F3661" t="s">
        <v>837</v>
      </c>
      <c r="G3661" t="s">
        <v>112</v>
      </c>
      <c r="H3661" t="s">
        <v>23</v>
      </c>
      <c r="I3661" t="s">
        <v>24</v>
      </c>
      <c r="J3661" t="s">
        <v>25</v>
      </c>
      <c r="K3661" t="s">
        <v>32</v>
      </c>
      <c r="L3661" t="s">
        <v>27</v>
      </c>
      <c r="M3661">
        <v>7</v>
      </c>
      <c r="N3661" s="2">
        <v>28</v>
      </c>
      <c r="O3661" s="3">
        <v>5766</v>
      </c>
      <c r="P3661">
        <v>0</v>
      </c>
      <c r="Q3661">
        <v>3</v>
      </c>
      <c r="R3661" t="s">
        <v>33</v>
      </c>
      <c r="S3661">
        <v>1</v>
      </c>
    </row>
    <row r="3662" spans="1:19" ht="16.5" x14ac:dyDescent="0.3">
      <c r="A3662" t="s">
        <v>3725</v>
      </c>
      <c r="B3662" s="1">
        <v>45761</v>
      </c>
      <c r="C3662" s="1">
        <v>45771</v>
      </c>
      <c r="D3662">
        <v>2025</v>
      </c>
      <c r="E3662" t="s">
        <v>836</v>
      </c>
      <c r="F3662" t="s">
        <v>837</v>
      </c>
      <c r="G3662" t="s">
        <v>22</v>
      </c>
      <c r="H3662" t="s">
        <v>30</v>
      </c>
      <c r="I3662" t="s">
        <v>40</v>
      </c>
      <c r="J3662" t="s">
        <v>25</v>
      </c>
      <c r="K3662" t="s">
        <v>32</v>
      </c>
      <c r="L3662" t="s">
        <v>27</v>
      </c>
      <c r="M3662">
        <v>10</v>
      </c>
      <c r="N3662" s="2"/>
      <c r="O3662" s="3">
        <v>8866</v>
      </c>
      <c r="P3662">
        <v>0</v>
      </c>
      <c r="Q3662">
        <v>4</v>
      </c>
      <c r="R3662" t="s">
        <v>33</v>
      </c>
      <c r="S3662">
        <v>1</v>
      </c>
    </row>
    <row r="3663" spans="1:19" ht="16.5" x14ac:dyDescent="0.3">
      <c r="A3663" t="s">
        <v>3726</v>
      </c>
      <c r="B3663" s="1">
        <v>45761</v>
      </c>
      <c r="C3663" s="1">
        <v>45765</v>
      </c>
      <c r="D3663">
        <v>2025</v>
      </c>
      <c r="E3663" t="s">
        <v>836</v>
      </c>
      <c r="F3663" t="s">
        <v>837</v>
      </c>
      <c r="G3663" t="s">
        <v>22</v>
      </c>
      <c r="H3663" t="s">
        <v>23</v>
      </c>
      <c r="I3663" t="s">
        <v>24</v>
      </c>
      <c r="J3663" t="s">
        <v>25</v>
      </c>
      <c r="K3663" t="s">
        <v>32</v>
      </c>
      <c r="L3663" t="s">
        <v>44</v>
      </c>
      <c r="M3663">
        <v>4</v>
      </c>
      <c r="N3663" s="2">
        <v>30</v>
      </c>
      <c r="O3663" s="3">
        <v>4091</v>
      </c>
      <c r="P3663">
        <v>0</v>
      </c>
      <c r="Q3663">
        <v>4</v>
      </c>
      <c r="R3663" t="s">
        <v>165</v>
      </c>
      <c r="S3663">
        <v>1</v>
      </c>
    </row>
    <row r="3664" spans="1:19" ht="16.5" x14ac:dyDescent="0.3">
      <c r="A3664" t="s">
        <v>3727</v>
      </c>
      <c r="B3664" s="1">
        <v>45761</v>
      </c>
      <c r="C3664" s="1">
        <v>45776</v>
      </c>
      <c r="D3664">
        <v>2025</v>
      </c>
      <c r="E3664" t="s">
        <v>836</v>
      </c>
      <c r="F3664" t="s">
        <v>837</v>
      </c>
      <c r="G3664" t="s">
        <v>22</v>
      </c>
      <c r="H3664" t="s">
        <v>50</v>
      </c>
      <c r="I3664" t="s">
        <v>24</v>
      </c>
      <c r="J3664" t="s">
        <v>25</v>
      </c>
      <c r="K3664" t="s">
        <v>26</v>
      </c>
      <c r="L3664" t="s">
        <v>27</v>
      </c>
      <c r="M3664">
        <v>15</v>
      </c>
      <c r="N3664" s="2">
        <v>49</v>
      </c>
      <c r="O3664" s="3">
        <v>17043</v>
      </c>
      <c r="P3664">
        <v>0</v>
      </c>
      <c r="Q3664">
        <v>5</v>
      </c>
      <c r="R3664" t="s">
        <v>33</v>
      </c>
      <c r="S3664">
        <v>1</v>
      </c>
    </row>
    <row r="3665" spans="1:19" ht="16.5" x14ac:dyDescent="0.3">
      <c r="A3665" t="s">
        <v>3728</v>
      </c>
      <c r="B3665" s="1">
        <v>45761</v>
      </c>
      <c r="C3665" s="1">
        <v>45763</v>
      </c>
      <c r="D3665">
        <v>2025</v>
      </c>
      <c r="E3665" t="s">
        <v>836</v>
      </c>
      <c r="F3665" t="s">
        <v>837</v>
      </c>
      <c r="G3665" t="s">
        <v>22</v>
      </c>
      <c r="H3665" t="s">
        <v>23</v>
      </c>
      <c r="I3665" t="s">
        <v>40</v>
      </c>
      <c r="J3665" t="s">
        <v>25</v>
      </c>
      <c r="K3665" t="s">
        <v>53</v>
      </c>
      <c r="L3665" t="s">
        <v>44</v>
      </c>
      <c r="M3665">
        <v>2</v>
      </c>
      <c r="N3665" s="2"/>
      <c r="O3665" s="3">
        <v>2108</v>
      </c>
      <c r="P3665">
        <v>0</v>
      </c>
      <c r="Q3665">
        <v>5</v>
      </c>
      <c r="R3665" t="s">
        <v>28</v>
      </c>
      <c r="S3665">
        <v>1</v>
      </c>
    </row>
    <row r="3666" spans="1:19" ht="16.5" x14ac:dyDescent="0.3">
      <c r="A3666" t="s">
        <v>3729</v>
      </c>
      <c r="B3666" s="1">
        <v>45761</v>
      </c>
      <c r="C3666" s="1">
        <v>45764</v>
      </c>
      <c r="D3666">
        <v>2025</v>
      </c>
      <c r="E3666" t="s">
        <v>836</v>
      </c>
      <c r="F3666" t="s">
        <v>837</v>
      </c>
      <c r="G3666" t="s">
        <v>22</v>
      </c>
      <c r="H3666" t="s">
        <v>35</v>
      </c>
      <c r="I3666" t="s">
        <v>40</v>
      </c>
      <c r="J3666" t="s">
        <v>25</v>
      </c>
      <c r="K3666" t="s">
        <v>32</v>
      </c>
      <c r="L3666" t="s">
        <v>27</v>
      </c>
      <c r="M3666">
        <v>3</v>
      </c>
      <c r="N3666" s="2"/>
      <c r="O3666" s="3">
        <v>3174</v>
      </c>
      <c r="P3666">
        <v>0</v>
      </c>
      <c r="Q3666">
        <v>4</v>
      </c>
      <c r="R3666" t="s">
        <v>165</v>
      </c>
      <c r="S3666">
        <v>1</v>
      </c>
    </row>
    <row r="3667" spans="1:19" ht="16.5" x14ac:dyDescent="0.3">
      <c r="A3667" t="s">
        <v>3730</v>
      </c>
      <c r="B3667" s="1">
        <v>45761</v>
      </c>
      <c r="C3667" s="1">
        <v>45770</v>
      </c>
      <c r="D3667">
        <v>2025</v>
      </c>
      <c r="E3667" t="s">
        <v>836</v>
      </c>
      <c r="F3667" t="s">
        <v>837</v>
      </c>
      <c r="G3667" t="s">
        <v>22</v>
      </c>
      <c r="H3667" t="s">
        <v>50</v>
      </c>
      <c r="I3667" t="s">
        <v>24</v>
      </c>
      <c r="J3667" t="s">
        <v>43</v>
      </c>
      <c r="K3667" t="s">
        <v>26</v>
      </c>
      <c r="L3667" t="s">
        <v>44</v>
      </c>
      <c r="M3667">
        <v>9</v>
      </c>
      <c r="N3667" s="2">
        <v>56</v>
      </c>
      <c r="O3667" s="3">
        <v>9221</v>
      </c>
      <c r="P3667">
        <v>0</v>
      </c>
      <c r="Q3667">
        <v>5</v>
      </c>
      <c r="R3667" t="s">
        <v>33</v>
      </c>
      <c r="S3667">
        <v>1</v>
      </c>
    </row>
    <row r="3668" spans="1:19" ht="16.5" x14ac:dyDescent="0.3">
      <c r="A3668" t="s">
        <v>3731</v>
      </c>
      <c r="B3668" s="1">
        <v>45762</v>
      </c>
      <c r="C3668" s="1">
        <v>45765</v>
      </c>
      <c r="D3668">
        <v>2025</v>
      </c>
      <c r="E3668" t="s">
        <v>836</v>
      </c>
      <c r="F3668" t="s">
        <v>837</v>
      </c>
      <c r="G3668" t="s">
        <v>56</v>
      </c>
      <c r="H3668" t="s">
        <v>52</v>
      </c>
      <c r="I3668" t="s">
        <v>40</v>
      </c>
      <c r="J3668" t="s">
        <v>25</v>
      </c>
      <c r="K3668" t="s">
        <v>32</v>
      </c>
      <c r="L3668" t="s">
        <v>44</v>
      </c>
      <c r="M3668">
        <v>3</v>
      </c>
      <c r="N3668" s="2"/>
      <c r="O3668" s="3">
        <v>3958</v>
      </c>
      <c r="P3668">
        <v>0</v>
      </c>
      <c r="Q3668">
        <v>4</v>
      </c>
      <c r="R3668" t="s">
        <v>28</v>
      </c>
      <c r="S3668">
        <v>1</v>
      </c>
    </row>
    <row r="3669" spans="1:19" ht="16.5" x14ac:dyDescent="0.3">
      <c r="A3669" t="s">
        <v>3732</v>
      </c>
      <c r="B3669" s="1">
        <v>45762</v>
      </c>
      <c r="C3669" s="1">
        <v>45769</v>
      </c>
      <c r="D3669">
        <v>2025</v>
      </c>
      <c r="E3669" t="s">
        <v>836</v>
      </c>
      <c r="F3669" t="s">
        <v>837</v>
      </c>
      <c r="G3669" t="s">
        <v>56</v>
      </c>
      <c r="H3669" t="s">
        <v>52</v>
      </c>
      <c r="I3669" t="s">
        <v>40</v>
      </c>
      <c r="J3669" t="s">
        <v>25</v>
      </c>
      <c r="K3669" t="s">
        <v>32</v>
      </c>
      <c r="L3669" t="s">
        <v>27</v>
      </c>
      <c r="M3669">
        <v>7</v>
      </c>
      <c r="N3669" s="2"/>
      <c r="O3669" s="3">
        <v>7138</v>
      </c>
      <c r="P3669">
        <v>0</v>
      </c>
      <c r="Q3669">
        <v>5</v>
      </c>
      <c r="R3669" t="s">
        <v>33</v>
      </c>
      <c r="S3669">
        <v>1</v>
      </c>
    </row>
    <row r="3670" spans="1:19" ht="16.5" x14ac:dyDescent="0.3">
      <c r="A3670" t="s">
        <v>3733</v>
      </c>
      <c r="B3670" s="1">
        <v>45762</v>
      </c>
      <c r="C3670" s="1">
        <v>45764</v>
      </c>
      <c r="D3670">
        <v>2025</v>
      </c>
      <c r="E3670" t="s">
        <v>836</v>
      </c>
      <c r="F3670" t="s">
        <v>837</v>
      </c>
      <c r="G3670" t="s">
        <v>56</v>
      </c>
      <c r="H3670" t="s">
        <v>35</v>
      </c>
      <c r="I3670" t="s">
        <v>24</v>
      </c>
      <c r="J3670" t="s">
        <v>25</v>
      </c>
      <c r="K3670" t="s">
        <v>32</v>
      </c>
      <c r="L3670" t="s">
        <v>44</v>
      </c>
      <c r="M3670">
        <v>2</v>
      </c>
      <c r="N3670" s="2">
        <v>21</v>
      </c>
      <c r="O3670" s="3">
        <v>2245</v>
      </c>
      <c r="P3670">
        <v>0</v>
      </c>
      <c r="Q3670">
        <v>4</v>
      </c>
      <c r="R3670" t="s">
        <v>33</v>
      </c>
      <c r="S3670">
        <v>1</v>
      </c>
    </row>
    <row r="3671" spans="1:19" ht="16.5" x14ac:dyDescent="0.3">
      <c r="A3671" t="s">
        <v>3734</v>
      </c>
      <c r="B3671" s="1">
        <v>45762</v>
      </c>
      <c r="C3671" s="1">
        <v>45770</v>
      </c>
      <c r="D3671">
        <v>2025</v>
      </c>
      <c r="E3671" t="s">
        <v>836</v>
      </c>
      <c r="F3671" t="s">
        <v>837</v>
      </c>
      <c r="G3671" t="s">
        <v>56</v>
      </c>
      <c r="H3671" t="s">
        <v>23</v>
      </c>
      <c r="I3671" t="s">
        <v>40</v>
      </c>
      <c r="J3671" t="s">
        <v>25</v>
      </c>
      <c r="K3671" t="s">
        <v>53</v>
      </c>
      <c r="L3671" t="s">
        <v>44</v>
      </c>
      <c r="M3671">
        <v>8</v>
      </c>
      <c r="N3671" s="2"/>
      <c r="O3671" s="3">
        <v>6047</v>
      </c>
      <c r="P3671">
        <v>1</v>
      </c>
      <c r="Q3671">
        <v>4</v>
      </c>
      <c r="R3671" t="s">
        <v>28</v>
      </c>
      <c r="S3671">
        <v>1</v>
      </c>
    </row>
    <row r="3672" spans="1:19" ht="16.5" x14ac:dyDescent="0.3">
      <c r="A3672" t="s">
        <v>3735</v>
      </c>
      <c r="B3672" s="1">
        <v>45763</v>
      </c>
      <c r="C3672" s="1">
        <v>45769</v>
      </c>
      <c r="D3672">
        <v>2025</v>
      </c>
      <c r="E3672" t="s">
        <v>836</v>
      </c>
      <c r="F3672" t="s">
        <v>837</v>
      </c>
      <c r="G3672" t="s">
        <v>70</v>
      </c>
      <c r="H3672" t="s">
        <v>50</v>
      </c>
      <c r="I3672" t="s">
        <v>40</v>
      </c>
      <c r="J3672" t="s">
        <v>43</v>
      </c>
      <c r="K3672" t="s">
        <v>26</v>
      </c>
      <c r="L3672" t="s">
        <v>27</v>
      </c>
      <c r="M3672">
        <v>6</v>
      </c>
      <c r="N3672" s="2"/>
      <c r="O3672" s="3">
        <v>8631</v>
      </c>
      <c r="P3672">
        <v>0</v>
      </c>
      <c r="Q3672">
        <v>4</v>
      </c>
      <c r="R3672" t="s">
        <v>33</v>
      </c>
      <c r="S3672">
        <v>1</v>
      </c>
    </row>
    <row r="3673" spans="1:19" ht="16.5" x14ac:dyDescent="0.3">
      <c r="A3673" t="s">
        <v>3736</v>
      </c>
      <c r="B3673" s="1">
        <v>45763</v>
      </c>
      <c r="C3673" s="1">
        <v>45767</v>
      </c>
      <c r="D3673">
        <v>2025</v>
      </c>
      <c r="E3673" t="s">
        <v>836</v>
      </c>
      <c r="F3673" t="s">
        <v>837</v>
      </c>
      <c r="G3673" t="s">
        <v>70</v>
      </c>
      <c r="H3673" t="s">
        <v>52</v>
      </c>
      <c r="I3673" t="s">
        <v>24</v>
      </c>
      <c r="J3673" t="s">
        <v>43</v>
      </c>
      <c r="K3673" t="s">
        <v>53</v>
      </c>
      <c r="L3673" t="s">
        <v>37</v>
      </c>
      <c r="M3673">
        <v>4</v>
      </c>
      <c r="N3673" s="2">
        <v>29</v>
      </c>
      <c r="O3673" s="3">
        <v>4167</v>
      </c>
      <c r="P3673">
        <v>0</v>
      </c>
      <c r="Q3673">
        <v>5</v>
      </c>
      <c r="R3673" t="s">
        <v>28</v>
      </c>
      <c r="S3673">
        <v>1</v>
      </c>
    </row>
    <row r="3674" spans="1:19" ht="16.5" x14ac:dyDescent="0.3">
      <c r="A3674" t="s">
        <v>3737</v>
      </c>
      <c r="B3674" s="1">
        <v>45763</v>
      </c>
      <c r="C3674" s="1">
        <v>45768</v>
      </c>
      <c r="D3674">
        <v>2025</v>
      </c>
      <c r="E3674" t="s">
        <v>836</v>
      </c>
      <c r="F3674" t="s">
        <v>837</v>
      </c>
      <c r="G3674" t="s">
        <v>70</v>
      </c>
      <c r="H3674" t="s">
        <v>52</v>
      </c>
      <c r="I3674" t="s">
        <v>40</v>
      </c>
      <c r="J3674" t="s">
        <v>25</v>
      </c>
      <c r="K3674" t="s">
        <v>26</v>
      </c>
      <c r="L3674" t="s">
        <v>27</v>
      </c>
      <c r="M3674">
        <v>5</v>
      </c>
      <c r="N3674" s="2"/>
      <c r="O3674" s="3">
        <v>5536</v>
      </c>
      <c r="P3674">
        <v>0</v>
      </c>
      <c r="Q3674">
        <v>4</v>
      </c>
      <c r="R3674" t="s">
        <v>165</v>
      </c>
      <c r="S3674">
        <v>1</v>
      </c>
    </row>
    <row r="3675" spans="1:19" ht="16.5" x14ac:dyDescent="0.3">
      <c r="A3675" t="s">
        <v>3738</v>
      </c>
      <c r="B3675" s="1">
        <v>45763</v>
      </c>
      <c r="C3675" s="1">
        <v>45764</v>
      </c>
      <c r="D3675">
        <v>2025</v>
      </c>
      <c r="E3675" t="s">
        <v>836</v>
      </c>
      <c r="F3675" t="s">
        <v>837</v>
      </c>
      <c r="G3675" t="s">
        <v>70</v>
      </c>
      <c r="H3675" t="s">
        <v>39</v>
      </c>
      <c r="I3675" t="s">
        <v>24</v>
      </c>
      <c r="J3675" t="s">
        <v>43</v>
      </c>
      <c r="K3675" t="s">
        <v>41</v>
      </c>
      <c r="L3675" t="s">
        <v>44</v>
      </c>
      <c r="M3675">
        <v>1</v>
      </c>
      <c r="N3675" s="2">
        <v>32</v>
      </c>
      <c r="O3675" s="3">
        <v>1133</v>
      </c>
      <c r="P3675">
        <v>0</v>
      </c>
      <c r="Q3675">
        <v>4</v>
      </c>
      <c r="R3675" t="s">
        <v>33</v>
      </c>
      <c r="S3675">
        <v>1</v>
      </c>
    </row>
    <row r="3676" spans="1:19" ht="16.5" x14ac:dyDescent="0.3">
      <c r="A3676" t="s">
        <v>3739</v>
      </c>
      <c r="B3676" s="1">
        <v>45763</v>
      </c>
      <c r="C3676" s="1">
        <v>45768</v>
      </c>
      <c r="D3676">
        <v>2025</v>
      </c>
      <c r="E3676" t="s">
        <v>836</v>
      </c>
      <c r="F3676" t="s">
        <v>837</v>
      </c>
      <c r="G3676" t="s">
        <v>70</v>
      </c>
      <c r="H3676" t="s">
        <v>35</v>
      </c>
      <c r="I3676" t="s">
        <v>24</v>
      </c>
      <c r="J3676" t="s">
        <v>25</v>
      </c>
      <c r="K3676" t="s">
        <v>36</v>
      </c>
      <c r="L3676" t="s">
        <v>27</v>
      </c>
      <c r="M3676">
        <v>5</v>
      </c>
      <c r="N3676" s="2">
        <v>53</v>
      </c>
      <c r="O3676" s="3">
        <v>4372</v>
      </c>
      <c r="P3676">
        <v>0</v>
      </c>
      <c r="Q3676">
        <v>5</v>
      </c>
      <c r="R3676" t="s">
        <v>28</v>
      </c>
      <c r="S3676">
        <v>1</v>
      </c>
    </row>
    <row r="3677" spans="1:19" ht="16.5" x14ac:dyDescent="0.3">
      <c r="A3677" t="s">
        <v>3740</v>
      </c>
      <c r="B3677" s="1">
        <v>45763</v>
      </c>
      <c r="C3677" s="1">
        <v>45764</v>
      </c>
      <c r="D3677">
        <v>2025</v>
      </c>
      <c r="E3677" t="s">
        <v>836</v>
      </c>
      <c r="F3677" t="s">
        <v>837</v>
      </c>
      <c r="G3677" t="s">
        <v>70</v>
      </c>
      <c r="H3677" t="s">
        <v>52</v>
      </c>
      <c r="I3677" t="s">
        <v>40</v>
      </c>
      <c r="J3677" t="s">
        <v>43</v>
      </c>
      <c r="K3677" t="s">
        <v>53</v>
      </c>
      <c r="L3677" t="s">
        <v>27</v>
      </c>
      <c r="M3677">
        <v>1</v>
      </c>
      <c r="N3677" s="2"/>
      <c r="O3677" s="3">
        <v>2338</v>
      </c>
      <c r="P3677">
        <v>0</v>
      </c>
      <c r="Q3677">
        <v>4</v>
      </c>
      <c r="R3677" t="s">
        <v>33</v>
      </c>
      <c r="S3677">
        <v>1</v>
      </c>
    </row>
    <row r="3678" spans="1:19" ht="16.5" x14ac:dyDescent="0.3">
      <c r="A3678" t="s">
        <v>3741</v>
      </c>
      <c r="B3678" s="1">
        <v>45764</v>
      </c>
      <c r="C3678" s="1">
        <v>45768</v>
      </c>
      <c r="D3678">
        <v>2025</v>
      </c>
      <c r="E3678" t="s">
        <v>836</v>
      </c>
      <c r="F3678" t="s">
        <v>837</v>
      </c>
      <c r="G3678" t="s">
        <v>78</v>
      </c>
      <c r="H3678" t="s">
        <v>30</v>
      </c>
      <c r="I3678" t="s">
        <v>40</v>
      </c>
      <c r="J3678" t="s">
        <v>43</v>
      </c>
      <c r="K3678" t="s">
        <v>36</v>
      </c>
      <c r="L3678" t="s">
        <v>27</v>
      </c>
      <c r="M3678">
        <v>4</v>
      </c>
      <c r="N3678" s="2"/>
      <c r="O3678" s="3">
        <v>4594</v>
      </c>
      <c r="P3678">
        <v>0</v>
      </c>
      <c r="Q3678">
        <v>5</v>
      </c>
      <c r="R3678" t="s">
        <v>33</v>
      </c>
      <c r="S3678">
        <v>1</v>
      </c>
    </row>
    <row r="3679" spans="1:19" ht="16.5" x14ac:dyDescent="0.3">
      <c r="A3679" t="s">
        <v>3742</v>
      </c>
      <c r="B3679" s="1">
        <v>45764</v>
      </c>
      <c r="C3679" s="1">
        <v>45767</v>
      </c>
      <c r="D3679">
        <v>2025</v>
      </c>
      <c r="E3679" t="s">
        <v>836</v>
      </c>
      <c r="F3679" t="s">
        <v>837</v>
      </c>
      <c r="G3679" t="s">
        <v>78</v>
      </c>
      <c r="H3679" t="s">
        <v>30</v>
      </c>
      <c r="I3679" t="s">
        <v>40</v>
      </c>
      <c r="J3679" t="s">
        <v>43</v>
      </c>
      <c r="K3679" t="s">
        <v>26</v>
      </c>
      <c r="L3679" t="s">
        <v>27</v>
      </c>
      <c r="M3679">
        <v>3</v>
      </c>
      <c r="N3679" s="2"/>
      <c r="O3679" s="3">
        <v>3131</v>
      </c>
      <c r="P3679">
        <v>1</v>
      </c>
      <c r="Q3679">
        <v>3</v>
      </c>
      <c r="R3679" t="s">
        <v>33</v>
      </c>
      <c r="S3679">
        <v>1</v>
      </c>
    </row>
    <row r="3680" spans="1:19" ht="16.5" x14ac:dyDescent="0.3">
      <c r="A3680" t="s">
        <v>3743</v>
      </c>
      <c r="B3680" s="1">
        <v>45764</v>
      </c>
      <c r="C3680" s="1">
        <v>45765</v>
      </c>
      <c r="D3680">
        <v>2025</v>
      </c>
      <c r="E3680" t="s">
        <v>836</v>
      </c>
      <c r="F3680" t="s">
        <v>837</v>
      </c>
      <c r="G3680" t="s">
        <v>78</v>
      </c>
      <c r="H3680" t="s">
        <v>39</v>
      </c>
      <c r="I3680" t="s">
        <v>40</v>
      </c>
      <c r="J3680" t="s">
        <v>25</v>
      </c>
      <c r="K3680" t="s">
        <v>41</v>
      </c>
      <c r="L3680" t="s">
        <v>27</v>
      </c>
      <c r="M3680">
        <v>1</v>
      </c>
      <c r="N3680" s="2"/>
      <c r="O3680" s="3">
        <v>1600</v>
      </c>
      <c r="P3680">
        <v>0</v>
      </c>
      <c r="Q3680">
        <v>5</v>
      </c>
      <c r="R3680" t="s">
        <v>28</v>
      </c>
      <c r="S3680">
        <v>1</v>
      </c>
    </row>
    <row r="3681" spans="1:19" ht="16.5" x14ac:dyDescent="0.3">
      <c r="A3681" t="s">
        <v>3744</v>
      </c>
      <c r="B3681" s="1">
        <v>45764</v>
      </c>
      <c r="C3681" s="1">
        <v>45769</v>
      </c>
      <c r="D3681">
        <v>2025</v>
      </c>
      <c r="E3681" t="s">
        <v>836</v>
      </c>
      <c r="F3681" t="s">
        <v>837</v>
      </c>
      <c r="G3681" t="s">
        <v>78</v>
      </c>
      <c r="H3681" t="s">
        <v>23</v>
      </c>
      <c r="I3681" t="s">
        <v>24</v>
      </c>
      <c r="J3681" t="s">
        <v>25</v>
      </c>
      <c r="K3681" t="s">
        <v>26</v>
      </c>
      <c r="L3681" t="s">
        <v>44</v>
      </c>
      <c r="M3681">
        <v>5</v>
      </c>
      <c r="N3681" s="2">
        <v>79</v>
      </c>
      <c r="O3681" s="3">
        <v>4048</v>
      </c>
      <c r="P3681">
        <v>0</v>
      </c>
      <c r="Q3681">
        <v>4</v>
      </c>
      <c r="R3681" t="s">
        <v>33</v>
      </c>
      <c r="S3681">
        <v>1</v>
      </c>
    </row>
    <row r="3682" spans="1:19" ht="16.5" x14ac:dyDescent="0.3">
      <c r="A3682" t="s">
        <v>3745</v>
      </c>
      <c r="B3682" s="1">
        <v>45764</v>
      </c>
      <c r="C3682" s="1">
        <v>45769</v>
      </c>
      <c r="D3682">
        <v>2025</v>
      </c>
      <c r="E3682" t="s">
        <v>836</v>
      </c>
      <c r="F3682" t="s">
        <v>837</v>
      </c>
      <c r="G3682" t="s">
        <v>78</v>
      </c>
      <c r="H3682" t="s">
        <v>35</v>
      </c>
      <c r="I3682" t="s">
        <v>24</v>
      </c>
      <c r="J3682" t="s">
        <v>25</v>
      </c>
      <c r="K3682" t="s">
        <v>32</v>
      </c>
      <c r="L3682" t="s">
        <v>27</v>
      </c>
      <c r="M3682">
        <v>5</v>
      </c>
      <c r="N3682" s="2">
        <v>35</v>
      </c>
      <c r="O3682" s="3">
        <v>4868</v>
      </c>
      <c r="P3682">
        <v>0</v>
      </c>
      <c r="Q3682">
        <v>4</v>
      </c>
      <c r="R3682" t="s">
        <v>28</v>
      </c>
      <c r="S3682">
        <v>1</v>
      </c>
    </row>
    <row r="3683" spans="1:19" ht="16.5" x14ac:dyDescent="0.3">
      <c r="A3683" t="s">
        <v>3746</v>
      </c>
      <c r="B3683" s="1">
        <v>45764</v>
      </c>
      <c r="C3683" s="1">
        <v>45765</v>
      </c>
      <c r="D3683">
        <v>2025</v>
      </c>
      <c r="E3683" t="s">
        <v>836</v>
      </c>
      <c r="F3683" t="s">
        <v>837</v>
      </c>
      <c r="G3683" t="s">
        <v>78</v>
      </c>
      <c r="H3683" t="s">
        <v>35</v>
      </c>
      <c r="I3683" t="s">
        <v>24</v>
      </c>
      <c r="J3683" t="s">
        <v>25</v>
      </c>
      <c r="K3683" t="s">
        <v>36</v>
      </c>
      <c r="L3683" t="s">
        <v>27</v>
      </c>
      <c r="M3683">
        <v>1</v>
      </c>
      <c r="N3683" s="2">
        <v>46</v>
      </c>
      <c r="O3683" s="3">
        <v>1551</v>
      </c>
      <c r="P3683">
        <v>0</v>
      </c>
      <c r="Q3683">
        <v>5</v>
      </c>
      <c r="R3683" t="s">
        <v>59</v>
      </c>
      <c r="S3683">
        <v>1</v>
      </c>
    </row>
    <row r="3684" spans="1:19" ht="16.5" x14ac:dyDescent="0.3">
      <c r="A3684" t="s">
        <v>3747</v>
      </c>
      <c r="B3684" s="1">
        <v>45764</v>
      </c>
      <c r="C3684" s="1">
        <v>45765</v>
      </c>
      <c r="D3684">
        <v>2025</v>
      </c>
      <c r="E3684" t="s">
        <v>836</v>
      </c>
      <c r="F3684" t="s">
        <v>837</v>
      </c>
      <c r="G3684" t="s">
        <v>78</v>
      </c>
      <c r="H3684" t="s">
        <v>39</v>
      </c>
      <c r="I3684" t="s">
        <v>24</v>
      </c>
      <c r="J3684" t="s">
        <v>43</v>
      </c>
      <c r="K3684" t="s">
        <v>41</v>
      </c>
      <c r="L3684" t="s">
        <v>44</v>
      </c>
      <c r="M3684">
        <v>1</v>
      </c>
      <c r="N3684" s="2">
        <v>23</v>
      </c>
      <c r="O3684" s="3">
        <v>1142</v>
      </c>
      <c r="P3684">
        <v>0</v>
      </c>
      <c r="Q3684">
        <v>5</v>
      </c>
      <c r="R3684" t="s">
        <v>33</v>
      </c>
      <c r="S3684">
        <v>1</v>
      </c>
    </row>
    <row r="3685" spans="1:19" ht="16.5" x14ac:dyDescent="0.3">
      <c r="A3685" t="s">
        <v>3748</v>
      </c>
      <c r="B3685" s="1">
        <v>45764</v>
      </c>
      <c r="C3685" s="1">
        <v>45771</v>
      </c>
      <c r="D3685">
        <v>2025</v>
      </c>
      <c r="E3685" t="s">
        <v>836</v>
      </c>
      <c r="F3685" t="s">
        <v>837</v>
      </c>
      <c r="G3685" t="s">
        <v>78</v>
      </c>
      <c r="H3685" t="s">
        <v>23</v>
      </c>
      <c r="I3685" t="s">
        <v>24</v>
      </c>
      <c r="J3685" t="s">
        <v>43</v>
      </c>
      <c r="K3685" t="s">
        <v>32</v>
      </c>
      <c r="L3685" t="s">
        <v>44</v>
      </c>
      <c r="M3685">
        <v>7</v>
      </c>
      <c r="N3685" s="2">
        <v>48</v>
      </c>
      <c r="O3685" s="3">
        <v>6929</v>
      </c>
      <c r="P3685">
        <v>1</v>
      </c>
      <c r="Q3685">
        <v>4</v>
      </c>
      <c r="R3685" t="s">
        <v>28</v>
      </c>
      <c r="S3685">
        <v>1</v>
      </c>
    </row>
    <row r="3686" spans="1:19" ht="16.5" x14ac:dyDescent="0.3">
      <c r="A3686" t="s">
        <v>3749</v>
      </c>
      <c r="B3686" s="1">
        <v>45765</v>
      </c>
      <c r="C3686" s="1">
        <v>45767</v>
      </c>
      <c r="D3686">
        <v>2025</v>
      </c>
      <c r="E3686" t="s">
        <v>836</v>
      </c>
      <c r="F3686" t="s">
        <v>837</v>
      </c>
      <c r="G3686" t="s">
        <v>83</v>
      </c>
      <c r="H3686" t="s">
        <v>52</v>
      </c>
      <c r="I3686" t="s">
        <v>40</v>
      </c>
      <c r="J3686" t="s">
        <v>25</v>
      </c>
      <c r="K3686" t="s">
        <v>53</v>
      </c>
      <c r="L3686" t="s">
        <v>44</v>
      </c>
      <c r="M3686">
        <v>2</v>
      </c>
      <c r="N3686" s="2"/>
      <c r="O3686" s="3">
        <v>3225</v>
      </c>
      <c r="P3686">
        <v>0</v>
      </c>
      <c r="Q3686">
        <v>5</v>
      </c>
      <c r="R3686" t="s">
        <v>33</v>
      </c>
      <c r="S3686">
        <v>1</v>
      </c>
    </row>
    <row r="3687" spans="1:19" ht="16.5" x14ac:dyDescent="0.3">
      <c r="A3687" t="s">
        <v>3750</v>
      </c>
      <c r="B3687" s="1">
        <v>45765</v>
      </c>
      <c r="C3687" s="1">
        <v>45771</v>
      </c>
      <c r="D3687">
        <v>2025</v>
      </c>
      <c r="E3687" t="s">
        <v>836</v>
      </c>
      <c r="F3687" t="s">
        <v>837</v>
      </c>
      <c r="G3687" t="s">
        <v>83</v>
      </c>
      <c r="H3687" t="s">
        <v>23</v>
      </c>
      <c r="I3687" t="s">
        <v>31</v>
      </c>
      <c r="J3687" t="s">
        <v>25</v>
      </c>
      <c r="K3687" t="s">
        <v>26</v>
      </c>
      <c r="L3687" t="s">
        <v>44</v>
      </c>
      <c r="M3687">
        <v>6</v>
      </c>
      <c r="N3687" s="2"/>
      <c r="O3687" s="3">
        <v>4348</v>
      </c>
      <c r="P3687">
        <v>0</v>
      </c>
      <c r="Q3687">
        <v>5</v>
      </c>
      <c r="R3687" t="s">
        <v>33</v>
      </c>
      <c r="S3687">
        <v>1</v>
      </c>
    </row>
    <row r="3688" spans="1:19" ht="16.5" x14ac:dyDescent="0.3">
      <c r="A3688" t="s">
        <v>3751</v>
      </c>
      <c r="B3688" s="1">
        <v>45765</v>
      </c>
      <c r="C3688" s="1">
        <v>45767</v>
      </c>
      <c r="D3688">
        <v>2025</v>
      </c>
      <c r="E3688" t="s">
        <v>836</v>
      </c>
      <c r="F3688" t="s">
        <v>837</v>
      </c>
      <c r="G3688" t="s">
        <v>83</v>
      </c>
      <c r="H3688" t="s">
        <v>52</v>
      </c>
      <c r="I3688" t="s">
        <v>40</v>
      </c>
      <c r="J3688" t="s">
        <v>25</v>
      </c>
      <c r="K3688" t="s">
        <v>32</v>
      </c>
      <c r="L3688" t="s">
        <v>44</v>
      </c>
      <c r="M3688">
        <v>2</v>
      </c>
      <c r="N3688" s="2"/>
      <c r="O3688" s="3">
        <v>2687</v>
      </c>
      <c r="P3688">
        <v>0</v>
      </c>
      <c r="Q3688">
        <v>4</v>
      </c>
      <c r="R3688" t="s">
        <v>33</v>
      </c>
      <c r="S3688">
        <v>1</v>
      </c>
    </row>
    <row r="3689" spans="1:19" ht="16.5" x14ac:dyDescent="0.3">
      <c r="A3689" t="s">
        <v>3752</v>
      </c>
      <c r="B3689" s="1">
        <v>45765</v>
      </c>
      <c r="C3689" s="1">
        <v>45769</v>
      </c>
      <c r="D3689">
        <v>2025</v>
      </c>
      <c r="E3689" t="s">
        <v>836</v>
      </c>
      <c r="F3689" t="s">
        <v>837</v>
      </c>
      <c r="G3689" t="s">
        <v>83</v>
      </c>
      <c r="H3689" t="s">
        <v>35</v>
      </c>
      <c r="I3689" t="s">
        <v>40</v>
      </c>
      <c r="J3689" t="s">
        <v>25</v>
      </c>
      <c r="K3689" t="s">
        <v>32</v>
      </c>
      <c r="L3689" t="s">
        <v>44</v>
      </c>
      <c r="M3689">
        <v>4</v>
      </c>
      <c r="N3689" s="2"/>
      <c r="O3689" s="3">
        <v>4087</v>
      </c>
      <c r="P3689">
        <v>0</v>
      </c>
      <c r="Q3689">
        <v>4</v>
      </c>
      <c r="R3689" t="s">
        <v>33</v>
      </c>
      <c r="S3689">
        <v>1</v>
      </c>
    </row>
    <row r="3690" spans="1:19" ht="16.5" x14ac:dyDescent="0.3">
      <c r="A3690" t="s">
        <v>3753</v>
      </c>
      <c r="B3690" s="1">
        <v>45765</v>
      </c>
      <c r="C3690" s="1">
        <v>45767</v>
      </c>
      <c r="D3690">
        <v>2025</v>
      </c>
      <c r="E3690" t="s">
        <v>836</v>
      </c>
      <c r="F3690" t="s">
        <v>837</v>
      </c>
      <c r="G3690" t="s">
        <v>83</v>
      </c>
      <c r="H3690" t="s">
        <v>39</v>
      </c>
      <c r="I3690" t="s">
        <v>40</v>
      </c>
      <c r="J3690" t="s">
        <v>25</v>
      </c>
      <c r="K3690" t="s">
        <v>41</v>
      </c>
      <c r="L3690" t="s">
        <v>44</v>
      </c>
      <c r="M3690">
        <v>2</v>
      </c>
      <c r="N3690" s="2"/>
      <c r="O3690" s="3">
        <v>2393</v>
      </c>
      <c r="P3690">
        <v>0</v>
      </c>
      <c r="Q3690">
        <v>4</v>
      </c>
      <c r="R3690" t="s">
        <v>33</v>
      </c>
      <c r="S3690">
        <v>1</v>
      </c>
    </row>
    <row r="3691" spans="1:19" ht="16.5" x14ac:dyDescent="0.3">
      <c r="A3691" t="s">
        <v>3754</v>
      </c>
      <c r="B3691" s="1">
        <v>45765</v>
      </c>
      <c r="C3691" s="1">
        <v>45772</v>
      </c>
      <c r="D3691">
        <v>2025</v>
      </c>
      <c r="E3691" t="s">
        <v>836</v>
      </c>
      <c r="F3691" t="s">
        <v>837</v>
      </c>
      <c r="G3691" t="s">
        <v>83</v>
      </c>
      <c r="H3691" t="s">
        <v>50</v>
      </c>
      <c r="I3691" t="s">
        <v>24</v>
      </c>
      <c r="J3691" t="s">
        <v>25</v>
      </c>
      <c r="K3691" t="s">
        <v>53</v>
      </c>
      <c r="L3691" t="s">
        <v>27</v>
      </c>
      <c r="M3691">
        <v>7</v>
      </c>
      <c r="N3691" s="2">
        <v>11</v>
      </c>
      <c r="O3691" s="3">
        <v>11812</v>
      </c>
      <c r="P3691">
        <v>0</v>
      </c>
      <c r="Q3691">
        <v>5</v>
      </c>
      <c r="R3691" t="s">
        <v>33</v>
      </c>
      <c r="S3691">
        <v>1</v>
      </c>
    </row>
    <row r="3692" spans="1:19" ht="16.5" x14ac:dyDescent="0.3">
      <c r="A3692" t="s">
        <v>3755</v>
      </c>
      <c r="B3692" s="1">
        <v>45765</v>
      </c>
      <c r="C3692" s="1">
        <v>45768</v>
      </c>
      <c r="D3692">
        <v>2025</v>
      </c>
      <c r="E3692" t="s">
        <v>836</v>
      </c>
      <c r="F3692" t="s">
        <v>837</v>
      </c>
      <c r="G3692" t="s">
        <v>83</v>
      </c>
      <c r="H3692" t="s">
        <v>39</v>
      </c>
      <c r="I3692" t="s">
        <v>24</v>
      </c>
      <c r="J3692" t="s">
        <v>43</v>
      </c>
      <c r="K3692" t="s">
        <v>41</v>
      </c>
      <c r="L3692" t="s">
        <v>37</v>
      </c>
      <c r="M3692">
        <v>3</v>
      </c>
      <c r="N3692" s="2">
        <v>51</v>
      </c>
      <c r="O3692" s="3">
        <v>2338</v>
      </c>
      <c r="P3692">
        <v>0</v>
      </c>
      <c r="Q3692">
        <v>4</v>
      </c>
      <c r="R3692" t="s">
        <v>33</v>
      </c>
      <c r="S3692">
        <v>1</v>
      </c>
    </row>
    <row r="3693" spans="1:19" ht="16.5" x14ac:dyDescent="0.3">
      <c r="A3693" t="s">
        <v>3756</v>
      </c>
      <c r="B3693" s="1">
        <v>45765</v>
      </c>
      <c r="C3693" s="1">
        <v>45766</v>
      </c>
      <c r="D3693">
        <v>2025</v>
      </c>
      <c r="E3693" t="s">
        <v>836</v>
      </c>
      <c r="F3693" t="s">
        <v>837</v>
      </c>
      <c r="G3693" t="s">
        <v>83</v>
      </c>
      <c r="H3693" t="s">
        <v>35</v>
      </c>
      <c r="I3693" t="s">
        <v>24</v>
      </c>
      <c r="J3693" t="s">
        <v>25</v>
      </c>
      <c r="K3693" t="s">
        <v>32</v>
      </c>
      <c r="L3693" t="s">
        <v>27</v>
      </c>
      <c r="M3693">
        <v>1</v>
      </c>
      <c r="N3693" s="2">
        <v>58</v>
      </c>
      <c r="O3693" s="3">
        <v>1199</v>
      </c>
      <c r="P3693">
        <v>0</v>
      </c>
      <c r="Q3693">
        <v>4</v>
      </c>
      <c r="R3693" t="s">
        <v>33</v>
      </c>
      <c r="S3693">
        <v>1</v>
      </c>
    </row>
    <row r="3694" spans="1:19" ht="16.5" x14ac:dyDescent="0.3">
      <c r="A3694" t="s">
        <v>3757</v>
      </c>
      <c r="B3694" s="1">
        <v>45765</v>
      </c>
      <c r="C3694" s="1">
        <v>45767</v>
      </c>
      <c r="D3694">
        <v>2025</v>
      </c>
      <c r="E3694" t="s">
        <v>836</v>
      </c>
      <c r="F3694" t="s">
        <v>837</v>
      </c>
      <c r="G3694" t="s">
        <v>83</v>
      </c>
      <c r="H3694" t="s">
        <v>23</v>
      </c>
      <c r="I3694" t="s">
        <v>24</v>
      </c>
      <c r="J3694" t="s">
        <v>25</v>
      </c>
      <c r="K3694" t="s">
        <v>53</v>
      </c>
      <c r="L3694" t="s">
        <v>27</v>
      </c>
      <c r="M3694">
        <v>2</v>
      </c>
      <c r="N3694" s="2">
        <v>37</v>
      </c>
      <c r="O3694" s="3">
        <v>2604</v>
      </c>
      <c r="P3694">
        <v>0</v>
      </c>
      <c r="Q3694">
        <v>4</v>
      </c>
      <c r="R3694" t="s">
        <v>33</v>
      </c>
      <c r="S3694">
        <v>1</v>
      </c>
    </row>
    <row r="3695" spans="1:19" ht="16.5" x14ac:dyDescent="0.3">
      <c r="A3695" t="s">
        <v>3758</v>
      </c>
      <c r="B3695" s="1">
        <v>45766</v>
      </c>
      <c r="C3695" s="1">
        <v>45770</v>
      </c>
      <c r="D3695">
        <v>2025</v>
      </c>
      <c r="E3695" t="s">
        <v>836</v>
      </c>
      <c r="F3695" t="s">
        <v>837</v>
      </c>
      <c r="G3695" t="s">
        <v>102</v>
      </c>
      <c r="H3695" t="s">
        <v>35</v>
      </c>
      <c r="I3695" t="s">
        <v>24</v>
      </c>
      <c r="J3695" t="s">
        <v>25</v>
      </c>
      <c r="K3695" t="s">
        <v>36</v>
      </c>
      <c r="L3695" t="s">
        <v>44</v>
      </c>
      <c r="M3695">
        <v>4</v>
      </c>
      <c r="N3695" s="2">
        <v>30</v>
      </c>
      <c r="O3695" s="3">
        <v>4159</v>
      </c>
      <c r="P3695">
        <v>0</v>
      </c>
      <c r="Q3695">
        <v>4</v>
      </c>
      <c r="R3695" t="s">
        <v>28</v>
      </c>
      <c r="S3695">
        <v>1</v>
      </c>
    </row>
    <row r="3696" spans="1:19" ht="16.5" x14ac:dyDescent="0.3">
      <c r="A3696" t="s">
        <v>3759</v>
      </c>
      <c r="B3696" s="1">
        <v>45766</v>
      </c>
      <c r="C3696" s="1">
        <v>45768</v>
      </c>
      <c r="D3696">
        <v>2025</v>
      </c>
      <c r="E3696" t="s">
        <v>836</v>
      </c>
      <c r="F3696" t="s">
        <v>837</v>
      </c>
      <c r="G3696" t="s">
        <v>102</v>
      </c>
      <c r="H3696" t="s">
        <v>35</v>
      </c>
      <c r="I3696" t="s">
        <v>24</v>
      </c>
      <c r="J3696" t="s">
        <v>25</v>
      </c>
      <c r="K3696" t="s">
        <v>32</v>
      </c>
      <c r="L3696" t="s">
        <v>27</v>
      </c>
      <c r="M3696">
        <v>2</v>
      </c>
      <c r="N3696" s="2">
        <v>26</v>
      </c>
      <c r="O3696" s="3">
        <v>1828</v>
      </c>
      <c r="P3696">
        <v>0</v>
      </c>
      <c r="Q3696">
        <v>4</v>
      </c>
      <c r="R3696" t="s">
        <v>33</v>
      </c>
      <c r="S3696">
        <v>1</v>
      </c>
    </row>
    <row r="3697" spans="1:19" ht="16.5" x14ac:dyDescent="0.3">
      <c r="A3697" t="s">
        <v>3760</v>
      </c>
      <c r="B3697" s="1">
        <v>45766</v>
      </c>
      <c r="C3697" s="1">
        <v>45786</v>
      </c>
      <c r="D3697">
        <v>2025</v>
      </c>
      <c r="E3697" t="s">
        <v>836</v>
      </c>
      <c r="F3697" t="s">
        <v>837</v>
      </c>
      <c r="G3697" t="s">
        <v>102</v>
      </c>
      <c r="H3697" t="s">
        <v>23</v>
      </c>
      <c r="I3697" t="s">
        <v>24</v>
      </c>
      <c r="J3697" t="s">
        <v>43</v>
      </c>
      <c r="K3697" t="s">
        <v>32</v>
      </c>
      <c r="L3697" t="s">
        <v>27</v>
      </c>
      <c r="M3697">
        <v>20</v>
      </c>
      <c r="N3697" s="2">
        <v>82</v>
      </c>
      <c r="O3697" s="3">
        <v>12129</v>
      </c>
      <c r="P3697">
        <v>1</v>
      </c>
      <c r="Q3697">
        <v>5</v>
      </c>
      <c r="R3697" t="s">
        <v>28</v>
      </c>
      <c r="S3697">
        <v>1</v>
      </c>
    </row>
    <row r="3698" spans="1:19" ht="16.5" x14ac:dyDescent="0.3">
      <c r="A3698" t="s">
        <v>3761</v>
      </c>
      <c r="B3698" s="1">
        <v>45766</v>
      </c>
      <c r="C3698" s="1">
        <v>45769</v>
      </c>
      <c r="D3698">
        <v>2025</v>
      </c>
      <c r="E3698" t="s">
        <v>836</v>
      </c>
      <c r="F3698" t="s">
        <v>837</v>
      </c>
      <c r="G3698" t="s">
        <v>102</v>
      </c>
      <c r="H3698" t="s">
        <v>50</v>
      </c>
      <c r="I3698" t="s">
        <v>24</v>
      </c>
      <c r="J3698" t="s">
        <v>43</v>
      </c>
      <c r="K3698" t="s">
        <v>53</v>
      </c>
      <c r="L3698" t="s">
        <v>44</v>
      </c>
      <c r="M3698">
        <v>3</v>
      </c>
      <c r="N3698" s="2">
        <v>39</v>
      </c>
      <c r="O3698" s="3">
        <v>5588</v>
      </c>
      <c r="P3698">
        <v>0</v>
      </c>
      <c r="Q3698">
        <v>5</v>
      </c>
      <c r="R3698" t="s">
        <v>28</v>
      </c>
      <c r="S3698">
        <v>1</v>
      </c>
    </row>
    <row r="3699" spans="1:19" ht="16.5" x14ac:dyDescent="0.3">
      <c r="A3699" t="s">
        <v>3762</v>
      </c>
      <c r="B3699" s="1">
        <v>45766</v>
      </c>
      <c r="C3699" s="1">
        <v>45770</v>
      </c>
      <c r="D3699">
        <v>2025</v>
      </c>
      <c r="E3699" t="s">
        <v>836</v>
      </c>
      <c r="F3699" t="s">
        <v>837</v>
      </c>
      <c r="G3699" t="s">
        <v>102</v>
      </c>
      <c r="H3699" t="s">
        <v>50</v>
      </c>
      <c r="I3699" t="s">
        <v>24</v>
      </c>
      <c r="J3699" t="s">
        <v>25</v>
      </c>
      <c r="K3699" t="s">
        <v>36</v>
      </c>
      <c r="L3699" t="s">
        <v>44</v>
      </c>
      <c r="M3699">
        <v>4</v>
      </c>
      <c r="N3699" s="2">
        <v>61</v>
      </c>
      <c r="O3699" s="3">
        <v>5472</v>
      </c>
      <c r="P3699">
        <v>0</v>
      </c>
      <c r="Q3699">
        <v>4</v>
      </c>
      <c r="R3699" t="s">
        <v>59</v>
      </c>
      <c r="S3699">
        <v>1</v>
      </c>
    </row>
    <row r="3700" spans="1:19" ht="16.5" x14ac:dyDescent="0.3">
      <c r="A3700" t="s">
        <v>3763</v>
      </c>
      <c r="B3700" s="1">
        <v>45766</v>
      </c>
      <c r="C3700" s="1">
        <v>45768</v>
      </c>
      <c r="D3700">
        <v>2025</v>
      </c>
      <c r="E3700" t="s">
        <v>836</v>
      </c>
      <c r="F3700" t="s">
        <v>837</v>
      </c>
      <c r="G3700" t="s">
        <v>102</v>
      </c>
      <c r="H3700" t="s">
        <v>39</v>
      </c>
      <c r="I3700" t="s">
        <v>40</v>
      </c>
      <c r="J3700" t="s">
        <v>25</v>
      </c>
      <c r="K3700" t="s">
        <v>41</v>
      </c>
      <c r="L3700" t="s">
        <v>27</v>
      </c>
      <c r="M3700">
        <v>2</v>
      </c>
      <c r="N3700" s="2"/>
      <c r="O3700" s="3">
        <v>2478</v>
      </c>
      <c r="P3700">
        <v>0</v>
      </c>
      <c r="Q3700">
        <v>4</v>
      </c>
      <c r="R3700" t="s">
        <v>33</v>
      </c>
      <c r="S3700">
        <v>1</v>
      </c>
    </row>
    <row r="3701" spans="1:19" ht="16.5" x14ac:dyDescent="0.3">
      <c r="A3701" t="s">
        <v>3764</v>
      </c>
      <c r="B3701" s="1">
        <v>45767</v>
      </c>
      <c r="C3701" s="1">
        <v>45769</v>
      </c>
      <c r="D3701">
        <v>2025</v>
      </c>
      <c r="E3701" t="s">
        <v>836</v>
      </c>
      <c r="F3701" t="s">
        <v>837</v>
      </c>
      <c r="G3701" t="s">
        <v>112</v>
      </c>
      <c r="H3701" t="s">
        <v>30</v>
      </c>
      <c r="I3701" t="s">
        <v>40</v>
      </c>
      <c r="J3701" t="s">
        <v>25</v>
      </c>
      <c r="K3701" t="s">
        <v>53</v>
      </c>
      <c r="L3701" t="s">
        <v>44</v>
      </c>
      <c r="M3701">
        <v>2</v>
      </c>
      <c r="N3701" s="2"/>
      <c r="O3701" s="3">
        <v>3416</v>
      </c>
      <c r="P3701">
        <v>0</v>
      </c>
      <c r="Q3701">
        <v>5</v>
      </c>
      <c r="R3701" t="s">
        <v>33</v>
      </c>
      <c r="S3701">
        <v>1</v>
      </c>
    </row>
    <row r="3702" spans="1:19" ht="16.5" x14ac:dyDescent="0.3">
      <c r="A3702" t="s">
        <v>3765</v>
      </c>
      <c r="B3702" s="1">
        <v>45767</v>
      </c>
      <c r="C3702" s="1">
        <v>45774</v>
      </c>
      <c r="D3702">
        <v>2025</v>
      </c>
      <c r="E3702" t="s">
        <v>836</v>
      </c>
      <c r="F3702" t="s">
        <v>837</v>
      </c>
      <c r="G3702" t="s">
        <v>112</v>
      </c>
      <c r="H3702" t="s">
        <v>50</v>
      </c>
      <c r="I3702" t="s">
        <v>24</v>
      </c>
      <c r="J3702" t="s">
        <v>25</v>
      </c>
      <c r="K3702" t="s">
        <v>32</v>
      </c>
      <c r="L3702" t="s">
        <v>44</v>
      </c>
      <c r="M3702">
        <v>7</v>
      </c>
      <c r="N3702" s="2">
        <v>62</v>
      </c>
      <c r="O3702" s="3">
        <v>9674</v>
      </c>
      <c r="P3702">
        <v>1</v>
      </c>
      <c r="Q3702">
        <v>3</v>
      </c>
      <c r="R3702" t="s">
        <v>33</v>
      </c>
      <c r="S3702">
        <v>1</v>
      </c>
    </row>
    <row r="3703" spans="1:19" ht="16.5" x14ac:dyDescent="0.3">
      <c r="A3703" t="s">
        <v>3766</v>
      </c>
      <c r="B3703" s="1">
        <v>45767</v>
      </c>
      <c r="C3703" s="1">
        <v>45769</v>
      </c>
      <c r="D3703">
        <v>2025</v>
      </c>
      <c r="E3703" t="s">
        <v>836</v>
      </c>
      <c r="F3703" t="s">
        <v>837</v>
      </c>
      <c r="G3703" t="s">
        <v>112</v>
      </c>
      <c r="H3703" t="s">
        <v>39</v>
      </c>
      <c r="I3703" t="s">
        <v>24</v>
      </c>
      <c r="J3703" t="s">
        <v>25</v>
      </c>
      <c r="K3703" t="s">
        <v>41</v>
      </c>
      <c r="L3703" t="s">
        <v>37</v>
      </c>
      <c r="M3703">
        <v>2</v>
      </c>
      <c r="N3703" s="2">
        <v>53</v>
      </c>
      <c r="O3703" s="3">
        <v>2106</v>
      </c>
      <c r="P3703">
        <v>0</v>
      </c>
      <c r="Q3703">
        <v>4</v>
      </c>
      <c r="R3703" t="s">
        <v>59</v>
      </c>
      <c r="S3703">
        <v>1</v>
      </c>
    </row>
    <row r="3704" spans="1:19" ht="16.5" x14ac:dyDescent="0.3">
      <c r="A3704" t="s">
        <v>3767</v>
      </c>
      <c r="B3704" s="1">
        <v>45767</v>
      </c>
      <c r="C3704" s="1">
        <v>45772</v>
      </c>
      <c r="D3704">
        <v>2025</v>
      </c>
      <c r="E3704" t="s">
        <v>836</v>
      </c>
      <c r="F3704" t="s">
        <v>837</v>
      </c>
      <c r="G3704" t="s">
        <v>112</v>
      </c>
      <c r="H3704" t="s">
        <v>39</v>
      </c>
      <c r="I3704" t="s">
        <v>24</v>
      </c>
      <c r="J3704" t="s">
        <v>25</v>
      </c>
      <c r="K3704" t="s">
        <v>41</v>
      </c>
      <c r="L3704" t="s">
        <v>44</v>
      </c>
      <c r="M3704">
        <v>5</v>
      </c>
      <c r="N3704" s="2">
        <v>37</v>
      </c>
      <c r="O3704" s="3">
        <v>3714</v>
      </c>
      <c r="P3704">
        <v>0</v>
      </c>
      <c r="Q3704">
        <v>4</v>
      </c>
      <c r="R3704" t="s">
        <v>33</v>
      </c>
      <c r="S3704">
        <v>1</v>
      </c>
    </row>
    <row r="3705" spans="1:19" ht="16.5" x14ac:dyDescent="0.3">
      <c r="A3705" t="s">
        <v>3768</v>
      </c>
      <c r="B3705" s="1">
        <v>45767</v>
      </c>
      <c r="C3705" s="1">
        <v>45769</v>
      </c>
      <c r="D3705">
        <v>2025</v>
      </c>
      <c r="E3705" t="s">
        <v>836</v>
      </c>
      <c r="F3705" t="s">
        <v>837</v>
      </c>
      <c r="G3705" t="s">
        <v>112</v>
      </c>
      <c r="H3705" t="s">
        <v>30</v>
      </c>
      <c r="I3705" t="s">
        <v>40</v>
      </c>
      <c r="J3705" t="s">
        <v>43</v>
      </c>
      <c r="K3705" t="s">
        <v>36</v>
      </c>
      <c r="L3705" t="s">
        <v>44</v>
      </c>
      <c r="M3705">
        <v>2</v>
      </c>
      <c r="N3705" s="2"/>
      <c r="O3705" s="3">
        <v>2539</v>
      </c>
      <c r="P3705">
        <v>0</v>
      </c>
      <c r="Q3705">
        <v>4</v>
      </c>
      <c r="R3705" t="s">
        <v>33</v>
      </c>
      <c r="S3705">
        <v>1</v>
      </c>
    </row>
    <row r="3706" spans="1:19" ht="16.5" x14ac:dyDescent="0.3">
      <c r="A3706" t="s">
        <v>3769</v>
      </c>
      <c r="B3706" s="1">
        <v>45767</v>
      </c>
      <c r="C3706" s="1">
        <v>45773</v>
      </c>
      <c r="D3706">
        <v>2025</v>
      </c>
      <c r="E3706" t="s">
        <v>836</v>
      </c>
      <c r="F3706" t="s">
        <v>837</v>
      </c>
      <c r="G3706" t="s">
        <v>112</v>
      </c>
      <c r="H3706" t="s">
        <v>35</v>
      </c>
      <c r="I3706" t="s">
        <v>24</v>
      </c>
      <c r="J3706" t="s">
        <v>25</v>
      </c>
      <c r="K3706" t="s">
        <v>32</v>
      </c>
      <c r="L3706" t="s">
        <v>27</v>
      </c>
      <c r="M3706">
        <v>6</v>
      </c>
      <c r="N3706" s="2">
        <v>99</v>
      </c>
      <c r="O3706" s="3">
        <v>5666</v>
      </c>
      <c r="P3706">
        <v>0</v>
      </c>
      <c r="Q3706">
        <v>4</v>
      </c>
      <c r="R3706" t="s">
        <v>28</v>
      </c>
      <c r="S3706">
        <v>1</v>
      </c>
    </row>
    <row r="3707" spans="1:19" ht="16.5" x14ac:dyDescent="0.3">
      <c r="A3707" t="s">
        <v>3770</v>
      </c>
      <c r="B3707" s="1">
        <v>45767</v>
      </c>
      <c r="C3707" s="1">
        <v>45769</v>
      </c>
      <c r="D3707">
        <v>2025</v>
      </c>
      <c r="E3707" t="s">
        <v>836</v>
      </c>
      <c r="F3707" t="s">
        <v>837</v>
      </c>
      <c r="G3707" t="s">
        <v>112</v>
      </c>
      <c r="H3707" t="s">
        <v>35</v>
      </c>
      <c r="I3707" t="s">
        <v>31</v>
      </c>
      <c r="J3707" t="s">
        <v>25</v>
      </c>
      <c r="K3707" t="s">
        <v>36</v>
      </c>
      <c r="L3707" t="s">
        <v>44</v>
      </c>
      <c r="M3707">
        <v>2</v>
      </c>
      <c r="N3707" s="2"/>
      <c r="O3707" s="3">
        <v>2741</v>
      </c>
      <c r="P3707">
        <v>0</v>
      </c>
      <c r="Q3707">
        <v>4</v>
      </c>
      <c r="R3707" t="s">
        <v>28</v>
      </c>
      <c r="S3707">
        <v>1</v>
      </c>
    </row>
    <row r="3708" spans="1:19" ht="16.5" x14ac:dyDescent="0.3">
      <c r="A3708" t="s">
        <v>3771</v>
      </c>
      <c r="B3708" s="1">
        <v>45767</v>
      </c>
      <c r="C3708" s="1">
        <v>45776</v>
      </c>
      <c r="D3708">
        <v>2025</v>
      </c>
      <c r="E3708" t="s">
        <v>836</v>
      </c>
      <c r="F3708" t="s">
        <v>837</v>
      </c>
      <c r="G3708" t="s">
        <v>112</v>
      </c>
      <c r="H3708" t="s">
        <v>23</v>
      </c>
      <c r="I3708" t="s">
        <v>24</v>
      </c>
      <c r="J3708" t="s">
        <v>43</v>
      </c>
      <c r="K3708" t="s">
        <v>26</v>
      </c>
      <c r="L3708" t="s">
        <v>44</v>
      </c>
      <c r="M3708">
        <v>9</v>
      </c>
      <c r="N3708" s="2">
        <v>31</v>
      </c>
      <c r="O3708" s="3">
        <v>6399</v>
      </c>
      <c r="P3708">
        <v>0</v>
      </c>
      <c r="Q3708">
        <v>4</v>
      </c>
      <c r="R3708" t="s">
        <v>33</v>
      </c>
      <c r="S3708">
        <v>1</v>
      </c>
    </row>
    <row r="3709" spans="1:19" ht="16.5" x14ac:dyDescent="0.3">
      <c r="A3709" t="s">
        <v>3772</v>
      </c>
      <c r="B3709" s="1">
        <v>45768</v>
      </c>
      <c r="C3709" s="1">
        <v>45771</v>
      </c>
      <c r="D3709">
        <v>2025</v>
      </c>
      <c r="E3709" t="s">
        <v>836</v>
      </c>
      <c r="F3709" t="s">
        <v>837</v>
      </c>
      <c r="G3709" t="s">
        <v>22</v>
      </c>
      <c r="H3709" t="s">
        <v>23</v>
      </c>
      <c r="I3709" t="s">
        <v>24</v>
      </c>
      <c r="J3709" t="s">
        <v>25</v>
      </c>
      <c r="K3709" t="s">
        <v>26</v>
      </c>
      <c r="L3709" t="s">
        <v>44</v>
      </c>
      <c r="M3709">
        <v>3</v>
      </c>
      <c r="N3709" s="2">
        <v>60</v>
      </c>
      <c r="O3709" s="3">
        <v>3275</v>
      </c>
      <c r="P3709">
        <v>1</v>
      </c>
      <c r="Q3709">
        <v>4</v>
      </c>
      <c r="R3709" t="s">
        <v>28</v>
      </c>
      <c r="S3709">
        <v>1</v>
      </c>
    </row>
    <row r="3710" spans="1:19" ht="16.5" x14ac:dyDescent="0.3">
      <c r="A3710" t="s">
        <v>3773</v>
      </c>
      <c r="B3710" s="1">
        <v>45768</v>
      </c>
      <c r="C3710" s="1">
        <v>45769</v>
      </c>
      <c r="D3710">
        <v>2025</v>
      </c>
      <c r="E3710" t="s">
        <v>836</v>
      </c>
      <c r="F3710" t="s">
        <v>837</v>
      </c>
      <c r="G3710" t="s">
        <v>22</v>
      </c>
      <c r="H3710" t="s">
        <v>50</v>
      </c>
      <c r="I3710" t="s">
        <v>40</v>
      </c>
      <c r="J3710" t="s">
        <v>43</v>
      </c>
      <c r="K3710" t="s">
        <v>32</v>
      </c>
      <c r="L3710" t="s">
        <v>37</v>
      </c>
      <c r="M3710">
        <v>1</v>
      </c>
      <c r="N3710" s="2"/>
      <c r="O3710" s="3">
        <v>2311</v>
      </c>
      <c r="P3710">
        <v>1</v>
      </c>
      <c r="Q3710">
        <v>4</v>
      </c>
      <c r="R3710" t="s">
        <v>33</v>
      </c>
      <c r="S3710">
        <v>1</v>
      </c>
    </row>
    <row r="3711" spans="1:19" ht="16.5" x14ac:dyDescent="0.3">
      <c r="A3711" t="s">
        <v>3774</v>
      </c>
      <c r="B3711" s="1">
        <v>45768</v>
      </c>
      <c r="C3711" s="1">
        <v>45769</v>
      </c>
      <c r="D3711">
        <v>2025</v>
      </c>
      <c r="E3711" t="s">
        <v>836</v>
      </c>
      <c r="F3711" t="s">
        <v>837</v>
      </c>
      <c r="G3711" t="s">
        <v>22</v>
      </c>
      <c r="H3711" t="s">
        <v>50</v>
      </c>
      <c r="I3711" t="s">
        <v>24</v>
      </c>
      <c r="J3711" t="s">
        <v>43</v>
      </c>
      <c r="K3711" t="s">
        <v>32</v>
      </c>
      <c r="L3711" t="s">
        <v>44</v>
      </c>
      <c r="M3711">
        <v>1</v>
      </c>
      <c r="N3711" s="2">
        <v>82</v>
      </c>
      <c r="O3711" s="3">
        <v>2030</v>
      </c>
      <c r="P3711">
        <v>0</v>
      </c>
      <c r="Q3711">
        <v>4</v>
      </c>
      <c r="R3711" t="s">
        <v>33</v>
      </c>
      <c r="S3711">
        <v>1</v>
      </c>
    </row>
    <row r="3712" spans="1:19" ht="16.5" x14ac:dyDescent="0.3">
      <c r="A3712" t="s">
        <v>3775</v>
      </c>
      <c r="B3712" s="1">
        <v>45768</v>
      </c>
      <c r="C3712" s="1">
        <v>45777</v>
      </c>
      <c r="D3712">
        <v>2025</v>
      </c>
      <c r="E3712" t="s">
        <v>836</v>
      </c>
      <c r="F3712" t="s">
        <v>837</v>
      </c>
      <c r="G3712" t="s">
        <v>22</v>
      </c>
      <c r="H3712" t="s">
        <v>30</v>
      </c>
      <c r="I3712" t="s">
        <v>40</v>
      </c>
      <c r="J3712" t="s">
        <v>25</v>
      </c>
      <c r="K3712" t="s">
        <v>36</v>
      </c>
      <c r="L3712" t="s">
        <v>44</v>
      </c>
      <c r="M3712">
        <v>9</v>
      </c>
      <c r="N3712" s="2"/>
      <c r="O3712" s="3">
        <v>9254</v>
      </c>
      <c r="P3712">
        <v>0</v>
      </c>
      <c r="Q3712">
        <v>5</v>
      </c>
      <c r="R3712" t="s">
        <v>33</v>
      </c>
      <c r="S3712">
        <v>1</v>
      </c>
    </row>
    <row r="3713" spans="1:19" ht="16.5" x14ac:dyDescent="0.3">
      <c r="A3713" t="s">
        <v>3776</v>
      </c>
      <c r="B3713" s="1">
        <v>45768</v>
      </c>
      <c r="C3713" s="1">
        <v>45772</v>
      </c>
      <c r="D3713">
        <v>2025</v>
      </c>
      <c r="E3713" t="s">
        <v>836</v>
      </c>
      <c r="F3713" t="s">
        <v>837</v>
      </c>
      <c r="G3713" t="s">
        <v>22</v>
      </c>
      <c r="H3713" t="s">
        <v>30</v>
      </c>
      <c r="I3713" t="s">
        <v>24</v>
      </c>
      <c r="J3713" t="s">
        <v>43</v>
      </c>
      <c r="K3713" t="s">
        <v>26</v>
      </c>
      <c r="L3713" t="s">
        <v>27</v>
      </c>
      <c r="M3713">
        <v>4</v>
      </c>
      <c r="N3713" s="2">
        <v>46</v>
      </c>
      <c r="O3713" s="3">
        <v>5897</v>
      </c>
      <c r="P3713">
        <v>0</v>
      </c>
      <c r="Q3713">
        <v>4</v>
      </c>
      <c r="R3713" t="s">
        <v>33</v>
      </c>
      <c r="S3713">
        <v>1</v>
      </c>
    </row>
    <row r="3714" spans="1:19" ht="16.5" x14ac:dyDescent="0.3">
      <c r="A3714" t="s">
        <v>3777</v>
      </c>
      <c r="B3714" s="1">
        <v>45768</v>
      </c>
      <c r="C3714" s="1">
        <v>45781</v>
      </c>
      <c r="D3714">
        <v>2025</v>
      </c>
      <c r="E3714" t="s">
        <v>836</v>
      </c>
      <c r="F3714" t="s">
        <v>837</v>
      </c>
      <c r="G3714" t="s">
        <v>22</v>
      </c>
      <c r="H3714" t="s">
        <v>23</v>
      </c>
      <c r="I3714" t="s">
        <v>24</v>
      </c>
      <c r="J3714" t="s">
        <v>43</v>
      </c>
      <c r="K3714" t="s">
        <v>32</v>
      </c>
      <c r="L3714" t="s">
        <v>37</v>
      </c>
      <c r="M3714">
        <v>13</v>
      </c>
      <c r="N3714" s="2">
        <v>32</v>
      </c>
      <c r="O3714" s="3">
        <v>11887</v>
      </c>
      <c r="P3714">
        <v>0</v>
      </c>
      <c r="Q3714">
        <v>4</v>
      </c>
      <c r="R3714" t="s">
        <v>28</v>
      </c>
      <c r="S3714">
        <v>1</v>
      </c>
    </row>
    <row r="3715" spans="1:19" ht="16.5" x14ac:dyDescent="0.3">
      <c r="A3715" t="s">
        <v>3778</v>
      </c>
      <c r="B3715" s="1">
        <v>45769</v>
      </c>
      <c r="C3715" s="1">
        <v>45773</v>
      </c>
      <c r="D3715">
        <v>2025</v>
      </c>
      <c r="E3715" t="s">
        <v>836</v>
      </c>
      <c r="F3715" t="s">
        <v>837</v>
      </c>
      <c r="G3715" t="s">
        <v>56</v>
      </c>
      <c r="H3715" t="s">
        <v>35</v>
      </c>
      <c r="I3715" t="s">
        <v>24</v>
      </c>
      <c r="J3715" t="s">
        <v>25</v>
      </c>
      <c r="K3715" t="s">
        <v>36</v>
      </c>
      <c r="L3715" t="s">
        <v>27</v>
      </c>
      <c r="M3715">
        <v>4</v>
      </c>
      <c r="N3715" s="2">
        <v>32</v>
      </c>
      <c r="O3715" s="3">
        <v>2669</v>
      </c>
      <c r="P3715">
        <v>0</v>
      </c>
      <c r="Q3715">
        <v>4</v>
      </c>
      <c r="R3715" t="s">
        <v>28</v>
      </c>
      <c r="S3715">
        <v>1</v>
      </c>
    </row>
    <row r="3716" spans="1:19" ht="16.5" x14ac:dyDescent="0.3">
      <c r="A3716" t="s">
        <v>3779</v>
      </c>
      <c r="B3716" s="1">
        <v>45769</v>
      </c>
      <c r="C3716" s="1">
        <v>45772</v>
      </c>
      <c r="D3716">
        <v>2025</v>
      </c>
      <c r="E3716" t="s">
        <v>836</v>
      </c>
      <c r="F3716" t="s">
        <v>837</v>
      </c>
      <c r="G3716" t="s">
        <v>56</v>
      </c>
      <c r="H3716" t="s">
        <v>23</v>
      </c>
      <c r="I3716" t="s">
        <v>40</v>
      </c>
      <c r="J3716" t="s">
        <v>43</v>
      </c>
      <c r="K3716" t="s">
        <v>26</v>
      </c>
      <c r="L3716" t="s">
        <v>37</v>
      </c>
      <c r="M3716">
        <v>3</v>
      </c>
      <c r="N3716" s="2"/>
      <c r="O3716" s="3">
        <v>3187</v>
      </c>
      <c r="P3716">
        <v>1</v>
      </c>
      <c r="Q3716">
        <v>3</v>
      </c>
      <c r="R3716" t="s">
        <v>33</v>
      </c>
      <c r="S3716">
        <v>1</v>
      </c>
    </row>
    <row r="3717" spans="1:19" ht="16.5" x14ac:dyDescent="0.3">
      <c r="A3717" t="s">
        <v>3780</v>
      </c>
      <c r="B3717" s="1">
        <v>45769</v>
      </c>
      <c r="C3717" s="1">
        <v>45772</v>
      </c>
      <c r="D3717">
        <v>2025</v>
      </c>
      <c r="E3717" t="s">
        <v>836</v>
      </c>
      <c r="F3717" t="s">
        <v>837</v>
      </c>
      <c r="G3717" t="s">
        <v>56</v>
      </c>
      <c r="H3717" t="s">
        <v>35</v>
      </c>
      <c r="I3717" t="s">
        <v>31</v>
      </c>
      <c r="J3717" t="s">
        <v>25</v>
      </c>
      <c r="K3717" t="s">
        <v>32</v>
      </c>
      <c r="L3717" t="s">
        <v>27</v>
      </c>
      <c r="M3717">
        <v>3</v>
      </c>
      <c r="N3717" s="2"/>
      <c r="O3717" s="3">
        <v>2456</v>
      </c>
      <c r="P3717">
        <v>0</v>
      </c>
      <c r="Q3717">
        <v>4</v>
      </c>
      <c r="R3717" t="s">
        <v>59</v>
      </c>
      <c r="S3717">
        <v>1</v>
      </c>
    </row>
    <row r="3718" spans="1:19" ht="16.5" x14ac:dyDescent="0.3">
      <c r="A3718" t="s">
        <v>3781</v>
      </c>
      <c r="B3718" s="1">
        <v>45769</v>
      </c>
      <c r="C3718" s="1">
        <v>45773</v>
      </c>
      <c r="D3718">
        <v>2025</v>
      </c>
      <c r="E3718" t="s">
        <v>836</v>
      </c>
      <c r="F3718" t="s">
        <v>837</v>
      </c>
      <c r="G3718" t="s">
        <v>56</v>
      </c>
      <c r="H3718" t="s">
        <v>52</v>
      </c>
      <c r="I3718" t="s">
        <v>40</v>
      </c>
      <c r="J3718" t="s">
        <v>43</v>
      </c>
      <c r="K3718" t="s">
        <v>26</v>
      </c>
      <c r="L3718" t="s">
        <v>27</v>
      </c>
      <c r="M3718">
        <v>4</v>
      </c>
      <c r="N3718" s="2"/>
      <c r="O3718" s="3">
        <v>4948</v>
      </c>
      <c r="P3718">
        <v>0</v>
      </c>
      <c r="Q3718">
        <v>4</v>
      </c>
      <c r="R3718" t="s">
        <v>28</v>
      </c>
      <c r="S3718">
        <v>1</v>
      </c>
    </row>
    <row r="3719" spans="1:19" ht="16.5" x14ac:dyDescent="0.3">
      <c r="A3719" t="s">
        <v>3782</v>
      </c>
      <c r="B3719" s="1">
        <v>45769</v>
      </c>
      <c r="C3719" s="1">
        <v>45772</v>
      </c>
      <c r="D3719">
        <v>2025</v>
      </c>
      <c r="E3719" t="s">
        <v>836</v>
      </c>
      <c r="F3719" t="s">
        <v>837</v>
      </c>
      <c r="G3719" t="s">
        <v>56</v>
      </c>
      <c r="H3719" t="s">
        <v>52</v>
      </c>
      <c r="I3719" t="s">
        <v>40</v>
      </c>
      <c r="J3719" t="s">
        <v>25</v>
      </c>
      <c r="K3719" t="s">
        <v>32</v>
      </c>
      <c r="L3719" t="s">
        <v>44</v>
      </c>
      <c r="M3719">
        <v>3</v>
      </c>
      <c r="N3719" s="2"/>
      <c r="O3719" s="3">
        <v>3551</v>
      </c>
      <c r="P3719">
        <v>1</v>
      </c>
      <c r="Q3719">
        <v>4</v>
      </c>
      <c r="R3719" t="s">
        <v>33</v>
      </c>
      <c r="S3719">
        <v>1</v>
      </c>
    </row>
    <row r="3720" spans="1:19" ht="16.5" x14ac:dyDescent="0.3">
      <c r="A3720" t="s">
        <v>3783</v>
      </c>
      <c r="B3720" s="1">
        <v>45769</v>
      </c>
      <c r="C3720" s="1">
        <v>45772</v>
      </c>
      <c r="D3720">
        <v>2025</v>
      </c>
      <c r="E3720" t="s">
        <v>836</v>
      </c>
      <c r="F3720" t="s">
        <v>837</v>
      </c>
      <c r="G3720" t="s">
        <v>56</v>
      </c>
      <c r="H3720" t="s">
        <v>23</v>
      </c>
      <c r="I3720" t="s">
        <v>24</v>
      </c>
      <c r="J3720" t="s">
        <v>43</v>
      </c>
      <c r="K3720" t="s">
        <v>32</v>
      </c>
      <c r="L3720" t="s">
        <v>27</v>
      </c>
      <c r="M3720">
        <v>3</v>
      </c>
      <c r="N3720" s="2">
        <v>40</v>
      </c>
      <c r="O3720" s="3">
        <v>2880</v>
      </c>
      <c r="P3720">
        <v>0</v>
      </c>
      <c r="Q3720">
        <v>4</v>
      </c>
      <c r="R3720" t="s">
        <v>28</v>
      </c>
      <c r="S3720">
        <v>1</v>
      </c>
    </row>
    <row r="3721" spans="1:19" ht="16.5" x14ac:dyDescent="0.3">
      <c r="A3721" t="s">
        <v>3784</v>
      </c>
      <c r="B3721" s="1">
        <v>45769</v>
      </c>
      <c r="C3721" s="1">
        <v>45773</v>
      </c>
      <c r="D3721">
        <v>2025</v>
      </c>
      <c r="E3721" t="s">
        <v>836</v>
      </c>
      <c r="F3721" t="s">
        <v>837</v>
      </c>
      <c r="G3721" t="s">
        <v>56</v>
      </c>
      <c r="H3721" t="s">
        <v>39</v>
      </c>
      <c r="I3721" t="s">
        <v>31</v>
      </c>
      <c r="J3721" t="s">
        <v>25</v>
      </c>
      <c r="K3721" t="s">
        <v>41</v>
      </c>
      <c r="L3721" t="s">
        <v>27</v>
      </c>
      <c r="M3721">
        <v>4</v>
      </c>
      <c r="N3721" s="2"/>
      <c r="O3721" s="3">
        <v>3495</v>
      </c>
      <c r="P3721">
        <v>0</v>
      </c>
      <c r="Q3721">
        <v>5</v>
      </c>
      <c r="R3721" t="s">
        <v>33</v>
      </c>
      <c r="S3721">
        <v>1</v>
      </c>
    </row>
    <row r="3722" spans="1:19" ht="16.5" x14ac:dyDescent="0.3">
      <c r="A3722" t="s">
        <v>3785</v>
      </c>
      <c r="B3722" s="1">
        <v>45769</v>
      </c>
      <c r="C3722" s="1">
        <v>45771</v>
      </c>
      <c r="D3722">
        <v>2025</v>
      </c>
      <c r="E3722" t="s">
        <v>836</v>
      </c>
      <c r="F3722" t="s">
        <v>837</v>
      </c>
      <c r="G3722" t="s">
        <v>56</v>
      </c>
      <c r="H3722" t="s">
        <v>35</v>
      </c>
      <c r="I3722" t="s">
        <v>24</v>
      </c>
      <c r="J3722" t="s">
        <v>25</v>
      </c>
      <c r="K3722" t="s">
        <v>32</v>
      </c>
      <c r="L3722" t="s">
        <v>44</v>
      </c>
      <c r="M3722">
        <v>2</v>
      </c>
      <c r="N3722" s="2">
        <v>35</v>
      </c>
      <c r="O3722" s="3">
        <v>1678</v>
      </c>
      <c r="P3722">
        <v>0</v>
      </c>
      <c r="Q3722">
        <v>4</v>
      </c>
      <c r="R3722" t="s">
        <v>33</v>
      </c>
      <c r="S3722">
        <v>1</v>
      </c>
    </row>
    <row r="3723" spans="1:19" ht="16.5" x14ac:dyDescent="0.3">
      <c r="A3723" t="s">
        <v>3786</v>
      </c>
      <c r="B3723" s="1">
        <v>45769</v>
      </c>
      <c r="C3723" s="1">
        <v>45781</v>
      </c>
      <c r="D3723">
        <v>2025</v>
      </c>
      <c r="E3723" t="s">
        <v>836</v>
      </c>
      <c r="F3723" t="s">
        <v>837</v>
      </c>
      <c r="G3723" t="s">
        <v>56</v>
      </c>
      <c r="H3723" t="s">
        <v>30</v>
      </c>
      <c r="I3723" t="s">
        <v>24</v>
      </c>
      <c r="J3723" t="s">
        <v>43</v>
      </c>
      <c r="K3723" t="s">
        <v>53</v>
      </c>
      <c r="L3723" t="s">
        <v>37</v>
      </c>
      <c r="M3723">
        <v>12</v>
      </c>
      <c r="N3723" s="2">
        <v>27</v>
      </c>
      <c r="O3723" s="3">
        <v>12490</v>
      </c>
      <c r="P3723">
        <v>0</v>
      </c>
      <c r="Q3723">
        <v>4</v>
      </c>
      <c r="R3723" t="s">
        <v>33</v>
      </c>
      <c r="S3723">
        <v>1</v>
      </c>
    </row>
    <row r="3724" spans="1:19" ht="16.5" x14ac:dyDescent="0.3">
      <c r="A3724" t="s">
        <v>3787</v>
      </c>
      <c r="B3724" s="1">
        <v>45769</v>
      </c>
      <c r="C3724" s="1">
        <v>45779</v>
      </c>
      <c r="D3724">
        <v>2025</v>
      </c>
      <c r="E3724" t="s">
        <v>836</v>
      </c>
      <c r="F3724" t="s">
        <v>837</v>
      </c>
      <c r="G3724" t="s">
        <v>56</v>
      </c>
      <c r="H3724" t="s">
        <v>23</v>
      </c>
      <c r="I3724" t="s">
        <v>24</v>
      </c>
      <c r="J3724" t="s">
        <v>25</v>
      </c>
      <c r="K3724" t="s">
        <v>26</v>
      </c>
      <c r="L3724" t="s">
        <v>27</v>
      </c>
      <c r="M3724">
        <v>10</v>
      </c>
      <c r="N3724" s="2">
        <v>62</v>
      </c>
      <c r="O3724" s="3">
        <v>5748</v>
      </c>
      <c r="P3724">
        <v>0</v>
      </c>
      <c r="Q3724">
        <v>3</v>
      </c>
      <c r="R3724" t="s">
        <v>33</v>
      </c>
      <c r="S3724">
        <v>1</v>
      </c>
    </row>
    <row r="3725" spans="1:19" ht="16.5" x14ac:dyDescent="0.3">
      <c r="A3725" t="s">
        <v>3788</v>
      </c>
      <c r="B3725" s="1">
        <v>45769</v>
      </c>
      <c r="C3725" s="1">
        <v>45773</v>
      </c>
      <c r="D3725">
        <v>2025</v>
      </c>
      <c r="E3725" t="s">
        <v>836</v>
      </c>
      <c r="F3725" t="s">
        <v>837</v>
      </c>
      <c r="G3725" t="s">
        <v>56</v>
      </c>
      <c r="H3725" t="s">
        <v>50</v>
      </c>
      <c r="I3725" t="s">
        <v>24</v>
      </c>
      <c r="J3725" t="s">
        <v>43</v>
      </c>
      <c r="K3725" t="s">
        <v>32</v>
      </c>
      <c r="L3725" t="s">
        <v>27</v>
      </c>
      <c r="M3725">
        <v>4</v>
      </c>
      <c r="N3725" s="2">
        <v>44</v>
      </c>
      <c r="O3725" s="3">
        <v>6868</v>
      </c>
      <c r="P3725">
        <v>0</v>
      </c>
      <c r="Q3725">
        <v>5</v>
      </c>
      <c r="R3725" t="s">
        <v>28</v>
      </c>
      <c r="S3725">
        <v>1</v>
      </c>
    </row>
    <row r="3726" spans="1:19" ht="16.5" x14ac:dyDescent="0.3">
      <c r="A3726" t="s">
        <v>3789</v>
      </c>
      <c r="B3726" s="1">
        <v>45770</v>
      </c>
      <c r="C3726" s="1">
        <v>45774</v>
      </c>
      <c r="D3726">
        <v>2025</v>
      </c>
      <c r="E3726" t="s">
        <v>836</v>
      </c>
      <c r="F3726" t="s">
        <v>837</v>
      </c>
      <c r="G3726" t="s">
        <v>70</v>
      </c>
      <c r="H3726" t="s">
        <v>52</v>
      </c>
      <c r="I3726" t="s">
        <v>40</v>
      </c>
      <c r="J3726" t="s">
        <v>43</v>
      </c>
      <c r="K3726" t="s">
        <v>26</v>
      </c>
      <c r="L3726" t="s">
        <v>44</v>
      </c>
      <c r="M3726">
        <v>4</v>
      </c>
      <c r="N3726" s="2"/>
      <c r="O3726" s="3">
        <v>6286</v>
      </c>
      <c r="P3726">
        <v>0</v>
      </c>
      <c r="Q3726">
        <v>4</v>
      </c>
      <c r="R3726" t="s">
        <v>33</v>
      </c>
      <c r="S3726">
        <v>1</v>
      </c>
    </row>
    <row r="3727" spans="1:19" ht="16.5" x14ac:dyDescent="0.3">
      <c r="A3727" t="s">
        <v>3790</v>
      </c>
      <c r="B3727" s="1">
        <v>45770</v>
      </c>
      <c r="C3727" s="1">
        <v>45780</v>
      </c>
      <c r="D3727">
        <v>2025</v>
      </c>
      <c r="E3727" t="s">
        <v>836</v>
      </c>
      <c r="F3727" t="s">
        <v>837</v>
      </c>
      <c r="G3727" t="s">
        <v>70</v>
      </c>
      <c r="H3727" t="s">
        <v>30</v>
      </c>
      <c r="I3727" t="s">
        <v>24</v>
      </c>
      <c r="J3727" t="s">
        <v>25</v>
      </c>
      <c r="K3727" t="s">
        <v>36</v>
      </c>
      <c r="L3727" t="s">
        <v>44</v>
      </c>
      <c r="M3727">
        <v>10</v>
      </c>
      <c r="N3727" s="2">
        <v>18</v>
      </c>
      <c r="O3727" s="3">
        <v>10854</v>
      </c>
      <c r="P3727">
        <v>0</v>
      </c>
      <c r="Q3727">
        <v>4</v>
      </c>
      <c r="R3727" t="s">
        <v>33</v>
      </c>
      <c r="S3727">
        <v>1</v>
      </c>
    </row>
    <row r="3728" spans="1:19" ht="16.5" x14ac:dyDescent="0.3">
      <c r="A3728" t="s">
        <v>3791</v>
      </c>
      <c r="B3728" s="1">
        <v>45770</v>
      </c>
      <c r="C3728" s="1">
        <v>45775</v>
      </c>
      <c r="D3728">
        <v>2025</v>
      </c>
      <c r="E3728" t="s">
        <v>836</v>
      </c>
      <c r="F3728" t="s">
        <v>837</v>
      </c>
      <c r="G3728" t="s">
        <v>70</v>
      </c>
      <c r="H3728" t="s">
        <v>52</v>
      </c>
      <c r="I3728" t="s">
        <v>40</v>
      </c>
      <c r="J3728" t="s">
        <v>25</v>
      </c>
      <c r="K3728" t="s">
        <v>26</v>
      </c>
      <c r="L3728" t="s">
        <v>27</v>
      </c>
      <c r="M3728">
        <v>5</v>
      </c>
      <c r="N3728" s="2"/>
      <c r="O3728" s="3">
        <v>6521</v>
      </c>
      <c r="P3728">
        <v>0</v>
      </c>
      <c r="Q3728">
        <v>5</v>
      </c>
      <c r="R3728" t="s">
        <v>33</v>
      </c>
      <c r="S3728">
        <v>1</v>
      </c>
    </row>
    <row r="3729" spans="1:19" ht="16.5" x14ac:dyDescent="0.3">
      <c r="A3729" t="s">
        <v>3792</v>
      </c>
      <c r="B3729" s="1">
        <v>45770</v>
      </c>
      <c r="C3729" s="1">
        <v>45775</v>
      </c>
      <c r="D3729">
        <v>2025</v>
      </c>
      <c r="E3729" t="s">
        <v>836</v>
      </c>
      <c r="F3729" t="s">
        <v>837</v>
      </c>
      <c r="G3729" t="s">
        <v>70</v>
      </c>
      <c r="H3729" t="s">
        <v>23</v>
      </c>
      <c r="I3729" t="s">
        <v>40</v>
      </c>
      <c r="J3729" t="s">
        <v>43</v>
      </c>
      <c r="K3729" t="s">
        <v>32</v>
      </c>
      <c r="L3729" t="s">
        <v>44</v>
      </c>
      <c r="M3729">
        <v>5</v>
      </c>
      <c r="N3729" s="2"/>
      <c r="O3729" s="3">
        <v>4129</v>
      </c>
      <c r="P3729">
        <v>0</v>
      </c>
      <c r="Q3729">
        <v>5</v>
      </c>
      <c r="R3729" t="s">
        <v>28</v>
      </c>
      <c r="S3729">
        <v>1</v>
      </c>
    </row>
    <row r="3730" spans="1:19" ht="16.5" x14ac:dyDescent="0.3">
      <c r="A3730" t="s">
        <v>3793</v>
      </c>
      <c r="B3730" s="1">
        <v>45770</v>
      </c>
      <c r="C3730" s="1">
        <v>45771</v>
      </c>
      <c r="D3730">
        <v>2025</v>
      </c>
      <c r="E3730" t="s">
        <v>836</v>
      </c>
      <c r="F3730" t="s">
        <v>837</v>
      </c>
      <c r="G3730" t="s">
        <v>70</v>
      </c>
      <c r="H3730" t="s">
        <v>52</v>
      </c>
      <c r="I3730" t="s">
        <v>40</v>
      </c>
      <c r="J3730" t="s">
        <v>43</v>
      </c>
      <c r="K3730" t="s">
        <v>53</v>
      </c>
      <c r="L3730" t="s">
        <v>44</v>
      </c>
      <c r="M3730">
        <v>1</v>
      </c>
      <c r="N3730" s="2"/>
      <c r="O3730" s="3">
        <v>2071</v>
      </c>
      <c r="P3730">
        <v>0</v>
      </c>
      <c r="Q3730">
        <v>5</v>
      </c>
      <c r="R3730" t="s">
        <v>33</v>
      </c>
      <c r="S3730">
        <v>1</v>
      </c>
    </row>
    <row r="3731" spans="1:19" ht="16.5" x14ac:dyDescent="0.3">
      <c r="A3731" t="s">
        <v>3794</v>
      </c>
      <c r="B3731" s="1">
        <v>45770</v>
      </c>
      <c r="C3731" s="1">
        <v>45774</v>
      </c>
      <c r="D3731">
        <v>2025</v>
      </c>
      <c r="E3731" t="s">
        <v>836</v>
      </c>
      <c r="F3731" t="s">
        <v>837</v>
      </c>
      <c r="G3731" t="s">
        <v>70</v>
      </c>
      <c r="H3731" t="s">
        <v>50</v>
      </c>
      <c r="I3731" t="s">
        <v>24</v>
      </c>
      <c r="J3731" t="s">
        <v>25</v>
      </c>
      <c r="K3731" t="s">
        <v>53</v>
      </c>
      <c r="L3731" t="s">
        <v>44</v>
      </c>
      <c r="M3731">
        <v>4</v>
      </c>
      <c r="N3731" s="2">
        <v>53</v>
      </c>
      <c r="O3731" s="3">
        <v>7624</v>
      </c>
      <c r="P3731">
        <v>0</v>
      </c>
      <c r="Q3731">
        <v>3</v>
      </c>
      <c r="R3731" t="s">
        <v>33</v>
      </c>
      <c r="S3731">
        <v>1</v>
      </c>
    </row>
    <row r="3732" spans="1:19" ht="16.5" x14ac:dyDescent="0.3">
      <c r="A3732" t="s">
        <v>3795</v>
      </c>
      <c r="B3732" s="1">
        <v>45770</v>
      </c>
      <c r="C3732" s="1">
        <v>45773</v>
      </c>
      <c r="D3732">
        <v>2025</v>
      </c>
      <c r="E3732" t="s">
        <v>836</v>
      </c>
      <c r="F3732" t="s">
        <v>837</v>
      </c>
      <c r="G3732" t="s">
        <v>70</v>
      </c>
      <c r="H3732" t="s">
        <v>30</v>
      </c>
      <c r="I3732" t="s">
        <v>24</v>
      </c>
      <c r="J3732" t="s">
        <v>25</v>
      </c>
      <c r="K3732" t="s">
        <v>26</v>
      </c>
      <c r="L3732" t="s">
        <v>27</v>
      </c>
      <c r="M3732">
        <v>3</v>
      </c>
      <c r="N3732" s="2">
        <v>51</v>
      </c>
      <c r="O3732" s="3">
        <v>4576</v>
      </c>
      <c r="P3732">
        <v>0</v>
      </c>
      <c r="Q3732">
        <v>4</v>
      </c>
      <c r="R3732" t="s">
        <v>28</v>
      </c>
      <c r="S3732">
        <v>1</v>
      </c>
    </row>
    <row r="3733" spans="1:19" ht="16.5" x14ac:dyDescent="0.3">
      <c r="A3733" t="s">
        <v>3796</v>
      </c>
      <c r="B3733" s="1">
        <v>45770</v>
      </c>
      <c r="C3733" s="1">
        <v>45776</v>
      </c>
      <c r="D3733">
        <v>2025</v>
      </c>
      <c r="E3733" t="s">
        <v>836</v>
      </c>
      <c r="F3733" t="s">
        <v>837</v>
      </c>
      <c r="G3733" t="s">
        <v>70</v>
      </c>
      <c r="H3733" t="s">
        <v>30</v>
      </c>
      <c r="I3733" t="s">
        <v>40</v>
      </c>
      <c r="J3733" t="s">
        <v>25</v>
      </c>
      <c r="K3733" t="s">
        <v>26</v>
      </c>
      <c r="L3733" t="s">
        <v>44</v>
      </c>
      <c r="M3733">
        <v>6</v>
      </c>
      <c r="N3733" s="2"/>
      <c r="O3733" s="3">
        <v>7749</v>
      </c>
      <c r="P3733">
        <v>0</v>
      </c>
      <c r="Q3733">
        <v>4</v>
      </c>
      <c r="R3733" t="s">
        <v>28</v>
      </c>
      <c r="S3733">
        <v>1</v>
      </c>
    </row>
    <row r="3734" spans="1:19" ht="16.5" x14ac:dyDescent="0.3">
      <c r="A3734" t="s">
        <v>3797</v>
      </c>
      <c r="B3734" s="1">
        <v>45770</v>
      </c>
      <c r="C3734" s="1">
        <v>45775</v>
      </c>
      <c r="D3734">
        <v>2025</v>
      </c>
      <c r="E3734" t="s">
        <v>836</v>
      </c>
      <c r="F3734" t="s">
        <v>837</v>
      </c>
      <c r="G3734" t="s">
        <v>70</v>
      </c>
      <c r="H3734" t="s">
        <v>50</v>
      </c>
      <c r="I3734" t="s">
        <v>40</v>
      </c>
      <c r="J3734" t="s">
        <v>25</v>
      </c>
      <c r="K3734" t="s">
        <v>53</v>
      </c>
      <c r="L3734" t="s">
        <v>44</v>
      </c>
      <c r="M3734">
        <v>5</v>
      </c>
      <c r="N3734" s="2"/>
      <c r="O3734" s="3">
        <v>9170</v>
      </c>
      <c r="P3734">
        <v>0</v>
      </c>
      <c r="Q3734">
        <v>4</v>
      </c>
      <c r="R3734" t="s">
        <v>28</v>
      </c>
      <c r="S3734">
        <v>1</v>
      </c>
    </row>
    <row r="3735" spans="1:19" ht="16.5" x14ac:dyDescent="0.3">
      <c r="A3735" t="s">
        <v>3798</v>
      </c>
      <c r="B3735" s="1">
        <v>45771</v>
      </c>
      <c r="C3735" s="1">
        <v>45772</v>
      </c>
      <c r="D3735">
        <v>2025</v>
      </c>
      <c r="E3735" t="s">
        <v>836</v>
      </c>
      <c r="F3735" t="s">
        <v>837</v>
      </c>
      <c r="G3735" t="s">
        <v>78</v>
      </c>
      <c r="H3735" t="s">
        <v>39</v>
      </c>
      <c r="I3735" t="s">
        <v>24</v>
      </c>
      <c r="J3735" t="s">
        <v>43</v>
      </c>
      <c r="K3735" t="s">
        <v>41</v>
      </c>
      <c r="L3735" t="s">
        <v>27</v>
      </c>
      <c r="M3735">
        <v>1</v>
      </c>
      <c r="N3735" s="2">
        <v>30</v>
      </c>
      <c r="O3735" s="3">
        <v>1629</v>
      </c>
      <c r="P3735">
        <v>0</v>
      </c>
      <c r="Q3735">
        <v>5</v>
      </c>
      <c r="R3735" t="s">
        <v>28</v>
      </c>
      <c r="S3735">
        <v>1</v>
      </c>
    </row>
    <row r="3736" spans="1:19" ht="16.5" x14ac:dyDescent="0.3">
      <c r="A3736" t="s">
        <v>3799</v>
      </c>
      <c r="B3736" s="1">
        <v>45771</v>
      </c>
      <c r="C3736" s="1">
        <v>45780</v>
      </c>
      <c r="D3736">
        <v>2025</v>
      </c>
      <c r="E3736" t="s">
        <v>836</v>
      </c>
      <c r="F3736" t="s">
        <v>837</v>
      </c>
      <c r="G3736" t="s">
        <v>78</v>
      </c>
      <c r="H3736" t="s">
        <v>35</v>
      </c>
      <c r="I3736" t="s">
        <v>24</v>
      </c>
      <c r="J3736" t="s">
        <v>25</v>
      </c>
      <c r="K3736" t="s">
        <v>36</v>
      </c>
      <c r="L3736" t="s">
        <v>27</v>
      </c>
      <c r="M3736">
        <v>9</v>
      </c>
      <c r="N3736" s="2">
        <v>45</v>
      </c>
      <c r="O3736" s="3">
        <v>6176</v>
      </c>
      <c r="P3736">
        <v>0</v>
      </c>
      <c r="Q3736">
        <v>5</v>
      </c>
      <c r="R3736" t="s">
        <v>59</v>
      </c>
      <c r="S3736">
        <v>1</v>
      </c>
    </row>
    <row r="3737" spans="1:19" ht="16.5" x14ac:dyDescent="0.3">
      <c r="A3737" t="s">
        <v>3800</v>
      </c>
      <c r="B3737" s="1">
        <v>45771</v>
      </c>
      <c r="C3737" s="1">
        <v>45772</v>
      </c>
      <c r="D3737">
        <v>2025</v>
      </c>
      <c r="E3737" t="s">
        <v>836</v>
      </c>
      <c r="F3737" t="s">
        <v>837</v>
      </c>
      <c r="G3737" t="s">
        <v>78</v>
      </c>
      <c r="H3737" t="s">
        <v>35</v>
      </c>
      <c r="I3737" t="s">
        <v>24</v>
      </c>
      <c r="J3737" t="s">
        <v>25</v>
      </c>
      <c r="K3737" t="s">
        <v>32</v>
      </c>
      <c r="L3737" t="s">
        <v>27</v>
      </c>
      <c r="M3737">
        <v>1</v>
      </c>
      <c r="N3737" s="2">
        <v>100</v>
      </c>
      <c r="O3737" s="3">
        <v>1772</v>
      </c>
      <c r="P3737">
        <v>0</v>
      </c>
      <c r="Q3737">
        <v>4</v>
      </c>
      <c r="R3737" t="s">
        <v>28</v>
      </c>
      <c r="S3737">
        <v>1</v>
      </c>
    </row>
    <row r="3738" spans="1:19" ht="16.5" x14ac:dyDescent="0.3">
      <c r="A3738" t="s">
        <v>3801</v>
      </c>
      <c r="B3738" s="1">
        <v>45771</v>
      </c>
      <c r="C3738" s="1">
        <v>45774</v>
      </c>
      <c r="D3738">
        <v>2025</v>
      </c>
      <c r="E3738" t="s">
        <v>836</v>
      </c>
      <c r="F3738" t="s">
        <v>837</v>
      </c>
      <c r="G3738" t="s">
        <v>78</v>
      </c>
      <c r="H3738" t="s">
        <v>30</v>
      </c>
      <c r="I3738" t="s">
        <v>40</v>
      </c>
      <c r="J3738" t="s">
        <v>43</v>
      </c>
      <c r="K3738" t="s">
        <v>32</v>
      </c>
      <c r="L3738" t="s">
        <v>44</v>
      </c>
      <c r="M3738">
        <v>3</v>
      </c>
      <c r="N3738" s="2"/>
      <c r="O3738" s="3">
        <v>3418</v>
      </c>
      <c r="P3738">
        <v>0</v>
      </c>
      <c r="Q3738">
        <v>4</v>
      </c>
      <c r="R3738" t="s">
        <v>28</v>
      </c>
      <c r="S3738">
        <v>1</v>
      </c>
    </row>
    <row r="3739" spans="1:19" ht="16.5" x14ac:dyDescent="0.3">
      <c r="A3739" t="s">
        <v>3802</v>
      </c>
      <c r="B3739" s="1">
        <v>45771</v>
      </c>
      <c r="C3739" s="1">
        <v>45773</v>
      </c>
      <c r="D3739">
        <v>2025</v>
      </c>
      <c r="E3739" t="s">
        <v>836</v>
      </c>
      <c r="F3739" t="s">
        <v>837</v>
      </c>
      <c r="G3739" t="s">
        <v>78</v>
      </c>
      <c r="H3739" t="s">
        <v>30</v>
      </c>
      <c r="I3739" t="s">
        <v>24</v>
      </c>
      <c r="J3739" t="s">
        <v>43</v>
      </c>
      <c r="K3739" t="s">
        <v>53</v>
      </c>
      <c r="L3739" t="s">
        <v>27</v>
      </c>
      <c r="M3739">
        <v>2</v>
      </c>
      <c r="N3739" s="2">
        <v>105</v>
      </c>
      <c r="O3739" s="3">
        <v>3213</v>
      </c>
      <c r="P3739">
        <v>0</v>
      </c>
      <c r="Q3739">
        <v>4</v>
      </c>
      <c r="R3739" t="s">
        <v>33</v>
      </c>
      <c r="S3739">
        <v>1</v>
      </c>
    </row>
    <row r="3740" spans="1:19" ht="16.5" x14ac:dyDescent="0.3">
      <c r="A3740" t="s">
        <v>3803</v>
      </c>
      <c r="B3740" s="1">
        <v>45771</v>
      </c>
      <c r="C3740" s="1">
        <v>45773</v>
      </c>
      <c r="D3740">
        <v>2025</v>
      </c>
      <c r="E3740" t="s">
        <v>836</v>
      </c>
      <c r="F3740" t="s">
        <v>837</v>
      </c>
      <c r="G3740" t="s">
        <v>78</v>
      </c>
      <c r="H3740" t="s">
        <v>23</v>
      </c>
      <c r="I3740" t="s">
        <v>24</v>
      </c>
      <c r="J3740" t="s">
        <v>43</v>
      </c>
      <c r="K3740" t="s">
        <v>36</v>
      </c>
      <c r="L3740" t="s">
        <v>27</v>
      </c>
      <c r="M3740">
        <v>2</v>
      </c>
      <c r="N3740" s="2">
        <v>52</v>
      </c>
      <c r="O3740" s="3">
        <v>2323</v>
      </c>
      <c r="P3740">
        <v>1</v>
      </c>
      <c r="Q3740">
        <v>3</v>
      </c>
      <c r="R3740" t="s">
        <v>33</v>
      </c>
      <c r="S3740">
        <v>1</v>
      </c>
    </row>
    <row r="3741" spans="1:19" ht="16.5" x14ac:dyDescent="0.3">
      <c r="A3741" t="s">
        <v>3804</v>
      </c>
      <c r="B3741" s="1">
        <v>45771</v>
      </c>
      <c r="C3741" s="1">
        <v>45772</v>
      </c>
      <c r="D3741">
        <v>2025</v>
      </c>
      <c r="E3741" t="s">
        <v>836</v>
      </c>
      <c r="F3741" t="s">
        <v>837</v>
      </c>
      <c r="G3741" t="s">
        <v>78</v>
      </c>
      <c r="H3741" t="s">
        <v>39</v>
      </c>
      <c r="I3741" t="s">
        <v>40</v>
      </c>
      <c r="J3741" t="s">
        <v>25</v>
      </c>
      <c r="K3741" t="s">
        <v>41</v>
      </c>
      <c r="L3741" t="s">
        <v>37</v>
      </c>
      <c r="M3741">
        <v>1</v>
      </c>
      <c r="N3741" s="2"/>
      <c r="O3741" s="3">
        <v>1213</v>
      </c>
      <c r="P3741">
        <v>0</v>
      </c>
      <c r="Q3741">
        <v>5</v>
      </c>
      <c r="R3741" t="s">
        <v>33</v>
      </c>
      <c r="S3741">
        <v>1</v>
      </c>
    </row>
    <row r="3742" spans="1:19" ht="16.5" x14ac:dyDescent="0.3">
      <c r="A3742" t="s">
        <v>3805</v>
      </c>
      <c r="B3742" s="1">
        <v>45771</v>
      </c>
      <c r="C3742" s="1">
        <v>45773</v>
      </c>
      <c r="D3742">
        <v>2025</v>
      </c>
      <c r="E3742" t="s">
        <v>836</v>
      </c>
      <c r="F3742" t="s">
        <v>837</v>
      </c>
      <c r="G3742" t="s">
        <v>78</v>
      </c>
      <c r="H3742" t="s">
        <v>30</v>
      </c>
      <c r="I3742" t="s">
        <v>24</v>
      </c>
      <c r="J3742" t="s">
        <v>25</v>
      </c>
      <c r="K3742" t="s">
        <v>53</v>
      </c>
      <c r="L3742" t="s">
        <v>44</v>
      </c>
      <c r="M3742">
        <v>2</v>
      </c>
      <c r="N3742" s="2">
        <v>48</v>
      </c>
      <c r="O3742" s="3">
        <v>3080</v>
      </c>
      <c r="P3742">
        <v>0</v>
      </c>
      <c r="Q3742">
        <v>3</v>
      </c>
      <c r="R3742" t="s">
        <v>33</v>
      </c>
      <c r="S3742">
        <v>1</v>
      </c>
    </row>
    <row r="3743" spans="1:19" ht="16.5" x14ac:dyDescent="0.3">
      <c r="A3743" t="s">
        <v>3806</v>
      </c>
      <c r="B3743" s="1">
        <v>45771</v>
      </c>
      <c r="C3743" s="1">
        <v>45779</v>
      </c>
      <c r="D3743">
        <v>2025</v>
      </c>
      <c r="E3743" t="s">
        <v>836</v>
      </c>
      <c r="F3743" t="s">
        <v>837</v>
      </c>
      <c r="G3743" t="s">
        <v>78</v>
      </c>
      <c r="H3743" t="s">
        <v>23</v>
      </c>
      <c r="I3743" t="s">
        <v>31</v>
      </c>
      <c r="J3743" t="s">
        <v>43</v>
      </c>
      <c r="K3743" t="s">
        <v>53</v>
      </c>
      <c r="L3743" t="s">
        <v>27</v>
      </c>
      <c r="M3743">
        <v>8</v>
      </c>
      <c r="N3743" s="2"/>
      <c r="O3743" s="3">
        <v>6192</v>
      </c>
      <c r="P3743">
        <v>0</v>
      </c>
      <c r="Q3743">
        <v>5</v>
      </c>
      <c r="R3743" t="s">
        <v>33</v>
      </c>
      <c r="S3743">
        <v>1</v>
      </c>
    </row>
    <row r="3744" spans="1:19" ht="16.5" x14ac:dyDescent="0.3">
      <c r="A3744" t="s">
        <v>3807</v>
      </c>
      <c r="B3744" s="1">
        <v>45771</v>
      </c>
      <c r="C3744" s="1">
        <v>45773</v>
      </c>
      <c r="D3744">
        <v>2025</v>
      </c>
      <c r="E3744" t="s">
        <v>836</v>
      </c>
      <c r="F3744" t="s">
        <v>837</v>
      </c>
      <c r="G3744" t="s">
        <v>78</v>
      </c>
      <c r="H3744" t="s">
        <v>52</v>
      </c>
      <c r="I3744" t="s">
        <v>40</v>
      </c>
      <c r="J3744" t="s">
        <v>25</v>
      </c>
      <c r="K3744" t="s">
        <v>53</v>
      </c>
      <c r="L3744" t="s">
        <v>27</v>
      </c>
      <c r="M3744">
        <v>2</v>
      </c>
      <c r="N3744" s="2"/>
      <c r="O3744" s="3">
        <v>3421</v>
      </c>
      <c r="P3744">
        <v>0</v>
      </c>
      <c r="Q3744">
        <v>4</v>
      </c>
      <c r="R3744" t="s">
        <v>28</v>
      </c>
      <c r="S3744">
        <v>1</v>
      </c>
    </row>
    <row r="3745" spans="1:19" ht="16.5" x14ac:dyDescent="0.3">
      <c r="A3745" t="s">
        <v>3808</v>
      </c>
      <c r="B3745" s="1">
        <v>45771</v>
      </c>
      <c r="C3745" s="1">
        <v>45773</v>
      </c>
      <c r="D3745">
        <v>2025</v>
      </c>
      <c r="E3745" t="s">
        <v>836</v>
      </c>
      <c r="F3745" t="s">
        <v>837</v>
      </c>
      <c r="G3745" t="s">
        <v>78</v>
      </c>
      <c r="H3745" t="s">
        <v>50</v>
      </c>
      <c r="I3745" t="s">
        <v>24</v>
      </c>
      <c r="J3745" t="s">
        <v>43</v>
      </c>
      <c r="K3745" t="s">
        <v>36</v>
      </c>
      <c r="L3745" t="s">
        <v>27</v>
      </c>
      <c r="M3745">
        <v>2</v>
      </c>
      <c r="N3745" s="2">
        <v>38</v>
      </c>
      <c r="O3745" s="3">
        <v>2757</v>
      </c>
      <c r="P3745">
        <v>0</v>
      </c>
      <c r="Q3745">
        <v>4</v>
      </c>
      <c r="R3745" t="s">
        <v>33</v>
      </c>
      <c r="S3745">
        <v>1</v>
      </c>
    </row>
    <row r="3746" spans="1:19" ht="16.5" x14ac:dyDescent="0.3">
      <c r="A3746" t="s">
        <v>3809</v>
      </c>
      <c r="B3746" s="1">
        <v>45771</v>
      </c>
      <c r="C3746" s="1">
        <v>45774</v>
      </c>
      <c r="D3746">
        <v>2025</v>
      </c>
      <c r="E3746" t="s">
        <v>836</v>
      </c>
      <c r="F3746" t="s">
        <v>837</v>
      </c>
      <c r="G3746" t="s">
        <v>78</v>
      </c>
      <c r="H3746" t="s">
        <v>23</v>
      </c>
      <c r="I3746" t="s">
        <v>40</v>
      </c>
      <c r="J3746" t="s">
        <v>25</v>
      </c>
      <c r="K3746" t="s">
        <v>32</v>
      </c>
      <c r="L3746" t="s">
        <v>44</v>
      </c>
      <c r="M3746">
        <v>3</v>
      </c>
      <c r="N3746" s="2"/>
      <c r="O3746" s="3">
        <v>2797</v>
      </c>
      <c r="P3746">
        <v>0</v>
      </c>
      <c r="Q3746">
        <v>5</v>
      </c>
      <c r="R3746" t="s">
        <v>33</v>
      </c>
      <c r="S3746">
        <v>1</v>
      </c>
    </row>
    <row r="3747" spans="1:19" ht="16.5" x14ac:dyDescent="0.3">
      <c r="A3747" t="s">
        <v>3810</v>
      </c>
      <c r="B3747" s="1">
        <v>45771</v>
      </c>
      <c r="C3747" s="1">
        <v>45778</v>
      </c>
      <c r="D3747">
        <v>2025</v>
      </c>
      <c r="E3747" t="s">
        <v>836</v>
      </c>
      <c r="F3747" t="s">
        <v>837</v>
      </c>
      <c r="G3747" t="s">
        <v>78</v>
      </c>
      <c r="H3747" t="s">
        <v>39</v>
      </c>
      <c r="I3747" t="s">
        <v>24</v>
      </c>
      <c r="J3747" t="s">
        <v>25</v>
      </c>
      <c r="K3747" t="s">
        <v>41</v>
      </c>
      <c r="L3747" t="s">
        <v>27</v>
      </c>
      <c r="M3747">
        <v>7</v>
      </c>
      <c r="N3747" s="2">
        <v>65</v>
      </c>
      <c r="O3747" s="3">
        <v>4457</v>
      </c>
      <c r="P3747">
        <v>0</v>
      </c>
      <c r="Q3747">
        <v>4</v>
      </c>
      <c r="R3747" t="s">
        <v>59</v>
      </c>
      <c r="S3747">
        <v>1</v>
      </c>
    </row>
    <row r="3748" spans="1:19" ht="16.5" x14ac:dyDescent="0.3">
      <c r="A3748" t="s">
        <v>3811</v>
      </c>
      <c r="B3748" s="1">
        <v>45772</v>
      </c>
      <c r="C3748" s="1">
        <v>45774</v>
      </c>
      <c r="D3748">
        <v>2025</v>
      </c>
      <c r="E3748" t="s">
        <v>836</v>
      </c>
      <c r="F3748" t="s">
        <v>837</v>
      </c>
      <c r="G3748" t="s">
        <v>83</v>
      </c>
      <c r="H3748" t="s">
        <v>30</v>
      </c>
      <c r="I3748" t="s">
        <v>40</v>
      </c>
      <c r="J3748" t="s">
        <v>25</v>
      </c>
      <c r="K3748" t="s">
        <v>36</v>
      </c>
      <c r="L3748" t="s">
        <v>27</v>
      </c>
      <c r="M3748">
        <v>2</v>
      </c>
      <c r="N3748" s="2"/>
      <c r="O3748" s="3">
        <v>2679</v>
      </c>
      <c r="P3748">
        <v>1</v>
      </c>
      <c r="Q3748">
        <v>4</v>
      </c>
      <c r="R3748" t="s">
        <v>33</v>
      </c>
      <c r="S3748">
        <v>1</v>
      </c>
    </row>
    <row r="3749" spans="1:19" ht="16.5" x14ac:dyDescent="0.3">
      <c r="A3749" t="s">
        <v>3812</v>
      </c>
      <c r="B3749" s="1">
        <v>45772</v>
      </c>
      <c r="C3749" s="1">
        <v>45774</v>
      </c>
      <c r="D3749">
        <v>2025</v>
      </c>
      <c r="E3749" t="s">
        <v>836</v>
      </c>
      <c r="F3749" t="s">
        <v>837</v>
      </c>
      <c r="G3749" t="s">
        <v>83</v>
      </c>
      <c r="H3749" t="s">
        <v>35</v>
      </c>
      <c r="I3749" t="s">
        <v>40</v>
      </c>
      <c r="J3749" t="s">
        <v>25</v>
      </c>
      <c r="K3749" t="s">
        <v>36</v>
      </c>
      <c r="L3749" t="s">
        <v>44</v>
      </c>
      <c r="M3749">
        <v>2</v>
      </c>
      <c r="N3749" s="2"/>
      <c r="O3749" s="3">
        <v>2095</v>
      </c>
      <c r="P3749">
        <v>0</v>
      </c>
      <c r="Q3749">
        <v>4</v>
      </c>
      <c r="R3749" t="s">
        <v>33</v>
      </c>
      <c r="S3749">
        <v>1</v>
      </c>
    </row>
    <row r="3750" spans="1:19" ht="16.5" x14ac:dyDescent="0.3">
      <c r="A3750" t="s">
        <v>3813</v>
      </c>
      <c r="B3750" s="1">
        <v>45772</v>
      </c>
      <c r="C3750" s="1">
        <v>45776</v>
      </c>
      <c r="D3750">
        <v>2025</v>
      </c>
      <c r="E3750" t="s">
        <v>836</v>
      </c>
      <c r="F3750" t="s">
        <v>837</v>
      </c>
      <c r="G3750" t="s">
        <v>83</v>
      </c>
      <c r="H3750" t="s">
        <v>39</v>
      </c>
      <c r="I3750" t="s">
        <v>24</v>
      </c>
      <c r="J3750" t="s">
        <v>25</v>
      </c>
      <c r="K3750" t="s">
        <v>41</v>
      </c>
      <c r="L3750" t="s">
        <v>27</v>
      </c>
      <c r="M3750">
        <v>4</v>
      </c>
      <c r="N3750" s="2">
        <v>70</v>
      </c>
      <c r="O3750" s="3">
        <v>3455</v>
      </c>
      <c r="P3750">
        <v>0</v>
      </c>
      <c r="Q3750">
        <v>4</v>
      </c>
      <c r="R3750" t="s">
        <v>33</v>
      </c>
      <c r="S3750">
        <v>1</v>
      </c>
    </row>
    <row r="3751" spans="1:19" ht="16.5" x14ac:dyDescent="0.3">
      <c r="A3751" t="s">
        <v>3814</v>
      </c>
      <c r="B3751" s="1">
        <v>45772</v>
      </c>
      <c r="C3751" s="1">
        <v>45775</v>
      </c>
      <c r="D3751">
        <v>2025</v>
      </c>
      <c r="E3751" t="s">
        <v>836</v>
      </c>
      <c r="F3751" t="s">
        <v>837</v>
      </c>
      <c r="G3751" t="s">
        <v>83</v>
      </c>
      <c r="H3751" t="s">
        <v>23</v>
      </c>
      <c r="I3751" t="s">
        <v>40</v>
      </c>
      <c r="J3751" t="s">
        <v>25</v>
      </c>
      <c r="K3751" t="s">
        <v>36</v>
      </c>
      <c r="L3751" t="s">
        <v>37</v>
      </c>
      <c r="M3751">
        <v>3</v>
      </c>
      <c r="N3751" s="2"/>
      <c r="O3751" s="3">
        <v>3106</v>
      </c>
      <c r="P3751">
        <v>0</v>
      </c>
      <c r="Q3751">
        <v>5</v>
      </c>
      <c r="R3751" t="s">
        <v>33</v>
      </c>
      <c r="S3751">
        <v>1</v>
      </c>
    </row>
    <row r="3752" spans="1:19" ht="16.5" x14ac:dyDescent="0.3">
      <c r="A3752" t="s">
        <v>3815</v>
      </c>
      <c r="B3752" s="1">
        <v>45772</v>
      </c>
      <c r="C3752" s="1">
        <v>45774</v>
      </c>
      <c r="D3752">
        <v>2025</v>
      </c>
      <c r="E3752" t="s">
        <v>836</v>
      </c>
      <c r="F3752" t="s">
        <v>837</v>
      </c>
      <c r="G3752" t="s">
        <v>83</v>
      </c>
      <c r="H3752" t="s">
        <v>35</v>
      </c>
      <c r="I3752" t="s">
        <v>24</v>
      </c>
      <c r="J3752" t="s">
        <v>25</v>
      </c>
      <c r="K3752" t="s">
        <v>32</v>
      </c>
      <c r="L3752" t="s">
        <v>44</v>
      </c>
      <c r="M3752">
        <v>2</v>
      </c>
      <c r="N3752" s="2">
        <v>61</v>
      </c>
      <c r="O3752" s="3">
        <v>2064</v>
      </c>
      <c r="P3752">
        <v>0</v>
      </c>
      <c r="Q3752">
        <v>5</v>
      </c>
      <c r="R3752" t="s">
        <v>33</v>
      </c>
      <c r="S3752">
        <v>1</v>
      </c>
    </row>
    <row r="3753" spans="1:19" ht="16.5" x14ac:dyDescent="0.3">
      <c r="A3753" t="s">
        <v>3816</v>
      </c>
      <c r="B3753" s="1">
        <v>45772</v>
      </c>
      <c r="C3753" s="1">
        <v>45785</v>
      </c>
      <c r="D3753">
        <v>2025</v>
      </c>
      <c r="E3753" t="s">
        <v>836</v>
      </c>
      <c r="F3753" t="s">
        <v>837</v>
      </c>
      <c r="G3753" t="s">
        <v>83</v>
      </c>
      <c r="H3753" t="s">
        <v>50</v>
      </c>
      <c r="I3753" t="s">
        <v>24</v>
      </c>
      <c r="J3753" t="s">
        <v>43</v>
      </c>
      <c r="K3753" t="s">
        <v>53</v>
      </c>
      <c r="L3753" t="s">
        <v>44</v>
      </c>
      <c r="M3753">
        <v>13</v>
      </c>
      <c r="N3753" s="2">
        <v>41</v>
      </c>
      <c r="O3753" s="3">
        <v>17819</v>
      </c>
      <c r="P3753">
        <v>0</v>
      </c>
      <c r="Q3753">
        <v>5</v>
      </c>
      <c r="R3753" t="s">
        <v>28</v>
      </c>
      <c r="S3753">
        <v>1</v>
      </c>
    </row>
    <row r="3754" spans="1:19" ht="16.5" x14ac:dyDescent="0.3">
      <c r="A3754" t="s">
        <v>3817</v>
      </c>
      <c r="B3754" s="1">
        <v>45772</v>
      </c>
      <c r="C3754" s="1">
        <v>45773</v>
      </c>
      <c r="D3754">
        <v>2025</v>
      </c>
      <c r="E3754" t="s">
        <v>836</v>
      </c>
      <c r="F3754" t="s">
        <v>837</v>
      </c>
      <c r="G3754" t="s">
        <v>83</v>
      </c>
      <c r="H3754" t="s">
        <v>23</v>
      </c>
      <c r="I3754" t="s">
        <v>24</v>
      </c>
      <c r="J3754" t="s">
        <v>25</v>
      </c>
      <c r="K3754" t="s">
        <v>26</v>
      </c>
      <c r="L3754" t="s">
        <v>44</v>
      </c>
      <c r="M3754">
        <v>1</v>
      </c>
      <c r="N3754" s="2">
        <v>41</v>
      </c>
      <c r="O3754" s="3">
        <v>1599</v>
      </c>
      <c r="P3754">
        <v>0</v>
      </c>
      <c r="Q3754">
        <v>4</v>
      </c>
      <c r="R3754" t="s">
        <v>33</v>
      </c>
      <c r="S3754">
        <v>1</v>
      </c>
    </row>
    <row r="3755" spans="1:19" ht="16.5" x14ac:dyDescent="0.3">
      <c r="A3755" t="s">
        <v>3818</v>
      </c>
      <c r="B3755" s="1">
        <v>45772</v>
      </c>
      <c r="C3755" s="1">
        <v>45773</v>
      </c>
      <c r="D3755">
        <v>2025</v>
      </c>
      <c r="E3755" t="s">
        <v>836</v>
      </c>
      <c r="F3755" t="s">
        <v>837</v>
      </c>
      <c r="G3755" t="s">
        <v>83</v>
      </c>
      <c r="H3755" t="s">
        <v>50</v>
      </c>
      <c r="I3755" t="s">
        <v>31</v>
      </c>
      <c r="J3755" t="s">
        <v>25</v>
      </c>
      <c r="K3755" t="s">
        <v>26</v>
      </c>
      <c r="L3755" t="s">
        <v>27</v>
      </c>
      <c r="M3755">
        <v>1</v>
      </c>
      <c r="N3755" s="2"/>
      <c r="O3755" s="3">
        <v>1822</v>
      </c>
      <c r="P3755">
        <v>1</v>
      </c>
      <c r="Q3755">
        <v>4</v>
      </c>
      <c r="R3755" t="s">
        <v>33</v>
      </c>
      <c r="S3755">
        <v>1</v>
      </c>
    </row>
    <row r="3756" spans="1:19" ht="16.5" x14ac:dyDescent="0.3">
      <c r="A3756" t="s">
        <v>3819</v>
      </c>
      <c r="B3756" s="1">
        <v>45772</v>
      </c>
      <c r="C3756" s="1">
        <v>45776</v>
      </c>
      <c r="D3756">
        <v>2025</v>
      </c>
      <c r="E3756" t="s">
        <v>836</v>
      </c>
      <c r="F3756" t="s">
        <v>837</v>
      </c>
      <c r="G3756" t="s">
        <v>83</v>
      </c>
      <c r="H3756" t="s">
        <v>39</v>
      </c>
      <c r="I3756" t="s">
        <v>24</v>
      </c>
      <c r="J3756" t="s">
        <v>25</v>
      </c>
      <c r="K3756" t="s">
        <v>41</v>
      </c>
      <c r="L3756" t="s">
        <v>44</v>
      </c>
      <c r="M3756">
        <v>4</v>
      </c>
      <c r="N3756" s="2">
        <v>61</v>
      </c>
      <c r="O3756" s="3">
        <v>3327</v>
      </c>
      <c r="P3756">
        <v>0</v>
      </c>
      <c r="Q3756">
        <v>4</v>
      </c>
      <c r="R3756" t="s">
        <v>33</v>
      </c>
      <c r="S3756">
        <v>1</v>
      </c>
    </row>
    <row r="3757" spans="1:19" ht="16.5" x14ac:dyDescent="0.3">
      <c r="A3757" t="s">
        <v>3820</v>
      </c>
      <c r="B3757" s="1">
        <v>45772</v>
      </c>
      <c r="C3757" s="1">
        <v>45773</v>
      </c>
      <c r="D3757">
        <v>2025</v>
      </c>
      <c r="E3757" t="s">
        <v>836</v>
      </c>
      <c r="F3757" t="s">
        <v>837</v>
      </c>
      <c r="G3757" t="s">
        <v>83</v>
      </c>
      <c r="H3757" t="s">
        <v>35</v>
      </c>
      <c r="I3757" t="s">
        <v>40</v>
      </c>
      <c r="J3757" t="s">
        <v>25</v>
      </c>
      <c r="K3757" t="s">
        <v>36</v>
      </c>
      <c r="L3757" t="s">
        <v>44</v>
      </c>
      <c r="M3757">
        <v>1</v>
      </c>
      <c r="N3757" s="2"/>
      <c r="O3757" s="3">
        <v>1568</v>
      </c>
      <c r="P3757">
        <v>0</v>
      </c>
      <c r="Q3757">
        <v>4</v>
      </c>
      <c r="R3757" t="s">
        <v>33</v>
      </c>
      <c r="S3757">
        <v>1</v>
      </c>
    </row>
    <row r="3758" spans="1:19" ht="16.5" x14ac:dyDescent="0.3">
      <c r="A3758" t="s">
        <v>3821</v>
      </c>
      <c r="B3758" s="1">
        <v>45772</v>
      </c>
      <c r="C3758" s="1">
        <v>45779</v>
      </c>
      <c r="D3758">
        <v>2025</v>
      </c>
      <c r="E3758" t="s">
        <v>836</v>
      </c>
      <c r="F3758" t="s">
        <v>837</v>
      </c>
      <c r="G3758" t="s">
        <v>83</v>
      </c>
      <c r="H3758" t="s">
        <v>39</v>
      </c>
      <c r="I3758" t="s">
        <v>24</v>
      </c>
      <c r="J3758" t="s">
        <v>43</v>
      </c>
      <c r="K3758" t="s">
        <v>41</v>
      </c>
      <c r="L3758" t="s">
        <v>27</v>
      </c>
      <c r="M3758">
        <v>7</v>
      </c>
      <c r="N3758" s="2">
        <v>58</v>
      </c>
      <c r="O3758" s="3">
        <v>5070</v>
      </c>
      <c r="P3758">
        <v>0</v>
      </c>
      <c r="Q3758">
        <v>4</v>
      </c>
      <c r="R3758" t="s">
        <v>28</v>
      </c>
      <c r="S3758">
        <v>1</v>
      </c>
    </row>
    <row r="3759" spans="1:19" ht="16.5" x14ac:dyDescent="0.3">
      <c r="A3759" t="s">
        <v>3822</v>
      </c>
      <c r="B3759" s="1">
        <v>45773</v>
      </c>
      <c r="C3759" s="1">
        <v>45775</v>
      </c>
      <c r="D3759">
        <v>2025</v>
      </c>
      <c r="E3759" t="s">
        <v>836</v>
      </c>
      <c r="F3759" t="s">
        <v>837</v>
      </c>
      <c r="G3759" t="s">
        <v>102</v>
      </c>
      <c r="H3759" t="s">
        <v>35</v>
      </c>
      <c r="I3759" t="s">
        <v>24</v>
      </c>
      <c r="J3759" t="s">
        <v>25</v>
      </c>
      <c r="K3759" t="s">
        <v>36</v>
      </c>
      <c r="L3759" t="s">
        <v>37</v>
      </c>
      <c r="M3759">
        <v>2</v>
      </c>
      <c r="N3759" s="2">
        <v>49</v>
      </c>
      <c r="O3759" s="3">
        <v>1940</v>
      </c>
      <c r="P3759">
        <v>0</v>
      </c>
      <c r="Q3759">
        <v>4</v>
      </c>
      <c r="R3759" t="s">
        <v>33</v>
      </c>
      <c r="S3759">
        <v>1</v>
      </c>
    </row>
    <row r="3760" spans="1:19" ht="16.5" x14ac:dyDescent="0.3">
      <c r="A3760" t="s">
        <v>3823</v>
      </c>
      <c r="B3760" s="1">
        <v>45773</v>
      </c>
      <c r="C3760" s="1">
        <v>45774</v>
      </c>
      <c r="D3760">
        <v>2025</v>
      </c>
      <c r="E3760" t="s">
        <v>836</v>
      </c>
      <c r="F3760" t="s">
        <v>837</v>
      </c>
      <c r="G3760" t="s">
        <v>102</v>
      </c>
      <c r="H3760" t="s">
        <v>35</v>
      </c>
      <c r="I3760" t="s">
        <v>40</v>
      </c>
      <c r="J3760" t="s">
        <v>25</v>
      </c>
      <c r="K3760" t="s">
        <v>36</v>
      </c>
      <c r="L3760" t="s">
        <v>44</v>
      </c>
      <c r="M3760">
        <v>1</v>
      </c>
      <c r="N3760" s="2"/>
      <c r="O3760" s="3">
        <v>1720</v>
      </c>
      <c r="P3760">
        <v>0</v>
      </c>
      <c r="Q3760">
        <v>4</v>
      </c>
      <c r="R3760" t="s">
        <v>59</v>
      </c>
      <c r="S3760">
        <v>1</v>
      </c>
    </row>
    <row r="3761" spans="1:19" ht="16.5" x14ac:dyDescent="0.3">
      <c r="A3761" t="s">
        <v>3824</v>
      </c>
      <c r="B3761" s="1">
        <v>45773</v>
      </c>
      <c r="C3761" s="1">
        <v>45777</v>
      </c>
      <c r="D3761">
        <v>2025</v>
      </c>
      <c r="E3761" t="s">
        <v>836</v>
      </c>
      <c r="F3761" t="s">
        <v>837</v>
      </c>
      <c r="G3761" t="s">
        <v>102</v>
      </c>
      <c r="H3761" t="s">
        <v>39</v>
      </c>
      <c r="I3761" t="s">
        <v>24</v>
      </c>
      <c r="J3761" t="s">
        <v>25</v>
      </c>
      <c r="K3761" t="s">
        <v>41</v>
      </c>
      <c r="L3761" t="s">
        <v>44</v>
      </c>
      <c r="M3761">
        <v>4</v>
      </c>
      <c r="N3761" s="2">
        <v>71</v>
      </c>
      <c r="O3761" s="3">
        <v>3750</v>
      </c>
      <c r="P3761">
        <v>0</v>
      </c>
      <c r="Q3761">
        <v>4</v>
      </c>
      <c r="R3761" t="s">
        <v>28</v>
      </c>
      <c r="S3761">
        <v>1</v>
      </c>
    </row>
    <row r="3762" spans="1:19" ht="16.5" x14ac:dyDescent="0.3">
      <c r="A3762" t="s">
        <v>3825</v>
      </c>
      <c r="B3762" s="1">
        <v>45773</v>
      </c>
      <c r="C3762" s="1">
        <v>45775</v>
      </c>
      <c r="D3762">
        <v>2025</v>
      </c>
      <c r="E3762" t="s">
        <v>836</v>
      </c>
      <c r="F3762" t="s">
        <v>837</v>
      </c>
      <c r="G3762" t="s">
        <v>102</v>
      </c>
      <c r="H3762" t="s">
        <v>30</v>
      </c>
      <c r="I3762" t="s">
        <v>40</v>
      </c>
      <c r="J3762" t="s">
        <v>43</v>
      </c>
      <c r="K3762" t="s">
        <v>32</v>
      </c>
      <c r="L3762" t="s">
        <v>44</v>
      </c>
      <c r="M3762">
        <v>2</v>
      </c>
      <c r="N3762" s="2"/>
      <c r="O3762" s="3">
        <v>2761</v>
      </c>
      <c r="P3762">
        <v>0</v>
      </c>
      <c r="Q3762">
        <v>3</v>
      </c>
      <c r="R3762" t="s">
        <v>33</v>
      </c>
      <c r="S3762">
        <v>1</v>
      </c>
    </row>
    <row r="3763" spans="1:19" ht="16.5" x14ac:dyDescent="0.3">
      <c r="A3763" t="s">
        <v>3826</v>
      </c>
      <c r="B3763" s="1">
        <v>45773</v>
      </c>
      <c r="C3763" s="1">
        <v>45775</v>
      </c>
      <c r="D3763">
        <v>2025</v>
      </c>
      <c r="E3763" t="s">
        <v>836</v>
      </c>
      <c r="F3763" t="s">
        <v>837</v>
      </c>
      <c r="G3763" t="s">
        <v>102</v>
      </c>
      <c r="H3763" t="s">
        <v>39</v>
      </c>
      <c r="I3763" t="s">
        <v>24</v>
      </c>
      <c r="J3763" t="s">
        <v>25</v>
      </c>
      <c r="K3763" t="s">
        <v>41</v>
      </c>
      <c r="L3763" t="s">
        <v>27</v>
      </c>
      <c r="M3763">
        <v>2</v>
      </c>
      <c r="N3763" s="2">
        <v>25</v>
      </c>
      <c r="O3763" s="3">
        <v>2186</v>
      </c>
      <c r="P3763">
        <v>0</v>
      </c>
      <c r="Q3763">
        <v>4</v>
      </c>
      <c r="R3763" t="s">
        <v>59</v>
      </c>
      <c r="S3763">
        <v>1</v>
      </c>
    </row>
    <row r="3764" spans="1:19" ht="16.5" x14ac:dyDescent="0.3">
      <c r="A3764" t="s">
        <v>3827</v>
      </c>
      <c r="B3764" s="1">
        <v>45773</v>
      </c>
      <c r="C3764" s="1">
        <v>45775</v>
      </c>
      <c r="D3764">
        <v>2025</v>
      </c>
      <c r="E3764" t="s">
        <v>836</v>
      </c>
      <c r="F3764" t="s">
        <v>837</v>
      </c>
      <c r="G3764" t="s">
        <v>102</v>
      </c>
      <c r="H3764" t="s">
        <v>35</v>
      </c>
      <c r="I3764" t="s">
        <v>24</v>
      </c>
      <c r="J3764" t="s">
        <v>25</v>
      </c>
      <c r="K3764" t="s">
        <v>32</v>
      </c>
      <c r="L3764" t="s">
        <v>27</v>
      </c>
      <c r="M3764">
        <v>2</v>
      </c>
      <c r="N3764" s="2">
        <v>42</v>
      </c>
      <c r="O3764" s="3">
        <v>2026</v>
      </c>
      <c r="P3764">
        <v>0</v>
      </c>
      <c r="Q3764">
        <v>5</v>
      </c>
      <c r="R3764" t="s">
        <v>33</v>
      </c>
      <c r="S3764">
        <v>1</v>
      </c>
    </row>
    <row r="3765" spans="1:19" ht="16.5" x14ac:dyDescent="0.3">
      <c r="A3765" t="s">
        <v>3828</v>
      </c>
      <c r="B3765" s="1">
        <v>45773</v>
      </c>
      <c r="C3765" s="1">
        <v>45776</v>
      </c>
      <c r="D3765">
        <v>2025</v>
      </c>
      <c r="E3765" t="s">
        <v>836</v>
      </c>
      <c r="F3765" t="s">
        <v>837</v>
      </c>
      <c r="G3765" t="s">
        <v>102</v>
      </c>
      <c r="H3765" t="s">
        <v>50</v>
      </c>
      <c r="I3765" t="s">
        <v>24</v>
      </c>
      <c r="J3765" t="s">
        <v>43</v>
      </c>
      <c r="K3765" t="s">
        <v>36</v>
      </c>
      <c r="L3765" t="s">
        <v>37</v>
      </c>
      <c r="M3765">
        <v>3</v>
      </c>
      <c r="N3765" s="2">
        <v>18</v>
      </c>
      <c r="O3765" s="3">
        <v>4595</v>
      </c>
      <c r="P3765">
        <v>0</v>
      </c>
      <c r="Q3765">
        <v>4</v>
      </c>
      <c r="R3765" t="s">
        <v>33</v>
      </c>
      <c r="S3765">
        <v>1</v>
      </c>
    </row>
    <row r="3766" spans="1:19" ht="16.5" x14ac:dyDescent="0.3">
      <c r="A3766" t="s">
        <v>3829</v>
      </c>
      <c r="B3766" s="1">
        <v>45773</v>
      </c>
      <c r="C3766" s="1">
        <v>45777</v>
      </c>
      <c r="D3766">
        <v>2025</v>
      </c>
      <c r="E3766" t="s">
        <v>836</v>
      </c>
      <c r="F3766" t="s">
        <v>837</v>
      </c>
      <c r="G3766" t="s">
        <v>102</v>
      </c>
      <c r="H3766" t="s">
        <v>35</v>
      </c>
      <c r="I3766" t="s">
        <v>24</v>
      </c>
      <c r="J3766" t="s">
        <v>25</v>
      </c>
      <c r="K3766" t="s">
        <v>36</v>
      </c>
      <c r="L3766" t="s">
        <v>44</v>
      </c>
      <c r="M3766">
        <v>4</v>
      </c>
      <c r="N3766" s="2">
        <v>41</v>
      </c>
      <c r="O3766" s="3">
        <v>3173</v>
      </c>
      <c r="P3766">
        <v>0</v>
      </c>
      <c r="Q3766">
        <v>4</v>
      </c>
      <c r="R3766" t="s">
        <v>28</v>
      </c>
      <c r="S3766">
        <v>1</v>
      </c>
    </row>
    <row r="3767" spans="1:19" ht="16.5" x14ac:dyDescent="0.3">
      <c r="A3767" t="s">
        <v>3830</v>
      </c>
      <c r="B3767" s="1">
        <v>45774</v>
      </c>
      <c r="C3767" s="1">
        <v>45775</v>
      </c>
      <c r="D3767">
        <v>2025</v>
      </c>
      <c r="E3767" t="s">
        <v>836</v>
      </c>
      <c r="F3767" t="s">
        <v>837</v>
      </c>
      <c r="G3767" t="s">
        <v>112</v>
      </c>
      <c r="H3767" t="s">
        <v>50</v>
      </c>
      <c r="I3767" t="s">
        <v>24</v>
      </c>
      <c r="J3767" t="s">
        <v>43</v>
      </c>
      <c r="K3767" t="s">
        <v>53</v>
      </c>
      <c r="L3767" t="s">
        <v>37</v>
      </c>
      <c r="M3767">
        <v>1</v>
      </c>
      <c r="N3767" s="2">
        <v>27</v>
      </c>
      <c r="O3767" s="3">
        <v>2283</v>
      </c>
      <c r="P3767">
        <v>0</v>
      </c>
      <c r="Q3767">
        <v>5</v>
      </c>
      <c r="R3767" t="s">
        <v>33</v>
      </c>
      <c r="S3767">
        <v>1</v>
      </c>
    </row>
    <row r="3768" spans="1:19" ht="16.5" x14ac:dyDescent="0.3">
      <c r="A3768" t="s">
        <v>3831</v>
      </c>
      <c r="B3768" s="1">
        <v>45774</v>
      </c>
      <c r="C3768" s="1">
        <v>45777</v>
      </c>
      <c r="D3768">
        <v>2025</v>
      </c>
      <c r="E3768" t="s">
        <v>836</v>
      </c>
      <c r="F3768" t="s">
        <v>837</v>
      </c>
      <c r="G3768" t="s">
        <v>112</v>
      </c>
      <c r="H3768" t="s">
        <v>52</v>
      </c>
      <c r="I3768" t="s">
        <v>24</v>
      </c>
      <c r="J3768" t="s">
        <v>43</v>
      </c>
      <c r="K3768" t="s">
        <v>32</v>
      </c>
      <c r="L3768" t="s">
        <v>27</v>
      </c>
      <c r="M3768">
        <v>3</v>
      </c>
      <c r="N3768" s="2">
        <v>57</v>
      </c>
      <c r="O3768" s="3">
        <v>4498</v>
      </c>
      <c r="P3768">
        <v>0</v>
      </c>
      <c r="Q3768">
        <v>4</v>
      </c>
      <c r="R3768" t="s">
        <v>28</v>
      </c>
      <c r="S3768">
        <v>1</v>
      </c>
    </row>
    <row r="3769" spans="1:19" ht="16.5" x14ac:dyDescent="0.3">
      <c r="A3769" t="s">
        <v>3832</v>
      </c>
      <c r="B3769" s="1">
        <v>45774</v>
      </c>
      <c r="C3769" s="1">
        <v>45778</v>
      </c>
      <c r="D3769">
        <v>2025</v>
      </c>
      <c r="E3769" t="s">
        <v>836</v>
      </c>
      <c r="F3769" t="s">
        <v>837</v>
      </c>
      <c r="G3769" t="s">
        <v>112</v>
      </c>
      <c r="H3769" t="s">
        <v>23</v>
      </c>
      <c r="I3769" t="s">
        <v>24</v>
      </c>
      <c r="J3769" t="s">
        <v>25</v>
      </c>
      <c r="K3769" t="s">
        <v>36</v>
      </c>
      <c r="L3769" t="s">
        <v>27</v>
      </c>
      <c r="M3769">
        <v>4</v>
      </c>
      <c r="N3769" s="2">
        <v>100</v>
      </c>
      <c r="O3769" s="3">
        <v>4491</v>
      </c>
      <c r="P3769">
        <v>0</v>
      </c>
      <c r="Q3769">
        <v>4</v>
      </c>
      <c r="R3769" t="s">
        <v>33</v>
      </c>
      <c r="S3769">
        <v>1</v>
      </c>
    </row>
    <row r="3770" spans="1:19" ht="16.5" x14ac:dyDescent="0.3">
      <c r="A3770" t="s">
        <v>3833</v>
      </c>
      <c r="B3770" s="1">
        <v>45774</v>
      </c>
      <c r="C3770" s="1">
        <v>45779</v>
      </c>
      <c r="D3770">
        <v>2025</v>
      </c>
      <c r="E3770" t="s">
        <v>836</v>
      </c>
      <c r="F3770" t="s">
        <v>837</v>
      </c>
      <c r="G3770" t="s">
        <v>112</v>
      </c>
      <c r="H3770" t="s">
        <v>23</v>
      </c>
      <c r="I3770" t="s">
        <v>24</v>
      </c>
      <c r="J3770" t="s">
        <v>43</v>
      </c>
      <c r="K3770" t="s">
        <v>32</v>
      </c>
      <c r="L3770" t="s">
        <v>37</v>
      </c>
      <c r="M3770">
        <v>5</v>
      </c>
      <c r="N3770" s="2">
        <v>50</v>
      </c>
      <c r="O3770" s="3">
        <v>3846</v>
      </c>
      <c r="P3770">
        <v>0</v>
      </c>
      <c r="Q3770">
        <v>4</v>
      </c>
      <c r="R3770" t="s">
        <v>33</v>
      </c>
      <c r="S3770">
        <v>1</v>
      </c>
    </row>
    <row r="3771" spans="1:19" ht="16.5" x14ac:dyDescent="0.3">
      <c r="A3771" t="s">
        <v>3834</v>
      </c>
      <c r="B3771" s="1">
        <v>45774</v>
      </c>
      <c r="C3771" s="1">
        <v>45775</v>
      </c>
      <c r="D3771">
        <v>2025</v>
      </c>
      <c r="E3771" t="s">
        <v>836</v>
      </c>
      <c r="F3771" t="s">
        <v>837</v>
      </c>
      <c r="G3771" t="s">
        <v>112</v>
      </c>
      <c r="H3771" t="s">
        <v>23</v>
      </c>
      <c r="I3771" t="s">
        <v>31</v>
      </c>
      <c r="J3771" t="s">
        <v>25</v>
      </c>
      <c r="K3771" t="s">
        <v>53</v>
      </c>
      <c r="L3771" t="s">
        <v>44</v>
      </c>
      <c r="M3771">
        <v>1</v>
      </c>
      <c r="N3771" s="2"/>
      <c r="O3771" s="3">
        <v>1307</v>
      </c>
      <c r="P3771">
        <v>0</v>
      </c>
      <c r="Q3771">
        <v>3</v>
      </c>
      <c r="R3771" t="s">
        <v>28</v>
      </c>
      <c r="S3771">
        <v>1</v>
      </c>
    </row>
    <row r="3772" spans="1:19" ht="16.5" x14ac:dyDescent="0.3">
      <c r="A3772" t="s">
        <v>3835</v>
      </c>
      <c r="B3772" s="1">
        <v>45774</v>
      </c>
      <c r="C3772" s="1">
        <v>45787</v>
      </c>
      <c r="D3772">
        <v>2025</v>
      </c>
      <c r="E3772" t="s">
        <v>836</v>
      </c>
      <c r="F3772" t="s">
        <v>837</v>
      </c>
      <c r="G3772" t="s">
        <v>112</v>
      </c>
      <c r="H3772" t="s">
        <v>50</v>
      </c>
      <c r="I3772" t="s">
        <v>24</v>
      </c>
      <c r="J3772" t="s">
        <v>25</v>
      </c>
      <c r="K3772" t="s">
        <v>53</v>
      </c>
      <c r="L3772" t="s">
        <v>27</v>
      </c>
      <c r="M3772">
        <v>13</v>
      </c>
      <c r="N3772" s="2">
        <v>38</v>
      </c>
      <c r="O3772" s="3">
        <v>9808</v>
      </c>
      <c r="P3772">
        <v>0</v>
      </c>
      <c r="Q3772">
        <v>5</v>
      </c>
      <c r="R3772" t="s">
        <v>33</v>
      </c>
      <c r="S3772">
        <v>1</v>
      </c>
    </row>
    <row r="3773" spans="1:19" ht="16.5" x14ac:dyDescent="0.3">
      <c r="A3773" t="s">
        <v>3836</v>
      </c>
      <c r="B3773" s="1">
        <v>45774</v>
      </c>
      <c r="C3773" s="1">
        <v>45781</v>
      </c>
      <c r="D3773">
        <v>2025</v>
      </c>
      <c r="E3773" t="s">
        <v>836</v>
      </c>
      <c r="F3773" t="s">
        <v>837</v>
      </c>
      <c r="G3773" t="s">
        <v>112</v>
      </c>
      <c r="H3773" t="s">
        <v>50</v>
      </c>
      <c r="I3773" t="s">
        <v>24</v>
      </c>
      <c r="J3773" t="s">
        <v>43</v>
      </c>
      <c r="K3773" t="s">
        <v>32</v>
      </c>
      <c r="L3773" t="s">
        <v>44</v>
      </c>
      <c r="M3773">
        <v>7</v>
      </c>
      <c r="N3773" s="2">
        <v>25</v>
      </c>
      <c r="O3773" s="3">
        <v>8473</v>
      </c>
      <c r="P3773">
        <v>0</v>
      </c>
      <c r="Q3773">
        <v>3</v>
      </c>
      <c r="R3773" t="s">
        <v>59</v>
      </c>
      <c r="S3773">
        <v>1</v>
      </c>
    </row>
    <row r="3774" spans="1:19" ht="16.5" x14ac:dyDescent="0.3">
      <c r="A3774" t="s">
        <v>3837</v>
      </c>
      <c r="B3774" s="1">
        <v>45774</v>
      </c>
      <c r="C3774" s="1">
        <v>45776</v>
      </c>
      <c r="D3774">
        <v>2025</v>
      </c>
      <c r="E3774" t="s">
        <v>836</v>
      </c>
      <c r="F3774" t="s">
        <v>837</v>
      </c>
      <c r="G3774" t="s">
        <v>112</v>
      </c>
      <c r="H3774" t="s">
        <v>35</v>
      </c>
      <c r="I3774" t="s">
        <v>24</v>
      </c>
      <c r="J3774" t="s">
        <v>25</v>
      </c>
      <c r="K3774" t="s">
        <v>36</v>
      </c>
      <c r="L3774" t="s">
        <v>27</v>
      </c>
      <c r="M3774">
        <v>2</v>
      </c>
      <c r="N3774" s="2">
        <v>64</v>
      </c>
      <c r="O3774" s="3">
        <v>1862</v>
      </c>
      <c r="P3774">
        <v>0</v>
      </c>
      <c r="Q3774">
        <v>4</v>
      </c>
      <c r="R3774" t="s">
        <v>33</v>
      </c>
      <c r="S3774">
        <v>1</v>
      </c>
    </row>
    <row r="3775" spans="1:19" ht="16.5" x14ac:dyDescent="0.3">
      <c r="A3775" t="s">
        <v>3838</v>
      </c>
      <c r="B3775" s="1">
        <v>45774</v>
      </c>
      <c r="C3775" s="1">
        <v>45778</v>
      </c>
      <c r="D3775">
        <v>2025</v>
      </c>
      <c r="E3775" t="s">
        <v>836</v>
      </c>
      <c r="F3775" t="s">
        <v>837</v>
      </c>
      <c r="G3775" t="s">
        <v>112</v>
      </c>
      <c r="H3775" t="s">
        <v>30</v>
      </c>
      <c r="I3775" t="s">
        <v>31</v>
      </c>
      <c r="J3775" t="s">
        <v>25</v>
      </c>
      <c r="K3775" t="s">
        <v>53</v>
      </c>
      <c r="L3775" t="s">
        <v>44</v>
      </c>
      <c r="M3775">
        <v>4</v>
      </c>
      <c r="N3775" s="2"/>
      <c r="O3775" s="3">
        <v>3041</v>
      </c>
      <c r="P3775">
        <v>0</v>
      </c>
      <c r="Q3775">
        <v>4</v>
      </c>
      <c r="R3775" t="s">
        <v>28</v>
      </c>
      <c r="S3775">
        <v>1</v>
      </c>
    </row>
    <row r="3776" spans="1:19" ht="16.5" x14ac:dyDescent="0.3">
      <c r="A3776" t="s">
        <v>3839</v>
      </c>
      <c r="B3776" s="1">
        <v>45774</v>
      </c>
      <c r="C3776" s="1">
        <v>45779</v>
      </c>
      <c r="D3776">
        <v>2025</v>
      </c>
      <c r="E3776" t="s">
        <v>836</v>
      </c>
      <c r="F3776" t="s">
        <v>837</v>
      </c>
      <c r="G3776" t="s">
        <v>112</v>
      </c>
      <c r="H3776" t="s">
        <v>23</v>
      </c>
      <c r="I3776" t="s">
        <v>40</v>
      </c>
      <c r="J3776" t="s">
        <v>43</v>
      </c>
      <c r="K3776" t="s">
        <v>32</v>
      </c>
      <c r="L3776" t="s">
        <v>44</v>
      </c>
      <c r="M3776">
        <v>5</v>
      </c>
      <c r="N3776" s="2"/>
      <c r="O3776" s="3">
        <v>3869</v>
      </c>
      <c r="P3776">
        <v>0</v>
      </c>
      <c r="Q3776">
        <v>5</v>
      </c>
      <c r="R3776" t="s">
        <v>28</v>
      </c>
      <c r="S3776">
        <v>1</v>
      </c>
    </row>
    <row r="3777" spans="1:19" ht="16.5" x14ac:dyDescent="0.3">
      <c r="A3777" t="s">
        <v>3840</v>
      </c>
      <c r="B3777" s="1">
        <v>45775</v>
      </c>
      <c r="C3777" s="1">
        <v>45788</v>
      </c>
      <c r="D3777">
        <v>2025</v>
      </c>
      <c r="E3777" t="s">
        <v>836</v>
      </c>
      <c r="F3777" t="s">
        <v>837</v>
      </c>
      <c r="G3777" t="s">
        <v>22</v>
      </c>
      <c r="H3777" t="s">
        <v>30</v>
      </c>
      <c r="I3777" t="s">
        <v>24</v>
      </c>
      <c r="J3777" t="s">
        <v>43</v>
      </c>
      <c r="K3777" t="s">
        <v>26</v>
      </c>
      <c r="L3777" t="s">
        <v>27</v>
      </c>
      <c r="M3777">
        <v>13</v>
      </c>
      <c r="N3777" s="2">
        <v>18</v>
      </c>
      <c r="O3777" s="3">
        <v>15073</v>
      </c>
      <c r="P3777">
        <v>0</v>
      </c>
      <c r="Q3777">
        <v>3</v>
      </c>
      <c r="R3777" t="s">
        <v>33</v>
      </c>
      <c r="S3777">
        <v>1</v>
      </c>
    </row>
    <row r="3778" spans="1:19" ht="16.5" x14ac:dyDescent="0.3">
      <c r="A3778" t="s">
        <v>3841</v>
      </c>
      <c r="B3778" s="1">
        <v>45775</v>
      </c>
      <c r="C3778" s="1">
        <v>45776</v>
      </c>
      <c r="D3778">
        <v>2025</v>
      </c>
      <c r="E3778" t="s">
        <v>836</v>
      </c>
      <c r="F3778" t="s">
        <v>837</v>
      </c>
      <c r="G3778" t="s">
        <v>22</v>
      </c>
      <c r="H3778" t="s">
        <v>52</v>
      </c>
      <c r="I3778" t="s">
        <v>24</v>
      </c>
      <c r="J3778" t="s">
        <v>25</v>
      </c>
      <c r="K3778" t="s">
        <v>36</v>
      </c>
      <c r="L3778" t="s">
        <v>44</v>
      </c>
      <c r="M3778">
        <v>1</v>
      </c>
      <c r="N3778" s="2">
        <v>20</v>
      </c>
      <c r="O3778" s="3">
        <v>1588</v>
      </c>
      <c r="P3778">
        <v>1</v>
      </c>
      <c r="Q3778">
        <v>3</v>
      </c>
      <c r="R3778" t="s">
        <v>28</v>
      </c>
      <c r="S3778">
        <v>1</v>
      </c>
    </row>
    <row r="3779" spans="1:19" ht="16.5" x14ac:dyDescent="0.3">
      <c r="A3779" t="s">
        <v>3842</v>
      </c>
      <c r="B3779" s="1">
        <v>45775</v>
      </c>
      <c r="C3779" s="1">
        <v>45778</v>
      </c>
      <c r="D3779">
        <v>2025</v>
      </c>
      <c r="E3779" t="s">
        <v>836</v>
      </c>
      <c r="F3779" t="s">
        <v>837</v>
      </c>
      <c r="G3779" t="s">
        <v>22</v>
      </c>
      <c r="H3779" t="s">
        <v>35</v>
      </c>
      <c r="I3779" t="s">
        <v>31</v>
      </c>
      <c r="J3779" t="s">
        <v>25</v>
      </c>
      <c r="K3779" t="s">
        <v>36</v>
      </c>
      <c r="L3779" t="s">
        <v>27</v>
      </c>
      <c r="M3779">
        <v>3</v>
      </c>
      <c r="N3779" s="2"/>
      <c r="O3779" s="3">
        <v>2855</v>
      </c>
      <c r="P3779">
        <v>0</v>
      </c>
      <c r="Q3779">
        <v>5</v>
      </c>
      <c r="R3779" t="s">
        <v>28</v>
      </c>
      <c r="S3779">
        <v>1</v>
      </c>
    </row>
    <row r="3780" spans="1:19" ht="16.5" x14ac:dyDescent="0.3">
      <c r="A3780" t="s">
        <v>3843</v>
      </c>
      <c r="B3780" s="1">
        <v>45775</v>
      </c>
      <c r="C3780" s="1">
        <v>45776</v>
      </c>
      <c r="D3780">
        <v>2025</v>
      </c>
      <c r="E3780" t="s">
        <v>836</v>
      </c>
      <c r="F3780" t="s">
        <v>837</v>
      </c>
      <c r="G3780" t="s">
        <v>22</v>
      </c>
      <c r="H3780" t="s">
        <v>30</v>
      </c>
      <c r="I3780" t="s">
        <v>40</v>
      </c>
      <c r="J3780" t="s">
        <v>25</v>
      </c>
      <c r="K3780" t="s">
        <v>26</v>
      </c>
      <c r="L3780" t="s">
        <v>27</v>
      </c>
      <c r="M3780">
        <v>1</v>
      </c>
      <c r="N3780" s="2"/>
      <c r="O3780" s="3">
        <v>2076</v>
      </c>
      <c r="P3780">
        <v>1</v>
      </c>
      <c r="Q3780">
        <v>3</v>
      </c>
      <c r="R3780" t="s">
        <v>28</v>
      </c>
      <c r="S3780">
        <v>1</v>
      </c>
    </row>
    <row r="3781" spans="1:19" ht="16.5" x14ac:dyDescent="0.3">
      <c r="A3781" t="s">
        <v>3844</v>
      </c>
      <c r="B3781" s="1">
        <v>45775</v>
      </c>
      <c r="C3781" s="1">
        <v>45779</v>
      </c>
      <c r="D3781">
        <v>2025</v>
      </c>
      <c r="E3781" t="s">
        <v>836</v>
      </c>
      <c r="F3781" t="s">
        <v>837</v>
      </c>
      <c r="G3781" t="s">
        <v>22</v>
      </c>
      <c r="H3781" t="s">
        <v>39</v>
      </c>
      <c r="I3781" t="s">
        <v>31</v>
      </c>
      <c r="J3781" t="s">
        <v>25</v>
      </c>
      <c r="K3781" t="s">
        <v>41</v>
      </c>
      <c r="L3781" t="s">
        <v>44</v>
      </c>
      <c r="M3781">
        <v>4</v>
      </c>
      <c r="N3781" s="2"/>
      <c r="O3781" s="3">
        <v>2883</v>
      </c>
      <c r="P3781">
        <v>0</v>
      </c>
      <c r="Q3781">
        <v>4</v>
      </c>
      <c r="R3781" t="s">
        <v>28</v>
      </c>
      <c r="S3781">
        <v>1</v>
      </c>
    </row>
    <row r="3782" spans="1:19" ht="16.5" x14ac:dyDescent="0.3">
      <c r="A3782" t="s">
        <v>3845</v>
      </c>
      <c r="B3782" s="1">
        <v>45775</v>
      </c>
      <c r="C3782" s="1">
        <v>45783</v>
      </c>
      <c r="D3782">
        <v>2025</v>
      </c>
      <c r="E3782" t="s">
        <v>836</v>
      </c>
      <c r="F3782" t="s">
        <v>837</v>
      </c>
      <c r="G3782" t="s">
        <v>22</v>
      </c>
      <c r="H3782" t="s">
        <v>23</v>
      </c>
      <c r="I3782" t="s">
        <v>40</v>
      </c>
      <c r="J3782" t="s">
        <v>43</v>
      </c>
      <c r="K3782" t="s">
        <v>53</v>
      </c>
      <c r="L3782" t="s">
        <v>44</v>
      </c>
      <c r="M3782">
        <v>8</v>
      </c>
      <c r="N3782" s="2"/>
      <c r="O3782" s="3">
        <v>5898</v>
      </c>
      <c r="P3782">
        <v>0</v>
      </c>
      <c r="Q3782">
        <v>4</v>
      </c>
      <c r="R3782" t="s">
        <v>59</v>
      </c>
      <c r="S3782">
        <v>1</v>
      </c>
    </row>
    <row r="3783" spans="1:19" ht="16.5" x14ac:dyDescent="0.3">
      <c r="A3783" t="s">
        <v>3846</v>
      </c>
      <c r="B3783" s="1">
        <v>45775</v>
      </c>
      <c r="C3783" s="1">
        <v>45778</v>
      </c>
      <c r="D3783">
        <v>2025</v>
      </c>
      <c r="E3783" t="s">
        <v>836</v>
      </c>
      <c r="F3783" t="s">
        <v>837</v>
      </c>
      <c r="G3783" t="s">
        <v>22</v>
      </c>
      <c r="H3783" t="s">
        <v>39</v>
      </c>
      <c r="I3783" t="s">
        <v>24</v>
      </c>
      <c r="J3783" t="s">
        <v>43</v>
      </c>
      <c r="K3783" t="s">
        <v>41</v>
      </c>
      <c r="L3783" t="s">
        <v>44</v>
      </c>
      <c r="M3783">
        <v>3</v>
      </c>
      <c r="N3783" s="2">
        <v>52</v>
      </c>
      <c r="O3783" s="3">
        <v>2423</v>
      </c>
      <c r="P3783">
        <v>0</v>
      </c>
      <c r="Q3783">
        <v>5</v>
      </c>
      <c r="R3783" t="s">
        <v>33</v>
      </c>
      <c r="S3783">
        <v>1</v>
      </c>
    </row>
    <row r="3784" spans="1:19" ht="16.5" x14ac:dyDescent="0.3">
      <c r="A3784" t="s">
        <v>3847</v>
      </c>
      <c r="B3784" s="1">
        <v>45775</v>
      </c>
      <c r="C3784" s="1">
        <v>45788</v>
      </c>
      <c r="D3784">
        <v>2025</v>
      </c>
      <c r="E3784" t="s">
        <v>836</v>
      </c>
      <c r="F3784" t="s">
        <v>837</v>
      </c>
      <c r="G3784" t="s">
        <v>22</v>
      </c>
      <c r="H3784" t="s">
        <v>50</v>
      </c>
      <c r="I3784" t="s">
        <v>24</v>
      </c>
      <c r="J3784" t="s">
        <v>43</v>
      </c>
      <c r="K3784" t="s">
        <v>53</v>
      </c>
      <c r="L3784" t="s">
        <v>44</v>
      </c>
      <c r="M3784">
        <v>13</v>
      </c>
      <c r="N3784" s="2">
        <v>122</v>
      </c>
      <c r="O3784" s="3">
        <v>16498</v>
      </c>
      <c r="P3784">
        <v>0</v>
      </c>
      <c r="Q3784">
        <v>2</v>
      </c>
      <c r="R3784" t="s">
        <v>33</v>
      </c>
      <c r="S3784">
        <v>1</v>
      </c>
    </row>
    <row r="3785" spans="1:19" ht="16.5" x14ac:dyDescent="0.3">
      <c r="A3785" t="s">
        <v>3848</v>
      </c>
      <c r="B3785" s="1">
        <v>45775</v>
      </c>
      <c r="C3785" s="1">
        <v>45778</v>
      </c>
      <c r="D3785">
        <v>2025</v>
      </c>
      <c r="E3785" t="s">
        <v>836</v>
      </c>
      <c r="F3785" t="s">
        <v>837</v>
      </c>
      <c r="G3785" t="s">
        <v>22</v>
      </c>
      <c r="H3785" t="s">
        <v>50</v>
      </c>
      <c r="I3785" t="s">
        <v>24</v>
      </c>
      <c r="J3785" t="s">
        <v>43</v>
      </c>
      <c r="K3785" t="s">
        <v>26</v>
      </c>
      <c r="L3785" t="s">
        <v>44</v>
      </c>
      <c r="M3785">
        <v>3</v>
      </c>
      <c r="N3785" s="2">
        <v>92</v>
      </c>
      <c r="O3785" s="3">
        <v>4992</v>
      </c>
      <c r="P3785">
        <v>0</v>
      </c>
      <c r="Q3785">
        <v>3</v>
      </c>
      <c r="R3785" t="s">
        <v>59</v>
      </c>
      <c r="S3785">
        <v>1</v>
      </c>
    </row>
    <row r="3786" spans="1:19" ht="16.5" x14ac:dyDescent="0.3">
      <c r="A3786" t="s">
        <v>3849</v>
      </c>
      <c r="B3786" s="1">
        <v>45776</v>
      </c>
      <c r="C3786" s="1">
        <v>45780</v>
      </c>
      <c r="D3786">
        <v>2025</v>
      </c>
      <c r="E3786" t="s">
        <v>836</v>
      </c>
      <c r="F3786" t="s">
        <v>837</v>
      </c>
      <c r="G3786" t="s">
        <v>56</v>
      </c>
      <c r="H3786" t="s">
        <v>50</v>
      </c>
      <c r="I3786" t="s">
        <v>24</v>
      </c>
      <c r="J3786" t="s">
        <v>25</v>
      </c>
      <c r="K3786" t="s">
        <v>26</v>
      </c>
      <c r="L3786" t="s">
        <v>27</v>
      </c>
      <c r="M3786">
        <v>4</v>
      </c>
      <c r="N3786" s="2">
        <v>53</v>
      </c>
      <c r="O3786" s="3">
        <v>5023</v>
      </c>
      <c r="P3786">
        <v>0</v>
      </c>
      <c r="Q3786">
        <v>4</v>
      </c>
      <c r="R3786" t="s">
        <v>33</v>
      </c>
      <c r="S3786">
        <v>1</v>
      </c>
    </row>
    <row r="3787" spans="1:19" ht="16.5" x14ac:dyDescent="0.3">
      <c r="A3787" t="s">
        <v>3850</v>
      </c>
      <c r="B3787" s="1">
        <v>45776</v>
      </c>
      <c r="C3787" s="1">
        <v>45781</v>
      </c>
      <c r="D3787">
        <v>2025</v>
      </c>
      <c r="E3787" t="s">
        <v>836</v>
      </c>
      <c r="F3787" t="s">
        <v>837</v>
      </c>
      <c r="G3787" t="s">
        <v>56</v>
      </c>
      <c r="H3787" t="s">
        <v>23</v>
      </c>
      <c r="I3787" t="s">
        <v>40</v>
      </c>
      <c r="J3787" t="s">
        <v>43</v>
      </c>
      <c r="K3787" t="s">
        <v>36</v>
      </c>
      <c r="L3787" t="s">
        <v>44</v>
      </c>
      <c r="M3787">
        <v>5</v>
      </c>
      <c r="N3787" s="2"/>
      <c r="O3787" s="3">
        <v>4160</v>
      </c>
      <c r="P3787">
        <v>0</v>
      </c>
      <c r="Q3787">
        <v>4</v>
      </c>
      <c r="R3787" t="s">
        <v>33</v>
      </c>
      <c r="S3787">
        <v>1</v>
      </c>
    </row>
    <row r="3788" spans="1:19" ht="16.5" x14ac:dyDescent="0.3">
      <c r="A3788" t="s">
        <v>3851</v>
      </c>
      <c r="B3788" s="1">
        <v>45776</v>
      </c>
      <c r="C3788" s="1">
        <v>45778</v>
      </c>
      <c r="D3788">
        <v>2025</v>
      </c>
      <c r="E3788" t="s">
        <v>836</v>
      </c>
      <c r="F3788" t="s">
        <v>837</v>
      </c>
      <c r="G3788" t="s">
        <v>56</v>
      </c>
      <c r="H3788" t="s">
        <v>35</v>
      </c>
      <c r="I3788" t="s">
        <v>24</v>
      </c>
      <c r="J3788" t="s">
        <v>25</v>
      </c>
      <c r="K3788" t="s">
        <v>36</v>
      </c>
      <c r="L3788" t="s">
        <v>44</v>
      </c>
      <c r="M3788">
        <v>2</v>
      </c>
      <c r="N3788" s="2">
        <v>40</v>
      </c>
      <c r="O3788" s="3">
        <v>2580</v>
      </c>
      <c r="P3788">
        <v>0</v>
      </c>
      <c r="Q3788">
        <v>3</v>
      </c>
      <c r="R3788" t="s">
        <v>33</v>
      </c>
      <c r="S3788">
        <v>1</v>
      </c>
    </row>
    <row r="3789" spans="1:19" ht="16.5" x14ac:dyDescent="0.3">
      <c r="A3789" t="s">
        <v>3852</v>
      </c>
      <c r="B3789" s="1">
        <v>45777</v>
      </c>
      <c r="C3789" s="1">
        <v>45783</v>
      </c>
      <c r="D3789">
        <v>2025</v>
      </c>
      <c r="E3789" t="s">
        <v>836</v>
      </c>
      <c r="F3789" t="s">
        <v>837</v>
      </c>
      <c r="G3789" t="s">
        <v>70</v>
      </c>
      <c r="H3789" t="s">
        <v>23</v>
      </c>
      <c r="I3789" t="s">
        <v>24</v>
      </c>
      <c r="J3789" t="s">
        <v>25</v>
      </c>
      <c r="K3789" t="s">
        <v>32</v>
      </c>
      <c r="L3789" t="s">
        <v>27</v>
      </c>
      <c r="M3789">
        <v>6</v>
      </c>
      <c r="N3789" s="2">
        <v>68</v>
      </c>
      <c r="O3789" s="3">
        <v>5679</v>
      </c>
      <c r="P3789">
        <v>0</v>
      </c>
      <c r="Q3789">
        <v>3</v>
      </c>
      <c r="R3789" t="s">
        <v>28</v>
      </c>
      <c r="S3789">
        <v>1</v>
      </c>
    </row>
    <row r="3790" spans="1:19" ht="16.5" x14ac:dyDescent="0.3">
      <c r="A3790" t="s">
        <v>3853</v>
      </c>
      <c r="B3790" s="1">
        <v>45777</v>
      </c>
      <c r="C3790" s="1">
        <v>45792</v>
      </c>
      <c r="D3790">
        <v>2025</v>
      </c>
      <c r="E3790" t="s">
        <v>836</v>
      </c>
      <c r="F3790" t="s">
        <v>837</v>
      </c>
      <c r="G3790" t="s">
        <v>70</v>
      </c>
      <c r="H3790" t="s">
        <v>23</v>
      </c>
      <c r="I3790" t="s">
        <v>24</v>
      </c>
      <c r="J3790" t="s">
        <v>43</v>
      </c>
      <c r="K3790" t="s">
        <v>26</v>
      </c>
      <c r="L3790" t="s">
        <v>37</v>
      </c>
      <c r="M3790">
        <v>15</v>
      </c>
      <c r="N3790" s="2">
        <v>62</v>
      </c>
      <c r="O3790" s="3">
        <v>11086</v>
      </c>
      <c r="P3790">
        <v>0</v>
      </c>
      <c r="Q3790">
        <v>3</v>
      </c>
      <c r="R3790" t="s">
        <v>33</v>
      </c>
      <c r="S3790">
        <v>1</v>
      </c>
    </row>
    <row r="3791" spans="1:19" ht="16.5" x14ac:dyDescent="0.3">
      <c r="A3791" t="s">
        <v>3854</v>
      </c>
      <c r="B3791" s="1">
        <v>45777</v>
      </c>
      <c r="C3791" s="1">
        <v>45780</v>
      </c>
      <c r="D3791">
        <v>2025</v>
      </c>
      <c r="E3791" t="s">
        <v>836</v>
      </c>
      <c r="F3791" t="s">
        <v>837</v>
      </c>
      <c r="G3791" t="s">
        <v>70</v>
      </c>
      <c r="H3791" t="s">
        <v>30</v>
      </c>
      <c r="I3791" t="s">
        <v>40</v>
      </c>
      <c r="J3791" t="s">
        <v>43</v>
      </c>
      <c r="K3791" t="s">
        <v>53</v>
      </c>
      <c r="L3791" t="s">
        <v>27</v>
      </c>
      <c r="M3791">
        <v>3</v>
      </c>
      <c r="N3791" s="2"/>
      <c r="O3791" s="3">
        <v>3726</v>
      </c>
      <c r="P3791">
        <v>0</v>
      </c>
      <c r="Q3791">
        <v>4</v>
      </c>
      <c r="R3791" t="s">
        <v>33</v>
      </c>
      <c r="S3791">
        <v>1</v>
      </c>
    </row>
    <row r="3792" spans="1:19" ht="16.5" x14ac:dyDescent="0.3">
      <c r="A3792" t="s">
        <v>3855</v>
      </c>
      <c r="B3792" s="1">
        <v>45777</v>
      </c>
      <c r="C3792" s="1">
        <v>45790</v>
      </c>
      <c r="D3792">
        <v>2025</v>
      </c>
      <c r="E3792" t="s">
        <v>836</v>
      </c>
      <c r="F3792" t="s">
        <v>837</v>
      </c>
      <c r="G3792" t="s">
        <v>70</v>
      </c>
      <c r="H3792" t="s">
        <v>30</v>
      </c>
      <c r="I3792" t="s">
        <v>24</v>
      </c>
      <c r="J3792" t="s">
        <v>43</v>
      </c>
      <c r="K3792" t="s">
        <v>53</v>
      </c>
      <c r="L3792" t="s">
        <v>44</v>
      </c>
      <c r="M3792">
        <v>13</v>
      </c>
      <c r="N3792" s="2">
        <v>18</v>
      </c>
      <c r="O3792" s="3">
        <v>19546</v>
      </c>
      <c r="P3792">
        <v>0</v>
      </c>
      <c r="Q3792">
        <v>5</v>
      </c>
      <c r="R3792" t="s">
        <v>33</v>
      </c>
      <c r="S3792">
        <v>1</v>
      </c>
    </row>
    <row r="3793" spans="1:19" ht="16.5" x14ac:dyDescent="0.3">
      <c r="A3793" t="s">
        <v>3856</v>
      </c>
      <c r="B3793" s="1">
        <v>45777</v>
      </c>
      <c r="C3793" s="1">
        <v>45784</v>
      </c>
      <c r="D3793">
        <v>2025</v>
      </c>
      <c r="E3793" t="s">
        <v>836</v>
      </c>
      <c r="F3793" t="s">
        <v>837</v>
      </c>
      <c r="G3793" t="s">
        <v>70</v>
      </c>
      <c r="H3793" t="s">
        <v>50</v>
      </c>
      <c r="I3793" t="s">
        <v>24</v>
      </c>
      <c r="J3793" t="s">
        <v>43</v>
      </c>
      <c r="K3793" t="s">
        <v>26</v>
      </c>
      <c r="L3793" t="s">
        <v>44</v>
      </c>
      <c r="M3793">
        <v>7</v>
      </c>
      <c r="N3793" s="2">
        <v>33</v>
      </c>
      <c r="O3793" s="3">
        <v>9886</v>
      </c>
      <c r="P3793">
        <v>0</v>
      </c>
      <c r="Q3793">
        <v>5</v>
      </c>
      <c r="R3793" t="s">
        <v>59</v>
      </c>
      <c r="S3793">
        <v>1</v>
      </c>
    </row>
    <row r="3794" spans="1:19" ht="16.5" x14ac:dyDescent="0.3">
      <c r="A3794" t="s">
        <v>3857</v>
      </c>
      <c r="B3794" s="1">
        <v>45777</v>
      </c>
      <c r="C3794" s="1">
        <v>45784</v>
      </c>
      <c r="D3794">
        <v>2025</v>
      </c>
      <c r="E3794" t="s">
        <v>836</v>
      </c>
      <c r="F3794" t="s">
        <v>837</v>
      </c>
      <c r="G3794" t="s">
        <v>70</v>
      </c>
      <c r="H3794" t="s">
        <v>30</v>
      </c>
      <c r="I3794" t="s">
        <v>24</v>
      </c>
      <c r="J3794" t="s">
        <v>25</v>
      </c>
      <c r="K3794" t="s">
        <v>26</v>
      </c>
      <c r="L3794" t="s">
        <v>27</v>
      </c>
      <c r="M3794">
        <v>7</v>
      </c>
      <c r="N3794" s="2">
        <v>63</v>
      </c>
      <c r="O3794" s="3">
        <v>6561</v>
      </c>
      <c r="P3794">
        <v>0</v>
      </c>
      <c r="Q3794">
        <v>4</v>
      </c>
      <c r="R3794" t="s">
        <v>33</v>
      </c>
      <c r="S3794">
        <v>1</v>
      </c>
    </row>
    <row r="3795" spans="1:19" ht="16.5" x14ac:dyDescent="0.3">
      <c r="A3795" t="s">
        <v>3858</v>
      </c>
      <c r="B3795" s="1">
        <v>45777</v>
      </c>
      <c r="C3795" s="1">
        <v>45779</v>
      </c>
      <c r="D3795">
        <v>2025</v>
      </c>
      <c r="E3795" t="s">
        <v>836</v>
      </c>
      <c r="F3795" t="s">
        <v>837</v>
      </c>
      <c r="G3795" t="s">
        <v>70</v>
      </c>
      <c r="H3795" t="s">
        <v>30</v>
      </c>
      <c r="I3795" t="s">
        <v>40</v>
      </c>
      <c r="J3795" t="s">
        <v>43</v>
      </c>
      <c r="K3795" t="s">
        <v>32</v>
      </c>
      <c r="L3795" t="s">
        <v>27</v>
      </c>
      <c r="M3795">
        <v>2</v>
      </c>
      <c r="N3795" s="2"/>
      <c r="O3795" s="3">
        <v>3535</v>
      </c>
      <c r="P3795">
        <v>0</v>
      </c>
      <c r="Q3795">
        <v>4</v>
      </c>
      <c r="R3795" t="s">
        <v>59</v>
      </c>
      <c r="S3795">
        <v>1</v>
      </c>
    </row>
    <row r="3796" spans="1:19" ht="16.5" x14ac:dyDescent="0.3">
      <c r="A3796" t="s">
        <v>3859</v>
      </c>
      <c r="B3796" s="1">
        <v>45777</v>
      </c>
      <c r="C3796" s="1">
        <v>45786</v>
      </c>
      <c r="D3796">
        <v>2025</v>
      </c>
      <c r="E3796" t="s">
        <v>836</v>
      </c>
      <c r="F3796" t="s">
        <v>837</v>
      </c>
      <c r="G3796" t="s">
        <v>70</v>
      </c>
      <c r="H3796" t="s">
        <v>30</v>
      </c>
      <c r="I3796" t="s">
        <v>24</v>
      </c>
      <c r="J3796" t="s">
        <v>43</v>
      </c>
      <c r="K3796" t="s">
        <v>26</v>
      </c>
      <c r="L3796" t="s">
        <v>44</v>
      </c>
      <c r="M3796">
        <v>9</v>
      </c>
      <c r="N3796" s="2">
        <v>39</v>
      </c>
      <c r="O3796" s="3">
        <v>10394</v>
      </c>
      <c r="P3796">
        <v>0</v>
      </c>
      <c r="Q3796">
        <v>4</v>
      </c>
      <c r="R3796" t="s">
        <v>33</v>
      </c>
      <c r="S3796">
        <v>1</v>
      </c>
    </row>
    <row r="3797" spans="1:19" ht="16.5" x14ac:dyDescent="0.3">
      <c r="A3797" t="s">
        <v>3860</v>
      </c>
      <c r="B3797" s="1">
        <v>45777</v>
      </c>
      <c r="C3797" s="1">
        <v>45785</v>
      </c>
      <c r="D3797">
        <v>2025</v>
      </c>
      <c r="E3797" t="s">
        <v>836</v>
      </c>
      <c r="F3797" t="s">
        <v>837</v>
      </c>
      <c r="G3797" t="s">
        <v>70</v>
      </c>
      <c r="H3797" t="s">
        <v>23</v>
      </c>
      <c r="I3797" t="s">
        <v>40</v>
      </c>
      <c r="J3797" t="s">
        <v>25</v>
      </c>
      <c r="K3797" t="s">
        <v>26</v>
      </c>
      <c r="L3797" t="s">
        <v>27</v>
      </c>
      <c r="M3797">
        <v>8</v>
      </c>
      <c r="N3797" s="2"/>
      <c r="O3797" s="3">
        <v>6244</v>
      </c>
      <c r="P3797">
        <v>0</v>
      </c>
      <c r="Q3797">
        <v>4</v>
      </c>
      <c r="R3797" t="s">
        <v>33</v>
      </c>
      <c r="S3797">
        <v>1</v>
      </c>
    </row>
    <row r="3798" spans="1:19" ht="16.5" x14ac:dyDescent="0.3">
      <c r="A3798" t="s">
        <v>3861</v>
      </c>
      <c r="B3798" s="1">
        <v>45777</v>
      </c>
      <c r="C3798" s="1">
        <v>45782</v>
      </c>
      <c r="D3798">
        <v>2025</v>
      </c>
      <c r="E3798" t="s">
        <v>836</v>
      </c>
      <c r="F3798" t="s">
        <v>837</v>
      </c>
      <c r="G3798" t="s">
        <v>70</v>
      </c>
      <c r="H3798" t="s">
        <v>35</v>
      </c>
      <c r="I3798" t="s">
        <v>24</v>
      </c>
      <c r="J3798" t="s">
        <v>25</v>
      </c>
      <c r="K3798" t="s">
        <v>32</v>
      </c>
      <c r="L3798" t="s">
        <v>44</v>
      </c>
      <c r="M3798">
        <v>5</v>
      </c>
      <c r="N3798" s="2">
        <v>61</v>
      </c>
      <c r="O3798" s="3">
        <v>3809</v>
      </c>
      <c r="P3798">
        <v>0</v>
      </c>
      <c r="Q3798">
        <v>5</v>
      </c>
      <c r="R3798" t="s">
        <v>33</v>
      </c>
      <c r="S3798">
        <v>1</v>
      </c>
    </row>
    <row r="3799" spans="1:19" ht="16.5" x14ac:dyDescent="0.3">
      <c r="A3799" t="s">
        <v>3862</v>
      </c>
      <c r="B3799" s="1">
        <v>45777</v>
      </c>
      <c r="C3799" s="1">
        <v>45780</v>
      </c>
      <c r="D3799">
        <v>2025</v>
      </c>
      <c r="E3799" t="s">
        <v>836</v>
      </c>
      <c r="F3799" t="s">
        <v>837</v>
      </c>
      <c r="G3799" t="s">
        <v>70</v>
      </c>
      <c r="H3799" t="s">
        <v>52</v>
      </c>
      <c r="I3799" t="s">
        <v>40</v>
      </c>
      <c r="J3799" t="s">
        <v>43</v>
      </c>
      <c r="K3799" t="s">
        <v>26</v>
      </c>
      <c r="L3799" t="s">
        <v>27</v>
      </c>
      <c r="M3799">
        <v>3</v>
      </c>
      <c r="N3799" s="2"/>
      <c r="O3799" s="3">
        <v>4266</v>
      </c>
      <c r="P3799">
        <v>0</v>
      </c>
      <c r="Q3799">
        <v>4</v>
      </c>
      <c r="R3799" t="s">
        <v>33</v>
      </c>
      <c r="S3799">
        <v>1</v>
      </c>
    </row>
    <row r="3800" spans="1:19" ht="16.5" x14ac:dyDescent="0.3">
      <c r="A3800" t="s">
        <v>3863</v>
      </c>
      <c r="B3800" s="1">
        <v>45777</v>
      </c>
      <c r="C3800" s="1">
        <v>45783</v>
      </c>
      <c r="D3800">
        <v>2025</v>
      </c>
      <c r="E3800" t="s">
        <v>836</v>
      </c>
      <c r="F3800" t="s">
        <v>837</v>
      </c>
      <c r="G3800" t="s">
        <v>70</v>
      </c>
      <c r="H3800" t="s">
        <v>23</v>
      </c>
      <c r="I3800" t="s">
        <v>24</v>
      </c>
      <c r="J3800" t="s">
        <v>43</v>
      </c>
      <c r="K3800" t="s">
        <v>36</v>
      </c>
      <c r="L3800" t="s">
        <v>44</v>
      </c>
      <c r="M3800">
        <v>6</v>
      </c>
      <c r="N3800" s="2">
        <v>35</v>
      </c>
      <c r="O3800" s="3">
        <v>3531</v>
      </c>
      <c r="P3800">
        <v>0</v>
      </c>
      <c r="Q3800">
        <v>4</v>
      </c>
      <c r="R3800" t="s">
        <v>28</v>
      </c>
      <c r="S3800">
        <v>1</v>
      </c>
    </row>
    <row r="3801" spans="1:19" ht="16.5" x14ac:dyDescent="0.3">
      <c r="A3801" t="s">
        <v>3864</v>
      </c>
      <c r="B3801" s="1">
        <v>45777</v>
      </c>
      <c r="C3801" s="1">
        <v>45780</v>
      </c>
      <c r="D3801">
        <v>2025</v>
      </c>
      <c r="E3801" t="s">
        <v>836</v>
      </c>
      <c r="F3801" t="s">
        <v>837</v>
      </c>
      <c r="G3801" t="s">
        <v>70</v>
      </c>
      <c r="H3801" t="s">
        <v>23</v>
      </c>
      <c r="I3801" t="s">
        <v>40</v>
      </c>
      <c r="J3801" t="s">
        <v>43</v>
      </c>
      <c r="K3801" t="s">
        <v>26</v>
      </c>
      <c r="L3801" t="s">
        <v>44</v>
      </c>
      <c r="M3801">
        <v>3</v>
      </c>
      <c r="N3801" s="2"/>
      <c r="O3801" s="3">
        <v>2771</v>
      </c>
      <c r="P3801">
        <v>1</v>
      </c>
      <c r="Q3801">
        <v>3</v>
      </c>
      <c r="R3801" t="s">
        <v>28</v>
      </c>
      <c r="S3801">
        <v>1</v>
      </c>
    </row>
    <row r="3802" spans="1:19" ht="16.5" x14ac:dyDescent="0.3">
      <c r="A3802" t="s">
        <v>3865</v>
      </c>
      <c r="B3802" s="1">
        <v>45778</v>
      </c>
      <c r="C3802" s="1">
        <v>45784</v>
      </c>
      <c r="D3802">
        <v>2025</v>
      </c>
      <c r="E3802" t="s">
        <v>836</v>
      </c>
      <c r="F3802" t="s">
        <v>1062</v>
      </c>
      <c r="G3802" t="s">
        <v>78</v>
      </c>
      <c r="H3802" t="s">
        <v>23</v>
      </c>
      <c r="I3802" t="s">
        <v>24</v>
      </c>
      <c r="J3802" t="s">
        <v>25</v>
      </c>
      <c r="K3802" t="s">
        <v>32</v>
      </c>
      <c r="L3802" t="s">
        <v>37</v>
      </c>
      <c r="M3802">
        <v>6</v>
      </c>
      <c r="N3802" s="2">
        <v>79</v>
      </c>
      <c r="O3802" s="3">
        <v>4146</v>
      </c>
      <c r="P3802">
        <v>1</v>
      </c>
      <c r="Q3802">
        <v>3</v>
      </c>
      <c r="R3802" t="s">
        <v>33</v>
      </c>
      <c r="S3802">
        <v>1</v>
      </c>
    </row>
    <row r="3803" spans="1:19" ht="16.5" x14ac:dyDescent="0.3">
      <c r="A3803" t="s">
        <v>3866</v>
      </c>
      <c r="B3803" s="1">
        <v>45778</v>
      </c>
      <c r="C3803" s="1">
        <v>45781</v>
      </c>
      <c r="D3803">
        <v>2025</v>
      </c>
      <c r="E3803" t="s">
        <v>836</v>
      </c>
      <c r="F3803" t="s">
        <v>1062</v>
      </c>
      <c r="G3803" t="s">
        <v>78</v>
      </c>
      <c r="H3803" t="s">
        <v>30</v>
      </c>
      <c r="I3803" t="s">
        <v>40</v>
      </c>
      <c r="J3803" t="s">
        <v>43</v>
      </c>
      <c r="K3803" t="s">
        <v>26</v>
      </c>
      <c r="L3803" t="s">
        <v>44</v>
      </c>
      <c r="M3803">
        <v>3</v>
      </c>
      <c r="N3803" s="2"/>
      <c r="O3803" s="3">
        <v>3307</v>
      </c>
      <c r="P3803">
        <v>1</v>
      </c>
      <c r="Q3803">
        <v>4</v>
      </c>
      <c r="R3803" t="s">
        <v>33</v>
      </c>
      <c r="S3803">
        <v>1</v>
      </c>
    </row>
    <row r="3804" spans="1:19" ht="16.5" x14ac:dyDescent="0.3">
      <c r="A3804" t="s">
        <v>3867</v>
      </c>
      <c r="B3804" s="1">
        <v>45778</v>
      </c>
      <c r="C3804" s="1">
        <v>45782</v>
      </c>
      <c r="D3804">
        <v>2025</v>
      </c>
      <c r="E3804" t="s">
        <v>836</v>
      </c>
      <c r="F3804" t="s">
        <v>1062</v>
      </c>
      <c r="G3804" t="s">
        <v>78</v>
      </c>
      <c r="H3804" t="s">
        <v>35</v>
      </c>
      <c r="I3804" t="s">
        <v>40</v>
      </c>
      <c r="J3804" t="s">
        <v>25</v>
      </c>
      <c r="K3804" t="s">
        <v>32</v>
      </c>
      <c r="L3804" t="s">
        <v>27</v>
      </c>
      <c r="M3804">
        <v>4</v>
      </c>
      <c r="N3804" s="2"/>
      <c r="O3804" s="3">
        <v>3576</v>
      </c>
      <c r="P3804">
        <v>0</v>
      </c>
      <c r="Q3804">
        <v>3</v>
      </c>
      <c r="R3804" t="s">
        <v>33</v>
      </c>
      <c r="S3804">
        <v>1</v>
      </c>
    </row>
    <row r="3805" spans="1:19" ht="16.5" x14ac:dyDescent="0.3">
      <c r="A3805" t="s">
        <v>3868</v>
      </c>
      <c r="B3805" s="1">
        <v>45778</v>
      </c>
      <c r="C3805" s="1">
        <v>45790</v>
      </c>
      <c r="D3805">
        <v>2025</v>
      </c>
      <c r="E3805" t="s">
        <v>836</v>
      </c>
      <c r="F3805" t="s">
        <v>1062</v>
      </c>
      <c r="G3805" t="s">
        <v>78</v>
      </c>
      <c r="H3805" t="s">
        <v>50</v>
      </c>
      <c r="I3805" t="s">
        <v>24</v>
      </c>
      <c r="J3805" t="s">
        <v>43</v>
      </c>
      <c r="K3805" t="s">
        <v>26</v>
      </c>
      <c r="L3805" t="s">
        <v>27</v>
      </c>
      <c r="M3805">
        <v>12</v>
      </c>
      <c r="N3805" s="2">
        <v>28</v>
      </c>
      <c r="O3805" s="3">
        <v>15214</v>
      </c>
      <c r="P3805">
        <v>1</v>
      </c>
      <c r="Q3805">
        <v>5</v>
      </c>
      <c r="R3805" t="s">
        <v>33</v>
      </c>
      <c r="S3805">
        <v>1</v>
      </c>
    </row>
    <row r="3806" spans="1:19" ht="16.5" x14ac:dyDescent="0.3">
      <c r="A3806" t="s">
        <v>3869</v>
      </c>
      <c r="B3806" s="1">
        <v>45778</v>
      </c>
      <c r="C3806" s="1">
        <v>45781</v>
      </c>
      <c r="D3806">
        <v>2025</v>
      </c>
      <c r="E3806" t="s">
        <v>836</v>
      </c>
      <c r="F3806" t="s">
        <v>1062</v>
      </c>
      <c r="G3806" t="s">
        <v>78</v>
      </c>
      <c r="H3806" t="s">
        <v>52</v>
      </c>
      <c r="I3806" t="s">
        <v>40</v>
      </c>
      <c r="J3806" t="s">
        <v>25</v>
      </c>
      <c r="K3806" t="s">
        <v>26</v>
      </c>
      <c r="L3806" t="s">
        <v>27</v>
      </c>
      <c r="M3806">
        <v>3</v>
      </c>
      <c r="N3806" s="2"/>
      <c r="O3806" s="3">
        <v>3098</v>
      </c>
      <c r="P3806">
        <v>0</v>
      </c>
      <c r="Q3806">
        <v>4</v>
      </c>
      <c r="R3806" t="s">
        <v>28</v>
      </c>
      <c r="S3806">
        <v>1</v>
      </c>
    </row>
    <row r="3807" spans="1:19" ht="16.5" x14ac:dyDescent="0.3">
      <c r="A3807" t="s">
        <v>3870</v>
      </c>
      <c r="B3807" s="1">
        <v>45778</v>
      </c>
      <c r="C3807" s="1">
        <v>45786</v>
      </c>
      <c r="D3807">
        <v>2025</v>
      </c>
      <c r="E3807" t="s">
        <v>836</v>
      </c>
      <c r="F3807" t="s">
        <v>1062</v>
      </c>
      <c r="G3807" t="s">
        <v>78</v>
      </c>
      <c r="H3807" t="s">
        <v>30</v>
      </c>
      <c r="I3807" t="s">
        <v>24</v>
      </c>
      <c r="J3807" t="s">
        <v>43</v>
      </c>
      <c r="K3807" t="s">
        <v>26</v>
      </c>
      <c r="L3807" t="s">
        <v>27</v>
      </c>
      <c r="M3807">
        <v>8</v>
      </c>
      <c r="N3807" s="2">
        <v>109</v>
      </c>
      <c r="O3807" s="3">
        <v>10404</v>
      </c>
      <c r="P3807">
        <v>0</v>
      </c>
      <c r="Q3807">
        <v>4</v>
      </c>
      <c r="R3807" t="s">
        <v>33</v>
      </c>
      <c r="S3807">
        <v>1</v>
      </c>
    </row>
    <row r="3808" spans="1:19" ht="16.5" x14ac:dyDescent="0.3">
      <c r="A3808" t="s">
        <v>3871</v>
      </c>
      <c r="B3808" s="1">
        <v>45778</v>
      </c>
      <c r="C3808" s="1">
        <v>45782</v>
      </c>
      <c r="D3808">
        <v>2025</v>
      </c>
      <c r="E3808" t="s">
        <v>836</v>
      </c>
      <c r="F3808" t="s">
        <v>1062</v>
      </c>
      <c r="G3808" t="s">
        <v>78</v>
      </c>
      <c r="H3808" t="s">
        <v>30</v>
      </c>
      <c r="I3808" t="s">
        <v>40</v>
      </c>
      <c r="J3808" t="s">
        <v>43</v>
      </c>
      <c r="K3808" t="s">
        <v>26</v>
      </c>
      <c r="L3808" t="s">
        <v>44</v>
      </c>
      <c r="M3808">
        <v>4</v>
      </c>
      <c r="N3808" s="2"/>
      <c r="O3808" s="3">
        <v>3932</v>
      </c>
      <c r="P3808">
        <v>0</v>
      </c>
      <c r="Q3808">
        <v>4</v>
      </c>
      <c r="R3808" t="s">
        <v>33</v>
      </c>
      <c r="S3808">
        <v>1</v>
      </c>
    </row>
    <row r="3809" spans="1:19" ht="16.5" x14ac:dyDescent="0.3">
      <c r="A3809" t="s">
        <v>3872</v>
      </c>
      <c r="B3809" s="1">
        <v>45779</v>
      </c>
      <c r="C3809" s="1">
        <v>45784</v>
      </c>
      <c r="D3809">
        <v>2025</v>
      </c>
      <c r="E3809" t="s">
        <v>836</v>
      </c>
      <c r="F3809" t="s">
        <v>1062</v>
      </c>
      <c r="G3809" t="s">
        <v>83</v>
      </c>
      <c r="H3809" t="s">
        <v>30</v>
      </c>
      <c r="I3809" t="s">
        <v>24</v>
      </c>
      <c r="J3809" t="s">
        <v>25</v>
      </c>
      <c r="K3809" t="s">
        <v>53</v>
      </c>
      <c r="L3809" t="s">
        <v>44</v>
      </c>
      <c r="M3809">
        <v>5</v>
      </c>
      <c r="N3809" s="2">
        <v>39</v>
      </c>
      <c r="O3809" s="3">
        <v>4780</v>
      </c>
      <c r="P3809">
        <v>0</v>
      </c>
      <c r="Q3809">
        <v>5</v>
      </c>
      <c r="R3809" t="s">
        <v>33</v>
      </c>
      <c r="S3809">
        <v>1</v>
      </c>
    </row>
    <row r="3810" spans="1:19" ht="16.5" x14ac:dyDescent="0.3">
      <c r="A3810" t="s">
        <v>3873</v>
      </c>
      <c r="B3810" s="1">
        <v>45779</v>
      </c>
      <c r="C3810" s="1">
        <v>45780</v>
      </c>
      <c r="D3810">
        <v>2025</v>
      </c>
      <c r="E3810" t="s">
        <v>836</v>
      </c>
      <c r="F3810" t="s">
        <v>1062</v>
      </c>
      <c r="G3810" t="s">
        <v>83</v>
      </c>
      <c r="H3810" t="s">
        <v>30</v>
      </c>
      <c r="I3810" t="s">
        <v>40</v>
      </c>
      <c r="J3810" t="s">
        <v>43</v>
      </c>
      <c r="K3810" t="s">
        <v>26</v>
      </c>
      <c r="L3810" t="s">
        <v>27</v>
      </c>
      <c r="M3810">
        <v>1</v>
      </c>
      <c r="N3810" s="2"/>
      <c r="O3810" s="3">
        <v>1568</v>
      </c>
      <c r="P3810">
        <v>0</v>
      </c>
      <c r="Q3810">
        <v>4</v>
      </c>
      <c r="R3810" t="s">
        <v>33</v>
      </c>
      <c r="S3810">
        <v>1</v>
      </c>
    </row>
    <row r="3811" spans="1:19" ht="16.5" x14ac:dyDescent="0.3">
      <c r="A3811" t="s">
        <v>3874</v>
      </c>
      <c r="B3811" s="1">
        <v>45779</v>
      </c>
      <c r="C3811" s="1">
        <v>45783</v>
      </c>
      <c r="D3811">
        <v>2025</v>
      </c>
      <c r="E3811" t="s">
        <v>836</v>
      </c>
      <c r="F3811" t="s">
        <v>1062</v>
      </c>
      <c r="G3811" t="s">
        <v>83</v>
      </c>
      <c r="H3811" t="s">
        <v>52</v>
      </c>
      <c r="I3811" t="s">
        <v>31</v>
      </c>
      <c r="J3811" t="s">
        <v>43</v>
      </c>
      <c r="K3811" t="s">
        <v>36</v>
      </c>
      <c r="L3811" t="s">
        <v>44</v>
      </c>
      <c r="M3811">
        <v>4</v>
      </c>
      <c r="N3811" s="2"/>
      <c r="O3811" s="3">
        <v>4940</v>
      </c>
      <c r="P3811">
        <v>0</v>
      </c>
      <c r="Q3811">
        <v>4</v>
      </c>
      <c r="R3811" t="s">
        <v>28</v>
      </c>
      <c r="S3811">
        <v>1</v>
      </c>
    </row>
    <row r="3812" spans="1:19" ht="16.5" x14ac:dyDescent="0.3">
      <c r="A3812" t="s">
        <v>3875</v>
      </c>
      <c r="B3812" s="1">
        <v>45779</v>
      </c>
      <c r="C3812" s="1">
        <v>45784</v>
      </c>
      <c r="D3812">
        <v>2025</v>
      </c>
      <c r="E3812" t="s">
        <v>836</v>
      </c>
      <c r="F3812" t="s">
        <v>1062</v>
      </c>
      <c r="G3812" t="s">
        <v>83</v>
      </c>
      <c r="H3812" t="s">
        <v>50</v>
      </c>
      <c r="I3812" t="s">
        <v>24</v>
      </c>
      <c r="J3812" t="s">
        <v>25</v>
      </c>
      <c r="K3812" t="s">
        <v>36</v>
      </c>
      <c r="L3812" t="s">
        <v>44</v>
      </c>
      <c r="M3812">
        <v>5</v>
      </c>
      <c r="N3812" s="2">
        <v>18</v>
      </c>
      <c r="O3812" s="3">
        <v>6359</v>
      </c>
      <c r="P3812">
        <v>0</v>
      </c>
      <c r="Q3812">
        <v>5</v>
      </c>
      <c r="R3812" t="s">
        <v>28</v>
      </c>
      <c r="S3812">
        <v>1</v>
      </c>
    </row>
    <row r="3813" spans="1:19" ht="16.5" x14ac:dyDescent="0.3">
      <c r="A3813" t="s">
        <v>3876</v>
      </c>
      <c r="B3813" s="1">
        <v>45779</v>
      </c>
      <c r="C3813" s="1">
        <v>45784</v>
      </c>
      <c r="D3813">
        <v>2025</v>
      </c>
      <c r="E3813" t="s">
        <v>836</v>
      </c>
      <c r="F3813" t="s">
        <v>1062</v>
      </c>
      <c r="G3813" t="s">
        <v>83</v>
      </c>
      <c r="H3813" t="s">
        <v>52</v>
      </c>
      <c r="I3813" t="s">
        <v>40</v>
      </c>
      <c r="J3813" t="s">
        <v>43</v>
      </c>
      <c r="K3813" t="s">
        <v>26</v>
      </c>
      <c r="L3813" t="s">
        <v>27</v>
      </c>
      <c r="M3813">
        <v>5</v>
      </c>
      <c r="N3813" s="2"/>
      <c r="O3813" s="3">
        <v>4324</v>
      </c>
      <c r="P3813">
        <v>0</v>
      </c>
      <c r="Q3813">
        <v>5</v>
      </c>
      <c r="R3813" t="s">
        <v>28</v>
      </c>
      <c r="S3813">
        <v>1</v>
      </c>
    </row>
    <row r="3814" spans="1:19" ht="16.5" x14ac:dyDescent="0.3">
      <c r="A3814" t="s">
        <v>3877</v>
      </c>
      <c r="B3814" s="1">
        <v>45779</v>
      </c>
      <c r="C3814" s="1">
        <v>45781</v>
      </c>
      <c r="D3814">
        <v>2025</v>
      </c>
      <c r="E3814" t="s">
        <v>836</v>
      </c>
      <c r="F3814" t="s">
        <v>1062</v>
      </c>
      <c r="G3814" t="s">
        <v>83</v>
      </c>
      <c r="H3814" t="s">
        <v>23</v>
      </c>
      <c r="I3814" t="s">
        <v>24</v>
      </c>
      <c r="J3814" t="s">
        <v>43</v>
      </c>
      <c r="K3814" t="s">
        <v>32</v>
      </c>
      <c r="L3814" t="s">
        <v>27</v>
      </c>
      <c r="M3814">
        <v>2</v>
      </c>
      <c r="N3814" s="2">
        <v>86</v>
      </c>
      <c r="O3814" s="3">
        <v>2199</v>
      </c>
      <c r="P3814">
        <v>0</v>
      </c>
      <c r="Q3814">
        <v>4</v>
      </c>
      <c r="R3814" t="s">
        <v>33</v>
      </c>
      <c r="S3814">
        <v>1</v>
      </c>
    </row>
    <row r="3815" spans="1:19" ht="16.5" x14ac:dyDescent="0.3">
      <c r="A3815" t="s">
        <v>3878</v>
      </c>
      <c r="B3815" s="1">
        <v>45779</v>
      </c>
      <c r="C3815" s="1">
        <v>45783</v>
      </c>
      <c r="D3815">
        <v>2025</v>
      </c>
      <c r="E3815" t="s">
        <v>836</v>
      </c>
      <c r="F3815" t="s">
        <v>1062</v>
      </c>
      <c r="G3815" t="s">
        <v>83</v>
      </c>
      <c r="H3815" t="s">
        <v>30</v>
      </c>
      <c r="I3815" t="s">
        <v>40</v>
      </c>
      <c r="J3815" t="s">
        <v>25</v>
      </c>
      <c r="K3815" t="s">
        <v>26</v>
      </c>
      <c r="L3815" t="s">
        <v>44</v>
      </c>
      <c r="M3815">
        <v>4</v>
      </c>
      <c r="N3815" s="2"/>
      <c r="O3815" s="3">
        <v>3001</v>
      </c>
      <c r="P3815">
        <v>0</v>
      </c>
      <c r="Q3815">
        <v>4</v>
      </c>
      <c r="R3815" t="s">
        <v>33</v>
      </c>
      <c r="S3815">
        <v>1</v>
      </c>
    </row>
    <row r="3816" spans="1:19" ht="16.5" x14ac:dyDescent="0.3">
      <c r="A3816" t="s">
        <v>3879</v>
      </c>
      <c r="B3816" s="1">
        <v>45779</v>
      </c>
      <c r="C3816" s="1">
        <v>45781</v>
      </c>
      <c r="D3816">
        <v>2025</v>
      </c>
      <c r="E3816" t="s">
        <v>836</v>
      </c>
      <c r="F3816" t="s">
        <v>1062</v>
      </c>
      <c r="G3816" t="s">
        <v>83</v>
      </c>
      <c r="H3816" t="s">
        <v>35</v>
      </c>
      <c r="I3816" t="s">
        <v>31</v>
      </c>
      <c r="J3816" t="s">
        <v>25</v>
      </c>
      <c r="K3816" t="s">
        <v>32</v>
      </c>
      <c r="L3816" t="s">
        <v>27</v>
      </c>
      <c r="M3816">
        <v>2</v>
      </c>
      <c r="N3816" s="2"/>
      <c r="O3816" s="3">
        <v>2136</v>
      </c>
      <c r="P3816">
        <v>0</v>
      </c>
      <c r="Q3816">
        <v>5</v>
      </c>
      <c r="R3816" t="s">
        <v>33</v>
      </c>
      <c r="S3816">
        <v>1</v>
      </c>
    </row>
    <row r="3817" spans="1:19" ht="16.5" x14ac:dyDescent="0.3">
      <c r="A3817" t="s">
        <v>3880</v>
      </c>
      <c r="B3817" s="1">
        <v>45779</v>
      </c>
      <c r="C3817" s="1">
        <v>45783</v>
      </c>
      <c r="D3817">
        <v>2025</v>
      </c>
      <c r="E3817" t="s">
        <v>836</v>
      </c>
      <c r="F3817" t="s">
        <v>1062</v>
      </c>
      <c r="G3817" t="s">
        <v>83</v>
      </c>
      <c r="H3817" t="s">
        <v>30</v>
      </c>
      <c r="I3817" t="s">
        <v>40</v>
      </c>
      <c r="J3817" t="s">
        <v>43</v>
      </c>
      <c r="K3817" t="s">
        <v>36</v>
      </c>
      <c r="L3817" t="s">
        <v>44</v>
      </c>
      <c r="M3817">
        <v>4</v>
      </c>
      <c r="N3817" s="2"/>
      <c r="O3817" s="3">
        <v>4273</v>
      </c>
      <c r="P3817">
        <v>0</v>
      </c>
      <c r="Q3817">
        <v>4</v>
      </c>
      <c r="R3817" t="s">
        <v>33</v>
      </c>
      <c r="S3817">
        <v>1</v>
      </c>
    </row>
    <row r="3818" spans="1:19" ht="16.5" x14ac:dyDescent="0.3">
      <c r="A3818" t="s">
        <v>3881</v>
      </c>
      <c r="B3818" s="1">
        <v>45779</v>
      </c>
      <c r="C3818" s="1">
        <v>45780</v>
      </c>
      <c r="D3818">
        <v>2025</v>
      </c>
      <c r="E3818" t="s">
        <v>836</v>
      </c>
      <c r="F3818" t="s">
        <v>1062</v>
      </c>
      <c r="G3818" t="s">
        <v>83</v>
      </c>
      <c r="H3818" t="s">
        <v>39</v>
      </c>
      <c r="I3818" t="s">
        <v>40</v>
      </c>
      <c r="J3818" t="s">
        <v>25</v>
      </c>
      <c r="K3818" t="s">
        <v>41</v>
      </c>
      <c r="L3818" t="s">
        <v>37</v>
      </c>
      <c r="M3818">
        <v>1</v>
      </c>
      <c r="N3818" s="2"/>
      <c r="O3818" s="3">
        <v>1848</v>
      </c>
      <c r="P3818">
        <v>0</v>
      </c>
      <c r="Q3818">
        <v>4</v>
      </c>
      <c r="R3818" t="s">
        <v>59</v>
      </c>
      <c r="S3818">
        <v>1</v>
      </c>
    </row>
    <row r="3819" spans="1:19" ht="16.5" x14ac:dyDescent="0.3">
      <c r="A3819" t="s">
        <v>3882</v>
      </c>
      <c r="B3819" s="1">
        <v>45779</v>
      </c>
      <c r="C3819" s="1">
        <v>45785</v>
      </c>
      <c r="D3819">
        <v>2025</v>
      </c>
      <c r="E3819" t="s">
        <v>836</v>
      </c>
      <c r="F3819" t="s">
        <v>1062</v>
      </c>
      <c r="G3819" t="s">
        <v>83</v>
      </c>
      <c r="H3819" t="s">
        <v>30</v>
      </c>
      <c r="I3819" t="s">
        <v>40</v>
      </c>
      <c r="J3819" t="s">
        <v>25</v>
      </c>
      <c r="K3819" t="s">
        <v>36</v>
      </c>
      <c r="L3819" t="s">
        <v>27</v>
      </c>
      <c r="M3819">
        <v>6</v>
      </c>
      <c r="N3819" s="2"/>
      <c r="O3819" s="3">
        <v>6419</v>
      </c>
      <c r="P3819">
        <v>0</v>
      </c>
      <c r="Q3819">
        <v>3</v>
      </c>
      <c r="R3819" t="s">
        <v>33</v>
      </c>
      <c r="S3819">
        <v>1</v>
      </c>
    </row>
    <row r="3820" spans="1:19" ht="16.5" x14ac:dyDescent="0.3">
      <c r="A3820" t="s">
        <v>3883</v>
      </c>
      <c r="B3820" s="1">
        <v>45779</v>
      </c>
      <c r="C3820" s="1">
        <v>45780</v>
      </c>
      <c r="D3820">
        <v>2025</v>
      </c>
      <c r="E3820" t="s">
        <v>836</v>
      </c>
      <c r="F3820" t="s">
        <v>1062</v>
      </c>
      <c r="G3820" t="s">
        <v>83</v>
      </c>
      <c r="H3820" t="s">
        <v>30</v>
      </c>
      <c r="I3820" t="s">
        <v>40</v>
      </c>
      <c r="J3820" t="s">
        <v>43</v>
      </c>
      <c r="K3820" t="s">
        <v>53</v>
      </c>
      <c r="L3820" t="s">
        <v>27</v>
      </c>
      <c r="M3820">
        <v>1</v>
      </c>
      <c r="N3820" s="2"/>
      <c r="O3820" s="3">
        <v>2187</v>
      </c>
      <c r="P3820">
        <v>0</v>
      </c>
      <c r="Q3820">
        <v>4</v>
      </c>
      <c r="R3820" t="s">
        <v>33</v>
      </c>
      <c r="S3820">
        <v>1</v>
      </c>
    </row>
    <row r="3821" spans="1:19" ht="16.5" x14ac:dyDescent="0.3">
      <c r="A3821" t="s">
        <v>3884</v>
      </c>
      <c r="B3821" s="1">
        <v>45779</v>
      </c>
      <c r="C3821" s="1">
        <v>45781</v>
      </c>
      <c r="D3821">
        <v>2025</v>
      </c>
      <c r="E3821" t="s">
        <v>836</v>
      </c>
      <c r="F3821" t="s">
        <v>1062</v>
      </c>
      <c r="G3821" t="s">
        <v>83</v>
      </c>
      <c r="H3821" t="s">
        <v>50</v>
      </c>
      <c r="I3821" t="s">
        <v>31</v>
      </c>
      <c r="J3821" t="s">
        <v>25</v>
      </c>
      <c r="K3821" t="s">
        <v>53</v>
      </c>
      <c r="L3821" t="s">
        <v>27</v>
      </c>
      <c r="M3821">
        <v>2</v>
      </c>
      <c r="N3821" s="2"/>
      <c r="O3821" s="3">
        <v>3165</v>
      </c>
      <c r="P3821">
        <v>0</v>
      </c>
      <c r="Q3821">
        <v>3</v>
      </c>
      <c r="R3821" t="s">
        <v>28</v>
      </c>
      <c r="S3821">
        <v>1</v>
      </c>
    </row>
    <row r="3822" spans="1:19" ht="16.5" x14ac:dyDescent="0.3">
      <c r="A3822" t="s">
        <v>3885</v>
      </c>
      <c r="B3822" s="1">
        <v>45779</v>
      </c>
      <c r="C3822" s="1">
        <v>45783</v>
      </c>
      <c r="D3822">
        <v>2025</v>
      </c>
      <c r="E3822" t="s">
        <v>836</v>
      </c>
      <c r="F3822" t="s">
        <v>1062</v>
      </c>
      <c r="G3822" t="s">
        <v>83</v>
      </c>
      <c r="H3822" t="s">
        <v>35</v>
      </c>
      <c r="I3822" t="s">
        <v>24</v>
      </c>
      <c r="J3822" t="s">
        <v>25</v>
      </c>
      <c r="K3822" t="s">
        <v>36</v>
      </c>
      <c r="L3822" t="s">
        <v>27</v>
      </c>
      <c r="M3822">
        <v>4</v>
      </c>
      <c r="N3822" s="2">
        <v>56</v>
      </c>
      <c r="O3822" s="3">
        <v>3620</v>
      </c>
      <c r="P3822">
        <v>0</v>
      </c>
      <c r="Q3822">
        <v>4</v>
      </c>
      <c r="R3822" t="s">
        <v>28</v>
      </c>
      <c r="S3822">
        <v>1</v>
      </c>
    </row>
    <row r="3823" spans="1:19" ht="16.5" x14ac:dyDescent="0.3">
      <c r="A3823" t="s">
        <v>3886</v>
      </c>
      <c r="B3823" s="1">
        <v>45780</v>
      </c>
      <c r="C3823" s="1">
        <v>45784</v>
      </c>
      <c r="D3823">
        <v>2025</v>
      </c>
      <c r="E3823" t="s">
        <v>836</v>
      </c>
      <c r="F3823" t="s">
        <v>1062</v>
      </c>
      <c r="G3823" t="s">
        <v>102</v>
      </c>
      <c r="H3823" t="s">
        <v>52</v>
      </c>
      <c r="I3823" t="s">
        <v>40</v>
      </c>
      <c r="J3823" t="s">
        <v>43</v>
      </c>
      <c r="K3823" t="s">
        <v>32</v>
      </c>
      <c r="L3823" t="s">
        <v>44</v>
      </c>
      <c r="M3823">
        <v>4</v>
      </c>
      <c r="N3823" s="2"/>
      <c r="O3823" s="3">
        <v>4154</v>
      </c>
      <c r="P3823">
        <v>0</v>
      </c>
      <c r="Q3823">
        <v>5</v>
      </c>
      <c r="R3823" t="s">
        <v>28</v>
      </c>
      <c r="S3823">
        <v>1</v>
      </c>
    </row>
    <row r="3824" spans="1:19" ht="16.5" x14ac:dyDescent="0.3">
      <c r="A3824" t="s">
        <v>3887</v>
      </c>
      <c r="B3824" s="1">
        <v>45781</v>
      </c>
      <c r="C3824" s="1">
        <v>45783</v>
      </c>
      <c r="D3824">
        <v>2025</v>
      </c>
      <c r="E3824" t="s">
        <v>836</v>
      </c>
      <c r="F3824" t="s">
        <v>1062</v>
      </c>
      <c r="G3824" t="s">
        <v>112</v>
      </c>
      <c r="H3824" t="s">
        <v>35</v>
      </c>
      <c r="I3824" t="s">
        <v>24</v>
      </c>
      <c r="J3824" t="s">
        <v>25</v>
      </c>
      <c r="K3824" t="s">
        <v>32</v>
      </c>
      <c r="L3824" t="s">
        <v>44</v>
      </c>
      <c r="M3824">
        <v>2</v>
      </c>
      <c r="N3824" s="2">
        <v>24</v>
      </c>
      <c r="O3824" s="3">
        <v>1443</v>
      </c>
      <c r="P3824">
        <v>0</v>
      </c>
      <c r="Q3824">
        <v>4</v>
      </c>
      <c r="R3824" t="s">
        <v>33</v>
      </c>
      <c r="S3824">
        <v>1</v>
      </c>
    </row>
    <row r="3825" spans="1:19" ht="16.5" x14ac:dyDescent="0.3">
      <c r="A3825" t="s">
        <v>3888</v>
      </c>
      <c r="B3825" s="1">
        <v>45781</v>
      </c>
      <c r="C3825" s="1">
        <v>45788</v>
      </c>
      <c r="D3825">
        <v>2025</v>
      </c>
      <c r="E3825" t="s">
        <v>836</v>
      </c>
      <c r="F3825" t="s">
        <v>1062</v>
      </c>
      <c r="G3825" t="s">
        <v>112</v>
      </c>
      <c r="H3825" t="s">
        <v>30</v>
      </c>
      <c r="I3825" t="s">
        <v>24</v>
      </c>
      <c r="J3825" t="s">
        <v>43</v>
      </c>
      <c r="K3825" t="s">
        <v>53</v>
      </c>
      <c r="L3825" t="s">
        <v>37</v>
      </c>
      <c r="M3825">
        <v>7</v>
      </c>
      <c r="N3825" s="2">
        <v>26</v>
      </c>
      <c r="O3825" s="3">
        <v>5135</v>
      </c>
      <c r="P3825">
        <v>1</v>
      </c>
      <c r="Q3825">
        <v>4</v>
      </c>
      <c r="R3825" t="s">
        <v>33</v>
      </c>
      <c r="S3825">
        <v>1</v>
      </c>
    </row>
    <row r="3826" spans="1:19" ht="16.5" x14ac:dyDescent="0.3">
      <c r="A3826" t="s">
        <v>3889</v>
      </c>
      <c r="B3826" s="1">
        <v>45781</v>
      </c>
      <c r="C3826" s="1">
        <v>45783</v>
      </c>
      <c r="D3826">
        <v>2025</v>
      </c>
      <c r="E3826" t="s">
        <v>836</v>
      </c>
      <c r="F3826" t="s">
        <v>1062</v>
      </c>
      <c r="G3826" t="s">
        <v>112</v>
      </c>
      <c r="H3826" t="s">
        <v>30</v>
      </c>
      <c r="I3826" t="s">
        <v>40</v>
      </c>
      <c r="J3826" t="s">
        <v>43</v>
      </c>
      <c r="K3826" t="s">
        <v>32</v>
      </c>
      <c r="L3826" t="s">
        <v>27</v>
      </c>
      <c r="M3826">
        <v>2</v>
      </c>
      <c r="N3826" s="2"/>
      <c r="O3826" s="3">
        <v>2714</v>
      </c>
      <c r="P3826">
        <v>0</v>
      </c>
      <c r="Q3826">
        <v>4</v>
      </c>
      <c r="R3826" t="s">
        <v>28</v>
      </c>
      <c r="S3826">
        <v>1</v>
      </c>
    </row>
    <row r="3827" spans="1:19" ht="16.5" x14ac:dyDescent="0.3">
      <c r="A3827" t="s">
        <v>3890</v>
      </c>
      <c r="B3827" s="1">
        <v>45781</v>
      </c>
      <c r="C3827" s="1">
        <v>45787</v>
      </c>
      <c r="D3827">
        <v>2025</v>
      </c>
      <c r="E3827" t="s">
        <v>836</v>
      </c>
      <c r="F3827" t="s">
        <v>1062</v>
      </c>
      <c r="G3827" t="s">
        <v>112</v>
      </c>
      <c r="H3827" t="s">
        <v>50</v>
      </c>
      <c r="I3827" t="s">
        <v>24</v>
      </c>
      <c r="J3827" t="s">
        <v>43</v>
      </c>
      <c r="K3827" t="s">
        <v>32</v>
      </c>
      <c r="L3827" t="s">
        <v>27</v>
      </c>
      <c r="M3827">
        <v>6</v>
      </c>
      <c r="N3827" s="2">
        <v>22</v>
      </c>
      <c r="O3827" s="3">
        <v>6527</v>
      </c>
      <c r="P3827">
        <v>0</v>
      </c>
      <c r="Q3827">
        <v>5</v>
      </c>
      <c r="R3827" t="s">
        <v>28</v>
      </c>
      <c r="S3827">
        <v>1</v>
      </c>
    </row>
    <row r="3828" spans="1:19" ht="16.5" x14ac:dyDescent="0.3">
      <c r="A3828" t="s">
        <v>3891</v>
      </c>
      <c r="B3828" s="1">
        <v>45781</v>
      </c>
      <c r="C3828" s="1">
        <v>45786</v>
      </c>
      <c r="D3828">
        <v>2025</v>
      </c>
      <c r="E3828" t="s">
        <v>836</v>
      </c>
      <c r="F3828" t="s">
        <v>1062</v>
      </c>
      <c r="G3828" t="s">
        <v>112</v>
      </c>
      <c r="H3828" t="s">
        <v>23</v>
      </c>
      <c r="I3828" t="s">
        <v>24</v>
      </c>
      <c r="J3828" t="s">
        <v>25</v>
      </c>
      <c r="K3828" t="s">
        <v>32</v>
      </c>
      <c r="L3828" t="s">
        <v>44</v>
      </c>
      <c r="M3828">
        <v>5</v>
      </c>
      <c r="N3828" s="2">
        <v>25</v>
      </c>
      <c r="O3828" s="3">
        <v>3622</v>
      </c>
      <c r="P3828">
        <v>0</v>
      </c>
      <c r="Q3828">
        <v>5</v>
      </c>
      <c r="R3828" t="s">
        <v>33</v>
      </c>
      <c r="S3828">
        <v>1</v>
      </c>
    </row>
    <row r="3829" spans="1:19" ht="16.5" x14ac:dyDescent="0.3">
      <c r="A3829" t="s">
        <v>3892</v>
      </c>
      <c r="B3829" s="1">
        <v>45782</v>
      </c>
      <c r="C3829" s="1">
        <v>45786</v>
      </c>
      <c r="D3829">
        <v>2025</v>
      </c>
      <c r="E3829" t="s">
        <v>836</v>
      </c>
      <c r="F3829" t="s">
        <v>1062</v>
      </c>
      <c r="G3829" t="s">
        <v>22</v>
      </c>
      <c r="H3829" t="s">
        <v>39</v>
      </c>
      <c r="I3829" t="s">
        <v>24</v>
      </c>
      <c r="J3829" t="s">
        <v>43</v>
      </c>
      <c r="K3829" t="s">
        <v>41</v>
      </c>
      <c r="L3829" t="s">
        <v>27</v>
      </c>
      <c r="M3829">
        <v>4</v>
      </c>
      <c r="N3829" s="2">
        <v>59</v>
      </c>
      <c r="O3829" s="3">
        <v>3177</v>
      </c>
      <c r="P3829">
        <v>0</v>
      </c>
      <c r="Q3829">
        <v>3</v>
      </c>
      <c r="R3829" t="s">
        <v>33</v>
      </c>
      <c r="S3829">
        <v>1</v>
      </c>
    </row>
    <row r="3830" spans="1:19" ht="16.5" x14ac:dyDescent="0.3">
      <c r="A3830" t="s">
        <v>3893</v>
      </c>
      <c r="B3830" s="1">
        <v>45782</v>
      </c>
      <c r="C3830" s="1">
        <v>45797</v>
      </c>
      <c r="D3830">
        <v>2025</v>
      </c>
      <c r="E3830" t="s">
        <v>836</v>
      </c>
      <c r="F3830" t="s">
        <v>1062</v>
      </c>
      <c r="G3830" t="s">
        <v>22</v>
      </c>
      <c r="H3830" t="s">
        <v>23</v>
      </c>
      <c r="I3830" t="s">
        <v>24</v>
      </c>
      <c r="J3830" t="s">
        <v>25</v>
      </c>
      <c r="K3830" t="s">
        <v>26</v>
      </c>
      <c r="L3830" t="s">
        <v>37</v>
      </c>
      <c r="M3830">
        <v>15</v>
      </c>
      <c r="N3830" s="2">
        <v>34</v>
      </c>
      <c r="O3830" s="3">
        <v>11830</v>
      </c>
      <c r="P3830">
        <v>1</v>
      </c>
      <c r="Q3830">
        <v>4</v>
      </c>
      <c r="R3830" t="s">
        <v>33</v>
      </c>
      <c r="S3830">
        <v>1</v>
      </c>
    </row>
    <row r="3831" spans="1:19" ht="16.5" x14ac:dyDescent="0.3">
      <c r="A3831" t="s">
        <v>3894</v>
      </c>
      <c r="B3831" s="1">
        <v>45782</v>
      </c>
      <c r="C3831" s="1">
        <v>45784</v>
      </c>
      <c r="D3831">
        <v>2025</v>
      </c>
      <c r="E3831" t="s">
        <v>836</v>
      </c>
      <c r="F3831" t="s">
        <v>1062</v>
      </c>
      <c r="G3831" t="s">
        <v>22</v>
      </c>
      <c r="H3831" t="s">
        <v>35</v>
      </c>
      <c r="I3831" t="s">
        <v>24</v>
      </c>
      <c r="J3831" t="s">
        <v>25</v>
      </c>
      <c r="K3831" t="s">
        <v>36</v>
      </c>
      <c r="L3831" t="s">
        <v>44</v>
      </c>
      <c r="M3831">
        <v>2</v>
      </c>
      <c r="N3831" s="2">
        <v>33</v>
      </c>
      <c r="O3831" s="3">
        <v>2565</v>
      </c>
      <c r="P3831">
        <v>1</v>
      </c>
      <c r="Q3831">
        <v>3</v>
      </c>
      <c r="R3831" t="s">
        <v>33</v>
      </c>
      <c r="S3831">
        <v>1</v>
      </c>
    </row>
    <row r="3832" spans="1:19" ht="16.5" x14ac:dyDescent="0.3">
      <c r="A3832" t="s">
        <v>3895</v>
      </c>
      <c r="B3832" s="1">
        <v>45782</v>
      </c>
      <c r="C3832" s="1">
        <v>45783</v>
      </c>
      <c r="D3832">
        <v>2025</v>
      </c>
      <c r="E3832" t="s">
        <v>836</v>
      </c>
      <c r="F3832" t="s">
        <v>1062</v>
      </c>
      <c r="G3832" t="s">
        <v>22</v>
      </c>
      <c r="H3832" t="s">
        <v>39</v>
      </c>
      <c r="I3832" t="s">
        <v>24</v>
      </c>
      <c r="J3832" t="s">
        <v>43</v>
      </c>
      <c r="K3832" t="s">
        <v>41</v>
      </c>
      <c r="L3832" t="s">
        <v>27</v>
      </c>
      <c r="M3832">
        <v>1</v>
      </c>
      <c r="N3832" s="2">
        <v>13</v>
      </c>
      <c r="O3832" s="3">
        <v>1808</v>
      </c>
      <c r="P3832">
        <v>0</v>
      </c>
      <c r="Q3832">
        <v>4</v>
      </c>
      <c r="R3832" t="s">
        <v>33</v>
      </c>
      <c r="S3832">
        <v>1</v>
      </c>
    </row>
    <row r="3833" spans="1:19" ht="16.5" x14ac:dyDescent="0.3">
      <c r="A3833" t="s">
        <v>3896</v>
      </c>
      <c r="B3833" s="1">
        <v>45782</v>
      </c>
      <c r="C3833" s="1">
        <v>45785</v>
      </c>
      <c r="D3833">
        <v>2025</v>
      </c>
      <c r="E3833" t="s">
        <v>836</v>
      </c>
      <c r="F3833" t="s">
        <v>1062</v>
      </c>
      <c r="G3833" t="s">
        <v>22</v>
      </c>
      <c r="H3833" t="s">
        <v>39</v>
      </c>
      <c r="I3833" t="s">
        <v>24</v>
      </c>
      <c r="J3833" t="s">
        <v>43</v>
      </c>
      <c r="K3833" t="s">
        <v>41</v>
      </c>
      <c r="L3833" t="s">
        <v>44</v>
      </c>
      <c r="M3833">
        <v>3</v>
      </c>
      <c r="N3833" s="2">
        <v>37</v>
      </c>
      <c r="O3833" s="3">
        <v>2581</v>
      </c>
      <c r="P3833">
        <v>0</v>
      </c>
      <c r="Q3833">
        <v>4</v>
      </c>
      <c r="R3833" t="s">
        <v>33</v>
      </c>
      <c r="S3833">
        <v>1</v>
      </c>
    </row>
    <row r="3834" spans="1:19" ht="16.5" x14ac:dyDescent="0.3">
      <c r="A3834" t="s">
        <v>3897</v>
      </c>
      <c r="B3834" s="1">
        <v>45782</v>
      </c>
      <c r="C3834" s="1">
        <v>45786</v>
      </c>
      <c r="D3834">
        <v>2025</v>
      </c>
      <c r="E3834" t="s">
        <v>836</v>
      </c>
      <c r="F3834" t="s">
        <v>1062</v>
      </c>
      <c r="G3834" t="s">
        <v>22</v>
      </c>
      <c r="H3834" t="s">
        <v>35</v>
      </c>
      <c r="I3834" t="s">
        <v>24</v>
      </c>
      <c r="J3834" t="s">
        <v>25</v>
      </c>
      <c r="K3834" t="s">
        <v>36</v>
      </c>
      <c r="L3834" t="s">
        <v>44</v>
      </c>
      <c r="M3834">
        <v>4</v>
      </c>
      <c r="N3834" s="2">
        <v>27</v>
      </c>
      <c r="O3834" s="3">
        <v>3209</v>
      </c>
      <c r="P3834">
        <v>0</v>
      </c>
      <c r="Q3834">
        <v>5</v>
      </c>
      <c r="R3834" t="s">
        <v>28</v>
      </c>
      <c r="S3834">
        <v>1</v>
      </c>
    </row>
    <row r="3835" spans="1:19" ht="16.5" x14ac:dyDescent="0.3">
      <c r="A3835" t="s">
        <v>3898</v>
      </c>
      <c r="B3835" s="1">
        <v>45783</v>
      </c>
      <c r="C3835" s="1">
        <v>45789</v>
      </c>
      <c r="D3835">
        <v>2025</v>
      </c>
      <c r="E3835" t="s">
        <v>836</v>
      </c>
      <c r="F3835" t="s">
        <v>1062</v>
      </c>
      <c r="G3835" t="s">
        <v>56</v>
      </c>
      <c r="H3835" t="s">
        <v>23</v>
      </c>
      <c r="I3835" t="s">
        <v>24</v>
      </c>
      <c r="J3835" t="s">
        <v>43</v>
      </c>
      <c r="K3835" t="s">
        <v>53</v>
      </c>
      <c r="L3835" t="s">
        <v>37</v>
      </c>
      <c r="M3835">
        <v>6</v>
      </c>
      <c r="N3835" s="2">
        <v>83</v>
      </c>
      <c r="O3835" s="3">
        <v>4533</v>
      </c>
      <c r="P3835">
        <v>0</v>
      </c>
      <c r="Q3835">
        <v>4</v>
      </c>
      <c r="R3835" t="s">
        <v>28</v>
      </c>
      <c r="S3835">
        <v>1</v>
      </c>
    </row>
    <row r="3836" spans="1:19" ht="16.5" x14ac:dyDescent="0.3">
      <c r="A3836" t="s">
        <v>3899</v>
      </c>
      <c r="B3836" s="1">
        <v>45783</v>
      </c>
      <c r="C3836" s="1">
        <v>45795</v>
      </c>
      <c r="D3836">
        <v>2025</v>
      </c>
      <c r="E3836" t="s">
        <v>836</v>
      </c>
      <c r="F3836" t="s">
        <v>1062</v>
      </c>
      <c r="G3836" t="s">
        <v>56</v>
      </c>
      <c r="H3836" t="s">
        <v>39</v>
      </c>
      <c r="I3836" t="s">
        <v>24</v>
      </c>
      <c r="J3836" t="s">
        <v>25</v>
      </c>
      <c r="K3836" t="s">
        <v>41</v>
      </c>
      <c r="L3836" t="s">
        <v>44</v>
      </c>
      <c r="M3836">
        <v>12</v>
      </c>
      <c r="N3836" s="2">
        <v>22</v>
      </c>
      <c r="O3836" s="3">
        <v>8039</v>
      </c>
      <c r="P3836">
        <v>1</v>
      </c>
      <c r="Q3836">
        <v>5</v>
      </c>
      <c r="R3836" t="s">
        <v>33</v>
      </c>
      <c r="S3836">
        <v>1</v>
      </c>
    </row>
    <row r="3837" spans="1:19" ht="16.5" x14ac:dyDescent="0.3">
      <c r="A3837" t="s">
        <v>3900</v>
      </c>
      <c r="B3837" s="1">
        <v>45783</v>
      </c>
      <c r="C3837" s="1">
        <v>45789</v>
      </c>
      <c r="D3837">
        <v>2025</v>
      </c>
      <c r="E3837" t="s">
        <v>836</v>
      </c>
      <c r="F3837" t="s">
        <v>1062</v>
      </c>
      <c r="G3837" t="s">
        <v>56</v>
      </c>
      <c r="H3837" t="s">
        <v>52</v>
      </c>
      <c r="I3837" t="s">
        <v>40</v>
      </c>
      <c r="J3837" t="s">
        <v>43</v>
      </c>
      <c r="K3837" t="s">
        <v>26</v>
      </c>
      <c r="L3837" t="s">
        <v>44</v>
      </c>
      <c r="M3837">
        <v>6</v>
      </c>
      <c r="N3837" s="2"/>
      <c r="O3837" s="3">
        <v>3814</v>
      </c>
      <c r="P3837">
        <v>0</v>
      </c>
      <c r="Q3837">
        <v>4</v>
      </c>
      <c r="R3837" t="s">
        <v>28</v>
      </c>
      <c r="S3837">
        <v>1</v>
      </c>
    </row>
    <row r="3838" spans="1:19" ht="16.5" x14ac:dyDescent="0.3">
      <c r="A3838" t="s">
        <v>3901</v>
      </c>
      <c r="B3838" s="1">
        <v>45783</v>
      </c>
      <c r="C3838" s="1">
        <v>45785</v>
      </c>
      <c r="D3838">
        <v>2025</v>
      </c>
      <c r="E3838" t="s">
        <v>836</v>
      </c>
      <c r="F3838" t="s">
        <v>1062</v>
      </c>
      <c r="G3838" t="s">
        <v>56</v>
      </c>
      <c r="H3838" t="s">
        <v>35</v>
      </c>
      <c r="I3838" t="s">
        <v>24</v>
      </c>
      <c r="J3838" t="s">
        <v>25</v>
      </c>
      <c r="K3838" t="s">
        <v>36</v>
      </c>
      <c r="L3838" t="s">
        <v>37</v>
      </c>
      <c r="M3838">
        <v>2</v>
      </c>
      <c r="N3838" s="2">
        <v>19</v>
      </c>
      <c r="O3838" s="3">
        <v>1916</v>
      </c>
      <c r="P3838">
        <v>0</v>
      </c>
      <c r="Q3838">
        <v>3</v>
      </c>
      <c r="R3838" t="s">
        <v>33</v>
      </c>
      <c r="S3838">
        <v>1</v>
      </c>
    </row>
    <row r="3839" spans="1:19" ht="16.5" x14ac:dyDescent="0.3">
      <c r="A3839" t="s">
        <v>3902</v>
      </c>
      <c r="B3839" s="1">
        <v>45783</v>
      </c>
      <c r="C3839" s="1">
        <v>45788</v>
      </c>
      <c r="D3839">
        <v>2025</v>
      </c>
      <c r="E3839" t="s">
        <v>836</v>
      </c>
      <c r="F3839" t="s">
        <v>1062</v>
      </c>
      <c r="G3839" t="s">
        <v>56</v>
      </c>
      <c r="H3839" t="s">
        <v>50</v>
      </c>
      <c r="I3839" t="s">
        <v>24</v>
      </c>
      <c r="J3839" t="s">
        <v>25</v>
      </c>
      <c r="K3839" t="s">
        <v>32</v>
      </c>
      <c r="L3839" t="s">
        <v>27</v>
      </c>
      <c r="M3839">
        <v>5</v>
      </c>
      <c r="N3839" s="2">
        <v>61</v>
      </c>
      <c r="O3839" s="3">
        <v>6363</v>
      </c>
      <c r="P3839">
        <v>0</v>
      </c>
      <c r="Q3839">
        <v>4</v>
      </c>
      <c r="R3839" t="s">
        <v>33</v>
      </c>
      <c r="S3839">
        <v>1</v>
      </c>
    </row>
    <row r="3840" spans="1:19" ht="16.5" x14ac:dyDescent="0.3">
      <c r="A3840" t="s">
        <v>3903</v>
      </c>
      <c r="B3840" s="1">
        <v>45784</v>
      </c>
      <c r="C3840" s="1">
        <v>45794</v>
      </c>
      <c r="D3840">
        <v>2025</v>
      </c>
      <c r="E3840" t="s">
        <v>836</v>
      </c>
      <c r="F3840" t="s">
        <v>1062</v>
      </c>
      <c r="G3840" t="s">
        <v>70</v>
      </c>
      <c r="H3840" t="s">
        <v>50</v>
      </c>
      <c r="I3840" t="s">
        <v>24</v>
      </c>
      <c r="J3840" t="s">
        <v>43</v>
      </c>
      <c r="K3840" t="s">
        <v>36</v>
      </c>
      <c r="L3840" t="s">
        <v>44</v>
      </c>
      <c r="M3840">
        <v>10</v>
      </c>
      <c r="N3840" s="2">
        <v>33</v>
      </c>
      <c r="O3840" s="3">
        <v>12667</v>
      </c>
      <c r="P3840">
        <v>0</v>
      </c>
      <c r="Q3840">
        <v>3</v>
      </c>
      <c r="R3840" t="s">
        <v>28</v>
      </c>
      <c r="S3840">
        <v>1</v>
      </c>
    </row>
    <row r="3841" spans="1:19" ht="16.5" x14ac:dyDescent="0.3">
      <c r="A3841" t="s">
        <v>3904</v>
      </c>
      <c r="B3841" s="1">
        <v>45784</v>
      </c>
      <c r="C3841" s="1">
        <v>45786</v>
      </c>
      <c r="D3841">
        <v>2025</v>
      </c>
      <c r="E3841" t="s">
        <v>836</v>
      </c>
      <c r="F3841" t="s">
        <v>1062</v>
      </c>
      <c r="G3841" t="s">
        <v>70</v>
      </c>
      <c r="H3841" t="s">
        <v>23</v>
      </c>
      <c r="I3841" t="s">
        <v>24</v>
      </c>
      <c r="J3841" t="s">
        <v>25</v>
      </c>
      <c r="K3841" t="s">
        <v>36</v>
      </c>
      <c r="L3841" t="s">
        <v>44</v>
      </c>
      <c r="M3841">
        <v>2</v>
      </c>
      <c r="N3841" s="2">
        <v>112</v>
      </c>
      <c r="O3841" s="3">
        <v>2107</v>
      </c>
      <c r="P3841">
        <v>0</v>
      </c>
      <c r="Q3841">
        <v>3</v>
      </c>
      <c r="R3841" t="s">
        <v>33</v>
      </c>
      <c r="S3841">
        <v>1</v>
      </c>
    </row>
    <row r="3842" spans="1:19" ht="16.5" x14ac:dyDescent="0.3">
      <c r="A3842" t="s">
        <v>3905</v>
      </c>
      <c r="B3842" s="1">
        <v>45784</v>
      </c>
      <c r="C3842" s="1">
        <v>45789</v>
      </c>
      <c r="D3842">
        <v>2025</v>
      </c>
      <c r="E3842" t="s">
        <v>836</v>
      </c>
      <c r="F3842" t="s">
        <v>1062</v>
      </c>
      <c r="G3842" t="s">
        <v>70</v>
      </c>
      <c r="H3842" t="s">
        <v>23</v>
      </c>
      <c r="I3842" t="s">
        <v>40</v>
      </c>
      <c r="J3842" t="s">
        <v>43</v>
      </c>
      <c r="K3842" t="s">
        <v>26</v>
      </c>
      <c r="L3842" t="s">
        <v>37</v>
      </c>
      <c r="M3842">
        <v>5</v>
      </c>
      <c r="N3842" s="2"/>
      <c r="O3842" s="3">
        <v>3553</v>
      </c>
      <c r="P3842">
        <v>0</v>
      </c>
      <c r="Q3842">
        <v>4</v>
      </c>
      <c r="R3842" t="s">
        <v>33</v>
      </c>
      <c r="S3842">
        <v>1</v>
      </c>
    </row>
    <row r="3843" spans="1:19" ht="16.5" x14ac:dyDescent="0.3">
      <c r="A3843" t="s">
        <v>3906</v>
      </c>
      <c r="B3843" s="1">
        <v>45784</v>
      </c>
      <c r="C3843" s="1">
        <v>45785</v>
      </c>
      <c r="D3843">
        <v>2025</v>
      </c>
      <c r="E3843" t="s">
        <v>836</v>
      </c>
      <c r="F3843" t="s">
        <v>1062</v>
      </c>
      <c r="G3843" t="s">
        <v>70</v>
      </c>
      <c r="H3843" t="s">
        <v>39</v>
      </c>
      <c r="I3843" t="s">
        <v>24</v>
      </c>
      <c r="J3843" t="s">
        <v>25</v>
      </c>
      <c r="K3843" t="s">
        <v>41</v>
      </c>
      <c r="L3843" t="s">
        <v>44</v>
      </c>
      <c r="M3843">
        <v>1</v>
      </c>
      <c r="N3843" s="2">
        <v>23</v>
      </c>
      <c r="O3843" s="3">
        <v>1155</v>
      </c>
      <c r="P3843">
        <v>0</v>
      </c>
      <c r="Q3843">
        <v>3</v>
      </c>
      <c r="R3843" t="s">
        <v>28</v>
      </c>
      <c r="S3843">
        <v>1</v>
      </c>
    </row>
    <row r="3844" spans="1:19" ht="16.5" x14ac:dyDescent="0.3">
      <c r="A3844" t="s">
        <v>3907</v>
      </c>
      <c r="B3844" s="1">
        <v>45784</v>
      </c>
      <c r="C3844" s="1">
        <v>45789</v>
      </c>
      <c r="D3844">
        <v>2025</v>
      </c>
      <c r="E3844" t="s">
        <v>836</v>
      </c>
      <c r="F3844" t="s">
        <v>1062</v>
      </c>
      <c r="G3844" t="s">
        <v>70</v>
      </c>
      <c r="H3844" t="s">
        <v>35</v>
      </c>
      <c r="I3844" t="s">
        <v>24</v>
      </c>
      <c r="J3844" t="s">
        <v>25</v>
      </c>
      <c r="K3844" t="s">
        <v>36</v>
      </c>
      <c r="L3844" t="s">
        <v>44</v>
      </c>
      <c r="M3844">
        <v>5</v>
      </c>
      <c r="N3844" s="2">
        <v>22</v>
      </c>
      <c r="O3844" s="3">
        <v>3475</v>
      </c>
      <c r="P3844">
        <v>0</v>
      </c>
      <c r="Q3844">
        <v>4</v>
      </c>
      <c r="R3844" t="s">
        <v>28</v>
      </c>
      <c r="S3844">
        <v>1</v>
      </c>
    </row>
    <row r="3845" spans="1:19" ht="16.5" x14ac:dyDescent="0.3">
      <c r="A3845" t="s">
        <v>3908</v>
      </c>
      <c r="B3845" s="1">
        <v>45784</v>
      </c>
      <c r="C3845" s="1">
        <v>45802</v>
      </c>
      <c r="D3845">
        <v>2025</v>
      </c>
      <c r="E3845" t="s">
        <v>836</v>
      </c>
      <c r="F3845" t="s">
        <v>1062</v>
      </c>
      <c r="G3845" t="s">
        <v>70</v>
      </c>
      <c r="H3845" t="s">
        <v>23</v>
      </c>
      <c r="I3845" t="s">
        <v>24</v>
      </c>
      <c r="J3845" t="s">
        <v>25</v>
      </c>
      <c r="K3845" t="s">
        <v>53</v>
      </c>
      <c r="L3845" t="s">
        <v>37</v>
      </c>
      <c r="M3845">
        <v>18</v>
      </c>
      <c r="N3845" s="2">
        <v>75</v>
      </c>
      <c r="O3845" s="3">
        <v>8427</v>
      </c>
      <c r="P3845">
        <v>0</v>
      </c>
      <c r="Q3845">
        <v>5</v>
      </c>
      <c r="R3845" t="s">
        <v>33</v>
      </c>
      <c r="S3845">
        <v>1</v>
      </c>
    </row>
    <row r="3846" spans="1:19" ht="16.5" x14ac:dyDescent="0.3">
      <c r="A3846" t="s">
        <v>3909</v>
      </c>
      <c r="B3846" s="1">
        <v>45784</v>
      </c>
      <c r="C3846" s="1">
        <v>45786</v>
      </c>
      <c r="D3846">
        <v>2025</v>
      </c>
      <c r="E3846" t="s">
        <v>836</v>
      </c>
      <c r="F3846" t="s">
        <v>1062</v>
      </c>
      <c r="G3846" t="s">
        <v>70</v>
      </c>
      <c r="H3846" t="s">
        <v>39</v>
      </c>
      <c r="I3846" t="s">
        <v>24</v>
      </c>
      <c r="J3846" t="s">
        <v>25</v>
      </c>
      <c r="K3846" t="s">
        <v>41</v>
      </c>
      <c r="L3846" t="s">
        <v>27</v>
      </c>
      <c r="M3846">
        <v>2</v>
      </c>
      <c r="N3846" s="2">
        <v>42</v>
      </c>
      <c r="O3846" s="3">
        <v>1552</v>
      </c>
      <c r="P3846">
        <v>0</v>
      </c>
      <c r="Q3846">
        <v>4</v>
      </c>
      <c r="R3846" t="s">
        <v>28</v>
      </c>
      <c r="S3846">
        <v>1</v>
      </c>
    </row>
    <row r="3847" spans="1:19" ht="16.5" x14ac:dyDescent="0.3">
      <c r="A3847" t="s">
        <v>3910</v>
      </c>
      <c r="B3847" s="1">
        <v>45784</v>
      </c>
      <c r="C3847" s="1">
        <v>45794</v>
      </c>
      <c r="D3847">
        <v>2025</v>
      </c>
      <c r="E3847" t="s">
        <v>836</v>
      </c>
      <c r="F3847" t="s">
        <v>1062</v>
      </c>
      <c r="G3847" t="s">
        <v>70</v>
      </c>
      <c r="H3847" t="s">
        <v>50</v>
      </c>
      <c r="I3847" t="s">
        <v>24</v>
      </c>
      <c r="J3847" t="s">
        <v>43</v>
      </c>
      <c r="K3847" t="s">
        <v>36</v>
      </c>
      <c r="L3847" t="s">
        <v>44</v>
      </c>
      <c r="M3847">
        <v>10</v>
      </c>
      <c r="N3847" s="2">
        <v>68</v>
      </c>
      <c r="O3847" s="3">
        <v>12064</v>
      </c>
      <c r="P3847">
        <v>0</v>
      </c>
      <c r="Q3847">
        <v>4</v>
      </c>
      <c r="R3847" t="s">
        <v>28</v>
      </c>
      <c r="S3847">
        <v>1</v>
      </c>
    </row>
    <row r="3848" spans="1:19" ht="16.5" x14ac:dyDescent="0.3">
      <c r="A3848" t="s">
        <v>3911</v>
      </c>
      <c r="B3848" s="1">
        <v>45785</v>
      </c>
      <c r="C3848" s="1">
        <v>45787</v>
      </c>
      <c r="D3848">
        <v>2025</v>
      </c>
      <c r="E3848" t="s">
        <v>836</v>
      </c>
      <c r="F3848" t="s">
        <v>1062</v>
      </c>
      <c r="G3848" t="s">
        <v>78</v>
      </c>
      <c r="H3848" t="s">
        <v>39</v>
      </c>
      <c r="I3848" t="s">
        <v>24</v>
      </c>
      <c r="J3848" t="s">
        <v>25</v>
      </c>
      <c r="K3848" t="s">
        <v>41</v>
      </c>
      <c r="L3848" t="s">
        <v>27</v>
      </c>
      <c r="M3848">
        <v>2</v>
      </c>
      <c r="N3848" s="2">
        <v>24</v>
      </c>
      <c r="O3848" s="3">
        <v>2401</v>
      </c>
      <c r="P3848">
        <v>0</v>
      </c>
      <c r="Q3848">
        <v>4</v>
      </c>
      <c r="R3848" t="s">
        <v>28</v>
      </c>
      <c r="S3848">
        <v>1</v>
      </c>
    </row>
    <row r="3849" spans="1:19" ht="16.5" x14ac:dyDescent="0.3">
      <c r="A3849" t="s">
        <v>3912</v>
      </c>
      <c r="B3849" s="1">
        <v>45785</v>
      </c>
      <c r="C3849" s="1">
        <v>45787</v>
      </c>
      <c r="D3849">
        <v>2025</v>
      </c>
      <c r="E3849" t="s">
        <v>836</v>
      </c>
      <c r="F3849" t="s">
        <v>1062</v>
      </c>
      <c r="G3849" t="s">
        <v>78</v>
      </c>
      <c r="H3849" t="s">
        <v>35</v>
      </c>
      <c r="I3849" t="s">
        <v>40</v>
      </c>
      <c r="J3849" t="s">
        <v>25</v>
      </c>
      <c r="K3849" t="s">
        <v>36</v>
      </c>
      <c r="L3849" t="s">
        <v>27</v>
      </c>
      <c r="M3849">
        <v>2</v>
      </c>
      <c r="N3849" s="2"/>
      <c r="O3849" s="3">
        <v>2563</v>
      </c>
      <c r="P3849">
        <v>0</v>
      </c>
      <c r="Q3849">
        <v>5</v>
      </c>
      <c r="R3849" t="s">
        <v>28</v>
      </c>
      <c r="S3849">
        <v>1</v>
      </c>
    </row>
    <row r="3850" spans="1:19" ht="16.5" x14ac:dyDescent="0.3">
      <c r="A3850" t="s">
        <v>3913</v>
      </c>
      <c r="B3850" s="1">
        <v>45785</v>
      </c>
      <c r="C3850" s="1">
        <v>45788</v>
      </c>
      <c r="D3850">
        <v>2025</v>
      </c>
      <c r="E3850" t="s">
        <v>836</v>
      </c>
      <c r="F3850" t="s">
        <v>1062</v>
      </c>
      <c r="G3850" t="s">
        <v>78</v>
      </c>
      <c r="H3850" t="s">
        <v>50</v>
      </c>
      <c r="I3850" t="s">
        <v>40</v>
      </c>
      <c r="J3850" t="s">
        <v>25</v>
      </c>
      <c r="K3850" t="s">
        <v>26</v>
      </c>
      <c r="L3850" t="s">
        <v>37</v>
      </c>
      <c r="M3850">
        <v>3</v>
      </c>
      <c r="N3850" s="2"/>
      <c r="O3850" s="3">
        <v>5156</v>
      </c>
      <c r="P3850">
        <v>1</v>
      </c>
      <c r="Q3850">
        <v>4</v>
      </c>
      <c r="R3850" t="s">
        <v>33</v>
      </c>
      <c r="S3850">
        <v>1</v>
      </c>
    </row>
    <row r="3851" spans="1:19" ht="16.5" x14ac:dyDescent="0.3">
      <c r="A3851" t="s">
        <v>3914</v>
      </c>
      <c r="B3851" s="1">
        <v>45785</v>
      </c>
      <c r="C3851" s="1">
        <v>45786</v>
      </c>
      <c r="D3851">
        <v>2025</v>
      </c>
      <c r="E3851" t="s">
        <v>836</v>
      </c>
      <c r="F3851" t="s">
        <v>1062</v>
      </c>
      <c r="G3851" t="s">
        <v>78</v>
      </c>
      <c r="H3851" t="s">
        <v>23</v>
      </c>
      <c r="I3851" t="s">
        <v>31</v>
      </c>
      <c r="J3851" t="s">
        <v>25</v>
      </c>
      <c r="K3851" t="s">
        <v>36</v>
      </c>
      <c r="L3851" t="s">
        <v>44</v>
      </c>
      <c r="M3851">
        <v>1</v>
      </c>
      <c r="N3851" s="2"/>
      <c r="O3851" s="3">
        <v>2253</v>
      </c>
      <c r="P3851">
        <v>0</v>
      </c>
      <c r="Q3851">
        <v>4</v>
      </c>
      <c r="R3851" t="s">
        <v>33</v>
      </c>
      <c r="S3851">
        <v>1</v>
      </c>
    </row>
    <row r="3852" spans="1:19" ht="16.5" x14ac:dyDescent="0.3">
      <c r="A3852" t="s">
        <v>3915</v>
      </c>
      <c r="B3852" s="1">
        <v>45785</v>
      </c>
      <c r="C3852" s="1">
        <v>45797</v>
      </c>
      <c r="D3852">
        <v>2025</v>
      </c>
      <c r="E3852" t="s">
        <v>836</v>
      </c>
      <c r="F3852" t="s">
        <v>1062</v>
      </c>
      <c r="G3852" t="s">
        <v>78</v>
      </c>
      <c r="H3852" t="s">
        <v>23</v>
      </c>
      <c r="I3852" t="s">
        <v>24</v>
      </c>
      <c r="J3852" t="s">
        <v>25</v>
      </c>
      <c r="K3852" t="s">
        <v>53</v>
      </c>
      <c r="L3852" t="s">
        <v>27</v>
      </c>
      <c r="M3852">
        <v>12</v>
      </c>
      <c r="N3852" s="2">
        <v>21</v>
      </c>
      <c r="O3852" s="3">
        <v>6047</v>
      </c>
      <c r="P3852">
        <v>0</v>
      </c>
      <c r="Q3852">
        <v>5</v>
      </c>
      <c r="R3852" t="s">
        <v>33</v>
      </c>
      <c r="S3852">
        <v>1</v>
      </c>
    </row>
    <row r="3853" spans="1:19" ht="16.5" x14ac:dyDescent="0.3">
      <c r="A3853" t="s">
        <v>3916</v>
      </c>
      <c r="B3853" s="1">
        <v>45785</v>
      </c>
      <c r="C3853" s="1">
        <v>45787</v>
      </c>
      <c r="D3853">
        <v>2025</v>
      </c>
      <c r="E3853" t="s">
        <v>836</v>
      </c>
      <c r="F3853" t="s">
        <v>1062</v>
      </c>
      <c r="G3853" t="s">
        <v>78</v>
      </c>
      <c r="H3853" t="s">
        <v>30</v>
      </c>
      <c r="I3853" t="s">
        <v>24</v>
      </c>
      <c r="J3853" t="s">
        <v>43</v>
      </c>
      <c r="K3853" t="s">
        <v>32</v>
      </c>
      <c r="L3853" t="s">
        <v>44</v>
      </c>
      <c r="M3853">
        <v>2</v>
      </c>
      <c r="N3853" s="2">
        <v>102</v>
      </c>
      <c r="O3853" s="3">
        <v>3422</v>
      </c>
      <c r="P3853">
        <v>0</v>
      </c>
      <c r="Q3853">
        <v>2</v>
      </c>
      <c r="R3853" t="s">
        <v>33</v>
      </c>
      <c r="S3853">
        <v>1</v>
      </c>
    </row>
    <row r="3854" spans="1:19" ht="16.5" x14ac:dyDescent="0.3">
      <c r="A3854" t="s">
        <v>3917</v>
      </c>
      <c r="B3854" s="1">
        <v>45785</v>
      </c>
      <c r="C3854" s="1">
        <v>45790</v>
      </c>
      <c r="D3854">
        <v>2025</v>
      </c>
      <c r="E3854" t="s">
        <v>836</v>
      </c>
      <c r="F3854" t="s">
        <v>1062</v>
      </c>
      <c r="G3854" t="s">
        <v>78</v>
      </c>
      <c r="H3854" t="s">
        <v>52</v>
      </c>
      <c r="I3854" t="s">
        <v>40</v>
      </c>
      <c r="J3854" t="s">
        <v>43</v>
      </c>
      <c r="K3854" t="s">
        <v>36</v>
      </c>
      <c r="L3854" t="s">
        <v>27</v>
      </c>
      <c r="M3854">
        <v>5</v>
      </c>
      <c r="N3854" s="2"/>
      <c r="O3854" s="3">
        <v>4751</v>
      </c>
      <c r="P3854">
        <v>0</v>
      </c>
      <c r="Q3854">
        <v>5</v>
      </c>
      <c r="R3854" t="s">
        <v>28</v>
      </c>
      <c r="S3854">
        <v>1</v>
      </c>
    </row>
    <row r="3855" spans="1:19" ht="16.5" x14ac:dyDescent="0.3">
      <c r="A3855" t="s">
        <v>3918</v>
      </c>
      <c r="B3855" s="1">
        <v>45785</v>
      </c>
      <c r="C3855" s="1">
        <v>45786</v>
      </c>
      <c r="D3855">
        <v>2025</v>
      </c>
      <c r="E3855" t="s">
        <v>836</v>
      </c>
      <c r="F3855" t="s">
        <v>1062</v>
      </c>
      <c r="G3855" t="s">
        <v>78</v>
      </c>
      <c r="H3855" t="s">
        <v>50</v>
      </c>
      <c r="I3855" t="s">
        <v>24</v>
      </c>
      <c r="J3855" t="s">
        <v>43</v>
      </c>
      <c r="K3855" t="s">
        <v>32</v>
      </c>
      <c r="L3855" t="s">
        <v>44</v>
      </c>
      <c r="M3855">
        <v>1</v>
      </c>
      <c r="N3855" s="2">
        <v>69</v>
      </c>
      <c r="O3855" s="3">
        <v>1898</v>
      </c>
      <c r="P3855">
        <v>0</v>
      </c>
      <c r="Q3855">
        <v>5</v>
      </c>
      <c r="R3855" t="s">
        <v>33</v>
      </c>
      <c r="S3855">
        <v>1</v>
      </c>
    </row>
    <row r="3856" spans="1:19" ht="16.5" x14ac:dyDescent="0.3">
      <c r="A3856" t="s">
        <v>3919</v>
      </c>
      <c r="B3856" s="1">
        <v>45785</v>
      </c>
      <c r="C3856" s="1">
        <v>45788</v>
      </c>
      <c r="D3856">
        <v>2025</v>
      </c>
      <c r="E3856" t="s">
        <v>836</v>
      </c>
      <c r="F3856" t="s">
        <v>1062</v>
      </c>
      <c r="G3856" t="s">
        <v>78</v>
      </c>
      <c r="H3856" t="s">
        <v>52</v>
      </c>
      <c r="I3856" t="s">
        <v>40</v>
      </c>
      <c r="J3856" t="s">
        <v>43</v>
      </c>
      <c r="K3856" t="s">
        <v>36</v>
      </c>
      <c r="L3856" t="s">
        <v>44</v>
      </c>
      <c r="M3856">
        <v>3</v>
      </c>
      <c r="N3856" s="2"/>
      <c r="O3856" s="3">
        <v>4509</v>
      </c>
      <c r="P3856">
        <v>0</v>
      </c>
      <c r="Q3856">
        <v>5</v>
      </c>
      <c r="R3856" t="s">
        <v>33</v>
      </c>
      <c r="S3856">
        <v>1</v>
      </c>
    </row>
    <row r="3857" spans="1:19" ht="16.5" x14ac:dyDescent="0.3">
      <c r="A3857" t="s">
        <v>3920</v>
      </c>
      <c r="B3857" s="1">
        <v>45785</v>
      </c>
      <c r="C3857" s="1">
        <v>45791</v>
      </c>
      <c r="D3857">
        <v>2025</v>
      </c>
      <c r="E3857" t="s">
        <v>836</v>
      </c>
      <c r="F3857" t="s">
        <v>1062</v>
      </c>
      <c r="G3857" t="s">
        <v>78</v>
      </c>
      <c r="H3857" t="s">
        <v>23</v>
      </c>
      <c r="I3857" t="s">
        <v>24</v>
      </c>
      <c r="J3857" t="s">
        <v>43</v>
      </c>
      <c r="K3857" t="s">
        <v>53</v>
      </c>
      <c r="L3857" t="s">
        <v>37</v>
      </c>
      <c r="M3857">
        <v>6</v>
      </c>
      <c r="N3857" s="2">
        <v>25</v>
      </c>
      <c r="O3857" s="3">
        <v>4315</v>
      </c>
      <c r="P3857">
        <v>0</v>
      </c>
      <c r="Q3857">
        <v>5</v>
      </c>
      <c r="R3857" t="s">
        <v>28</v>
      </c>
      <c r="S3857">
        <v>1</v>
      </c>
    </row>
    <row r="3858" spans="1:19" ht="16.5" x14ac:dyDescent="0.3">
      <c r="A3858" t="s">
        <v>3921</v>
      </c>
      <c r="B3858" s="1">
        <v>45785</v>
      </c>
      <c r="C3858" s="1">
        <v>45791</v>
      </c>
      <c r="D3858">
        <v>2025</v>
      </c>
      <c r="E3858" t="s">
        <v>836</v>
      </c>
      <c r="F3858" t="s">
        <v>1062</v>
      </c>
      <c r="G3858" t="s">
        <v>78</v>
      </c>
      <c r="H3858" t="s">
        <v>50</v>
      </c>
      <c r="I3858" t="s">
        <v>31</v>
      </c>
      <c r="J3858" t="s">
        <v>25</v>
      </c>
      <c r="K3858" t="s">
        <v>36</v>
      </c>
      <c r="L3858" t="s">
        <v>27</v>
      </c>
      <c r="M3858">
        <v>6</v>
      </c>
      <c r="N3858" s="2"/>
      <c r="O3858" s="3">
        <v>7630</v>
      </c>
      <c r="P3858">
        <v>0</v>
      </c>
      <c r="Q3858">
        <v>5</v>
      </c>
      <c r="R3858" t="s">
        <v>33</v>
      </c>
      <c r="S3858">
        <v>1</v>
      </c>
    </row>
    <row r="3859" spans="1:19" ht="16.5" x14ac:dyDescent="0.3">
      <c r="A3859" t="s">
        <v>3922</v>
      </c>
      <c r="B3859" s="1">
        <v>45785</v>
      </c>
      <c r="C3859" s="1">
        <v>45791</v>
      </c>
      <c r="D3859">
        <v>2025</v>
      </c>
      <c r="E3859" t="s">
        <v>836</v>
      </c>
      <c r="F3859" t="s">
        <v>1062</v>
      </c>
      <c r="G3859" t="s">
        <v>78</v>
      </c>
      <c r="H3859" t="s">
        <v>23</v>
      </c>
      <c r="I3859" t="s">
        <v>24</v>
      </c>
      <c r="J3859" t="s">
        <v>43</v>
      </c>
      <c r="K3859" t="s">
        <v>26</v>
      </c>
      <c r="L3859" t="s">
        <v>37</v>
      </c>
      <c r="M3859">
        <v>6</v>
      </c>
      <c r="N3859" s="2">
        <v>26</v>
      </c>
      <c r="O3859" s="3">
        <v>3889</v>
      </c>
      <c r="P3859">
        <v>0</v>
      </c>
      <c r="Q3859">
        <v>5</v>
      </c>
      <c r="R3859" t="s">
        <v>59</v>
      </c>
      <c r="S3859">
        <v>1</v>
      </c>
    </row>
    <row r="3860" spans="1:19" ht="16.5" x14ac:dyDescent="0.3">
      <c r="A3860" t="s">
        <v>3923</v>
      </c>
      <c r="B3860" s="1">
        <v>45786</v>
      </c>
      <c r="C3860" s="1">
        <v>45787</v>
      </c>
      <c r="D3860">
        <v>2025</v>
      </c>
      <c r="E3860" t="s">
        <v>836</v>
      </c>
      <c r="F3860" t="s">
        <v>1062</v>
      </c>
      <c r="G3860" t="s">
        <v>83</v>
      </c>
      <c r="H3860" t="s">
        <v>39</v>
      </c>
      <c r="I3860" t="s">
        <v>24</v>
      </c>
      <c r="J3860" t="s">
        <v>43</v>
      </c>
      <c r="K3860" t="s">
        <v>41</v>
      </c>
      <c r="L3860" t="s">
        <v>37</v>
      </c>
      <c r="M3860">
        <v>1</v>
      </c>
      <c r="N3860" s="2">
        <v>19</v>
      </c>
      <c r="O3860" s="3">
        <v>1623</v>
      </c>
      <c r="P3860">
        <v>0</v>
      </c>
      <c r="Q3860">
        <v>4</v>
      </c>
      <c r="R3860" t="s">
        <v>33</v>
      </c>
      <c r="S3860">
        <v>1</v>
      </c>
    </row>
    <row r="3861" spans="1:19" ht="16.5" x14ac:dyDescent="0.3">
      <c r="A3861" t="s">
        <v>3924</v>
      </c>
      <c r="B3861" s="1">
        <v>45786</v>
      </c>
      <c r="C3861" s="1">
        <v>45792</v>
      </c>
      <c r="D3861">
        <v>2025</v>
      </c>
      <c r="E3861" t="s">
        <v>836</v>
      </c>
      <c r="F3861" t="s">
        <v>1062</v>
      </c>
      <c r="G3861" t="s">
        <v>83</v>
      </c>
      <c r="H3861" t="s">
        <v>35</v>
      </c>
      <c r="I3861" t="s">
        <v>24</v>
      </c>
      <c r="J3861" t="s">
        <v>25</v>
      </c>
      <c r="K3861" t="s">
        <v>32</v>
      </c>
      <c r="L3861" t="s">
        <v>27</v>
      </c>
      <c r="M3861">
        <v>6</v>
      </c>
      <c r="N3861" s="2">
        <v>123</v>
      </c>
      <c r="O3861" s="3">
        <v>4400</v>
      </c>
      <c r="P3861">
        <v>0</v>
      </c>
      <c r="Q3861">
        <v>2</v>
      </c>
      <c r="R3861" t="s">
        <v>33</v>
      </c>
      <c r="S3861">
        <v>1</v>
      </c>
    </row>
    <row r="3862" spans="1:19" ht="16.5" x14ac:dyDescent="0.3">
      <c r="A3862" t="s">
        <v>3925</v>
      </c>
      <c r="B3862" s="1">
        <v>45786</v>
      </c>
      <c r="C3862" s="1">
        <v>45787</v>
      </c>
      <c r="D3862">
        <v>2025</v>
      </c>
      <c r="E3862" t="s">
        <v>836</v>
      </c>
      <c r="F3862" t="s">
        <v>1062</v>
      </c>
      <c r="G3862" t="s">
        <v>83</v>
      </c>
      <c r="H3862" t="s">
        <v>35</v>
      </c>
      <c r="I3862" t="s">
        <v>24</v>
      </c>
      <c r="J3862" t="s">
        <v>25</v>
      </c>
      <c r="K3862" t="s">
        <v>32</v>
      </c>
      <c r="L3862" t="s">
        <v>44</v>
      </c>
      <c r="M3862">
        <v>1</v>
      </c>
      <c r="N3862" s="2">
        <v>58</v>
      </c>
      <c r="O3862" s="3">
        <v>1463</v>
      </c>
      <c r="P3862">
        <v>0</v>
      </c>
      <c r="Q3862">
        <v>4</v>
      </c>
      <c r="R3862" t="s">
        <v>33</v>
      </c>
      <c r="S3862">
        <v>1</v>
      </c>
    </row>
    <row r="3863" spans="1:19" ht="16.5" x14ac:dyDescent="0.3">
      <c r="A3863" t="s">
        <v>3926</v>
      </c>
      <c r="B3863" s="1">
        <v>45786</v>
      </c>
      <c r="C3863" s="1">
        <v>45788</v>
      </c>
      <c r="D3863">
        <v>2025</v>
      </c>
      <c r="E3863" t="s">
        <v>836</v>
      </c>
      <c r="F3863" t="s">
        <v>1062</v>
      </c>
      <c r="G3863" t="s">
        <v>83</v>
      </c>
      <c r="H3863" t="s">
        <v>30</v>
      </c>
      <c r="I3863" t="s">
        <v>40</v>
      </c>
      <c r="J3863" t="s">
        <v>43</v>
      </c>
      <c r="K3863" t="s">
        <v>32</v>
      </c>
      <c r="L3863" t="s">
        <v>44</v>
      </c>
      <c r="M3863">
        <v>2</v>
      </c>
      <c r="N3863" s="2"/>
      <c r="O3863" s="3">
        <v>3352</v>
      </c>
      <c r="P3863">
        <v>0</v>
      </c>
      <c r="Q3863">
        <v>4</v>
      </c>
      <c r="R3863" t="s">
        <v>33</v>
      </c>
      <c r="S3863">
        <v>1</v>
      </c>
    </row>
    <row r="3864" spans="1:19" ht="16.5" x14ac:dyDescent="0.3">
      <c r="A3864" t="s">
        <v>3927</v>
      </c>
      <c r="B3864" s="1">
        <v>45786</v>
      </c>
      <c r="C3864" s="1">
        <v>45790</v>
      </c>
      <c r="D3864">
        <v>2025</v>
      </c>
      <c r="E3864" t="s">
        <v>836</v>
      </c>
      <c r="F3864" t="s">
        <v>1062</v>
      </c>
      <c r="G3864" t="s">
        <v>83</v>
      </c>
      <c r="H3864" t="s">
        <v>50</v>
      </c>
      <c r="I3864" t="s">
        <v>31</v>
      </c>
      <c r="J3864" t="s">
        <v>25</v>
      </c>
      <c r="K3864" t="s">
        <v>32</v>
      </c>
      <c r="L3864" t="s">
        <v>44</v>
      </c>
      <c r="M3864">
        <v>4</v>
      </c>
      <c r="N3864" s="2"/>
      <c r="O3864" s="3">
        <v>6421</v>
      </c>
      <c r="P3864">
        <v>0</v>
      </c>
      <c r="Q3864">
        <v>5</v>
      </c>
      <c r="R3864" t="s">
        <v>33</v>
      </c>
      <c r="S3864">
        <v>1</v>
      </c>
    </row>
    <row r="3865" spans="1:19" ht="16.5" x14ac:dyDescent="0.3">
      <c r="A3865" t="s">
        <v>3928</v>
      </c>
      <c r="B3865" s="1">
        <v>45786</v>
      </c>
      <c r="C3865" s="1">
        <v>45789</v>
      </c>
      <c r="D3865">
        <v>2025</v>
      </c>
      <c r="E3865" t="s">
        <v>836</v>
      </c>
      <c r="F3865" t="s">
        <v>1062</v>
      </c>
      <c r="G3865" t="s">
        <v>83</v>
      </c>
      <c r="H3865" t="s">
        <v>52</v>
      </c>
      <c r="I3865" t="s">
        <v>40</v>
      </c>
      <c r="J3865" t="s">
        <v>43</v>
      </c>
      <c r="K3865" t="s">
        <v>32</v>
      </c>
      <c r="L3865" t="s">
        <v>44</v>
      </c>
      <c r="M3865">
        <v>3</v>
      </c>
      <c r="N3865" s="2"/>
      <c r="O3865" s="3">
        <v>2655</v>
      </c>
      <c r="P3865">
        <v>0</v>
      </c>
      <c r="Q3865">
        <v>5</v>
      </c>
      <c r="R3865" t="s">
        <v>33</v>
      </c>
      <c r="S3865">
        <v>1</v>
      </c>
    </row>
    <row r="3866" spans="1:19" ht="16.5" x14ac:dyDescent="0.3">
      <c r="A3866" t="s">
        <v>3929</v>
      </c>
      <c r="B3866" s="1">
        <v>45787</v>
      </c>
      <c r="C3866" s="1">
        <v>45789</v>
      </c>
      <c r="D3866">
        <v>2025</v>
      </c>
      <c r="E3866" t="s">
        <v>836</v>
      </c>
      <c r="F3866" t="s">
        <v>1062</v>
      </c>
      <c r="G3866" t="s">
        <v>102</v>
      </c>
      <c r="H3866" t="s">
        <v>30</v>
      </c>
      <c r="I3866" t="s">
        <v>24</v>
      </c>
      <c r="J3866" t="s">
        <v>25</v>
      </c>
      <c r="K3866" t="s">
        <v>53</v>
      </c>
      <c r="L3866" t="s">
        <v>44</v>
      </c>
      <c r="M3866">
        <v>2</v>
      </c>
      <c r="N3866" s="2">
        <v>19</v>
      </c>
      <c r="O3866" s="3">
        <v>2780</v>
      </c>
      <c r="P3866">
        <v>0</v>
      </c>
      <c r="Q3866">
        <v>5</v>
      </c>
      <c r="R3866" t="s">
        <v>28</v>
      </c>
      <c r="S3866">
        <v>1</v>
      </c>
    </row>
    <row r="3867" spans="1:19" ht="16.5" x14ac:dyDescent="0.3">
      <c r="A3867" t="s">
        <v>3930</v>
      </c>
      <c r="B3867" s="1">
        <v>45787</v>
      </c>
      <c r="C3867" s="1">
        <v>45792</v>
      </c>
      <c r="D3867">
        <v>2025</v>
      </c>
      <c r="E3867" t="s">
        <v>836</v>
      </c>
      <c r="F3867" t="s">
        <v>1062</v>
      </c>
      <c r="G3867" t="s">
        <v>102</v>
      </c>
      <c r="H3867" t="s">
        <v>30</v>
      </c>
      <c r="I3867" t="s">
        <v>24</v>
      </c>
      <c r="J3867" t="s">
        <v>43</v>
      </c>
      <c r="K3867" t="s">
        <v>53</v>
      </c>
      <c r="L3867" t="s">
        <v>37</v>
      </c>
      <c r="M3867">
        <v>5</v>
      </c>
      <c r="N3867" s="2">
        <v>101</v>
      </c>
      <c r="O3867" s="3">
        <v>5075</v>
      </c>
      <c r="P3867">
        <v>0</v>
      </c>
      <c r="Q3867">
        <v>4</v>
      </c>
      <c r="R3867" t="s">
        <v>33</v>
      </c>
      <c r="S3867">
        <v>1</v>
      </c>
    </row>
    <row r="3868" spans="1:19" ht="16.5" x14ac:dyDescent="0.3">
      <c r="A3868" t="s">
        <v>3931</v>
      </c>
      <c r="B3868" s="1">
        <v>45787</v>
      </c>
      <c r="C3868" s="1">
        <v>45796</v>
      </c>
      <c r="D3868">
        <v>2025</v>
      </c>
      <c r="E3868" t="s">
        <v>836</v>
      </c>
      <c r="F3868" t="s">
        <v>1062</v>
      </c>
      <c r="G3868" t="s">
        <v>102</v>
      </c>
      <c r="H3868" t="s">
        <v>52</v>
      </c>
      <c r="I3868" t="s">
        <v>40</v>
      </c>
      <c r="J3868" t="s">
        <v>25</v>
      </c>
      <c r="K3868" t="s">
        <v>26</v>
      </c>
      <c r="L3868" t="s">
        <v>27</v>
      </c>
      <c r="M3868">
        <v>9</v>
      </c>
      <c r="N3868" s="2"/>
      <c r="O3868" s="3">
        <v>10020</v>
      </c>
      <c r="P3868">
        <v>0</v>
      </c>
      <c r="Q3868">
        <v>4</v>
      </c>
      <c r="R3868" t="s">
        <v>33</v>
      </c>
      <c r="S3868">
        <v>1</v>
      </c>
    </row>
    <row r="3869" spans="1:19" ht="16.5" x14ac:dyDescent="0.3">
      <c r="A3869" t="s">
        <v>3932</v>
      </c>
      <c r="B3869" s="1">
        <v>45787</v>
      </c>
      <c r="C3869" s="1">
        <v>45789</v>
      </c>
      <c r="D3869">
        <v>2025</v>
      </c>
      <c r="E3869" t="s">
        <v>836</v>
      </c>
      <c r="F3869" t="s">
        <v>1062</v>
      </c>
      <c r="G3869" t="s">
        <v>102</v>
      </c>
      <c r="H3869" t="s">
        <v>35</v>
      </c>
      <c r="I3869" t="s">
        <v>24</v>
      </c>
      <c r="J3869" t="s">
        <v>25</v>
      </c>
      <c r="K3869" t="s">
        <v>36</v>
      </c>
      <c r="L3869" t="s">
        <v>44</v>
      </c>
      <c r="M3869">
        <v>2</v>
      </c>
      <c r="N3869" s="2">
        <v>17</v>
      </c>
      <c r="O3869" s="3">
        <v>2115</v>
      </c>
      <c r="P3869">
        <v>0</v>
      </c>
      <c r="Q3869">
        <v>4</v>
      </c>
      <c r="R3869" t="s">
        <v>28</v>
      </c>
      <c r="S3869">
        <v>1</v>
      </c>
    </row>
    <row r="3870" spans="1:19" ht="16.5" x14ac:dyDescent="0.3">
      <c r="A3870" t="s">
        <v>3933</v>
      </c>
      <c r="B3870" s="1">
        <v>45787</v>
      </c>
      <c r="C3870" s="1">
        <v>45792</v>
      </c>
      <c r="D3870">
        <v>2025</v>
      </c>
      <c r="E3870" t="s">
        <v>836</v>
      </c>
      <c r="F3870" t="s">
        <v>1062</v>
      </c>
      <c r="G3870" t="s">
        <v>102</v>
      </c>
      <c r="H3870" t="s">
        <v>50</v>
      </c>
      <c r="I3870" t="s">
        <v>24</v>
      </c>
      <c r="J3870" t="s">
        <v>43</v>
      </c>
      <c r="K3870" t="s">
        <v>32</v>
      </c>
      <c r="L3870" t="s">
        <v>27</v>
      </c>
      <c r="M3870">
        <v>5</v>
      </c>
      <c r="N3870" s="2">
        <v>132</v>
      </c>
      <c r="O3870" s="3">
        <v>5388</v>
      </c>
      <c r="P3870">
        <v>0</v>
      </c>
      <c r="Q3870">
        <v>4</v>
      </c>
      <c r="R3870" t="s">
        <v>33</v>
      </c>
      <c r="S3870">
        <v>1</v>
      </c>
    </row>
    <row r="3871" spans="1:19" ht="16.5" x14ac:dyDescent="0.3">
      <c r="A3871" t="s">
        <v>3934</v>
      </c>
      <c r="B3871" s="1">
        <v>45787</v>
      </c>
      <c r="C3871" s="1">
        <v>45796</v>
      </c>
      <c r="D3871">
        <v>2025</v>
      </c>
      <c r="E3871" t="s">
        <v>836</v>
      </c>
      <c r="F3871" t="s">
        <v>1062</v>
      </c>
      <c r="G3871" t="s">
        <v>102</v>
      </c>
      <c r="H3871" t="s">
        <v>23</v>
      </c>
      <c r="I3871" t="s">
        <v>24</v>
      </c>
      <c r="J3871" t="s">
        <v>43</v>
      </c>
      <c r="K3871" t="s">
        <v>26</v>
      </c>
      <c r="L3871" t="s">
        <v>27</v>
      </c>
      <c r="M3871">
        <v>9</v>
      </c>
      <c r="N3871" s="2">
        <v>88</v>
      </c>
      <c r="O3871" s="3">
        <v>7048</v>
      </c>
      <c r="P3871">
        <v>0</v>
      </c>
      <c r="Q3871">
        <v>5</v>
      </c>
      <c r="R3871" t="s">
        <v>33</v>
      </c>
      <c r="S3871">
        <v>1</v>
      </c>
    </row>
    <row r="3872" spans="1:19" ht="16.5" x14ac:dyDescent="0.3">
      <c r="A3872" t="s">
        <v>3935</v>
      </c>
      <c r="B3872" s="1">
        <v>45788</v>
      </c>
      <c r="C3872" s="1">
        <v>45791</v>
      </c>
      <c r="D3872">
        <v>2025</v>
      </c>
      <c r="E3872" t="s">
        <v>836</v>
      </c>
      <c r="F3872" t="s">
        <v>1062</v>
      </c>
      <c r="G3872" t="s">
        <v>112</v>
      </c>
      <c r="H3872" t="s">
        <v>23</v>
      </c>
      <c r="I3872" t="s">
        <v>24</v>
      </c>
      <c r="J3872" t="s">
        <v>25</v>
      </c>
      <c r="K3872" t="s">
        <v>26</v>
      </c>
      <c r="L3872" t="s">
        <v>44</v>
      </c>
      <c r="M3872">
        <v>3</v>
      </c>
      <c r="N3872" s="2">
        <v>12</v>
      </c>
      <c r="O3872" s="3">
        <v>2450</v>
      </c>
      <c r="P3872">
        <v>0</v>
      </c>
      <c r="Q3872">
        <v>4</v>
      </c>
      <c r="R3872" t="s">
        <v>28</v>
      </c>
      <c r="S3872">
        <v>1</v>
      </c>
    </row>
    <row r="3873" spans="1:19" ht="16.5" x14ac:dyDescent="0.3">
      <c r="A3873" t="s">
        <v>3936</v>
      </c>
      <c r="B3873" s="1">
        <v>45788</v>
      </c>
      <c r="C3873" s="1">
        <v>45791</v>
      </c>
      <c r="D3873">
        <v>2025</v>
      </c>
      <c r="E3873" t="s">
        <v>836</v>
      </c>
      <c r="F3873" t="s">
        <v>1062</v>
      </c>
      <c r="G3873" t="s">
        <v>112</v>
      </c>
      <c r="H3873" t="s">
        <v>52</v>
      </c>
      <c r="I3873" t="s">
        <v>24</v>
      </c>
      <c r="J3873" t="s">
        <v>25</v>
      </c>
      <c r="K3873" t="s">
        <v>53</v>
      </c>
      <c r="L3873" t="s">
        <v>44</v>
      </c>
      <c r="M3873">
        <v>3</v>
      </c>
      <c r="N3873" s="2">
        <v>55</v>
      </c>
      <c r="O3873" s="3">
        <v>3713</v>
      </c>
      <c r="P3873">
        <v>0</v>
      </c>
      <c r="Q3873">
        <v>5</v>
      </c>
      <c r="R3873" t="s">
        <v>33</v>
      </c>
      <c r="S3873">
        <v>1</v>
      </c>
    </row>
    <row r="3874" spans="1:19" ht="16.5" x14ac:dyDescent="0.3">
      <c r="A3874" t="s">
        <v>3937</v>
      </c>
      <c r="B3874" s="1">
        <v>45788</v>
      </c>
      <c r="C3874" s="1">
        <v>45794</v>
      </c>
      <c r="D3874">
        <v>2025</v>
      </c>
      <c r="E3874" t="s">
        <v>836</v>
      </c>
      <c r="F3874" t="s">
        <v>1062</v>
      </c>
      <c r="G3874" t="s">
        <v>112</v>
      </c>
      <c r="H3874" t="s">
        <v>23</v>
      </c>
      <c r="I3874" t="s">
        <v>24</v>
      </c>
      <c r="J3874" t="s">
        <v>43</v>
      </c>
      <c r="K3874" t="s">
        <v>26</v>
      </c>
      <c r="L3874" t="s">
        <v>44</v>
      </c>
      <c r="M3874">
        <v>6</v>
      </c>
      <c r="N3874" s="2">
        <v>16</v>
      </c>
      <c r="O3874" s="3">
        <v>4086</v>
      </c>
      <c r="P3874">
        <v>0</v>
      </c>
      <c r="Q3874">
        <v>5</v>
      </c>
      <c r="R3874" t="s">
        <v>33</v>
      </c>
      <c r="S3874">
        <v>1</v>
      </c>
    </row>
    <row r="3875" spans="1:19" ht="16.5" x14ac:dyDescent="0.3">
      <c r="A3875" t="s">
        <v>3938</v>
      </c>
      <c r="B3875" s="1">
        <v>45789</v>
      </c>
      <c r="C3875" s="1">
        <v>45796</v>
      </c>
      <c r="D3875">
        <v>2025</v>
      </c>
      <c r="E3875" t="s">
        <v>836</v>
      </c>
      <c r="F3875" t="s">
        <v>1062</v>
      </c>
      <c r="G3875" t="s">
        <v>22</v>
      </c>
      <c r="H3875" t="s">
        <v>23</v>
      </c>
      <c r="I3875" t="s">
        <v>24</v>
      </c>
      <c r="J3875" t="s">
        <v>25</v>
      </c>
      <c r="K3875" t="s">
        <v>26</v>
      </c>
      <c r="L3875" t="s">
        <v>44</v>
      </c>
      <c r="M3875">
        <v>7</v>
      </c>
      <c r="N3875" s="2">
        <v>150</v>
      </c>
      <c r="O3875" s="3">
        <v>5034</v>
      </c>
      <c r="P3875">
        <v>0</v>
      </c>
      <c r="Q3875">
        <v>3</v>
      </c>
      <c r="R3875" t="s">
        <v>28</v>
      </c>
      <c r="S3875">
        <v>1</v>
      </c>
    </row>
    <row r="3876" spans="1:19" ht="16.5" x14ac:dyDescent="0.3">
      <c r="A3876" t="s">
        <v>3939</v>
      </c>
      <c r="B3876" s="1">
        <v>45789</v>
      </c>
      <c r="C3876" s="1">
        <v>45791</v>
      </c>
      <c r="D3876">
        <v>2025</v>
      </c>
      <c r="E3876" t="s">
        <v>836</v>
      </c>
      <c r="F3876" t="s">
        <v>1062</v>
      </c>
      <c r="G3876" t="s">
        <v>22</v>
      </c>
      <c r="H3876" t="s">
        <v>35</v>
      </c>
      <c r="I3876" t="s">
        <v>24</v>
      </c>
      <c r="J3876" t="s">
        <v>25</v>
      </c>
      <c r="K3876" t="s">
        <v>36</v>
      </c>
      <c r="L3876" t="s">
        <v>27</v>
      </c>
      <c r="M3876">
        <v>2</v>
      </c>
      <c r="N3876" s="2">
        <v>26</v>
      </c>
      <c r="O3876" s="3">
        <v>2077</v>
      </c>
      <c r="P3876">
        <v>0</v>
      </c>
      <c r="Q3876">
        <v>4</v>
      </c>
      <c r="R3876" t="s">
        <v>33</v>
      </c>
      <c r="S3876">
        <v>1</v>
      </c>
    </row>
    <row r="3877" spans="1:19" ht="16.5" x14ac:dyDescent="0.3">
      <c r="A3877" t="s">
        <v>3940</v>
      </c>
      <c r="B3877" s="1">
        <v>45789</v>
      </c>
      <c r="C3877" s="1">
        <v>45799</v>
      </c>
      <c r="D3877">
        <v>2025</v>
      </c>
      <c r="E3877" t="s">
        <v>836</v>
      </c>
      <c r="F3877" t="s">
        <v>1062</v>
      </c>
      <c r="G3877" t="s">
        <v>22</v>
      </c>
      <c r="H3877" t="s">
        <v>23</v>
      </c>
      <c r="I3877" t="s">
        <v>40</v>
      </c>
      <c r="J3877" t="s">
        <v>25</v>
      </c>
      <c r="K3877" t="s">
        <v>53</v>
      </c>
      <c r="L3877" t="s">
        <v>27</v>
      </c>
      <c r="M3877">
        <v>10</v>
      </c>
      <c r="N3877" s="2"/>
      <c r="O3877" s="3">
        <v>7914</v>
      </c>
      <c r="P3877">
        <v>1</v>
      </c>
      <c r="Q3877">
        <v>3</v>
      </c>
      <c r="R3877" t="s">
        <v>33</v>
      </c>
      <c r="S3877">
        <v>1</v>
      </c>
    </row>
    <row r="3878" spans="1:19" ht="16.5" x14ac:dyDescent="0.3">
      <c r="A3878" t="s">
        <v>3941</v>
      </c>
      <c r="B3878" s="1">
        <v>45789</v>
      </c>
      <c r="C3878" s="1">
        <v>45791</v>
      </c>
      <c r="D3878">
        <v>2025</v>
      </c>
      <c r="E3878" t="s">
        <v>836</v>
      </c>
      <c r="F3878" t="s">
        <v>1062</v>
      </c>
      <c r="G3878" t="s">
        <v>22</v>
      </c>
      <c r="H3878" t="s">
        <v>52</v>
      </c>
      <c r="I3878" t="s">
        <v>24</v>
      </c>
      <c r="J3878" t="s">
        <v>25</v>
      </c>
      <c r="K3878" t="s">
        <v>53</v>
      </c>
      <c r="L3878" t="s">
        <v>27</v>
      </c>
      <c r="M3878">
        <v>2</v>
      </c>
      <c r="N3878" s="2">
        <v>43</v>
      </c>
      <c r="O3878" s="3">
        <v>2606</v>
      </c>
      <c r="P3878">
        <v>0</v>
      </c>
      <c r="Q3878">
        <v>5</v>
      </c>
      <c r="R3878" t="s">
        <v>33</v>
      </c>
      <c r="S3878">
        <v>1</v>
      </c>
    </row>
    <row r="3879" spans="1:19" ht="16.5" x14ac:dyDescent="0.3">
      <c r="A3879" t="s">
        <v>3942</v>
      </c>
      <c r="B3879" s="1">
        <v>45789</v>
      </c>
      <c r="C3879" s="1">
        <v>45792</v>
      </c>
      <c r="D3879">
        <v>2025</v>
      </c>
      <c r="E3879" t="s">
        <v>836</v>
      </c>
      <c r="F3879" t="s">
        <v>1062</v>
      </c>
      <c r="G3879" t="s">
        <v>22</v>
      </c>
      <c r="H3879" t="s">
        <v>30</v>
      </c>
      <c r="I3879" t="s">
        <v>40</v>
      </c>
      <c r="J3879" t="s">
        <v>25</v>
      </c>
      <c r="K3879" t="s">
        <v>26</v>
      </c>
      <c r="L3879" t="s">
        <v>27</v>
      </c>
      <c r="M3879">
        <v>3</v>
      </c>
      <c r="N3879" s="2"/>
      <c r="O3879" s="3">
        <v>3718</v>
      </c>
      <c r="P3879">
        <v>0</v>
      </c>
      <c r="Q3879">
        <v>5</v>
      </c>
      <c r="R3879" t="s">
        <v>28</v>
      </c>
      <c r="S3879">
        <v>1</v>
      </c>
    </row>
    <row r="3880" spans="1:19" ht="16.5" x14ac:dyDescent="0.3">
      <c r="A3880" t="s">
        <v>3943</v>
      </c>
      <c r="B3880" s="1">
        <v>45789</v>
      </c>
      <c r="C3880" s="1">
        <v>45795</v>
      </c>
      <c r="D3880">
        <v>2025</v>
      </c>
      <c r="E3880" t="s">
        <v>836</v>
      </c>
      <c r="F3880" t="s">
        <v>1062</v>
      </c>
      <c r="G3880" t="s">
        <v>22</v>
      </c>
      <c r="H3880" t="s">
        <v>52</v>
      </c>
      <c r="I3880" t="s">
        <v>24</v>
      </c>
      <c r="J3880" t="s">
        <v>25</v>
      </c>
      <c r="K3880" t="s">
        <v>53</v>
      </c>
      <c r="L3880" t="s">
        <v>44</v>
      </c>
      <c r="M3880">
        <v>6</v>
      </c>
      <c r="N3880" s="2">
        <v>77</v>
      </c>
      <c r="O3880" s="3">
        <v>7474</v>
      </c>
      <c r="P3880">
        <v>0</v>
      </c>
      <c r="Q3880">
        <v>4</v>
      </c>
      <c r="R3880" t="s">
        <v>33</v>
      </c>
      <c r="S3880">
        <v>1</v>
      </c>
    </row>
    <row r="3881" spans="1:19" ht="16.5" x14ac:dyDescent="0.3">
      <c r="A3881" t="s">
        <v>3944</v>
      </c>
      <c r="B3881" s="1">
        <v>45789</v>
      </c>
      <c r="C3881" s="1">
        <v>45796</v>
      </c>
      <c r="D3881">
        <v>2025</v>
      </c>
      <c r="E3881" t="s">
        <v>836</v>
      </c>
      <c r="F3881" t="s">
        <v>1062</v>
      </c>
      <c r="G3881" t="s">
        <v>22</v>
      </c>
      <c r="H3881" t="s">
        <v>30</v>
      </c>
      <c r="I3881" t="s">
        <v>40</v>
      </c>
      <c r="J3881" t="s">
        <v>43</v>
      </c>
      <c r="K3881" t="s">
        <v>53</v>
      </c>
      <c r="L3881" t="s">
        <v>27</v>
      </c>
      <c r="M3881">
        <v>7</v>
      </c>
      <c r="N3881" s="2"/>
      <c r="O3881" s="3">
        <v>6780</v>
      </c>
      <c r="P3881">
        <v>0</v>
      </c>
      <c r="Q3881">
        <v>4</v>
      </c>
      <c r="R3881" t="s">
        <v>33</v>
      </c>
      <c r="S3881">
        <v>1</v>
      </c>
    </row>
    <row r="3882" spans="1:19" ht="16.5" x14ac:dyDescent="0.3">
      <c r="A3882" t="s">
        <v>3945</v>
      </c>
      <c r="B3882" s="1">
        <v>45789</v>
      </c>
      <c r="C3882" s="1">
        <v>45792</v>
      </c>
      <c r="D3882">
        <v>2025</v>
      </c>
      <c r="E3882" t="s">
        <v>836</v>
      </c>
      <c r="F3882" t="s">
        <v>1062</v>
      </c>
      <c r="G3882" t="s">
        <v>22</v>
      </c>
      <c r="H3882" t="s">
        <v>30</v>
      </c>
      <c r="I3882" t="s">
        <v>40</v>
      </c>
      <c r="J3882" t="s">
        <v>43</v>
      </c>
      <c r="K3882" t="s">
        <v>32</v>
      </c>
      <c r="L3882" t="s">
        <v>27</v>
      </c>
      <c r="M3882">
        <v>3</v>
      </c>
      <c r="N3882" s="2"/>
      <c r="O3882" s="3">
        <v>3863</v>
      </c>
      <c r="P3882">
        <v>0</v>
      </c>
      <c r="Q3882">
        <v>4</v>
      </c>
      <c r="R3882" t="s">
        <v>33</v>
      </c>
      <c r="S3882">
        <v>1</v>
      </c>
    </row>
    <row r="3883" spans="1:19" ht="16.5" x14ac:dyDescent="0.3">
      <c r="A3883" t="s">
        <v>3946</v>
      </c>
      <c r="B3883" s="1">
        <v>45789</v>
      </c>
      <c r="C3883" s="1">
        <v>45792</v>
      </c>
      <c r="D3883">
        <v>2025</v>
      </c>
      <c r="E3883" t="s">
        <v>836</v>
      </c>
      <c r="F3883" t="s">
        <v>1062</v>
      </c>
      <c r="G3883" t="s">
        <v>22</v>
      </c>
      <c r="H3883" t="s">
        <v>30</v>
      </c>
      <c r="I3883" t="s">
        <v>31</v>
      </c>
      <c r="J3883" t="s">
        <v>25</v>
      </c>
      <c r="K3883" t="s">
        <v>32</v>
      </c>
      <c r="L3883" t="s">
        <v>27</v>
      </c>
      <c r="M3883">
        <v>3</v>
      </c>
      <c r="N3883" s="2"/>
      <c r="O3883" s="3">
        <v>3638</v>
      </c>
      <c r="P3883">
        <v>0</v>
      </c>
      <c r="Q3883">
        <v>4</v>
      </c>
      <c r="R3883" t="s">
        <v>33</v>
      </c>
      <c r="S3883">
        <v>1</v>
      </c>
    </row>
    <row r="3884" spans="1:19" ht="16.5" x14ac:dyDescent="0.3">
      <c r="A3884" t="s">
        <v>3947</v>
      </c>
      <c r="B3884" s="1">
        <v>45790</v>
      </c>
      <c r="C3884" s="1">
        <v>45791</v>
      </c>
      <c r="D3884">
        <v>2025</v>
      </c>
      <c r="E3884" t="s">
        <v>836</v>
      </c>
      <c r="F3884" t="s">
        <v>1062</v>
      </c>
      <c r="G3884" t="s">
        <v>56</v>
      </c>
      <c r="H3884" t="s">
        <v>39</v>
      </c>
      <c r="I3884" t="s">
        <v>40</v>
      </c>
      <c r="J3884" t="s">
        <v>43</v>
      </c>
      <c r="K3884" t="s">
        <v>41</v>
      </c>
      <c r="L3884" t="s">
        <v>37</v>
      </c>
      <c r="M3884">
        <v>1</v>
      </c>
      <c r="N3884" s="2"/>
      <c r="O3884" s="3">
        <v>1138</v>
      </c>
      <c r="P3884">
        <v>0</v>
      </c>
      <c r="Q3884">
        <v>3</v>
      </c>
      <c r="R3884" t="s">
        <v>33</v>
      </c>
      <c r="S3884">
        <v>1</v>
      </c>
    </row>
    <row r="3885" spans="1:19" ht="16.5" x14ac:dyDescent="0.3">
      <c r="A3885" t="s">
        <v>3948</v>
      </c>
      <c r="B3885" s="1">
        <v>45790</v>
      </c>
      <c r="C3885" s="1">
        <v>45804</v>
      </c>
      <c r="D3885">
        <v>2025</v>
      </c>
      <c r="E3885" t="s">
        <v>836</v>
      </c>
      <c r="F3885" t="s">
        <v>1062</v>
      </c>
      <c r="G3885" t="s">
        <v>56</v>
      </c>
      <c r="H3885" t="s">
        <v>23</v>
      </c>
      <c r="I3885" t="s">
        <v>24</v>
      </c>
      <c r="J3885" t="s">
        <v>25</v>
      </c>
      <c r="K3885" t="s">
        <v>26</v>
      </c>
      <c r="L3885" t="s">
        <v>27</v>
      </c>
      <c r="M3885">
        <v>14</v>
      </c>
      <c r="N3885" s="2">
        <v>44</v>
      </c>
      <c r="O3885" s="3">
        <v>11018</v>
      </c>
      <c r="P3885">
        <v>0</v>
      </c>
      <c r="Q3885">
        <v>3</v>
      </c>
      <c r="R3885" t="s">
        <v>28</v>
      </c>
      <c r="S3885">
        <v>1</v>
      </c>
    </row>
    <row r="3886" spans="1:19" ht="16.5" x14ac:dyDescent="0.3">
      <c r="A3886" t="s">
        <v>3949</v>
      </c>
      <c r="B3886" s="1">
        <v>45790</v>
      </c>
      <c r="C3886" s="1">
        <v>45799</v>
      </c>
      <c r="D3886">
        <v>2025</v>
      </c>
      <c r="E3886" t="s">
        <v>836</v>
      </c>
      <c r="F3886" t="s">
        <v>1062</v>
      </c>
      <c r="G3886" t="s">
        <v>56</v>
      </c>
      <c r="H3886" t="s">
        <v>30</v>
      </c>
      <c r="I3886" t="s">
        <v>40</v>
      </c>
      <c r="J3886" t="s">
        <v>43</v>
      </c>
      <c r="K3886" t="s">
        <v>26</v>
      </c>
      <c r="L3886" t="s">
        <v>44</v>
      </c>
      <c r="M3886">
        <v>9</v>
      </c>
      <c r="N3886" s="2"/>
      <c r="O3886" s="3">
        <v>7893</v>
      </c>
      <c r="P3886">
        <v>0</v>
      </c>
      <c r="Q3886">
        <v>4</v>
      </c>
      <c r="R3886" t="s">
        <v>33</v>
      </c>
      <c r="S3886">
        <v>1</v>
      </c>
    </row>
    <row r="3887" spans="1:19" ht="16.5" x14ac:dyDescent="0.3">
      <c r="A3887" t="s">
        <v>3950</v>
      </c>
      <c r="B3887" s="1">
        <v>45790</v>
      </c>
      <c r="C3887" s="1">
        <v>45794</v>
      </c>
      <c r="D3887">
        <v>2025</v>
      </c>
      <c r="E3887" t="s">
        <v>836</v>
      </c>
      <c r="F3887" t="s">
        <v>1062</v>
      </c>
      <c r="G3887" t="s">
        <v>56</v>
      </c>
      <c r="H3887" t="s">
        <v>23</v>
      </c>
      <c r="I3887" t="s">
        <v>24</v>
      </c>
      <c r="J3887" t="s">
        <v>25</v>
      </c>
      <c r="K3887" t="s">
        <v>36</v>
      </c>
      <c r="L3887" t="s">
        <v>44</v>
      </c>
      <c r="M3887">
        <v>4</v>
      </c>
      <c r="N3887" s="2">
        <v>42</v>
      </c>
      <c r="O3887" s="3">
        <v>2588</v>
      </c>
      <c r="P3887">
        <v>0</v>
      </c>
      <c r="Q3887">
        <v>4</v>
      </c>
      <c r="R3887" t="s">
        <v>33</v>
      </c>
      <c r="S3887">
        <v>1</v>
      </c>
    </row>
    <row r="3888" spans="1:19" ht="16.5" x14ac:dyDescent="0.3">
      <c r="A3888" t="s">
        <v>3951</v>
      </c>
      <c r="B3888" s="1">
        <v>45790</v>
      </c>
      <c r="C3888" s="1">
        <v>45792</v>
      </c>
      <c r="D3888">
        <v>2025</v>
      </c>
      <c r="E3888" t="s">
        <v>836</v>
      </c>
      <c r="F3888" t="s">
        <v>1062</v>
      </c>
      <c r="G3888" t="s">
        <v>56</v>
      </c>
      <c r="H3888" t="s">
        <v>50</v>
      </c>
      <c r="I3888" t="s">
        <v>24</v>
      </c>
      <c r="J3888" t="s">
        <v>25</v>
      </c>
      <c r="K3888" t="s">
        <v>53</v>
      </c>
      <c r="L3888" t="s">
        <v>44</v>
      </c>
      <c r="M3888">
        <v>2</v>
      </c>
      <c r="N3888" s="2">
        <v>31</v>
      </c>
      <c r="O3888" s="3">
        <v>2546</v>
      </c>
      <c r="P3888">
        <v>0</v>
      </c>
      <c r="Q3888">
        <v>4</v>
      </c>
      <c r="R3888" t="s">
        <v>28</v>
      </c>
      <c r="S3888">
        <v>1</v>
      </c>
    </row>
    <row r="3889" spans="1:19" ht="16.5" x14ac:dyDescent="0.3">
      <c r="A3889" t="s">
        <v>3952</v>
      </c>
      <c r="B3889" s="1">
        <v>45790</v>
      </c>
      <c r="C3889" s="1">
        <v>45795</v>
      </c>
      <c r="D3889">
        <v>2025</v>
      </c>
      <c r="E3889" t="s">
        <v>836</v>
      </c>
      <c r="F3889" t="s">
        <v>1062</v>
      </c>
      <c r="G3889" t="s">
        <v>56</v>
      </c>
      <c r="H3889" t="s">
        <v>50</v>
      </c>
      <c r="I3889" t="s">
        <v>31</v>
      </c>
      <c r="J3889" t="s">
        <v>43</v>
      </c>
      <c r="K3889" t="s">
        <v>32</v>
      </c>
      <c r="L3889" t="s">
        <v>27</v>
      </c>
      <c r="M3889">
        <v>5</v>
      </c>
      <c r="N3889" s="2"/>
      <c r="O3889" s="3">
        <v>6942</v>
      </c>
      <c r="P3889">
        <v>0</v>
      </c>
      <c r="Q3889">
        <v>3</v>
      </c>
      <c r="R3889" t="s">
        <v>33</v>
      </c>
      <c r="S3889">
        <v>1</v>
      </c>
    </row>
    <row r="3890" spans="1:19" ht="16.5" x14ac:dyDescent="0.3">
      <c r="A3890" t="s">
        <v>3953</v>
      </c>
      <c r="B3890" s="1">
        <v>45790</v>
      </c>
      <c r="C3890" s="1">
        <v>45795</v>
      </c>
      <c r="D3890">
        <v>2025</v>
      </c>
      <c r="E3890" t="s">
        <v>836</v>
      </c>
      <c r="F3890" t="s">
        <v>1062</v>
      </c>
      <c r="G3890" t="s">
        <v>56</v>
      </c>
      <c r="H3890" t="s">
        <v>35</v>
      </c>
      <c r="I3890" t="s">
        <v>24</v>
      </c>
      <c r="J3890" t="s">
        <v>25</v>
      </c>
      <c r="K3890" t="s">
        <v>32</v>
      </c>
      <c r="L3890" t="s">
        <v>44</v>
      </c>
      <c r="M3890">
        <v>5</v>
      </c>
      <c r="N3890" s="2">
        <v>51</v>
      </c>
      <c r="O3890" s="3">
        <v>3213</v>
      </c>
      <c r="P3890">
        <v>0</v>
      </c>
      <c r="Q3890">
        <v>4</v>
      </c>
      <c r="R3890" t="s">
        <v>59</v>
      </c>
      <c r="S3890">
        <v>1</v>
      </c>
    </row>
    <row r="3891" spans="1:19" ht="16.5" x14ac:dyDescent="0.3">
      <c r="A3891" t="s">
        <v>3954</v>
      </c>
      <c r="B3891" s="1">
        <v>45790</v>
      </c>
      <c r="C3891" s="1">
        <v>45803</v>
      </c>
      <c r="D3891">
        <v>2025</v>
      </c>
      <c r="E3891" t="s">
        <v>836</v>
      </c>
      <c r="F3891" t="s">
        <v>1062</v>
      </c>
      <c r="G3891" t="s">
        <v>56</v>
      </c>
      <c r="H3891" t="s">
        <v>50</v>
      </c>
      <c r="I3891" t="s">
        <v>24</v>
      </c>
      <c r="J3891" t="s">
        <v>25</v>
      </c>
      <c r="K3891" t="s">
        <v>53</v>
      </c>
      <c r="L3891" t="s">
        <v>37</v>
      </c>
      <c r="M3891">
        <v>13</v>
      </c>
      <c r="N3891" s="2">
        <v>33</v>
      </c>
      <c r="O3891" s="3">
        <v>18944</v>
      </c>
      <c r="P3891">
        <v>0</v>
      </c>
      <c r="Q3891">
        <v>4</v>
      </c>
      <c r="R3891" t="s">
        <v>33</v>
      </c>
      <c r="S3891">
        <v>1</v>
      </c>
    </row>
    <row r="3892" spans="1:19" ht="16.5" x14ac:dyDescent="0.3">
      <c r="A3892" t="s">
        <v>3955</v>
      </c>
      <c r="B3892" s="1">
        <v>45790</v>
      </c>
      <c r="C3892" s="1">
        <v>45792</v>
      </c>
      <c r="D3892">
        <v>2025</v>
      </c>
      <c r="E3892" t="s">
        <v>836</v>
      </c>
      <c r="F3892" t="s">
        <v>1062</v>
      </c>
      <c r="G3892" t="s">
        <v>56</v>
      </c>
      <c r="H3892" t="s">
        <v>39</v>
      </c>
      <c r="I3892" t="s">
        <v>24</v>
      </c>
      <c r="J3892" t="s">
        <v>43</v>
      </c>
      <c r="K3892" t="s">
        <v>41</v>
      </c>
      <c r="L3892" t="s">
        <v>27</v>
      </c>
      <c r="M3892">
        <v>2</v>
      </c>
      <c r="N3892" s="2">
        <v>60</v>
      </c>
      <c r="O3892" s="3">
        <v>1954</v>
      </c>
      <c r="P3892">
        <v>0</v>
      </c>
      <c r="Q3892">
        <v>5</v>
      </c>
      <c r="R3892" t="s">
        <v>33</v>
      </c>
      <c r="S3892">
        <v>1</v>
      </c>
    </row>
    <row r="3893" spans="1:19" ht="16.5" x14ac:dyDescent="0.3">
      <c r="A3893" t="s">
        <v>3956</v>
      </c>
      <c r="B3893" s="1">
        <v>45791</v>
      </c>
      <c r="C3893" s="1">
        <v>45804</v>
      </c>
      <c r="D3893">
        <v>2025</v>
      </c>
      <c r="E3893" t="s">
        <v>836</v>
      </c>
      <c r="F3893" t="s">
        <v>1062</v>
      </c>
      <c r="G3893" t="s">
        <v>70</v>
      </c>
      <c r="H3893" t="s">
        <v>23</v>
      </c>
      <c r="I3893" t="s">
        <v>24</v>
      </c>
      <c r="J3893" t="s">
        <v>43</v>
      </c>
      <c r="K3893" t="s">
        <v>26</v>
      </c>
      <c r="L3893" t="s">
        <v>44</v>
      </c>
      <c r="M3893">
        <v>13</v>
      </c>
      <c r="N3893" s="2">
        <v>43</v>
      </c>
      <c r="O3893" s="3">
        <v>9614</v>
      </c>
      <c r="P3893">
        <v>0</v>
      </c>
      <c r="Q3893">
        <v>3</v>
      </c>
      <c r="R3893" t="s">
        <v>33</v>
      </c>
      <c r="S3893">
        <v>1</v>
      </c>
    </row>
    <row r="3894" spans="1:19" ht="16.5" x14ac:dyDescent="0.3">
      <c r="A3894" t="s">
        <v>3957</v>
      </c>
      <c r="B3894" s="1">
        <v>45791</v>
      </c>
      <c r="C3894" s="1">
        <v>45792</v>
      </c>
      <c r="D3894">
        <v>2025</v>
      </c>
      <c r="E3894" t="s">
        <v>836</v>
      </c>
      <c r="F3894" t="s">
        <v>1062</v>
      </c>
      <c r="G3894" t="s">
        <v>70</v>
      </c>
      <c r="H3894" t="s">
        <v>52</v>
      </c>
      <c r="I3894" t="s">
        <v>40</v>
      </c>
      <c r="J3894" t="s">
        <v>25</v>
      </c>
      <c r="K3894" t="s">
        <v>26</v>
      </c>
      <c r="L3894" t="s">
        <v>44</v>
      </c>
      <c r="M3894">
        <v>1</v>
      </c>
      <c r="N3894" s="2"/>
      <c r="O3894" s="3">
        <v>1574</v>
      </c>
      <c r="P3894">
        <v>0</v>
      </c>
      <c r="Q3894">
        <v>4</v>
      </c>
      <c r="R3894" t="s">
        <v>28</v>
      </c>
      <c r="S3894">
        <v>1</v>
      </c>
    </row>
    <row r="3895" spans="1:19" ht="16.5" x14ac:dyDescent="0.3">
      <c r="A3895" t="s">
        <v>3958</v>
      </c>
      <c r="B3895" s="1">
        <v>45791</v>
      </c>
      <c r="C3895" s="1">
        <v>45800</v>
      </c>
      <c r="D3895">
        <v>2025</v>
      </c>
      <c r="E3895" t="s">
        <v>836</v>
      </c>
      <c r="F3895" t="s">
        <v>1062</v>
      </c>
      <c r="G3895" t="s">
        <v>70</v>
      </c>
      <c r="H3895" t="s">
        <v>23</v>
      </c>
      <c r="I3895" t="s">
        <v>24</v>
      </c>
      <c r="J3895" t="s">
        <v>25</v>
      </c>
      <c r="K3895" t="s">
        <v>26</v>
      </c>
      <c r="L3895" t="s">
        <v>27</v>
      </c>
      <c r="M3895">
        <v>9</v>
      </c>
      <c r="N3895" s="2">
        <v>78</v>
      </c>
      <c r="O3895" s="3">
        <v>5729</v>
      </c>
      <c r="P3895">
        <v>0</v>
      </c>
      <c r="Q3895">
        <v>5</v>
      </c>
      <c r="R3895" t="s">
        <v>28</v>
      </c>
      <c r="S3895">
        <v>1</v>
      </c>
    </row>
    <row r="3896" spans="1:19" ht="16.5" x14ac:dyDescent="0.3">
      <c r="A3896" t="s">
        <v>3959</v>
      </c>
      <c r="B3896" s="1">
        <v>45791</v>
      </c>
      <c r="C3896" s="1">
        <v>45792</v>
      </c>
      <c r="D3896">
        <v>2025</v>
      </c>
      <c r="E3896" t="s">
        <v>836</v>
      </c>
      <c r="F3896" t="s">
        <v>1062</v>
      </c>
      <c r="G3896" t="s">
        <v>70</v>
      </c>
      <c r="H3896" t="s">
        <v>23</v>
      </c>
      <c r="I3896" t="s">
        <v>40</v>
      </c>
      <c r="J3896" t="s">
        <v>25</v>
      </c>
      <c r="K3896" t="s">
        <v>32</v>
      </c>
      <c r="L3896" t="s">
        <v>37</v>
      </c>
      <c r="M3896">
        <v>1</v>
      </c>
      <c r="N3896" s="2"/>
      <c r="O3896" s="3">
        <v>1492</v>
      </c>
      <c r="P3896">
        <v>0</v>
      </c>
      <c r="Q3896">
        <v>4</v>
      </c>
      <c r="R3896" t="s">
        <v>33</v>
      </c>
      <c r="S3896">
        <v>1</v>
      </c>
    </row>
    <row r="3897" spans="1:19" ht="16.5" x14ac:dyDescent="0.3">
      <c r="A3897" t="s">
        <v>3960</v>
      </c>
      <c r="B3897" s="1">
        <v>45791</v>
      </c>
      <c r="C3897" s="1">
        <v>45792</v>
      </c>
      <c r="D3897">
        <v>2025</v>
      </c>
      <c r="E3897" t="s">
        <v>836</v>
      </c>
      <c r="F3897" t="s">
        <v>1062</v>
      </c>
      <c r="G3897" t="s">
        <v>70</v>
      </c>
      <c r="H3897" t="s">
        <v>35</v>
      </c>
      <c r="I3897" t="s">
        <v>40</v>
      </c>
      <c r="J3897" t="s">
        <v>25</v>
      </c>
      <c r="K3897" t="s">
        <v>36</v>
      </c>
      <c r="L3897" t="s">
        <v>27</v>
      </c>
      <c r="M3897">
        <v>1</v>
      </c>
      <c r="N3897" s="2"/>
      <c r="O3897" s="3">
        <v>852</v>
      </c>
      <c r="P3897">
        <v>0</v>
      </c>
      <c r="Q3897">
        <v>4</v>
      </c>
      <c r="R3897" t="s">
        <v>28</v>
      </c>
      <c r="S3897">
        <v>1</v>
      </c>
    </row>
    <row r="3898" spans="1:19" ht="16.5" x14ac:dyDescent="0.3">
      <c r="A3898" t="s">
        <v>3961</v>
      </c>
      <c r="B3898" s="1">
        <v>45792</v>
      </c>
      <c r="C3898" s="1">
        <v>45793</v>
      </c>
      <c r="D3898">
        <v>2025</v>
      </c>
      <c r="E3898" t="s">
        <v>836</v>
      </c>
      <c r="F3898" t="s">
        <v>1062</v>
      </c>
      <c r="G3898" t="s">
        <v>78</v>
      </c>
      <c r="H3898" t="s">
        <v>35</v>
      </c>
      <c r="I3898" t="s">
        <v>40</v>
      </c>
      <c r="J3898" t="s">
        <v>25</v>
      </c>
      <c r="K3898" t="s">
        <v>36</v>
      </c>
      <c r="L3898" t="s">
        <v>37</v>
      </c>
      <c r="M3898">
        <v>1</v>
      </c>
      <c r="N3898" s="2"/>
      <c r="O3898" s="3">
        <v>1832</v>
      </c>
      <c r="P3898">
        <v>0</v>
      </c>
      <c r="Q3898">
        <v>4</v>
      </c>
      <c r="R3898" t="s">
        <v>33</v>
      </c>
      <c r="S3898">
        <v>1</v>
      </c>
    </row>
    <row r="3899" spans="1:19" ht="16.5" x14ac:dyDescent="0.3">
      <c r="A3899" t="s">
        <v>3962</v>
      </c>
      <c r="B3899" s="1">
        <v>45792</v>
      </c>
      <c r="C3899" s="1">
        <v>45795</v>
      </c>
      <c r="D3899">
        <v>2025</v>
      </c>
      <c r="E3899" t="s">
        <v>836</v>
      </c>
      <c r="F3899" t="s">
        <v>1062</v>
      </c>
      <c r="G3899" t="s">
        <v>78</v>
      </c>
      <c r="H3899" t="s">
        <v>39</v>
      </c>
      <c r="I3899" t="s">
        <v>31</v>
      </c>
      <c r="J3899" t="s">
        <v>25</v>
      </c>
      <c r="K3899" t="s">
        <v>41</v>
      </c>
      <c r="L3899" t="s">
        <v>44</v>
      </c>
      <c r="M3899">
        <v>3</v>
      </c>
      <c r="N3899" s="2"/>
      <c r="O3899" s="3">
        <v>2262</v>
      </c>
      <c r="P3899">
        <v>0</v>
      </c>
      <c r="Q3899">
        <v>4</v>
      </c>
      <c r="R3899" t="s">
        <v>28</v>
      </c>
      <c r="S3899">
        <v>1</v>
      </c>
    </row>
    <row r="3900" spans="1:19" ht="16.5" x14ac:dyDescent="0.3">
      <c r="A3900" t="s">
        <v>3963</v>
      </c>
      <c r="B3900" s="1">
        <v>45792</v>
      </c>
      <c r="C3900" s="1">
        <v>45794</v>
      </c>
      <c r="D3900">
        <v>2025</v>
      </c>
      <c r="E3900" t="s">
        <v>836</v>
      </c>
      <c r="F3900" t="s">
        <v>1062</v>
      </c>
      <c r="G3900" t="s">
        <v>78</v>
      </c>
      <c r="H3900" t="s">
        <v>35</v>
      </c>
      <c r="I3900" t="s">
        <v>31</v>
      </c>
      <c r="J3900" t="s">
        <v>25</v>
      </c>
      <c r="K3900" t="s">
        <v>32</v>
      </c>
      <c r="L3900" t="s">
        <v>27</v>
      </c>
      <c r="M3900">
        <v>2</v>
      </c>
      <c r="N3900" s="2"/>
      <c r="O3900" s="3">
        <v>2037</v>
      </c>
      <c r="P3900">
        <v>0</v>
      </c>
      <c r="Q3900">
        <v>4</v>
      </c>
      <c r="R3900" t="s">
        <v>33</v>
      </c>
      <c r="S3900">
        <v>1</v>
      </c>
    </row>
    <row r="3901" spans="1:19" ht="16.5" x14ac:dyDescent="0.3">
      <c r="A3901" t="s">
        <v>3964</v>
      </c>
      <c r="B3901" s="1">
        <v>45792</v>
      </c>
      <c r="C3901" s="1">
        <v>45800</v>
      </c>
      <c r="D3901">
        <v>2025</v>
      </c>
      <c r="E3901" t="s">
        <v>836</v>
      </c>
      <c r="F3901" t="s">
        <v>1062</v>
      </c>
      <c r="G3901" t="s">
        <v>78</v>
      </c>
      <c r="H3901" t="s">
        <v>35</v>
      </c>
      <c r="I3901" t="s">
        <v>24</v>
      </c>
      <c r="J3901" t="s">
        <v>25</v>
      </c>
      <c r="K3901" t="s">
        <v>32</v>
      </c>
      <c r="L3901" t="s">
        <v>27</v>
      </c>
      <c r="M3901">
        <v>8</v>
      </c>
      <c r="N3901" s="2">
        <v>72</v>
      </c>
      <c r="O3901" s="3">
        <v>6011</v>
      </c>
      <c r="P3901">
        <v>0</v>
      </c>
      <c r="Q3901">
        <v>4</v>
      </c>
      <c r="R3901" t="s">
        <v>33</v>
      </c>
      <c r="S3901">
        <v>1</v>
      </c>
    </row>
    <row r="3902" spans="1:19" ht="16.5" x14ac:dyDescent="0.3">
      <c r="A3902" t="s">
        <v>3965</v>
      </c>
      <c r="B3902" s="1">
        <v>45792</v>
      </c>
      <c r="C3902" s="1">
        <v>45796</v>
      </c>
      <c r="D3902">
        <v>2025</v>
      </c>
      <c r="E3902" t="s">
        <v>836</v>
      </c>
      <c r="F3902" t="s">
        <v>1062</v>
      </c>
      <c r="G3902" t="s">
        <v>78</v>
      </c>
      <c r="H3902" t="s">
        <v>50</v>
      </c>
      <c r="I3902" t="s">
        <v>24</v>
      </c>
      <c r="J3902" t="s">
        <v>43</v>
      </c>
      <c r="K3902" t="s">
        <v>53</v>
      </c>
      <c r="L3902" t="s">
        <v>44</v>
      </c>
      <c r="M3902">
        <v>4</v>
      </c>
      <c r="N3902" s="2">
        <v>32</v>
      </c>
      <c r="O3902" s="3">
        <v>7243</v>
      </c>
      <c r="P3902">
        <v>1</v>
      </c>
      <c r="Q3902">
        <v>4</v>
      </c>
      <c r="R3902" t="s">
        <v>59</v>
      </c>
      <c r="S3902">
        <v>1</v>
      </c>
    </row>
    <row r="3903" spans="1:19" ht="16.5" x14ac:dyDescent="0.3">
      <c r="A3903" t="s">
        <v>3966</v>
      </c>
      <c r="B3903" s="1">
        <v>45792</v>
      </c>
      <c r="C3903" s="1">
        <v>45798</v>
      </c>
      <c r="D3903">
        <v>2025</v>
      </c>
      <c r="E3903" t="s">
        <v>836</v>
      </c>
      <c r="F3903" t="s">
        <v>1062</v>
      </c>
      <c r="G3903" t="s">
        <v>78</v>
      </c>
      <c r="H3903" t="s">
        <v>30</v>
      </c>
      <c r="I3903" t="s">
        <v>24</v>
      </c>
      <c r="J3903" t="s">
        <v>25</v>
      </c>
      <c r="K3903" t="s">
        <v>26</v>
      </c>
      <c r="L3903" t="s">
        <v>37</v>
      </c>
      <c r="M3903">
        <v>6</v>
      </c>
      <c r="N3903" s="2">
        <v>50</v>
      </c>
      <c r="O3903" s="3">
        <v>6576</v>
      </c>
      <c r="P3903">
        <v>0</v>
      </c>
      <c r="Q3903">
        <v>4</v>
      </c>
      <c r="R3903" t="s">
        <v>33</v>
      </c>
      <c r="S3903">
        <v>1</v>
      </c>
    </row>
    <row r="3904" spans="1:19" ht="16.5" x14ac:dyDescent="0.3">
      <c r="A3904" t="s">
        <v>3967</v>
      </c>
      <c r="B3904" s="1">
        <v>45792</v>
      </c>
      <c r="C3904" s="1">
        <v>45801</v>
      </c>
      <c r="D3904">
        <v>2025</v>
      </c>
      <c r="E3904" t="s">
        <v>836</v>
      </c>
      <c r="F3904" t="s">
        <v>1062</v>
      </c>
      <c r="G3904" t="s">
        <v>78</v>
      </c>
      <c r="H3904" t="s">
        <v>50</v>
      </c>
      <c r="I3904" t="s">
        <v>24</v>
      </c>
      <c r="J3904" t="s">
        <v>43</v>
      </c>
      <c r="K3904" t="s">
        <v>53</v>
      </c>
      <c r="L3904" t="s">
        <v>37</v>
      </c>
      <c r="M3904">
        <v>9</v>
      </c>
      <c r="N3904" s="2">
        <v>68</v>
      </c>
      <c r="O3904" s="3">
        <v>10753</v>
      </c>
      <c r="P3904">
        <v>0</v>
      </c>
      <c r="Q3904">
        <v>4</v>
      </c>
      <c r="R3904" t="s">
        <v>28</v>
      </c>
      <c r="S3904">
        <v>1</v>
      </c>
    </row>
    <row r="3905" spans="1:19" ht="16.5" x14ac:dyDescent="0.3">
      <c r="A3905" t="s">
        <v>3968</v>
      </c>
      <c r="B3905" s="1">
        <v>45792</v>
      </c>
      <c r="C3905" s="1">
        <v>45797</v>
      </c>
      <c r="D3905">
        <v>2025</v>
      </c>
      <c r="E3905" t="s">
        <v>836</v>
      </c>
      <c r="F3905" t="s">
        <v>1062</v>
      </c>
      <c r="G3905" t="s">
        <v>78</v>
      </c>
      <c r="H3905" t="s">
        <v>35</v>
      </c>
      <c r="I3905" t="s">
        <v>24</v>
      </c>
      <c r="J3905" t="s">
        <v>25</v>
      </c>
      <c r="K3905" t="s">
        <v>36</v>
      </c>
      <c r="L3905" t="s">
        <v>37</v>
      </c>
      <c r="M3905">
        <v>5</v>
      </c>
      <c r="N3905" s="2">
        <v>62</v>
      </c>
      <c r="O3905" s="3">
        <v>3682</v>
      </c>
      <c r="P3905">
        <v>0</v>
      </c>
      <c r="Q3905">
        <v>5</v>
      </c>
      <c r="R3905" t="s">
        <v>33</v>
      </c>
      <c r="S3905">
        <v>1</v>
      </c>
    </row>
    <row r="3906" spans="1:19" ht="16.5" x14ac:dyDescent="0.3">
      <c r="A3906" t="s">
        <v>3969</v>
      </c>
      <c r="B3906" s="1">
        <v>45793</v>
      </c>
      <c r="C3906" s="1">
        <v>45797</v>
      </c>
      <c r="D3906">
        <v>2025</v>
      </c>
      <c r="E3906" t="s">
        <v>836</v>
      </c>
      <c r="F3906" t="s">
        <v>1062</v>
      </c>
      <c r="G3906" t="s">
        <v>83</v>
      </c>
      <c r="H3906" t="s">
        <v>23</v>
      </c>
      <c r="I3906" t="s">
        <v>24</v>
      </c>
      <c r="J3906" t="s">
        <v>43</v>
      </c>
      <c r="K3906" t="s">
        <v>26</v>
      </c>
      <c r="L3906" t="s">
        <v>27</v>
      </c>
      <c r="M3906">
        <v>4</v>
      </c>
      <c r="N3906" s="2">
        <v>56</v>
      </c>
      <c r="O3906" s="3">
        <v>3425</v>
      </c>
      <c r="P3906">
        <v>0</v>
      </c>
      <c r="Q3906">
        <v>5</v>
      </c>
      <c r="R3906" t="s">
        <v>28</v>
      </c>
      <c r="S3906">
        <v>1</v>
      </c>
    </row>
    <row r="3907" spans="1:19" ht="16.5" x14ac:dyDescent="0.3">
      <c r="A3907" t="s">
        <v>3970</v>
      </c>
      <c r="B3907" s="1">
        <v>45793</v>
      </c>
      <c r="C3907" s="1">
        <v>45794</v>
      </c>
      <c r="D3907">
        <v>2025</v>
      </c>
      <c r="E3907" t="s">
        <v>836</v>
      </c>
      <c r="F3907" t="s">
        <v>1062</v>
      </c>
      <c r="G3907" t="s">
        <v>83</v>
      </c>
      <c r="H3907" t="s">
        <v>35</v>
      </c>
      <c r="I3907" t="s">
        <v>40</v>
      </c>
      <c r="J3907" t="s">
        <v>25</v>
      </c>
      <c r="K3907" t="s">
        <v>32</v>
      </c>
      <c r="L3907" t="s">
        <v>37</v>
      </c>
      <c r="M3907">
        <v>1</v>
      </c>
      <c r="N3907" s="2"/>
      <c r="O3907" s="3">
        <v>1492</v>
      </c>
      <c r="P3907">
        <v>0</v>
      </c>
      <c r="Q3907">
        <v>5</v>
      </c>
      <c r="R3907" t="s">
        <v>33</v>
      </c>
      <c r="S3907">
        <v>1</v>
      </c>
    </row>
    <row r="3908" spans="1:19" ht="16.5" x14ac:dyDescent="0.3">
      <c r="A3908" t="s">
        <v>3971</v>
      </c>
      <c r="B3908" s="1">
        <v>45793</v>
      </c>
      <c r="C3908" s="1">
        <v>45796</v>
      </c>
      <c r="D3908">
        <v>2025</v>
      </c>
      <c r="E3908" t="s">
        <v>836</v>
      </c>
      <c r="F3908" t="s">
        <v>1062</v>
      </c>
      <c r="G3908" t="s">
        <v>83</v>
      </c>
      <c r="H3908" t="s">
        <v>30</v>
      </c>
      <c r="I3908" t="s">
        <v>40</v>
      </c>
      <c r="J3908" t="s">
        <v>25</v>
      </c>
      <c r="K3908" t="s">
        <v>32</v>
      </c>
      <c r="L3908" t="s">
        <v>37</v>
      </c>
      <c r="M3908">
        <v>3</v>
      </c>
      <c r="N3908" s="2"/>
      <c r="O3908" s="3">
        <v>3214</v>
      </c>
      <c r="P3908">
        <v>0</v>
      </c>
      <c r="Q3908">
        <v>4</v>
      </c>
      <c r="R3908" t="s">
        <v>33</v>
      </c>
      <c r="S3908">
        <v>1</v>
      </c>
    </row>
    <row r="3909" spans="1:19" ht="16.5" x14ac:dyDescent="0.3">
      <c r="A3909" t="s">
        <v>3972</v>
      </c>
      <c r="B3909" s="1">
        <v>45793</v>
      </c>
      <c r="C3909" s="1">
        <v>45794</v>
      </c>
      <c r="D3909">
        <v>2025</v>
      </c>
      <c r="E3909" t="s">
        <v>836</v>
      </c>
      <c r="F3909" t="s">
        <v>1062</v>
      </c>
      <c r="G3909" t="s">
        <v>83</v>
      </c>
      <c r="H3909" t="s">
        <v>35</v>
      </c>
      <c r="I3909" t="s">
        <v>24</v>
      </c>
      <c r="J3909" t="s">
        <v>25</v>
      </c>
      <c r="K3909" t="s">
        <v>32</v>
      </c>
      <c r="L3909" t="s">
        <v>27</v>
      </c>
      <c r="M3909">
        <v>1</v>
      </c>
      <c r="N3909" s="2">
        <v>12</v>
      </c>
      <c r="O3909" s="3">
        <v>1517</v>
      </c>
      <c r="P3909">
        <v>0</v>
      </c>
      <c r="Q3909">
        <v>4</v>
      </c>
      <c r="R3909" t="s">
        <v>33</v>
      </c>
      <c r="S3909">
        <v>1</v>
      </c>
    </row>
    <row r="3910" spans="1:19" ht="16.5" x14ac:dyDescent="0.3">
      <c r="A3910" t="s">
        <v>3973</v>
      </c>
      <c r="B3910" s="1">
        <v>45793</v>
      </c>
      <c r="C3910" s="1">
        <v>45797</v>
      </c>
      <c r="D3910">
        <v>2025</v>
      </c>
      <c r="E3910" t="s">
        <v>836</v>
      </c>
      <c r="F3910" t="s">
        <v>1062</v>
      </c>
      <c r="G3910" t="s">
        <v>83</v>
      </c>
      <c r="H3910" t="s">
        <v>39</v>
      </c>
      <c r="I3910" t="s">
        <v>24</v>
      </c>
      <c r="J3910" t="s">
        <v>25</v>
      </c>
      <c r="K3910" t="s">
        <v>41</v>
      </c>
      <c r="L3910" t="s">
        <v>44</v>
      </c>
      <c r="M3910">
        <v>4</v>
      </c>
      <c r="N3910" s="2">
        <v>80</v>
      </c>
      <c r="O3910" s="3">
        <v>3263</v>
      </c>
      <c r="P3910">
        <v>0</v>
      </c>
      <c r="Q3910">
        <v>4</v>
      </c>
      <c r="R3910" t="s">
        <v>33</v>
      </c>
      <c r="S3910">
        <v>1</v>
      </c>
    </row>
    <row r="3911" spans="1:19" ht="16.5" x14ac:dyDescent="0.3">
      <c r="A3911" t="s">
        <v>3974</v>
      </c>
      <c r="B3911" s="1">
        <v>45793</v>
      </c>
      <c r="C3911" s="1">
        <v>45798</v>
      </c>
      <c r="D3911">
        <v>2025</v>
      </c>
      <c r="E3911" t="s">
        <v>836</v>
      </c>
      <c r="F3911" t="s">
        <v>1062</v>
      </c>
      <c r="G3911" t="s">
        <v>83</v>
      </c>
      <c r="H3911" t="s">
        <v>30</v>
      </c>
      <c r="I3911" t="s">
        <v>40</v>
      </c>
      <c r="J3911" t="s">
        <v>43</v>
      </c>
      <c r="K3911" t="s">
        <v>26</v>
      </c>
      <c r="L3911" t="s">
        <v>27</v>
      </c>
      <c r="M3911">
        <v>5</v>
      </c>
      <c r="N3911" s="2"/>
      <c r="O3911" s="3">
        <v>5847</v>
      </c>
      <c r="P3911">
        <v>0</v>
      </c>
      <c r="Q3911">
        <v>4</v>
      </c>
      <c r="R3911" t="s">
        <v>33</v>
      </c>
      <c r="S3911">
        <v>1</v>
      </c>
    </row>
    <row r="3912" spans="1:19" ht="16.5" x14ac:dyDescent="0.3">
      <c r="A3912" t="s">
        <v>3975</v>
      </c>
      <c r="B3912" s="1">
        <v>45793</v>
      </c>
      <c r="C3912" s="1">
        <v>45798</v>
      </c>
      <c r="D3912">
        <v>2025</v>
      </c>
      <c r="E3912" t="s">
        <v>836</v>
      </c>
      <c r="F3912" t="s">
        <v>1062</v>
      </c>
      <c r="G3912" t="s">
        <v>83</v>
      </c>
      <c r="H3912" t="s">
        <v>30</v>
      </c>
      <c r="I3912" t="s">
        <v>24</v>
      </c>
      <c r="J3912" t="s">
        <v>25</v>
      </c>
      <c r="K3912" t="s">
        <v>26</v>
      </c>
      <c r="L3912" t="s">
        <v>27</v>
      </c>
      <c r="M3912">
        <v>5</v>
      </c>
      <c r="N3912" s="2">
        <v>21</v>
      </c>
      <c r="O3912" s="3">
        <v>5335</v>
      </c>
      <c r="P3912">
        <v>0</v>
      </c>
      <c r="Q3912">
        <v>5</v>
      </c>
      <c r="R3912" t="s">
        <v>33</v>
      </c>
      <c r="S3912">
        <v>1</v>
      </c>
    </row>
    <row r="3913" spans="1:19" ht="16.5" x14ac:dyDescent="0.3">
      <c r="A3913" t="s">
        <v>3976</v>
      </c>
      <c r="B3913" s="1">
        <v>45793</v>
      </c>
      <c r="C3913" s="1">
        <v>45797</v>
      </c>
      <c r="D3913">
        <v>2025</v>
      </c>
      <c r="E3913" t="s">
        <v>836</v>
      </c>
      <c r="F3913" t="s">
        <v>1062</v>
      </c>
      <c r="G3913" t="s">
        <v>83</v>
      </c>
      <c r="H3913" t="s">
        <v>23</v>
      </c>
      <c r="I3913" t="s">
        <v>24</v>
      </c>
      <c r="J3913" t="s">
        <v>43</v>
      </c>
      <c r="K3913" t="s">
        <v>26</v>
      </c>
      <c r="L3913" t="s">
        <v>44</v>
      </c>
      <c r="M3913">
        <v>4</v>
      </c>
      <c r="N3913" s="2">
        <v>140</v>
      </c>
      <c r="O3913" s="3">
        <v>2980</v>
      </c>
      <c r="P3913">
        <v>0</v>
      </c>
      <c r="Q3913">
        <v>4</v>
      </c>
      <c r="R3913" t="s">
        <v>28</v>
      </c>
      <c r="S3913">
        <v>1</v>
      </c>
    </row>
    <row r="3914" spans="1:19" ht="16.5" x14ac:dyDescent="0.3">
      <c r="A3914" t="s">
        <v>3977</v>
      </c>
      <c r="B3914" s="1">
        <v>45793</v>
      </c>
      <c r="C3914" s="1">
        <v>45802</v>
      </c>
      <c r="D3914">
        <v>2025</v>
      </c>
      <c r="E3914" t="s">
        <v>836</v>
      </c>
      <c r="F3914" t="s">
        <v>1062</v>
      </c>
      <c r="G3914" t="s">
        <v>83</v>
      </c>
      <c r="H3914" t="s">
        <v>30</v>
      </c>
      <c r="I3914" t="s">
        <v>40</v>
      </c>
      <c r="J3914" t="s">
        <v>43</v>
      </c>
      <c r="K3914" t="s">
        <v>36</v>
      </c>
      <c r="L3914" t="s">
        <v>44</v>
      </c>
      <c r="M3914">
        <v>9</v>
      </c>
      <c r="N3914" s="2"/>
      <c r="O3914" s="3">
        <v>10366</v>
      </c>
      <c r="P3914">
        <v>0</v>
      </c>
      <c r="Q3914">
        <v>3</v>
      </c>
      <c r="R3914" t="s">
        <v>28</v>
      </c>
      <c r="S3914">
        <v>1</v>
      </c>
    </row>
    <row r="3915" spans="1:19" ht="16.5" x14ac:dyDescent="0.3">
      <c r="A3915" t="s">
        <v>3978</v>
      </c>
      <c r="B3915" s="1">
        <v>45794</v>
      </c>
      <c r="C3915" s="1">
        <v>45803</v>
      </c>
      <c r="D3915">
        <v>2025</v>
      </c>
      <c r="E3915" t="s">
        <v>836</v>
      </c>
      <c r="F3915" t="s">
        <v>1062</v>
      </c>
      <c r="G3915" t="s">
        <v>102</v>
      </c>
      <c r="H3915" t="s">
        <v>23</v>
      </c>
      <c r="I3915" t="s">
        <v>40</v>
      </c>
      <c r="J3915" t="s">
        <v>43</v>
      </c>
      <c r="K3915" t="s">
        <v>26</v>
      </c>
      <c r="L3915" t="s">
        <v>44</v>
      </c>
      <c r="M3915">
        <v>9</v>
      </c>
      <c r="N3915" s="2"/>
      <c r="O3915" s="3">
        <v>6509</v>
      </c>
      <c r="P3915">
        <v>0</v>
      </c>
      <c r="Q3915">
        <v>4</v>
      </c>
      <c r="R3915" t="s">
        <v>33</v>
      </c>
      <c r="S3915">
        <v>1</v>
      </c>
    </row>
    <row r="3916" spans="1:19" ht="16.5" x14ac:dyDescent="0.3">
      <c r="A3916" t="s">
        <v>3979</v>
      </c>
      <c r="B3916" s="1">
        <v>45794</v>
      </c>
      <c r="C3916" s="1">
        <v>45800</v>
      </c>
      <c r="D3916">
        <v>2025</v>
      </c>
      <c r="E3916" t="s">
        <v>836</v>
      </c>
      <c r="F3916" t="s">
        <v>1062</v>
      </c>
      <c r="G3916" t="s">
        <v>102</v>
      </c>
      <c r="H3916" t="s">
        <v>23</v>
      </c>
      <c r="I3916" t="s">
        <v>24</v>
      </c>
      <c r="J3916" t="s">
        <v>25</v>
      </c>
      <c r="K3916" t="s">
        <v>26</v>
      </c>
      <c r="L3916" t="s">
        <v>27</v>
      </c>
      <c r="M3916">
        <v>6</v>
      </c>
      <c r="N3916" s="2">
        <v>24</v>
      </c>
      <c r="O3916" s="3">
        <v>4558</v>
      </c>
      <c r="P3916">
        <v>1</v>
      </c>
      <c r="Q3916">
        <v>3</v>
      </c>
      <c r="R3916" t="s">
        <v>33</v>
      </c>
      <c r="S3916">
        <v>1</v>
      </c>
    </row>
    <row r="3917" spans="1:19" ht="16.5" x14ac:dyDescent="0.3">
      <c r="A3917" t="s">
        <v>3980</v>
      </c>
      <c r="B3917" s="1">
        <v>45794</v>
      </c>
      <c r="C3917" s="1">
        <v>45806</v>
      </c>
      <c r="D3917">
        <v>2025</v>
      </c>
      <c r="E3917" t="s">
        <v>836</v>
      </c>
      <c r="F3917" t="s">
        <v>1062</v>
      </c>
      <c r="G3917" t="s">
        <v>102</v>
      </c>
      <c r="H3917" t="s">
        <v>23</v>
      </c>
      <c r="I3917" t="s">
        <v>24</v>
      </c>
      <c r="J3917" t="s">
        <v>25</v>
      </c>
      <c r="K3917" t="s">
        <v>53</v>
      </c>
      <c r="L3917" t="s">
        <v>44</v>
      </c>
      <c r="M3917">
        <v>12</v>
      </c>
      <c r="N3917" s="2">
        <v>20</v>
      </c>
      <c r="O3917" s="3">
        <v>6328</v>
      </c>
      <c r="P3917">
        <v>0</v>
      </c>
      <c r="Q3917">
        <v>5</v>
      </c>
      <c r="R3917" t="s">
        <v>33</v>
      </c>
      <c r="S3917">
        <v>1</v>
      </c>
    </row>
    <row r="3918" spans="1:19" ht="16.5" x14ac:dyDescent="0.3">
      <c r="A3918" t="s">
        <v>3981</v>
      </c>
      <c r="B3918" s="1">
        <v>45794</v>
      </c>
      <c r="C3918" s="1">
        <v>45798</v>
      </c>
      <c r="D3918">
        <v>2025</v>
      </c>
      <c r="E3918" t="s">
        <v>836</v>
      </c>
      <c r="F3918" t="s">
        <v>1062</v>
      </c>
      <c r="G3918" t="s">
        <v>102</v>
      </c>
      <c r="H3918" t="s">
        <v>30</v>
      </c>
      <c r="I3918" t="s">
        <v>40</v>
      </c>
      <c r="J3918" t="s">
        <v>25</v>
      </c>
      <c r="K3918" t="s">
        <v>53</v>
      </c>
      <c r="L3918" t="s">
        <v>27</v>
      </c>
      <c r="M3918">
        <v>4</v>
      </c>
      <c r="N3918" s="2"/>
      <c r="O3918" s="3">
        <v>4673</v>
      </c>
      <c r="P3918">
        <v>0</v>
      </c>
      <c r="Q3918">
        <v>5</v>
      </c>
      <c r="R3918" t="s">
        <v>33</v>
      </c>
      <c r="S3918">
        <v>1</v>
      </c>
    </row>
    <row r="3919" spans="1:19" ht="16.5" x14ac:dyDescent="0.3">
      <c r="A3919" t="s">
        <v>3982</v>
      </c>
      <c r="B3919" s="1">
        <v>45795</v>
      </c>
      <c r="C3919" s="1">
        <v>45802</v>
      </c>
      <c r="D3919">
        <v>2025</v>
      </c>
      <c r="E3919" t="s">
        <v>836</v>
      </c>
      <c r="F3919" t="s">
        <v>1062</v>
      </c>
      <c r="G3919" t="s">
        <v>112</v>
      </c>
      <c r="H3919" t="s">
        <v>52</v>
      </c>
      <c r="I3919" t="s">
        <v>24</v>
      </c>
      <c r="J3919" t="s">
        <v>25</v>
      </c>
      <c r="K3919" t="s">
        <v>53</v>
      </c>
      <c r="L3919" t="s">
        <v>44</v>
      </c>
      <c r="M3919">
        <v>7</v>
      </c>
      <c r="N3919" s="2">
        <v>149</v>
      </c>
      <c r="O3919" s="3">
        <v>7572</v>
      </c>
      <c r="P3919">
        <v>0</v>
      </c>
      <c r="Q3919">
        <v>3</v>
      </c>
      <c r="R3919" t="s">
        <v>33</v>
      </c>
      <c r="S3919">
        <v>1</v>
      </c>
    </row>
    <row r="3920" spans="1:19" ht="16.5" x14ac:dyDescent="0.3">
      <c r="A3920" t="s">
        <v>3983</v>
      </c>
      <c r="B3920" s="1">
        <v>45795</v>
      </c>
      <c r="C3920" s="1">
        <v>45800</v>
      </c>
      <c r="D3920">
        <v>2025</v>
      </c>
      <c r="E3920" t="s">
        <v>836</v>
      </c>
      <c r="F3920" t="s">
        <v>1062</v>
      </c>
      <c r="G3920" t="s">
        <v>112</v>
      </c>
      <c r="H3920" t="s">
        <v>23</v>
      </c>
      <c r="I3920" t="s">
        <v>24</v>
      </c>
      <c r="J3920" t="s">
        <v>25</v>
      </c>
      <c r="K3920" t="s">
        <v>53</v>
      </c>
      <c r="L3920" t="s">
        <v>44</v>
      </c>
      <c r="M3920">
        <v>5</v>
      </c>
      <c r="N3920" s="2">
        <v>86</v>
      </c>
      <c r="O3920" s="3">
        <v>3521</v>
      </c>
      <c r="P3920">
        <v>0</v>
      </c>
      <c r="Q3920">
        <v>5</v>
      </c>
      <c r="R3920" t="s">
        <v>33</v>
      </c>
      <c r="S3920">
        <v>1</v>
      </c>
    </row>
    <row r="3921" spans="1:19" ht="16.5" x14ac:dyDescent="0.3">
      <c r="A3921" t="s">
        <v>3984</v>
      </c>
      <c r="B3921" s="1">
        <v>45795</v>
      </c>
      <c r="C3921" s="1">
        <v>45803</v>
      </c>
      <c r="D3921">
        <v>2025</v>
      </c>
      <c r="E3921" t="s">
        <v>836</v>
      </c>
      <c r="F3921" t="s">
        <v>1062</v>
      </c>
      <c r="G3921" t="s">
        <v>112</v>
      </c>
      <c r="H3921" t="s">
        <v>23</v>
      </c>
      <c r="I3921" t="s">
        <v>24</v>
      </c>
      <c r="J3921" t="s">
        <v>43</v>
      </c>
      <c r="K3921" t="s">
        <v>26</v>
      </c>
      <c r="L3921" t="s">
        <v>37</v>
      </c>
      <c r="M3921">
        <v>8</v>
      </c>
      <c r="N3921" s="2">
        <v>81</v>
      </c>
      <c r="O3921" s="3">
        <v>6351</v>
      </c>
      <c r="P3921">
        <v>0</v>
      </c>
      <c r="Q3921">
        <v>5</v>
      </c>
      <c r="R3921" t="s">
        <v>28</v>
      </c>
      <c r="S3921">
        <v>1</v>
      </c>
    </row>
    <row r="3922" spans="1:19" ht="16.5" x14ac:dyDescent="0.3">
      <c r="A3922" t="s">
        <v>3985</v>
      </c>
      <c r="B3922" s="1">
        <v>45796</v>
      </c>
      <c r="C3922" s="1">
        <v>45798</v>
      </c>
      <c r="D3922">
        <v>2025</v>
      </c>
      <c r="E3922" t="s">
        <v>836</v>
      </c>
      <c r="F3922" t="s">
        <v>1062</v>
      </c>
      <c r="G3922" t="s">
        <v>22</v>
      </c>
      <c r="H3922" t="s">
        <v>23</v>
      </c>
      <c r="I3922" t="s">
        <v>24</v>
      </c>
      <c r="J3922" t="s">
        <v>43</v>
      </c>
      <c r="K3922" t="s">
        <v>53</v>
      </c>
      <c r="L3922" t="s">
        <v>44</v>
      </c>
      <c r="M3922">
        <v>2</v>
      </c>
      <c r="N3922" s="2">
        <v>58</v>
      </c>
      <c r="O3922" s="3">
        <v>2228</v>
      </c>
      <c r="P3922">
        <v>0</v>
      </c>
      <c r="Q3922">
        <v>5</v>
      </c>
      <c r="R3922" t="s">
        <v>33</v>
      </c>
      <c r="S3922">
        <v>1</v>
      </c>
    </row>
    <row r="3923" spans="1:19" ht="16.5" x14ac:dyDescent="0.3">
      <c r="A3923" t="s">
        <v>3986</v>
      </c>
      <c r="B3923" s="1">
        <v>45796</v>
      </c>
      <c r="C3923" s="1">
        <v>45798</v>
      </c>
      <c r="D3923">
        <v>2025</v>
      </c>
      <c r="E3923" t="s">
        <v>836</v>
      </c>
      <c r="F3923" t="s">
        <v>1062</v>
      </c>
      <c r="G3923" t="s">
        <v>22</v>
      </c>
      <c r="H3923" t="s">
        <v>23</v>
      </c>
      <c r="I3923" t="s">
        <v>24</v>
      </c>
      <c r="J3923" t="s">
        <v>25</v>
      </c>
      <c r="K3923" t="s">
        <v>36</v>
      </c>
      <c r="L3923" t="s">
        <v>27</v>
      </c>
      <c r="M3923">
        <v>2</v>
      </c>
      <c r="N3923" s="2">
        <v>54</v>
      </c>
      <c r="O3923" s="3">
        <v>2257</v>
      </c>
      <c r="P3923">
        <v>0</v>
      </c>
      <c r="Q3923">
        <v>5</v>
      </c>
      <c r="R3923" t="s">
        <v>165</v>
      </c>
      <c r="S3923">
        <v>1</v>
      </c>
    </row>
    <row r="3924" spans="1:19" ht="16.5" x14ac:dyDescent="0.3">
      <c r="A3924" t="s">
        <v>3987</v>
      </c>
      <c r="B3924" s="1">
        <v>45796</v>
      </c>
      <c r="C3924" s="1">
        <v>45806</v>
      </c>
      <c r="D3924">
        <v>2025</v>
      </c>
      <c r="E3924" t="s">
        <v>836</v>
      </c>
      <c r="F3924" t="s">
        <v>1062</v>
      </c>
      <c r="G3924" t="s">
        <v>22</v>
      </c>
      <c r="H3924" t="s">
        <v>23</v>
      </c>
      <c r="I3924" t="s">
        <v>24</v>
      </c>
      <c r="J3924" t="s">
        <v>25</v>
      </c>
      <c r="K3924" t="s">
        <v>26</v>
      </c>
      <c r="L3924" t="s">
        <v>27</v>
      </c>
      <c r="M3924">
        <v>10</v>
      </c>
      <c r="N3924" s="2">
        <v>54</v>
      </c>
      <c r="O3924" s="3">
        <v>6831</v>
      </c>
      <c r="P3924">
        <v>0</v>
      </c>
      <c r="Q3924">
        <v>4</v>
      </c>
      <c r="R3924" t="s">
        <v>28</v>
      </c>
      <c r="S3924">
        <v>1</v>
      </c>
    </row>
    <row r="3925" spans="1:19" ht="16.5" x14ac:dyDescent="0.3">
      <c r="A3925" t="s">
        <v>3988</v>
      </c>
      <c r="B3925" s="1">
        <v>45796</v>
      </c>
      <c r="C3925" s="1">
        <v>45799</v>
      </c>
      <c r="D3925">
        <v>2025</v>
      </c>
      <c r="E3925" t="s">
        <v>836</v>
      </c>
      <c r="F3925" t="s">
        <v>1062</v>
      </c>
      <c r="G3925" t="s">
        <v>22</v>
      </c>
      <c r="H3925" t="s">
        <v>50</v>
      </c>
      <c r="I3925" t="s">
        <v>40</v>
      </c>
      <c r="J3925" t="s">
        <v>25</v>
      </c>
      <c r="K3925" t="s">
        <v>26</v>
      </c>
      <c r="L3925" t="s">
        <v>27</v>
      </c>
      <c r="M3925">
        <v>3</v>
      </c>
      <c r="N3925" s="2"/>
      <c r="O3925" s="3">
        <v>4312</v>
      </c>
      <c r="P3925">
        <v>1</v>
      </c>
      <c r="Q3925">
        <v>4</v>
      </c>
      <c r="R3925" t="s">
        <v>33</v>
      </c>
      <c r="S3925">
        <v>1</v>
      </c>
    </row>
    <row r="3926" spans="1:19" ht="16.5" x14ac:dyDescent="0.3">
      <c r="A3926" t="s">
        <v>3989</v>
      </c>
      <c r="B3926" s="1">
        <v>45796</v>
      </c>
      <c r="C3926" s="1">
        <v>45797</v>
      </c>
      <c r="D3926">
        <v>2025</v>
      </c>
      <c r="E3926" t="s">
        <v>836</v>
      </c>
      <c r="F3926" t="s">
        <v>1062</v>
      </c>
      <c r="G3926" t="s">
        <v>22</v>
      </c>
      <c r="H3926" t="s">
        <v>50</v>
      </c>
      <c r="I3926" t="s">
        <v>31</v>
      </c>
      <c r="J3926" t="s">
        <v>43</v>
      </c>
      <c r="K3926" t="s">
        <v>53</v>
      </c>
      <c r="L3926" t="s">
        <v>27</v>
      </c>
      <c r="M3926">
        <v>1</v>
      </c>
      <c r="N3926" s="2"/>
      <c r="O3926" s="3">
        <v>2049</v>
      </c>
      <c r="P3926">
        <v>0</v>
      </c>
      <c r="Q3926">
        <v>5</v>
      </c>
      <c r="R3926" t="s">
        <v>33</v>
      </c>
      <c r="S3926">
        <v>1</v>
      </c>
    </row>
    <row r="3927" spans="1:19" ht="16.5" x14ac:dyDescent="0.3">
      <c r="A3927" t="s">
        <v>3990</v>
      </c>
      <c r="B3927" s="1">
        <v>45796</v>
      </c>
      <c r="C3927" s="1">
        <v>45799</v>
      </c>
      <c r="D3927">
        <v>2025</v>
      </c>
      <c r="E3927" t="s">
        <v>836</v>
      </c>
      <c r="F3927" t="s">
        <v>1062</v>
      </c>
      <c r="G3927" t="s">
        <v>22</v>
      </c>
      <c r="H3927" t="s">
        <v>39</v>
      </c>
      <c r="I3927" t="s">
        <v>24</v>
      </c>
      <c r="J3927" t="s">
        <v>43</v>
      </c>
      <c r="K3927" t="s">
        <v>41</v>
      </c>
      <c r="L3927" t="s">
        <v>27</v>
      </c>
      <c r="M3927">
        <v>3</v>
      </c>
      <c r="N3927" s="2">
        <v>65</v>
      </c>
      <c r="O3927" s="3">
        <v>2524</v>
      </c>
      <c r="P3927">
        <v>0</v>
      </c>
      <c r="Q3927">
        <v>5</v>
      </c>
      <c r="R3927" t="s">
        <v>28</v>
      </c>
      <c r="S3927">
        <v>1</v>
      </c>
    </row>
    <row r="3928" spans="1:19" ht="16.5" x14ac:dyDescent="0.3">
      <c r="A3928" t="s">
        <v>3991</v>
      </c>
      <c r="B3928" s="1">
        <v>45796</v>
      </c>
      <c r="C3928" s="1">
        <v>45800</v>
      </c>
      <c r="D3928">
        <v>2025</v>
      </c>
      <c r="E3928" t="s">
        <v>836</v>
      </c>
      <c r="F3928" t="s">
        <v>1062</v>
      </c>
      <c r="G3928" t="s">
        <v>22</v>
      </c>
      <c r="H3928" t="s">
        <v>23</v>
      </c>
      <c r="I3928" t="s">
        <v>31</v>
      </c>
      <c r="J3928" t="s">
        <v>43</v>
      </c>
      <c r="K3928" t="s">
        <v>36</v>
      </c>
      <c r="L3928" t="s">
        <v>27</v>
      </c>
      <c r="M3928">
        <v>4</v>
      </c>
      <c r="N3928" s="2"/>
      <c r="O3928" s="3">
        <v>2456</v>
      </c>
      <c r="P3928">
        <v>0</v>
      </c>
      <c r="Q3928">
        <v>4</v>
      </c>
      <c r="R3928" t="s">
        <v>28</v>
      </c>
      <c r="S3928">
        <v>1</v>
      </c>
    </row>
    <row r="3929" spans="1:19" ht="16.5" x14ac:dyDescent="0.3">
      <c r="A3929" t="s">
        <v>3992</v>
      </c>
      <c r="B3929" s="1">
        <v>45796</v>
      </c>
      <c r="C3929" s="1">
        <v>45798</v>
      </c>
      <c r="D3929">
        <v>2025</v>
      </c>
      <c r="E3929" t="s">
        <v>836</v>
      </c>
      <c r="F3929" t="s">
        <v>1062</v>
      </c>
      <c r="G3929" t="s">
        <v>22</v>
      </c>
      <c r="H3929" t="s">
        <v>23</v>
      </c>
      <c r="I3929" t="s">
        <v>24</v>
      </c>
      <c r="J3929" t="s">
        <v>43</v>
      </c>
      <c r="K3929" t="s">
        <v>32</v>
      </c>
      <c r="L3929" t="s">
        <v>44</v>
      </c>
      <c r="M3929">
        <v>2</v>
      </c>
      <c r="N3929" s="2">
        <v>31</v>
      </c>
      <c r="O3929" s="3">
        <v>2481</v>
      </c>
      <c r="P3929">
        <v>0</v>
      </c>
      <c r="Q3929">
        <v>4</v>
      </c>
      <c r="R3929" t="s">
        <v>33</v>
      </c>
      <c r="S3929">
        <v>1</v>
      </c>
    </row>
    <row r="3930" spans="1:19" ht="16.5" x14ac:dyDescent="0.3">
      <c r="A3930" t="s">
        <v>3993</v>
      </c>
      <c r="B3930" s="1">
        <v>45796</v>
      </c>
      <c r="C3930" s="1">
        <v>45800</v>
      </c>
      <c r="D3930">
        <v>2025</v>
      </c>
      <c r="E3930" t="s">
        <v>836</v>
      </c>
      <c r="F3930" t="s">
        <v>1062</v>
      </c>
      <c r="G3930" t="s">
        <v>22</v>
      </c>
      <c r="H3930" t="s">
        <v>35</v>
      </c>
      <c r="I3930" t="s">
        <v>24</v>
      </c>
      <c r="J3930" t="s">
        <v>25</v>
      </c>
      <c r="K3930" t="s">
        <v>32</v>
      </c>
      <c r="L3930" t="s">
        <v>37</v>
      </c>
      <c r="M3930">
        <v>4</v>
      </c>
      <c r="N3930" s="2">
        <v>23</v>
      </c>
      <c r="O3930" s="3">
        <v>2524</v>
      </c>
      <c r="P3930">
        <v>0</v>
      </c>
      <c r="Q3930">
        <v>4</v>
      </c>
      <c r="R3930" t="s">
        <v>59</v>
      </c>
      <c r="S3930">
        <v>1</v>
      </c>
    </row>
    <row r="3931" spans="1:19" ht="16.5" x14ac:dyDescent="0.3">
      <c r="A3931" t="s">
        <v>3994</v>
      </c>
      <c r="B3931" s="1">
        <v>45797</v>
      </c>
      <c r="C3931" s="1">
        <v>45799</v>
      </c>
      <c r="D3931">
        <v>2025</v>
      </c>
      <c r="E3931" t="s">
        <v>836</v>
      </c>
      <c r="F3931" t="s">
        <v>1062</v>
      </c>
      <c r="G3931" t="s">
        <v>56</v>
      </c>
      <c r="H3931" t="s">
        <v>52</v>
      </c>
      <c r="I3931" t="s">
        <v>40</v>
      </c>
      <c r="J3931" t="s">
        <v>25</v>
      </c>
      <c r="K3931" t="s">
        <v>53</v>
      </c>
      <c r="L3931" t="s">
        <v>27</v>
      </c>
      <c r="M3931">
        <v>2</v>
      </c>
      <c r="N3931" s="2"/>
      <c r="O3931" s="3">
        <v>3426</v>
      </c>
      <c r="P3931">
        <v>0</v>
      </c>
      <c r="Q3931">
        <v>4</v>
      </c>
      <c r="R3931" t="s">
        <v>59</v>
      </c>
      <c r="S3931">
        <v>1</v>
      </c>
    </row>
    <row r="3932" spans="1:19" ht="16.5" x14ac:dyDescent="0.3">
      <c r="A3932" t="s">
        <v>3995</v>
      </c>
      <c r="B3932" s="1">
        <v>45797</v>
      </c>
      <c r="C3932" s="1">
        <v>45805</v>
      </c>
      <c r="D3932">
        <v>2025</v>
      </c>
      <c r="E3932" t="s">
        <v>836</v>
      </c>
      <c r="F3932" t="s">
        <v>1062</v>
      </c>
      <c r="G3932" t="s">
        <v>56</v>
      </c>
      <c r="H3932" t="s">
        <v>50</v>
      </c>
      <c r="I3932" t="s">
        <v>40</v>
      </c>
      <c r="J3932" t="s">
        <v>25</v>
      </c>
      <c r="K3932" t="s">
        <v>32</v>
      </c>
      <c r="L3932" t="s">
        <v>27</v>
      </c>
      <c r="M3932">
        <v>8</v>
      </c>
      <c r="N3932" s="2"/>
      <c r="O3932" s="3">
        <v>12406</v>
      </c>
      <c r="P3932">
        <v>0</v>
      </c>
      <c r="Q3932">
        <v>3</v>
      </c>
      <c r="R3932" t="s">
        <v>33</v>
      </c>
      <c r="S3932">
        <v>1</v>
      </c>
    </row>
    <row r="3933" spans="1:19" ht="16.5" x14ac:dyDescent="0.3">
      <c r="A3933" t="s">
        <v>3996</v>
      </c>
      <c r="B3933" s="1">
        <v>45797</v>
      </c>
      <c r="C3933" s="1">
        <v>45799</v>
      </c>
      <c r="D3933">
        <v>2025</v>
      </c>
      <c r="E3933" t="s">
        <v>836</v>
      </c>
      <c r="F3933" t="s">
        <v>1062</v>
      </c>
      <c r="G3933" t="s">
        <v>56</v>
      </c>
      <c r="H3933" t="s">
        <v>35</v>
      </c>
      <c r="I3933" t="s">
        <v>40</v>
      </c>
      <c r="J3933" t="s">
        <v>25</v>
      </c>
      <c r="K3933" t="s">
        <v>36</v>
      </c>
      <c r="L3933" t="s">
        <v>44</v>
      </c>
      <c r="M3933">
        <v>2</v>
      </c>
      <c r="N3933" s="2"/>
      <c r="O3933" s="3">
        <v>1810</v>
      </c>
      <c r="P3933">
        <v>0</v>
      </c>
      <c r="Q3933">
        <v>5</v>
      </c>
      <c r="R3933" t="s">
        <v>33</v>
      </c>
      <c r="S3933">
        <v>1</v>
      </c>
    </row>
    <row r="3934" spans="1:19" ht="16.5" x14ac:dyDescent="0.3">
      <c r="A3934" t="s">
        <v>3997</v>
      </c>
      <c r="B3934" s="1">
        <v>45797</v>
      </c>
      <c r="C3934" s="1">
        <v>45801</v>
      </c>
      <c r="D3934">
        <v>2025</v>
      </c>
      <c r="E3934" t="s">
        <v>836</v>
      </c>
      <c r="F3934" t="s">
        <v>1062</v>
      </c>
      <c r="G3934" t="s">
        <v>56</v>
      </c>
      <c r="H3934" t="s">
        <v>39</v>
      </c>
      <c r="I3934" t="s">
        <v>40</v>
      </c>
      <c r="J3934" t="s">
        <v>25</v>
      </c>
      <c r="K3934" t="s">
        <v>41</v>
      </c>
      <c r="L3934" t="s">
        <v>44</v>
      </c>
      <c r="M3934">
        <v>4</v>
      </c>
      <c r="N3934" s="2"/>
      <c r="O3934" s="3">
        <v>3947</v>
      </c>
      <c r="P3934">
        <v>0</v>
      </c>
      <c r="Q3934">
        <v>4</v>
      </c>
      <c r="R3934" t="s">
        <v>33</v>
      </c>
      <c r="S3934">
        <v>1</v>
      </c>
    </row>
    <row r="3935" spans="1:19" ht="16.5" x14ac:dyDescent="0.3">
      <c r="A3935" t="s">
        <v>3998</v>
      </c>
      <c r="B3935" s="1">
        <v>45797</v>
      </c>
      <c r="C3935" s="1">
        <v>45798</v>
      </c>
      <c r="D3935">
        <v>2025</v>
      </c>
      <c r="E3935" t="s">
        <v>836</v>
      </c>
      <c r="F3935" t="s">
        <v>1062</v>
      </c>
      <c r="G3935" t="s">
        <v>56</v>
      </c>
      <c r="H3935" t="s">
        <v>23</v>
      </c>
      <c r="I3935" t="s">
        <v>40</v>
      </c>
      <c r="J3935" t="s">
        <v>43</v>
      </c>
      <c r="K3935" t="s">
        <v>32</v>
      </c>
      <c r="L3935" t="s">
        <v>27</v>
      </c>
      <c r="M3935">
        <v>1</v>
      </c>
      <c r="N3935" s="2"/>
      <c r="O3935" s="3">
        <v>1318</v>
      </c>
      <c r="P3935">
        <v>1</v>
      </c>
      <c r="Q3935">
        <v>2</v>
      </c>
      <c r="R3935" t="s">
        <v>33</v>
      </c>
      <c r="S3935">
        <v>1</v>
      </c>
    </row>
    <row r="3936" spans="1:19" ht="16.5" x14ac:dyDescent="0.3">
      <c r="A3936" t="s">
        <v>3999</v>
      </c>
      <c r="B3936" s="1">
        <v>45797</v>
      </c>
      <c r="C3936" s="1">
        <v>45798</v>
      </c>
      <c r="D3936">
        <v>2025</v>
      </c>
      <c r="E3936" t="s">
        <v>836</v>
      </c>
      <c r="F3936" t="s">
        <v>1062</v>
      </c>
      <c r="G3936" t="s">
        <v>56</v>
      </c>
      <c r="H3936" t="s">
        <v>39</v>
      </c>
      <c r="I3936" t="s">
        <v>24</v>
      </c>
      <c r="J3936" t="s">
        <v>25</v>
      </c>
      <c r="K3936" t="s">
        <v>41</v>
      </c>
      <c r="L3936" t="s">
        <v>37</v>
      </c>
      <c r="M3936">
        <v>1</v>
      </c>
      <c r="N3936" s="2">
        <v>58</v>
      </c>
      <c r="O3936" s="3">
        <v>1025</v>
      </c>
      <c r="P3936">
        <v>0</v>
      </c>
      <c r="Q3936">
        <v>3</v>
      </c>
      <c r="R3936" t="s">
        <v>33</v>
      </c>
      <c r="S3936">
        <v>1</v>
      </c>
    </row>
    <row r="3937" spans="1:19" ht="16.5" x14ac:dyDescent="0.3">
      <c r="A3937" t="s">
        <v>4000</v>
      </c>
      <c r="B3937" s="1">
        <v>45797</v>
      </c>
      <c r="C3937" s="1">
        <v>45812</v>
      </c>
      <c r="D3937">
        <v>2025</v>
      </c>
      <c r="E3937" t="s">
        <v>836</v>
      </c>
      <c r="F3937" t="s">
        <v>1062</v>
      </c>
      <c r="G3937" t="s">
        <v>56</v>
      </c>
      <c r="H3937" t="s">
        <v>23</v>
      </c>
      <c r="I3937" t="s">
        <v>24</v>
      </c>
      <c r="J3937" t="s">
        <v>43</v>
      </c>
      <c r="K3937" t="s">
        <v>53</v>
      </c>
      <c r="L3937" t="s">
        <v>44</v>
      </c>
      <c r="M3937">
        <v>15</v>
      </c>
      <c r="N3937" s="2">
        <v>94</v>
      </c>
      <c r="O3937" s="3">
        <v>12766</v>
      </c>
      <c r="P3937">
        <v>1</v>
      </c>
      <c r="Q3937">
        <v>4</v>
      </c>
      <c r="R3937" t="s">
        <v>28</v>
      </c>
      <c r="S3937">
        <v>1</v>
      </c>
    </row>
    <row r="3938" spans="1:19" ht="16.5" x14ac:dyDescent="0.3">
      <c r="A3938" t="s">
        <v>4001</v>
      </c>
      <c r="B3938" s="1">
        <v>45797</v>
      </c>
      <c r="C3938" s="1">
        <v>45801</v>
      </c>
      <c r="D3938">
        <v>2025</v>
      </c>
      <c r="E3938" t="s">
        <v>836</v>
      </c>
      <c r="F3938" t="s">
        <v>1062</v>
      </c>
      <c r="G3938" t="s">
        <v>56</v>
      </c>
      <c r="H3938" t="s">
        <v>52</v>
      </c>
      <c r="I3938" t="s">
        <v>40</v>
      </c>
      <c r="J3938" t="s">
        <v>25</v>
      </c>
      <c r="K3938" t="s">
        <v>53</v>
      </c>
      <c r="L3938" t="s">
        <v>37</v>
      </c>
      <c r="M3938">
        <v>4</v>
      </c>
      <c r="N3938" s="2"/>
      <c r="O3938" s="3">
        <v>5541</v>
      </c>
      <c r="P3938">
        <v>0</v>
      </c>
      <c r="Q3938">
        <v>3</v>
      </c>
      <c r="R3938" t="s">
        <v>33</v>
      </c>
      <c r="S3938">
        <v>1</v>
      </c>
    </row>
    <row r="3939" spans="1:19" ht="16.5" x14ac:dyDescent="0.3">
      <c r="A3939" t="s">
        <v>4002</v>
      </c>
      <c r="B3939" s="1">
        <v>45798</v>
      </c>
      <c r="C3939" s="1">
        <v>45807</v>
      </c>
      <c r="D3939">
        <v>2025</v>
      </c>
      <c r="E3939" t="s">
        <v>836</v>
      </c>
      <c r="F3939" t="s">
        <v>1062</v>
      </c>
      <c r="G3939" t="s">
        <v>70</v>
      </c>
      <c r="H3939" t="s">
        <v>50</v>
      </c>
      <c r="I3939" t="s">
        <v>24</v>
      </c>
      <c r="J3939" t="s">
        <v>25</v>
      </c>
      <c r="K3939" t="s">
        <v>53</v>
      </c>
      <c r="L3939" t="s">
        <v>27</v>
      </c>
      <c r="M3939">
        <v>9</v>
      </c>
      <c r="N3939" s="2">
        <v>67</v>
      </c>
      <c r="O3939" s="3">
        <v>9247</v>
      </c>
      <c r="P3939">
        <v>0</v>
      </c>
      <c r="Q3939">
        <v>5</v>
      </c>
      <c r="R3939" t="s">
        <v>33</v>
      </c>
      <c r="S3939">
        <v>1</v>
      </c>
    </row>
    <row r="3940" spans="1:19" ht="16.5" x14ac:dyDescent="0.3">
      <c r="A3940" t="s">
        <v>4003</v>
      </c>
      <c r="B3940" s="1">
        <v>45798</v>
      </c>
      <c r="C3940" s="1">
        <v>45813</v>
      </c>
      <c r="D3940">
        <v>2025</v>
      </c>
      <c r="E3940" t="s">
        <v>836</v>
      </c>
      <c r="F3940" t="s">
        <v>1062</v>
      </c>
      <c r="G3940" t="s">
        <v>70</v>
      </c>
      <c r="H3940" t="s">
        <v>30</v>
      </c>
      <c r="I3940" t="s">
        <v>24</v>
      </c>
      <c r="J3940" t="s">
        <v>25</v>
      </c>
      <c r="K3940" t="s">
        <v>53</v>
      </c>
      <c r="L3940" t="s">
        <v>27</v>
      </c>
      <c r="M3940">
        <v>15</v>
      </c>
      <c r="N3940" s="2">
        <v>45</v>
      </c>
      <c r="O3940" s="3">
        <v>17570</v>
      </c>
      <c r="P3940">
        <v>0</v>
      </c>
      <c r="Q3940">
        <v>4</v>
      </c>
      <c r="R3940" t="s">
        <v>33</v>
      </c>
      <c r="S3940">
        <v>1</v>
      </c>
    </row>
    <row r="3941" spans="1:19" ht="16.5" x14ac:dyDescent="0.3">
      <c r="A3941" t="s">
        <v>4004</v>
      </c>
      <c r="B3941" s="1">
        <v>45798</v>
      </c>
      <c r="C3941" s="1">
        <v>45802</v>
      </c>
      <c r="D3941">
        <v>2025</v>
      </c>
      <c r="E3941" t="s">
        <v>836</v>
      </c>
      <c r="F3941" t="s">
        <v>1062</v>
      </c>
      <c r="G3941" t="s">
        <v>70</v>
      </c>
      <c r="H3941" t="s">
        <v>50</v>
      </c>
      <c r="I3941" t="s">
        <v>24</v>
      </c>
      <c r="J3941" t="s">
        <v>25</v>
      </c>
      <c r="K3941" t="s">
        <v>26</v>
      </c>
      <c r="L3941" t="s">
        <v>27</v>
      </c>
      <c r="M3941">
        <v>4</v>
      </c>
      <c r="N3941" s="2">
        <v>43</v>
      </c>
      <c r="O3941" s="3">
        <v>6144</v>
      </c>
      <c r="P3941">
        <v>1</v>
      </c>
      <c r="Q3941">
        <v>3</v>
      </c>
      <c r="R3941" t="s">
        <v>59</v>
      </c>
      <c r="S3941">
        <v>1</v>
      </c>
    </row>
    <row r="3942" spans="1:19" ht="16.5" x14ac:dyDescent="0.3">
      <c r="A3942" t="s">
        <v>4005</v>
      </c>
      <c r="B3942" s="1">
        <v>45798</v>
      </c>
      <c r="C3942" s="1">
        <v>45802</v>
      </c>
      <c r="D3942">
        <v>2025</v>
      </c>
      <c r="E3942" t="s">
        <v>836</v>
      </c>
      <c r="F3942" t="s">
        <v>1062</v>
      </c>
      <c r="G3942" t="s">
        <v>70</v>
      </c>
      <c r="H3942" t="s">
        <v>50</v>
      </c>
      <c r="I3942" t="s">
        <v>24</v>
      </c>
      <c r="J3942" t="s">
        <v>25</v>
      </c>
      <c r="K3942" t="s">
        <v>36</v>
      </c>
      <c r="L3942" t="s">
        <v>44</v>
      </c>
      <c r="M3942">
        <v>4</v>
      </c>
      <c r="N3942" s="2">
        <v>13</v>
      </c>
      <c r="O3942" s="3">
        <v>6126</v>
      </c>
      <c r="P3942">
        <v>1</v>
      </c>
      <c r="Q3942">
        <v>4</v>
      </c>
      <c r="R3942" t="s">
        <v>33</v>
      </c>
      <c r="S3942">
        <v>1</v>
      </c>
    </row>
    <row r="3943" spans="1:19" ht="16.5" x14ac:dyDescent="0.3">
      <c r="A3943" t="s">
        <v>4006</v>
      </c>
      <c r="B3943" s="1">
        <v>45798</v>
      </c>
      <c r="C3943" s="1">
        <v>45799</v>
      </c>
      <c r="D3943">
        <v>2025</v>
      </c>
      <c r="E3943" t="s">
        <v>836</v>
      </c>
      <c r="F3943" t="s">
        <v>1062</v>
      </c>
      <c r="G3943" t="s">
        <v>70</v>
      </c>
      <c r="H3943" t="s">
        <v>39</v>
      </c>
      <c r="I3943" t="s">
        <v>40</v>
      </c>
      <c r="J3943" t="s">
        <v>43</v>
      </c>
      <c r="K3943" t="s">
        <v>41</v>
      </c>
      <c r="L3943" t="s">
        <v>44</v>
      </c>
      <c r="M3943">
        <v>1</v>
      </c>
      <c r="N3943" s="2"/>
      <c r="O3943" s="3">
        <v>971</v>
      </c>
      <c r="P3943">
        <v>0</v>
      </c>
      <c r="Q3943">
        <v>4</v>
      </c>
      <c r="R3943" t="s">
        <v>28</v>
      </c>
      <c r="S3943">
        <v>1</v>
      </c>
    </row>
    <row r="3944" spans="1:19" ht="16.5" x14ac:dyDescent="0.3">
      <c r="A3944" t="s">
        <v>4007</v>
      </c>
      <c r="B3944" s="1">
        <v>45798</v>
      </c>
      <c r="C3944" s="1">
        <v>45804</v>
      </c>
      <c r="D3944">
        <v>2025</v>
      </c>
      <c r="E3944" t="s">
        <v>836</v>
      </c>
      <c r="F3944" t="s">
        <v>1062</v>
      </c>
      <c r="G3944" t="s">
        <v>70</v>
      </c>
      <c r="H3944" t="s">
        <v>30</v>
      </c>
      <c r="I3944" t="s">
        <v>24</v>
      </c>
      <c r="J3944" t="s">
        <v>25</v>
      </c>
      <c r="K3944" t="s">
        <v>26</v>
      </c>
      <c r="L3944" t="s">
        <v>27</v>
      </c>
      <c r="M3944">
        <v>6</v>
      </c>
      <c r="N3944" s="2">
        <v>59</v>
      </c>
      <c r="O3944" s="3">
        <v>5896</v>
      </c>
      <c r="P3944">
        <v>0</v>
      </c>
      <c r="Q3944">
        <v>5</v>
      </c>
      <c r="R3944" t="s">
        <v>33</v>
      </c>
      <c r="S3944">
        <v>1</v>
      </c>
    </row>
    <row r="3945" spans="1:19" ht="16.5" x14ac:dyDescent="0.3">
      <c r="A3945" t="s">
        <v>4008</v>
      </c>
      <c r="B3945" s="1">
        <v>45799</v>
      </c>
      <c r="C3945" s="1">
        <v>45802</v>
      </c>
      <c r="D3945">
        <v>2025</v>
      </c>
      <c r="E3945" t="s">
        <v>836</v>
      </c>
      <c r="F3945" t="s">
        <v>1062</v>
      </c>
      <c r="G3945" t="s">
        <v>78</v>
      </c>
      <c r="H3945" t="s">
        <v>23</v>
      </c>
      <c r="I3945" t="s">
        <v>24</v>
      </c>
      <c r="J3945" t="s">
        <v>25</v>
      </c>
      <c r="K3945" t="s">
        <v>26</v>
      </c>
      <c r="L3945" t="s">
        <v>44</v>
      </c>
      <c r="M3945">
        <v>3</v>
      </c>
      <c r="N3945" s="2">
        <v>47</v>
      </c>
      <c r="O3945" s="3">
        <v>2620</v>
      </c>
      <c r="P3945">
        <v>0</v>
      </c>
      <c r="Q3945">
        <v>4</v>
      </c>
      <c r="R3945" t="s">
        <v>33</v>
      </c>
      <c r="S3945">
        <v>1</v>
      </c>
    </row>
    <row r="3946" spans="1:19" ht="16.5" x14ac:dyDescent="0.3">
      <c r="A3946" t="s">
        <v>4009</v>
      </c>
      <c r="B3946" s="1">
        <v>45799</v>
      </c>
      <c r="C3946" s="1">
        <v>45812</v>
      </c>
      <c r="D3946">
        <v>2025</v>
      </c>
      <c r="E3946" t="s">
        <v>836</v>
      </c>
      <c r="F3946" t="s">
        <v>1062</v>
      </c>
      <c r="G3946" t="s">
        <v>78</v>
      </c>
      <c r="H3946" t="s">
        <v>23</v>
      </c>
      <c r="I3946" t="s">
        <v>24</v>
      </c>
      <c r="J3946" t="s">
        <v>25</v>
      </c>
      <c r="K3946" t="s">
        <v>53</v>
      </c>
      <c r="L3946" t="s">
        <v>27</v>
      </c>
      <c r="M3946">
        <v>13</v>
      </c>
      <c r="N3946" s="2">
        <v>34</v>
      </c>
      <c r="O3946" s="3">
        <v>7646</v>
      </c>
      <c r="P3946">
        <v>0</v>
      </c>
      <c r="Q3946">
        <v>4</v>
      </c>
      <c r="R3946" t="s">
        <v>165</v>
      </c>
      <c r="S3946">
        <v>1</v>
      </c>
    </row>
    <row r="3947" spans="1:19" ht="16.5" x14ac:dyDescent="0.3">
      <c r="A3947" t="s">
        <v>4010</v>
      </c>
      <c r="B3947" s="1">
        <v>45799</v>
      </c>
      <c r="C3947" s="1">
        <v>45802</v>
      </c>
      <c r="D3947">
        <v>2025</v>
      </c>
      <c r="E3947" t="s">
        <v>836</v>
      </c>
      <c r="F3947" t="s">
        <v>1062</v>
      </c>
      <c r="G3947" t="s">
        <v>78</v>
      </c>
      <c r="H3947" t="s">
        <v>39</v>
      </c>
      <c r="I3947" t="s">
        <v>40</v>
      </c>
      <c r="J3947" t="s">
        <v>43</v>
      </c>
      <c r="K3947" t="s">
        <v>41</v>
      </c>
      <c r="L3947" t="s">
        <v>44</v>
      </c>
      <c r="M3947">
        <v>3</v>
      </c>
      <c r="N3947" s="2"/>
      <c r="O3947" s="3">
        <v>2072</v>
      </c>
      <c r="P3947">
        <v>1</v>
      </c>
      <c r="Q3947">
        <v>4</v>
      </c>
      <c r="R3947" t="s">
        <v>33</v>
      </c>
      <c r="S3947">
        <v>1</v>
      </c>
    </row>
    <row r="3948" spans="1:19" ht="16.5" x14ac:dyDescent="0.3">
      <c r="A3948" t="s">
        <v>4011</v>
      </c>
      <c r="B3948" s="1">
        <v>45800</v>
      </c>
      <c r="C3948" s="1">
        <v>45801</v>
      </c>
      <c r="D3948">
        <v>2025</v>
      </c>
      <c r="E3948" t="s">
        <v>836</v>
      </c>
      <c r="F3948" t="s">
        <v>1062</v>
      </c>
      <c r="G3948" t="s">
        <v>83</v>
      </c>
      <c r="H3948" t="s">
        <v>39</v>
      </c>
      <c r="I3948" t="s">
        <v>24</v>
      </c>
      <c r="J3948" t="s">
        <v>25</v>
      </c>
      <c r="K3948" t="s">
        <v>41</v>
      </c>
      <c r="L3948" t="s">
        <v>27</v>
      </c>
      <c r="M3948">
        <v>1</v>
      </c>
      <c r="N3948" s="2">
        <v>121</v>
      </c>
      <c r="O3948" s="3">
        <v>1585</v>
      </c>
      <c r="P3948">
        <v>0</v>
      </c>
      <c r="Q3948">
        <v>4</v>
      </c>
      <c r="R3948" t="s">
        <v>33</v>
      </c>
      <c r="S3948">
        <v>1</v>
      </c>
    </row>
    <row r="3949" spans="1:19" ht="16.5" x14ac:dyDescent="0.3">
      <c r="A3949" t="s">
        <v>4012</v>
      </c>
      <c r="B3949" s="1">
        <v>45800</v>
      </c>
      <c r="C3949" s="1">
        <v>45802</v>
      </c>
      <c r="D3949">
        <v>2025</v>
      </c>
      <c r="E3949" t="s">
        <v>836</v>
      </c>
      <c r="F3949" t="s">
        <v>1062</v>
      </c>
      <c r="G3949" t="s">
        <v>83</v>
      </c>
      <c r="H3949" t="s">
        <v>39</v>
      </c>
      <c r="I3949" t="s">
        <v>24</v>
      </c>
      <c r="J3949" t="s">
        <v>43</v>
      </c>
      <c r="K3949" t="s">
        <v>41</v>
      </c>
      <c r="L3949" t="s">
        <v>37</v>
      </c>
      <c r="M3949">
        <v>2</v>
      </c>
      <c r="N3949" s="2">
        <v>15</v>
      </c>
      <c r="O3949" s="3">
        <v>2080</v>
      </c>
      <c r="P3949">
        <v>0</v>
      </c>
      <c r="Q3949">
        <v>4</v>
      </c>
      <c r="R3949" t="s">
        <v>28</v>
      </c>
      <c r="S3949">
        <v>1</v>
      </c>
    </row>
    <row r="3950" spans="1:19" ht="16.5" x14ac:dyDescent="0.3">
      <c r="A3950" t="s">
        <v>4013</v>
      </c>
      <c r="B3950" s="1">
        <v>45800</v>
      </c>
      <c r="C3950" s="1">
        <v>45802</v>
      </c>
      <c r="D3950">
        <v>2025</v>
      </c>
      <c r="E3950" t="s">
        <v>836</v>
      </c>
      <c r="F3950" t="s">
        <v>1062</v>
      </c>
      <c r="G3950" t="s">
        <v>83</v>
      </c>
      <c r="H3950" t="s">
        <v>52</v>
      </c>
      <c r="I3950" t="s">
        <v>40</v>
      </c>
      <c r="J3950" t="s">
        <v>25</v>
      </c>
      <c r="K3950" t="s">
        <v>26</v>
      </c>
      <c r="L3950" t="s">
        <v>27</v>
      </c>
      <c r="M3950">
        <v>2</v>
      </c>
      <c r="N3950" s="2"/>
      <c r="O3950" s="3">
        <v>3070</v>
      </c>
      <c r="P3950">
        <v>0</v>
      </c>
      <c r="Q3950">
        <v>5</v>
      </c>
      <c r="R3950" t="s">
        <v>28</v>
      </c>
      <c r="S3950">
        <v>1</v>
      </c>
    </row>
    <row r="3951" spans="1:19" ht="16.5" x14ac:dyDescent="0.3">
      <c r="A3951" t="s">
        <v>4014</v>
      </c>
      <c r="B3951" s="1">
        <v>45800</v>
      </c>
      <c r="C3951" s="1">
        <v>45804</v>
      </c>
      <c r="D3951">
        <v>2025</v>
      </c>
      <c r="E3951" t="s">
        <v>836</v>
      </c>
      <c r="F3951" t="s">
        <v>1062</v>
      </c>
      <c r="G3951" t="s">
        <v>83</v>
      </c>
      <c r="H3951" t="s">
        <v>35</v>
      </c>
      <c r="I3951" t="s">
        <v>40</v>
      </c>
      <c r="J3951" t="s">
        <v>25</v>
      </c>
      <c r="K3951" t="s">
        <v>36</v>
      </c>
      <c r="L3951" t="s">
        <v>44</v>
      </c>
      <c r="M3951">
        <v>4</v>
      </c>
      <c r="N3951" s="2"/>
      <c r="O3951" s="3">
        <v>3654</v>
      </c>
      <c r="P3951">
        <v>0</v>
      </c>
      <c r="Q3951">
        <v>3</v>
      </c>
      <c r="R3951" t="s">
        <v>33</v>
      </c>
      <c r="S3951">
        <v>1</v>
      </c>
    </row>
    <row r="3952" spans="1:19" ht="16.5" x14ac:dyDescent="0.3">
      <c r="A3952" t="s">
        <v>4015</v>
      </c>
      <c r="B3952" s="1">
        <v>45801</v>
      </c>
      <c r="C3952" s="1">
        <v>45803</v>
      </c>
      <c r="D3952">
        <v>2025</v>
      </c>
      <c r="E3952" t="s">
        <v>836</v>
      </c>
      <c r="F3952" t="s">
        <v>1062</v>
      </c>
      <c r="G3952" t="s">
        <v>102</v>
      </c>
      <c r="H3952" t="s">
        <v>39</v>
      </c>
      <c r="I3952" t="s">
        <v>24</v>
      </c>
      <c r="J3952" t="s">
        <v>43</v>
      </c>
      <c r="K3952" t="s">
        <v>41</v>
      </c>
      <c r="L3952" t="s">
        <v>27</v>
      </c>
      <c r="M3952">
        <v>2</v>
      </c>
      <c r="N3952" s="2">
        <v>88</v>
      </c>
      <c r="O3952" s="3">
        <v>2216</v>
      </c>
      <c r="P3952">
        <v>0</v>
      </c>
      <c r="Q3952">
        <v>4</v>
      </c>
      <c r="R3952" t="s">
        <v>28</v>
      </c>
      <c r="S3952">
        <v>1</v>
      </c>
    </row>
    <row r="3953" spans="1:19" ht="16.5" x14ac:dyDescent="0.3">
      <c r="A3953" t="s">
        <v>4016</v>
      </c>
      <c r="B3953" s="1">
        <v>45801</v>
      </c>
      <c r="C3953" s="1">
        <v>45806</v>
      </c>
      <c r="D3953">
        <v>2025</v>
      </c>
      <c r="E3953" t="s">
        <v>836</v>
      </c>
      <c r="F3953" t="s">
        <v>1062</v>
      </c>
      <c r="G3953" t="s">
        <v>102</v>
      </c>
      <c r="H3953" t="s">
        <v>23</v>
      </c>
      <c r="I3953" t="s">
        <v>24</v>
      </c>
      <c r="J3953" t="s">
        <v>43</v>
      </c>
      <c r="K3953" t="s">
        <v>26</v>
      </c>
      <c r="L3953" t="s">
        <v>27</v>
      </c>
      <c r="M3953">
        <v>5</v>
      </c>
      <c r="N3953" s="2">
        <v>106</v>
      </c>
      <c r="O3953" s="3">
        <v>4293</v>
      </c>
      <c r="P3953">
        <v>0</v>
      </c>
      <c r="Q3953">
        <v>2</v>
      </c>
      <c r="R3953" t="s">
        <v>28</v>
      </c>
      <c r="S3953">
        <v>1</v>
      </c>
    </row>
    <row r="3954" spans="1:19" ht="16.5" x14ac:dyDescent="0.3">
      <c r="A3954" t="s">
        <v>4017</v>
      </c>
      <c r="B3954" s="1">
        <v>45802</v>
      </c>
      <c r="C3954" s="1">
        <v>45803</v>
      </c>
      <c r="D3954">
        <v>2025</v>
      </c>
      <c r="E3954" t="s">
        <v>836</v>
      </c>
      <c r="F3954" t="s">
        <v>1062</v>
      </c>
      <c r="G3954" t="s">
        <v>112</v>
      </c>
      <c r="H3954" t="s">
        <v>23</v>
      </c>
      <c r="I3954" t="s">
        <v>24</v>
      </c>
      <c r="J3954" t="s">
        <v>25</v>
      </c>
      <c r="K3954" t="s">
        <v>26</v>
      </c>
      <c r="L3954" t="s">
        <v>27</v>
      </c>
      <c r="M3954">
        <v>1</v>
      </c>
      <c r="N3954" s="2">
        <v>74</v>
      </c>
      <c r="O3954" s="3">
        <v>1699</v>
      </c>
      <c r="P3954">
        <v>1</v>
      </c>
      <c r="Q3954">
        <v>5</v>
      </c>
      <c r="R3954" t="s">
        <v>33</v>
      </c>
      <c r="S3954">
        <v>1</v>
      </c>
    </row>
    <row r="3955" spans="1:19" ht="16.5" x14ac:dyDescent="0.3">
      <c r="A3955" t="s">
        <v>4018</v>
      </c>
      <c r="B3955" s="1">
        <v>45802</v>
      </c>
      <c r="C3955" s="1">
        <v>45804</v>
      </c>
      <c r="D3955">
        <v>2025</v>
      </c>
      <c r="E3955" t="s">
        <v>836</v>
      </c>
      <c r="F3955" t="s">
        <v>1062</v>
      </c>
      <c r="G3955" t="s">
        <v>112</v>
      </c>
      <c r="H3955" t="s">
        <v>30</v>
      </c>
      <c r="I3955" t="s">
        <v>40</v>
      </c>
      <c r="J3955" t="s">
        <v>25</v>
      </c>
      <c r="K3955" t="s">
        <v>53</v>
      </c>
      <c r="L3955" t="s">
        <v>27</v>
      </c>
      <c r="M3955">
        <v>2</v>
      </c>
      <c r="N3955" s="2"/>
      <c r="O3955" s="3">
        <v>2832</v>
      </c>
      <c r="P3955">
        <v>0</v>
      </c>
      <c r="Q3955">
        <v>4</v>
      </c>
      <c r="R3955" t="s">
        <v>33</v>
      </c>
      <c r="S3955">
        <v>1</v>
      </c>
    </row>
    <row r="3956" spans="1:19" ht="16.5" x14ac:dyDescent="0.3">
      <c r="A3956" t="s">
        <v>4019</v>
      </c>
      <c r="B3956" s="1">
        <v>45802</v>
      </c>
      <c r="C3956" s="1">
        <v>45808</v>
      </c>
      <c r="D3956">
        <v>2025</v>
      </c>
      <c r="E3956" t="s">
        <v>836</v>
      </c>
      <c r="F3956" t="s">
        <v>1062</v>
      </c>
      <c r="G3956" t="s">
        <v>112</v>
      </c>
      <c r="H3956" t="s">
        <v>50</v>
      </c>
      <c r="I3956" t="s">
        <v>24</v>
      </c>
      <c r="J3956" t="s">
        <v>25</v>
      </c>
      <c r="K3956" t="s">
        <v>26</v>
      </c>
      <c r="L3956" t="s">
        <v>44</v>
      </c>
      <c r="M3956">
        <v>6</v>
      </c>
      <c r="N3956" s="2">
        <v>65</v>
      </c>
      <c r="O3956" s="3">
        <v>7291</v>
      </c>
      <c r="P3956">
        <v>0</v>
      </c>
      <c r="Q3956">
        <v>4</v>
      </c>
      <c r="R3956" t="s">
        <v>33</v>
      </c>
      <c r="S3956">
        <v>1</v>
      </c>
    </row>
    <row r="3957" spans="1:19" ht="16.5" x14ac:dyDescent="0.3">
      <c r="A3957" t="s">
        <v>4020</v>
      </c>
      <c r="B3957" s="1">
        <v>45802</v>
      </c>
      <c r="C3957" s="1">
        <v>45804</v>
      </c>
      <c r="D3957">
        <v>2025</v>
      </c>
      <c r="E3957" t="s">
        <v>836</v>
      </c>
      <c r="F3957" t="s">
        <v>1062</v>
      </c>
      <c r="G3957" t="s">
        <v>112</v>
      </c>
      <c r="H3957" t="s">
        <v>35</v>
      </c>
      <c r="I3957" t="s">
        <v>24</v>
      </c>
      <c r="J3957" t="s">
        <v>25</v>
      </c>
      <c r="K3957" t="s">
        <v>32</v>
      </c>
      <c r="L3957" t="s">
        <v>44</v>
      </c>
      <c r="M3957">
        <v>2</v>
      </c>
      <c r="N3957" s="2">
        <v>146</v>
      </c>
      <c r="O3957" s="3">
        <v>2173</v>
      </c>
      <c r="P3957">
        <v>0</v>
      </c>
      <c r="Q3957">
        <v>4</v>
      </c>
      <c r="R3957" t="s">
        <v>33</v>
      </c>
      <c r="S3957">
        <v>1</v>
      </c>
    </row>
    <row r="3958" spans="1:19" ht="16.5" x14ac:dyDescent="0.3">
      <c r="A3958" t="s">
        <v>4021</v>
      </c>
      <c r="B3958" s="1">
        <v>45802</v>
      </c>
      <c r="C3958" s="1">
        <v>45803</v>
      </c>
      <c r="D3958">
        <v>2025</v>
      </c>
      <c r="E3958" t="s">
        <v>836</v>
      </c>
      <c r="F3958" t="s">
        <v>1062</v>
      </c>
      <c r="G3958" t="s">
        <v>112</v>
      </c>
      <c r="H3958" t="s">
        <v>39</v>
      </c>
      <c r="I3958" t="s">
        <v>24</v>
      </c>
      <c r="J3958" t="s">
        <v>43</v>
      </c>
      <c r="K3958" t="s">
        <v>41</v>
      </c>
      <c r="L3958" t="s">
        <v>44</v>
      </c>
      <c r="M3958">
        <v>1</v>
      </c>
      <c r="N3958" s="2">
        <v>36</v>
      </c>
      <c r="O3958" s="3">
        <v>1045</v>
      </c>
      <c r="P3958">
        <v>0</v>
      </c>
      <c r="Q3958">
        <v>5</v>
      </c>
      <c r="R3958" t="s">
        <v>28</v>
      </c>
      <c r="S3958">
        <v>1</v>
      </c>
    </row>
    <row r="3959" spans="1:19" ht="16.5" x14ac:dyDescent="0.3">
      <c r="A3959" t="s">
        <v>4022</v>
      </c>
      <c r="B3959" s="1">
        <v>45802</v>
      </c>
      <c r="C3959" s="1">
        <v>45804</v>
      </c>
      <c r="D3959">
        <v>2025</v>
      </c>
      <c r="E3959" t="s">
        <v>836</v>
      </c>
      <c r="F3959" t="s">
        <v>1062</v>
      </c>
      <c r="G3959" t="s">
        <v>112</v>
      </c>
      <c r="H3959" t="s">
        <v>23</v>
      </c>
      <c r="I3959" t="s">
        <v>40</v>
      </c>
      <c r="J3959" t="s">
        <v>43</v>
      </c>
      <c r="K3959" t="s">
        <v>26</v>
      </c>
      <c r="L3959" t="s">
        <v>27</v>
      </c>
      <c r="M3959">
        <v>2</v>
      </c>
      <c r="N3959" s="2"/>
      <c r="O3959" s="3">
        <v>1938</v>
      </c>
      <c r="P3959">
        <v>0</v>
      </c>
      <c r="Q3959">
        <v>3</v>
      </c>
      <c r="R3959" t="s">
        <v>28</v>
      </c>
      <c r="S3959">
        <v>1</v>
      </c>
    </row>
    <row r="3960" spans="1:19" ht="16.5" x14ac:dyDescent="0.3">
      <c r="A3960" t="s">
        <v>4023</v>
      </c>
      <c r="B3960" s="1">
        <v>45803</v>
      </c>
      <c r="C3960" s="1">
        <v>45807</v>
      </c>
      <c r="D3960">
        <v>2025</v>
      </c>
      <c r="E3960" t="s">
        <v>836</v>
      </c>
      <c r="F3960" t="s">
        <v>1062</v>
      </c>
      <c r="G3960" t="s">
        <v>22</v>
      </c>
      <c r="H3960" t="s">
        <v>23</v>
      </c>
      <c r="I3960" t="s">
        <v>24</v>
      </c>
      <c r="J3960" t="s">
        <v>25</v>
      </c>
      <c r="K3960" t="s">
        <v>36</v>
      </c>
      <c r="L3960" t="s">
        <v>44</v>
      </c>
      <c r="M3960">
        <v>4</v>
      </c>
      <c r="N3960" s="2">
        <v>35</v>
      </c>
      <c r="O3960" s="3">
        <v>3602</v>
      </c>
      <c r="P3960">
        <v>0</v>
      </c>
      <c r="Q3960">
        <v>5</v>
      </c>
      <c r="R3960" t="s">
        <v>33</v>
      </c>
      <c r="S3960">
        <v>1</v>
      </c>
    </row>
    <row r="3961" spans="1:19" ht="16.5" x14ac:dyDescent="0.3">
      <c r="A3961" t="s">
        <v>4024</v>
      </c>
      <c r="B3961" s="1">
        <v>45803</v>
      </c>
      <c r="C3961" s="1">
        <v>45808</v>
      </c>
      <c r="D3961">
        <v>2025</v>
      </c>
      <c r="E3961" t="s">
        <v>836</v>
      </c>
      <c r="F3961" t="s">
        <v>1062</v>
      </c>
      <c r="G3961" t="s">
        <v>22</v>
      </c>
      <c r="H3961" t="s">
        <v>35</v>
      </c>
      <c r="I3961" t="s">
        <v>40</v>
      </c>
      <c r="J3961" t="s">
        <v>25</v>
      </c>
      <c r="K3961" t="s">
        <v>36</v>
      </c>
      <c r="L3961" t="s">
        <v>44</v>
      </c>
      <c r="M3961">
        <v>5</v>
      </c>
      <c r="N3961" s="2"/>
      <c r="O3961" s="3">
        <v>3571</v>
      </c>
      <c r="P3961">
        <v>0</v>
      </c>
      <c r="Q3961">
        <v>5</v>
      </c>
      <c r="R3961" t="s">
        <v>28</v>
      </c>
      <c r="S3961">
        <v>1</v>
      </c>
    </row>
    <row r="3962" spans="1:19" ht="16.5" x14ac:dyDescent="0.3">
      <c r="A3962" t="s">
        <v>4025</v>
      </c>
      <c r="B3962" s="1">
        <v>45803</v>
      </c>
      <c r="C3962" s="1">
        <v>45810</v>
      </c>
      <c r="D3962">
        <v>2025</v>
      </c>
      <c r="E3962" t="s">
        <v>836</v>
      </c>
      <c r="F3962" t="s">
        <v>1062</v>
      </c>
      <c r="G3962" t="s">
        <v>22</v>
      </c>
      <c r="H3962" t="s">
        <v>35</v>
      </c>
      <c r="I3962" t="s">
        <v>40</v>
      </c>
      <c r="J3962" t="s">
        <v>25</v>
      </c>
      <c r="K3962" t="s">
        <v>32</v>
      </c>
      <c r="L3962" t="s">
        <v>27</v>
      </c>
      <c r="M3962">
        <v>7</v>
      </c>
      <c r="N3962" s="2"/>
      <c r="O3962" s="3">
        <v>5490</v>
      </c>
      <c r="P3962">
        <v>0</v>
      </c>
      <c r="Q3962">
        <v>4</v>
      </c>
      <c r="R3962" t="s">
        <v>28</v>
      </c>
      <c r="S3962">
        <v>1</v>
      </c>
    </row>
    <row r="3963" spans="1:19" ht="16.5" x14ac:dyDescent="0.3">
      <c r="A3963" t="s">
        <v>4026</v>
      </c>
      <c r="B3963" s="1">
        <v>45803</v>
      </c>
      <c r="C3963" s="1">
        <v>45805</v>
      </c>
      <c r="D3963">
        <v>2025</v>
      </c>
      <c r="E3963" t="s">
        <v>836</v>
      </c>
      <c r="F3963" t="s">
        <v>1062</v>
      </c>
      <c r="G3963" t="s">
        <v>22</v>
      </c>
      <c r="H3963" t="s">
        <v>35</v>
      </c>
      <c r="I3963" t="s">
        <v>40</v>
      </c>
      <c r="J3963" t="s">
        <v>25</v>
      </c>
      <c r="K3963" t="s">
        <v>32</v>
      </c>
      <c r="L3963" t="s">
        <v>27</v>
      </c>
      <c r="M3963">
        <v>2</v>
      </c>
      <c r="N3963" s="2"/>
      <c r="O3963" s="3">
        <v>2529</v>
      </c>
      <c r="P3963">
        <v>0</v>
      </c>
      <c r="Q3963">
        <v>3</v>
      </c>
      <c r="R3963" t="s">
        <v>28</v>
      </c>
      <c r="S3963">
        <v>1</v>
      </c>
    </row>
    <row r="3964" spans="1:19" ht="16.5" x14ac:dyDescent="0.3">
      <c r="A3964" t="s">
        <v>4027</v>
      </c>
      <c r="B3964" s="1">
        <v>45803</v>
      </c>
      <c r="C3964" s="1">
        <v>45810</v>
      </c>
      <c r="D3964">
        <v>2025</v>
      </c>
      <c r="E3964" t="s">
        <v>836</v>
      </c>
      <c r="F3964" t="s">
        <v>1062</v>
      </c>
      <c r="G3964" t="s">
        <v>22</v>
      </c>
      <c r="H3964" t="s">
        <v>35</v>
      </c>
      <c r="I3964" t="s">
        <v>24</v>
      </c>
      <c r="J3964" t="s">
        <v>25</v>
      </c>
      <c r="K3964" t="s">
        <v>32</v>
      </c>
      <c r="L3964" t="s">
        <v>27</v>
      </c>
      <c r="M3964">
        <v>7</v>
      </c>
      <c r="N3964" s="2">
        <v>29</v>
      </c>
      <c r="O3964" s="3">
        <v>4915</v>
      </c>
      <c r="P3964">
        <v>0</v>
      </c>
      <c r="Q3964">
        <v>5</v>
      </c>
      <c r="R3964" t="s">
        <v>33</v>
      </c>
      <c r="S3964">
        <v>1</v>
      </c>
    </row>
    <row r="3965" spans="1:19" ht="16.5" x14ac:dyDescent="0.3">
      <c r="A3965" t="s">
        <v>4028</v>
      </c>
      <c r="B3965" s="1">
        <v>45803</v>
      </c>
      <c r="C3965" s="1">
        <v>45806</v>
      </c>
      <c r="D3965">
        <v>2025</v>
      </c>
      <c r="E3965" t="s">
        <v>836</v>
      </c>
      <c r="F3965" t="s">
        <v>1062</v>
      </c>
      <c r="G3965" t="s">
        <v>22</v>
      </c>
      <c r="H3965" t="s">
        <v>35</v>
      </c>
      <c r="I3965" t="s">
        <v>40</v>
      </c>
      <c r="J3965" t="s">
        <v>25</v>
      </c>
      <c r="K3965" t="s">
        <v>32</v>
      </c>
      <c r="L3965" t="s">
        <v>44</v>
      </c>
      <c r="M3965">
        <v>3</v>
      </c>
      <c r="N3965" s="2"/>
      <c r="O3965" s="3">
        <v>2754</v>
      </c>
      <c r="P3965">
        <v>0</v>
      </c>
      <c r="Q3965">
        <v>3</v>
      </c>
      <c r="R3965" t="s">
        <v>33</v>
      </c>
      <c r="S3965">
        <v>1</v>
      </c>
    </row>
    <row r="3966" spans="1:19" ht="16.5" x14ac:dyDescent="0.3">
      <c r="A3966" t="s">
        <v>4029</v>
      </c>
      <c r="B3966" s="1">
        <v>45804</v>
      </c>
      <c r="C3966" s="1">
        <v>45808</v>
      </c>
      <c r="D3966">
        <v>2025</v>
      </c>
      <c r="E3966" t="s">
        <v>836</v>
      </c>
      <c r="F3966" t="s">
        <v>1062</v>
      </c>
      <c r="G3966" t="s">
        <v>56</v>
      </c>
      <c r="H3966" t="s">
        <v>52</v>
      </c>
      <c r="I3966" t="s">
        <v>40</v>
      </c>
      <c r="J3966" t="s">
        <v>43</v>
      </c>
      <c r="K3966" t="s">
        <v>53</v>
      </c>
      <c r="L3966" t="s">
        <v>27</v>
      </c>
      <c r="M3966">
        <v>4</v>
      </c>
      <c r="N3966" s="2"/>
      <c r="O3966" s="3">
        <v>3514</v>
      </c>
      <c r="P3966">
        <v>0</v>
      </c>
      <c r="Q3966">
        <v>4</v>
      </c>
      <c r="R3966" t="s">
        <v>28</v>
      </c>
      <c r="S3966">
        <v>1</v>
      </c>
    </row>
    <row r="3967" spans="1:19" ht="16.5" x14ac:dyDescent="0.3">
      <c r="A3967" t="s">
        <v>4030</v>
      </c>
      <c r="B3967" s="1">
        <v>45804</v>
      </c>
      <c r="C3967" s="1">
        <v>45807</v>
      </c>
      <c r="D3967">
        <v>2025</v>
      </c>
      <c r="E3967" t="s">
        <v>836</v>
      </c>
      <c r="F3967" t="s">
        <v>1062</v>
      </c>
      <c r="G3967" t="s">
        <v>56</v>
      </c>
      <c r="H3967" t="s">
        <v>23</v>
      </c>
      <c r="I3967" t="s">
        <v>40</v>
      </c>
      <c r="J3967" t="s">
        <v>25</v>
      </c>
      <c r="K3967" t="s">
        <v>53</v>
      </c>
      <c r="L3967" t="s">
        <v>37</v>
      </c>
      <c r="M3967">
        <v>3</v>
      </c>
      <c r="N3967" s="2"/>
      <c r="O3967" s="3">
        <v>3456</v>
      </c>
      <c r="P3967">
        <v>0</v>
      </c>
      <c r="Q3967">
        <v>5</v>
      </c>
      <c r="R3967" t="s">
        <v>33</v>
      </c>
      <c r="S3967">
        <v>1</v>
      </c>
    </row>
    <row r="3968" spans="1:19" ht="16.5" x14ac:dyDescent="0.3">
      <c r="A3968" t="s">
        <v>4031</v>
      </c>
      <c r="B3968" s="1">
        <v>45804</v>
      </c>
      <c r="C3968" s="1">
        <v>45805</v>
      </c>
      <c r="D3968">
        <v>2025</v>
      </c>
      <c r="E3968" t="s">
        <v>836</v>
      </c>
      <c r="F3968" t="s">
        <v>1062</v>
      </c>
      <c r="G3968" t="s">
        <v>56</v>
      </c>
      <c r="H3968" t="s">
        <v>30</v>
      </c>
      <c r="I3968" t="s">
        <v>40</v>
      </c>
      <c r="J3968" t="s">
        <v>43</v>
      </c>
      <c r="K3968" t="s">
        <v>53</v>
      </c>
      <c r="L3968" t="s">
        <v>27</v>
      </c>
      <c r="M3968">
        <v>1</v>
      </c>
      <c r="N3968" s="2"/>
      <c r="O3968" s="3">
        <v>2236</v>
      </c>
      <c r="P3968">
        <v>0</v>
      </c>
      <c r="Q3968">
        <v>4</v>
      </c>
      <c r="R3968" t="s">
        <v>33</v>
      </c>
      <c r="S3968">
        <v>1</v>
      </c>
    </row>
    <row r="3969" spans="1:19" ht="16.5" x14ac:dyDescent="0.3">
      <c r="A3969" t="s">
        <v>4032</v>
      </c>
      <c r="B3969" s="1">
        <v>45804</v>
      </c>
      <c r="C3969" s="1">
        <v>45809</v>
      </c>
      <c r="D3969">
        <v>2025</v>
      </c>
      <c r="E3969" t="s">
        <v>836</v>
      </c>
      <c r="F3969" t="s">
        <v>1062</v>
      </c>
      <c r="G3969" t="s">
        <v>56</v>
      </c>
      <c r="H3969" t="s">
        <v>23</v>
      </c>
      <c r="I3969" t="s">
        <v>24</v>
      </c>
      <c r="J3969" t="s">
        <v>43</v>
      </c>
      <c r="K3969" t="s">
        <v>26</v>
      </c>
      <c r="L3969" t="s">
        <v>27</v>
      </c>
      <c r="M3969">
        <v>5</v>
      </c>
      <c r="N3969" s="2">
        <v>75</v>
      </c>
      <c r="O3969" s="3">
        <v>3522</v>
      </c>
      <c r="P3969">
        <v>0</v>
      </c>
      <c r="Q3969">
        <v>5</v>
      </c>
      <c r="R3969" t="s">
        <v>28</v>
      </c>
      <c r="S3969">
        <v>1</v>
      </c>
    </row>
    <row r="3970" spans="1:19" ht="16.5" x14ac:dyDescent="0.3">
      <c r="A3970" t="s">
        <v>4033</v>
      </c>
      <c r="B3970" s="1">
        <v>45804</v>
      </c>
      <c r="C3970" s="1">
        <v>45808</v>
      </c>
      <c r="D3970">
        <v>2025</v>
      </c>
      <c r="E3970" t="s">
        <v>836</v>
      </c>
      <c r="F3970" t="s">
        <v>1062</v>
      </c>
      <c r="G3970" t="s">
        <v>56</v>
      </c>
      <c r="H3970" t="s">
        <v>52</v>
      </c>
      <c r="I3970" t="s">
        <v>40</v>
      </c>
      <c r="J3970" t="s">
        <v>25</v>
      </c>
      <c r="K3970" t="s">
        <v>26</v>
      </c>
      <c r="L3970" t="s">
        <v>27</v>
      </c>
      <c r="M3970">
        <v>4</v>
      </c>
      <c r="N3970" s="2"/>
      <c r="O3970" s="3">
        <v>4443</v>
      </c>
      <c r="P3970">
        <v>0</v>
      </c>
      <c r="Q3970">
        <v>4</v>
      </c>
      <c r="R3970" t="s">
        <v>59</v>
      </c>
      <c r="S3970">
        <v>1</v>
      </c>
    </row>
    <row r="3971" spans="1:19" ht="16.5" x14ac:dyDescent="0.3">
      <c r="A3971" t="s">
        <v>4034</v>
      </c>
      <c r="B3971" s="1">
        <v>45804</v>
      </c>
      <c r="C3971" s="1">
        <v>45809</v>
      </c>
      <c r="D3971">
        <v>2025</v>
      </c>
      <c r="E3971" t="s">
        <v>836</v>
      </c>
      <c r="F3971" t="s">
        <v>1062</v>
      </c>
      <c r="G3971" t="s">
        <v>56</v>
      </c>
      <c r="H3971" t="s">
        <v>23</v>
      </c>
      <c r="I3971" t="s">
        <v>24</v>
      </c>
      <c r="J3971" t="s">
        <v>25</v>
      </c>
      <c r="K3971" t="s">
        <v>32</v>
      </c>
      <c r="L3971" t="s">
        <v>27</v>
      </c>
      <c r="M3971">
        <v>5</v>
      </c>
      <c r="N3971" s="2">
        <v>31</v>
      </c>
      <c r="O3971" s="3">
        <v>3762</v>
      </c>
      <c r="P3971">
        <v>0</v>
      </c>
      <c r="Q3971">
        <v>4</v>
      </c>
      <c r="R3971" t="s">
        <v>28</v>
      </c>
      <c r="S3971">
        <v>1</v>
      </c>
    </row>
    <row r="3972" spans="1:19" ht="16.5" x14ac:dyDescent="0.3">
      <c r="A3972" t="s">
        <v>4035</v>
      </c>
      <c r="B3972" s="1">
        <v>45805</v>
      </c>
      <c r="C3972" s="1">
        <v>45813</v>
      </c>
      <c r="D3972">
        <v>2025</v>
      </c>
      <c r="E3972" t="s">
        <v>836</v>
      </c>
      <c r="F3972" t="s">
        <v>1062</v>
      </c>
      <c r="G3972" t="s">
        <v>70</v>
      </c>
      <c r="H3972" t="s">
        <v>23</v>
      </c>
      <c r="I3972" t="s">
        <v>24</v>
      </c>
      <c r="J3972" t="s">
        <v>43</v>
      </c>
      <c r="K3972" t="s">
        <v>26</v>
      </c>
      <c r="L3972" t="s">
        <v>27</v>
      </c>
      <c r="M3972">
        <v>8</v>
      </c>
      <c r="N3972" s="2">
        <v>42</v>
      </c>
      <c r="O3972" s="3">
        <v>5801</v>
      </c>
      <c r="P3972">
        <v>0</v>
      </c>
      <c r="Q3972">
        <v>4</v>
      </c>
      <c r="R3972" t="s">
        <v>28</v>
      </c>
      <c r="S3972">
        <v>1</v>
      </c>
    </row>
    <row r="3973" spans="1:19" ht="16.5" x14ac:dyDescent="0.3">
      <c r="A3973" t="s">
        <v>4036</v>
      </c>
      <c r="B3973" s="1">
        <v>45805</v>
      </c>
      <c r="C3973" s="1">
        <v>45806</v>
      </c>
      <c r="D3973">
        <v>2025</v>
      </c>
      <c r="E3973" t="s">
        <v>836</v>
      </c>
      <c r="F3973" t="s">
        <v>1062</v>
      </c>
      <c r="G3973" t="s">
        <v>70</v>
      </c>
      <c r="H3973" t="s">
        <v>52</v>
      </c>
      <c r="I3973" t="s">
        <v>24</v>
      </c>
      <c r="J3973" t="s">
        <v>43</v>
      </c>
      <c r="K3973" t="s">
        <v>32</v>
      </c>
      <c r="L3973" t="s">
        <v>37</v>
      </c>
      <c r="M3973">
        <v>1</v>
      </c>
      <c r="N3973" s="2">
        <v>40</v>
      </c>
      <c r="O3973" s="3">
        <v>1923</v>
      </c>
      <c r="P3973">
        <v>0</v>
      </c>
      <c r="Q3973">
        <v>5</v>
      </c>
      <c r="R3973" t="s">
        <v>33</v>
      </c>
      <c r="S3973">
        <v>1</v>
      </c>
    </row>
    <row r="3974" spans="1:19" ht="16.5" x14ac:dyDescent="0.3">
      <c r="A3974" t="s">
        <v>4037</v>
      </c>
      <c r="B3974" s="1">
        <v>45805</v>
      </c>
      <c r="C3974" s="1">
        <v>45828</v>
      </c>
      <c r="D3974">
        <v>2025</v>
      </c>
      <c r="E3974" t="s">
        <v>836</v>
      </c>
      <c r="F3974" t="s">
        <v>1062</v>
      </c>
      <c r="G3974" t="s">
        <v>70</v>
      </c>
      <c r="H3974" t="s">
        <v>50</v>
      </c>
      <c r="I3974" t="s">
        <v>40</v>
      </c>
      <c r="J3974" t="s">
        <v>25</v>
      </c>
      <c r="K3974" t="s">
        <v>26</v>
      </c>
      <c r="L3974" t="s">
        <v>44</v>
      </c>
      <c r="M3974">
        <v>23</v>
      </c>
      <c r="N3974" s="2"/>
      <c r="O3974" s="3">
        <v>27241</v>
      </c>
      <c r="P3974">
        <v>0</v>
      </c>
      <c r="Q3974">
        <v>5</v>
      </c>
      <c r="R3974" t="s">
        <v>28</v>
      </c>
      <c r="S3974">
        <v>1</v>
      </c>
    </row>
    <row r="3975" spans="1:19" ht="16.5" x14ac:dyDescent="0.3">
      <c r="A3975" t="s">
        <v>4038</v>
      </c>
      <c r="B3975" s="1">
        <v>45805</v>
      </c>
      <c r="C3975" s="1">
        <v>45807</v>
      </c>
      <c r="D3975">
        <v>2025</v>
      </c>
      <c r="E3975" t="s">
        <v>836</v>
      </c>
      <c r="F3975" t="s">
        <v>1062</v>
      </c>
      <c r="G3975" t="s">
        <v>70</v>
      </c>
      <c r="H3975" t="s">
        <v>30</v>
      </c>
      <c r="I3975" t="s">
        <v>31</v>
      </c>
      <c r="J3975" t="s">
        <v>25</v>
      </c>
      <c r="K3975" t="s">
        <v>36</v>
      </c>
      <c r="L3975" t="s">
        <v>27</v>
      </c>
      <c r="M3975">
        <v>2</v>
      </c>
      <c r="N3975" s="2"/>
      <c r="O3975" s="3">
        <v>3134</v>
      </c>
      <c r="P3975">
        <v>1</v>
      </c>
      <c r="Q3975">
        <v>3</v>
      </c>
      <c r="R3975" t="s">
        <v>28</v>
      </c>
      <c r="S3975">
        <v>1</v>
      </c>
    </row>
    <row r="3976" spans="1:19" ht="16.5" x14ac:dyDescent="0.3">
      <c r="A3976" t="s">
        <v>4039</v>
      </c>
      <c r="B3976" s="1">
        <v>45805</v>
      </c>
      <c r="C3976" s="1">
        <v>45806</v>
      </c>
      <c r="D3976">
        <v>2025</v>
      </c>
      <c r="E3976" t="s">
        <v>836</v>
      </c>
      <c r="F3976" t="s">
        <v>1062</v>
      </c>
      <c r="G3976" t="s">
        <v>70</v>
      </c>
      <c r="H3976" t="s">
        <v>35</v>
      </c>
      <c r="I3976" t="s">
        <v>24</v>
      </c>
      <c r="J3976" t="s">
        <v>25</v>
      </c>
      <c r="K3976" t="s">
        <v>32</v>
      </c>
      <c r="L3976" t="s">
        <v>37</v>
      </c>
      <c r="M3976">
        <v>1</v>
      </c>
      <c r="N3976" s="2">
        <v>59</v>
      </c>
      <c r="O3976" s="3">
        <v>1229</v>
      </c>
      <c r="P3976">
        <v>0</v>
      </c>
      <c r="Q3976">
        <v>3</v>
      </c>
      <c r="R3976" t="s">
        <v>59</v>
      </c>
      <c r="S3976">
        <v>1</v>
      </c>
    </row>
    <row r="3977" spans="1:19" ht="16.5" x14ac:dyDescent="0.3">
      <c r="A3977" t="s">
        <v>4040</v>
      </c>
      <c r="B3977" s="1">
        <v>45805</v>
      </c>
      <c r="C3977" s="1">
        <v>45808</v>
      </c>
      <c r="D3977">
        <v>2025</v>
      </c>
      <c r="E3977" t="s">
        <v>836</v>
      </c>
      <c r="F3977" t="s">
        <v>1062</v>
      </c>
      <c r="G3977" t="s">
        <v>70</v>
      </c>
      <c r="H3977" t="s">
        <v>30</v>
      </c>
      <c r="I3977" t="s">
        <v>40</v>
      </c>
      <c r="J3977" t="s">
        <v>25</v>
      </c>
      <c r="K3977" t="s">
        <v>26</v>
      </c>
      <c r="L3977" t="s">
        <v>27</v>
      </c>
      <c r="M3977">
        <v>3</v>
      </c>
      <c r="N3977" s="2"/>
      <c r="O3977" s="3">
        <v>3106</v>
      </c>
      <c r="P3977">
        <v>0</v>
      </c>
      <c r="Q3977">
        <v>4</v>
      </c>
      <c r="R3977" t="s">
        <v>33</v>
      </c>
      <c r="S3977">
        <v>1</v>
      </c>
    </row>
    <row r="3978" spans="1:19" ht="16.5" x14ac:dyDescent="0.3">
      <c r="A3978" t="s">
        <v>4041</v>
      </c>
      <c r="B3978" s="1">
        <v>45806</v>
      </c>
      <c r="C3978" s="1">
        <v>45808</v>
      </c>
      <c r="D3978">
        <v>2025</v>
      </c>
      <c r="E3978" t="s">
        <v>836</v>
      </c>
      <c r="F3978" t="s">
        <v>1062</v>
      </c>
      <c r="G3978" t="s">
        <v>78</v>
      </c>
      <c r="H3978" t="s">
        <v>35</v>
      </c>
      <c r="I3978" t="s">
        <v>24</v>
      </c>
      <c r="J3978" t="s">
        <v>25</v>
      </c>
      <c r="K3978" t="s">
        <v>32</v>
      </c>
      <c r="L3978" t="s">
        <v>44</v>
      </c>
      <c r="M3978">
        <v>2</v>
      </c>
      <c r="N3978" s="2">
        <v>16</v>
      </c>
      <c r="O3978" s="3">
        <v>2534</v>
      </c>
      <c r="P3978">
        <v>0</v>
      </c>
      <c r="Q3978">
        <v>5</v>
      </c>
      <c r="R3978" t="s">
        <v>28</v>
      </c>
      <c r="S3978">
        <v>1</v>
      </c>
    </row>
    <row r="3979" spans="1:19" ht="16.5" x14ac:dyDescent="0.3">
      <c r="A3979" t="s">
        <v>4042</v>
      </c>
      <c r="B3979" s="1">
        <v>45806</v>
      </c>
      <c r="C3979" s="1">
        <v>45813</v>
      </c>
      <c r="D3979">
        <v>2025</v>
      </c>
      <c r="E3979" t="s">
        <v>836</v>
      </c>
      <c r="F3979" t="s">
        <v>1062</v>
      </c>
      <c r="G3979" t="s">
        <v>78</v>
      </c>
      <c r="H3979" t="s">
        <v>23</v>
      </c>
      <c r="I3979" t="s">
        <v>24</v>
      </c>
      <c r="J3979" t="s">
        <v>43</v>
      </c>
      <c r="K3979" t="s">
        <v>53</v>
      </c>
      <c r="L3979" t="s">
        <v>44</v>
      </c>
      <c r="M3979">
        <v>7</v>
      </c>
      <c r="N3979" s="2">
        <v>67</v>
      </c>
      <c r="O3979" s="3">
        <v>5133</v>
      </c>
      <c r="P3979">
        <v>0</v>
      </c>
      <c r="Q3979">
        <v>5</v>
      </c>
      <c r="R3979" t="s">
        <v>28</v>
      </c>
      <c r="S3979">
        <v>1</v>
      </c>
    </row>
    <row r="3980" spans="1:19" ht="16.5" x14ac:dyDescent="0.3">
      <c r="A3980" t="s">
        <v>4043</v>
      </c>
      <c r="B3980" s="1">
        <v>45806</v>
      </c>
      <c r="C3980" s="1">
        <v>45809</v>
      </c>
      <c r="D3980">
        <v>2025</v>
      </c>
      <c r="E3980" t="s">
        <v>836</v>
      </c>
      <c r="F3980" t="s">
        <v>1062</v>
      </c>
      <c r="G3980" t="s">
        <v>78</v>
      </c>
      <c r="H3980" t="s">
        <v>30</v>
      </c>
      <c r="I3980" t="s">
        <v>40</v>
      </c>
      <c r="J3980" t="s">
        <v>43</v>
      </c>
      <c r="K3980" t="s">
        <v>32</v>
      </c>
      <c r="L3980" t="s">
        <v>44</v>
      </c>
      <c r="M3980">
        <v>3</v>
      </c>
      <c r="N3980" s="2"/>
      <c r="O3980" s="3">
        <v>4140</v>
      </c>
      <c r="P3980">
        <v>0</v>
      </c>
      <c r="Q3980">
        <v>4</v>
      </c>
      <c r="R3980" t="s">
        <v>33</v>
      </c>
      <c r="S3980">
        <v>1</v>
      </c>
    </row>
    <row r="3981" spans="1:19" ht="16.5" x14ac:dyDescent="0.3">
      <c r="A3981" t="s">
        <v>4044</v>
      </c>
      <c r="B3981" s="1">
        <v>45806</v>
      </c>
      <c r="C3981" s="1">
        <v>45812</v>
      </c>
      <c r="D3981">
        <v>2025</v>
      </c>
      <c r="E3981" t="s">
        <v>836</v>
      </c>
      <c r="F3981" t="s">
        <v>1062</v>
      </c>
      <c r="G3981" t="s">
        <v>78</v>
      </c>
      <c r="H3981" t="s">
        <v>50</v>
      </c>
      <c r="I3981" t="s">
        <v>24</v>
      </c>
      <c r="J3981" t="s">
        <v>43</v>
      </c>
      <c r="K3981" t="s">
        <v>53</v>
      </c>
      <c r="L3981" t="s">
        <v>37</v>
      </c>
      <c r="M3981">
        <v>6</v>
      </c>
      <c r="N3981" s="2">
        <v>26</v>
      </c>
      <c r="O3981" s="3">
        <v>9339</v>
      </c>
      <c r="P3981">
        <v>0</v>
      </c>
      <c r="Q3981">
        <v>3</v>
      </c>
      <c r="R3981" t="s">
        <v>28</v>
      </c>
      <c r="S3981">
        <v>1</v>
      </c>
    </row>
    <row r="3982" spans="1:19" ht="16.5" x14ac:dyDescent="0.3">
      <c r="A3982" t="s">
        <v>4045</v>
      </c>
      <c r="B3982" s="1">
        <v>45806</v>
      </c>
      <c r="C3982" s="1">
        <v>45814</v>
      </c>
      <c r="D3982">
        <v>2025</v>
      </c>
      <c r="E3982" t="s">
        <v>836</v>
      </c>
      <c r="F3982" t="s">
        <v>1062</v>
      </c>
      <c r="G3982" t="s">
        <v>78</v>
      </c>
      <c r="H3982" t="s">
        <v>23</v>
      </c>
      <c r="I3982" t="s">
        <v>24</v>
      </c>
      <c r="J3982" t="s">
        <v>25</v>
      </c>
      <c r="K3982" t="s">
        <v>26</v>
      </c>
      <c r="L3982" t="s">
        <v>44</v>
      </c>
      <c r="M3982">
        <v>8</v>
      </c>
      <c r="N3982" s="2">
        <v>36</v>
      </c>
      <c r="O3982" s="3">
        <v>4761</v>
      </c>
      <c r="P3982">
        <v>0</v>
      </c>
      <c r="Q3982">
        <v>5</v>
      </c>
      <c r="R3982" t="s">
        <v>33</v>
      </c>
      <c r="S3982">
        <v>1</v>
      </c>
    </row>
    <row r="3983" spans="1:19" ht="16.5" x14ac:dyDescent="0.3">
      <c r="A3983" t="s">
        <v>4046</v>
      </c>
      <c r="B3983" s="1">
        <v>45806</v>
      </c>
      <c r="C3983" s="1">
        <v>45811</v>
      </c>
      <c r="D3983">
        <v>2025</v>
      </c>
      <c r="E3983" t="s">
        <v>836</v>
      </c>
      <c r="F3983" t="s">
        <v>1062</v>
      </c>
      <c r="G3983" t="s">
        <v>78</v>
      </c>
      <c r="H3983" t="s">
        <v>35</v>
      </c>
      <c r="I3983" t="s">
        <v>40</v>
      </c>
      <c r="J3983" t="s">
        <v>25</v>
      </c>
      <c r="K3983" t="s">
        <v>36</v>
      </c>
      <c r="L3983" t="s">
        <v>37</v>
      </c>
      <c r="M3983">
        <v>5</v>
      </c>
      <c r="N3983" s="2"/>
      <c r="O3983" s="3">
        <v>3663</v>
      </c>
      <c r="P3983">
        <v>0</v>
      </c>
      <c r="Q3983">
        <v>4</v>
      </c>
      <c r="R3983" t="s">
        <v>59</v>
      </c>
      <c r="S3983">
        <v>1</v>
      </c>
    </row>
    <row r="3984" spans="1:19" ht="16.5" x14ac:dyDescent="0.3">
      <c r="A3984" t="s">
        <v>4047</v>
      </c>
      <c r="B3984" s="1">
        <v>45806</v>
      </c>
      <c r="C3984" s="1">
        <v>45812</v>
      </c>
      <c r="D3984">
        <v>2025</v>
      </c>
      <c r="E3984" t="s">
        <v>836</v>
      </c>
      <c r="F3984" t="s">
        <v>1062</v>
      </c>
      <c r="G3984" t="s">
        <v>78</v>
      </c>
      <c r="H3984" t="s">
        <v>39</v>
      </c>
      <c r="I3984" t="s">
        <v>24</v>
      </c>
      <c r="J3984" t="s">
        <v>25</v>
      </c>
      <c r="K3984" t="s">
        <v>41</v>
      </c>
      <c r="L3984" t="s">
        <v>44</v>
      </c>
      <c r="M3984">
        <v>6</v>
      </c>
      <c r="N3984" s="2">
        <v>46</v>
      </c>
      <c r="O3984" s="3">
        <v>4802</v>
      </c>
      <c r="P3984">
        <v>0</v>
      </c>
      <c r="Q3984">
        <v>4</v>
      </c>
      <c r="R3984" t="s">
        <v>33</v>
      </c>
      <c r="S3984">
        <v>1</v>
      </c>
    </row>
    <row r="3985" spans="1:19" ht="16.5" x14ac:dyDescent="0.3">
      <c r="A3985" t="s">
        <v>4048</v>
      </c>
      <c r="B3985" s="1">
        <v>45806</v>
      </c>
      <c r="C3985" s="1">
        <v>45811</v>
      </c>
      <c r="D3985">
        <v>2025</v>
      </c>
      <c r="E3985" t="s">
        <v>836</v>
      </c>
      <c r="F3985" t="s">
        <v>1062</v>
      </c>
      <c r="G3985" t="s">
        <v>78</v>
      </c>
      <c r="H3985" t="s">
        <v>23</v>
      </c>
      <c r="I3985" t="s">
        <v>24</v>
      </c>
      <c r="J3985" t="s">
        <v>43</v>
      </c>
      <c r="K3985" t="s">
        <v>26</v>
      </c>
      <c r="L3985" t="s">
        <v>37</v>
      </c>
      <c r="M3985">
        <v>5</v>
      </c>
      <c r="N3985" s="2">
        <v>15</v>
      </c>
      <c r="O3985" s="3">
        <v>3792</v>
      </c>
      <c r="P3985">
        <v>1</v>
      </c>
      <c r="Q3985">
        <v>4</v>
      </c>
      <c r="R3985" t="s">
        <v>33</v>
      </c>
      <c r="S3985">
        <v>1</v>
      </c>
    </row>
    <row r="3986" spans="1:19" ht="16.5" x14ac:dyDescent="0.3">
      <c r="A3986" t="s">
        <v>4049</v>
      </c>
      <c r="B3986" s="1">
        <v>45806</v>
      </c>
      <c r="C3986" s="1">
        <v>45807</v>
      </c>
      <c r="D3986">
        <v>2025</v>
      </c>
      <c r="E3986" t="s">
        <v>836</v>
      </c>
      <c r="F3986" t="s">
        <v>1062</v>
      </c>
      <c r="G3986" t="s">
        <v>78</v>
      </c>
      <c r="H3986" t="s">
        <v>39</v>
      </c>
      <c r="I3986" t="s">
        <v>24</v>
      </c>
      <c r="J3986" t="s">
        <v>25</v>
      </c>
      <c r="K3986" t="s">
        <v>41</v>
      </c>
      <c r="L3986" t="s">
        <v>44</v>
      </c>
      <c r="M3986">
        <v>1</v>
      </c>
      <c r="N3986" s="2">
        <v>66</v>
      </c>
      <c r="O3986" s="3">
        <v>854</v>
      </c>
      <c r="P3986">
        <v>0</v>
      </c>
      <c r="Q3986">
        <v>5</v>
      </c>
      <c r="R3986" t="s">
        <v>33</v>
      </c>
      <c r="S3986">
        <v>1</v>
      </c>
    </row>
    <row r="3987" spans="1:19" ht="16.5" x14ac:dyDescent="0.3">
      <c r="A3987" t="s">
        <v>4050</v>
      </c>
      <c r="B3987" s="1">
        <v>45807</v>
      </c>
      <c r="C3987" s="1">
        <v>45814</v>
      </c>
      <c r="D3987">
        <v>2025</v>
      </c>
      <c r="E3987" t="s">
        <v>836</v>
      </c>
      <c r="F3987" t="s">
        <v>1062</v>
      </c>
      <c r="G3987" t="s">
        <v>83</v>
      </c>
      <c r="H3987" t="s">
        <v>39</v>
      </c>
      <c r="I3987" t="s">
        <v>24</v>
      </c>
      <c r="J3987" t="s">
        <v>25</v>
      </c>
      <c r="K3987" t="s">
        <v>41</v>
      </c>
      <c r="L3987" t="s">
        <v>44</v>
      </c>
      <c r="M3987">
        <v>7</v>
      </c>
      <c r="N3987" s="2">
        <v>46</v>
      </c>
      <c r="O3987" s="3">
        <v>4437</v>
      </c>
      <c r="P3987">
        <v>0</v>
      </c>
      <c r="Q3987">
        <v>5</v>
      </c>
      <c r="R3987" t="s">
        <v>33</v>
      </c>
      <c r="S3987">
        <v>1</v>
      </c>
    </row>
    <row r="3988" spans="1:19" ht="16.5" x14ac:dyDescent="0.3">
      <c r="A3988" t="s">
        <v>4051</v>
      </c>
      <c r="B3988" s="1">
        <v>45807</v>
      </c>
      <c r="C3988" s="1">
        <v>45810</v>
      </c>
      <c r="D3988">
        <v>2025</v>
      </c>
      <c r="E3988" t="s">
        <v>836</v>
      </c>
      <c r="F3988" t="s">
        <v>1062</v>
      </c>
      <c r="G3988" t="s">
        <v>83</v>
      </c>
      <c r="H3988" t="s">
        <v>30</v>
      </c>
      <c r="I3988" t="s">
        <v>24</v>
      </c>
      <c r="J3988" t="s">
        <v>25</v>
      </c>
      <c r="K3988" t="s">
        <v>36</v>
      </c>
      <c r="L3988" t="s">
        <v>44</v>
      </c>
      <c r="M3988">
        <v>3</v>
      </c>
      <c r="N3988" s="2">
        <v>47</v>
      </c>
      <c r="O3988" s="3">
        <v>2736</v>
      </c>
      <c r="P3988">
        <v>0</v>
      </c>
      <c r="Q3988">
        <v>5</v>
      </c>
      <c r="R3988" t="s">
        <v>33</v>
      </c>
      <c r="S3988">
        <v>1</v>
      </c>
    </row>
    <row r="3989" spans="1:19" ht="16.5" x14ac:dyDescent="0.3">
      <c r="A3989" t="s">
        <v>4052</v>
      </c>
      <c r="B3989" s="1">
        <v>45807</v>
      </c>
      <c r="C3989" s="1">
        <v>45811</v>
      </c>
      <c r="D3989">
        <v>2025</v>
      </c>
      <c r="E3989" t="s">
        <v>836</v>
      </c>
      <c r="F3989" t="s">
        <v>1062</v>
      </c>
      <c r="G3989" t="s">
        <v>83</v>
      </c>
      <c r="H3989" t="s">
        <v>50</v>
      </c>
      <c r="I3989" t="s">
        <v>40</v>
      </c>
      <c r="J3989" t="s">
        <v>43</v>
      </c>
      <c r="K3989" t="s">
        <v>53</v>
      </c>
      <c r="L3989" t="s">
        <v>27</v>
      </c>
      <c r="M3989">
        <v>4</v>
      </c>
      <c r="N3989" s="2"/>
      <c r="O3989" s="3">
        <v>7277</v>
      </c>
      <c r="P3989">
        <v>0</v>
      </c>
      <c r="Q3989">
        <v>5</v>
      </c>
      <c r="R3989" t="s">
        <v>28</v>
      </c>
      <c r="S3989">
        <v>1</v>
      </c>
    </row>
    <row r="3990" spans="1:19" ht="16.5" x14ac:dyDescent="0.3">
      <c r="A3990" t="s">
        <v>4053</v>
      </c>
      <c r="B3990" s="1">
        <v>45807</v>
      </c>
      <c r="C3990" s="1">
        <v>45810</v>
      </c>
      <c r="D3990">
        <v>2025</v>
      </c>
      <c r="E3990" t="s">
        <v>836</v>
      </c>
      <c r="F3990" t="s">
        <v>1062</v>
      </c>
      <c r="G3990" t="s">
        <v>83</v>
      </c>
      <c r="H3990" t="s">
        <v>52</v>
      </c>
      <c r="I3990" t="s">
        <v>40</v>
      </c>
      <c r="J3990" t="s">
        <v>25</v>
      </c>
      <c r="K3990" t="s">
        <v>36</v>
      </c>
      <c r="L3990" t="s">
        <v>27</v>
      </c>
      <c r="M3990">
        <v>3</v>
      </c>
      <c r="N3990" s="2"/>
      <c r="O3990" s="3">
        <v>3401</v>
      </c>
      <c r="P3990">
        <v>0</v>
      </c>
      <c r="Q3990">
        <v>3</v>
      </c>
      <c r="R3990" t="s">
        <v>33</v>
      </c>
      <c r="S3990">
        <v>1</v>
      </c>
    </row>
    <row r="3991" spans="1:19" ht="16.5" x14ac:dyDescent="0.3">
      <c r="A3991" t="s">
        <v>4054</v>
      </c>
      <c r="B3991" s="1">
        <v>45807</v>
      </c>
      <c r="C3991" s="1">
        <v>45811</v>
      </c>
      <c r="D3991">
        <v>2025</v>
      </c>
      <c r="E3991" t="s">
        <v>836</v>
      </c>
      <c r="F3991" t="s">
        <v>1062</v>
      </c>
      <c r="G3991" t="s">
        <v>83</v>
      </c>
      <c r="H3991" t="s">
        <v>30</v>
      </c>
      <c r="I3991" t="s">
        <v>40</v>
      </c>
      <c r="J3991" t="s">
        <v>25</v>
      </c>
      <c r="K3991" t="s">
        <v>53</v>
      </c>
      <c r="L3991" t="s">
        <v>44</v>
      </c>
      <c r="M3991">
        <v>4</v>
      </c>
      <c r="N3991" s="2"/>
      <c r="O3991" s="3">
        <v>5449</v>
      </c>
      <c r="P3991">
        <v>0</v>
      </c>
      <c r="Q3991">
        <v>4</v>
      </c>
      <c r="R3991" t="s">
        <v>28</v>
      </c>
      <c r="S3991">
        <v>1</v>
      </c>
    </row>
    <row r="3992" spans="1:19" ht="16.5" x14ac:dyDescent="0.3">
      <c r="A3992" t="s">
        <v>4055</v>
      </c>
      <c r="B3992" s="1">
        <v>45807</v>
      </c>
      <c r="C3992" s="1">
        <v>45809</v>
      </c>
      <c r="D3992">
        <v>2025</v>
      </c>
      <c r="E3992" t="s">
        <v>836</v>
      </c>
      <c r="F3992" t="s">
        <v>1062</v>
      </c>
      <c r="G3992" t="s">
        <v>83</v>
      </c>
      <c r="H3992" t="s">
        <v>35</v>
      </c>
      <c r="I3992" t="s">
        <v>24</v>
      </c>
      <c r="J3992" t="s">
        <v>25</v>
      </c>
      <c r="K3992" t="s">
        <v>32</v>
      </c>
      <c r="L3992" t="s">
        <v>37</v>
      </c>
      <c r="M3992">
        <v>2</v>
      </c>
      <c r="N3992" s="2">
        <v>123</v>
      </c>
      <c r="O3992" s="3">
        <v>2052</v>
      </c>
      <c r="P3992">
        <v>0</v>
      </c>
      <c r="Q3992">
        <v>3</v>
      </c>
      <c r="R3992" t="s">
        <v>33</v>
      </c>
      <c r="S3992">
        <v>1</v>
      </c>
    </row>
    <row r="3993" spans="1:19" ht="16.5" x14ac:dyDescent="0.3">
      <c r="A3993" t="s">
        <v>4056</v>
      </c>
      <c r="B3993" s="1">
        <v>45807</v>
      </c>
      <c r="C3993" s="1">
        <v>45809</v>
      </c>
      <c r="D3993">
        <v>2025</v>
      </c>
      <c r="E3993" t="s">
        <v>836</v>
      </c>
      <c r="F3993" t="s">
        <v>1062</v>
      </c>
      <c r="G3993" t="s">
        <v>83</v>
      </c>
      <c r="H3993" t="s">
        <v>30</v>
      </c>
      <c r="I3993" t="s">
        <v>31</v>
      </c>
      <c r="J3993" t="s">
        <v>43</v>
      </c>
      <c r="K3993" t="s">
        <v>26</v>
      </c>
      <c r="L3993" t="s">
        <v>27</v>
      </c>
      <c r="M3993">
        <v>2</v>
      </c>
      <c r="N3993" s="2"/>
      <c r="O3993" s="3">
        <v>2285</v>
      </c>
      <c r="P3993">
        <v>1</v>
      </c>
      <c r="Q3993">
        <v>3</v>
      </c>
      <c r="R3993" t="s">
        <v>33</v>
      </c>
      <c r="S3993">
        <v>1</v>
      </c>
    </row>
    <row r="3994" spans="1:19" ht="16.5" x14ac:dyDescent="0.3">
      <c r="A3994" t="s">
        <v>4057</v>
      </c>
      <c r="B3994" s="1">
        <v>45808</v>
      </c>
      <c r="C3994" s="1">
        <v>45811</v>
      </c>
      <c r="D3994">
        <v>2025</v>
      </c>
      <c r="E3994" t="s">
        <v>836</v>
      </c>
      <c r="F3994" t="s">
        <v>1062</v>
      </c>
      <c r="G3994" t="s">
        <v>102</v>
      </c>
      <c r="H3994" t="s">
        <v>39</v>
      </c>
      <c r="I3994" t="s">
        <v>24</v>
      </c>
      <c r="J3994" t="s">
        <v>25</v>
      </c>
      <c r="K3994" t="s">
        <v>41</v>
      </c>
      <c r="L3994" t="s">
        <v>44</v>
      </c>
      <c r="M3994">
        <v>3</v>
      </c>
      <c r="N3994" s="2">
        <v>67</v>
      </c>
      <c r="O3994" s="3">
        <v>2308</v>
      </c>
      <c r="P3994">
        <v>0</v>
      </c>
      <c r="Q3994">
        <v>4</v>
      </c>
      <c r="R3994" t="s">
        <v>33</v>
      </c>
      <c r="S3994">
        <v>1</v>
      </c>
    </row>
    <row r="3995" spans="1:19" ht="16.5" x14ac:dyDescent="0.3">
      <c r="A3995" t="s">
        <v>4058</v>
      </c>
      <c r="B3995" s="1">
        <v>45808</v>
      </c>
      <c r="C3995" s="1">
        <v>45811</v>
      </c>
      <c r="D3995">
        <v>2025</v>
      </c>
      <c r="E3995" t="s">
        <v>836</v>
      </c>
      <c r="F3995" t="s">
        <v>1062</v>
      </c>
      <c r="G3995" t="s">
        <v>102</v>
      </c>
      <c r="H3995" t="s">
        <v>35</v>
      </c>
      <c r="I3995" t="s">
        <v>40</v>
      </c>
      <c r="J3995" t="s">
        <v>25</v>
      </c>
      <c r="K3995" t="s">
        <v>36</v>
      </c>
      <c r="L3995" t="s">
        <v>44</v>
      </c>
      <c r="M3995">
        <v>3</v>
      </c>
      <c r="N3995" s="2"/>
      <c r="O3995" s="3">
        <v>2532</v>
      </c>
      <c r="P3995">
        <v>1</v>
      </c>
      <c r="Q3995">
        <v>3</v>
      </c>
      <c r="R3995" t="s">
        <v>28</v>
      </c>
      <c r="S3995">
        <v>1</v>
      </c>
    </row>
    <row r="3996" spans="1:19" ht="16.5" x14ac:dyDescent="0.3">
      <c r="A3996" t="s">
        <v>4059</v>
      </c>
      <c r="B3996" s="1">
        <v>45808</v>
      </c>
      <c r="C3996" s="1">
        <v>45813</v>
      </c>
      <c r="D3996">
        <v>2025</v>
      </c>
      <c r="E3996" t="s">
        <v>836</v>
      </c>
      <c r="F3996" t="s">
        <v>1062</v>
      </c>
      <c r="G3996" t="s">
        <v>102</v>
      </c>
      <c r="H3996" t="s">
        <v>23</v>
      </c>
      <c r="I3996" t="s">
        <v>40</v>
      </c>
      <c r="J3996" t="s">
        <v>43</v>
      </c>
      <c r="K3996" t="s">
        <v>53</v>
      </c>
      <c r="L3996" t="s">
        <v>27</v>
      </c>
      <c r="M3996">
        <v>5</v>
      </c>
      <c r="N3996" s="2"/>
      <c r="O3996" s="3">
        <v>3830</v>
      </c>
      <c r="P3996">
        <v>1</v>
      </c>
      <c r="Q3996">
        <v>4</v>
      </c>
      <c r="R3996" t="s">
        <v>33</v>
      </c>
      <c r="S3996">
        <v>1</v>
      </c>
    </row>
    <row r="3997" spans="1:19" ht="16.5" x14ac:dyDescent="0.3">
      <c r="A3997" t="s">
        <v>4060</v>
      </c>
      <c r="B3997" s="1">
        <v>45808</v>
      </c>
      <c r="C3997" s="1">
        <v>45816</v>
      </c>
      <c r="D3997">
        <v>2025</v>
      </c>
      <c r="E3997" t="s">
        <v>836</v>
      </c>
      <c r="F3997" t="s">
        <v>1062</v>
      </c>
      <c r="G3997" t="s">
        <v>102</v>
      </c>
      <c r="H3997" t="s">
        <v>30</v>
      </c>
      <c r="I3997" t="s">
        <v>24</v>
      </c>
      <c r="J3997" t="s">
        <v>43</v>
      </c>
      <c r="K3997" t="s">
        <v>53</v>
      </c>
      <c r="L3997" t="s">
        <v>44</v>
      </c>
      <c r="M3997">
        <v>8</v>
      </c>
      <c r="N3997" s="2">
        <v>34</v>
      </c>
      <c r="O3997" s="3">
        <v>7137</v>
      </c>
      <c r="P3997">
        <v>0</v>
      </c>
      <c r="Q3997">
        <v>5</v>
      </c>
      <c r="R3997" t="s">
        <v>59</v>
      </c>
      <c r="S3997">
        <v>1</v>
      </c>
    </row>
    <row r="3998" spans="1:19" ht="16.5" x14ac:dyDescent="0.3">
      <c r="A3998" t="s">
        <v>4061</v>
      </c>
      <c r="B3998" s="1">
        <v>45809</v>
      </c>
      <c r="C3998" s="1">
        <v>45817</v>
      </c>
      <c r="D3998">
        <v>2025</v>
      </c>
      <c r="E3998" t="s">
        <v>836</v>
      </c>
      <c r="F3998" t="s">
        <v>1264</v>
      </c>
      <c r="G3998" t="s">
        <v>112</v>
      </c>
      <c r="H3998" t="s">
        <v>23</v>
      </c>
      <c r="I3998" t="s">
        <v>24</v>
      </c>
      <c r="J3998" t="s">
        <v>43</v>
      </c>
      <c r="K3998" t="s">
        <v>36</v>
      </c>
      <c r="L3998" t="s">
        <v>44</v>
      </c>
      <c r="M3998">
        <v>8</v>
      </c>
      <c r="N3998" s="2">
        <v>18</v>
      </c>
      <c r="O3998" s="3">
        <v>5447</v>
      </c>
      <c r="P3998">
        <v>0</v>
      </c>
      <c r="Q3998">
        <v>3</v>
      </c>
      <c r="R3998" t="s">
        <v>165</v>
      </c>
      <c r="S3998">
        <v>1</v>
      </c>
    </row>
    <row r="3999" spans="1:19" ht="16.5" x14ac:dyDescent="0.3">
      <c r="A3999" t="s">
        <v>4062</v>
      </c>
      <c r="B3999" s="1">
        <v>45809</v>
      </c>
      <c r="C3999" s="1">
        <v>45811</v>
      </c>
      <c r="D3999">
        <v>2025</v>
      </c>
      <c r="E3999" t="s">
        <v>836</v>
      </c>
      <c r="F3999" t="s">
        <v>1264</v>
      </c>
      <c r="G3999" t="s">
        <v>112</v>
      </c>
      <c r="H3999" t="s">
        <v>30</v>
      </c>
      <c r="I3999" t="s">
        <v>40</v>
      </c>
      <c r="J3999" t="s">
        <v>43</v>
      </c>
      <c r="K3999" t="s">
        <v>53</v>
      </c>
      <c r="L3999" t="s">
        <v>44</v>
      </c>
      <c r="M3999">
        <v>2</v>
      </c>
      <c r="N3999" s="2"/>
      <c r="O3999" s="3">
        <v>2683</v>
      </c>
      <c r="P3999">
        <v>0</v>
      </c>
      <c r="Q3999">
        <v>4</v>
      </c>
      <c r="R3999" t="s">
        <v>33</v>
      </c>
      <c r="S3999">
        <v>1</v>
      </c>
    </row>
    <row r="4000" spans="1:19" ht="16.5" x14ac:dyDescent="0.3">
      <c r="A4000" t="s">
        <v>4063</v>
      </c>
      <c r="B4000" s="1">
        <v>45809</v>
      </c>
      <c r="C4000" s="1">
        <v>45816</v>
      </c>
      <c r="D4000">
        <v>2025</v>
      </c>
      <c r="E4000" t="s">
        <v>836</v>
      </c>
      <c r="F4000" t="s">
        <v>1264</v>
      </c>
      <c r="G4000" t="s">
        <v>112</v>
      </c>
      <c r="H4000" t="s">
        <v>30</v>
      </c>
      <c r="I4000" t="s">
        <v>40</v>
      </c>
      <c r="J4000" t="s">
        <v>25</v>
      </c>
      <c r="K4000" t="s">
        <v>53</v>
      </c>
      <c r="L4000" t="s">
        <v>27</v>
      </c>
      <c r="M4000">
        <v>7</v>
      </c>
      <c r="N4000" s="2"/>
      <c r="O4000" s="3">
        <v>9665</v>
      </c>
      <c r="P4000">
        <v>0</v>
      </c>
      <c r="Q4000">
        <v>4</v>
      </c>
      <c r="R4000" t="s">
        <v>33</v>
      </c>
      <c r="S4000">
        <v>1</v>
      </c>
    </row>
    <row r="4001" spans="1:19" ht="16.5" x14ac:dyDescent="0.3">
      <c r="A4001" t="s">
        <v>4064</v>
      </c>
      <c r="B4001" s="1">
        <v>45809</v>
      </c>
      <c r="C4001" s="1">
        <v>45813</v>
      </c>
      <c r="D4001">
        <v>2025</v>
      </c>
      <c r="E4001" t="s">
        <v>836</v>
      </c>
      <c r="F4001" t="s">
        <v>1264</v>
      </c>
      <c r="G4001" t="s">
        <v>112</v>
      </c>
      <c r="H4001" t="s">
        <v>23</v>
      </c>
      <c r="I4001" t="s">
        <v>24</v>
      </c>
      <c r="J4001" t="s">
        <v>25</v>
      </c>
      <c r="K4001" t="s">
        <v>26</v>
      </c>
      <c r="L4001" t="s">
        <v>27</v>
      </c>
      <c r="M4001">
        <v>4</v>
      </c>
      <c r="N4001" s="2">
        <v>60</v>
      </c>
      <c r="O4001" s="3">
        <v>3621</v>
      </c>
      <c r="P4001">
        <v>0</v>
      </c>
      <c r="Q4001">
        <v>5</v>
      </c>
      <c r="R4001" t="s">
        <v>33</v>
      </c>
      <c r="S4001">
        <v>1</v>
      </c>
    </row>
    <row r="4002" spans="1:19" ht="16.5" x14ac:dyDescent="0.3">
      <c r="A4002" t="s">
        <v>4065</v>
      </c>
      <c r="B4002" s="1">
        <v>45809</v>
      </c>
      <c r="C4002" s="1">
        <v>45814</v>
      </c>
      <c r="D4002">
        <v>2025</v>
      </c>
      <c r="E4002" t="s">
        <v>836</v>
      </c>
      <c r="F4002" t="s">
        <v>1264</v>
      </c>
      <c r="G4002" t="s">
        <v>112</v>
      </c>
      <c r="H4002" t="s">
        <v>39</v>
      </c>
      <c r="I4002" t="s">
        <v>40</v>
      </c>
      <c r="J4002" t="s">
        <v>43</v>
      </c>
      <c r="K4002" t="s">
        <v>41</v>
      </c>
      <c r="L4002" t="s">
        <v>44</v>
      </c>
      <c r="M4002">
        <v>5</v>
      </c>
      <c r="N4002" s="2"/>
      <c r="O4002" s="3">
        <v>4204</v>
      </c>
      <c r="P4002">
        <v>0</v>
      </c>
      <c r="Q4002">
        <v>5</v>
      </c>
      <c r="R4002" t="s">
        <v>33</v>
      </c>
      <c r="S4002">
        <v>1</v>
      </c>
    </row>
    <row r="4003" spans="1:19" ht="16.5" x14ac:dyDescent="0.3">
      <c r="A4003" t="s">
        <v>4066</v>
      </c>
      <c r="B4003" s="1">
        <v>45809</v>
      </c>
      <c r="C4003" s="1">
        <v>45811</v>
      </c>
      <c r="D4003">
        <v>2025</v>
      </c>
      <c r="E4003" t="s">
        <v>836</v>
      </c>
      <c r="F4003" t="s">
        <v>1264</v>
      </c>
      <c r="G4003" t="s">
        <v>112</v>
      </c>
      <c r="H4003" t="s">
        <v>30</v>
      </c>
      <c r="I4003" t="s">
        <v>40</v>
      </c>
      <c r="J4003" t="s">
        <v>43</v>
      </c>
      <c r="K4003" t="s">
        <v>32</v>
      </c>
      <c r="L4003" t="s">
        <v>44</v>
      </c>
      <c r="M4003">
        <v>2</v>
      </c>
      <c r="N4003" s="2"/>
      <c r="O4003" s="3">
        <v>2371</v>
      </c>
      <c r="P4003">
        <v>0</v>
      </c>
      <c r="Q4003">
        <v>4</v>
      </c>
      <c r="R4003" t="s">
        <v>28</v>
      </c>
      <c r="S4003">
        <v>1</v>
      </c>
    </row>
    <row r="4004" spans="1:19" ht="16.5" x14ac:dyDescent="0.3">
      <c r="A4004" t="s">
        <v>4067</v>
      </c>
      <c r="B4004" s="1">
        <v>45809</v>
      </c>
      <c r="C4004" s="1">
        <v>45814</v>
      </c>
      <c r="D4004">
        <v>2025</v>
      </c>
      <c r="E4004" t="s">
        <v>836</v>
      </c>
      <c r="F4004" t="s">
        <v>1264</v>
      </c>
      <c r="G4004" t="s">
        <v>112</v>
      </c>
      <c r="H4004" t="s">
        <v>50</v>
      </c>
      <c r="I4004" t="s">
        <v>24</v>
      </c>
      <c r="J4004" t="s">
        <v>25</v>
      </c>
      <c r="K4004" t="s">
        <v>26</v>
      </c>
      <c r="L4004" t="s">
        <v>27</v>
      </c>
      <c r="M4004">
        <v>5</v>
      </c>
      <c r="N4004" s="2">
        <v>46</v>
      </c>
      <c r="O4004" s="3">
        <v>6000</v>
      </c>
      <c r="P4004">
        <v>1</v>
      </c>
      <c r="Q4004">
        <v>4</v>
      </c>
      <c r="R4004" t="s">
        <v>33</v>
      </c>
      <c r="S4004">
        <v>1</v>
      </c>
    </row>
    <row r="4005" spans="1:19" ht="16.5" x14ac:dyDescent="0.3">
      <c r="A4005" t="s">
        <v>4068</v>
      </c>
      <c r="B4005" s="1">
        <v>45809</v>
      </c>
      <c r="C4005" s="1">
        <v>45812</v>
      </c>
      <c r="D4005">
        <v>2025</v>
      </c>
      <c r="E4005" t="s">
        <v>836</v>
      </c>
      <c r="F4005" t="s">
        <v>1264</v>
      </c>
      <c r="G4005" t="s">
        <v>112</v>
      </c>
      <c r="H4005" t="s">
        <v>50</v>
      </c>
      <c r="I4005" t="s">
        <v>40</v>
      </c>
      <c r="J4005" t="s">
        <v>43</v>
      </c>
      <c r="K4005" t="s">
        <v>32</v>
      </c>
      <c r="L4005" t="s">
        <v>27</v>
      </c>
      <c r="M4005">
        <v>3</v>
      </c>
      <c r="N4005" s="2"/>
      <c r="O4005" s="3">
        <v>2300</v>
      </c>
      <c r="P4005">
        <v>0</v>
      </c>
      <c r="Q4005">
        <v>4</v>
      </c>
      <c r="R4005" t="s">
        <v>33</v>
      </c>
      <c r="S4005">
        <v>1</v>
      </c>
    </row>
    <row r="4006" spans="1:19" ht="16.5" x14ac:dyDescent="0.3">
      <c r="A4006" t="s">
        <v>4069</v>
      </c>
      <c r="B4006" s="1">
        <v>45809</v>
      </c>
      <c r="C4006" s="1">
        <v>45817</v>
      </c>
      <c r="D4006">
        <v>2025</v>
      </c>
      <c r="E4006" t="s">
        <v>836</v>
      </c>
      <c r="F4006" t="s">
        <v>1264</v>
      </c>
      <c r="G4006" t="s">
        <v>112</v>
      </c>
      <c r="H4006" t="s">
        <v>23</v>
      </c>
      <c r="I4006" t="s">
        <v>24</v>
      </c>
      <c r="J4006" t="s">
        <v>25</v>
      </c>
      <c r="K4006" t="s">
        <v>32</v>
      </c>
      <c r="L4006" t="s">
        <v>27</v>
      </c>
      <c r="M4006">
        <v>8</v>
      </c>
      <c r="N4006" s="2">
        <v>41</v>
      </c>
      <c r="O4006" s="3">
        <v>6893</v>
      </c>
      <c r="P4006">
        <v>1</v>
      </c>
      <c r="Q4006">
        <v>3</v>
      </c>
      <c r="R4006" t="s">
        <v>33</v>
      </c>
      <c r="S4006">
        <v>1</v>
      </c>
    </row>
    <row r="4007" spans="1:19" ht="16.5" x14ac:dyDescent="0.3">
      <c r="A4007" t="s">
        <v>4070</v>
      </c>
      <c r="B4007" s="1">
        <v>45810</v>
      </c>
      <c r="C4007" s="1">
        <v>45816</v>
      </c>
      <c r="D4007">
        <v>2025</v>
      </c>
      <c r="E4007" t="s">
        <v>836</v>
      </c>
      <c r="F4007" t="s">
        <v>1264</v>
      </c>
      <c r="G4007" t="s">
        <v>22</v>
      </c>
      <c r="H4007" t="s">
        <v>30</v>
      </c>
      <c r="I4007" t="s">
        <v>31</v>
      </c>
      <c r="J4007" t="s">
        <v>25</v>
      </c>
      <c r="K4007" t="s">
        <v>36</v>
      </c>
      <c r="L4007" t="s">
        <v>44</v>
      </c>
      <c r="M4007">
        <v>6</v>
      </c>
      <c r="N4007" s="2"/>
      <c r="O4007" s="3">
        <v>6290</v>
      </c>
      <c r="P4007">
        <v>0</v>
      </c>
      <c r="Q4007">
        <v>5</v>
      </c>
      <c r="R4007" t="s">
        <v>33</v>
      </c>
      <c r="S4007">
        <v>1</v>
      </c>
    </row>
    <row r="4008" spans="1:19" ht="16.5" x14ac:dyDescent="0.3">
      <c r="A4008" t="s">
        <v>4071</v>
      </c>
      <c r="B4008" s="1">
        <v>45810</v>
      </c>
      <c r="C4008" s="1">
        <v>45822</v>
      </c>
      <c r="D4008">
        <v>2025</v>
      </c>
      <c r="E4008" t="s">
        <v>836</v>
      </c>
      <c r="F4008" t="s">
        <v>1264</v>
      </c>
      <c r="G4008" t="s">
        <v>22</v>
      </c>
      <c r="H4008" t="s">
        <v>50</v>
      </c>
      <c r="I4008" t="s">
        <v>40</v>
      </c>
      <c r="J4008" t="s">
        <v>43</v>
      </c>
      <c r="K4008" t="s">
        <v>36</v>
      </c>
      <c r="L4008" t="s">
        <v>44</v>
      </c>
      <c r="M4008">
        <v>12</v>
      </c>
      <c r="N4008" s="2"/>
      <c r="O4008" s="3">
        <v>14698</v>
      </c>
      <c r="P4008">
        <v>0</v>
      </c>
      <c r="Q4008">
        <v>3</v>
      </c>
      <c r="R4008" t="s">
        <v>33</v>
      </c>
      <c r="S4008">
        <v>1</v>
      </c>
    </row>
    <row r="4009" spans="1:19" ht="16.5" x14ac:dyDescent="0.3">
      <c r="A4009" t="s">
        <v>4072</v>
      </c>
      <c r="B4009" s="1">
        <v>45810</v>
      </c>
      <c r="C4009" s="1">
        <v>45812</v>
      </c>
      <c r="D4009">
        <v>2025</v>
      </c>
      <c r="E4009" t="s">
        <v>836</v>
      </c>
      <c r="F4009" t="s">
        <v>1264</v>
      </c>
      <c r="G4009" t="s">
        <v>22</v>
      </c>
      <c r="H4009" t="s">
        <v>35</v>
      </c>
      <c r="I4009" t="s">
        <v>40</v>
      </c>
      <c r="J4009" t="s">
        <v>25</v>
      </c>
      <c r="K4009" t="s">
        <v>32</v>
      </c>
      <c r="L4009" t="s">
        <v>27</v>
      </c>
      <c r="M4009">
        <v>2</v>
      </c>
      <c r="N4009" s="2"/>
      <c r="O4009" s="3">
        <v>1780</v>
      </c>
      <c r="P4009">
        <v>0</v>
      </c>
      <c r="Q4009">
        <v>4</v>
      </c>
      <c r="R4009" t="s">
        <v>28</v>
      </c>
      <c r="S4009">
        <v>1</v>
      </c>
    </row>
    <row r="4010" spans="1:19" ht="16.5" x14ac:dyDescent="0.3">
      <c r="A4010" t="s">
        <v>4073</v>
      </c>
      <c r="B4010" s="1">
        <v>45810</v>
      </c>
      <c r="C4010" s="1">
        <v>45812</v>
      </c>
      <c r="D4010">
        <v>2025</v>
      </c>
      <c r="E4010" t="s">
        <v>836</v>
      </c>
      <c r="F4010" t="s">
        <v>1264</v>
      </c>
      <c r="G4010" t="s">
        <v>22</v>
      </c>
      <c r="H4010" t="s">
        <v>23</v>
      </c>
      <c r="I4010" t="s">
        <v>24</v>
      </c>
      <c r="J4010" t="s">
        <v>25</v>
      </c>
      <c r="K4010" t="s">
        <v>32</v>
      </c>
      <c r="L4010" t="s">
        <v>27</v>
      </c>
      <c r="M4010">
        <v>2</v>
      </c>
      <c r="N4010" s="2">
        <v>18</v>
      </c>
      <c r="O4010" s="3">
        <v>2268</v>
      </c>
      <c r="P4010">
        <v>0</v>
      </c>
      <c r="Q4010">
        <v>3</v>
      </c>
      <c r="R4010" t="s">
        <v>28</v>
      </c>
      <c r="S4010">
        <v>1</v>
      </c>
    </row>
    <row r="4011" spans="1:19" ht="16.5" x14ac:dyDescent="0.3">
      <c r="A4011" t="s">
        <v>4074</v>
      </c>
      <c r="B4011" s="1">
        <v>45811</v>
      </c>
      <c r="C4011" s="1">
        <v>45812</v>
      </c>
      <c r="D4011">
        <v>2025</v>
      </c>
      <c r="E4011" t="s">
        <v>836</v>
      </c>
      <c r="F4011" t="s">
        <v>1264</v>
      </c>
      <c r="G4011" t="s">
        <v>56</v>
      </c>
      <c r="H4011" t="s">
        <v>52</v>
      </c>
      <c r="I4011" t="s">
        <v>40</v>
      </c>
      <c r="J4011" t="s">
        <v>25</v>
      </c>
      <c r="K4011" t="s">
        <v>36</v>
      </c>
      <c r="L4011" t="s">
        <v>44</v>
      </c>
      <c r="M4011">
        <v>1</v>
      </c>
      <c r="N4011" s="2"/>
      <c r="O4011" s="3">
        <v>2316</v>
      </c>
      <c r="P4011">
        <v>0</v>
      </c>
      <c r="Q4011">
        <v>5</v>
      </c>
      <c r="R4011" t="s">
        <v>33</v>
      </c>
      <c r="S4011">
        <v>1</v>
      </c>
    </row>
    <row r="4012" spans="1:19" ht="16.5" x14ac:dyDescent="0.3">
      <c r="A4012" t="s">
        <v>4075</v>
      </c>
      <c r="B4012" s="1">
        <v>45812</v>
      </c>
      <c r="C4012" s="1">
        <v>45818</v>
      </c>
      <c r="D4012">
        <v>2025</v>
      </c>
      <c r="E4012" t="s">
        <v>836</v>
      </c>
      <c r="F4012" t="s">
        <v>1264</v>
      </c>
      <c r="G4012" t="s">
        <v>70</v>
      </c>
      <c r="H4012" t="s">
        <v>35</v>
      </c>
      <c r="I4012" t="s">
        <v>24</v>
      </c>
      <c r="J4012" t="s">
        <v>25</v>
      </c>
      <c r="K4012" t="s">
        <v>32</v>
      </c>
      <c r="L4012" t="s">
        <v>44</v>
      </c>
      <c r="M4012">
        <v>6</v>
      </c>
      <c r="N4012" s="2">
        <v>16</v>
      </c>
      <c r="O4012" s="3">
        <v>5005</v>
      </c>
      <c r="P4012">
        <v>0</v>
      </c>
      <c r="Q4012">
        <v>4</v>
      </c>
      <c r="R4012" t="s">
        <v>33</v>
      </c>
      <c r="S4012">
        <v>1</v>
      </c>
    </row>
    <row r="4013" spans="1:19" ht="16.5" x14ac:dyDescent="0.3">
      <c r="A4013" t="s">
        <v>4076</v>
      </c>
      <c r="B4013" s="1">
        <v>45812</v>
      </c>
      <c r="C4013" s="1">
        <v>45823</v>
      </c>
      <c r="D4013">
        <v>2025</v>
      </c>
      <c r="E4013" t="s">
        <v>836</v>
      </c>
      <c r="F4013" t="s">
        <v>1264</v>
      </c>
      <c r="G4013" t="s">
        <v>70</v>
      </c>
      <c r="H4013" t="s">
        <v>30</v>
      </c>
      <c r="I4013" t="s">
        <v>24</v>
      </c>
      <c r="J4013" t="s">
        <v>43</v>
      </c>
      <c r="K4013" t="s">
        <v>36</v>
      </c>
      <c r="L4013" t="s">
        <v>27</v>
      </c>
      <c r="M4013">
        <v>11</v>
      </c>
      <c r="N4013" s="2">
        <v>43</v>
      </c>
      <c r="O4013" s="3">
        <v>12821</v>
      </c>
      <c r="P4013">
        <v>0</v>
      </c>
      <c r="Q4013">
        <v>4</v>
      </c>
      <c r="R4013" t="s">
        <v>33</v>
      </c>
      <c r="S4013">
        <v>1</v>
      </c>
    </row>
    <row r="4014" spans="1:19" ht="16.5" x14ac:dyDescent="0.3">
      <c r="A4014" t="s">
        <v>4077</v>
      </c>
      <c r="B4014" s="1">
        <v>45812</v>
      </c>
      <c r="C4014" s="1">
        <v>45821</v>
      </c>
      <c r="D4014">
        <v>2025</v>
      </c>
      <c r="E4014" t="s">
        <v>836</v>
      </c>
      <c r="F4014" t="s">
        <v>1264</v>
      </c>
      <c r="G4014" t="s">
        <v>70</v>
      </c>
      <c r="H4014" t="s">
        <v>23</v>
      </c>
      <c r="I4014" t="s">
        <v>24</v>
      </c>
      <c r="J4014" t="s">
        <v>25</v>
      </c>
      <c r="K4014" t="s">
        <v>53</v>
      </c>
      <c r="L4014" t="s">
        <v>44</v>
      </c>
      <c r="M4014">
        <v>9</v>
      </c>
      <c r="N4014" s="2">
        <v>53</v>
      </c>
      <c r="O4014" s="3">
        <v>6426</v>
      </c>
      <c r="P4014">
        <v>0</v>
      </c>
      <c r="Q4014">
        <v>4</v>
      </c>
      <c r="R4014" t="s">
        <v>33</v>
      </c>
      <c r="S4014">
        <v>1</v>
      </c>
    </row>
    <row r="4015" spans="1:19" ht="16.5" x14ac:dyDescent="0.3">
      <c r="A4015" t="s">
        <v>4078</v>
      </c>
      <c r="B4015" s="1">
        <v>45812</v>
      </c>
      <c r="C4015" s="1">
        <v>45820</v>
      </c>
      <c r="D4015">
        <v>2025</v>
      </c>
      <c r="E4015" t="s">
        <v>836</v>
      </c>
      <c r="F4015" t="s">
        <v>1264</v>
      </c>
      <c r="G4015" t="s">
        <v>70</v>
      </c>
      <c r="H4015" t="s">
        <v>35</v>
      </c>
      <c r="I4015" t="s">
        <v>24</v>
      </c>
      <c r="J4015" t="s">
        <v>25</v>
      </c>
      <c r="K4015" t="s">
        <v>36</v>
      </c>
      <c r="L4015" t="s">
        <v>27</v>
      </c>
      <c r="M4015">
        <v>8</v>
      </c>
      <c r="N4015" s="2">
        <v>24</v>
      </c>
      <c r="O4015" s="3">
        <v>5544</v>
      </c>
      <c r="P4015">
        <v>0</v>
      </c>
      <c r="Q4015">
        <v>3</v>
      </c>
      <c r="R4015" t="s">
        <v>28</v>
      </c>
      <c r="S4015">
        <v>1</v>
      </c>
    </row>
    <row r="4016" spans="1:19" ht="16.5" x14ac:dyDescent="0.3">
      <c r="A4016" t="s">
        <v>4079</v>
      </c>
      <c r="B4016" s="1">
        <v>45813</v>
      </c>
      <c r="C4016" s="1">
        <v>45815</v>
      </c>
      <c r="D4016">
        <v>2025</v>
      </c>
      <c r="E4016" t="s">
        <v>836</v>
      </c>
      <c r="F4016" t="s">
        <v>1264</v>
      </c>
      <c r="G4016" t="s">
        <v>78</v>
      </c>
      <c r="H4016" t="s">
        <v>30</v>
      </c>
      <c r="I4016" t="s">
        <v>40</v>
      </c>
      <c r="J4016" t="s">
        <v>25</v>
      </c>
      <c r="K4016" t="s">
        <v>53</v>
      </c>
      <c r="L4016" t="s">
        <v>27</v>
      </c>
      <c r="M4016">
        <v>2</v>
      </c>
      <c r="N4016" s="2"/>
      <c r="O4016" s="3">
        <v>2680</v>
      </c>
      <c r="P4016">
        <v>0</v>
      </c>
      <c r="Q4016">
        <v>3</v>
      </c>
      <c r="R4016" t="s">
        <v>59</v>
      </c>
      <c r="S4016">
        <v>1</v>
      </c>
    </row>
    <row r="4017" spans="1:19" ht="16.5" x14ac:dyDescent="0.3">
      <c r="A4017" t="s">
        <v>4080</v>
      </c>
      <c r="B4017" s="1">
        <v>45813</v>
      </c>
      <c r="C4017" s="1">
        <v>45819</v>
      </c>
      <c r="D4017">
        <v>2025</v>
      </c>
      <c r="E4017" t="s">
        <v>836</v>
      </c>
      <c r="F4017" t="s">
        <v>1264</v>
      </c>
      <c r="G4017" t="s">
        <v>78</v>
      </c>
      <c r="H4017" t="s">
        <v>23</v>
      </c>
      <c r="I4017" t="s">
        <v>40</v>
      </c>
      <c r="J4017" t="s">
        <v>43</v>
      </c>
      <c r="K4017" t="s">
        <v>36</v>
      </c>
      <c r="L4017" t="s">
        <v>27</v>
      </c>
      <c r="M4017">
        <v>6</v>
      </c>
      <c r="N4017" s="2"/>
      <c r="O4017" s="3">
        <v>3963</v>
      </c>
      <c r="P4017">
        <v>0</v>
      </c>
      <c r="Q4017">
        <v>5</v>
      </c>
      <c r="R4017" t="s">
        <v>33</v>
      </c>
      <c r="S4017">
        <v>1</v>
      </c>
    </row>
    <row r="4018" spans="1:19" ht="16.5" x14ac:dyDescent="0.3">
      <c r="A4018" t="s">
        <v>4081</v>
      </c>
      <c r="B4018" s="1">
        <v>45813</v>
      </c>
      <c r="C4018" s="1">
        <v>45825</v>
      </c>
      <c r="D4018">
        <v>2025</v>
      </c>
      <c r="E4018" t="s">
        <v>836</v>
      </c>
      <c r="F4018" t="s">
        <v>1264</v>
      </c>
      <c r="G4018" t="s">
        <v>78</v>
      </c>
      <c r="H4018" t="s">
        <v>50</v>
      </c>
      <c r="I4018" t="s">
        <v>24</v>
      </c>
      <c r="J4018" t="s">
        <v>25</v>
      </c>
      <c r="K4018" t="s">
        <v>26</v>
      </c>
      <c r="L4018" t="s">
        <v>44</v>
      </c>
      <c r="M4018">
        <v>12</v>
      </c>
      <c r="N4018" s="2">
        <v>59</v>
      </c>
      <c r="O4018" s="3">
        <v>10746</v>
      </c>
      <c r="P4018">
        <v>0</v>
      </c>
      <c r="Q4018">
        <v>4</v>
      </c>
      <c r="R4018" t="s">
        <v>33</v>
      </c>
      <c r="S4018">
        <v>1</v>
      </c>
    </row>
    <row r="4019" spans="1:19" ht="16.5" x14ac:dyDescent="0.3">
      <c r="A4019" t="s">
        <v>4082</v>
      </c>
      <c r="B4019" s="1">
        <v>45813</v>
      </c>
      <c r="C4019" s="1">
        <v>45818</v>
      </c>
      <c r="D4019">
        <v>2025</v>
      </c>
      <c r="E4019" t="s">
        <v>836</v>
      </c>
      <c r="F4019" t="s">
        <v>1264</v>
      </c>
      <c r="G4019" t="s">
        <v>78</v>
      </c>
      <c r="H4019" t="s">
        <v>23</v>
      </c>
      <c r="I4019" t="s">
        <v>24</v>
      </c>
      <c r="J4019" t="s">
        <v>25</v>
      </c>
      <c r="K4019" t="s">
        <v>32</v>
      </c>
      <c r="L4019" t="s">
        <v>44</v>
      </c>
      <c r="M4019">
        <v>5</v>
      </c>
      <c r="N4019" s="2">
        <v>65</v>
      </c>
      <c r="O4019" s="3">
        <v>3888</v>
      </c>
      <c r="P4019">
        <v>0</v>
      </c>
      <c r="Q4019">
        <v>4</v>
      </c>
      <c r="R4019" t="s">
        <v>33</v>
      </c>
      <c r="S4019">
        <v>1</v>
      </c>
    </row>
    <row r="4020" spans="1:19" ht="16.5" x14ac:dyDescent="0.3">
      <c r="A4020" t="s">
        <v>4083</v>
      </c>
      <c r="B4020" s="1">
        <v>45813</v>
      </c>
      <c r="C4020" s="1">
        <v>45828</v>
      </c>
      <c r="D4020">
        <v>2025</v>
      </c>
      <c r="E4020" t="s">
        <v>836</v>
      </c>
      <c r="F4020" t="s">
        <v>1264</v>
      </c>
      <c r="G4020" t="s">
        <v>78</v>
      </c>
      <c r="H4020" t="s">
        <v>23</v>
      </c>
      <c r="I4020" t="s">
        <v>24</v>
      </c>
      <c r="J4020" t="s">
        <v>43</v>
      </c>
      <c r="K4020" t="s">
        <v>32</v>
      </c>
      <c r="L4020" t="s">
        <v>27</v>
      </c>
      <c r="M4020">
        <v>15</v>
      </c>
      <c r="N4020" s="2">
        <v>81</v>
      </c>
      <c r="O4020" s="3">
        <v>10292</v>
      </c>
      <c r="P4020">
        <v>0</v>
      </c>
      <c r="Q4020">
        <v>5</v>
      </c>
      <c r="R4020" t="s">
        <v>33</v>
      </c>
      <c r="S4020">
        <v>1</v>
      </c>
    </row>
    <row r="4021" spans="1:19" ht="16.5" x14ac:dyDescent="0.3">
      <c r="A4021" t="s">
        <v>4084</v>
      </c>
      <c r="B4021" s="1">
        <v>45813</v>
      </c>
      <c r="C4021" s="1">
        <v>45816</v>
      </c>
      <c r="D4021">
        <v>2025</v>
      </c>
      <c r="E4021" t="s">
        <v>836</v>
      </c>
      <c r="F4021" t="s">
        <v>1264</v>
      </c>
      <c r="G4021" t="s">
        <v>78</v>
      </c>
      <c r="H4021" t="s">
        <v>50</v>
      </c>
      <c r="I4021" t="s">
        <v>24</v>
      </c>
      <c r="J4021" t="s">
        <v>25</v>
      </c>
      <c r="K4021" t="s">
        <v>26</v>
      </c>
      <c r="L4021" t="s">
        <v>27</v>
      </c>
      <c r="M4021">
        <v>3</v>
      </c>
      <c r="N4021" s="2">
        <v>29</v>
      </c>
      <c r="O4021" s="3">
        <v>5075</v>
      </c>
      <c r="P4021">
        <v>0</v>
      </c>
      <c r="Q4021">
        <v>5</v>
      </c>
      <c r="R4021" t="s">
        <v>33</v>
      </c>
      <c r="S4021">
        <v>1</v>
      </c>
    </row>
    <row r="4022" spans="1:19" ht="16.5" x14ac:dyDescent="0.3">
      <c r="A4022" t="s">
        <v>4085</v>
      </c>
      <c r="B4022" s="1">
        <v>45813</v>
      </c>
      <c r="C4022" s="1">
        <v>45816</v>
      </c>
      <c r="D4022">
        <v>2025</v>
      </c>
      <c r="E4022" t="s">
        <v>836</v>
      </c>
      <c r="F4022" t="s">
        <v>1264</v>
      </c>
      <c r="G4022" t="s">
        <v>78</v>
      </c>
      <c r="H4022" t="s">
        <v>52</v>
      </c>
      <c r="I4022" t="s">
        <v>40</v>
      </c>
      <c r="J4022" t="s">
        <v>25</v>
      </c>
      <c r="K4022" t="s">
        <v>26</v>
      </c>
      <c r="L4022" t="s">
        <v>44</v>
      </c>
      <c r="M4022">
        <v>3</v>
      </c>
      <c r="N4022" s="2"/>
      <c r="O4022" s="3">
        <v>2695</v>
      </c>
      <c r="P4022">
        <v>0</v>
      </c>
      <c r="Q4022">
        <v>5</v>
      </c>
      <c r="R4022" t="s">
        <v>33</v>
      </c>
      <c r="S4022">
        <v>1</v>
      </c>
    </row>
    <row r="4023" spans="1:19" ht="16.5" x14ac:dyDescent="0.3">
      <c r="A4023" t="s">
        <v>4086</v>
      </c>
      <c r="B4023" s="1">
        <v>45813</v>
      </c>
      <c r="C4023" s="1">
        <v>45818</v>
      </c>
      <c r="D4023">
        <v>2025</v>
      </c>
      <c r="E4023" t="s">
        <v>836</v>
      </c>
      <c r="F4023" t="s">
        <v>1264</v>
      </c>
      <c r="G4023" t="s">
        <v>78</v>
      </c>
      <c r="H4023" t="s">
        <v>23</v>
      </c>
      <c r="I4023" t="s">
        <v>24</v>
      </c>
      <c r="J4023" t="s">
        <v>43</v>
      </c>
      <c r="K4023" t="s">
        <v>53</v>
      </c>
      <c r="L4023" t="s">
        <v>44</v>
      </c>
      <c r="M4023">
        <v>5</v>
      </c>
      <c r="N4023" s="2">
        <v>57</v>
      </c>
      <c r="O4023" s="3">
        <v>3411</v>
      </c>
      <c r="P4023">
        <v>0</v>
      </c>
      <c r="Q4023">
        <v>5</v>
      </c>
      <c r="R4023" t="s">
        <v>28</v>
      </c>
      <c r="S4023">
        <v>1</v>
      </c>
    </row>
    <row r="4024" spans="1:19" ht="16.5" x14ac:dyDescent="0.3">
      <c r="A4024" t="s">
        <v>4087</v>
      </c>
      <c r="B4024" s="1">
        <v>45813</v>
      </c>
      <c r="C4024" s="1">
        <v>45826</v>
      </c>
      <c r="D4024">
        <v>2025</v>
      </c>
      <c r="E4024" t="s">
        <v>836</v>
      </c>
      <c r="F4024" t="s">
        <v>1264</v>
      </c>
      <c r="G4024" t="s">
        <v>78</v>
      </c>
      <c r="H4024" t="s">
        <v>23</v>
      </c>
      <c r="I4024" t="s">
        <v>24</v>
      </c>
      <c r="J4024" t="s">
        <v>25</v>
      </c>
      <c r="K4024" t="s">
        <v>53</v>
      </c>
      <c r="L4024" t="s">
        <v>44</v>
      </c>
      <c r="M4024">
        <v>13</v>
      </c>
      <c r="N4024" s="2">
        <v>54</v>
      </c>
      <c r="O4024" s="3">
        <v>9205</v>
      </c>
      <c r="P4024">
        <v>0</v>
      </c>
      <c r="Q4024">
        <v>4</v>
      </c>
      <c r="R4024" t="s">
        <v>33</v>
      </c>
      <c r="S4024">
        <v>1</v>
      </c>
    </row>
    <row r="4025" spans="1:19" ht="16.5" x14ac:dyDescent="0.3">
      <c r="A4025" t="s">
        <v>4088</v>
      </c>
      <c r="B4025" s="1">
        <v>45814</v>
      </c>
      <c r="C4025" s="1">
        <v>45819</v>
      </c>
      <c r="D4025">
        <v>2025</v>
      </c>
      <c r="E4025" t="s">
        <v>836</v>
      </c>
      <c r="F4025" t="s">
        <v>1264</v>
      </c>
      <c r="G4025" t="s">
        <v>83</v>
      </c>
      <c r="H4025" t="s">
        <v>30</v>
      </c>
      <c r="I4025" t="s">
        <v>24</v>
      </c>
      <c r="J4025" t="s">
        <v>43</v>
      </c>
      <c r="K4025" t="s">
        <v>53</v>
      </c>
      <c r="L4025" t="s">
        <v>27</v>
      </c>
      <c r="M4025">
        <v>5</v>
      </c>
      <c r="N4025" s="2">
        <v>36</v>
      </c>
      <c r="O4025" s="3">
        <v>4713</v>
      </c>
      <c r="P4025">
        <v>0</v>
      </c>
      <c r="Q4025">
        <v>4</v>
      </c>
      <c r="R4025" t="s">
        <v>33</v>
      </c>
      <c r="S4025">
        <v>1</v>
      </c>
    </row>
    <row r="4026" spans="1:19" ht="16.5" x14ac:dyDescent="0.3">
      <c r="A4026" t="s">
        <v>4089</v>
      </c>
      <c r="B4026" s="1">
        <v>45814</v>
      </c>
      <c r="C4026" s="1">
        <v>45820</v>
      </c>
      <c r="D4026">
        <v>2025</v>
      </c>
      <c r="E4026" t="s">
        <v>836</v>
      </c>
      <c r="F4026" t="s">
        <v>1264</v>
      </c>
      <c r="G4026" t="s">
        <v>83</v>
      </c>
      <c r="H4026" t="s">
        <v>23</v>
      </c>
      <c r="I4026" t="s">
        <v>24</v>
      </c>
      <c r="J4026" t="s">
        <v>43</v>
      </c>
      <c r="K4026" t="s">
        <v>36</v>
      </c>
      <c r="L4026" t="s">
        <v>37</v>
      </c>
      <c r="M4026">
        <v>6</v>
      </c>
      <c r="N4026" s="2">
        <v>43</v>
      </c>
      <c r="O4026" s="3">
        <v>5133</v>
      </c>
      <c r="P4026">
        <v>0</v>
      </c>
      <c r="Q4026">
        <v>4</v>
      </c>
      <c r="R4026" t="s">
        <v>33</v>
      </c>
      <c r="S4026">
        <v>1</v>
      </c>
    </row>
    <row r="4027" spans="1:19" ht="16.5" x14ac:dyDescent="0.3">
      <c r="A4027" t="s">
        <v>4090</v>
      </c>
      <c r="B4027" s="1">
        <v>45814</v>
      </c>
      <c r="C4027" s="1">
        <v>45815</v>
      </c>
      <c r="D4027">
        <v>2025</v>
      </c>
      <c r="E4027" t="s">
        <v>836</v>
      </c>
      <c r="F4027" t="s">
        <v>1264</v>
      </c>
      <c r="G4027" t="s">
        <v>83</v>
      </c>
      <c r="H4027" t="s">
        <v>35</v>
      </c>
      <c r="I4027" t="s">
        <v>24</v>
      </c>
      <c r="J4027" t="s">
        <v>25</v>
      </c>
      <c r="K4027" t="s">
        <v>36</v>
      </c>
      <c r="L4027" t="s">
        <v>27</v>
      </c>
      <c r="M4027">
        <v>1</v>
      </c>
      <c r="N4027" s="2">
        <v>32</v>
      </c>
      <c r="O4027" s="3">
        <v>1186</v>
      </c>
      <c r="P4027">
        <v>0</v>
      </c>
      <c r="Q4027">
        <v>4</v>
      </c>
      <c r="R4027" t="s">
        <v>33</v>
      </c>
      <c r="S4027">
        <v>1</v>
      </c>
    </row>
    <row r="4028" spans="1:19" ht="16.5" x14ac:dyDescent="0.3">
      <c r="A4028" t="s">
        <v>4091</v>
      </c>
      <c r="B4028" s="1">
        <v>45814</v>
      </c>
      <c r="C4028" s="1">
        <v>45816</v>
      </c>
      <c r="D4028">
        <v>2025</v>
      </c>
      <c r="E4028" t="s">
        <v>836</v>
      </c>
      <c r="F4028" t="s">
        <v>1264</v>
      </c>
      <c r="G4028" t="s">
        <v>83</v>
      </c>
      <c r="H4028" t="s">
        <v>50</v>
      </c>
      <c r="I4028" t="s">
        <v>31</v>
      </c>
      <c r="J4028" t="s">
        <v>25</v>
      </c>
      <c r="K4028" t="s">
        <v>32</v>
      </c>
      <c r="L4028" t="s">
        <v>44</v>
      </c>
      <c r="M4028">
        <v>2</v>
      </c>
      <c r="N4028" s="2"/>
      <c r="O4028" s="3">
        <v>3046</v>
      </c>
      <c r="P4028">
        <v>0</v>
      </c>
      <c r="Q4028">
        <v>5</v>
      </c>
      <c r="R4028" t="s">
        <v>33</v>
      </c>
      <c r="S4028">
        <v>1</v>
      </c>
    </row>
    <row r="4029" spans="1:19" ht="16.5" x14ac:dyDescent="0.3">
      <c r="A4029" t="s">
        <v>4092</v>
      </c>
      <c r="B4029" s="1">
        <v>45814</v>
      </c>
      <c r="C4029" s="1">
        <v>45816</v>
      </c>
      <c r="D4029">
        <v>2025</v>
      </c>
      <c r="E4029" t="s">
        <v>836</v>
      </c>
      <c r="F4029" t="s">
        <v>1264</v>
      </c>
      <c r="G4029" t="s">
        <v>83</v>
      </c>
      <c r="H4029" t="s">
        <v>52</v>
      </c>
      <c r="I4029" t="s">
        <v>24</v>
      </c>
      <c r="J4029" t="s">
        <v>25</v>
      </c>
      <c r="K4029" t="s">
        <v>36</v>
      </c>
      <c r="L4029" t="s">
        <v>44</v>
      </c>
      <c r="M4029">
        <v>2</v>
      </c>
      <c r="N4029" s="2">
        <v>57</v>
      </c>
      <c r="O4029" s="3">
        <v>2709</v>
      </c>
      <c r="P4029">
        <v>0</v>
      </c>
      <c r="Q4029">
        <v>4</v>
      </c>
      <c r="R4029" t="s">
        <v>33</v>
      </c>
      <c r="S4029">
        <v>1</v>
      </c>
    </row>
    <row r="4030" spans="1:19" ht="16.5" x14ac:dyDescent="0.3">
      <c r="A4030" t="s">
        <v>4093</v>
      </c>
      <c r="B4030" s="1">
        <v>45814</v>
      </c>
      <c r="C4030" s="1">
        <v>45816</v>
      </c>
      <c r="D4030">
        <v>2025</v>
      </c>
      <c r="E4030" t="s">
        <v>836</v>
      </c>
      <c r="F4030" t="s">
        <v>1264</v>
      </c>
      <c r="G4030" t="s">
        <v>83</v>
      </c>
      <c r="H4030" t="s">
        <v>23</v>
      </c>
      <c r="I4030" t="s">
        <v>31</v>
      </c>
      <c r="J4030" t="s">
        <v>25</v>
      </c>
      <c r="K4030" t="s">
        <v>32</v>
      </c>
      <c r="L4030" t="s">
        <v>27</v>
      </c>
      <c r="M4030">
        <v>2</v>
      </c>
      <c r="N4030" s="2"/>
      <c r="O4030" s="3">
        <v>2557</v>
      </c>
      <c r="P4030">
        <v>0</v>
      </c>
      <c r="Q4030">
        <v>5</v>
      </c>
      <c r="R4030" t="s">
        <v>33</v>
      </c>
      <c r="S4030">
        <v>1</v>
      </c>
    </row>
    <row r="4031" spans="1:19" ht="16.5" x14ac:dyDescent="0.3">
      <c r="A4031" t="s">
        <v>4094</v>
      </c>
      <c r="B4031" s="1">
        <v>45814</v>
      </c>
      <c r="C4031" s="1">
        <v>45821</v>
      </c>
      <c r="D4031">
        <v>2025</v>
      </c>
      <c r="E4031" t="s">
        <v>836</v>
      </c>
      <c r="F4031" t="s">
        <v>1264</v>
      </c>
      <c r="G4031" t="s">
        <v>83</v>
      </c>
      <c r="H4031" t="s">
        <v>23</v>
      </c>
      <c r="I4031" t="s">
        <v>31</v>
      </c>
      <c r="J4031" t="s">
        <v>43</v>
      </c>
      <c r="K4031" t="s">
        <v>53</v>
      </c>
      <c r="L4031" t="s">
        <v>37</v>
      </c>
      <c r="M4031">
        <v>7</v>
      </c>
      <c r="N4031" s="2"/>
      <c r="O4031" s="3">
        <v>6115</v>
      </c>
      <c r="P4031">
        <v>1</v>
      </c>
      <c r="Q4031">
        <v>5</v>
      </c>
      <c r="R4031" t="s">
        <v>33</v>
      </c>
      <c r="S4031">
        <v>1</v>
      </c>
    </row>
    <row r="4032" spans="1:19" ht="16.5" x14ac:dyDescent="0.3">
      <c r="A4032" t="s">
        <v>4095</v>
      </c>
      <c r="B4032" s="1">
        <v>45814</v>
      </c>
      <c r="C4032" s="1">
        <v>45815</v>
      </c>
      <c r="D4032">
        <v>2025</v>
      </c>
      <c r="E4032" t="s">
        <v>836</v>
      </c>
      <c r="F4032" t="s">
        <v>1264</v>
      </c>
      <c r="G4032" t="s">
        <v>83</v>
      </c>
      <c r="H4032" t="s">
        <v>30</v>
      </c>
      <c r="I4032" t="s">
        <v>40</v>
      </c>
      <c r="J4032" t="s">
        <v>43</v>
      </c>
      <c r="K4032" t="s">
        <v>26</v>
      </c>
      <c r="L4032" t="s">
        <v>27</v>
      </c>
      <c r="M4032">
        <v>1</v>
      </c>
      <c r="N4032" s="2"/>
      <c r="O4032" s="3">
        <v>1930</v>
      </c>
      <c r="P4032">
        <v>0</v>
      </c>
      <c r="Q4032">
        <v>5</v>
      </c>
      <c r="R4032" t="s">
        <v>59</v>
      </c>
      <c r="S4032">
        <v>1</v>
      </c>
    </row>
    <row r="4033" spans="1:19" ht="16.5" x14ac:dyDescent="0.3">
      <c r="A4033" t="s">
        <v>4096</v>
      </c>
      <c r="B4033" s="1">
        <v>45814</v>
      </c>
      <c r="C4033" s="1">
        <v>45822</v>
      </c>
      <c r="D4033">
        <v>2025</v>
      </c>
      <c r="E4033" t="s">
        <v>836</v>
      </c>
      <c r="F4033" t="s">
        <v>1264</v>
      </c>
      <c r="G4033" t="s">
        <v>83</v>
      </c>
      <c r="H4033" t="s">
        <v>30</v>
      </c>
      <c r="I4033" t="s">
        <v>40</v>
      </c>
      <c r="J4033" t="s">
        <v>43</v>
      </c>
      <c r="K4033" t="s">
        <v>26</v>
      </c>
      <c r="L4033" t="s">
        <v>27</v>
      </c>
      <c r="M4033">
        <v>8</v>
      </c>
      <c r="N4033" s="2"/>
      <c r="O4033" s="3">
        <v>9633</v>
      </c>
      <c r="P4033">
        <v>0</v>
      </c>
      <c r="Q4033">
        <v>4</v>
      </c>
      <c r="R4033" t="s">
        <v>33</v>
      </c>
      <c r="S4033">
        <v>1</v>
      </c>
    </row>
    <row r="4034" spans="1:19" ht="16.5" x14ac:dyDescent="0.3">
      <c r="A4034" t="s">
        <v>4097</v>
      </c>
      <c r="B4034" s="1">
        <v>45814</v>
      </c>
      <c r="C4034" s="1">
        <v>45821</v>
      </c>
      <c r="D4034">
        <v>2025</v>
      </c>
      <c r="E4034" t="s">
        <v>836</v>
      </c>
      <c r="F4034" t="s">
        <v>1264</v>
      </c>
      <c r="G4034" t="s">
        <v>83</v>
      </c>
      <c r="H4034" t="s">
        <v>23</v>
      </c>
      <c r="I4034" t="s">
        <v>40</v>
      </c>
      <c r="J4034" t="s">
        <v>25</v>
      </c>
      <c r="K4034" t="s">
        <v>32</v>
      </c>
      <c r="L4034" t="s">
        <v>44</v>
      </c>
      <c r="M4034">
        <v>7</v>
      </c>
      <c r="N4034" s="2"/>
      <c r="O4034" s="3">
        <v>5807</v>
      </c>
      <c r="P4034">
        <v>0</v>
      </c>
      <c r="Q4034">
        <v>5</v>
      </c>
      <c r="R4034" t="s">
        <v>28</v>
      </c>
      <c r="S4034">
        <v>1</v>
      </c>
    </row>
    <row r="4035" spans="1:19" ht="16.5" x14ac:dyDescent="0.3">
      <c r="A4035" t="s">
        <v>4098</v>
      </c>
      <c r="B4035" s="1">
        <v>45815</v>
      </c>
      <c r="C4035" s="1">
        <v>45816</v>
      </c>
      <c r="D4035">
        <v>2025</v>
      </c>
      <c r="E4035" t="s">
        <v>836</v>
      </c>
      <c r="F4035" t="s">
        <v>1264</v>
      </c>
      <c r="G4035" t="s">
        <v>102</v>
      </c>
      <c r="H4035" t="s">
        <v>50</v>
      </c>
      <c r="I4035" t="s">
        <v>31</v>
      </c>
      <c r="J4035" t="s">
        <v>25</v>
      </c>
      <c r="K4035" t="s">
        <v>53</v>
      </c>
      <c r="L4035" t="s">
        <v>44</v>
      </c>
      <c r="M4035">
        <v>1</v>
      </c>
      <c r="N4035" s="2"/>
      <c r="O4035" s="3">
        <v>2347</v>
      </c>
      <c r="P4035">
        <v>0</v>
      </c>
      <c r="Q4035">
        <v>5</v>
      </c>
      <c r="R4035" t="s">
        <v>59</v>
      </c>
      <c r="S4035">
        <v>1</v>
      </c>
    </row>
    <row r="4036" spans="1:19" ht="16.5" x14ac:dyDescent="0.3">
      <c r="A4036" t="s">
        <v>4099</v>
      </c>
      <c r="B4036" s="1">
        <v>45815</v>
      </c>
      <c r="C4036" s="1">
        <v>45817</v>
      </c>
      <c r="D4036">
        <v>2025</v>
      </c>
      <c r="E4036" t="s">
        <v>836</v>
      </c>
      <c r="F4036" t="s">
        <v>1264</v>
      </c>
      <c r="G4036" t="s">
        <v>102</v>
      </c>
      <c r="H4036" t="s">
        <v>35</v>
      </c>
      <c r="I4036" t="s">
        <v>24</v>
      </c>
      <c r="J4036" t="s">
        <v>25</v>
      </c>
      <c r="K4036" t="s">
        <v>32</v>
      </c>
      <c r="L4036" t="s">
        <v>27</v>
      </c>
      <c r="M4036">
        <v>2</v>
      </c>
      <c r="N4036" s="2">
        <v>79</v>
      </c>
      <c r="O4036" s="3">
        <v>2579</v>
      </c>
      <c r="P4036">
        <v>0</v>
      </c>
      <c r="Q4036">
        <v>5</v>
      </c>
      <c r="R4036" t="s">
        <v>33</v>
      </c>
      <c r="S4036">
        <v>1</v>
      </c>
    </row>
    <row r="4037" spans="1:19" ht="16.5" x14ac:dyDescent="0.3">
      <c r="A4037" t="s">
        <v>4100</v>
      </c>
      <c r="B4037" s="1">
        <v>45815</v>
      </c>
      <c r="C4037" s="1">
        <v>45820</v>
      </c>
      <c r="D4037">
        <v>2025</v>
      </c>
      <c r="E4037" t="s">
        <v>836</v>
      </c>
      <c r="F4037" t="s">
        <v>1264</v>
      </c>
      <c r="G4037" t="s">
        <v>102</v>
      </c>
      <c r="H4037" t="s">
        <v>52</v>
      </c>
      <c r="I4037" t="s">
        <v>40</v>
      </c>
      <c r="J4037" t="s">
        <v>43</v>
      </c>
      <c r="K4037" t="s">
        <v>32</v>
      </c>
      <c r="L4037" t="s">
        <v>44</v>
      </c>
      <c r="M4037">
        <v>5</v>
      </c>
      <c r="N4037" s="2"/>
      <c r="O4037" s="3">
        <v>6088</v>
      </c>
      <c r="P4037">
        <v>0</v>
      </c>
      <c r="Q4037">
        <v>5</v>
      </c>
      <c r="R4037" t="s">
        <v>33</v>
      </c>
      <c r="S4037">
        <v>1</v>
      </c>
    </row>
    <row r="4038" spans="1:19" ht="16.5" x14ac:dyDescent="0.3">
      <c r="A4038" t="s">
        <v>4101</v>
      </c>
      <c r="B4038" s="1">
        <v>45815</v>
      </c>
      <c r="C4038" s="1">
        <v>45818</v>
      </c>
      <c r="D4038">
        <v>2025</v>
      </c>
      <c r="E4038" t="s">
        <v>836</v>
      </c>
      <c r="F4038" t="s">
        <v>1264</v>
      </c>
      <c r="G4038" t="s">
        <v>102</v>
      </c>
      <c r="H4038" t="s">
        <v>23</v>
      </c>
      <c r="I4038" t="s">
        <v>24</v>
      </c>
      <c r="J4038" t="s">
        <v>43</v>
      </c>
      <c r="K4038" t="s">
        <v>26</v>
      </c>
      <c r="L4038" t="s">
        <v>27</v>
      </c>
      <c r="M4038">
        <v>3</v>
      </c>
      <c r="N4038" s="2">
        <v>34</v>
      </c>
      <c r="O4038" s="3">
        <v>2903</v>
      </c>
      <c r="P4038">
        <v>0</v>
      </c>
      <c r="Q4038">
        <v>5</v>
      </c>
      <c r="R4038" t="s">
        <v>33</v>
      </c>
      <c r="S4038">
        <v>1</v>
      </c>
    </row>
    <row r="4039" spans="1:19" ht="16.5" x14ac:dyDescent="0.3">
      <c r="A4039" t="s">
        <v>4102</v>
      </c>
      <c r="B4039" s="1">
        <v>45815</v>
      </c>
      <c r="C4039" s="1">
        <v>45817</v>
      </c>
      <c r="D4039">
        <v>2025</v>
      </c>
      <c r="E4039" t="s">
        <v>836</v>
      </c>
      <c r="F4039" t="s">
        <v>1264</v>
      </c>
      <c r="G4039" t="s">
        <v>102</v>
      </c>
      <c r="H4039" t="s">
        <v>50</v>
      </c>
      <c r="I4039" t="s">
        <v>24</v>
      </c>
      <c r="J4039" t="s">
        <v>43</v>
      </c>
      <c r="K4039" t="s">
        <v>32</v>
      </c>
      <c r="L4039" t="s">
        <v>27</v>
      </c>
      <c r="M4039">
        <v>2</v>
      </c>
      <c r="N4039" s="2">
        <v>33</v>
      </c>
      <c r="O4039" s="3">
        <v>2636</v>
      </c>
      <c r="P4039">
        <v>0</v>
      </c>
      <c r="Q4039">
        <v>5</v>
      </c>
      <c r="R4039" t="s">
        <v>28</v>
      </c>
      <c r="S4039">
        <v>1</v>
      </c>
    </row>
    <row r="4040" spans="1:19" ht="16.5" x14ac:dyDescent="0.3">
      <c r="A4040" t="s">
        <v>4103</v>
      </c>
      <c r="B4040" s="1">
        <v>45815</v>
      </c>
      <c r="C4040" s="1">
        <v>45816</v>
      </c>
      <c r="D4040">
        <v>2025</v>
      </c>
      <c r="E4040" t="s">
        <v>836</v>
      </c>
      <c r="F4040" t="s">
        <v>1264</v>
      </c>
      <c r="G4040" t="s">
        <v>102</v>
      </c>
      <c r="H4040" t="s">
        <v>35</v>
      </c>
      <c r="I4040" t="s">
        <v>24</v>
      </c>
      <c r="J4040" t="s">
        <v>25</v>
      </c>
      <c r="K4040" t="s">
        <v>36</v>
      </c>
      <c r="L4040" t="s">
        <v>27</v>
      </c>
      <c r="M4040">
        <v>1</v>
      </c>
      <c r="N4040" s="2">
        <v>62</v>
      </c>
      <c r="O4040" s="3">
        <v>1617</v>
      </c>
      <c r="P4040">
        <v>0</v>
      </c>
      <c r="Q4040">
        <v>4</v>
      </c>
      <c r="R4040" t="s">
        <v>33</v>
      </c>
      <c r="S4040">
        <v>1</v>
      </c>
    </row>
    <row r="4041" spans="1:19" ht="16.5" x14ac:dyDescent="0.3">
      <c r="A4041" t="s">
        <v>4104</v>
      </c>
      <c r="B4041" s="1">
        <v>45816</v>
      </c>
      <c r="C4041" s="1">
        <v>45818</v>
      </c>
      <c r="D4041">
        <v>2025</v>
      </c>
      <c r="E4041" t="s">
        <v>836</v>
      </c>
      <c r="F4041" t="s">
        <v>1264</v>
      </c>
      <c r="G4041" t="s">
        <v>112</v>
      </c>
      <c r="H4041" t="s">
        <v>23</v>
      </c>
      <c r="I4041" t="s">
        <v>24</v>
      </c>
      <c r="J4041" t="s">
        <v>25</v>
      </c>
      <c r="K4041" t="s">
        <v>32</v>
      </c>
      <c r="L4041" t="s">
        <v>44</v>
      </c>
      <c r="M4041">
        <v>2</v>
      </c>
      <c r="N4041" s="2">
        <v>35</v>
      </c>
      <c r="O4041" s="3">
        <v>2262</v>
      </c>
      <c r="P4041">
        <v>0</v>
      </c>
      <c r="Q4041">
        <v>5</v>
      </c>
      <c r="R4041" t="s">
        <v>33</v>
      </c>
      <c r="S4041">
        <v>1</v>
      </c>
    </row>
    <row r="4042" spans="1:19" ht="16.5" x14ac:dyDescent="0.3">
      <c r="A4042" t="s">
        <v>4105</v>
      </c>
      <c r="B4042" s="1">
        <v>45816</v>
      </c>
      <c r="C4042" s="1">
        <v>45821</v>
      </c>
      <c r="D4042">
        <v>2025</v>
      </c>
      <c r="E4042" t="s">
        <v>836</v>
      </c>
      <c r="F4042" t="s">
        <v>1264</v>
      </c>
      <c r="G4042" t="s">
        <v>112</v>
      </c>
      <c r="H4042" t="s">
        <v>52</v>
      </c>
      <c r="I4042" t="s">
        <v>40</v>
      </c>
      <c r="J4042" t="s">
        <v>25</v>
      </c>
      <c r="K4042" t="s">
        <v>36</v>
      </c>
      <c r="L4042" t="s">
        <v>37</v>
      </c>
      <c r="M4042">
        <v>5</v>
      </c>
      <c r="N4042" s="2"/>
      <c r="O4042" s="3">
        <v>6321</v>
      </c>
      <c r="P4042">
        <v>0</v>
      </c>
      <c r="Q4042">
        <v>4</v>
      </c>
      <c r="R4042" t="s">
        <v>33</v>
      </c>
      <c r="S4042">
        <v>1</v>
      </c>
    </row>
    <row r="4043" spans="1:19" ht="16.5" x14ac:dyDescent="0.3">
      <c r="A4043" t="s">
        <v>4106</v>
      </c>
      <c r="B4043" s="1">
        <v>45816</v>
      </c>
      <c r="C4043" s="1">
        <v>45819</v>
      </c>
      <c r="D4043">
        <v>2025</v>
      </c>
      <c r="E4043" t="s">
        <v>836</v>
      </c>
      <c r="F4043" t="s">
        <v>1264</v>
      </c>
      <c r="G4043" t="s">
        <v>112</v>
      </c>
      <c r="H4043" t="s">
        <v>50</v>
      </c>
      <c r="I4043" t="s">
        <v>24</v>
      </c>
      <c r="J4043" t="s">
        <v>25</v>
      </c>
      <c r="K4043" t="s">
        <v>36</v>
      </c>
      <c r="L4043" t="s">
        <v>27</v>
      </c>
      <c r="M4043">
        <v>3</v>
      </c>
      <c r="N4043" s="2">
        <v>19</v>
      </c>
      <c r="O4043" s="3">
        <v>5299</v>
      </c>
      <c r="P4043">
        <v>1</v>
      </c>
      <c r="Q4043">
        <v>5</v>
      </c>
      <c r="R4043" t="s">
        <v>33</v>
      </c>
      <c r="S4043">
        <v>1</v>
      </c>
    </row>
    <row r="4044" spans="1:19" ht="16.5" x14ac:dyDescent="0.3">
      <c r="A4044" t="s">
        <v>4107</v>
      </c>
      <c r="B4044" s="1">
        <v>45816</v>
      </c>
      <c r="C4044" s="1">
        <v>45820</v>
      </c>
      <c r="D4044">
        <v>2025</v>
      </c>
      <c r="E4044" t="s">
        <v>836</v>
      </c>
      <c r="F4044" t="s">
        <v>1264</v>
      </c>
      <c r="G4044" t="s">
        <v>112</v>
      </c>
      <c r="H4044" t="s">
        <v>30</v>
      </c>
      <c r="I4044" t="s">
        <v>24</v>
      </c>
      <c r="J4044" t="s">
        <v>25</v>
      </c>
      <c r="K4044" t="s">
        <v>32</v>
      </c>
      <c r="L4044" t="s">
        <v>44</v>
      </c>
      <c r="M4044">
        <v>4</v>
      </c>
      <c r="N4044" s="2">
        <v>35</v>
      </c>
      <c r="O4044" s="3">
        <v>5771</v>
      </c>
      <c r="P4044">
        <v>0</v>
      </c>
      <c r="Q4044">
        <v>4</v>
      </c>
      <c r="R4044" t="s">
        <v>33</v>
      </c>
      <c r="S4044">
        <v>1</v>
      </c>
    </row>
    <row r="4045" spans="1:19" ht="16.5" x14ac:dyDescent="0.3">
      <c r="A4045" t="s">
        <v>4108</v>
      </c>
      <c r="B4045" s="1">
        <v>45816</v>
      </c>
      <c r="C4045" s="1">
        <v>45817</v>
      </c>
      <c r="D4045">
        <v>2025</v>
      </c>
      <c r="E4045" t="s">
        <v>836</v>
      </c>
      <c r="F4045" t="s">
        <v>1264</v>
      </c>
      <c r="G4045" t="s">
        <v>112</v>
      </c>
      <c r="H4045" t="s">
        <v>35</v>
      </c>
      <c r="I4045" t="s">
        <v>40</v>
      </c>
      <c r="J4045" t="s">
        <v>25</v>
      </c>
      <c r="K4045" t="s">
        <v>36</v>
      </c>
      <c r="L4045" t="s">
        <v>44</v>
      </c>
      <c r="M4045">
        <v>1</v>
      </c>
      <c r="N4045" s="2"/>
      <c r="O4045" s="3">
        <v>1330</v>
      </c>
      <c r="P4045">
        <v>0</v>
      </c>
      <c r="Q4045">
        <v>4</v>
      </c>
      <c r="R4045" t="s">
        <v>33</v>
      </c>
      <c r="S4045">
        <v>1</v>
      </c>
    </row>
    <row r="4046" spans="1:19" ht="16.5" x14ac:dyDescent="0.3">
      <c r="A4046" t="s">
        <v>4109</v>
      </c>
      <c r="B4046" s="1">
        <v>45816</v>
      </c>
      <c r="C4046" s="1">
        <v>45819</v>
      </c>
      <c r="D4046">
        <v>2025</v>
      </c>
      <c r="E4046" t="s">
        <v>836</v>
      </c>
      <c r="F4046" t="s">
        <v>1264</v>
      </c>
      <c r="G4046" t="s">
        <v>112</v>
      </c>
      <c r="H4046" t="s">
        <v>50</v>
      </c>
      <c r="I4046" t="s">
        <v>31</v>
      </c>
      <c r="J4046" t="s">
        <v>43</v>
      </c>
      <c r="K4046" t="s">
        <v>53</v>
      </c>
      <c r="L4046" t="s">
        <v>44</v>
      </c>
      <c r="M4046">
        <v>3</v>
      </c>
      <c r="N4046" s="2"/>
      <c r="O4046" s="3">
        <v>4081</v>
      </c>
      <c r="P4046">
        <v>0</v>
      </c>
      <c r="Q4046">
        <v>4</v>
      </c>
      <c r="R4046" t="s">
        <v>33</v>
      </c>
      <c r="S4046">
        <v>1</v>
      </c>
    </row>
    <row r="4047" spans="1:19" ht="16.5" x14ac:dyDescent="0.3">
      <c r="A4047" t="s">
        <v>4110</v>
      </c>
      <c r="B4047" s="1">
        <v>45816</v>
      </c>
      <c r="C4047" s="1">
        <v>45821</v>
      </c>
      <c r="D4047">
        <v>2025</v>
      </c>
      <c r="E4047" t="s">
        <v>836</v>
      </c>
      <c r="F4047" t="s">
        <v>1264</v>
      </c>
      <c r="G4047" t="s">
        <v>112</v>
      </c>
      <c r="H4047" t="s">
        <v>52</v>
      </c>
      <c r="I4047" t="s">
        <v>40</v>
      </c>
      <c r="J4047" t="s">
        <v>43</v>
      </c>
      <c r="K4047" t="s">
        <v>53</v>
      </c>
      <c r="L4047" t="s">
        <v>44</v>
      </c>
      <c r="M4047">
        <v>5</v>
      </c>
      <c r="N4047" s="2"/>
      <c r="O4047" s="3">
        <v>6297</v>
      </c>
      <c r="P4047">
        <v>0</v>
      </c>
      <c r="Q4047">
        <v>4</v>
      </c>
      <c r="R4047" t="s">
        <v>33</v>
      </c>
      <c r="S4047">
        <v>1</v>
      </c>
    </row>
    <row r="4048" spans="1:19" ht="16.5" x14ac:dyDescent="0.3">
      <c r="A4048" t="s">
        <v>4111</v>
      </c>
      <c r="B4048" s="1">
        <v>45816</v>
      </c>
      <c r="C4048" s="1">
        <v>45817</v>
      </c>
      <c r="D4048">
        <v>2025</v>
      </c>
      <c r="E4048" t="s">
        <v>836</v>
      </c>
      <c r="F4048" t="s">
        <v>1264</v>
      </c>
      <c r="G4048" t="s">
        <v>112</v>
      </c>
      <c r="H4048" t="s">
        <v>35</v>
      </c>
      <c r="I4048" t="s">
        <v>24</v>
      </c>
      <c r="J4048" t="s">
        <v>25</v>
      </c>
      <c r="K4048" t="s">
        <v>36</v>
      </c>
      <c r="L4048" t="s">
        <v>44</v>
      </c>
      <c r="M4048">
        <v>1</v>
      </c>
      <c r="N4048" s="2">
        <v>40</v>
      </c>
      <c r="O4048" s="3">
        <v>1402</v>
      </c>
      <c r="P4048">
        <v>0</v>
      </c>
      <c r="Q4048">
        <v>5</v>
      </c>
      <c r="R4048" t="s">
        <v>28</v>
      </c>
      <c r="S4048">
        <v>1</v>
      </c>
    </row>
    <row r="4049" spans="1:19" ht="16.5" x14ac:dyDescent="0.3">
      <c r="A4049" t="s">
        <v>4112</v>
      </c>
      <c r="B4049" s="1">
        <v>45816</v>
      </c>
      <c r="C4049" s="1">
        <v>45817</v>
      </c>
      <c r="D4049">
        <v>2025</v>
      </c>
      <c r="E4049" t="s">
        <v>836</v>
      </c>
      <c r="F4049" t="s">
        <v>1264</v>
      </c>
      <c r="G4049" t="s">
        <v>112</v>
      </c>
      <c r="H4049" t="s">
        <v>35</v>
      </c>
      <c r="I4049" t="s">
        <v>24</v>
      </c>
      <c r="J4049" t="s">
        <v>25</v>
      </c>
      <c r="K4049" t="s">
        <v>32</v>
      </c>
      <c r="L4049" t="s">
        <v>37</v>
      </c>
      <c r="M4049">
        <v>1</v>
      </c>
      <c r="N4049" s="2">
        <v>106</v>
      </c>
      <c r="O4049" s="3">
        <v>1230</v>
      </c>
      <c r="P4049">
        <v>0</v>
      </c>
      <c r="Q4049">
        <v>2</v>
      </c>
      <c r="R4049" t="s">
        <v>33</v>
      </c>
      <c r="S4049">
        <v>1</v>
      </c>
    </row>
    <row r="4050" spans="1:19" ht="16.5" x14ac:dyDescent="0.3">
      <c r="A4050" t="s">
        <v>4113</v>
      </c>
      <c r="B4050" s="1">
        <v>45816</v>
      </c>
      <c r="C4050" s="1">
        <v>45820</v>
      </c>
      <c r="D4050">
        <v>2025</v>
      </c>
      <c r="E4050" t="s">
        <v>836</v>
      </c>
      <c r="F4050" t="s">
        <v>1264</v>
      </c>
      <c r="G4050" t="s">
        <v>112</v>
      </c>
      <c r="H4050" t="s">
        <v>23</v>
      </c>
      <c r="I4050" t="s">
        <v>24</v>
      </c>
      <c r="J4050" t="s">
        <v>25</v>
      </c>
      <c r="K4050" t="s">
        <v>32</v>
      </c>
      <c r="L4050" t="s">
        <v>44</v>
      </c>
      <c r="M4050">
        <v>4</v>
      </c>
      <c r="N4050" s="2">
        <v>51</v>
      </c>
      <c r="O4050" s="3">
        <v>3694</v>
      </c>
      <c r="P4050">
        <v>0</v>
      </c>
      <c r="Q4050">
        <v>4</v>
      </c>
      <c r="R4050" t="s">
        <v>59</v>
      </c>
      <c r="S4050">
        <v>1</v>
      </c>
    </row>
    <row r="4051" spans="1:19" ht="16.5" x14ac:dyDescent="0.3">
      <c r="A4051" t="s">
        <v>4114</v>
      </c>
      <c r="B4051" s="1">
        <v>45817</v>
      </c>
      <c r="C4051" s="1">
        <v>45827</v>
      </c>
      <c r="D4051">
        <v>2025</v>
      </c>
      <c r="E4051" t="s">
        <v>836</v>
      </c>
      <c r="F4051" t="s">
        <v>1264</v>
      </c>
      <c r="G4051" t="s">
        <v>22</v>
      </c>
      <c r="H4051" t="s">
        <v>23</v>
      </c>
      <c r="I4051" t="s">
        <v>31</v>
      </c>
      <c r="J4051" t="s">
        <v>43</v>
      </c>
      <c r="K4051" t="s">
        <v>53</v>
      </c>
      <c r="L4051" t="s">
        <v>27</v>
      </c>
      <c r="M4051">
        <v>10</v>
      </c>
      <c r="N4051" s="2"/>
      <c r="O4051" s="3">
        <v>7647</v>
      </c>
      <c r="P4051">
        <v>0</v>
      </c>
      <c r="Q4051">
        <v>5</v>
      </c>
      <c r="R4051" t="s">
        <v>33</v>
      </c>
      <c r="S4051">
        <v>1</v>
      </c>
    </row>
    <row r="4052" spans="1:19" ht="16.5" x14ac:dyDescent="0.3">
      <c r="A4052" t="s">
        <v>4115</v>
      </c>
      <c r="B4052" s="1">
        <v>45817</v>
      </c>
      <c r="C4052" s="1">
        <v>45822</v>
      </c>
      <c r="D4052">
        <v>2025</v>
      </c>
      <c r="E4052" t="s">
        <v>836</v>
      </c>
      <c r="F4052" t="s">
        <v>1264</v>
      </c>
      <c r="G4052" t="s">
        <v>22</v>
      </c>
      <c r="H4052" t="s">
        <v>39</v>
      </c>
      <c r="I4052" t="s">
        <v>40</v>
      </c>
      <c r="J4052" t="s">
        <v>25</v>
      </c>
      <c r="K4052" t="s">
        <v>41</v>
      </c>
      <c r="L4052" t="s">
        <v>27</v>
      </c>
      <c r="M4052">
        <v>5</v>
      </c>
      <c r="N4052" s="2"/>
      <c r="O4052" s="3">
        <v>3960</v>
      </c>
      <c r="P4052">
        <v>0</v>
      </c>
      <c r="Q4052">
        <v>4</v>
      </c>
      <c r="R4052" t="s">
        <v>33</v>
      </c>
      <c r="S4052">
        <v>1</v>
      </c>
    </row>
    <row r="4053" spans="1:19" ht="16.5" x14ac:dyDescent="0.3">
      <c r="A4053" t="s">
        <v>4116</v>
      </c>
      <c r="B4053" s="1">
        <v>45817</v>
      </c>
      <c r="C4053" s="1">
        <v>45822</v>
      </c>
      <c r="D4053">
        <v>2025</v>
      </c>
      <c r="E4053" t="s">
        <v>836</v>
      </c>
      <c r="F4053" t="s">
        <v>1264</v>
      </c>
      <c r="G4053" t="s">
        <v>22</v>
      </c>
      <c r="H4053" t="s">
        <v>52</v>
      </c>
      <c r="I4053" t="s">
        <v>40</v>
      </c>
      <c r="J4053" t="s">
        <v>43</v>
      </c>
      <c r="K4053" t="s">
        <v>26</v>
      </c>
      <c r="L4053" t="s">
        <v>44</v>
      </c>
      <c r="M4053">
        <v>5</v>
      </c>
      <c r="N4053" s="2"/>
      <c r="O4053" s="3">
        <v>6154</v>
      </c>
      <c r="P4053">
        <v>0</v>
      </c>
      <c r="Q4053">
        <v>4</v>
      </c>
      <c r="R4053" t="s">
        <v>28</v>
      </c>
      <c r="S4053">
        <v>1</v>
      </c>
    </row>
    <row r="4054" spans="1:19" ht="16.5" x14ac:dyDescent="0.3">
      <c r="A4054" t="s">
        <v>4117</v>
      </c>
      <c r="B4054" s="1">
        <v>45817</v>
      </c>
      <c r="C4054" s="1">
        <v>45829</v>
      </c>
      <c r="D4054">
        <v>2025</v>
      </c>
      <c r="E4054" t="s">
        <v>836</v>
      </c>
      <c r="F4054" t="s">
        <v>1264</v>
      </c>
      <c r="G4054" t="s">
        <v>22</v>
      </c>
      <c r="H4054" t="s">
        <v>23</v>
      </c>
      <c r="I4054" t="s">
        <v>24</v>
      </c>
      <c r="J4054" t="s">
        <v>25</v>
      </c>
      <c r="K4054" t="s">
        <v>53</v>
      </c>
      <c r="L4054" t="s">
        <v>37</v>
      </c>
      <c r="M4054">
        <v>12</v>
      </c>
      <c r="N4054" s="2">
        <v>33</v>
      </c>
      <c r="O4054" s="3">
        <v>8417</v>
      </c>
      <c r="P4054">
        <v>0</v>
      </c>
      <c r="Q4054">
        <v>4</v>
      </c>
      <c r="R4054" t="s">
        <v>33</v>
      </c>
      <c r="S4054">
        <v>1</v>
      </c>
    </row>
    <row r="4055" spans="1:19" ht="16.5" x14ac:dyDescent="0.3">
      <c r="A4055" t="s">
        <v>4118</v>
      </c>
      <c r="B4055" s="1">
        <v>45817</v>
      </c>
      <c r="C4055" s="1">
        <v>45823</v>
      </c>
      <c r="D4055">
        <v>2025</v>
      </c>
      <c r="E4055" t="s">
        <v>836</v>
      </c>
      <c r="F4055" t="s">
        <v>1264</v>
      </c>
      <c r="G4055" t="s">
        <v>22</v>
      </c>
      <c r="H4055" t="s">
        <v>39</v>
      </c>
      <c r="I4055" t="s">
        <v>24</v>
      </c>
      <c r="J4055" t="s">
        <v>43</v>
      </c>
      <c r="K4055" t="s">
        <v>41</v>
      </c>
      <c r="L4055" t="s">
        <v>44</v>
      </c>
      <c r="M4055">
        <v>6</v>
      </c>
      <c r="N4055" s="2">
        <v>26</v>
      </c>
      <c r="O4055" s="3">
        <v>4105</v>
      </c>
      <c r="P4055">
        <v>0</v>
      </c>
      <c r="Q4055">
        <v>5</v>
      </c>
      <c r="R4055" t="s">
        <v>28</v>
      </c>
      <c r="S4055">
        <v>1</v>
      </c>
    </row>
    <row r="4056" spans="1:19" ht="16.5" x14ac:dyDescent="0.3">
      <c r="A4056" t="s">
        <v>4119</v>
      </c>
      <c r="B4056" s="1">
        <v>45817</v>
      </c>
      <c r="C4056" s="1">
        <v>45819</v>
      </c>
      <c r="D4056">
        <v>2025</v>
      </c>
      <c r="E4056" t="s">
        <v>836</v>
      </c>
      <c r="F4056" t="s">
        <v>1264</v>
      </c>
      <c r="G4056" t="s">
        <v>22</v>
      </c>
      <c r="H4056" t="s">
        <v>39</v>
      </c>
      <c r="I4056" t="s">
        <v>24</v>
      </c>
      <c r="J4056" t="s">
        <v>43</v>
      </c>
      <c r="K4056" t="s">
        <v>41</v>
      </c>
      <c r="L4056" t="s">
        <v>27</v>
      </c>
      <c r="M4056">
        <v>2</v>
      </c>
      <c r="N4056" s="2">
        <v>68</v>
      </c>
      <c r="O4056" s="3">
        <v>1392</v>
      </c>
      <c r="P4056">
        <v>0</v>
      </c>
      <c r="Q4056">
        <v>4</v>
      </c>
      <c r="R4056" t="s">
        <v>28</v>
      </c>
      <c r="S4056">
        <v>1</v>
      </c>
    </row>
    <row r="4057" spans="1:19" ht="16.5" x14ac:dyDescent="0.3">
      <c r="A4057" t="s">
        <v>4120</v>
      </c>
      <c r="B4057" s="1">
        <v>45817</v>
      </c>
      <c r="C4057" s="1">
        <v>45820</v>
      </c>
      <c r="D4057">
        <v>2025</v>
      </c>
      <c r="E4057" t="s">
        <v>836</v>
      </c>
      <c r="F4057" t="s">
        <v>1264</v>
      </c>
      <c r="G4057" t="s">
        <v>22</v>
      </c>
      <c r="H4057" t="s">
        <v>39</v>
      </c>
      <c r="I4057" t="s">
        <v>24</v>
      </c>
      <c r="J4057" t="s">
        <v>43</v>
      </c>
      <c r="K4057" t="s">
        <v>41</v>
      </c>
      <c r="L4057" t="s">
        <v>27</v>
      </c>
      <c r="M4057">
        <v>3</v>
      </c>
      <c r="N4057" s="2">
        <v>60</v>
      </c>
      <c r="O4057" s="3">
        <v>2434</v>
      </c>
      <c r="P4057">
        <v>0</v>
      </c>
      <c r="Q4057">
        <v>3</v>
      </c>
      <c r="R4057" t="s">
        <v>28</v>
      </c>
      <c r="S4057">
        <v>1</v>
      </c>
    </row>
    <row r="4058" spans="1:19" ht="16.5" x14ac:dyDescent="0.3">
      <c r="A4058" t="s">
        <v>4121</v>
      </c>
      <c r="B4058" s="1">
        <v>45817</v>
      </c>
      <c r="C4058" s="1">
        <v>45826</v>
      </c>
      <c r="D4058">
        <v>2025</v>
      </c>
      <c r="E4058" t="s">
        <v>836</v>
      </c>
      <c r="F4058" t="s">
        <v>1264</v>
      </c>
      <c r="G4058" t="s">
        <v>22</v>
      </c>
      <c r="H4058" t="s">
        <v>30</v>
      </c>
      <c r="I4058" t="s">
        <v>24</v>
      </c>
      <c r="J4058" t="s">
        <v>25</v>
      </c>
      <c r="K4058" t="s">
        <v>36</v>
      </c>
      <c r="L4058" t="s">
        <v>44</v>
      </c>
      <c r="M4058">
        <v>9</v>
      </c>
      <c r="N4058" s="2">
        <v>45</v>
      </c>
      <c r="O4058" s="3">
        <v>7763</v>
      </c>
      <c r="P4058">
        <v>0</v>
      </c>
      <c r="Q4058">
        <v>5</v>
      </c>
      <c r="R4058" t="s">
        <v>33</v>
      </c>
      <c r="S4058">
        <v>1</v>
      </c>
    </row>
    <row r="4059" spans="1:19" ht="16.5" x14ac:dyDescent="0.3">
      <c r="A4059" t="s">
        <v>4122</v>
      </c>
      <c r="B4059" s="1">
        <v>45818</v>
      </c>
      <c r="C4059" s="1">
        <v>45824</v>
      </c>
      <c r="D4059">
        <v>2025</v>
      </c>
      <c r="E4059" t="s">
        <v>836</v>
      </c>
      <c r="F4059" t="s">
        <v>1264</v>
      </c>
      <c r="G4059" t="s">
        <v>56</v>
      </c>
      <c r="H4059" t="s">
        <v>23</v>
      </c>
      <c r="I4059" t="s">
        <v>24</v>
      </c>
      <c r="J4059" t="s">
        <v>43</v>
      </c>
      <c r="K4059" t="s">
        <v>53</v>
      </c>
      <c r="L4059" t="s">
        <v>44</v>
      </c>
      <c r="M4059">
        <v>6</v>
      </c>
      <c r="N4059" s="2">
        <v>40</v>
      </c>
      <c r="O4059" s="3">
        <v>4563</v>
      </c>
      <c r="P4059">
        <v>0</v>
      </c>
      <c r="Q4059">
        <v>4</v>
      </c>
      <c r="R4059" t="s">
        <v>33</v>
      </c>
      <c r="S4059">
        <v>1</v>
      </c>
    </row>
    <row r="4060" spans="1:19" ht="16.5" x14ac:dyDescent="0.3">
      <c r="A4060" t="s">
        <v>4123</v>
      </c>
      <c r="B4060" s="1">
        <v>45818</v>
      </c>
      <c r="C4060" s="1">
        <v>45819</v>
      </c>
      <c r="D4060">
        <v>2025</v>
      </c>
      <c r="E4060" t="s">
        <v>836</v>
      </c>
      <c r="F4060" t="s">
        <v>1264</v>
      </c>
      <c r="G4060" t="s">
        <v>56</v>
      </c>
      <c r="H4060" t="s">
        <v>52</v>
      </c>
      <c r="I4060" t="s">
        <v>40</v>
      </c>
      <c r="J4060" t="s">
        <v>25</v>
      </c>
      <c r="K4060" t="s">
        <v>53</v>
      </c>
      <c r="L4060" t="s">
        <v>37</v>
      </c>
      <c r="M4060">
        <v>1</v>
      </c>
      <c r="N4060" s="2"/>
      <c r="O4060" s="3">
        <v>1863</v>
      </c>
      <c r="P4060">
        <v>0</v>
      </c>
      <c r="Q4060">
        <v>4</v>
      </c>
      <c r="R4060" t="s">
        <v>33</v>
      </c>
      <c r="S4060">
        <v>1</v>
      </c>
    </row>
    <row r="4061" spans="1:19" ht="16.5" x14ac:dyDescent="0.3">
      <c r="A4061" t="s">
        <v>4124</v>
      </c>
      <c r="B4061" s="1">
        <v>45818</v>
      </c>
      <c r="C4061" s="1">
        <v>45821</v>
      </c>
      <c r="D4061">
        <v>2025</v>
      </c>
      <c r="E4061" t="s">
        <v>836</v>
      </c>
      <c r="F4061" t="s">
        <v>1264</v>
      </c>
      <c r="G4061" t="s">
        <v>56</v>
      </c>
      <c r="H4061" t="s">
        <v>35</v>
      </c>
      <c r="I4061" t="s">
        <v>31</v>
      </c>
      <c r="J4061" t="s">
        <v>25</v>
      </c>
      <c r="K4061" t="s">
        <v>36</v>
      </c>
      <c r="L4061" t="s">
        <v>44</v>
      </c>
      <c r="M4061">
        <v>3</v>
      </c>
      <c r="N4061" s="2"/>
      <c r="O4061" s="3">
        <v>2473</v>
      </c>
      <c r="P4061">
        <v>0</v>
      </c>
      <c r="Q4061">
        <v>4</v>
      </c>
      <c r="R4061" t="s">
        <v>165</v>
      </c>
      <c r="S4061">
        <v>1</v>
      </c>
    </row>
    <row r="4062" spans="1:19" ht="16.5" x14ac:dyDescent="0.3">
      <c r="A4062" t="s">
        <v>4125</v>
      </c>
      <c r="B4062" s="1">
        <v>45818</v>
      </c>
      <c r="C4062" s="1">
        <v>45822</v>
      </c>
      <c r="D4062">
        <v>2025</v>
      </c>
      <c r="E4062" t="s">
        <v>836</v>
      </c>
      <c r="F4062" t="s">
        <v>1264</v>
      </c>
      <c r="G4062" t="s">
        <v>56</v>
      </c>
      <c r="H4062" t="s">
        <v>30</v>
      </c>
      <c r="I4062" t="s">
        <v>40</v>
      </c>
      <c r="J4062" t="s">
        <v>43</v>
      </c>
      <c r="K4062" t="s">
        <v>26</v>
      </c>
      <c r="L4062" t="s">
        <v>44</v>
      </c>
      <c r="M4062">
        <v>4</v>
      </c>
      <c r="N4062" s="2"/>
      <c r="O4062" s="3">
        <v>5136</v>
      </c>
      <c r="P4062">
        <v>1</v>
      </c>
      <c r="Q4062">
        <v>3</v>
      </c>
      <c r="R4062" t="s">
        <v>28</v>
      </c>
      <c r="S4062">
        <v>1</v>
      </c>
    </row>
    <row r="4063" spans="1:19" ht="16.5" x14ac:dyDescent="0.3">
      <c r="A4063" t="s">
        <v>4126</v>
      </c>
      <c r="B4063" s="1">
        <v>45819</v>
      </c>
      <c r="C4063" s="1">
        <v>45828</v>
      </c>
      <c r="D4063">
        <v>2025</v>
      </c>
      <c r="E4063" t="s">
        <v>836</v>
      </c>
      <c r="F4063" t="s">
        <v>1264</v>
      </c>
      <c r="G4063" t="s">
        <v>70</v>
      </c>
      <c r="H4063" t="s">
        <v>23</v>
      </c>
      <c r="I4063" t="s">
        <v>40</v>
      </c>
      <c r="J4063" t="s">
        <v>43</v>
      </c>
      <c r="K4063" t="s">
        <v>53</v>
      </c>
      <c r="L4063" t="s">
        <v>44</v>
      </c>
      <c r="M4063">
        <v>9</v>
      </c>
      <c r="N4063" s="2"/>
      <c r="O4063" s="3">
        <v>5386</v>
      </c>
      <c r="P4063">
        <v>0</v>
      </c>
      <c r="Q4063">
        <v>4</v>
      </c>
      <c r="R4063" t="s">
        <v>33</v>
      </c>
      <c r="S4063">
        <v>1</v>
      </c>
    </row>
    <row r="4064" spans="1:19" ht="16.5" x14ac:dyDescent="0.3">
      <c r="A4064" t="s">
        <v>4127</v>
      </c>
      <c r="B4064" s="1">
        <v>45819</v>
      </c>
      <c r="C4064" s="1">
        <v>45822</v>
      </c>
      <c r="D4064">
        <v>2025</v>
      </c>
      <c r="E4064" t="s">
        <v>836</v>
      </c>
      <c r="F4064" t="s">
        <v>1264</v>
      </c>
      <c r="G4064" t="s">
        <v>70</v>
      </c>
      <c r="H4064" t="s">
        <v>23</v>
      </c>
      <c r="I4064" t="s">
        <v>24</v>
      </c>
      <c r="J4064" t="s">
        <v>43</v>
      </c>
      <c r="K4064" t="s">
        <v>53</v>
      </c>
      <c r="L4064" t="s">
        <v>27</v>
      </c>
      <c r="M4064">
        <v>3</v>
      </c>
      <c r="N4064" s="2">
        <v>167</v>
      </c>
      <c r="O4064" s="3">
        <v>2822</v>
      </c>
      <c r="P4064">
        <v>0</v>
      </c>
      <c r="Q4064">
        <v>4</v>
      </c>
      <c r="R4064" t="s">
        <v>33</v>
      </c>
      <c r="S4064">
        <v>1</v>
      </c>
    </row>
    <row r="4065" spans="1:19" ht="16.5" x14ac:dyDescent="0.3">
      <c r="A4065" t="s">
        <v>4128</v>
      </c>
      <c r="B4065" s="1">
        <v>45819</v>
      </c>
      <c r="C4065" s="1">
        <v>45821</v>
      </c>
      <c r="D4065">
        <v>2025</v>
      </c>
      <c r="E4065" t="s">
        <v>836</v>
      </c>
      <c r="F4065" t="s">
        <v>1264</v>
      </c>
      <c r="G4065" t="s">
        <v>70</v>
      </c>
      <c r="H4065" t="s">
        <v>30</v>
      </c>
      <c r="I4065" t="s">
        <v>24</v>
      </c>
      <c r="J4065" t="s">
        <v>43</v>
      </c>
      <c r="K4065" t="s">
        <v>36</v>
      </c>
      <c r="L4065" t="s">
        <v>27</v>
      </c>
      <c r="M4065">
        <v>2</v>
      </c>
      <c r="N4065" s="2">
        <v>65</v>
      </c>
      <c r="O4065" s="3">
        <v>2685</v>
      </c>
      <c r="P4065">
        <v>0</v>
      </c>
      <c r="Q4065">
        <v>4</v>
      </c>
      <c r="R4065" t="s">
        <v>33</v>
      </c>
      <c r="S4065">
        <v>1</v>
      </c>
    </row>
    <row r="4066" spans="1:19" ht="16.5" x14ac:dyDescent="0.3">
      <c r="A4066" t="s">
        <v>4129</v>
      </c>
      <c r="B4066" s="1">
        <v>45819</v>
      </c>
      <c r="C4066" s="1">
        <v>45829</v>
      </c>
      <c r="D4066">
        <v>2025</v>
      </c>
      <c r="E4066" t="s">
        <v>836</v>
      </c>
      <c r="F4066" t="s">
        <v>1264</v>
      </c>
      <c r="G4066" t="s">
        <v>70</v>
      </c>
      <c r="H4066" t="s">
        <v>52</v>
      </c>
      <c r="I4066" t="s">
        <v>40</v>
      </c>
      <c r="J4066" t="s">
        <v>25</v>
      </c>
      <c r="K4066" t="s">
        <v>26</v>
      </c>
      <c r="L4066" t="s">
        <v>37</v>
      </c>
      <c r="M4066">
        <v>10</v>
      </c>
      <c r="N4066" s="2"/>
      <c r="O4066" s="3">
        <v>9440</v>
      </c>
      <c r="P4066">
        <v>1</v>
      </c>
      <c r="Q4066">
        <v>4</v>
      </c>
      <c r="R4066" t="s">
        <v>33</v>
      </c>
      <c r="S4066">
        <v>1</v>
      </c>
    </row>
    <row r="4067" spans="1:19" ht="16.5" x14ac:dyDescent="0.3">
      <c r="A4067" t="s">
        <v>4130</v>
      </c>
      <c r="B4067" s="1">
        <v>45819</v>
      </c>
      <c r="C4067" s="1">
        <v>45822</v>
      </c>
      <c r="D4067">
        <v>2025</v>
      </c>
      <c r="E4067" t="s">
        <v>836</v>
      </c>
      <c r="F4067" t="s">
        <v>1264</v>
      </c>
      <c r="G4067" t="s">
        <v>70</v>
      </c>
      <c r="H4067" t="s">
        <v>52</v>
      </c>
      <c r="I4067" t="s">
        <v>40</v>
      </c>
      <c r="J4067" t="s">
        <v>43</v>
      </c>
      <c r="K4067" t="s">
        <v>53</v>
      </c>
      <c r="L4067" t="s">
        <v>44</v>
      </c>
      <c r="M4067">
        <v>3</v>
      </c>
      <c r="N4067" s="2"/>
      <c r="O4067" s="3">
        <v>3091</v>
      </c>
      <c r="P4067">
        <v>0</v>
      </c>
      <c r="Q4067">
        <v>4</v>
      </c>
      <c r="R4067" t="s">
        <v>33</v>
      </c>
      <c r="S4067">
        <v>1</v>
      </c>
    </row>
    <row r="4068" spans="1:19" ht="16.5" x14ac:dyDescent="0.3">
      <c r="A4068" t="s">
        <v>4131</v>
      </c>
      <c r="B4068" s="1">
        <v>45819</v>
      </c>
      <c r="C4068" s="1">
        <v>45821</v>
      </c>
      <c r="D4068">
        <v>2025</v>
      </c>
      <c r="E4068" t="s">
        <v>836</v>
      </c>
      <c r="F4068" t="s">
        <v>1264</v>
      </c>
      <c r="G4068" t="s">
        <v>70</v>
      </c>
      <c r="H4068" t="s">
        <v>35</v>
      </c>
      <c r="I4068" t="s">
        <v>24</v>
      </c>
      <c r="J4068" t="s">
        <v>25</v>
      </c>
      <c r="K4068" t="s">
        <v>36</v>
      </c>
      <c r="L4068" t="s">
        <v>44</v>
      </c>
      <c r="M4068">
        <v>2</v>
      </c>
      <c r="N4068" s="2">
        <v>45</v>
      </c>
      <c r="O4068" s="3">
        <v>2599</v>
      </c>
      <c r="P4068">
        <v>0</v>
      </c>
      <c r="Q4068">
        <v>4</v>
      </c>
      <c r="R4068" t="s">
        <v>28</v>
      </c>
      <c r="S4068">
        <v>1</v>
      </c>
    </row>
    <row r="4069" spans="1:19" ht="16.5" x14ac:dyDescent="0.3">
      <c r="A4069" t="s">
        <v>4132</v>
      </c>
      <c r="B4069" s="1">
        <v>45820</v>
      </c>
      <c r="C4069" s="1">
        <v>45821</v>
      </c>
      <c r="D4069">
        <v>2025</v>
      </c>
      <c r="E4069" t="s">
        <v>836</v>
      </c>
      <c r="F4069" t="s">
        <v>1264</v>
      </c>
      <c r="G4069" t="s">
        <v>78</v>
      </c>
      <c r="H4069" t="s">
        <v>52</v>
      </c>
      <c r="I4069" t="s">
        <v>40</v>
      </c>
      <c r="J4069" t="s">
        <v>25</v>
      </c>
      <c r="K4069" t="s">
        <v>53</v>
      </c>
      <c r="L4069" t="s">
        <v>44</v>
      </c>
      <c r="M4069">
        <v>1</v>
      </c>
      <c r="N4069" s="2"/>
      <c r="O4069" s="3">
        <v>2010</v>
      </c>
      <c r="P4069">
        <v>0</v>
      </c>
      <c r="Q4069">
        <v>5</v>
      </c>
      <c r="R4069" t="s">
        <v>28</v>
      </c>
      <c r="S4069">
        <v>1</v>
      </c>
    </row>
    <row r="4070" spans="1:19" ht="16.5" x14ac:dyDescent="0.3">
      <c r="A4070" t="s">
        <v>4133</v>
      </c>
      <c r="B4070" s="1">
        <v>45820</v>
      </c>
      <c r="C4070" s="1">
        <v>45822</v>
      </c>
      <c r="D4070">
        <v>2025</v>
      </c>
      <c r="E4070" t="s">
        <v>836</v>
      </c>
      <c r="F4070" t="s">
        <v>1264</v>
      </c>
      <c r="G4070" t="s">
        <v>78</v>
      </c>
      <c r="H4070" t="s">
        <v>52</v>
      </c>
      <c r="I4070" t="s">
        <v>40</v>
      </c>
      <c r="J4070" t="s">
        <v>25</v>
      </c>
      <c r="K4070" t="s">
        <v>26</v>
      </c>
      <c r="L4070" t="s">
        <v>44</v>
      </c>
      <c r="M4070">
        <v>2</v>
      </c>
      <c r="N4070" s="2"/>
      <c r="O4070" s="3">
        <v>2167</v>
      </c>
      <c r="P4070">
        <v>0</v>
      </c>
      <c r="Q4070">
        <v>5</v>
      </c>
      <c r="R4070" t="s">
        <v>33</v>
      </c>
      <c r="S4070">
        <v>1</v>
      </c>
    </row>
    <row r="4071" spans="1:19" ht="16.5" x14ac:dyDescent="0.3">
      <c r="A4071" t="s">
        <v>4134</v>
      </c>
      <c r="B4071" s="1">
        <v>45820</v>
      </c>
      <c r="C4071" s="1">
        <v>45823</v>
      </c>
      <c r="D4071">
        <v>2025</v>
      </c>
      <c r="E4071" t="s">
        <v>836</v>
      </c>
      <c r="F4071" t="s">
        <v>1264</v>
      </c>
      <c r="G4071" t="s">
        <v>78</v>
      </c>
      <c r="H4071" t="s">
        <v>30</v>
      </c>
      <c r="I4071" t="s">
        <v>40</v>
      </c>
      <c r="J4071" t="s">
        <v>43</v>
      </c>
      <c r="K4071" t="s">
        <v>36</v>
      </c>
      <c r="L4071" t="s">
        <v>37</v>
      </c>
      <c r="M4071">
        <v>3</v>
      </c>
      <c r="N4071" s="2"/>
      <c r="O4071" s="3">
        <v>3082</v>
      </c>
      <c r="P4071">
        <v>0</v>
      </c>
      <c r="Q4071">
        <v>5</v>
      </c>
      <c r="R4071" t="s">
        <v>59</v>
      </c>
      <c r="S4071">
        <v>1</v>
      </c>
    </row>
    <row r="4072" spans="1:19" ht="16.5" x14ac:dyDescent="0.3">
      <c r="A4072" t="s">
        <v>4135</v>
      </c>
      <c r="B4072" s="1">
        <v>45820</v>
      </c>
      <c r="C4072" s="1">
        <v>45825</v>
      </c>
      <c r="D4072">
        <v>2025</v>
      </c>
      <c r="E4072" t="s">
        <v>836</v>
      </c>
      <c r="F4072" t="s">
        <v>1264</v>
      </c>
      <c r="G4072" t="s">
        <v>78</v>
      </c>
      <c r="H4072" t="s">
        <v>35</v>
      </c>
      <c r="I4072" t="s">
        <v>24</v>
      </c>
      <c r="J4072" t="s">
        <v>25</v>
      </c>
      <c r="K4072" t="s">
        <v>32</v>
      </c>
      <c r="L4072" t="s">
        <v>44</v>
      </c>
      <c r="M4072">
        <v>5</v>
      </c>
      <c r="N4072" s="2">
        <v>37</v>
      </c>
      <c r="O4072" s="3">
        <v>4952</v>
      </c>
      <c r="P4072">
        <v>1</v>
      </c>
      <c r="Q4072">
        <v>2</v>
      </c>
      <c r="R4072" t="s">
        <v>33</v>
      </c>
      <c r="S4072">
        <v>1</v>
      </c>
    </row>
    <row r="4073" spans="1:19" ht="16.5" x14ac:dyDescent="0.3">
      <c r="A4073" t="s">
        <v>4136</v>
      </c>
      <c r="B4073" s="1">
        <v>45820</v>
      </c>
      <c r="C4073" s="1">
        <v>45822</v>
      </c>
      <c r="D4073">
        <v>2025</v>
      </c>
      <c r="E4073" t="s">
        <v>836</v>
      </c>
      <c r="F4073" t="s">
        <v>1264</v>
      </c>
      <c r="G4073" t="s">
        <v>78</v>
      </c>
      <c r="H4073" t="s">
        <v>50</v>
      </c>
      <c r="I4073" t="s">
        <v>24</v>
      </c>
      <c r="J4073" t="s">
        <v>25</v>
      </c>
      <c r="K4073" t="s">
        <v>36</v>
      </c>
      <c r="L4073" t="s">
        <v>44</v>
      </c>
      <c r="M4073">
        <v>2</v>
      </c>
      <c r="N4073" s="2">
        <v>101</v>
      </c>
      <c r="O4073" s="3">
        <v>2459</v>
      </c>
      <c r="P4073">
        <v>0</v>
      </c>
      <c r="Q4073">
        <v>4</v>
      </c>
      <c r="R4073" t="s">
        <v>33</v>
      </c>
      <c r="S4073">
        <v>1</v>
      </c>
    </row>
    <row r="4074" spans="1:19" ht="16.5" x14ac:dyDescent="0.3">
      <c r="A4074" t="s">
        <v>4137</v>
      </c>
      <c r="B4074" s="1">
        <v>45820</v>
      </c>
      <c r="C4074" s="1">
        <v>45830</v>
      </c>
      <c r="D4074">
        <v>2025</v>
      </c>
      <c r="E4074" t="s">
        <v>836</v>
      </c>
      <c r="F4074" t="s">
        <v>1264</v>
      </c>
      <c r="G4074" t="s">
        <v>78</v>
      </c>
      <c r="H4074" t="s">
        <v>30</v>
      </c>
      <c r="I4074" t="s">
        <v>40</v>
      </c>
      <c r="J4074" t="s">
        <v>43</v>
      </c>
      <c r="K4074" t="s">
        <v>53</v>
      </c>
      <c r="L4074" t="s">
        <v>44</v>
      </c>
      <c r="M4074">
        <v>10</v>
      </c>
      <c r="N4074" s="2"/>
      <c r="O4074" s="3">
        <v>9252</v>
      </c>
      <c r="P4074">
        <v>0</v>
      </c>
      <c r="Q4074">
        <v>4</v>
      </c>
      <c r="R4074" t="s">
        <v>33</v>
      </c>
      <c r="S4074">
        <v>1</v>
      </c>
    </row>
    <row r="4075" spans="1:19" ht="16.5" x14ac:dyDescent="0.3">
      <c r="A4075" t="s">
        <v>4138</v>
      </c>
      <c r="B4075" s="1">
        <v>45821</v>
      </c>
      <c r="C4075" s="1">
        <v>45830</v>
      </c>
      <c r="D4075">
        <v>2025</v>
      </c>
      <c r="E4075" t="s">
        <v>836</v>
      </c>
      <c r="F4075" t="s">
        <v>1264</v>
      </c>
      <c r="G4075" t="s">
        <v>83</v>
      </c>
      <c r="H4075" t="s">
        <v>52</v>
      </c>
      <c r="I4075" t="s">
        <v>24</v>
      </c>
      <c r="J4075" t="s">
        <v>43</v>
      </c>
      <c r="K4075" t="s">
        <v>26</v>
      </c>
      <c r="L4075" t="s">
        <v>44</v>
      </c>
      <c r="M4075">
        <v>9</v>
      </c>
      <c r="N4075" s="2">
        <v>24</v>
      </c>
      <c r="O4075" s="3">
        <v>7921</v>
      </c>
      <c r="P4075">
        <v>0</v>
      </c>
      <c r="Q4075">
        <v>4</v>
      </c>
      <c r="R4075" t="s">
        <v>33</v>
      </c>
      <c r="S4075">
        <v>1</v>
      </c>
    </row>
    <row r="4076" spans="1:19" ht="16.5" x14ac:dyDescent="0.3">
      <c r="A4076" t="s">
        <v>4139</v>
      </c>
      <c r="B4076" s="1">
        <v>45821</v>
      </c>
      <c r="C4076" s="1">
        <v>45833</v>
      </c>
      <c r="D4076">
        <v>2025</v>
      </c>
      <c r="E4076" t="s">
        <v>836</v>
      </c>
      <c r="F4076" t="s">
        <v>1264</v>
      </c>
      <c r="G4076" t="s">
        <v>83</v>
      </c>
      <c r="H4076" t="s">
        <v>23</v>
      </c>
      <c r="I4076" t="s">
        <v>40</v>
      </c>
      <c r="J4076" t="s">
        <v>25</v>
      </c>
      <c r="K4076" t="s">
        <v>26</v>
      </c>
      <c r="L4076" t="s">
        <v>27</v>
      </c>
      <c r="M4076">
        <v>12</v>
      </c>
      <c r="N4076" s="2"/>
      <c r="O4076" s="3">
        <v>8671</v>
      </c>
      <c r="P4076">
        <v>0</v>
      </c>
      <c r="Q4076">
        <v>4</v>
      </c>
      <c r="R4076" t="s">
        <v>33</v>
      </c>
      <c r="S4076">
        <v>1</v>
      </c>
    </row>
    <row r="4077" spans="1:19" ht="16.5" x14ac:dyDescent="0.3">
      <c r="A4077" t="s">
        <v>4140</v>
      </c>
      <c r="B4077" s="1">
        <v>45821</v>
      </c>
      <c r="C4077" s="1">
        <v>45823</v>
      </c>
      <c r="D4077">
        <v>2025</v>
      </c>
      <c r="E4077" t="s">
        <v>836</v>
      </c>
      <c r="F4077" t="s">
        <v>1264</v>
      </c>
      <c r="G4077" t="s">
        <v>83</v>
      </c>
      <c r="H4077" t="s">
        <v>30</v>
      </c>
      <c r="I4077" t="s">
        <v>24</v>
      </c>
      <c r="J4077" t="s">
        <v>25</v>
      </c>
      <c r="K4077" t="s">
        <v>53</v>
      </c>
      <c r="L4077" t="s">
        <v>27</v>
      </c>
      <c r="M4077">
        <v>2</v>
      </c>
      <c r="N4077" s="2">
        <v>22</v>
      </c>
      <c r="O4077" s="3">
        <v>2843</v>
      </c>
      <c r="P4077">
        <v>0</v>
      </c>
      <c r="Q4077">
        <v>4</v>
      </c>
      <c r="R4077" t="s">
        <v>33</v>
      </c>
      <c r="S4077">
        <v>1</v>
      </c>
    </row>
    <row r="4078" spans="1:19" ht="16.5" x14ac:dyDescent="0.3">
      <c r="A4078" t="s">
        <v>4141</v>
      </c>
      <c r="B4078" s="1">
        <v>45821</v>
      </c>
      <c r="C4078" s="1">
        <v>45825</v>
      </c>
      <c r="D4078">
        <v>2025</v>
      </c>
      <c r="E4078" t="s">
        <v>836</v>
      </c>
      <c r="F4078" t="s">
        <v>1264</v>
      </c>
      <c r="G4078" t="s">
        <v>83</v>
      </c>
      <c r="H4078" t="s">
        <v>52</v>
      </c>
      <c r="I4078" t="s">
        <v>40</v>
      </c>
      <c r="J4078" t="s">
        <v>25</v>
      </c>
      <c r="K4078" t="s">
        <v>26</v>
      </c>
      <c r="L4078" t="s">
        <v>27</v>
      </c>
      <c r="M4078">
        <v>4</v>
      </c>
      <c r="N4078" s="2"/>
      <c r="O4078" s="3">
        <v>4185</v>
      </c>
      <c r="P4078">
        <v>0</v>
      </c>
      <c r="Q4078">
        <v>5</v>
      </c>
      <c r="R4078" t="s">
        <v>33</v>
      </c>
      <c r="S4078">
        <v>1</v>
      </c>
    </row>
    <row r="4079" spans="1:19" ht="16.5" x14ac:dyDescent="0.3">
      <c r="A4079" t="s">
        <v>4142</v>
      </c>
      <c r="B4079" s="1">
        <v>45821</v>
      </c>
      <c r="C4079" s="1">
        <v>45827</v>
      </c>
      <c r="D4079">
        <v>2025</v>
      </c>
      <c r="E4079" t="s">
        <v>836</v>
      </c>
      <c r="F4079" t="s">
        <v>1264</v>
      </c>
      <c r="G4079" t="s">
        <v>83</v>
      </c>
      <c r="H4079" t="s">
        <v>23</v>
      </c>
      <c r="I4079" t="s">
        <v>24</v>
      </c>
      <c r="J4079" t="s">
        <v>43</v>
      </c>
      <c r="K4079" t="s">
        <v>32</v>
      </c>
      <c r="L4079" t="s">
        <v>27</v>
      </c>
      <c r="M4079">
        <v>6</v>
      </c>
      <c r="N4079" s="2">
        <v>15</v>
      </c>
      <c r="O4079" s="3">
        <v>3559</v>
      </c>
      <c r="P4079">
        <v>0</v>
      </c>
      <c r="Q4079">
        <v>4</v>
      </c>
      <c r="R4079" t="s">
        <v>33</v>
      </c>
      <c r="S4079">
        <v>1</v>
      </c>
    </row>
    <row r="4080" spans="1:19" ht="16.5" x14ac:dyDescent="0.3">
      <c r="A4080" t="s">
        <v>4143</v>
      </c>
      <c r="B4080" s="1">
        <v>45821</v>
      </c>
      <c r="C4080" s="1">
        <v>45825</v>
      </c>
      <c r="D4080">
        <v>2025</v>
      </c>
      <c r="E4080" t="s">
        <v>836</v>
      </c>
      <c r="F4080" t="s">
        <v>1264</v>
      </c>
      <c r="G4080" t="s">
        <v>83</v>
      </c>
      <c r="H4080" t="s">
        <v>23</v>
      </c>
      <c r="I4080" t="s">
        <v>24</v>
      </c>
      <c r="J4080" t="s">
        <v>43</v>
      </c>
      <c r="K4080" t="s">
        <v>53</v>
      </c>
      <c r="L4080" t="s">
        <v>44</v>
      </c>
      <c r="M4080">
        <v>4</v>
      </c>
      <c r="N4080" s="2">
        <v>37</v>
      </c>
      <c r="O4080" s="3">
        <v>3585</v>
      </c>
      <c r="P4080">
        <v>0</v>
      </c>
      <c r="Q4080">
        <v>4</v>
      </c>
      <c r="R4080" t="s">
        <v>33</v>
      </c>
      <c r="S4080">
        <v>1</v>
      </c>
    </row>
    <row r="4081" spans="1:19" ht="16.5" x14ac:dyDescent="0.3">
      <c r="A4081" t="s">
        <v>4144</v>
      </c>
      <c r="B4081" s="1">
        <v>45821</v>
      </c>
      <c r="C4081" s="1">
        <v>45826</v>
      </c>
      <c r="D4081">
        <v>2025</v>
      </c>
      <c r="E4081" t="s">
        <v>836</v>
      </c>
      <c r="F4081" t="s">
        <v>1264</v>
      </c>
      <c r="G4081" t="s">
        <v>83</v>
      </c>
      <c r="H4081" t="s">
        <v>23</v>
      </c>
      <c r="I4081" t="s">
        <v>24</v>
      </c>
      <c r="J4081" t="s">
        <v>43</v>
      </c>
      <c r="K4081" t="s">
        <v>26</v>
      </c>
      <c r="L4081" t="s">
        <v>44</v>
      </c>
      <c r="M4081">
        <v>5</v>
      </c>
      <c r="N4081" s="2">
        <v>100</v>
      </c>
      <c r="O4081" s="3">
        <v>3647</v>
      </c>
      <c r="P4081">
        <v>0</v>
      </c>
      <c r="Q4081">
        <v>3</v>
      </c>
      <c r="R4081" t="s">
        <v>28</v>
      </c>
      <c r="S4081">
        <v>1</v>
      </c>
    </row>
    <row r="4082" spans="1:19" ht="16.5" x14ac:dyDescent="0.3">
      <c r="A4082" t="s">
        <v>4145</v>
      </c>
      <c r="B4082" s="1">
        <v>45821</v>
      </c>
      <c r="C4082" s="1">
        <v>45825</v>
      </c>
      <c r="D4082">
        <v>2025</v>
      </c>
      <c r="E4082" t="s">
        <v>836</v>
      </c>
      <c r="F4082" t="s">
        <v>1264</v>
      </c>
      <c r="G4082" t="s">
        <v>83</v>
      </c>
      <c r="H4082" t="s">
        <v>30</v>
      </c>
      <c r="I4082" t="s">
        <v>40</v>
      </c>
      <c r="J4082" t="s">
        <v>43</v>
      </c>
      <c r="K4082" t="s">
        <v>53</v>
      </c>
      <c r="L4082" t="s">
        <v>27</v>
      </c>
      <c r="M4082">
        <v>4</v>
      </c>
      <c r="N4082" s="2"/>
      <c r="O4082" s="3">
        <v>4085</v>
      </c>
      <c r="P4082">
        <v>0</v>
      </c>
      <c r="Q4082">
        <v>3</v>
      </c>
      <c r="R4082" t="s">
        <v>28</v>
      </c>
      <c r="S4082">
        <v>1</v>
      </c>
    </row>
    <row r="4083" spans="1:19" ht="16.5" x14ac:dyDescent="0.3">
      <c r="A4083" t="s">
        <v>4146</v>
      </c>
      <c r="B4083" s="1">
        <v>45821</v>
      </c>
      <c r="C4083" s="1">
        <v>45824</v>
      </c>
      <c r="D4083">
        <v>2025</v>
      </c>
      <c r="E4083" t="s">
        <v>836</v>
      </c>
      <c r="F4083" t="s">
        <v>1264</v>
      </c>
      <c r="G4083" t="s">
        <v>83</v>
      </c>
      <c r="H4083" t="s">
        <v>30</v>
      </c>
      <c r="I4083" t="s">
        <v>24</v>
      </c>
      <c r="J4083" t="s">
        <v>43</v>
      </c>
      <c r="K4083" t="s">
        <v>36</v>
      </c>
      <c r="L4083" t="s">
        <v>44</v>
      </c>
      <c r="M4083">
        <v>3</v>
      </c>
      <c r="N4083" s="2">
        <v>34</v>
      </c>
      <c r="O4083" s="3">
        <v>2574</v>
      </c>
      <c r="P4083">
        <v>0</v>
      </c>
      <c r="Q4083">
        <v>5</v>
      </c>
      <c r="R4083" t="s">
        <v>33</v>
      </c>
      <c r="S4083">
        <v>1</v>
      </c>
    </row>
    <row r="4084" spans="1:19" ht="16.5" x14ac:dyDescent="0.3">
      <c r="A4084" t="s">
        <v>4147</v>
      </c>
      <c r="B4084" s="1">
        <v>45821</v>
      </c>
      <c r="C4084" s="1">
        <v>45823</v>
      </c>
      <c r="D4084">
        <v>2025</v>
      </c>
      <c r="E4084" t="s">
        <v>836</v>
      </c>
      <c r="F4084" t="s">
        <v>1264</v>
      </c>
      <c r="G4084" t="s">
        <v>83</v>
      </c>
      <c r="H4084" t="s">
        <v>50</v>
      </c>
      <c r="I4084" t="s">
        <v>24</v>
      </c>
      <c r="J4084" t="s">
        <v>25</v>
      </c>
      <c r="K4084" t="s">
        <v>53</v>
      </c>
      <c r="L4084" t="s">
        <v>44</v>
      </c>
      <c r="M4084">
        <v>2</v>
      </c>
      <c r="N4084" s="2">
        <v>58</v>
      </c>
      <c r="O4084" s="3">
        <v>2886</v>
      </c>
      <c r="P4084">
        <v>0</v>
      </c>
      <c r="Q4084">
        <v>4</v>
      </c>
      <c r="R4084" t="s">
        <v>28</v>
      </c>
      <c r="S4084">
        <v>1</v>
      </c>
    </row>
    <row r="4085" spans="1:19" ht="16.5" x14ac:dyDescent="0.3">
      <c r="A4085" t="s">
        <v>4148</v>
      </c>
      <c r="B4085" s="1">
        <v>45821</v>
      </c>
      <c r="C4085" s="1">
        <v>45824</v>
      </c>
      <c r="D4085">
        <v>2025</v>
      </c>
      <c r="E4085" t="s">
        <v>836</v>
      </c>
      <c r="F4085" t="s">
        <v>1264</v>
      </c>
      <c r="G4085" t="s">
        <v>83</v>
      </c>
      <c r="H4085" t="s">
        <v>23</v>
      </c>
      <c r="I4085" t="s">
        <v>24</v>
      </c>
      <c r="J4085" t="s">
        <v>25</v>
      </c>
      <c r="K4085" t="s">
        <v>26</v>
      </c>
      <c r="L4085" t="s">
        <v>27</v>
      </c>
      <c r="M4085">
        <v>3</v>
      </c>
      <c r="N4085" s="2">
        <v>206</v>
      </c>
      <c r="O4085" s="3">
        <v>2894</v>
      </c>
      <c r="P4085">
        <v>0</v>
      </c>
      <c r="Q4085">
        <v>2</v>
      </c>
      <c r="R4085" t="s">
        <v>33</v>
      </c>
      <c r="S4085">
        <v>1</v>
      </c>
    </row>
    <row r="4086" spans="1:19" ht="16.5" x14ac:dyDescent="0.3">
      <c r="A4086" t="s">
        <v>4149</v>
      </c>
      <c r="B4086" s="1">
        <v>45822</v>
      </c>
      <c r="C4086" s="1">
        <v>45823</v>
      </c>
      <c r="D4086">
        <v>2025</v>
      </c>
      <c r="E4086" t="s">
        <v>836</v>
      </c>
      <c r="F4086" t="s">
        <v>1264</v>
      </c>
      <c r="G4086" t="s">
        <v>102</v>
      </c>
      <c r="H4086" t="s">
        <v>35</v>
      </c>
      <c r="I4086" t="s">
        <v>24</v>
      </c>
      <c r="J4086" t="s">
        <v>25</v>
      </c>
      <c r="K4086" t="s">
        <v>32</v>
      </c>
      <c r="L4086" t="s">
        <v>44</v>
      </c>
      <c r="M4086">
        <v>1</v>
      </c>
      <c r="N4086" s="2">
        <v>56</v>
      </c>
      <c r="O4086" s="3">
        <v>1619</v>
      </c>
      <c r="P4086">
        <v>0</v>
      </c>
      <c r="Q4086">
        <v>4</v>
      </c>
      <c r="R4086" t="s">
        <v>33</v>
      </c>
      <c r="S4086">
        <v>1</v>
      </c>
    </row>
    <row r="4087" spans="1:19" ht="16.5" x14ac:dyDescent="0.3">
      <c r="A4087" t="s">
        <v>4150</v>
      </c>
      <c r="B4087" s="1">
        <v>45822</v>
      </c>
      <c r="C4087" s="1">
        <v>45826</v>
      </c>
      <c r="D4087">
        <v>2025</v>
      </c>
      <c r="E4087" t="s">
        <v>836</v>
      </c>
      <c r="F4087" t="s">
        <v>1264</v>
      </c>
      <c r="G4087" t="s">
        <v>102</v>
      </c>
      <c r="H4087" t="s">
        <v>30</v>
      </c>
      <c r="I4087" t="s">
        <v>40</v>
      </c>
      <c r="J4087" t="s">
        <v>25</v>
      </c>
      <c r="K4087" t="s">
        <v>36</v>
      </c>
      <c r="L4087" t="s">
        <v>44</v>
      </c>
      <c r="M4087">
        <v>4</v>
      </c>
      <c r="N4087" s="2"/>
      <c r="O4087" s="3">
        <v>5320</v>
      </c>
      <c r="P4087">
        <v>0</v>
      </c>
      <c r="Q4087">
        <v>5</v>
      </c>
      <c r="R4087" t="s">
        <v>28</v>
      </c>
      <c r="S4087">
        <v>1</v>
      </c>
    </row>
    <row r="4088" spans="1:19" ht="16.5" x14ac:dyDescent="0.3">
      <c r="A4088" t="s">
        <v>4151</v>
      </c>
      <c r="B4088" s="1">
        <v>45822</v>
      </c>
      <c r="C4088" s="1">
        <v>45823</v>
      </c>
      <c r="D4088">
        <v>2025</v>
      </c>
      <c r="E4088" t="s">
        <v>836</v>
      </c>
      <c r="F4088" t="s">
        <v>1264</v>
      </c>
      <c r="G4088" t="s">
        <v>102</v>
      </c>
      <c r="H4088" t="s">
        <v>35</v>
      </c>
      <c r="I4088" t="s">
        <v>24</v>
      </c>
      <c r="J4088" t="s">
        <v>25</v>
      </c>
      <c r="K4088" t="s">
        <v>32</v>
      </c>
      <c r="L4088" t="s">
        <v>44</v>
      </c>
      <c r="M4088">
        <v>1</v>
      </c>
      <c r="N4088" s="2">
        <v>31</v>
      </c>
      <c r="O4088" s="3">
        <v>1537</v>
      </c>
      <c r="P4088">
        <v>0</v>
      </c>
      <c r="Q4088">
        <v>4</v>
      </c>
      <c r="R4088" t="s">
        <v>33</v>
      </c>
      <c r="S4088">
        <v>1</v>
      </c>
    </row>
    <row r="4089" spans="1:19" ht="16.5" x14ac:dyDescent="0.3">
      <c r="A4089" t="s">
        <v>4152</v>
      </c>
      <c r="B4089" s="1">
        <v>45822</v>
      </c>
      <c r="C4089" s="1">
        <v>45829</v>
      </c>
      <c r="D4089">
        <v>2025</v>
      </c>
      <c r="E4089" t="s">
        <v>836</v>
      </c>
      <c r="F4089" t="s">
        <v>1264</v>
      </c>
      <c r="G4089" t="s">
        <v>102</v>
      </c>
      <c r="H4089" t="s">
        <v>52</v>
      </c>
      <c r="I4089" t="s">
        <v>24</v>
      </c>
      <c r="J4089" t="s">
        <v>43</v>
      </c>
      <c r="K4089" t="s">
        <v>26</v>
      </c>
      <c r="L4089" t="s">
        <v>27</v>
      </c>
      <c r="M4089">
        <v>7</v>
      </c>
      <c r="N4089" s="2">
        <v>68</v>
      </c>
      <c r="O4089" s="3">
        <v>6600</v>
      </c>
      <c r="P4089">
        <v>0</v>
      </c>
      <c r="Q4089">
        <v>3</v>
      </c>
      <c r="R4089" t="s">
        <v>33</v>
      </c>
      <c r="S4089">
        <v>1</v>
      </c>
    </row>
    <row r="4090" spans="1:19" ht="16.5" x14ac:dyDescent="0.3">
      <c r="A4090" t="s">
        <v>4153</v>
      </c>
      <c r="B4090" s="1">
        <v>45822</v>
      </c>
      <c r="C4090" s="1">
        <v>45825</v>
      </c>
      <c r="D4090">
        <v>2025</v>
      </c>
      <c r="E4090" t="s">
        <v>836</v>
      </c>
      <c r="F4090" t="s">
        <v>1264</v>
      </c>
      <c r="G4090" t="s">
        <v>102</v>
      </c>
      <c r="H4090" t="s">
        <v>30</v>
      </c>
      <c r="I4090" t="s">
        <v>40</v>
      </c>
      <c r="J4090" t="s">
        <v>25</v>
      </c>
      <c r="K4090" t="s">
        <v>32</v>
      </c>
      <c r="L4090" t="s">
        <v>44</v>
      </c>
      <c r="M4090">
        <v>3</v>
      </c>
      <c r="N4090" s="2"/>
      <c r="O4090" s="3">
        <v>3440</v>
      </c>
      <c r="P4090">
        <v>1</v>
      </c>
      <c r="Q4090">
        <v>3</v>
      </c>
      <c r="R4090" t="s">
        <v>33</v>
      </c>
      <c r="S4090">
        <v>1</v>
      </c>
    </row>
    <row r="4091" spans="1:19" ht="16.5" x14ac:dyDescent="0.3">
      <c r="A4091" t="s">
        <v>4154</v>
      </c>
      <c r="B4091" s="1">
        <v>45823</v>
      </c>
      <c r="C4091" s="1">
        <v>45825</v>
      </c>
      <c r="D4091">
        <v>2025</v>
      </c>
      <c r="E4091" t="s">
        <v>836</v>
      </c>
      <c r="F4091" t="s">
        <v>1264</v>
      </c>
      <c r="G4091" t="s">
        <v>112</v>
      </c>
      <c r="H4091" t="s">
        <v>39</v>
      </c>
      <c r="I4091" t="s">
        <v>24</v>
      </c>
      <c r="J4091" t="s">
        <v>25</v>
      </c>
      <c r="K4091" t="s">
        <v>41</v>
      </c>
      <c r="L4091" t="s">
        <v>44</v>
      </c>
      <c r="M4091">
        <v>2</v>
      </c>
      <c r="N4091" s="2">
        <v>33</v>
      </c>
      <c r="O4091" s="3">
        <v>1821</v>
      </c>
      <c r="P4091">
        <v>0</v>
      </c>
      <c r="Q4091">
        <v>4</v>
      </c>
      <c r="R4091" t="s">
        <v>33</v>
      </c>
      <c r="S4091">
        <v>1</v>
      </c>
    </row>
    <row r="4092" spans="1:19" ht="16.5" x14ac:dyDescent="0.3">
      <c r="A4092" t="s">
        <v>4155</v>
      </c>
      <c r="B4092" s="1">
        <v>45823</v>
      </c>
      <c r="C4092" s="1">
        <v>45829</v>
      </c>
      <c r="D4092">
        <v>2025</v>
      </c>
      <c r="E4092" t="s">
        <v>836</v>
      </c>
      <c r="F4092" t="s">
        <v>1264</v>
      </c>
      <c r="G4092" t="s">
        <v>112</v>
      </c>
      <c r="H4092" t="s">
        <v>30</v>
      </c>
      <c r="I4092" t="s">
        <v>40</v>
      </c>
      <c r="J4092" t="s">
        <v>43</v>
      </c>
      <c r="K4092" t="s">
        <v>53</v>
      </c>
      <c r="L4092" t="s">
        <v>27</v>
      </c>
      <c r="M4092">
        <v>6</v>
      </c>
      <c r="N4092" s="2"/>
      <c r="O4092" s="3">
        <v>7778</v>
      </c>
      <c r="P4092">
        <v>0</v>
      </c>
      <c r="Q4092">
        <v>4</v>
      </c>
      <c r="R4092" t="s">
        <v>28</v>
      </c>
      <c r="S4092">
        <v>1</v>
      </c>
    </row>
    <row r="4093" spans="1:19" ht="16.5" x14ac:dyDescent="0.3">
      <c r="A4093" t="s">
        <v>4156</v>
      </c>
      <c r="B4093" s="1">
        <v>45823</v>
      </c>
      <c r="C4093" s="1">
        <v>45827</v>
      </c>
      <c r="D4093">
        <v>2025</v>
      </c>
      <c r="E4093" t="s">
        <v>836</v>
      </c>
      <c r="F4093" t="s">
        <v>1264</v>
      </c>
      <c r="G4093" t="s">
        <v>112</v>
      </c>
      <c r="H4093" t="s">
        <v>30</v>
      </c>
      <c r="I4093" t="s">
        <v>24</v>
      </c>
      <c r="J4093" t="s">
        <v>25</v>
      </c>
      <c r="K4093" t="s">
        <v>53</v>
      </c>
      <c r="L4093" t="s">
        <v>27</v>
      </c>
      <c r="M4093">
        <v>4</v>
      </c>
      <c r="N4093" s="2">
        <v>32</v>
      </c>
      <c r="O4093" s="3">
        <v>4548</v>
      </c>
      <c r="P4093">
        <v>0</v>
      </c>
      <c r="Q4093">
        <v>4</v>
      </c>
      <c r="R4093" t="s">
        <v>28</v>
      </c>
      <c r="S4093">
        <v>1</v>
      </c>
    </row>
    <row r="4094" spans="1:19" ht="16.5" x14ac:dyDescent="0.3">
      <c r="A4094" t="s">
        <v>4157</v>
      </c>
      <c r="B4094" s="1">
        <v>45823</v>
      </c>
      <c r="C4094" s="1">
        <v>45825</v>
      </c>
      <c r="D4094">
        <v>2025</v>
      </c>
      <c r="E4094" t="s">
        <v>836</v>
      </c>
      <c r="F4094" t="s">
        <v>1264</v>
      </c>
      <c r="G4094" t="s">
        <v>112</v>
      </c>
      <c r="H4094" t="s">
        <v>39</v>
      </c>
      <c r="I4094" t="s">
        <v>24</v>
      </c>
      <c r="J4094" t="s">
        <v>43</v>
      </c>
      <c r="K4094" t="s">
        <v>41</v>
      </c>
      <c r="L4094" t="s">
        <v>44</v>
      </c>
      <c r="M4094">
        <v>2</v>
      </c>
      <c r="N4094" s="2">
        <v>27</v>
      </c>
      <c r="O4094" s="3">
        <v>2216</v>
      </c>
      <c r="P4094">
        <v>0</v>
      </c>
      <c r="Q4094">
        <v>5</v>
      </c>
      <c r="R4094" t="s">
        <v>33</v>
      </c>
      <c r="S4094">
        <v>1</v>
      </c>
    </row>
    <row r="4095" spans="1:19" ht="16.5" x14ac:dyDescent="0.3">
      <c r="A4095" t="s">
        <v>4158</v>
      </c>
      <c r="B4095" s="1">
        <v>45824</v>
      </c>
      <c r="C4095" s="1">
        <v>45825</v>
      </c>
      <c r="D4095">
        <v>2025</v>
      </c>
      <c r="E4095" t="s">
        <v>836</v>
      </c>
      <c r="F4095" t="s">
        <v>1264</v>
      </c>
      <c r="G4095" t="s">
        <v>22</v>
      </c>
      <c r="H4095" t="s">
        <v>39</v>
      </c>
      <c r="I4095" t="s">
        <v>24</v>
      </c>
      <c r="J4095" t="s">
        <v>43</v>
      </c>
      <c r="K4095" t="s">
        <v>41</v>
      </c>
      <c r="L4095" t="s">
        <v>27</v>
      </c>
      <c r="M4095">
        <v>1</v>
      </c>
      <c r="N4095" s="2">
        <v>61</v>
      </c>
      <c r="O4095" s="3">
        <v>1527</v>
      </c>
      <c r="P4095">
        <v>0</v>
      </c>
      <c r="Q4095">
        <v>5</v>
      </c>
      <c r="R4095" t="s">
        <v>33</v>
      </c>
      <c r="S4095">
        <v>1</v>
      </c>
    </row>
    <row r="4096" spans="1:19" ht="16.5" x14ac:dyDescent="0.3">
      <c r="A4096" t="s">
        <v>4159</v>
      </c>
      <c r="B4096" s="1">
        <v>45824</v>
      </c>
      <c r="C4096" s="1">
        <v>45828</v>
      </c>
      <c r="D4096">
        <v>2025</v>
      </c>
      <c r="E4096" t="s">
        <v>836</v>
      </c>
      <c r="F4096" t="s">
        <v>1264</v>
      </c>
      <c r="G4096" t="s">
        <v>22</v>
      </c>
      <c r="H4096" t="s">
        <v>39</v>
      </c>
      <c r="I4096" t="s">
        <v>40</v>
      </c>
      <c r="J4096" t="s">
        <v>43</v>
      </c>
      <c r="K4096" t="s">
        <v>41</v>
      </c>
      <c r="L4096" t="s">
        <v>37</v>
      </c>
      <c r="M4096">
        <v>4</v>
      </c>
      <c r="N4096" s="2"/>
      <c r="O4096" s="3">
        <v>2778</v>
      </c>
      <c r="P4096">
        <v>0</v>
      </c>
      <c r="Q4096">
        <v>4</v>
      </c>
      <c r="R4096" t="s">
        <v>33</v>
      </c>
      <c r="S4096">
        <v>1</v>
      </c>
    </row>
    <row r="4097" spans="1:19" ht="16.5" x14ac:dyDescent="0.3">
      <c r="A4097" t="s">
        <v>4160</v>
      </c>
      <c r="B4097" s="1">
        <v>45824</v>
      </c>
      <c r="C4097" s="1">
        <v>45828</v>
      </c>
      <c r="D4097">
        <v>2025</v>
      </c>
      <c r="E4097" t="s">
        <v>836</v>
      </c>
      <c r="F4097" t="s">
        <v>1264</v>
      </c>
      <c r="G4097" t="s">
        <v>22</v>
      </c>
      <c r="H4097" t="s">
        <v>39</v>
      </c>
      <c r="I4097" t="s">
        <v>24</v>
      </c>
      <c r="J4097" t="s">
        <v>43</v>
      </c>
      <c r="K4097" t="s">
        <v>41</v>
      </c>
      <c r="L4097" t="s">
        <v>44</v>
      </c>
      <c r="M4097">
        <v>4</v>
      </c>
      <c r="N4097" s="2">
        <v>24</v>
      </c>
      <c r="O4097" s="3">
        <v>2405</v>
      </c>
      <c r="P4097">
        <v>1</v>
      </c>
      <c r="Q4097">
        <v>4</v>
      </c>
      <c r="R4097" t="s">
        <v>33</v>
      </c>
      <c r="S4097">
        <v>1</v>
      </c>
    </row>
    <row r="4098" spans="1:19" ht="16.5" x14ac:dyDescent="0.3">
      <c r="A4098" t="s">
        <v>4161</v>
      </c>
      <c r="B4098" s="1">
        <v>45824</v>
      </c>
      <c r="C4098" s="1">
        <v>45830</v>
      </c>
      <c r="D4098">
        <v>2025</v>
      </c>
      <c r="E4098" t="s">
        <v>836</v>
      </c>
      <c r="F4098" t="s">
        <v>1264</v>
      </c>
      <c r="G4098" t="s">
        <v>22</v>
      </c>
      <c r="H4098" t="s">
        <v>50</v>
      </c>
      <c r="I4098" t="s">
        <v>24</v>
      </c>
      <c r="J4098" t="s">
        <v>25</v>
      </c>
      <c r="K4098" t="s">
        <v>32</v>
      </c>
      <c r="L4098" t="s">
        <v>27</v>
      </c>
      <c r="M4098">
        <v>6</v>
      </c>
      <c r="N4098" s="2">
        <v>143</v>
      </c>
      <c r="O4098" s="3">
        <v>8031</v>
      </c>
      <c r="P4098">
        <v>0</v>
      </c>
      <c r="Q4098">
        <v>4</v>
      </c>
      <c r="R4098" t="s">
        <v>33</v>
      </c>
      <c r="S4098">
        <v>1</v>
      </c>
    </row>
    <row r="4099" spans="1:19" ht="16.5" x14ac:dyDescent="0.3">
      <c r="A4099" t="s">
        <v>4162</v>
      </c>
      <c r="B4099" s="1">
        <v>45824</v>
      </c>
      <c r="C4099" s="1">
        <v>45826</v>
      </c>
      <c r="D4099">
        <v>2025</v>
      </c>
      <c r="E4099" t="s">
        <v>836</v>
      </c>
      <c r="F4099" t="s">
        <v>1264</v>
      </c>
      <c r="G4099" t="s">
        <v>22</v>
      </c>
      <c r="H4099" t="s">
        <v>35</v>
      </c>
      <c r="I4099" t="s">
        <v>24</v>
      </c>
      <c r="J4099" t="s">
        <v>25</v>
      </c>
      <c r="K4099" t="s">
        <v>36</v>
      </c>
      <c r="L4099" t="s">
        <v>37</v>
      </c>
      <c r="M4099">
        <v>2</v>
      </c>
      <c r="N4099" s="2">
        <v>62</v>
      </c>
      <c r="O4099" s="3">
        <v>2055</v>
      </c>
      <c r="P4099">
        <v>0</v>
      </c>
      <c r="Q4099">
        <v>4</v>
      </c>
      <c r="R4099" t="s">
        <v>28</v>
      </c>
      <c r="S4099">
        <v>1</v>
      </c>
    </row>
    <row r="4100" spans="1:19" ht="16.5" x14ac:dyDescent="0.3">
      <c r="A4100" t="s">
        <v>4163</v>
      </c>
      <c r="B4100" s="1">
        <v>45825</v>
      </c>
      <c r="C4100" s="1">
        <v>45827</v>
      </c>
      <c r="D4100">
        <v>2025</v>
      </c>
      <c r="E4100" t="s">
        <v>836</v>
      </c>
      <c r="F4100" t="s">
        <v>1264</v>
      </c>
      <c r="G4100" t="s">
        <v>56</v>
      </c>
      <c r="H4100" t="s">
        <v>39</v>
      </c>
      <c r="I4100" t="s">
        <v>40</v>
      </c>
      <c r="J4100" t="s">
        <v>43</v>
      </c>
      <c r="K4100" t="s">
        <v>41</v>
      </c>
      <c r="L4100" t="s">
        <v>44</v>
      </c>
      <c r="M4100">
        <v>2</v>
      </c>
      <c r="N4100" s="2"/>
      <c r="O4100" s="3">
        <v>2023</v>
      </c>
      <c r="P4100">
        <v>0</v>
      </c>
      <c r="Q4100">
        <v>5</v>
      </c>
      <c r="R4100" t="s">
        <v>33</v>
      </c>
      <c r="S4100">
        <v>1</v>
      </c>
    </row>
    <row r="4101" spans="1:19" ht="16.5" x14ac:dyDescent="0.3">
      <c r="A4101" t="s">
        <v>4164</v>
      </c>
      <c r="B4101" s="1">
        <v>45825</v>
      </c>
      <c r="C4101" s="1">
        <v>45828</v>
      </c>
      <c r="D4101">
        <v>2025</v>
      </c>
      <c r="E4101" t="s">
        <v>836</v>
      </c>
      <c r="F4101" t="s">
        <v>1264</v>
      </c>
      <c r="G4101" t="s">
        <v>56</v>
      </c>
      <c r="H4101" t="s">
        <v>35</v>
      </c>
      <c r="I4101" t="s">
        <v>24</v>
      </c>
      <c r="J4101" t="s">
        <v>25</v>
      </c>
      <c r="K4101" t="s">
        <v>36</v>
      </c>
      <c r="L4101" t="s">
        <v>44</v>
      </c>
      <c r="M4101">
        <v>3</v>
      </c>
      <c r="N4101" s="2">
        <v>35</v>
      </c>
      <c r="O4101" s="3">
        <v>2877</v>
      </c>
      <c r="P4101">
        <v>0</v>
      </c>
      <c r="Q4101">
        <v>3</v>
      </c>
      <c r="R4101" t="s">
        <v>28</v>
      </c>
      <c r="S4101">
        <v>1</v>
      </c>
    </row>
    <row r="4102" spans="1:19" ht="16.5" x14ac:dyDescent="0.3">
      <c r="A4102" t="s">
        <v>4165</v>
      </c>
      <c r="B4102" s="1">
        <v>45825</v>
      </c>
      <c r="C4102" s="1">
        <v>45830</v>
      </c>
      <c r="D4102">
        <v>2025</v>
      </c>
      <c r="E4102" t="s">
        <v>836</v>
      </c>
      <c r="F4102" t="s">
        <v>1264</v>
      </c>
      <c r="G4102" t="s">
        <v>56</v>
      </c>
      <c r="H4102" t="s">
        <v>35</v>
      </c>
      <c r="I4102" t="s">
        <v>24</v>
      </c>
      <c r="J4102" t="s">
        <v>25</v>
      </c>
      <c r="K4102" t="s">
        <v>32</v>
      </c>
      <c r="L4102" t="s">
        <v>44</v>
      </c>
      <c r="M4102">
        <v>5</v>
      </c>
      <c r="N4102" s="2">
        <v>33</v>
      </c>
      <c r="O4102" s="3">
        <v>4192</v>
      </c>
      <c r="P4102">
        <v>0</v>
      </c>
      <c r="Q4102">
        <v>3</v>
      </c>
      <c r="R4102" t="s">
        <v>59</v>
      </c>
      <c r="S4102">
        <v>1</v>
      </c>
    </row>
    <row r="4103" spans="1:19" ht="16.5" x14ac:dyDescent="0.3">
      <c r="A4103" t="s">
        <v>4166</v>
      </c>
      <c r="B4103" s="1">
        <v>45825</v>
      </c>
      <c r="C4103" s="1">
        <v>45831</v>
      </c>
      <c r="D4103">
        <v>2025</v>
      </c>
      <c r="E4103" t="s">
        <v>836</v>
      </c>
      <c r="F4103" t="s">
        <v>1264</v>
      </c>
      <c r="G4103" t="s">
        <v>56</v>
      </c>
      <c r="H4103" t="s">
        <v>39</v>
      </c>
      <c r="I4103" t="s">
        <v>24</v>
      </c>
      <c r="J4103" t="s">
        <v>25</v>
      </c>
      <c r="K4103" t="s">
        <v>41</v>
      </c>
      <c r="L4103" t="s">
        <v>27</v>
      </c>
      <c r="M4103">
        <v>6</v>
      </c>
      <c r="N4103" s="2">
        <v>48</v>
      </c>
      <c r="O4103" s="3">
        <v>5780</v>
      </c>
      <c r="P4103">
        <v>0</v>
      </c>
      <c r="Q4103">
        <v>4</v>
      </c>
      <c r="R4103" t="s">
        <v>33</v>
      </c>
      <c r="S4103">
        <v>1</v>
      </c>
    </row>
    <row r="4104" spans="1:19" ht="16.5" x14ac:dyDescent="0.3">
      <c r="A4104" t="s">
        <v>4167</v>
      </c>
      <c r="B4104" s="1">
        <v>45825</v>
      </c>
      <c r="C4104" s="1">
        <v>45840</v>
      </c>
      <c r="D4104">
        <v>2025</v>
      </c>
      <c r="E4104" t="s">
        <v>836</v>
      </c>
      <c r="F4104" t="s">
        <v>1264</v>
      </c>
      <c r="G4104" t="s">
        <v>56</v>
      </c>
      <c r="H4104" t="s">
        <v>23</v>
      </c>
      <c r="I4104" t="s">
        <v>24</v>
      </c>
      <c r="J4104" t="s">
        <v>43</v>
      </c>
      <c r="K4104" t="s">
        <v>32</v>
      </c>
      <c r="L4104" t="s">
        <v>27</v>
      </c>
      <c r="M4104">
        <v>15</v>
      </c>
      <c r="N4104" s="2">
        <v>63</v>
      </c>
      <c r="O4104" s="3">
        <v>8629</v>
      </c>
      <c r="P4104">
        <v>0</v>
      </c>
      <c r="Q4104">
        <v>4</v>
      </c>
      <c r="R4104" t="s">
        <v>33</v>
      </c>
      <c r="S4104">
        <v>1</v>
      </c>
    </row>
    <row r="4105" spans="1:19" ht="16.5" x14ac:dyDescent="0.3">
      <c r="A4105" t="s">
        <v>4168</v>
      </c>
      <c r="B4105" s="1">
        <v>45825</v>
      </c>
      <c r="C4105" s="1">
        <v>45829</v>
      </c>
      <c r="D4105">
        <v>2025</v>
      </c>
      <c r="E4105" t="s">
        <v>836</v>
      </c>
      <c r="F4105" t="s">
        <v>1264</v>
      </c>
      <c r="G4105" t="s">
        <v>56</v>
      </c>
      <c r="H4105" t="s">
        <v>35</v>
      </c>
      <c r="I4105" t="s">
        <v>24</v>
      </c>
      <c r="J4105" t="s">
        <v>25</v>
      </c>
      <c r="K4105" t="s">
        <v>32</v>
      </c>
      <c r="L4105" t="s">
        <v>44</v>
      </c>
      <c r="M4105">
        <v>4</v>
      </c>
      <c r="N4105" s="2">
        <v>37</v>
      </c>
      <c r="O4105" s="3">
        <v>3312</v>
      </c>
      <c r="P4105">
        <v>0</v>
      </c>
      <c r="Q4105">
        <v>5</v>
      </c>
      <c r="R4105" t="s">
        <v>33</v>
      </c>
      <c r="S4105">
        <v>1</v>
      </c>
    </row>
    <row r="4106" spans="1:19" ht="16.5" x14ac:dyDescent="0.3">
      <c r="A4106" t="s">
        <v>4169</v>
      </c>
      <c r="B4106" s="1">
        <v>45825</v>
      </c>
      <c r="C4106" s="1">
        <v>45828</v>
      </c>
      <c r="D4106">
        <v>2025</v>
      </c>
      <c r="E4106" t="s">
        <v>836</v>
      </c>
      <c r="F4106" t="s">
        <v>1264</v>
      </c>
      <c r="G4106" t="s">
        <v>56</v>
      </c>
      <c r="H4106" t="s">
        <v>35</v>
      </c>
      <c r="I4106" t="s">
        <v>24</v>
      </c>
      <c r="J4106" t="s">
        <v>25</v>
      </c>
      <c r="K4106" t="s">
        <v>32</v>
      </c>
      <c r="L4106" t="s">
        <v>27</v>
      </c>
      <c r="M4106">
        <v>3</v>
      </c>
      <c r="N4106" s="2">
        <v>59</v>
      </c>
      <c r="O4106" s="3">
        <v>3486</v>
      </c>
      <c r="P4106">
        <v>0</v>
      </c>
      <c r="Q4106">
        <v>4</v>
      </c>
      <c r="R4106" t="s">
        <v>33</v>
      </c>
      <c r="S4106">
        <v>1</v>
      </c>
    </row>
    <row r="4107" spans="1:19" ht="16.5" x14ac:dyDescent="0.3">
      <c r="A4107" t="s">
        <v>4170</v>
      </c>
      <c r="B4107" s="1">
        <v>45825</v>
      </c>
      <c r="C4107" s="1">
        <v>45832</v>
      </c>
      <c r="D4107">
        <v>2025</v>
      </c>
      <c r="E4107" t="s">
        <v>836</v>
      </c>
      <c r="F4107" t="s">
        <v>1264</v>
      </c>
      <c r="G4107" t="s">
        <v>56</v>
      </c>
      <c r="H4107" t="s">
        <v>30</v>
      </c>
      <c r="I4107" t="s">
        <v>24</v>
      </c>
      <c r="J4107" t="s">
        <v>25</v>
      </c>
      <c r="K4107" t="s">
        <v>32</v>
      </c>
      <c r="L4107" t="s">
        <v>27</v>
      </c>
      <c r="M4107">
        <v>7</v>
      </c>
      <c r="N4107" s="2">
        <v>67</v>
      </c>
      <c r="O4107" s="3">
        <v>7472</v>
      </c>
      <c r="P4107">
        <v>0</v>
      </c>
      <c r="Q4107">
        <v>5</v>
      </c>
      <c r="R4107" t="s">
        <v>28</v>
      </c>
      <c r="S4107">
        <v>1</v>
      </c>
    </row>
    <row r="4108" spans="1:19" ht="16.5" x14ac:dyDescent="0.3">
      <c r="A4108" t="s">
        <v>4171</v>
      </c>
      <c r="B4108" s="1">
        <v>45826</v>
      </c>
      <c r="C4108" s="1">
        <v>45828</v>
      </c>
      <c r="D4108">
        <v>2025</v>
      </c>
      <c r="E4108" t="s">
        <v>836</v>
      </c>
      <c r="F4108" t="s">
        <v>1264</v>
      </c>
      <c r="G4108" t="s">
        <v>70</v>
      </c>
      <c r="H4108" t="s">
        <v>23</v>
      </c>
      <c r="I4108" t="s">
        <v>40</v>
      </c>
      <c r="J4108" t="s">
        <v>25</v>
      </c>
      <c r="K4108" t="s">
        <v>36</v>
      </c>
      <c r="L4108" t="s">
        <v>37</v>
      </c>
      <c r="M4108">
        <v>2</v>
      </c>
      <c r="N4108" s="2"/>
      <c r="O4108" s="3">
        <v>2489</v>
      </c>
      <c r="P4108">
        <v>1</v>
      </c>
      <c r="Q4108">
        <v>5</v>
      </c>
      <c r="R4108" t="s">
        <v>28</v>
      </c>
      <c r="S4108">
        <v>1</v>
      </c>
    </row>
    <row r="4109" spans="1:19" ht="16.5" x14ac:dyDescent="0.3">
      <c r="A4109" t="s">
        <v>4172</v>
      </c>
      <c r="B4109" s="1">
        <v>45826</v>
      </c>
      <c r="C4109" s="1">
        <v>45829</v>
      </c>
      <c r="D4109">
        <v>2025</v>
      </c>
      <c r="E4109" t="s">
        <v>836</v>
      </c>
      <c r="F4109" t="s">
        <v>1264</v>
      </c>
      <c r="G4109" t="s">
        <v>70</v>
      </c>
      <c r="H4109" t="s">
        <v>52</v>
      </c>
      <c r="I4109" t="s">
        <v>40</v>
      </c>
      <c r="J4109" t="s">
        <v>43</v>
      </c>
      <c r="K4109" t="s">
        <v>26</v>
      </c>
      <c r="L4109" t="s">
        <v>44</v>
      </c>
      <c r="M4109">
        <v>3</v>
      </c>
      <c r="N4109" s="2"/>
      <c r="O4109" s="3">
        <v>4077</v>
      </c>
      <c r="P4109">
        <v>0</v>
      </c>
      <c r="Q4109">
        <v>5</v>
      </c>
      <c r="R4109" t="s">
        <v>33</v>
      </c>
      <c r="S4109">
        <v>1</v>
      </c>
    </row>
    <row r="4110" spans="1:19" ht="16.5" x14ac:dyDescent="0.3">
      <c r="A4110" t="s">
        <v>4173</v>
      </c>
      <c r="B4110" s="1">
        <v>45826</v>
      </c>
      <c r="C4110" s="1">
        <v>45829</v>
      </c>
      <c r="D4110">
        <v>2025</v>
      </c>
      <c r="E4110" t="s">
        <v>836</v>
      </c>
      <c r="F4110" t="s">
        <v>1264</v>
      </c>
      <c r="G4110" t="s">
        <v>70</v>
      </c>
      <c r="H4110" t="s">
        <v>23</v>
      </c>
      <c r="I4110" t="s">
        <v>40</v>
      </c>
      <c r="J4110" t="s">
        <v>25</v>
      </c>
      <c r="K4110" t="s">
        <v>32</v>
      </c>
      <c r="L4110" t="s">
        <v>27</v>
      </c>
      <c r="M4110">
        <v>3</v>
      </c>
      <c r="N4110" s="2"/>
      <c r="O4110" s="3">
        <v>2797</v>
      </c>
      <c r="P4110">
        <v>0</v>
      </c>
      <c r="Q4110">
        <v>5</v>
      </c>
      <c r="R4110" t="s">
        <v>33</v>
      </c>
      <c r="S4110">
        <v>1</v>
      </c>
    </row>
    <row r="4111" spans="1:19" ht="16.5" x14ac:dyDescent="0.3">
      <c r="A4111" t="s">
        <v>4174</v>
      </c>
      <c r="B4111" s="1">
        <v>45827</v>
      </c>
      <c r="C4111" s="1">
        <v>45831</v>
      </c>
      <c r="D4111">
        <v>2025</v>
      </c>
      <c r="E4111" t="s">
        <v>836</v>
      </c>
      <c r="F4111" t="s">
        <v>1264</v>
      </c>
      <c r="G4111" t="s">
        <v>78</v>
      </c>
      <c r="H4111" t="s">
        <v>50</v>
      </c>
      <c r="I4111" t="s">
        <v>40</v>
      </c>
      <c r="J4111" t="s">
        <v>25</v>
      </c>
      <c r="K4111" t="s">
        <v>26</v>
      </c>
      <c r="L4111" t="s">
        <v>44</v>
      </c>
      <c r="M4111">
        <v>4</v>
      </c>
      <c r="N4111" s="2"/>
      <c r="O4111" s="3">
        <v>4802</v>
      </c>
      <c r="P4111">
        <v>1</v>
      </c>
      <c r="Q4111">
        <v>3</v>
      </c>
      <c r="R4111" t="s">
        <v>33</v>
      </c>
      <c r="S4111">
        <v>1</v>
      </c>
    </row>
    <row r="4112" spans="1:19" ht="16.5" x14ac:dyDescent="0.3">
      <c r="A4112" t="s">
        <v>4175</v>
      </c>
      <c r="B4112" s="1">
        <v>45827</v>
      </c>
      <c r="C4112" s="1">
        <v>45831</v>
      </c>
      <c r="D4112">
        <v>2025</v>
      </c>
      <c r="E4112" t="s">
        <v>836</v>
      </c>
      <c r="F4112" t="s">
        <v>1264</v>
      </c>
      <c r="G4112" t="s">
        <v>78</v>
      </c>
      <c r="H4112" t="s">
        <v>30</v>
      </c>
      <c r="I4112" t="s">
        <v>40</v>
      </c>
      <c r="J4112" t="s">
        <v>43</v>
      </c>
      <c r="K4112" t="s">
        <v>32</v>
      </c>
      <c r="L4112" t="s">
        <v>44</v>
      </c>
      <c r="M4112">
        <v>4</v>
      </c>
      <c r="N4112" s="2"/>
      <c r="O4112" s="3">
        <v>5484</v>
      </c>
      <c r="P4112">
        <v>0</v>
      </c>
      <c r="Q4112">
        <v>4</v>
      </c>
      <c r="R4112" t="s">
        <v>28</v>
      </c>
      <c r="S4112">
        <v>1</v>
      </c>
    </row>
    <row r="4113" spans="1:19" ht="16.5" x14ac:dyDescent="0.3">
      <c r="A4113" t="s">
        <v>4176</v>
      </c>
      <c r="B4113" s="1">
        <v>45827</v>
      </c>
      <c r="C4113" s="1">
        <v>45831</v>
      </c>
      <c r="D4113">
        <v>2025</v>
      </c>
      <c r="E4113" t="s">
        <v>836</v>
      </c>
      <c r="F4113" t="s">
        <v>1264</v>
      </c>
      <c r="G4113" t="s">
        <v>78</v>
      </c>
      <c r="H4113" t="s">
        <v>23</v>
      </c>
      <c r="I4113" t="s">
        <v>40</v>
      </c>
      <c r="J4113" t="s">
        <v>43</v>
      </c>
      <c r="K4113" t="s">
        <v>36</v>
      </c>
      <c r="L4113" t="s">
        <v>44</v>
      </c>
      <c r="M4113">
        <v>4</v>
      </c>
      <c r="N4113" s="2"/>
      <c r="O4113" s="3">
        <v>3781</v>
      </c>
      <c r="P4113">
        <v>0</v>
      </c>
      <c r="Q4113">
        <v>4</v>
      </c>
      <c r="R4113" t="s">
        <v>28</v>
      </c>
      <c r="S4113">
        <v>1</v>
      </c>
    </row>
    <row r="4114" spans="1:19" ht="16.5" x14ac:dyDescent="0.3">
      <c r="A4114" t="s">
        <v>4177</v>
      </c>
      <c r="B4114" s="1">
        <v>45827</v>
      </c>
      <c r="C4114" s="1">
        <v>45829</v>
      </c>
      <c r="D4114">
        <v>2025</v>
      </c>
      <c r="E4114" t="s">
        <v>836</v>
      </c>
      <c r="F4114" t="s">
        <v>1264</v>
      </c>
      <c r="G4114" t="s">
        <v>78</v>
      </c>
      <c r="H4114" t="s">
        <v>23</v>
      </c>
      <c r="I4114" t="s">
        <v>40</v>
      </c>
      <c r="J4114" t="s">
        <v>25</v>
      </c>
      <c r="K4114" t="s">
        <v>53</v>
      </c>
      <c r="L4114" t="s">
        <v>44</v>
      </c>
      <c r="M4114">
        <v>2</v>
      </c>
      <c r="N4114" s="2"/>
      <c r="O4114" s="3">
        <v>2198</v>
      </c>
      <c r="P4114">
        <v>0</v>
      </c>
      <c r="Q4114">
        <v>4</v>
      </c>
      <c r="R4114" t="s">
        <v>33</v>
      </c>
      <c r="S4114">
        <v>1</v>
      </c>
    </row>
    <row r="4115" spans="1:19" ht="16.5" x14ac:dyDescent="0.3">
      <c r="A4115" t="s">
        <v>4178</v>
      </c>
      <c r="B4115" s="1">
        <v>45827</v>
      </c>
      <c r="C4115" s="1">
        <v>45832</v>
      </c>
      <c r="D4115">
        <v>2025</v>
      </c>
      <c r="E4115" t="s">
        <v>836</v>
      </c>
      <c r="F4115" t="s">
        <v>1264</v>
      </c>
      <c r="G4115" t="s">
        <v>78</v>
      </c>
      <c r="H4115" t="s">
        <v>50</v>
      </c>
      <c r="I4115" t="s">
        <v>40</v>
      </c>
      <c r="J4115" t="s">
        <v>43</v>
      </c>
      <c r="K4115" t="s">
        <v>53</v>
      </c>
      <c r="L4115" t="s">
        <v>27</v>
      </c>
      <c r="M4115">
        <v>5</v>
      </c>
      <c r="N4115" s="2"/>
      <c r="O4115" s="3">
        <v>8440</v>
      </c>
      <c r="P4115">
        <v>0</v>
      </c>
      <c r="Q4115">
        <v>3</v>
      </c>
      <c r="R4115" t="s">
        <v>33</v>
      </c>
      <c r="S4115">
        <v>1</v>
      </c>
    </row>
    <row r="4116" spans="1:19" ht="16.5" x14ac:dyDescent="0.3">
      <c r="A4116" t="s">
        <v>4179</v>
      </c>
      <c r="B4116" s="1">
        <v>45827</v>
      </c>
      <c r="C4116" s="1">
        <v>45831</v>
      </c>
      <c r="D4116">
        <v>2025</v>
      </c>
      <c r="E4116" t="s">
        <v>836</v>
      </c>
      <c r="F4116" t="s">
        <v>1264</v>
      </c>
      <c r="G4116" t="s">
        <v>78</v>
      </c>
      <c r="H4116" t="s">
        <v>30</v>
      </c>
      <c r="I4116" t="s">
        <v>40</v>
      </c>
      <c r="J4116" t="s">
        <v>25</v>
      </c>
      <c r="K4116" t="s">
        <v>26</v>
      </c>
      <c r="L4116" t="s">
        <v>27</v>
      </c>
      <c r="M4116">
        <v>4</v>
      </c>
      <c r="N4116" s="2"/>
      <c r="O4116" s="3">
        <v>4467</v>
      </c>
      <c r="P4116">
        <v>0</v>
      </c>
      <c r="Q4116">
        <v>5</v>
      </c>
      <c r="R4116" t="s">
        <v>28</v>
      </c>
      <c r="S4116">
        <v>1</v>
      </c>
    </row>
    <row r="4117" spans="1:19" ht="16.5" x14ac:dyDescent="0.3">
      <c r="A4117" t="s">
        <v>4180</v>
      </c>
      <c r="B4117" s="1">
        <v>45828</v>
      </c>
      <c r="C4117" s="1">
        <v>45835</v>
      </c>
      <c r="D4117">
        <v>2025</v>
      </c>
      <c r="E4117" t="s">
        <v>836</v>
      </c>
      <c r="F4117" t="s">
        <v>1264</v>
      </c>
      <c r="G4117" t="s">
        <v>83</v>
      </c>
      <c r="H4117" t="s">
        <v>50</v>
      </c>
      <c r="I4117" t="s">
        <v>40</v>
      </c>
      <c r="J4117" t="s">
        <v>25</v>
      </c>
      <c r="K4117" t="s">
        <v>32</v>
      </c>
      <c r="L4117" t="s">
        <v>27</v>
      </c>
      <c r="M4117">
        <v>7</v>
      </c>
      <c r="N4117" s="2"/>
      <c r="O4117" s="3">
        <v>11136</v>
      </c>
      <c r="P4117">
        <v>0</v>
      </c>
      <c r="Q4117">
        <v>5</v>
      </c>
      <c r="R4117" t="s">
        <v>33</v>
      </c>
      <c r="S4117">
        <v>1</v>
      </c>
    </row>
    <row r="4118" spans="1:19" ht="16.5" x14ac:dyDescent="0.3">
      <c r="A4118" t="s">
        <v>4181</v>
      </c>
      <c r="B4118" s="1">
        <v>45828</v>
      </c>
      <c r="C4118" s="1">
        <v>45834</v>
      </c>
      <c r="D4118">
        <v>2025</v>
      </c>
      <c r="E4118" t="s">
        <v>836</v>
      </c>
      <c r="F4118" t="s">
        <v>1264</v>
      </c>
      <c r="G4118" t="s">
        <v>83</v>
      </c>
      <c r="H4118" t="s">
        <v>23</v>
      </c>
      <c r="I4118" t="s">
        <v>24</v>
      </c>
      <c r="J4118" t="s">
        <v>25</v>
      </c>
      <c r="K4118" t="s">
        <v>36</v>
      </c>
      <c r="L4118" t="s">
        <v>27</v>
      </c>
      <c r="M4118">
        <v>6</v>
      </c>
      <c r="N4118" s="2">
        <v>16</v>
      </c>
      <c r="O4118" s="3">
        <v>3955</v>
      </c>
      <c r="P4118">
        <v>0</v>
      </c>
      <c r="Q4118">
        <v>4</v>
      </c>
      <c r="R4118" t="s">
        <v>28</v>
      </c>
      <c r="S4118">
        <v>1</v>
      </c>
    </row>
    <row r="4119" spans="1:19" ht="16.5" x14ac:dyDescent="0.3">
      <c r="A4119" t="s">
        <v>4182</v>
      </c>
      <c r="B4119" s="1">
        <v>45828</v>
      </c>
      <c r="C4119" s="1">
        <v>45848</v>
      </c>
      <c r="D4119">
        <v>2025</v>
      </c>
      <c r="E4119" t="s">
        <v>836</v>
      </c>
      <c r="F4119" t="s">
        <v>1264</v>
      </c>
      <c r="G4119" t="s">
        <v>83</v>
      </c>
      <c r="H4119" t="s">
        <v>50</v>
      </c>
      <c r="I4119" t="s">
        <v>24</v>
      </c>
      <c r="J4119" t="s">
        <v>25</v>
      </c>
      <c r="K4119" t="s">
        <v>26</v>
      </c>
      <c r="L4119" t="s">
        <v>27</v>
      </c>
      <c r="M4119">
        <v>20</v>
      </c>
      <c r="N4119" s="2">
        <v>53</v>
      </c>
      <c r="O4119" s="3">
        <v>25167</v>
      </c>
      <c r="P4119">
        <v>0</v>
      </c>
      <c r="Q4119">
        <v>4</v>
      </c>
      <c r="R4119" t="s">
        <v>33</v>
      </c>
      <c r="S4119">
        <v>1</v>
      </c>
    </row>
    <row r="4120" spans="1:19" ht="16.5" x14ac:dyDescent="0.3">
      <c r="A4120" t="s">
        <v>4183</v>
      </c>
      <c r="B4120" s="1">
        <v>45828</v>
      </c>
      <c r="C4120" s="1">
        <v>45832</v>
      </c>
      <c r="D4120">
        <v>2025</v>
      </c>
      <c r="E4120" t="s">
        <v>836</v>
      </c>
      <c r="F4120" t="s">
        <v>1264</v>
      </c>
      <c r="G4120" t="s">
        <v>83</v>
      </c>
      <c r="H4120" t="s">
        <v>39</v>
      </c>
      <c r="I4120" t="s">
        <v>24</v>
      </c>
      <c r="J4120" t="s">
        <v>43</v>
      </c>
      <c r="K4120" t="s">
        <v>41</v>
      </c>
      <c r="L4120" t="s">
        <v>27</v>
      </c>
      <c r="M4120">
        <v>4</v>
      </c>
      <c r="N4120" s="2">
        <v>70</v>
      </c>
      <c r="O4120" s="3">
        <v>2993</v>
      </c>
      <c r="P4120">
        <v>0</v>
      </c>
      <c r="Q4120">
        <v>5</v>
      </c>
      <c r="R4120" t="s">
        <v>28</v>
      </c>
      <c r="S4120">
        <v>1</v>
      </c>
    </row>
    <row r="4121" spans="1:19" ht="16.5" x14ac:dyDescent="0.3">
      <c r="A4121" t="s">
        <v>4184</v>
      </c>
      <c r="B4121" s="1">
        <v>45828</v>
      </c>
      <c r="C4121" s="1">
        <v>45832</v>
      </c>
      <c r="D4121">
        <v>2025</v>
      </c>
      <c r="E4121" t="s">
        <v>836</v>
      </c>
      <c r="F4121" t="s">
        <v>1264</v>
      </c>
      <c r="G4121" t="s">
        <v>83</v>
      </c>
      <c r="H4121" t="s">
        <v>30</v>
      </c>
      <c r="I4121" t="s">
        <v>24</v>
      </c>
      <c r="J4121" t="s">
        <v>43</v>
      </c>
      <c r="K4121" t="s">
        <v>53</v>
      </c>
      <c r="L4121" t="s">
        <v>37</v>
      </c>
      <c r="M4121">
        <v>4</v>
      </c>
      <c r="N4121" s="2">
        <v>113</v>
      </c>
      <c r="O4121" s="3">
        <v>5054</v>
      </c>
      <c r="P4121">
        <v>0</v>
      </c>
      <c r="Q4121">
        <v>3</v>
      </c>
      <c r="R4121" t="s">
        <v>59</v>
      </c>
      <c r="S4121">
        <v>1</v>
      </c>
    </row>
    <row r="4122" spans="1:19" ht="16.5" x14ac:dyDescent="0.3">
      <c r="A4122" t="s">
        <v>4185</v>
      </c>
      <c r="B4122" s="1">
        <v>45828</v>
      </c>
      <c r="C4122" s="1">
        <v>45830</v>
      </c>
      <c r="D4122">
        <v>2025</v>
      </c>
      <c r="E4122" t="s">
        <v>836</v>
      </c>
      <c r="F4122" t="s">
        <v>1264</v>
      </c>
      <c r="G4122" t="s">
        <v>83</v>
      </c>
      <c r="H4122" t="s">
        <v>30</v>
      </c>
      <c r="I4122" t="s">
        <v>40</v>
      </c>
      <c r="J4122" t="s">
        <v>43</v>
      </c>
      <c r="K4122" t="s">
        <v>53</v>
      </c>
      <c r="L4122" t="s">
        <v>44</v>
      </c>
      <c r="M4122">
        <v>2</v>
      </c>
      <c r="N4122" s="2"/>
      <c r="O4122" s="3">
        <v>2567</v>
      </c>
      <c r="P4122">
        <v>0</v>
      </c>
      <c r="Q4122">
        <v>4</v>
      </c>
      <c r="R4122" t="s">
        <v>33</v>
      </c>
      <c r="S4122">
        <v>1</v>
      </c>
    </row>
    <row r="4123" spans="1:19" ht="16.5" x14ac:dyDescent="0.3">
      <c r="A4123" t="s">
        <v>4186</v>
      </c>
      <c r="B4123" s="1">
        <v>45828</v>
      </c>
      <c r="C4123" s="1">
        <v>45831</v>
      </c>
      <c r="D4123">
        <v>2025</v>
      </c>
      <c r="E4123" t="s">
        <v>836</v>
      </c>
      <c r="F4123" t="s">
        <v>1264</v>
      </c>
      <c r="G4123" t="s">
        <v>83</v>
      </c>
      <c r="H4123" t="s">
        <v>35</v>
      </c>
      <c r="I4123" t="s">
        <v>40</v>
      </c>
      <c r="J4123" t="s">
        <v>25</v>
      </c>
      <c r="K4123" t="s">
        <v>32</v>
      </c>
      <c r="L4123" t="s">
        <v>27</v>
      </c>
      <c r="M4123">
        <v>3</v>
      </c>
      <c r="N4123" s="2"/>
      <c r="O4123" s="3">
        <v>2617</v>
      </c>
      <c r="P4123">
        <v>0</v>
      </c>
      <c r="Q4123">
        <v>5</v>
      </c>
      <c r="R4123" t="s">
        <v>59</v>
      </c>
      <c r="S4123">
        <v>1</v>
      </c>
    </row>
    <row r="4124" spans="1:19" ht="16.5" x14ac:dyDescent="0.3">
      <c r="A4124" t="s">
        <v>4187</v>
      </c>
      <c r="B4124" s="1">
        <v>45829</v>
      </c>
      <c r="C4124" s="1">
        <v>45830</v>
      </c>
      <c r="D4124">
        <v>2025</v>
      </c>
      <c r="E4124" t="s">
        <v>836</v>
      </c>
      <c r="F4124" t="s">
        <v>1264</v>
      </c>
      <c r="G4124" t="s">
        <v>102</v>
      </c>
      <c r="H4124" t="s">
        <v>35</v>
      </c>
      <c r="I4124" t="s">
        <v>24</v>
      </c>
      <c r="J4124" t="s">
        <v>25</v>
      </c>
      <c r="K4124" t="s">
        <v>32</v>
      </c>
      <c r="L4124" t="s">
        <v>44</v>
      </c>
      <c r="M4124">
        <v>1</v>
      </c>
      <c r="N4124" s="2">
        <v>58</v>
      </c>
      <c r="O4124" s="3">
        <v>1506</v>
      </c>
      <c r="P4124">
        <v>0</v>
      </c>
      <c r="Q4124">
        <v>5</v>
      </c>
      <c r="R4124" t="s">
        <v>33</v>
      </c>
      <c r="S4124">
        <v>1</v>
      </c>
    </row>
    <row r="4125" spans="1:19" ht="16.5" x14ac:dyDescent="0.3">
      <c r="A4125" t="s">
        <v>4188</v>
      </c>
      <c r="B4125" s="1">
        <v>45829</v>
      </c>
      <c r="C4125" s="1">
        <v>45838</v>
      </c>
      <c r="D4125">
        <v>2025</v>
      </c>
      <c r="E4125" t="s">
        <v>836</v>
      </c>
      <c r="F4125" t="s">
        <v>1264</v>
      </c>
      <c r="G4125" t="s">
        <v>102</v>
      </c>
      <c r="H4125" t="s">
        <v>52</v>
      </c>
      <c r="I4125" t="s">
        <v>40</v>
      </c>
      <c r="J4125" t="s">
        <v>43</v>
      </c>
      <c r="K4125" t="s">
        <v>32</v>
      </c>
      <c r="L4125" t="s">
        <v>44</v>
      </c>
      <c r="M4125">
        <v>9</v>
      </c>
      <c r="N4125" s="2"/>
      <c r="O4125" s="3">
        <v>7649</v>
      </c>
      <c r="P4125">
        <v>0</v>
      </c>
      <c r="Q4125">
        <v>4</v>
      </c>
      <c r="R4125" t="s">
        <v>33</v>
      </c>
      <c r="S4125">
        <v>1</v>
      </c>
    </row>
    <row r="4126" spans="1:19" ht="16.5" x14ac:dyDescent="0.3">
      <c r="A4126" t="s">
        <v>4189</v>
      </c>
      <c r="B4126" s="1">
        <v>45829</v>
      </c>
      <c r="C4126" s="1">
        <v>45833</v>
      </c>
      <c r="D4126">
        <v>2025</v>
      </c>
      <c r="E4126" t="s">
        <v>836</v>
      </c>
      <c r="F4126" t="s">
        <v>1264</v>
      </c>
      <c r="G4126" t="s">
        <v>102</v>
      </c>
      <c r="H4126" t="s">
        <v>39</v>
      </c>
      <c r="I4126" t="s">
        <v>40</v>
      </c>
      <c r="J4126" t="s">
        <v>25</v>
      </c>
      <c r="K4126" t="s">
        <v>41</v>
      </c>
      <c r="L4126" t="s">
        <v>37</v>
      </c>
      <c r="M4126">
        <v>4</v>
      </c>
      <c r="N4126" s="2"/>
      <c r="O4126" s="3">
        <v>2819</v>
      </c>
      <c r="P4126">
        <v>0</v>
      </c>
      <c r="Q4126">
        <v>3</v>
      </c>
      <c r="R4126" t="s">
        <v>33</v>
      </c>
      <c r="S4126">
        <v>1</v>
      </c>
    </row>
    <row r="4127" spans="1:19" ht="16.5" x14ac:dyDescent="0.3">
      <c r="A4127" t="s">
        <v>4190</v>
      </c>
      <c r="B4127" s="1">
        <v>45829</v>
      </c>
      <c r="C4127" s="1">
        <v>45833</v>
      </c>
      <c r="D4127">
        <v>2025</v>
      </c>
      <c r="E4127" t="s">
        <v>836</v>
      </c>
      <c r="F4127" t="s">
        <v>1264</v>
      </c>
      <c r="G4127" t="s">
        <v>102</v>
      </c>
      <c r="H4127" t="s">
        <v>52</v>
      </c>
      <c r="I4127" t="s">
        <v>40</v>
      </c>
      <c r="J4127" t="s">
        <v>43</v>
      </c>
      <c r="K4127" t="s">
        <v>53</v>
      </c>
      <c r="L4127" t="s">
        <v>44</v>
      </c>
      <c r="M4127">
        <v>4</v>
      </c>
      <c r="N4127" s="2"/>
      <c r="O4127" s="3">
        <v>4353</v>
      </c>
      <c r="P4127">
        <v>0</v>
      </c>
      <c r="Q4127">
        <v>4</v>
      </c>
      <c r="R4127" t="s">
        <v>33</v>
      </c>
      <c r="S4127">
        <v>1</v>
      </c>
    </row>
    <row r="4128" spans="1:19" ht="16.5" x14ac:dyDescent="0.3">
      <c r="A4128" t="s">
        <v>4191</v>
      </c>
      <c r="B4128" s="1">
        <v>45829</v>
      </c>
      <c r="C4128" s="1">
        <v>45838</v>
      </c>
      <c r="D4128">
        <v>2025</v>
      </c>
      <c r="E4128" t="s">
        <v>836</v>
      </c>
      <c r="F4128" t="s">
        <v>1264</v>
      </c>
      <c r="G4128" t="s">
        <v>102</v>
      </c>
      <c r="H4128" t="s">
        <v>23</v>
      </c>
      <c r="I4128" t="s">
        <v>24</v>
      </c>
      <c r="J4128" t="s">
        <v>25</v>
      </c>
      <c r="K4128" t="s">
        <v>36</v>
      </c>
      <c r="L4128" t="s">
        <v>44</v>
      </c>
      <c r="M4128">
        <v>9</v>
      </c>
      <c r="N4128" s="2">
        <v>79</v>
      </c>
      <c r="O4128" s="3">
        <v>8692</v>
      </c>
      <c r="P4128">
        <v>0</v>
      </c>
      <c r="Q4128">
        <v>4</v>
      </c>
      <c r="R4128" t="s">
        <v>33</v>
      </c>
      <c r="S4128">
        <v>1</v>
      </c>
    </row>
    <row r="4129" spans="1:19" ht="16.5" x14ac:dyDescent="0.3">
      <c r="A4129" t="s">
        <v>4192</v>
      </c>
      <c r="B4129" s="1">
        <v>45830</v>
      </c>
      <c r="C4129" s="1">
        <v>45831</v>
      </c>
      <c r="D4129">
        <v>2025</v>
      </c>
      <c r="E4129" t="s">
        <v>836</v>
      </c>
      <c r="F4129" t="s">
        <v>1264</v>
      </c>
      <c r="G4129" t="s">
        <v>112</v>
      </c>
      <c r="H4129" t="s">
        <v>35</v>
      </c>
      <c r="I4129" t="s">
        <v>24</v>
      </c>
      <c r="J4129" t="s">
        <v>25</v>
      </c>
      <c r="K4129" t="s">
        <v>36</v>
      </c>
      <c r="L4129" t="s">
        <v>44</v>
      </c>
      <c r="M4129">
        <v>1</v>
      </c>
      <c r="N4129" s="2">
        <v>40</v>
      </c>
      <c r="O4129" s="3">
        <v>816</v>
      </c>
      <c r="P4129">
        <v>0</v>
      </c>
      <c r="Q4129">
        <v>3</v>
      </c>
      <c r="R4129" t="s">
        <v>33</v>
      </c>
      <c r="S4129">
        <v>1</v>
      </c>
    </row>
    <row r="4130" spans="1:19" ht="16.5" x14ac:dyDescent="0.3">
      <c r="A4130" t="s">
        <v>4193</v>
      </c>
      <c r="B4130" s="1">
        <v>45830</v>
      </c>
      <c r="C4130" s="1">
        <v>45844</v>
      </c>
      <c r="D4130">
        <v>2025</v>
      </c>
      <c r="E4130" t="s">
        <v>836</v>
      </c>
      <c r="F4130" t="s">
        <v>1264</v>
      </c>
      <c r="G4130" t="s">
        <v>112</v>
      </c>
      <c r="H4130" t="s">
        <v>23</v>
      </c>
      <c r="I4130" t="s">
        <v>24</v>
      </c>
      <c r="J4130" t="s">
        <v>25</v>
      </c>
      <c r="K4130" t="s">
        <v>26</v>
      </c>
      <c r="L4130" t="s">
        <v>37</v>
      </c>
      <c r="M4130">
        <v>14</v>
      </c>
      <c r="N4130" s="2">
        <v>26</v>
      </c>
      <c r="O4130" s="3">
        <v>8355</v>
      </c>
      <c r="P4130">
        <v>1</v>
      </c>
      <c r="Q4130">
        <v>4</v>
      </c>
      <c r="R4130" t="s">
        <v>33</v>
      </c>
      <c r="S4130">
        <v>1</v>
      </c>
    </row>
    <row r="4131" spans="1:19" ht="16.5" x14ac:dyDescent="0.3">
      <c r="A4131" t="s">
        <v>4194</v>
      </c>
      <c r="B4131" s="1">
        <v>45830</v>
      </c>
      <c r="C4131" s="1">
        <v>45845</v>
      </c>
      <c r="D4131">
        <v>2025</v>
      </c>
      <c r="E4131" t="s">
        <v>836</v>
      </c>
      <c r="F4131" t="s">
        <v>1264</v>
      </c>
      <c r="G4131" t="s">
        <v>112</v>
      </c>
      <c r="H4131" t="s">
        <v>50</v>
      </c>
      <c r="I4131" t="s">
        <v>24</v>
      </c>
      <c r="J4131" t="s">
        <v>43</v>
      </c>
      <c r="K4131" t="s">
        <v>26</v>
      </c>
      <c r="L4131" t="s">
        <v>44</v>
      </c>
      <c r="M4131">
        <v>15</v>
      </c>
      <c r="N4131" s="2">
        <v>72</v>
      </c>
      <c r="O4131" s="3">
        <v>18920</v>
      </c>
      <c r="P4131">
        <v>0</v>
      </c>
      <c r="Q4131">
        <v>2</v>
      </c>
      <c r="R4131" t="s">
        <v>28</v>
      </c>
      <c r="S4131">
        <v>1</v>
      </c>
    </row>
    <row r="4132" spans="1:19" ht="16.5" x14ac:dyDescent="0.3">
      <c r="A4132" t="s">
        <v>4195</v>
      </c>
      <c r="B4132" s="1">
        <v>45830</v>
      </c>
      <c r="C4132" s="1">
        <v>45836</v>
      </c>
      <c r="D4132">
        <v>2025</v>
      </c>
      <c r="E4132" t="s">
        <v>836</v>
      </c>
      <c r="F4132" t="s">
        <v>1264</v>
      </c>
      <c r="G4132" t="s">
        <v>112</v>
      </c>
      <c r="H4132" t="s">
        <v>23</v>
      </c>
      <c r="I4132" t="s">
        <v>24</v>
      </c>
      <c r="J4132" t="s">
        <v>43</v>
      </c>
      <c r="K4132" t="s">
        <v>26</v>
      </c>
      <c r="L4132" t="s">
        <v>44</v>
      </c>
      <c r="M4132">
        <v>6</v>
      </c>
      <c r="N4132" s="2">
        <v>41</v>
      </c>
      <c r="O4132" s="3">
        <v>4991</v>
      </c>
      <c r="P4132">
        <v>0</v>
      </c>
      <c r="Q4132">
        <v>4</v>
      </c>
      <c r="R4132" t="s">
        <v>28</v>
      </c>
      <c r="S4132">
        <v>1</v>
      </c>
    </row>
    <row r="4133" spans="1:19" ht="16.5" x14ac:dyDescent="0.3">
      <c r="A4133" t="s">
        <v>4196</v>
      </c>
      <c r="B4133" s="1">
        <v>45830</v>
      </c>
      <c r="C4133" s="1">
        <v>45833</v>
      </c>
      <c r="D4133">
        <v>2025</v>
      </c>
      <c r="E4133" t="s">
        <v>836</v>
      </c>
      <c r="F4133" t="s">
        <v>1264</v>
      </c>
      <c r="G4133" t="s">
        <v>112</v>
      </c>
      <c r="H4133" t="s">
        <v>23</v>
      </c>
      <c r="I4133" t="s">
        <v>40</v>
      </c>
      <c r="J4133" t="s">
        <v>25</v>
      </c>
      <c r="K4133" t="s">
        <v>32</v>
      </c>
      <c r="L4133" t="s">
        <v>37</v>
      </c>
      <c r="M4133">
        <v>3</v>
      </c>
      <c r="N4133" s="2"/>
      <c r="O4133" s="3">
        <v>2952</v>
      </c>
      <c r="P4133">
        <v>0</v>
      </c>
      <c r="Q4133">
        <v>4</v>
      </c>
      <c r="R4133" t="s">
        <v>28</v>
      </c>
      <c r="S4133">
        <v>1</v>
      </c>
    </row>
    <row r="4134" spans="1:19" ht="16.5" x14ac:dyDescent="0.3">
      <c r="A4134" t="s">
        <v>4197</v>
      </c>
      <c r="B4134" s="1">
        <v>45831</v>
      </c>
      <c r="C4134" s="1">
        <v>45844</v>
      </c>
      <c r="D4134">
        <v>2025</v>
      </c>
      <c r="E4134" t="s">
        <v>836</v>
      </c>
      <c r="F4134" t="s">
        <v>1264</v>
      </c>
      <c r="G4134" t="s">
        <v>22</v>
      </c>
      <c r="H4134" t="s">
        <v>50</v>
      </c>
      <c r="I4134" t="s">
        <v>40</v>
      </c>
      <c r="J4134" t="s">
        <v>43</v>
      </c>
      <c r="K4134" t="s">
        <v>26</v>
      </c>
      <c r="L4134" t="s">
        <v>44</v>
      </c>
      <c r="M4134">
        <v>13</v>
      </c>
      <c r="N4134" s="2"/>
      <c r="O4134" s="3">
        <v>14439</v>
      </c>
      <c r="P4134">
        <v>0</v>
      </c>
      <c r="Q4134">
        <v>3</v>
      </c>
      <c r="R4134" t="s">
        <v>33</v>
      </c>
      <c r="S4134">
        <v>1</v>
      </c>
    </row>
    <row r="4135" spans="1:19" ht="16.5" x14ac:dyDescent="0.3">
      <c r="A4135" t="s">
        <v>4198</v>
      </c>
      <c r="B4135" s="1">
        <v>45831</v>
      </c>
      <c r="C4135" s="1">
        <v>45837</v>
      </c>
      <c r="D4135">
        <v>2025</v>
      </c>
      <c r="E4135" t="s">
        <v>836</v>
      </c>
      <c r="F4135" t="s">
        <v>1264</v>
      </c>
      <c r="G4135" t="s">
        <v>22</v>
      </c>
      <c r="H4135" t="s">
        <v>23</v>
      </c>
      <c r="I4135" t="s">
        <v>40</v>
      </c>
      <c r="J4135" t="s">
        <v>43</v>
      </c>
      <c r="K4135" t="s">
        <v>26</v>
      </c>
      <c r="L4135" t="s">
        <v>27</v>
      </c>
      <c r="M4135">
        <v>6</v>
      </c>
      <c r="N4135" s="2"/>
      <c r="O4135" s="3">
        <v>3685</v>
      </c>
      <c r="P4135">
        <v>0</v>
      </c>
      <c r="Q4135">
        <v>5</v>
      </c>
      <c r="R4135" t="s">
        <v>33</v>
      </c>
      <c r="S4135">
        <v>1</v>
      </c>
    </row>
    <row r="4136" spans="1:19" ht="16.5" x14ac:dyDescent="0.3">
      <c r="A4136" t="s">
        <v>4199</v>
      </c>
      <c r="B4136" s="1">
        <v>45831</v>
      </c>
      <c r="C4136" s="1">
        <v>45837</v>
      </c>
      <c r="D4136">
        <v>2025</v>
      </c>
      <c r="E4136" t="s">
        <v>836</v>
      </c>
      <c r="F4136" t="s">
        <v>1264</v>
      </c>
      <c r="G4136" t="s">
        <v>22</v>
      </c>
      <c r="H4136" t="s">
        <v>23</v>
      </c>
      <c r="I4136" t="s">
        <v>24</v>
      </c>
      <c r="J4136" t="s">
        <v>25</v>
      </c>
      <c r="K4136" t="s">
        <v>32</v>
      </c>
      <c r="L4136" t="s">
        <v>37</v>
      </c>
      <c r="M4136">
        <v>6</v>
      </c>
      <c r="N4136" s="2">
        <v>39</v>
      </c>
      <c r="O4136" s="3">
        <v>4314</v>
      </c>
      <c r="P4136">
        <v>0</v>
      </c>
      <c r="Q4136">
        <v>4</v>
      </c>
      <c r="R4136" t="s">
        <v>33</v>
      </c>
      <c r="S4136">
        <v>1</v>
      </c>
    </row>
    <row r="4137" spans="1:19" ht="16.5" x14ac:dyDescent="0.3">
      <c r="A4137" t="s">
        <v>4200</v>
      </c>
      <c r="B4137" s="1">
        <v>45831</v>
      </c>
      <c r="C4137" s="1">
        <v>45837</v>
      </c>
      <c r="D4137">
        <v>2025</v>
      </c>
      <c r="E4137" t="s">
        <v>836</v>
      </c>
      <c r="F4137" t="s">
        <v>1264</v>
      </c>
      <c r="G4137" t="s">
        <v>22</v>
      </c>
      <c r="H4137" t="s">
        <v>52</v>
      </c>
      <c r="I4137" t="s">
        <v>24</v>
      </c>
      <c r="J4137" t="s">
        <v>43</v>
      </c>
      <c r="K4137" t="s">
        <v>32</v>
      </c>
      <c r="L4137" t="s">
        <v>27</v>
      </c>
      <c r="M4137">
        <v>6</v>
      </c>
      <c r="N4137" s="2">
        <v>32</v>
      </c>
      <c r="O4137" s="3">
        <v>5465</v>
      </c>
      <c r="P4137">
        <v>0</v>
      </c>
      <c r="Q4137">
        <v>5</v>
      </c>
      <c r="R4137" t="s">
        <v>33</v>
      </c>
      <c r="S4137">
        <v>1</v>
      </c>
    </row>
    <row r="4138" spans="1:19" ht="16.5" x14ac:dyDescent="0.3">
      <c r="A4138" t="s">
        <v>4201</v>
      </c>
      <c r="B4138" s="1">
        <v>45831</v>
      </c>
      <c r="C4138" s="1">
        <v>45836</v>
      </c>
      <c r="D4138">
        <v>2025</v>
      </c>
      <c r="E4138" t="s">
        <v>836</v>
      </c>
      <c r="F4138" t="s">
        <v>1264</v>
      </c>
      <c r="G4138" t="s">
        <v>22</v>
      </c>
      <c r="H4138" t="s">
        <v>35</v>
      </c>
      <c r="I4138" t="s">
        <v>24</v>
      </c>
      <c r="J4138" t="s">
        <v>25</v>
      </c>
      <c r="K4138" t="s">
        <v>32</v>
      </c>
      <c r="L4138" t="s">
        <v>44</v>
      </c>
      <c r="M4138">
        <v>5</v>
      </c>
      <c r="N4138" s="2">
        <v>39</v>
      </c>
      <c r="O4138" s="3">
        <v>3769</v>
      </c>
      <c r="P4138">
        <v>0</v>
      </c>
      <c r="Q4138">
        <v>4</v>
      </c>
      <c r="R4138" t="s">
        <v>28</v>
      </c>
      <c r="S4138">
        <v>1</v>
      </c>
    </row>
    <row r="4139" spans="1:19" ht="16.5" x14ac:dyDescent="0.3">
      <c r="A4139" t="s">
        <v>4202</v>
      </c>
      <c r="B4139" s="1">
        <v>45831</v>
      </c>
      <c r="C4139" s="1">
        <v>45834</v>
      </c>
      <c r="D4139">
        <v>2025</v>
      </c>
      <c r="E4139" t="s">
        <v>836</v>
      </c>
      <c r="F4139" t="s">
        <v>1264</v>
      </c>
      <c r="G4139" t="s">
        <v>22</v>
      </c>
      <c r="H4139" t="s">
        <v>50</v>
      </c>
      <c r="I4139" t="s">
        <v>31</v>
      </c>
      <c r="J4139" t="s">
        <v>43</v>
      </c>
      <c r="K4139" t="s">
        <v>53</v>
      </c>
      <c r="L4139" t="s">
        <v>27</v>
      </c>
      <c r="M4139">
        <v>3</v>
      </c>
      <c r="N4139" s="2"/>
      <c r="O4139" s="3">
        <v>4533</v>
      </c>
      <c r="P4139">
        <v>0</v>
      </c>
      <c r="Q4139">
        <v>4</v>
      </c>
      <c r="R4139" t="s">
        <v>33</v>
      </c>
      <c r="S4139">
        <v>1</v>
      </c>
    </row>
    <row r="4140" spans="1:19" ht="16.5" x14ac:dyDescent="0.3">
      <c r="A4140" t="s">
        <v>4203</v>
      </c>
      <c r="B4140" s="1">
        <v>45831</v>
      </c>
      <c r="C4140" s="1">
        <v>45834</v>
      </c>
      <c r="D4140">
        <v>2025</v>
      </c>
      <c r="E4140" t="s">
        <v>836</v>
      </c>
      <c r="F4140" t="s">
        <v>1264</v>
      </c>
      <c r="G4140" t="s">
        <v>22</v>
      </c>
      <c r="H4140" t="s">
        <v>52</v>
      </c>
      <c r="I4140" t="s">
        <v>40</v>
      </c>
      <c r="J4140" t="s">
        <v>25</v>
      </c>
      <c r="K4140" t="s">
        <v>26</v>
      </c>
      <c r="L4140" t="s">
        <v>44</v>
      </c>
      <c r="M4140">
        <v>3</v>
      </c>
      <c r="N4140" s="2"/>
      <c r="O4140" s="3">
        <v>3475</v>
      </c>
      <c r="P4140">
        <v>0</v>
      </c>
      <c r="Q4140">
        <v>4</v>
      </c>
      <c r="R4140" t="s">
        <v>28</v>
      </c>
      <c r="S4140">
        <v>1</v>
      </c>
    </row>
    <row r="4141" spans="1:19" ht="16.5" x14ac:dyDescent="0.3">
      <c r="A4141" t="s">
        <v>4204</v>
      </c>
      <c r="B4141" s="1">
        <v>45832</v>
      </c>
      <c r="C4141" s="1">
        <v>45840</v>
      </c>
      <c r="D4141">
        <v>2025</v>
      </c>
      <c r="E4141" t="s">
        <v>836</v>
      </c>
      <c r="F4141" t="s">
        <v>1264</v>
      </c>
      <c r="G4141" t="s">
        <v>56</v>
      </c>
      <c r="H4141" t="s">
        <v>30</v>
      </c>
      <c r="I4141" t="s">
        <v>40</v>
      </c>
      <c r="J4141" t="s">
        <v>43</v>
      </c>
      <c r="K4141" t="s">
        <v>26</v>
      </c>
      <c r="L4141" t="s">
        <v>27</v>
      </c>
      <c r="M4141">
        <v>8</v>
      </c>
      <c r="N4141" s="2"/>
      <c r="O4141" s="3">
        <v>10224</v>
      </c>
      <c r="P4141">
        <v>0</v>
      </c>
      <c r="Q4141">
        <v>4</v>
      </c>
      <c r="R4141" t="s">
        <v>28</v>
      </c>
      <c r="S4141">
        <v>1</v>
      </c>
    </row>
    <row r="4142" spans="1:19" ht="16.5" x14ac:dyDescent="0.3">
      <c r="A4142" t="s">
        <v>4205</v>
      </c>
      <c r="B4142" s="1">
        <v>45832</v>
      </c>
      <c r="C4142" s="1">
        <v>45836</v>
      </c>
      <c r="D4142">
        <v>2025</v>
      </c>
      <c r="E4142" t="s">
        <v>836</v>
      </c>
      <c r="F4142" t="s">
        <v>1264</v>
      </c>
      <c r="G4142" t="s">
        <v>56</v>
      </c>
      <c r="H4142" t="s">
        <v>52</v>
      </c>
      <c r="I4142" t="s">
        <v>40</v>
      </c>
      <c r="J4142" t="s">
        <v>43</v>
      </c>
      <c r="K4142" t="s">
        <v>36</v>
      </c>
      <c r="L4142" t="s">
        <v>37</v>
      </c>
      <c r="M4142">
        <v>4</v>
      </c>
      <c r="N4142" s="2"/>
      <c r="O4142" s="3">
        <v>4198</v>
      </c>
      <c r="P4142">
        <v>0</v>
      </c>
      <c r="Q4142">
        <v>5</v>
      </c>
      <c r="R4142" t="s">
        <v>33</v>
      </c>
      <c r="S4142">
        <v>1</v>
      </c>
    </row>
    <row r="4143" spans="1:19" ht="16.5" x14ac:dyDescent="0.3">
      <c r="A4143" t="s">
        <v>4206</v>
      </c>
      <c r="B4143" s="1">
        <v>45832</v>
      </c>
      <c r="C4143" s="1">
        <v>45842</v>
      </c>
      <c r="D4143">
        <v>2025</v>
      </c>
      <c r="E4143" t="s">
        <v>836</v>
      </c>
      <c r="F4143" t="s">
        <v>1264</v>
      </c>
      <c r="G4143" t="s">
        <v>56</v>
      </c>
      <c r="H4143" t="s">
        <v>23</v>
      </c>
      <c r="I4143" t="s">
        <v>24</v>
      </c>
      <c r="J4143" t="s">
        <v>25</v>
      </c>
      <c r="K4143" t="s">
        <v>36</v>
      </c>
      <c r="L4143" t="s">
        <v>44</v>
      </c>
      <c r="M4143">
        <v>10</v>
      </c>
      <c r="N4143" s="2">
        <v>51</v>
      </c>
      <c r="O4143" s="3">
        <v>7891</v>
      </c>
      <c r="P4143">
        <v>0</v>
      </c>
      <c r="Q4143">
        <v>4</v>
      </c>
      <c r="R4143" t="s">
        <v>28</v>
      </c>
      <c r="S4143">
        <v>1</v>
      </c>
    </row>
    <row r="4144" spans="1:19" ht="16.5" x14ac:dyDescent="0.3">
      <c r="A4144" t="s">
        <v>4207</v>
      </c>
      <c r="B4144" s="1">
        <v>45832</v>
      </c>
      <c r="C4144" s="1">
        <v>45835</v>
      </c>
      <c r="D4144">
        <v>2025</v>
      </c>
      <c r="E4144" t="s">
        <v>836</v>
      </c>
      <c r="F4144" t="s">
        <v>1264</v>
      </c>
      <c r="G4144" t="s">
        <v>56</v>
      </c>
      <c r="H4144" t="s">
        <v>35</v>
      </c>
      <c r="I4144" t="s">
        <v>40</v>
      </c>
      <c r="J4144" t="s">
        <v>25</v>
      </c>
      <c r="K4144" t="s">
        <v>32</v>
      </c>
      <c r="L4144" t="s">
        <v>27</v>
      </c>
      <c r="M4144">
        <v>3</v>
      </c>
      <c r="N4144" s="2"/>
      <c r="O4144" s="3">
        <v>3149</v>
      </c>
      <c r="P4144">
        <v>0</v>
      </c>
      <c r="Q4144">
        <v>5</v>
      </c>
      <c r="R4144" t="s">
        <v>33</v>
      </c>
      <c r="S4144">
        <v>1</v>
      </c>
    </row>
    <row r="4145" spans="1:19" ht="16.5" x14ac:dyDescent="0.3">
      <c r="A4145" t="s">
        <v>4208</v>
      </c>
      <c r="B4145" s="1">
        <v>45832</v>
      </c>
      <c r="C4145" s="1">
        <v>45836</v>
      </c>
      <c r="D4145">
        <v>2025</v>
      </c>
      <c r="E4145" t="s">
        <v>836</v>
      </c>
      <c r="F4145" t="s">
        <v>1264</v>
      </c>
      <c r="G4145" t="s">
        <v>56</v>
      </c>
      <c r="H4145" t="s">
        <v>39</v>
      </c>
      <c r="I4145" t="s">
        <v>40</v>
      </c>
      <c r="J4145" t="s">
        <v>25</v>
      </c>
      <c r="K4145" t="s">
        <v>41</v>
      </c>
      <c r="L4145" t="s">
        <v>44</v>
      </c>
      <c r="M4145">
        <v>4</v>
      </c>
      <c r="N4145" s="2"/>
      <c r="O4145" s="3">
        <v>3306</v>
      </c>
      <c r="P4145">
        <v>0</v>
      </c>
      <c r="Q4145">
        <v>5</v>
      </c>
      <c r="R4145" t="s">
        <v>33</v>
      </c>
      <c r="S4145">
        <v>1</v>
      </c>
    </row>
    <row r="4146" spans="1:19" ht="16.5" x14ac:dyDescent="0.3">
      <c r="A4146" t="s">
        <v>4209</v>
      </c>
      <c r="B4146" s="1">
        <v>45832</v>
      </c>
      <c r="C4146" s="1">
        <v>45834</v>
      </c>
      <c r="D4146">
        <v>2025</v>
      </c>
      <c r="E4146" t="s">
        <v>836</v>
      </c>
      <c r="F4146" t="s">
        <v>1264</v>
      </c>
      <c r="G4146" t="s">
        <v>56</v>
      </c>
      <c r="H4146" t="s">
        <v>23</v>
      </c>
      <c r="I4146" t="s">
        <v>24</v>
      </c>
      <c r="J4146" t="s">
        <v>43</v>
      </c>
      <c r="K4146" t="s">
        <v>32</v>
      </c>
      <c r="L4146" t="s">
        <v>44</v>
      </c>
      <c r="M4146">
        <v>2</v>
      </c>
      <c r="N4146" s="2">
        <v>53</v>
      </c>
      <c r="O4146" s="3">
        <v>2444</v>
      </c>
      <c r="P4146">
        <v>0</v>
      </c>
      <c r="Q4146">
        <v>2</v>
      </c>
      <c r="R4146" t="s">
        <v>28</v>
      </c>
      <c r="S4146">
        <v>1</v>
      </c>
    </row>
    <row r="4147" spans="1:19" ht="16.5" x14ac:dyDescent="0.3">
      <c r="A4147" t="s">
        <v>4210</v>
      </c>
      <c r="B4147" s="1">
        <v>45832</v>
      </c>
      <c r="C4147" s="1">
        <v>45836</v>
      </c>
      <c r="D4147">
        <v>2025</v>
      </c>
      <c r="E4147" t="s">
        <v>836</v>
      </c>
      <c r="F4147" t="s">
        <v>1264</v>
      </c>
      <c r="G4147" t="s">
        <v>56</v>
      </c>
      <c r="H4147" t="s">
        <v>35</v>
      </c>
      <c r="I4147" t="s">
        <v>24</v>
      </c>
      <c r="J4147" t="s">
        <v>25</v>
      </c>
      <c r="K4147" t="s">
        <v>36</v>
      </c>
      <c r="L4147" t="s">
        <v>27</v>
      </c>
      <c r="M4147">
        <v>4</v>
      </c>
      <c r="N4147" s="2">
        <v>36</v>
      </c>
      <c r="O4147" s="3">
        <v>2649</v>
      </c>
      <c r="P4147">
        <v>0</v>
      </c>
      <c r="Q4147">
        <v>5</v>
      </c>
      <c r="R4147" t="s">
        <v>33</v>
      </c>
      <c r="S4147">
        <v>1</v>
      </c>
    </row>
    <row r="4148" spans="1:19" ht="16.5" x14ac:dyDescent="0.3">
      <c r="A4148" t="s">
        <v>4211</v>
      </c>
      <c r="B4148" s="1">
        <v>45833</v>
      </c>
      <c r="C4148" s="1">
        <v>45839</v>
      </c>
      <c r="D4148">
        <v>2025</v>
      </c>
      <c r="E4148" t="s">
        <v>836</v>
      </c>
      <c r="F4148" t="s">
        <v>1264</v>
      </c>
      <c r="G4148" t="s">
        <v>70</v>
      </c>
      <c r="H4148" t="s">
        <v>50</v>
      </c>
      <c r="I4148" t="s">
        <v>24</v>
      </c>
      <c r="J4148" t="s">
        <v>25</v>
      </c>
      <c r="K4148" t="s">
        <v>53</v>
      </c>
      <c r="L4148" t="s">
        <v>27</v>
      </c>
      <c r="M4148">
        <v>6</v>
      </c>
      <c r="N4148" s="2">
        <v>56</v>
      </c>
      <c r="O4148" s="3">
        <v>9185</v>
      </c>
      <c r="P4148">
        <v>0</v>
      </c>
      <c r="Q4148">
        <v>4</v>
      </c>
      <c r="R4148" t="s">
        <v>28</v>
      </c>
      <c r="S4148">
        <v>1</v>
      </c>
    </row>
    <row r="4149" spans="1:19" ht="16.5" x14ac:dyDescent="0.3">
      <c r="A4149" t="s">
        <v>4212</v>
      </c>
      <c r="B4149" s="1">
        <v>45833</v>
      </c>
      <c r="C4149" s="1">
        <v>45835</v>
      </c>
      <c r="D4149">
        <v>2025</v>
      </c>
      <c r="E4149" t="s">
        <v>836</v>
      </c>
      <c r="F4149" t="s">
        <v>1264</v>
      </c>
      <c r="G4149" t="s">
        <v>70</v>
      </c>
      <c r="H4149" t="s">
        <v>30</v>
      </c>
      <c r="I4149" t="s">
        <v>40</v>
      </c>
      <c r="J4149" t="s">
        <v>25</v>
      </c>
      <c r="K4149" t="s">
        <v>32</v>
      </c>
      <c r="L4149" t="s">
        <v>44</v>
      </c>
      <c r="M4149">
        <v>2</v>
      </c>
      <c r="N4149" s="2"/>
      <c r="O4149" s="3">
        <v>2850</v>
      </c>
      <c r="P4149">
        <v>0</v>
      </c>
      <c r="Q4149">
        <v>3</v>
      </c>
      <c r="R4149" t="s">
        <v>33</v>
      </c>
      <c r="S4149">
        <v>1</v>
      </c>
    </row>
    <row r="4150" spans="1:19" ht="16.5" x14ac:dyDescent="0.3">
      <c r="A4150" t="s">
        <v>4213</v>
      </c>
      <c r="B4150" s="1">
        <v>45833</v>
      </c>
      <c r="C4150" s="1">
        <v>45835</v>
      </c>
      <c r="D4150">
        <v>2025</v>
      </c>
      <c r="E4150" t="s">
        <v>836</v>
      </c>
      <c r="F4150" t="s">
        <v>1264</v>
      </c>
      <c r="G4150" t="s">
        <v>70</v>
      </c>
      <c r="H4150" t="s">
        <v>50</v>
      </c>
      <c r="I4150" t="s">
        <v>24</v>
      </c>
      <c r="J4150" t="s">
        <v>43</v>
      </c>
      <c r="K4150" t="s">
        <v>26</v>
      </c>
      <c r="L4150" t="s">
        <v>27</v>
      </c>
      <c r="M4150">
        <v>2</v>
      </c>
      <c r="N4150" s="2">
        <v>48</v>
      </c>
      <c r="O4150" s="3">
        <v>2939</v>
      </c>
      <c r="P4150">
        <v>1</v>
      </c>
      <c r="Q4150">
        <v>3</v>
      </c>
      <c r="R4150" t="s">
        <v>28</v>
      </c>
      <c r="S4150">
        <v>1</v>
      </c>
    </row>
    <row r="4151" spans="1:19" ht="16.5" x14ac:dyDescent="0.3">
      <c r="A4151" t="s">
        <v>4214</v>
      </c>
      <c r="B4151" s="1">
        <v>45833</v>
      </c>
      <c r="C4151" s="1">
        <v>45841</v>
      </c>
      <c r="D4151">
        <v>2025</v>
      </c>
      <c r="E4151" t="s">
        <v>836</v>
      </c>
      <c r="F4151" t="s">
        <v>1264</v>
      </c>
      <c r="G4151" t="s">
        <v>70</v>
      </c>
      <c r="H4151" t="s">
        <v>23</v>
      </c>
      <c r="I4151" t="s">
        <v>24</v>
      </c>
      <c r="J4151" t="s">
        <v>43</v>
      </c>
      <c r="K4151" t="s">
        <v>53</v>
      </c>
      <c r="L4151" t="s">
        <v>44</v>
      </c>
      <c r="M4151">
        <v>8</v>
      </c>
      <c r="N4151" s="2">
        <v>15</v>
      </c>
      <c r="O4151" s="3">
        <v>5632</v>
      </c>
      <c r="P4151">
        <v>0</v>
      </c>
      <c r="Q4151">
        <v>4</v>
      </c>
      <c r="R4151" t="s">
        <v>33</v>
      </c>
      <c r="S4151">
        <v>1</v>
      </c>
    </row>
    <row r="4152" spans="1:19" ht="16.5" x14ac:dyDescent="0.3">
      <c r="A4152" t="s">
        <v>4215</v>
      </c>
      <c r="B4152" s="1">
        <v>45834</v>
      </c>
      <c r="C4152" s="1">
        <v>45838</v>
      </c>
      <c r="D4152">
        <v>2025</v>
      </c>
      <c r="E4152" t="s">
        <v>836</v>
      </c>
      <c r="F4152" t="s">
        <v>1264</v>
      </c>
      <c r="G4152" t="s">
        <v>78</v>
      </c>
      <c r="H4152" t="s">
        <v>23</v>
      </c>
      <c r="I4152" t="s">
        <v>24</v>
      </c>
      <c r="J4152" t="s">
        <v>25</v>
      </c>
      <c r="K4152" t="s">
        <v>53</v>
      </c>
      <c r="L4152" t="s">
        <v>44</v>
      </c>
      <c r="M4152">
        <v>4</v>
      </c>
      <c r="N4152" s="2">
        <v>73</v>
      </c>
      <c r="O4152" s="3">
        <v>4239</v>
      </c>
      <c r="P4152">
        <v>0</v>
      </c>
      <c r="Q4152">
        <v>5</v>
      </c>
      <c r="R4152" t="s">
        <v>33</v>
      </c>
      <c r="S4152">
        <v>1</v>
      </c>
    </row>
    <row r="4153" spans="1:19" ht="16.5" x14ac:dyDescent="0.3">
      <c r="A4153" t="s">
        <v>4216</v>
      </c>
      <c r="B4153" s="1">
        <v>45834</v>
      </c>
      <c r="C4153" s="1">
        <v>45850</v>
      </c>
      <c r="D4153">
        <v>2025</v>
      </c>
      <c r="E4153" t="s">
        <v>836</v>
      </c>
      <c r="F4153" t="s">
        <v>1264</v>
      </c>
      <c r="G4153" t="s">
        <v>78</v>
      </c>
      <c r="H4153" t="s">
        <v>23</v>
      </c>
      <c r="I4153" t="s">
        <v>24</v>
      </c>
      <c r="J4153" t="s">
        <v>43</v>
      </c>
      <c r="K4153" t="s">
        <v>32</v>
      </c>
      <c r="L4153" t="s">
        <v>27</v>
      </c>
      <c r="M4153">
        <v>16</v>
      </c>
      <c r="N4153" s="2">
        <v>24</v>
      </c>
      <c r="O4153" s="3">
        <v>13430</v>
      </c>
      <c r="P4153">
        <v>0</v>
      </c>
      <c r="Q4153">
        <v>4</v>
      </c>
      <c r="R4153" t="s">
        <v>33</v>
      </c>
      <c r="S4153">
        <v>1</v>
      </c>
    </row>
    <row r="4154" spans="1:19" ht="16.5" x14ac:dyDescent="0.3">
      <c r="A4154" t="s">
        <v>4217</v>
      </c>
      <c r="B4154" s="1">
        <v>45834</v>
      </c>
      <c r="C4154" s="1">
        <v>45839</v>
      </c>
      <c r="D4154">
        <v>2025</v>
      </c>
      <c r="E4154" t="s">
        <v>836</v>
      </c>
      <c r="F4154" t="s">
        <v>1264</v>
      </c>
      <c r="G4154" t="s">
        <v>78</v>
      </c>
      <c r="H4154" t="s">
        <v>35</v>
      </c>
      <c r="I4154" t="s">
        <v>24</v>
      </c>
      <c r="J4154" t="s">
        <v>25</v>
      </c>
      <c r="K4154" t="s">
        <v>32</v>
      </c>
      <c r="L4154" t="s">
        <v>37</v>
      </c>
      <c r="M4154">
        <v>5</v>
      </c>
      <c r="N4154" s="2">
        <v>35</v>
      </c>
      <c r="O4154" s="3">
        <v>4736</v>
      </c>
      <c r="P4154">
        <v>0</v>
      </c>
      <c r="Q4154">
        <v>5</v>
      </c>
      <c r="R4154" t="s">
        <v>33</v>
      </c>
      <c r="S4154">
        <v>1</v>
      </c>
    </row>
    <row r="4155" spans="1:19" ht="16.5" x14ac:dyDescent="0.3">
      <c r="A4155" t="s">
        <v>4218</v>
      </c>
      <c r="B4155" s="1">
        <v>45834</v>
      </c>
      <c r="C4155" s="1">
        <v>45839</v>
      </c>
      <c r="D4155">
        <v>2025</v>
      </c>
      <c r="E4155" t="s">
        <v>836</v>
      </c>
      <c r="F4155" t="s">
        <v>1264</v>
      </c>
      <c r="G4155" t="s">
        <v>78</v>
      </c>
      <c r="H4155" t="s">
        <v>23</v>
      </c>
      <c r="I4155" t="s">
        <v>24</v>
      </c>
      <c r="J4155" t="s">
        <v>25</v>
      </c>
      <c r="K4155" t="s">
        <v>32</v>
      </c>
      <c r="L4155" t="s">
        <v>44</v>
      </c>
      <c r="M4155">
        <v>5</v>
      </c>
      <c r="N4155" s="2">
        <v>41</v>
      </c>
      <c r="O4155" s="3">
        <v>3927</v>
      </c>
      <c r="P4155">
        <v>0</v>
      </c>
      <c r="Q4155">
        <v>4</v>
      </c>
      <c r="R4155" t="s">
        <v>33</v>
      </c>
      <c r="S4155">
        <v>1</v>
      </c>
    </row>
    <row r="4156" spans="1:19" ht="16.5" x14ac:dyDescent="0.3">
      <c r="A4156" t="s">
        <v>4219</v>
      </c>
      <c r="B4156" s="1">
        <v>45834</v>
      </c>
      <c r="C4156" s="1">
        <v>45839</v>
      </c>
      <c r="D4156">
        <v>2025</v>
      </c>
      <c r="E4156" t="s">
        <v>836</v>
      </c>
      <c r="F4156" t="s">
        <v>1264</v>
      </c>
      <c r="G4156" t="s">
        <v>78</v>
      </c>
      <c r="H4156" t="s">
        <v>52</v>
      </c>
      <c r="I4156" t="s">
        <v>40</v>
      </c>
      <c r="J4156" t="s">
        <v>25</v>
      </c>
      <c r="K4156" t="s">
        <v>53</v>
      </c>
      <c r="L4156" t="s">
        <v>44</v>
      </c>
      <c r="M4156">
        <v>5</v>
      </c>
      <c r="N4156" s="2"/>
      <c r="O4156" s="3">
        <v>5136</v>
      </c>
      <c r="P4156">
        <v>0</v>
      </c>
      <c r="Q4156">
        <v>4</v>
      </c>
      <c r="R4156" t="s">
        <v>28</v>
      </c>
      <c r="S4156">
        <v>1</v>
      </c>
    </row>
    <row r="4157" spans="1:19" ht="16.5" x14ac:dyDescent="0.3">
      <c r="A4157" t="s">
        <v>4220</v>
      </c>
      <c r="B4157" s="1">
        <v>45835</v>
      </c>
      <c r="C4157" s="1">
        <v>45837</v>
      </c>
      <c r="D4157">
        <v>2025</v>
      </c>
      <c r="E4157" t="s">
        <v>836</v>
      </c>
      <c r="F4157" t="s">
        <v>1264</v>
      </c>
      <c r="G4157" t="s">
        <v>83</v>
      </c>
      <c r="H4157" t="s">
        <v>52</v>
      </c>
      <c r="I4157" t="s">
        <v>40</v>
      </c>
      <c r="J4157" t="s">
        <v>43</v>
      </c>
      <c r="K4157" t="s">
        <v>26</v>
      </c>
      <c r="L4157" t="s">
        <v>27</v>
      </c>
      <c r="M4157">
        <v>2</v>
      </c>
      <c r="N4157" s="2"/>
      <c r="O4157" s="3">
        <v>3428</v>
      </c>
      <c r="P4157">
        <v>0</v>
      </c>
      <c r="Q4157">
        <v>4</v>
      </c>
      <c r="R4157" t="s">
        <v>28</v>
      </c>
      <c r="S4157">
        <v>1</v>
      </c>
    </row>
    <row r="4158" spans="1:19" ht="16.5" x14ac:dyDescent="0.3">
      <c r="A4158" t="s">
        <v>4221</v>
      </c>
      <c r="B4158" s="1">
        <v>45835</v>
      </c>
      <c r="C4158" s="1">
        <v>45838</v>
      </c>
      <c r="D4158">
        <v>2025</v>
      </c>
      <c r="E4158" t="s">
        <v>836</v>
      </c>
      <c r="F4158" t="s">
        <v>1264</v>
      </c>
      <c r="G4158" t="s">
        <v>83</v>
      </c>
      <c r="H4158" t="s">
        <v>39</v>
      </c>
      <c r="I4158" t="s">
        <v>40</v>
      </c>
      <c r="J4158" t="s">
        <v>43</v>
      </c>
      <c r="K4158" t="s">
        <v>41</v>
      </c>
      <c r="L4158" t="s">
        <v>44</v>
      </c>
      <c r="M4158">
        <v>3</v>
      </c>
      <c r="N4158" s="2"/>
      <c r="O4158" s="3">
        <v>1980</v>
      </c>
      <c r="P4158">
        <v>0</v>
      </c>
      <c r="Q4158">
        <v>4</v>
      </c>
      <c r="R4158" t="s">
        <v>33</v>
      </c>
      <c r="S4158">
        <v>1</v>
      </c>
    </row>
    <row r="4159" spans="1:19" ht="16.5" x14ac:dyDescent="0.3">
      <c r="A4159" t="s">
        <v>4222</v>
      </c>
      <c r="B4159" s="1">
        <v>45835</v>
      </c>
      <c r="C4159" s="1">
        <v>45841</v>
      </c>
      <c r="D4159">
        <v>2025</v>
      </c>
      <c r="E4159" t="s">
        <v>836</v>
      </c>
      <c r="F4159" t="s">
        <v>1264</v>
      </c>
      <c r="G4159" t="s">
        <v>83</v>
      </c>
      <c r="H4159" t="s">
        <v>30</v>
      </c>
      <c r="I4159" t="s">
        <v>24</v>
      </c>
      <c r="J4159" t="s">
        <v>43</v>
      </c>
      <c r="K4159" t="s">
        <v>36</v>
      </c>
      <c r="L4159" t="s">
        <v>37</v>
      </c>
      <c r="M4159">
        <v>6</v>
      </c>
      <c r="N4159" s="2">
        <v>77</v>
      </c>
      <c r="O4159" s="3">
        <v>5648</v>
      </c>
      <c r="P4159">
        <v>0</v>
      </c>
      <c r="Q4159">
        <v>4</v>
      </c>
      <c r="R4159" t="s">
        <v>33</v>
      </c>
      <c r="S4159">
        <v>1</v>
      </c>
    </row>
    <row r="4160" spans="1:19" ht="16.5" x14ac:dyDescent="0.3">
      <c r="A4160" t="s">
        <v>4223</v>
      </c>
      <c r="B4160" s="1">
        <v>45835</v>
      </c>
      <c r="C4160" s="1">
        <v>45840</v>
      </c>
      <c r="D4160">
        <v>2025</v>
      </c>
      <c r="E4160" t="s">
        <v>836</v>
      </c>
      <c r="F4160" t="s">
        <v>1264</v>
      </c>
      <c r="G4160" t="s">
        <v>83</v>
      </c>
      <c r="H4160" t="s">
        <v>52</v>
      </c>
      <c r="I4160" t="s">
        <v>40</v>
      </c>
      <c r="J4160" t="s">
        <v>25</v>
      </c>
      <c r="K4160" t="s">
        <v>26</v>
      </c>
      <c r="L4160" t="s">
        <v>27</v>
      </c>
      <c r="M4160">
        <v>5</v>
      </c>
      <c r="N4160" s="2"/>
      <c r="O4160" s="3">
        <v>3862</v>
      </c>
      <c r="P4160">
        <v>0</v>
      </c>
      <c r="Q4160">
        <v>5</v>
      </c>
      <c r="R4160" t="s">
        <v>28</v>
      </c>
      <c r="S4160">
        <v>1</v>
      </c>
    </row>
    <row r="4161" spans="1:19" ht="16.5" x14ac:dyDescent="0.3">
      <c r="A4161" t="s">
        <v>4224</v>
      </c>
      <c r="B4161" s="1">
        <v>45835</v>
      </c>
      <c r="C4161" s="1">
        <v>45837</v>
      </c>
      <c r="D4161">
        <v>2025</v>
      </c>
      <c r="E4161" t="s">
        <v>836</v>
      </c>
      <c r="F4161" t="s">
        <v>1264</v>
      </c>
      <c r="G4161" t="s">
        <v>83</v>
      </c>
      <c r="H4161" t="s">
        <v>23</v>
      </c>
      <c r="I4161" t="s">
        <v>31</v>
      </c>
      <c r="J4161" t="s">
        <v>25</v>
      </c>
      <c r="K4161" t="s">
        <v>32</v>
      </c>
      <c r="L4161" t="s">
        <v>44</v>
      </c>
      <c r="M4161">
        <v>2</v>
      </c>
      <c r="N4161" s="2"/>
      <c r="O4161" s="3">
        <v>1604</v>
      </c>
      <c r="P4161">
        <v>0</v>
      </c>
      <c r="Q4161">
        <v>5</v>
      </c>
      <c r="R4161" t="s">
        <v>33</v>
      </c>
      <c r="S4161">
        <v>1</v>
      </c>
    </row>
    <row r="4162" spans="1:19" ht="16.5" x14ac:dyDescent="0.3">
      <c r="A4162" t="s">
        <v>4225</v>
      </c>
      <c r="B4162" s="1">
        <v>45835</v>
      </c>
      <c r="C4162" s="1">
        <v>45843</v>
      </c>
      <c r="D4162">
        <v>2025</v>
      </c>
      <c r="E4162" t="s">
        <v>836</v>
      </c>
      <c r="F4162" t="s">
        <v>1264</v>
      </c>
      <c r="G4162" t="s">
        <v>83</v>
      </c>
      <c r="H4162" t="s">
        <v>50</v>
      </c>
      <c r="I4162" t="s">
        <v>24</v>
      </c>
      <c r="J4162" t="s">
        <v>25</v>
      </c>
      <c r="K4162" t="s">
        <v>26</v>
      </c>
      <c r="L4162" t="s">
        <v>44</v>
      </c>
      <c r="M4162">
        <v>8</v>
      </c>
      <c r="N4162" s="2">
        <v>104</v>
      </c>
      <c r="O4162" s="3">
        <v>11306</v>
      </c>
      <c r="P4162">
        <v>1</v>
      </c>
      <c r="Q4162">
        <v>2</v>
      </c>
      <c r="R4162" t="s">
        <v>28</v>
      </c>
      <c r="S4162">
        <v>1</v>
      </c>
    </row>
    <row r="4163" spans="1:19" ht="16.5" x14ac:dyDescent="0.3">
      <c r="A4163" t="s">
        <v>4226</v>
      </c>
      <c r="B4163" s="1">
        <v>45835</v>
      </c>
      <c r="C4163" s="1">
        <v>45845</v>
      </c>
      <c r="D4163">
        <v>2025</v>
      </c>
      <c r="E4163" t="s">
        <v>836</v>
      </c>
      <c r="F4163" t="s">
        <v>1264</v>
      </c>
      <c r="G4163" t="s">
        <v>83</v>
      </c>
      <c r="H4163" t="s">
        <v>30</v>
      </c>
      <c r="I4163" t="s">
        <v>40</v>
      </c>
      <c r="J4163" t="s">
        <v>25</v>
      </c>
      <c r="K4163" t="s">
        <v>26</v>
      </c>
      <c r="L4163" t="s">
        <v>44</v>
      </c>
      <c r="M4163">
        <v>10</v>
      </c>
      <c r="N4163" s="2"/>
      <c r="O4163" s="3">
        <v>13066</v>
      </c>
      <c r="P4163">
        <v>0</v>
      </c>
      <c r="Q4163">
        <v>5</v>
      </c>
      <c r="R4163" t="s">
        <v>59</v>
      </c>
      <c r="S4163">
        <v>1</v>
      </c>
    </row>
    <row r="4164" spans="1:19" ht="16.5" x14ac:dyDescent="0.3">
      <c r="A4164" t="s">
        <v>4227</v>
      </c>
      <c r="B4164" s="1">
        <v>45835</v>
      </c>
      <c r="C4164" s="1">
        <v>45838</v>
      </c>
      <c r="D4164">
        <v>2025</v>
      </c>
      <c r="E4164" t="s">
        <v>836</v>
      </c>
      <c r="F4164" t="s">
        <v>1264</v>
      </c>
      <c r="G4164" t="s">
        <v>83</v>
      </c>
      <c r="H4164" t="s">
        <v>23</v>
      </c>
      <c r="I4164" t="s">
        <v>40</v>
      </c>
      <c r="J4164" t="s">
        <v>25</v>
      </c>
      <c r="K4164" t="s">
        <v>32</v>
      </c>
      <c r="L4164" t="s">
        <v>44</v>
      </c>
      <c r="M4164">
        <v>3</v>
      </c>
      <c r="N4164" s="2"/>
      <c r="O4164" s="3">
        <v>3238</v>
      </c>
      <c r="P4164">
        <v>0</v>
      </c>
      <c r="Q4164">
        <v>5</v>
      </c>
      <c r="R4164" t="s">
        <v>33</v>
      </c>
      <c r="S4164">
        <v>1</v>
      </c>
    </row>
    <row r="4165" spans="1:19" ht="16.5" x14ac:dyDescent="0.3">
      <c r="A4165" t="s">
        <v>4228</v>
      </c>
      <c r="B4165" s="1">
        <v>45835</v>
      </c>
      <c r="C4165" s="1">
        <v>45842</v>
      </c>
      <c r="D4165">
        <v>2025</v>
      </c>
      <c r="E4165" t="s">
        <v>836</v>
      </c>
      <c r="F4165" t="s">
        <v>1264</v>
      </c>
      <c r="G4165" t="s">
        <v>83</v>
      </c>
      <c r="H4165" t="s">
        <v>39</v>
      </c>
      <c r="I4165" t="s">
        <v>24</v>
      </c>
      <c r="J4165" t="s">
        <v>25</v>
      </c>
      <c r="K4165" t="s">
        <v>41</v>
      </c>
      <c r="L4165" t="s">
        <v>44</v>
      </c>
      <c r="M4165">
        <v>7</v>
      </c>
      <c r="N4165" s="2">
        <v>41</v>
      </c>
      <c r="O4165" s="3">
        <v>5605</v>
      </c>
      <c r="P4165">
        <v>0</v>
      </c>
      <c r="Q4165">
        <v>4</v>
      </c>
      <c r="R4165" t="s">
        <v>33</v>
      </c>
      <c r="S4165">
        <v>1</v>
      </c>
    </row>
    <row r="4166" spans="1:19" ht="16.5" x14ac:dyDescent="0.3">
      <c r="A4166" t="s">
        <v>4229</v>
      </c>
      <c r="B4166" s="1">
        <v>45836</v>
      </c>
      <c r="C4166" s="1">
        <v>45847</v>
      </c>
      <c r="D4166">
        <v>2025</v>
      </c>
      <c r="E4166" t="s">
        <v>836</v>
      </c>
      <c r="F4166" t="s">
        <v>1264</v>
      </c>
      <c r="G4166" t="s">
        <v>102</v>
      </c>
      <c r="H4166" t="s">
        <v>52</v>
      </c>
      <c r="I4166" t="s">
        <v>24</v>
      </c>
      <c r="J4166" t="s">
        <v>43</v>
      </c>
      <c r="K4166" t="s">
        <v>26</v>
      </c>
      <c r="L4166" t="s">
        <v>44</v>
      </c>
      <c r="M4166">
        <v>11</v>
      </c>
      <c r="N4166" s="2">
        <v>48</v>
      </c>
      <c r="O4166" s="3">
        <v>9433</v>
      </c>
      <c r="P4166">
        <v>0</v>
      </c>
      <c r="Q4166">
        <v>4</v>
      </c>
      <c r="R4166" t="s">
        <v>33</v>
      </c>
      <c r="S4166">
        <v>1</v>
      </c>
    </row>
    <row r="4167" spans="1:19" ht="16.5" x14ac:dyDescent="0.3">
      <c r="A4167" t="s">
        <v>4230</v>
      </c>
      <c r="B4167" s="1">
        <v>45836</v>
      </c>
      <c r="C4167" s="1">
        <v>45845</v>
      </c>
      <c r="D4167">
        <v>2025</v>
      </c>
      <c r="E4167" t="s">
        <v>836</v>
      </c>
      <c r="F4167" t="s">
        <v>1264</v>
      </c>
      <c r="G4167" t="s">
        <v>102</v>
      </c>
      <c r="H4167" t="s">
        <v>30</v>
      </c>
      <c r="I4167" t="s">
        <v>40</v>
      </c>
      <c r="J4167" t="s">
        <v>43</v>
      </c>
      <c r="K4167" t="s">
        <v>53</v>
      </c>
      <c r="L4167" t="s">
        <v>44</v>
      </c>
      <c r="M4167">
        <v>9</v>
      </c>
      <c r="N4167" s="2"/>
      <c r="O4167" s="3">
        <v>7687</v>
      </c>
      <c r="P4167">
        <v>0</v>
      </c>
      <c r="Q4167">
        <v>4</v>
      </c>
      <c r="R4167" t="s">
        <v>33</v>
      </c>
      <c r="S4167">
        <v>1</v>
      </c>
    </row>
    <row r="4168" spans="1:19" ht="16.5" x14ac:dyDescent="0.3">
      <c r="A4168" t="s">
        <v>4231</v>
      </c>
      <c r="B4168" s="1">
        <v>45836</v>
      </c>
      <c r="C4168" s="1">
        <v>45846</v>
      </c>
      <c r="D4168">
        <v>2025</v>
      </c>
      <c r="E4168" t="s">
        <v>836</v>
      </c>
      <c r="F4168" t="s">
        <v>1264</v>
      </c>
      <c r="G4168" t="s">
        <v>102</v>
      </c>
      <c r="H4168" t="s">
        <v>23</v>
      </c>
      <c r="I4168" t="s">
        <v>24</v>
      </c>
      <c r="J4168" t="s">
        <v>25</v>
      </c>
      <c r="K4168" t="s">
        <v>32</v>
      </c>
      <c r="L4168" t="s">
        <v>27</v>
      </c>
      <c r="M4168">
        <v>10</v>
      </c>
      <c r="N4168" s="2">
        <v>37</v>
      </c>
      <c r="O4168" s="3">
        <v>6500</v>
      </c>
      <c r="P4168">
        <v>0</v>
      </c>
      <c r="Q4168">
        <v>3</v>
      </c>
      <c r="R4168" t="s">
        <v>33</v>
      </c>
      <c r="S4168">
        <v>1</v>
      </c>
    </row>
    <row r="4169" spans="1:19" ht="16.5" x14ac:dyDescent="0.3">
      <c r="A4169" t="s">
        <v>4232</v>
      </c>
      <c r="B4169" s="1">
        <v>45836</v>
      </c>
      <c r="C4169" s="1">
        <v>45839</v>
      </c>
      <c r="D4169">
        <v>2025</v>
      </c>
      <c r="E4169" t="s">
        <v>836</v>
      </c>
      <c r="F4169" t="s">
        <v>1264</v>
      </c>
      <c r="G4169" t="s">
        <v>102</v>
      </c>
      <c r="H4169" t="s">
        <v>30</v>
      </c>
      <c r="I4169" t="s">
        <v>40</v>
      </c>
      <c r="J4169" t="s">
        <v>25</v>
      </c>
      <c r="K4169" t="s">
        <v>53</v>
      </c>
      <c r="L4169" t="s">
        <v>27</v>
      </c>
      <c r="M4169">
        <v>3</v>
      </c>
      <c r="N4169" s="2"/>
      <c r="O4169" s="3">
        <v>3356</v>
      </c>
      <c r="P4169">
        <v>0</v>
      </c>
      <c r="Q4169">
        <v>5</v>
      </c>
      <c r="R4169" t="s">
        <v>33</v>
      </c>
      <c r="S4169">
        <v>1</v>
      </c>
    </row>
    <row r="4170" spans="1:19" ht="16.5" x14ac:dyDescent="0.3">
      <c r="A4170" t="s">
        <v>4233</v>
      </c>
      <c r="B4170" s="1">
        <v>45836</v>
      </c>
      <c r="C4170" s="1">
        <v>45838</v>
      </c>
      <c r="D4170">
        <v>2025</v>
      </c>
      <c r="E4170" t="s">
        <v>836</v>
      </c>
      <c r="F4170" t="s">
        <v>1264</v>
      </c>
      <c r="G4170" t="s">
        <v>102</v>
      </c>
      <c r="H4170" t="s">
        <v>52</v>
      </c>
      <c r="I4170" t="s">
        <v>40</v>
      </c>
      <c r="J4170" t="s">
        <v>43</v>
      </c>
      <c r="K4170" t="s">
        <v>36</v>
      </c>
      <c r="L4170" t="s">
        <v>27</v>
      </c>
      <c r="M4170">
        <v>2</v>
      </c>
      <c r="N4170" s="2"/>
      <c r="O4170" s="3">
        <v>3882</v>
      </c>
      <c r="P4170">
        <v>0</v>
      </c>
      <c r="Q4170">
        <v>4</v>
      </c>
      <c r="R4170" t="s">
        <v>33</v>
      </c>
      <c r="S4170">
        <v>1</v>
      </c>
    </row>
    <row r="4171" spans="1:19" ht="16.5" x14ac:dyDescent="0.3">
      <c r="A4171" t="s">
        <v>4234</v>
      </c>
      <c r="B4171" s="1">
        <v>45836</v>
      </c>
      <c r="C4171" s="1">
        <v>45843</v>
      </c>
      <c r="D4171">
        <v>2025</v>
      </c>
      <c r="E4171" t="s">
        <v>836</v>
      </c>
      <c r="F4171" t="s">
        <v>1264</v>
      </c>
      <c r="G4171" t="s">
        <v>102</v>
      </c>
      <c r="H4171" t="s">
        <v>50</v>
      </c>
      <c r="I4171" t="s">
        <v>24</v>
      </c>
      <c r="J4171" t="s">
        <v>43</v>
      </c>
      <c r="K4171" t="s">
        <v>26</v>
      </c>
      <c r="L4171" t="s">
        <v>44</v>
      </c>
      <c r="M4171">
        <v>7</v>
      </c>
      <c r="N4171" s="2">
        <v>112</v>
      </c>
      <c r="O4171" s="3">
        <v>9655</v>
      </c>
      <c r="P4171">
        <v>0</v>
      </c>
      <c r="Q4171">
        <v>4</v>
      </c>
      <c r="R4171" t="s">
        <v>33</v>
      </c>
      <c r="S4171">
        <v>1</v>
      </c>
    </row>
    <row r="4172" spans="1:19" ht="16.5" x14ac:dyDescent="0.3">
      <c r="A4172" t="s">
        <v>4235</v>
      </c>
      <c r="B4172" s="1">
        <v>45836</v>
      </c>
      <c r="C4172" s="1">
        <v>45848</v>
      </c>
      <c r="D4172">
        <v>2025</v>
      </c>
      <c r="E4172" t="s">
        <v>836</v>
      </c>
      <c r="F4172" t="s">
        <v>1264</v>
      </c>
      <c r="G4172" t="s">
        <v>102</v>
      </c>
      <c r="H4172" t="s">
        <v>23</v>
      </c>
      <c r="I4172" t="s">
        <v>24</v>
      </c>
      <c r="J4172" t="s">
        <v>25</v>
      </c>
      <c r="K4172" t="s">
        <v>53</v>
      </c>
      <c r="L4172" t="s">
        <v>27</v>
      </c>
      <c r="M4172">
        <v>12</v>
      </c>
      <c r="N4172" s="2">
        <v>22</v>
      </c>
      <c r="O4172" s="3">
        <v>9232</v>
      </c>
      <c r="P4172">
        <v>0</v>
      </c>
      <c r="Q4172">
        <v>4</v>
      </c>
      <c r="R4172" t="s">
        <v>33</v>
      </c>
      <c r="S4172">
        <v>1</v>
      </c>
    </row>
    <row r="4173" spans="1:19" ht="16.5" x14ac:dyDescent="0.3">
      <c r="A4173" t="s">
        <v>4236</v>
      </c>
      <c r="B4173" s="1">
        <v>45836</v>
      </c>
      <c r="C4173" s="1">
        <v>45840</v>
      </c>
      <c r="D4173">
        <v>2025</v>
      </c>
      <c r="E4173" t="s">
        <v>836</v>
      </c>
      <c r="F4173" t="s">
        <v>1264</v>
      </c>
      <c r="G4173" t="s">
        <v>102</v>
      </c>
      <c r="H4173" t="s">
        <v>39</v>
      </c>
      <c r="I4173" t="s">
        <v>31</v>
      </c>
      <c r="J4173" t="s">
        <v>25</v>
      </c>
      <c r="K4173" t="s">
        <v>41</v>
      </c>
      <c r="L4173" t="s">
        <v>44</v>
      </c>
      <c r="M4173">
        <v>4</v>
      </c>
      <c r="N4173" s="2"/>
      <c r="O4173" s="3">
        <v>2758</v>
      </c>
      <c r="P4173">
        <v>0</v>
      </c>
      <c r="Q4173">
        <v>4</v>
      </c>
      <c r="R4173" t="s">
        <v>33</v>
      </c>
      <c r="S4173">
        <v>1</v>
      </c>
    </row>
    <row r="4174" spans="1:19" ht="16.5" x14ac:dyDescent="0.3">
      <c r="A4174" t="s">
        <v>4237</v>
      </c>
      <c r="B4174" s="1">
        <v>45836</v>
      </c>
      <c r="C4174" s="1">
        <v>45837</v>
      </c>
      <c r="D4174">
        <v>2025</v>
      </c>
      <c r="E4174" t="s">
        <v>836</v>
      </c>
      <c r="F4174" t="s">
        <v>1264</v>
      </c>
      <c r="G4174" t="s">
        <v>102</v>
      </c>
      <c r="H4174" t="s">
        <v>23</v>
      </c>
      <c r="I4174" t="s">
        <v>31</v>
      </c>
      <c r="J4174" t="s">
        <v>25</v>
      </c>
      <c r="K4174" t="s">
        <v>36</v>
      </c>
      <c r="L4174" t="s">
        <v>37</v>
      </c>
      <c r="M4174">
        <v>1</v>
      </c>
      <c r="N4174" s="2"/>
      <c r="O4174" s="3">
        <v>1217</v>
      </c>
      <c r="P4174">
        <v>0</v>
      </c>
      <c r="Q4174">
        <v>4</v>
      </c>
      <c r="R4174" t="s">
        <v>59</v>
      </c>
      <c r="S4174">
        <v>1</v>
      </c>
    </row>
    <row r="4175" spans="1:19" ht="16.5" x14ac:dyDescent="0.3">
      <c r="A4175" t="s">
        <v>4238</v>
      </c>
      <c r="B4175" s="1">
        <v>45836</v>
      </c>
      <c r="C4175" s="1">
        <v>45840</v>
      </c>
      <c r="D4175">
        <v>2025</v>
      </c>
      <c r="E4175" t="s">
        <v>836</v>
      </c>
      <c r="F4175" t="s">
        <v>1264</v>
      </c>
      <c r="G4175" t="s">
        <v>102</v>
      </c>
      <c r="H4175" t="s">
        <v>35</v>
      </c>
      <c r="I4175" t="s">
        <v>24</v>
      </c>
      <c r="J4175" t="s">
        <v>25</v>
      </c>
      <c r="K4175" t="s">
        <v>36</v>
      </c>
      <c r="L4175" t="s">
        <v>44</v>
      </c>
      <c r="M4175">
        <v>4</v>
      </c>
      <c r="N4175" s="2">
        <v>57</v>
      </c>
      <c r="O4175" s="3">
        <v>3908</v>
      </c>
      <c r="P4175">
        <v>0</v>
      </c>
      <c r="Q4175">
        <v>5</v>
      </c>
      <c r="R4175" t="s">
        <v>28</v>
      </c>
      <c r="S4175">
        <v>1</v>
      </c>
    </row>
    <row r="4176" spans="1:19" ht="16.5" x14ac:dyDescent="0.3">
      <c r="A4176" t="s">
        <v>4239</v>
      </c>
      <c r="B4176" s="1">
        <v>45837</v>
      </c>
      <c r="C4176" s="1">
        <v>45838</v>
      </c>
      <c r="D4176">
        <v>2025</v>
      </c>
      <c r="E4176" t="s">
        <v>836</v>
      </c>
      <c r="F4176" t="s">
        <v>1264</v>
      </c>
      <c r="G4176" t="s">
        <v>112</v>
      </c>
      <c r="H4176" t="s">
        <v>39</v>
      </c>
      <c r="I4176" t="s">
        <v>24</v>
      </c>
      <c r="J4176" t="s">
        <v>25</v>
      </c>
      <c r="K4176" t="s">
        <v>41</v>
      </c>
      <c r="L4176" t="s">
        <v>27</v>
      </c>
      <c r="M4176">
        <v>1</v>
      </c>
      <c r="N4176" s="2">
        <v>50</v>
      </c>
      <c r="O4176" s="3">
        <v>1786</v>
      </c>
      <c r="P4176">
        <v>0</v>
      </c>
      <c r="Q4176">
        <v>5</v>
      </c>
      <c r="R4176" t="s">
        <v>33</v>
      </c>
      <c r="S4176">
        <v>1</v>
      </c>
    </row>
    <row r="4177" spans="1:19" ht="16.5" x14ac:dyDescent="0.3">
      <c r="A4177" t="s">
        <v>4240</v>
      </c>
      <c r="B4177" s="1">
        <v>45837</v>
      </c>
      <c r="C4177" s="1">
        <v>45841</v>
      </c>
      <c r="D4177">
        <v>2025</v>
      </c>
      <c r="E4177" t="s">
        <v>836</v>
      </c>
      <c r="F4177" t="s">
        <v>1264</v>
      </c>
      <c r="G4177" t="s">
        <v>112</v>
      </c>
      <c r="H4177" t="s">
        <v>23</v>
      </c>
      <c r="I4177" t="s">
        <v>24</v>
      </c>
      <c r="J4177" t="s">
        <v>43</v>
      </c>
      <c r="K4177" t="s">
        <v>26</v>
      </c>
      <c r="L4177" t="s">
        <v>27</v>
      </c>
      <c r="M4177">
        <v>4</v>
      </c>
      <c r="N4177" s="2">
        <v>51</v>
      </c>
      <c r="O4177" s="3">
        <v>2829</v>
      </c>
      <c r="P4177">
        <v>0</v>
      </c>
      <c r="Q4177">
        <v>4</v>
      </c>
      <c r="R4177" t="s">
        <v>33</v>
      </c>
      <c r="S4177">
        <v>1</v>
      </c>
    </row>
    <row r="4178" spans="1:19" ht="16.5" x14ac:dyDescent="0.3">
      <c r="A4178" t="s">
        <v>4241</v>
      </c>
      <c r="B4178" s="1">
        <v>45837</v>
      </c>
      <c r="C4178" s="1">
        <v>45839</v>
      </c>
      <c r="D4178">
        <v>2025</v>
      </c>
      <c r="E4178" t="s">
        <v>836</v>
      </c>
      <c r="F4178" t="s">
        <v>1264</v>
      </c>
      <c r="G4178" t="s">
        <v>112</v>
      </c>
      <c r="H4178" t="s">
        <v>30</v>
      </c>
      <c r="I4178" t="s">
        <v>40</v>
      </c>
      <c r="J4178" t="s">
        <v>25</v>
      </c>
      <c r="K4178" t="s">
        <v>26</v>
      </c>
      <c r="L4178" t="s">
        <v>44</v>
      </c>
      <c r="M4178">
        <v>2</v>
      </c>
      <c r="N4178" s="2"/>
      <c r="O4178" s="3">
        <v>2634</v>
      </c>
      <c r="P4178">
        <v>0</v>
      </c>
      <c r="Q4178">
        <v>5</v>
      </c>
      <c r="R4178" t="s">
        <v>33</v>
      </c>
      <c r="S4178">
        <v>1</v>
      </c>
    </row>
    <row r="4179" spans="1:19" ht="16.5" x14ac:dyDescent="0.3">
      <c r="A4179" t="s">
        <v>4242</v>
      </c>
      <c r="B4179" s="1">
        <v>45837</v>
      </c>
      <c r="C4179" s="1">
        <v>45839</v>
      </c>
      <c r="D4179">
        <v>2025</v>
      </c>
      <c r="E4179" t="s">
        <v>836</v>
      </c>
      <c r="F4179" t="s">
        <v>1264</v>
      </c>
      <c r="G4179" t="s">
        <v>112</v>
      </c>
      <c r="H4179" t="s">
        <v>23</v>
      </c>
      <c r="I4179" t="s">
        <v>24</v>
      </c>
      <c r="J4179" t="s">
        <v>25</v>
      </c>
      <c r="K4179" t="s">
        <v>26</v>
      </c>
      <c r="L4179" t="s">
        <v>44</v>
      </c>
      <c r="M4179">
        <v>2</v>
      </c>
      <c r="N4179" s="2">
        <v>38</v>
      </c>
      <c r="O4179" s="3">
        <v>1890</v>
      </c>
      <c r="P4179">
        <v>0</v>
      </c>
      <c r="Q4179">
        <v>5</v>
      </c>
      <c r="R4179" t="s">
        <v>33</v>
      </c>
      <c r="S4179">
        <v>1</v>
      </c>
    </row>
    <row r="4180" spans="1:19" ht="16.5" x14ac:dyDescent="0.3">
      <c r="A4180" t="s">
        <v>4243</v>
      </c>
      <c r="B4180" s="1">
        <v>45837</v>
      </c>
      <c r="C4180" s="1">
        <v>45840</v>
      </c>
      <c r="D4180">
        <v>2025</v>
      </c>
      <c r="E4180" t="s">
        <v>836</v>
      </c>
      <c r="F4180" t="s">
        <v>1264</v>
      </c>
      <c r="G4180" t="s">
        <v>112</v>
      </c>
      <c r="H4180" t="s">
        <v>39</v>
      </c>
      <c r="I4180" t="s">
        <v>24</v>
      </c>
      <c r="J4180" t="s">
        <v>25</v>
      </c>
      <c r="K4180" t="s">
        <v>41</v>
      </c>
      <c r="L4180" t="s">
        <v>44</v>
      </c>
      <c r="M4180">
        <v>3</v>
      </c>
      <c r="N4180" s="2">
        <v>34</v>
      </c>
      <c r="O4180" s="3">
        <v>3187</v>
      </c>
      <c r="P4180">
        <v>0</v>
      </c>
      <c r="Q4180">
        <v>4</v>
      </c>
      <c r="R4180" t="s">
        <v>33</v>
      </c>
      <c r="S4180">
        <v>1</v>
      </c>
    </row>
    <row r="4181" spans="1:19" ht="16.5" x14ac:dyDescent="0.3">
      <c r="A4181" t="s">
        <v>4244</v>
      </c>
      <c r="B4181" s="1">
        <v>45837</v>
      </c>
      <c r="C4181" s="1">
        <v>45843</v>
      </c>
      <c r="D4181">
        <v>2025</v>
      </c>
      <c r="E4181" t="s">
        <v>836</v>
      </c>
      <c r="F4181" t="s">
        <v>1264</v>
      </c>
      <c r="G4181" t="s">
        <v>112</v>
      </c>
      <c r="H4181" t="s">
        <v>30</v>
      </c>
      <c r="I4181" t="s">
        <v>40</v>
      </c>
      <c r="J4181" t="s">
        <v>25</v>
      </c>
      <c r="K4181" t="s">
        <v>36</v>
      </c>
      <c r="L4181" t="s">
        <v>27</v>
      </c>
      <c r="M4181">
        <v>6</v>
      </c>
      <c r="N4181" s="2"/>
      <c r="O4181" s="3">
        <v>6983</v>
      </c>
      <c r="P4181">
        <v>0</v>
      </c>
      <c r="Q4181">
        <v>3</v>
      </c>
      <c r="R4181" t="s">
        <v>33</v>
      </c>
      <c r="S4181">
        <v>1</v>
      </c>
    </row>
    <row r="4182" spans="1:19" ht="16.5" x14ac:dyDescent="0.3">
      <c r="A4182" t="s">
        <v>4245</v>
      </c>
      <c r="B4182" s="1">
        <v>45837</v>
      </c>
      <c r="C4182" s="1">
        <v>45840</v>
      </c>
      <c r="D4182">
        <v>2025</v>
      </c>
      <c r="E4182" t="s">
        <v>836</v>
      </c>
      <c r="F4182" t="s">
        <v>1264</v>
      </c>
      <c r="G4182" t="s">
        <v>112</v>
      </c>
      <c r="H4182" t="s">
        <v>35</v>
      </c>
      <c r="I4182" t="s">
        <v>24</v>
      </c>
      <c r="J4182" t="s">
        <v>25</v>
      </c>
      <c r="K4182" t="s">
        <v>36</v>
      </c>
      <c r="L4182" t="s">
        <v>44</v>
      </c>
      <c r="M4182">
        <v>3</v>
      </c>
      <c r="N4182" s="2">
        <v>10</v>
      </c>
      <c r="O4182" s="3">
        <v>2322</v>
      </c>
      <c r="P4182">
        <v>0</v>
      </c>
      <c r="Q4182">
        <v>4</v>
      </c>
      <c r="R4182" t="s">
        <v>33</v>
      </c>
      <c r="S4182">
        <v>1</v>
      </c>
    </row>
    <row r="4183" spans="1:19" ht="16.5" x14ac:dyDescent="0.3">
      <c r="A4183" t="s">
        <v>4246</v>
      </c>
      <c r="B4183" s="1">
        <v>45838</v>
      </c>
      <c r="C4183" s="1">
        <v>45840</v>
      </c>
      <c r="D4183">
        <v>2025</v>
      </c>
      <c r="E4183" t="s">
        <v>836</v>
      </c>
      <c r="F4183" t="s">
        <v>1264</v>
      </c>
      <c r="G4183" t="s">
        <v>22</v>
      </c>
      <c r="H4183" t="s">
        <v>23</v>
      </c>
      <c r="I4183" t="s">
        <v>24</v>
      </c>
      <c r="J4183" t="s">
        <v>43</v>
      </c>
      <c r="K4183" t="s">
        <v>53</v>
      </c>
      <c r="L4183" t="s">
        <v>27</v>
      </c>
      <c r="M4183">
        <v>2</v>
      </c>
      <c r="N4183" s="2">
        <v>140</v>
      </c>
      <c r="O4183" s="3">
        <v>2590</v>
      </c>
      <c r="P4183">
        <v>0</v>
      </c>
      <c r="Q4183">
        <v>4</v>
      </c>
      <c r="R4183" t="s">
        <v>28</v>
      </c>
      <c r="S4183">
        <v>1</v>
      </c>
    </row>
    <row r="4184" spans="1:19" ht="16.5" x14ac:dyDescent="0.3">
      <c r="A4184" t="s">
        <v>4247</v>
      </c>
      <c r="B4184" s="1">
        <v>45838</v>
      </c>
      <c r="C4184" s="1">
        <v>45844</v>
      </c>
      <c r="D4184">
        <v>2025</v>
      </c>
      <c r="E4184" t="s">
        <v>836</v>
      </c>
      <c r="F4184" t="s">
        <v>1264</v>
      </c>
      <c r="G4184" t="s">
        <v>22</v>
      </c>
      <c r="H4184" t="s">
        <v>23</v>
      </c>
      <c r="I4184" t="s">
        <v>24</v>
      </c>
      <c r="J4184" t="s">
        <v>25</v>
      </c>
      <c r="K4184" t="s">
        <v>26</v>
      </c>
      <c r="L4184" t="s">
        <v>27</v>
      </c>
      <c r="M4184">
        <v>6</v>
      </c>
      <c r="N4184" s="2">
        <v>14</v>
      </c>
      <c r="O4184" s="3">
        <v>3273</v>
      </c>
      <c r="P4184">
        <v>0</v>
      </c>
      <c r="Q4184">
        <v>4</v>
      </c>
      <c r="R4184" t="s">
        <v>33</v>
      </c>
      <c r="S4184">
        <v>1</v>
      </c>
    </row>
    <row r="4185" spans="1:19" ht="16.5" x14ac:dyDescent="0.3">
      <c r="A4185" t="s">
        <v>4248</v>
      </c>
      <c r="B4185" s="1">
        <v>45838</v>
      </c>
      <c r="C4185" s="1">
        <v>45844</v>
      </c>
      <c r="D4185">
        <v>2025</v>
      </c>
      <c r="E4185" t="s">
        <v>836</v>
      </c>
      <c r="F4185" t="s">
        <v>1264</v>
      </c>
      <c r="G4185" t="s">
        <v>22</v>
      </c>
      <c r="H4185" t="s">
        <v>52</v>
      </c>
      <c r="I4185" t="s">
        <v>40</v>
      </c>
      <c r="J4185" t="s">
        <v>43</v>
      </c>
      <c r="K4185" t="s">
        <v>53</v>
      </c>
      <c r="L4185" t="s">
        <v>27</v>
      </c>
      <c r="M4185">
        <v>6</v>
      </c>
      <c r="N4185" s="2"/>
      <c r="O4185" s="3">
        <v>5748</v>
      </c>
      <c r="P4185">
        <v>0</v>
      </c>
      <c r="Q4185">
        <v>5</v>
      </c>
      <c r="R4185" t="s">
        <v>28</v>
      </c>
      <c r="S4185">
        <v>1</v>
      </c>
    </row>
    <row r="4186" spans="1:19" ht="16.5" x14ac:dyDescent="0.3">
      <c r="A4186" t="s">
        <v>4249</v>
      </c>
      <c r="B4186" s="1">
        <v>45839</v>
      </c>
      <c r="C4186" s="1">
        <v>45850</v>
      </c>
      <c r="D4186">
        <v>2025</v>
      </c>
      <c r="E4186" t="s">
        <v>1445</v>
      </c>
      <c r="F4186" t="s">
        <v>1446</v>
      </c>
      <c r="G4186" t="s">
        <v>56</v>
      </c>
      <c r="H4186" t="s">
        <v>23</v>
      </c>
      <c r="I4186" t="s">
        <v>24</v>
      </c>
      <c r="J4186" t="s">
        <v>25</v>
      </c>
      <c r="K4186" t="s">
        <v>53</v>
      </c>
      <c r="L4186" t="s">
        <v>44</v>
      </c>
      <c r="M4186">
        <v>11</v>
      </c>
      <c r="N4186" s="2">
        <v>58</v>
      </c>
      <c r="O4186" s="3">
        <v>7798</v>
      </c>
      <c r="P4186">
        <v>0</v>
      </c>
      <c r="Q4186">
        <v>4</v>
      </c>
      <c r="R4186" t="s">
        <v>33</v>
      </c>
      <c r="S4186">
        <v>1</v>
      </c>
    </row>
    <row r="4187" spans="1:19" ht="16.5" x14ac:dyDescent="0.3">
      <c r="A4187" t="s">
        <v>4250</v>
      </c>
      <c r="B4187" s="1">
        <v>45839</v>
      </c>
      <c r="C4187" s="1">
        <v>45848</v>
      </c>
      <c r="D4187">
        <v>2025</v>
      </c>
      <c r="E4187" t="s">
        <v>1445</v>
      </c>
      <c r="F4187" t="s">
        <v>1446</v>
      </c>
      <c r="G4187" t="s">
        <v>56</v>
      </c>
      <c r="H4187" t="s">
        <v>23</v>
      </c>
      <c r="I4187" t="s">
        <v>24</v>
      </c>
      <c r="J4187" t="s">
        <v>43</v>
      </c>
      <c r="K4187" t="s">
        <v>32</v>
      </c>
      <c r="L4187" t="s">
        <v>27</v>
      </c>
      <c r="M4187">
        <v>9</v>
      </c>
      <c r="N4187" s="2">
        <v>25</v>
      </c>
      <c r="O4187" s="3">
        <v>6229</v>
      </c>
      <c r="P4187">
        <v>0</v>
      </c>
      <c r="Q4187">
        <v>4</v>
      </c>
      <c r="R4187" t="s">
        <v>33</v>
      </c>
      <c r="S4187">
        <v>1</v>
      </c>
    </row>
    <row r="4188" spans="1:19" ht="16.5" x14ac:dyDescent="0.3">
      <c r="A4188" t="s">
        <v>4251</v>
      </c>
      <c r="B4188" s="1">
        <v>45839</v>
      </c>
      <c r="C4188" s="1">
        <v>45843</v>
      </c>
      <c r="D4188">
        <v>2025</v>
      </c>
      <c r="E4188" t="s">
        <v>1445</v>
      </c>
      <c r="F4188" t="s">
        <v>1446</v>
      </c>
      <c r="G4188" t="s">
        <v>56</v>
      </c>
      <c r="H4188" t="s">
        <v>50</v>
      </c>
      <c r="I4188" t="s">
        <v>24</v>
      </c>
      <c r="J4188" t="s">
        <v>43</v>
      </c>
      <c r="K4188" t="s">
        <v>32</v>
      </c>
      <c r="L4188" t="s">
        <v>27</v>
      </c>
      <c r="M4188">
        <v>4</v>
      </c>
      <c r="N4188" s="2">
        <v>41</v>
      </c>
      <c r="O4188" s="3">
        <v>5179</v>
      </c>
      <c r="P4188">
        <v>0</v>
      </c>
      <c r="Q4188">
        <v>4</v>
      </c>
      <c r="R4188" t="s">
        <v>59</v>
      </c>
      <c r="S4188">
        <v>1</v>
      </c>
    </row>
    <row r="4189" spans="1:19" ht="16.5" x14ac:dyDescent="0.3">
      <c r="A4189" t="s">
        <v>4252</v>
      </c>
      <c r="B4189" s="1">
        <v>45839</v>
      </c>
      <c r="C4189" s="1">
        <v>45847</v>
      </c>
      <c r="D4189">
        <v>2025</v>
      </c>
      <c r="E4189" t="s">
        <v>1445</v>
      </c>
      <c r="F4189" t="s">
        <v>1446</v>
      </c>
      <c r="G4189" t="s">
        <v>56</v>
      </c>
      <c r="H4189" t="s">
        <v>30</v>
      </c>
      <c r="I4189" t="s">
        <v>40</v>
      </c>
      <c r="J4189" t="s">
        <v>43</v>
      </c>
      <c r="K4189" t="s">
        <v>53</v>
      </c>
      <c r="L4189" t="s">
        <v>27</v>
      </c>
      <c r="M4189">
        <v>8</v>
      </c>
      <c r="N4189" s="2"/>
      <c r="O4189" s="3">
        <v>7061</v>
      </c>
      <c r="P4189">
        <v>0</v>
      </c>
      <c r="Q4189">
        <v>5</v>
      </c>
      <c r="R4189" t="s">
        <v>28</v>
      </c>
      <c r="S4189">
        <v>1</v>
      </c>
    </row>
    <row r="4190" spans="1:19" ht="16.5" x14ac:dyDescent="0.3">
      <c r="A4190" t="s">
        <v>4253</v>
      </c>
      <c r="B4190" s="1">
        <v>45839</v>
      </c>
      <c r="C4190" s="1">
        <v>45843</v>
      </c>
      <c r="D4190">
        <v>2025</v>
      </c>
      <c r="E4190" t="s">
        <v>1445</v>
      </c>
      <c r="F4190" t="s">
        <v>1446</v>
      </c>
      <c r="G4190" t="s">
        <v>56</v>
      </c>
      <c r="H4190" t="s">
        <v>50</v>
      </c>
      <c r="I4190" t="s">
        <v>24</v>
      </c>
      <c r="J4190" t="s">
        <v>25</v>
      </c>
      <c r="K4190" t="s">
        <v>53</v>
      </c>
      <c r="L4190" t="s">
        <v>37</v>
      </c>
      <c r="M4190">
        <v>4</v>
      </c>
      <c r="N4190" s="2">
        <v>107</v>
      </c>
      <c r="O4190" s="3">
        <v>4482</v>
      </c>
      <c r="P4190">
        <v>0</v>
      </c>
      <c r="Q4190">
        <v>3</v>
      </c>
      <c r="R4190" t="s">
        <v>33</v>
      </c>
      <c r="S4190">
        <v>1</v>
      </c>
    </row>
    <row r="4191" spans="1:19" ht="16.5" x14ac:dyDescent="0.3">
      <c r="A4191" t="s">
        <v>4254</v>
      </c>
      <c r="B4191" s="1">
        <v>45839</v>
      </c>
      <c r="C4191" s="1">
        <v>45844</v>
      </c>
      <c r="D4191">
        <v>2025</v>
      </c>
      <c r="E4191" t="s">
        <v>1445</v>
      </c>
      <c r="F4191" t="s">
        <v>1446</v>
      </c>
      <c r="G4191" t="s">
        <v>56</v>
      </c>
      <c r="H4191" t="s">
        <v>39</v>
      </c>
      <c r="I4191" t="s">
        <v>24</v>
      </c>
      <c r="J4191" t="s">
        <v>25</v>
      </c>
      <c r="K4191" t="s">
        <v>41</v>
      </c>
      <c r="L4191" t="s">
        <v>44</v>
      </c>
      <c r="M4191">
        <v>5</v>
      </c>
      <c r="N4191" s="2">
        <v>80</v>
      </c>
      <c r="O4191" s="3">
        <v>3252</v>
      </c>
      <c r="P4191">
        <v>0</v>
      </c>
      <c r="Q4191">
        <v>4</v>
      </c>
      <c r="R4191" t="s">
        <v>28</v>
      </c>
      <c r="S4191">
        <v>1</v>
      </c>
    </row>
    <row r="4192" spans="1:19" ht="16.5" x14ac:dyDescent="0.3">
      <c r="A4192" t="s">
        <v>4255</v>
      </c>
      <c r="B4192" s="1">
        <v>45839</v>
      </c>
      <c r="C4192" s="1">
        <v>45845</v>
      </c>
      <c r="D4192">
        <v>2025</v>
      </c>
      <c r="E4192" t="s">
        <v>1445</v>
      </c>
      <c r="F4192" t="s">
        <v>1446</v>
      </c>
      <c r="G4192" t="s">
        <v>56</v>
      </c>
      <c r="H4192" t="s">
        <v>50</v>
      </c>
      <c r="I4192" t="s">
        <v>24</v>
      </c>
      <c r="J4192" t="s">
        <v>43</v>
      </c>
      <c r="K4192" t="s">
        <v>26</v>
      </c>
      <c r="L4192" t="s">
        <v>27</v>
      </c>
      <c r="M4192">
        <v>6</v>
      </c>
      <c r="N4192" s="2">
        <v>26</v>
      </c>
      <c r="O4192" s="3">
        <v>8237</v>
      </c>
      <c r="P4192">
        <v>0</v>
      </c>
      <c r="Q4192">
        <v>4</v>
      </c>
      <c r="R4192" t="s">
        <v>28</v>
      </c>
      <c r="S4192">
        <v>1</v>
      </c>
    </row>
    <row r="4193" spans="1:19" ht="16.5" x14ac:dyDescent="0.3">
      <c r="A4193" t="s">
        <v>4256</v>
      </c>
      <c r="B4193" s="1">
        <v>45840</v>
      </c>
      <c r="C4193" s="1">
        <v>45841</v>
      </c>
      <c r="D4193">
        <v>2025</v>
      </c>
      <c r="E4193" t="s">
        <v>1445</v>
      </c>
      <c r="F4193" t="s">
        <v>1446</v>
      </c>
      <c r="G4193" t="s">
        <v>70</v>
      </c>
      <c r="H4193" t="s">
        <v>50</v>
      </c>
      <c r="I4193" t="s">
        <v>40</v>
      </c>
      <c r="J4193" t="s">
        <v>25</v>
      </c>
      <c r="K4193" t="s">
        <v>32</v>
      </c>
      <c r="L4193" t="s">
        <v>44</v>
      </c>
      <c r="M4193">
        <v>1</v>
      </c>
      <c r="N4193" s="2"/>
      <c r="O4193" s="3">
        <v>2343</v>
      </c>
      <c r="P4193">
        <v>1</v>
      </c>
      <c r="Q4193">
        <v>3</v>
      </c>
      <c r="R4193" t="s">
        <v>33</v>
      </c>
      <c r="S4193">
        <v>1</v>
      </c>
    </row>
    <row r="4194" spans="1:19" ht="16.5" x14ac:dyDescent="0.3">
      <c r="A4194" t="s">
        <v>4257</v>
      </c>
      <c r="B4194" s="1">
        <v>45840</v>
      </c>
      <c r="C4194" s="1">
        <v>45847</v>
      </c>
      <c r="D4194">
        <v>2025</v>
      </c>
      <c r="E4194" t="s">
        <v>1445</v>
      </c>
      <c r="F4194" t="s">
        <v>1446</v>
      </c>
      <c r="G4194" t="s">
        <v>70</v>
      </c>
      <c r="H4194" t="s">
        <v>23</v>
      </c>
      <c r="I4194" t="s">
        <v>24</v>
      </c>
      <c r="J4194" t="s">
        <v>25</v>
      </c>
      <c r="K4194" t="s">
        <v>53</v>
      </c>
      <c r="L4194" t="s">
        <v>27</v>
      </c>
      <c r="M4194">
        <v>7</v>
      </c>
      <c r="N4194" s="2">
        <v>36</v>
      </c>
      <c r="O4194" s="3">
        <v>7035</v>
      </c>
      <c r="P4194">
        <v>0</v>
      </c>
      <c r="Q4194">
        <v>5</v>
      </c>
      <c r="R4194" t="s">
        <v>33</v>
      </c>
      <c r="S4194">
        <v>1</v>
      </c>
    </row>
    <row r="4195" spans="1:19" ht="16.5" x14ac:dyDescent="0.3">
      <c r="A4195" t="s">
        <v>4258</v>
      </c>
      <c r="B4195" s="1">
        <v>45840</v>
      </c>
      <c r="C4195" s="1">
        <v>45843</v>
      </c>
      <c r="D4195">
        <v>2025</v>
      </c>
      <c r="E4195" t="s">
        <v>1445</v>
      </c>
      <c r="F4195" t="s">
        <v>1446</v>
      </c>
      <c r="G4195" t="s">
        <v>70</v>
      </c>
      <c r="H4195" t="s">
        <v>39</v>
      </c>
      <c r="I4195" t="s">
        <v>24</v>
      </c>
      <c r="J4195" t="s">
        <v>43</v>
      </c>
      <c r="K4195" t="s">
        <v>41</v>
      </c>
      <c r="L4195" t="s">
        <v>27</v>
      </c>
      <c r="M4195">
        <v>3</v>
      </c>
      <c r="N4195" s="2">
        <v>93</v>
      </c>
      <c r="O4195" s="3">
        <v>2389</v>
      </c>
      <c r="P4195">
        <v>0</v>
      </c>
      <c r="Q4195">
        <v>2</v>
      </c>
      <c r="R4195" t="s">
        <v>33</v>
      </c>
      <c r="S4195">
        <v>1</v>
      </c>
    </row>
    <row r="4196" spans="1:19" ht="16.5" x14ac:dyDescent="0.3">
      <c r="A4196" t="s">
        <v>4259</v>
      </c>
      <c r="B4196" s="1">
        <v>45840</v>
      </c>
      <c r="C4196" s="1">
        <v>45841</v>
      </c>
      <c r="D4196">
        <v>2025</v>
      </c>
      <c r="E4196" t="s">
        <v>1445</v>
      </c>
      <c r="F4196" t="s">
        <v>1446</v>
      </c>
      <c r="G4196" t="s">
        <v>70</v>
      </c>
      <c r="H4196" t="s">
        <v>35</v>
      </c>
      <c r="I4196" t="s">
        <v>24</v>
      </c>
      <c r="J4196" t="s">
        <v>25</v>
      </c>
      <c r="K4196" t="s">
        <v>36</v>
      </c>
      <c r="L4196" t="s">
        <v>27</v>
      </c>
      <c r="M4196">
        <v>1</v>
      </c>
      <c r="N4196" s="2">
        <v>48</v>
      </c>
      <c r="O4196" s="3">
        <v>1849</v>
      </c>
      <c r="P4196">
        <v>0</v>
      </c>
      <c r="Q4196">
        <v>4</v>
      </c>
      <c r="R4196" t="s">
        <v>33</v>
      </c>
      <c r="S4196">
        <v>1</v>
      </c>
    </row>
    <row r="4197" spans="1:19" ht="16.5" x14ac:dyDescent="0.3">
      <c r="A4197" t="s">
        <v>4260</v>
      </c>
      <c r="B4197" s="1">
        <v>45840</v>
      </c>
      <c r="C4197" s="1">
        <v>45853</v>
      </c>
      <c r="D4197">
        <v>2025</v>
      </c>
      <c r="E4197" t="s">
        <v>1445</v>
      </c>
      <c r="F4197" t="s">
        <v>1446</v>
      </c>
      <c r="G4197" t="s">
        <v>70</v>
      </c>
      <c r="H4197" t="s">
        <v>30</v>
      </c>
      <c r="I4197" t="s">
        <v>24</v>
      </c>
      <c r="J4197" t="s">
        <v>43</v>
      </c>
      <c r="K4197" t="s">
        <v>53</v>
      </c>
      <c r="L4197" t="s">
        <v>44</v>
      </c>
      <c r="M4197">
        <v>13</v>
      </c>
      <c r="N4197" s="2">
        <v>52</v>
      </c>
      <c r="O4197" s="3">
        <v>15343</v>
      </c>
      <c r="P4197">
        <v>0</v>
      </c>
      <c r="Q4197">
        <v>5</v>
      </c>
      <c r="R4197" t="s">
        <v>33</v>
      </c>
      <c r="S4197">
        <v>1</v>
      </c>
    </row>
    <row r="4198" spans="1:19" ht="16.5" x14ac:dyDescent="0.3">
      <c r="A4198" t="s">
        <v>4261</v>
      </c>
      <c r="B4198" s="1">
        <v>45840</v>
      </c>
      <c r="C4198" s="1">
        <v>45846</v>
      </c>
      <c r="D4198">
        <v>2025</v>
      </c>
      <c r="E4198" t="s">
        <v>1445</v>
      </c>
      <c r="F4198" t="s">
        <v>1446</v>
      </c>
      <c r="G4198" t="s">
        <v>70</v>
      </c>
      <c r="H4198" t="s">
        <v>52</v>
      </c>
      <c r="I4198" t="s">
        <v>40</v>
      </c>
      <c r="J4198" t="s">
        <v>43</v>
      </c>
      <c r="K4198" t="s">
        <v>32</v>
      </c>
      <c r="L4198" t="s">
        <v>27</v>
      </c>
      <c r="M4198">
        <v>6</v>
      </c>
      <c r="N4198" s="2"/>
      <c r="O4198" s="3">
        <v>6671</v>
      </c>
      <c r="P4198">
        <v>0</v>
      </c>
      <c r="Q4198">
        <v>4</v>
      </c>
      <c r="R4198" t="s">
        <v>33</v>
      </c>
      <c r="S4198">
        <v>1</v>
      </c>
    </row>
    <row r="4199" spans="1:19" ht="16.5" x14ac:dyDescent="0.3">
      <c r="A4199" t="s">
        <v>4262</v>
      </c>
      <c r="B4199" s="1">
        <v>45840</v>
      </c>
      <c r="C4199" s="1">
        <v>45851</v>
      </c>
      <c r="D4199">
        <v>2025</v>
      </c>
      <c r="E4199" t="s">
        <v>1445</v>
      </c>
      <c r="F4199" t="s">
        <v>1446</v>
      </c>
      <c r="G4199" t="s">
        <v>70</v>
      </c>
      <c r="H4199" t="s">
        <v>23</v>
      </c>
      <c r="I4199" t="s">
        <v>24</v>
      </c>
      <c r="J4199" t="s">
        <v>25</v>
      </c>
      <c r="K4199" t="s">
        <v>26</v>
      </c>
      <c r="L4199" t="s">
        <v>44</v>
      </c>
      <c r="M4199">
        <v>11</v>
      </c>
      <c r="N4199" s="2">
        <v>37</v>
      </c>
      <c r="O4199" s="3">
        <v>6998</v>
      </c>
      <c r="P4199">
        <v>0</v>
      </c>
      <c r="Q4199">
        <v>4</v>
      </c>
      <c r="R4199" t="s">
        <v>165</v>
      </c>
      <c r="S4199">
        <v>1</v>
      </c>
    </row>
    <row r="4200" spans="1:19" ht="16.5" x14ac:dyDescent="0.3">
      <c r="A4200" t="s">
        <v>4263</v>
      </c>
      <c r="B4200" s="1">
        <v>45840</v>
      </c>
      <c r="C4200" s="1">
        <v>45842</v>
      </c>
      <c r="D4200">
        <v>2025</v>
      </c>
      <c r="E4200" t="s">
        <v>1445</v>
      </c>
      <c r="F4200" t="s">
        <v>1446</v>
      </c>
      <c r="G4200" t="s">
        <v>70</v>
      </c>
      <c r="H4200" t="s">
        <v>30</v>
      </c>
      <c r="I4200" t="s">
        <v>40</v>
      </c>
      <c r="J4200" t="s">
        <v>43</v>
      </c>
      <c r="K4200" t="s">
        <v>26</v>
      </c>
      <c r="L4200" t="s">
        <v>44</v>
      </c>
      <c r="M4200">
        <v>2</v>
      </c>
      <c r="N4200" s="2"/>
      <c r="O4200" s="3">
        <v>3060</v>
      </c>
      <c r="P4200">
        <v>0</v>
      </c>
      <c r="Q4200">
        <v>3</v>
      </c>
      <c r="R4200" t="s">
        <v>33</v>
      </c>
      <c r="S4200">
        <v>1</v>
      </c>
    </row>
    <row r="4201" spans="1:19" ht="16.5" x14ac:dyDescent="0.3">
      <c r="A4201" t="s">
        <v>4264</v>
      </c>
      <c r="B4201" s="1">
        <v>45840</v>
      </c>
      <c r="C4201" s="1">
        <v>45847</v>
      </c>
      <c r="D4201">
        <v>2025</v>
      </c>
      <c r="E4201" t="s">
        <v>1445</v>
      </c>
      <c r="F4201" t="s">
        <v>1446</v>
      </c>
      <c r="G4201" t="s">
        <v>70</v>
      </c>
      <c r="H4201" t="s">
        <v>30</v>
      </c>
      <c r="I4201" t="s">
        <v>40</v>
      </c>
      <c r="J4201" t="s">
        <v>43</v>
      </c>
      <c r="K4201" t="s">
        <v>32</v>
      </c>
      <c r="L4201" t="s">
        <v>37</v>
      </c>
      <c r="M4201">
        <v>7</v>
      </c>
      <c r="N4201" s="2"/>
      <c r="O4201" s="3">
        <v>8213</v>
      </c>
      <c r="P4201">
        <v>0</v>
      </c>
      <c r="Q4201">
        <v>4</v>
      </c>
      <c r="R4201" t="s">
        <v>33</v>
      </c>
      <c r="S4201">
        <v>1</v>
      </c>
    </row>
    <row r="4202" spans="1:19" ht="16.5" x14ac:dyDescent="0.3">
      <c r="A4202" t="s">
        <v>4265</v>
      </c>
      <c r="B4202" s="1">
        <v>45841</v>
      </c>
      <c r="C4202" s="1">
        <v>45843</v>
      </c>
      <c r="D4202">
        <v>2025</v>
      </c>
      <c r="E4202" t="s">
        <v>1445</v>
      </c>
      <c r="F4202" t="s">
        <v>1446</v>
      </c>
      <c r="G4202" t="s">
        <v>78</v>
      </c>
      <c r="H4202" t="s">
        <v>35</v>
      </c>
      <c r="I4202" t="s">
        <v>24</v>
      </c>
      <c r="J4202" t="s">
        <v>25</v>
      </c>
      <c r="K4202" t="s">
        <v>32</v>
      </c>
      <c r="L4202" t="s">
        <v>27</v>
      </c>
      <c r="M4202">
        <v>2</v>
      </c>
      <c r="N4202" s="2">
        <v>32</v>
      </c>
      <c r="O4202" s="3">
        <v>2404</v>
      </c>
      <c r="P4202">
        <v>0</v>
      </c>
      <c r="Q4202">
        <v>5</v>
      </c>
      <c r="R4202" t="s">
        <v>33</v>
      </c>
      <c r="S4202">
        <v>1</v>
      </c>
    </row>
    <row r="4203" spans="1:19" ht="16.5" x14ac:dyDescent="0.3">
      <c r="A4203" t="s">
        <v>4266</v>
      </c>
      <c r="B4203" s="1">
        <v>45841</v>
      </c>
      <c r="C4203" s="1">
        <v>45848</v>
      </c>
      <c r="D4203">
        <v>2025</v>
      </c>
      <c r="E4203" t="s">
        <v>1445</v>
      </c>
      <c r="F4203" t="s">
        <v>1446</v>
      </c>
      <c r="G4203" t="s">
        <v>78</v>
      </c>
      <c r="H4203" t="s">
        <v>50</v>
      </c>
      <c r="I4203" t="s">
        <v>24</v>
      </c>
      <c r="J4203" t="s">
        <v>43</v>
      </c>
      <c r="K4203" t="s">
        <v>53</v>
      </c>
      <c r="L4203" t="s">
        <v>44</v>
      </c>
      <c r="M4203">
        <v>7</v>
      </c>
      <c r="N4203" s="2">
        <v>28</v>
      </c>
      <c r="O4203" s="3">
        <v>10297</v>
      </c>
      <c r="P4203">
        <v>0</v>
      </c>
      <c r="Q4203">
        <v>4</v>
      </c>
      <c r="R4203" t="s">
        <v>33</v>
      </c>
      <c r="S4203">
        <v>1</v>
      </c>
    </row>
    <row r="4204" spans="1:19" ht="16.5" x14ac:dyDescent="0.3">
      <c r="A4204" t="s">
        <v>4267</v>
      </c>
      <c r="B4204" s="1">
        <v>45841</v>
      </c>
      <c r="C4204" s="1">
        <v>45849</v>
      </c>
      <c r="D4204">
        <v>2025</v>
      </c>
      <c r="E4204" t="s">
        <v>1445</v>
      </c>
      <c r="F4204" t="s">
        <v>1446</v>
      </c>
      <c r="G4204" t="s">
        <v>78</v>
      </c>
      <c r="H4204" t="s">
        <v>23</v>
      </c>
      <c r="I4204" t="s">
        <v>24</v>
      </c>
      <c r="J4204" t="s">
        <v>43</v>
      </c>
      <c r="K4204" t="s">
        <v>32</v>
      </c>
      <c r="L4204" t="s">
        <v>44</v>
      </c>
      <c r="M4204">
        <v>8</v>
      </c>
      <c r="N4204" s="2">
        <v>51</v>
      </c>
      <c r="O4204" s="3">
        <v>6535</v>
      </c>
      <c r="P4204">
        <v>0</v>
      </c>
      <c r="Q4204">
        <v>5</v>
      </c>
      <c r="R4204" t="s">
        <v>33</v>
      </c>
      <c r="S4204">
        <v>1</v>
      </c>
    </row>
    <row r="4205" spans="1:19" ht="16.5" x14ac:dyDescent="0.3">
      <c r="A4205" t="s">
        <v>4268</v>
      </c>
      <c r="B4205" s="1">
        <v>45841</v>
      </c>
      <c r="C4205" s="1">
        <v>45846</v>
      </c>
      <c r="D4205">
        <v>2025</v>
      </c>
      <c r="E4205" t="s">
        <v>1445</v>
      </c>
      <c r="F4205" t="s">
        <v>1446</v>
      </c>
      <c r="G4205" t="s">
        <v>78</v>
      </c>
      <c r="H4205" t="s">
        <v>50</v>
      </c>
      <c r="I4205" t="s">
        <v>24</v>
      </c>
      <c r="J4205" t="s">
        <v>25</v>
      </c>
      <c r="K4205" t="s">
        <v>32</v>
      </c>
      <c r="L4205" t="s">
        <v>27</v>
      </c>
      <c r="M4205">
        <v>5</v>
      </c>
      <c r="N4205" s="2">
        <v>45</v>
      </c>
      <c r="O4205" s="3">
        <v>7582</v>
      </c>
      <c r="P4205">
        <v>0</v>
      </c>
      <c r="Q4205">
        <v>4</v>
      </c>
      <c r="R4205" t="s">
        <v>28</v>
      </c>
      <c r="S4205">
        <v>1</v>
      </c>
    </row>
    <row r="4206" spans="1:19" ht="16.5" x14ac:dyDescent="0.3">
      <c r="A4206" t="s">
        <v>4269</v>
      </c>
      <c r="B4206" s="1">
        <v>45841</v>
      </c>
      <c r="C4206" s="1">
        <v>45843</v>
      </c>
      <c r="D4206">
        <v>2025</v>
      </c>
      <c r="E4206" t="s">
        <v>1445</v>
      </c>
      <c r="F4206" t="s">
        <v>1446</v>
      </c>
      <c r="G4206" t="s">
        <v>78</v>
      </c>
      <c r="H4206" t="s">
        <v>35</v>
      </c>
      <c r="I4206" t="s">
        <v>31</v>
      </c>
      <c r="J4206" t="s">
        <v>25</v>
      </c>
      <c r="K4206" t="s">
        <v>36</v>
      </c>
      <c r="L4206" t="s">
        <v>27</v>
      </c>
      <c r="M4206">
        <v>2</v>
      </c>
      <c r="N4206" s="2"/>
      <c r="O4206" s="3">
        <v>2791</v>
      </c>
      <c r="P4206">
        <v>0</v>
      </c>
      <c r="Q4206">
        <v>3</v>
      </c>
      <c r="R4206" t="s">
        <v>33</v>
      </c>
      <c r="S4206">
        <v>1</v>
      </c>
    </row>
    <row r="4207" spans="1:19" ht="16.5" x14ac:dyDescent="0.3">
      <c r="A4207" t="s">
        <v>4270</v>
      </c>
      <c r="B4207" s="1">
        <v>45841</v>
      </c>
      <c r="C4207" s="1">
        <v>45842</v>
      </c>
      <c r="D4207">
        <v>2025</v>
      </c>
      <c r="E4207" t="s">
        <v>1445</v>
      </c>
      <c r="F4207" t="s">
        <v>1446</v>
      </c>
      <c r="G4207" t="s">
        <v>78</v>
      </c>
      <c r="H4207" t="s">
        <v>23</v>
      </c>
      <c r="I4207" t="s">
        <v>40</v>
      </c>
      <c r="J4207" t="s">
        <v>25</v>
      </c>
      <c r="K4207" t="s">
        <v>32</v>
      </c>
      <c r="L4207" t="s">
        <v>44</v>
      </c>
      <c r="M4207">
        <v>1</v>
      </c>
      <c r="N4207" s="2"/>
      <c r="O4207" s="3">
        <v>2001</v>
      </c>
      <c r="P4207">
        <v>0</v>
      </c>
      <c r="Q4207">
        <v>5</v>
      </c>
      <c r="R4207" t="s">
        <v>33</v>
      </c>
      <c r="S4207">
        <v>1</v>
      </c>
    </row>
    <row r="4208" spans="1:19" ht="16.5" x14ac:dyDescent="0.3">
      <c r="A4208" t="s">
        <v>4271</v>
      </c>
      <c r="B4208" s="1">
        <v>45841</v>
      </c>
      <c r="C4208" s="1">
        <v>45847</v>
      </c>
      <c r="D4208">
        <v>2025</v>
      </c>
      <c r="E4208" t="s">
        <v>1445</v>
      </c>
      <c r="F4208" t="s">
        <v>1446</v>
      </c>
      <c r="G4208" t="s">
        <v>78</v>
      </c>
      <c r="H4208" t="s">
        <v>23</v>
      </c>
      <c r="I4208" t="s">
        <v>24</v>
      </c>
      <c r="J4208" t="s">
        <v>25</v>
      </c>
      <c r="K4208" t="s">
        <v>32</v>
      </c>
      <c r="L4208" t="s">
        <v>27</v>
      </c>
      <c r="M4208">
        <v>6</v>
      </c>
      <c r="N4208" s="2">
        <v>16</v>
      </c>
      <c r="O4208" s="3">
        <v>5119</v>
      </c>
      <c r="P4208">
        <v>0</v>
      </c>
      <c r="Q4208">
        <v>4</v>
      </c>
      <c r="R4208" t="s">
        <v>28</v>
      </c>
      <c r="S4208">
        <v>1</v>
      </c>
    </row>
    <row r="4209" spans="1:19" ht="16.5" x14ac:dyDescent="0.3">
      <c r="A4209" t="s">
        <v>4272</v>
      </c>
      <c r="B4209" s="1">
        <v>45842</v>
      </c>
      <c r="C4209" s="1">
        <v>45846</v>
      </c>
      <c r="D4209">
        <v>2025</v>
      </c>
      <c r="E4209" t="s">
        <v>1445</v>
      </c>
      <c r="F4209" t="s">
        <v>1446</v>
      </c>
      <c r="G4209" t="s">
        <v>83</v>
      </c>
      <c r="H4209" t="s">
        <v>35</v>
      </c>
      <c r="I4209" t="s">
        <v>40</v>
      </c>
      <c r="J4209" t="s">
        <v>25</v>
      </c>
      <c r="K4209" t="s">
        <v>36</v>
      </c>
      <c r="L4209" t="s">
        <v>27</v>
      </c>
      <c r="M4209">
        <v>4</v>
      </c>
      <c r="N4209" s="2"/>
      <c r="O4209" s="3">
        <v>4443</v>
      </c>
      <c r="P4209">
        <v>0</v>
      </c>
      <c r="Q4209">
        <v>5</v>
      </c>
      <c r="R4209" t="s">
        <v>28</v>
      </c>
      <c r="S4209">
        <v>1</v>
      </c>
    </row>
    <row r="4210" spans="1:19" ht="16.5" x14ac:dyDescent="0.3">
      <c r="A4210" t="s">
        <v>4273</v>
      </c>
      <c r="B4210" s="1">
        <v>45842</v>
      </c>
      <c r="C4210" s="1">
        <v>45848</v>
      </c>
      <c r="D4210">
        <v>2025</v>
      </c>
      <c r="E4210" t="s">
        <v>1445</v>
      </c>
      <c r="F4210" t="s">
        <v>1446</v>
      </c>
      <c r="G4210" t="s">
        <v>83</v>
      </c>
      <c r="H4210" t="s">
        <v>39</v>
      </c>
      <c r="I4210" t="s">
        <v>40</v>
      </c>
      <c r="J4210" t="s">
        <v>25</v>
      </c>
      <c r="K4210" t="s">
        <v>41</v>
      </c>
      <c r="L4210" t="s">
        <v>27</v>
      </c>
      <c r="M4210">
        <v>6</v>
      </c>
      <c r="N4210" s="2"/>
      <c r="O4210" s="3">
        <v>4056</v>
      </c>
      <c r="P4210">
        <v>0</v>
      </c>
      <c r="Q4210">
        <v>3</v>
      </c>
      <c r="R4210" t="s">
        <v>28</v>
      </c>
      <c r="S4210">
        <v>1</v>
      </c>
    </row>
    <row r="4211" spans="1:19" ht="16.5" x14ac:dyDescent="0.3">
      <c r="A4211" t="s">
        <v>4274</v>
      </c>
      <c r="B4211" s="1">
        <v>45842</v>
      </c>
      <c r="C4211" s="1">
        <v>45849</v>
      </c>
      <c r="D4211">
        <v>2025</v>
      </c>
      <c r="E4211" t="s">
        <v>1445</v>
      </c>
      <c r="F4211" t="s">
        <v>1446</v>
      </c>
      <c r="G4211" t="s">
        <v>83</v>
      </c>
      <c r="H4211" t="s">
        <v>30</v>
      </c>
      <c r="I4211" t="s">
        <v>24</v>
      </c>
      <c r="J4211" t="s">
        <v>25</v>
      </c>
      <c r="K4211" t="s">
        <v>26</v>
      </c>
      <c r="L4211" t="s">
        <v>27</v>
      </c>
      <c r="M4211">
        <v>7</v>
      </c>
      <c r="N4211" s="2">
        <v>29</v>
      </c>
      <c r="O4211" s="3">
        <v>6997</v>
      </c>
      <c r="P4211">
        <v>1</v>
      </c>
      <c r="Q4211">
        <v>3</v>
      </c>
      <c r="R4211" t="s">
        <v>59</v>
      </c>
      <c r="S4211">
        <v>1</v>
      </c>
    </row>
    <row r="4212" spans="1:19" ht="16.5" x14ac:dyDescent="0.3">
      <c r="A4212" t="s">
        <v>4275</v>
      </c>
      <c r="B4212" s="1">
        <v>45842</v>
      </c>
      <c r="C4212" s="1">
        <v>45843</v>
      </c>
      <c r="D4212">
        <v>2025</v>
      </c>
      <c r="E4212" t="s">
        <v>1445</v>
      </c>
      <c r="F4212" t="s">
        <v>1446</v>
      </c>
      <c r="G4212" t="s">
        <v>83</v>
      </c>
      <c r="H4212" t="s">
        <v>35</v>
      </c>
      <c r="I4212" t="s">
        <v>40</v>
      </c>
      <c r="J4212" t="s">
        <v>25</v>
      </c>
      <c r="K4212" t="s">
        <v>32</v>
      </c>
      <c r="L4212" t="s">
        <v>44</v>
      </c>
      <c r="M4212">
        <v>1</v>
      </c>
      <c r="N4212" s="2"/>
      <c r="O4212" s="3">
        <v>1610</v>
      </c>
      <c r="P4212">
        <v>0</v>
      </c>
      <c r="Q4212">
        <v>5</v>
      </c>
      <c r="R4212" t="s">
        <v>33</v>
      </c>
      <c r="S4212">
        <v>1</v>
      </c>
    </row>
    <row r="4213" spans="1:19" ht="16.5" x14ac:dyDescent="0.3">
      <c r="A4213" t="s">
        <v>4276</v>
      </c>
      <c r="B4213" s="1">
        <v>45842</v>
      </c>
      <c r="C4213" s="1">
        <v>45850</v>
      </c>
      <c r="D4213">
        <v>2025</v>
      </c>
      <c r="E4213" t="s">
        <v>1445</v>
      </c>
      <c r="F4213" t="s">
        <v>1446</v>
      </c>
      <c r="G4213" t="s">
        <v>83</v>
      </c>
      <c r="H4213" t="s">
        <v>23</v>
      </c>
      <c r="I4213" t="s">
        <v>24</v>
      </c>
      <c r="J4213" t="s">
        <v>25</v>
      </c>
      <c r="K4213" t="s">
        <v>36</v>
      </c>
      <c r="L4213" t="s">
        <v>44</v>
      </c>
      <c r="M4213">
        <v>8</v>
      </c>
      <c r="N4213" s="2">
        <v>35</v>
      </c>
      <c r="O4213" s="3">
        <v>5149</v>
      </c>
      <c r="P4213">
        <v>0</v>
      </c>
      <c r="Q4213">
        <v>4</v>
      </c>
      <c r="R4213" t="s">
        <v>33</v>
      </c>
      <c r="S4213">
        <v>1</v>
      </c>
    </row>
    <row r="4214" spans="1:19" ht="16.5" x14ac:dyDescent="0.3">
      <c r="A4214" t="s">
        <v>4277</v>
      </c>
      <c r="B4214" s="1">
        <v>45842</v>
      </c>
      <c r="C4214" s="1">
        <v>45843</v>
      </c>
      <c r="D4214">
        <v>2025</v>
      </c>
      <c r="E4214" t="s">
        <v>1445</v>
      </c>
      <c r="F4214" t="s">
        <v>1446</v>
      </c>
      <c r="G4214" t="s">
        <v>83</v>
      </c>
      <c r="H4214" t="s">
        <v>39</v>
      </c>
      <c r="I4214" t="s">
        <v>24</v>
      </c>
      <c r="J4214" t="s">
        <v>25</v>
      </c>
      <c r="K4214" t="s">
        <v>41</v>
      </c>
      <c r="L4214" t="s">
        <v>27</v>
      </c>
      <c r="M4214">
        <v>1</v>
      </c>
      <c r="N4214" s="2">
        <v>71</v>
      </c>
      <c r="O4214" s="3">
        <v>1319</v>
      </c>
      <c r="P4214">
        <v>0</v>
      </c>
      <c r="Q4214">
        <v>4</v>
      </c>
      <c r="R4214" t="s">
        <v>33</v>
      </c>
      <c r="S4214">
        <v>1</v>
      </c>
    </row>
    <row r="4215" spans="1:19" ht="16.5" x14ac:dyDescent="0.3">
      <c r="A4215" t="s">
        <v>4278</v>
      </c>
      <c r="B4215" s="1">
        <v>45842</v>
      </c>
      <c r="C4215" s="1">
        <v>45843</v>
      </c>
      <c r="D4215">
        <v>2025</v>
      </c>
      <c r="E4215" t="s">
        <v>1445</v>
      </c>
      <c r="F4215" t="s">
        <v>1446</v>
      </c>
      <c r="G4215" t="s">
        <v>83</v>
      </c>
      <c r="H4215" t="s">
        <v>35</v>
      </c>
      <c r="I4215" t="s">
        <v>24</v>
      </c>
      <c r="J4215" t="s">
        <v>25</v>
      </c>
      <c r="K4215" t="s">
        <v>32</v>
      </c>
      <c r="L4215" t="s">
        <v>27</v>
      </c>
      <c r="M4215">
        <v>1</v>
      </c>
      <c r="N4215" s="2">
        <v>67</v>
      </c>
      <c r="O4215" s="3">
        <v>1050</v>
      </c>
      <c r="P4215">
        <v>0</v>
      </c>
      <c r="Q4215">
        <v>4</v>
      </c>
      <c r="R4215" t="s">
        <v>33</v>
      </c>
      <c r="S4215">
        <v>1</v>
      </c>
    </row>
    <row r="4216" spans="1:19" ht="16.5" x14ac:dyDescent="0.3">
      <c r="A4216" t="s">
        <v>4279</v>
      </c>
      <c r="B4216" s="1">
        <v>45842</v>
      </c>
      <c r="C4216" s="1">
        <v>45843</v>
      </c>
      <c r="D4216">
        <v>2025</v>
      </c>
      <c r="E4216" t="s">
        <v>1445</v>
      </c>
      <c r="F4216" t="s">
        <v>1446</v>
      </c>
      <c r="G4216" t="s">
        <v>83</v>
      </c>
      <c r="H4216" t="s">
        <v>35</v>
      </c>
      <c r="I4216" t="s">
        <v>31</v>
      </c>
      <c r="J4216" t="s">
        <v>25</v>
      </c>
      <c r="K4216" t="s">
        <v>32</v>
      </c>
      <c r="L4216" t="s">
        <v>44</v>
      </c>
      <c r="M4216">
        <v>1</v>
      </c>
      <c r="N4216" s="2"/>
      <c r="O4216" s="3">
        <v>1427</v>
      </c>
      <c r="P4216">
        <v>0</v>
      </c>
      <c r="Q4216">
        <v>5</v>
      </c>
      <c r="R4216" t="s">
        <v>33</v>
      </c>
      <c r="S4216">
        <v>1</v>
      </c>
    </row>
    <row r="4217" spans="1:19" ht="16.5" x14ac:dyDescent="0.3">
      <c r="A4217" t="s">
        <v>4280</v>
      </c>
      <c r="B4217" s="1">
        <v>45842</v>
      </c>
      <c r="C4217" s="1">
        <v>45852</v>
      </c>
      <c r="D4217">
        <v>2025</v>
      </c>
      <c r="E4217" t="s">
        <v>1445</v>
      </c>
      <c r="F4217" t="s">
        <v>1446</v>
      </c>
      <c r="G4217" t="s">
        <v>83</v>
      </c>
      <c r="H4217" t="s">
        <v>52</v>
      </c>
      <c r="I4217" t="s">
        <v>40</v>
      </c>
      <c r="J4217" t="s">
        <v>25</v>
      </c>
      <c r="K4217" t="s">
        <v>32</v>
      </c>
      <c r="L4217" t="s">
        <v>27</v>
      </c>
      <c r="M4217">
        <v>10</v>
      </c>
      <c r="N4217" s="2"/>
      <c r="O4217" s="3">
        <v>10437</v>
      </c>
      <c r="P4217">
        <v>0</v>
      </c>
      <c r="Q4217">
        <v>5</v>
      </c>
      <c r="R4217" t="s">
        <v>59</v>
      </c>
      <c r="S4217">
        <v>1</v>
      </c>
    </row>
    <row r="4218" spans="1:19" ht="16.5" x14ac:dyDescent="0.3">
      <c r="A4218" t="s">
        <v>4281</v>
      </c>
      <c r="B4218" s="1">
        <v>45842</v>
      </c>
      <c r="C4218" s="1">
        <v>45847</v>
      </c>
      <c r="D4218">
        <v>2025</v>
      </c>
      <c r="E4218" t="s">
        <v>1445</v>
      </c>
      <c r="F4218" t="s">
        <v>1446</v>
      </c>
      <c r="G4218" t="s">
        <v>83</v>
      </c>
      <c r="H4218" t="s">
        <v>30</v>
      </c>
      <c r="I4218" t="s">
        <v>40</v>
      </c>
      <c r="J4218" t="s">
        <v>43</v>
      </c>
      <c r="K4218" t="s">
        <v>32</v>
      </c>
      <c r="L4218" t="s">
        <v>44</v>
      </c>
      <c r="M4218">
        <v>5</v>
      </c>
      <c r="N4218" s="2"/>
      <c r="O4218" s="3">
        <v>5521</v>
      </c>
      <c r="P4218">
        <v>0</v>
      </c>
      <c r="Q4218">
        <v>5</v>
      </c>
      <c r="R4218" t="s">
        <v>59</v>
      </c>
      <c r="S4218">
        <v>1</v>
      </c>
    </row>
    <row r="4219" spans="1:19" ht="16.5" x14ac:dyDescent="0.3">
      <c r="A4219" t="s">
        <v>4282</v>
      </c>
      <c r="B4219" s="1">
        <v>45842</v>
      </c>
      <c r="C4219" s="1">
        <v>45845</v>
      </c>
      <c r="D4219">
        <v>2025</v>
      </c>
      <c r="E4219" t="s">
        <v>1445</v>
      </c>
      <c r="F4219" t="s">
        <v>1446</v>
      </c>
      <c r="G4219" t="s">
        <v>83</v>
      </c>
      <c r="H4219" t="s">
        <v>23</v>
      </c>
      <c r="I4219" t="s">
        <v>40</v>
      </c>
      <c r="J4219" t="s">
        <v>43</v>
      </c>
      <c r="K4219" t="s">
        <v>32</v>
      </c>
      <c r="L4219" t="s">
        <v>27</v>
      </c>
      <c r="M4219">
        <v>3</v>
      </c>
      <c r="N4219" s="2"/>
      <c r="O4219" s="3">
        <v>2502</v>
      </c>
      <c r="P4219">
        <v>0</v>
      </c>
      <c r="Q4219">
        <v>5</v>
      </c>
      <c r="R4219" t="s">
        <v>28</v>
      </c>
      <c r="S4219">
        <v>1</v>
      </c>
    </row>
    <row r="4220" spans="1:19" ht="16.5" x14ac:dyDescent="0.3">
      <c r="A4220" t="s">
        <v>4283</v>
      </c>
      <c r="B4220" s="1">
        <v>45842</v>
      </c>
      <c r="C4220" s="1">
        <v>45852</v>
      </c>
      <c r="D4220">
        <v>2025</v>
      </c>
      <c r="E4220" t="s">
        <v>1445</v>
      </c>
      <c r="F4220" t="s">
        <v>1446</v>
      </c>
      <c r="G4220" t="s">
        <v>83</v>
      </c>
      <c r="H4220" t="s">
        <v>23</v>
      </c>
      <c r="I4220" t="s">
        <v>24</v>
      </c>
      <c r="J4220" t="s">
        <v>25</v>
      </c>
      <c r="K4220" t="s">
        <v>26</v>
      </c>
      <c r="L4220" t="s">
        <v>27</v>
      </c>
      <c r="M4220">
        <v>10</v>
      </c>
      <c r="N4220" s="2">
        <v>64</v>
      </c>
      <c r="O4220" s="3">
        <v>6706</v>
      </c>
      <c r="P4220">
        <v>0</v>
      </c>
      <c r="Q4220">
        <v>4</v>
      </c>
      <c r="R4220" t="s">
        <v>28</v>
      </c>
      <c r="S4220">
        <v>1</v>
      </c>
    </row>
    <row r="4221" spans="1:19" ht="16.5" x14ac:dyDescent="0.3">
      <c r="A4221" t="s">
        <v>4284</v>
      </c>
      <c r="B4221" s="1">
        <v>45842</v>
      </c>
      <c r="C4221" s="1">
        <v>45843</v>
      </c>
      <c r="D4221">
        <v>2025</v>
      </c>
      <c r="E4221" t="s">
        <v>1445</v>
      </c>
      <c r="F4221" t="s">
        <v>1446</v>
      </c>
      <c r="G4221" t="s">
        <v>83</v>
      </c>
      <c r="H4221" t="s">
        <v>23</v>
      </c>
      <c r="I4221" t="s">
        <v>24</v>
      </c>
      <c r="J4221" t="s">
        <v>25</v>
      </c>
      <c r="K4221" t="s">
        <v>26</v>
      </c>
      <c r="L4221" t="s">
        <v>44</v>
      </c>
      <c r="M4221">
        <v>1</v>
      </c>
      <c r="N4221" s="2">
        <v>56</v>
      </c>
      <c r="O4221" s="3">
        <v>1408</v>
      </c>
      <c r="P4221">
        <v>1</v>
      </c>
      <c r="Q4221">
        <v>5</v>
      </c>
      <c r="R4221" t="s">
        <v>33</v>
      </c>
      <c r="S4221">
        <v>1</v>
      </c>
    </row>
    <row r="4222" spans="1:19" ht="16.5" x14ac:dyDescent="0.3">
      <c r="A4222" t="s">
        <v>4285</v>
      </c>
      <c r="B4222" s="1">
        <v>45843</v>
      </c>
      <c r="C4222" s="1">
        <v>45846</v>
      </c>
      <c r="D4222">
        <v>2025</v>
      </c>
      <c r="E4222" t="s">
        <v>1445</v>
      </c>
      <c r="F4222" t="s">
        <v>1446</v>
      </c>
      <c r="G4222" t="s">
        <v>102</v>
      </c>
      <c r="H4222" t="s">
        <v>35</v>
      </c>
      <c r="I4222" t="s">
        <v>24</v>
      </c>
      <c r="J4222" t="s">
        <v>25</v>
      </c>
      <c r="K4222" t="s">
        <v>32</v>
      </c>
      <c r="L4222" t="s">
        <v>27</v>
      </c>
      <c r="M4222">
        <v>3</v>
      </c>
      <c r="N4222" s="2">
        <v>32</v>
      </c>
      <c r="O4222" s="3">
        <v>2740</v>
      </c>
      <c r="P4222">
        <v>0</v>
      </c>
      <c r="Q4222">
        <v>3</v>
      </c>
      <c r="R4222" t="s">
        <v>33</v>
      </c>
      <c r="S4222">
        <v>1</v>
      </c>
    </row>
    <row r="4223" spans="1:19" ht="16.5" x14ac:dyDescent="0.3">
      <c r="A4223" t="s">
        <v>4286</v>
      </c>
      <c r="B4223" s="1">
        <v>45843</v>
      </c>
      <c r="C4223" s="1">
        <v>45847</v>
      </c>
      <c r="D4223">
        <v>2025</v>
      </c>
      <c r="E4223" t="s">
        <v>1445</v>
      </c>
      <c r="F4223" t="s">
        <v>1446</v>
      </c>
      <c r="G4223" t="s">
        <v>102</v>
      </c>
      <c r="H4223" t="s">
        <v>50</v>
      </c>
      <c r="I4223" t="s">
        <v>24</v>
      </c>
      <c r="J4223" t="s">
        <v>43</v>
      </c>
      <c r="K4223" t="s">
        <v>36</v>
      </c>
      <c r="L4223" t="s">
        <v>27</v>
      </c>
      <c r="M4223">
        <v>4</v>
      </c>
      <c r="N4223" s="2">
        <v>77</v>
      </c>
      <c r="O4223" s="3">
        <v>6010</v>
      </c>
      <c r="P4223">
        <v>0</v>
      </c>
      <c r="Q4223">
        <v>4</v>
      </c>
      <c r="R4223" t="s">
        <v>28</v>
      </c>
      <c r="S4223">
        <v>1</v>
      </c>
    </row>
    <row r="4224" spans="1:19" ht="16.5" x14ac:dyDescent="0.3">
      <c r="A4224" t="s">
        <v>4287</v>
      </c>
      <c r="B4224" s="1">
        <v>45843</v>
      </c>
      <c r="C4224" s="1">
        <v>45845</v>
      </c>
      <c r="D4224">
        <v>2025</v>
      </c>
      <c r="E4224" t="s">
        <v>1445</v>
      </c>
      <c r="F4224" t="s">
        <v>1446</v>
      </c>
      <c r="G4224" t="s">
        <v>102</v>
      </c>
      <c r="H4224" t="s">
        <v>35</v>
      </c>
      <c r="I4224" t="s">
        <v>24</v>
      </c>
      <c r="J4224" t="s">
        <v>25</v>
      </c>
      <c r="K4224" t="s">
        <v>36</v>
      </c>
      <c r="L4224" t="s">
        <v>27</v>
      </c>
      <c r="M4224">
        <v>2</v>
      </c>
      <c r="N4224" s="2">
        <v>40</v>
      </c>
      <c r="O4224" s="3">
        <v>2186</v>
      </c>
      <c r="P4224">
        <v>0</v>
      </c>
      <c r="Q4224">
        <v>5</v>
      </c>
      <c r="R4224" t="s">
        <v>59</v>
      </c>
      <c r="S4224">
        <v>1</v>
      </c>
    </row>
    <row r="4225" spans="1:19" ht="16.5" x14ac:dyDescent="0.3">
      <c r="A4225" t="s">
        <v>4288</v>
      </c>
      <c r="B4225" s="1">
        <v>45843</v>
      </c>
      <c r="C4225" s="1">
        <v>45846</v>
      </c>
      <c r="D4225">
        <v>2025</v>
      </c>
      <c r="E4225" t="s">
        <v>1445</v>
      </c>
      <c r="F4225" t="s">
        <v>1446</v>
      </c>
      <c r="G4225" t="s">
        <v>102</v>
      </c>
      <c r="H4225" t="s">
        <v>39</v>
      </c>
      <c r="I4225" t="s">
        <v>24</v>
      </c>
      <c r="J4225" t="s">
        <v>43</v>
      </c>
      <c r="K4225" t="s">
        <v>41</v>
      </c>
      <c r="L4225" t="s">
        <v>27</v>
      </c>
      <c r="M4225">
        <v>3</v>
      </c>
      <c r="N4225" s="2">
        <v>36</v>
      </c>
      <c r="O4225" s="3">
        <v>2361</v>
      </c>
      <c r="P4225">
        <v>0</v>
      </c>
      <c r="Q4225">
        <v>4</v>
      </c>
      <c r="R4225" t="s">
        <v>28</v>
      </c>
      <c r="S4225">
        <v>1</v>
      </c>
    </row>
    <row r="4226" spans="1:19" ht="16.5" x14ac:dyDescent="0.3">
      <c r="A4226" t="s">
        <v>4289</v>
      </c>
      <c r="B4226" s="1">
        <v>45843</v>
      </c>
      <c r="C4226" s="1">
        <v>45844</v>
      </c>
      <c r="D4226">
        <v>2025</v>
      </c>
      <c r="E4226" t="s">
        <v>1445</v>
      </c>
      <c r="F4226" t="s">
        <v>1446</v>
      </c>
      <c r="G4226" t="s">
        <v>102</v>
      </c>
      <c r="H4226" t="s">
        <v>52</v>
      </c>
      <c r="I4226" t="s">
        <v>40</v>
      </c>
      <c r="J4226" t="s">
        <v>25</v>
      </c>
      <c r="K4226" t="s">
        <v>53</v>
      </c>
      <c r="L4226" t="s">
        <v>44</v>
      </c>
      <c r="M4226">
        <v>1</v>
      </c>
      <c r="N4226" s="2"/>
      <c r="O4226" s="3">
        <v>1840</v>
      </c>
      <c r="P4226">
        <v>0</v>
      </c>
      <c r="Q4226">
        <v>4</v>
      </c>
      <c r="R4226" t="s">
        <v>33</v>
      </c>
      <c r="S4226">
        <v>1</v>
      </c>
    </row>
    <row r="4227" spans="1:19" ht="16.5" x14ac:dyDescent="0.3">
      <c r="A4227" t="s">
        <v>4290</v>
      </c>
      <c r="B4227" s="1">
        <v>45843</v>
      </c>
      <c r="C4227" s="1">
        <v>45846</v>
      </c>
      <c r="D4227">
        <v>2025</v>
      </c>
      <c r="E4227" t="s">
        <v>1445</v>
      </c>
      <c r="F4227" t="s">
        <v>1446</v>
      </c>
      <c r="G4227" t="s">
        <v>102</v>
      </c>
      <c r="H4227" t="s">
        <v>50</v>
      </c>
      <c r="I4227" t="s">
        <v>24</v>
      </c>
      <c r="J4227" t="s">
        <v>25</v>
      </c>
      <c r="K4227" t="s">
        <v>26</v>
      </c>
      <c r="L4227" t="s">
        <v>44</v>
      </c>
      <c r="M4227">
        <v>3</v>
      </c>
      <c r="N4227" s="2">
        <v>65</v>
      </c>
      <c r="O4227" s="3">
        <v>4868</v>
      </c>
      <c r="P4227">
        <v>0</v>
      </c>
      <c r="Q4227">
        <v>4</v>
      </c>
      <c r="R4227" t="s">
        <v>33</v>
      </c>
      <c r="S4227">
        <v>1</v>
      </c>
    </row>
    <row r="4228" spans="1:19" ht="16.5" x14ac:dyDescent="0.3">
      <c r="A4228" t="s">
        <v>4291</v>
      </c>
      <c r="B4228" s="1">
        <v>45843</v>
      </c>
      <c r="C4228" s="1">
        <v>45844</v>
      </c>
      <c r="D4228">
        <v>2025</v>
      </c>
      <c r="E4228" t="s">
        <v>1445</v>
      </c>
      <c r="F4228" t="s">
        <v>1446</v>
      </c>
      <c r="G4228" t="s">
        <v>102</v>
      </c>
      <c r="H4228" t="s">
        <v>35</v>
      </c>
      <c r="I4228" t="s">
        <v>24</v>
      </c>
      <c r="J4228" t="s">
        <v>25</v>
      </c>
      <c r="K4228" t="s">
        <v>36</v>
      </c>
      <c r="L4228" t="s">
        <v>27</v>
      </c>
      <c r="M4228">
        <v>1</v>
      </c>
      <c r="N4228" s="2">
        <v>35</v>
      </c>
      <c r="O4228" s="3">
        <v>1381</v>
      </c>
      <c r="P4228">
        <v>0</v>
      </c>
      <c r="Q4228">
        <v>3</v>
      </c>
      <c r="R4228" t="s">
        <v>33</v>
      </c>
      <c r="S4228">
        <v>1</v>
      </c>
    </row>
    <row r="4229" spans="1:19" ht="16.5" x14ac:dyDescent="0.3">
      <c r="A4229" t="s">
        <v>4292</v>
      </c>
      <c r="B4229" s="1">
        <v>45843</v>
      </c>
      <c r="C4229" s="1">
        <v>45845</v>
      </c>
      <c r="D4229">
        <v>2025</v>
      </c>
      <c r="E4229" t="s">
        <v>1445</v>
      </c>
      <c r="F4229" t="s">
        <v>1446</v>
      </c>
      <c r="G4229" t="s">
        <v>102</v>
      </c>
      <c r="H4229" t="s">
        <v>52</v>
      </c>
      <c r="I4229" t="s">
        <v>40</v>
      </c>
      <c r="J4229" t="s">
        <v>43</v>
      </c>
      <c r="K4229" t="s">
        <v>32</v>
      </c>
      <c r="L4229" t="s">
        <v>27</v>
      </c>
      <c r="M4229">
        <v>2</v>
      </c>
      <c r="N4229" s="2"/>
      <c r="O4229" s="3">
        <v>2939</v>
      </c>
      <c r="P4229">
        <v>1</v>
      </c>
      <c r="Q4229">
        <v>3</v>
      </c>
      <c r="R4229" t="s">
        <v>28</v>
      </c>
      <c r="S4229">
        <v>1</v>
      </c>
    </row>
    <row r="4230" spans="1:19" ht="16.5" x14ac:dyDescent="0.3">
      <c r="A4230" t="s">
        <v>4293</v>
      </c>
      <c r="B4230" s="1">
        <v>45843</v>
      </c>
      <c r="C4230" s="1">
        <v>45845</v>
      </c>
      <c r="D4230">
        <v>2025</v>
      </c>
      <c r="E4230" t="s">
        <v>1445</v>
      </c>
      <c r="F4230" t="s">
        <v>1446</v>
      </c>
      <c r="G4230" t="s">
        <v>102</v>
      </c>
      <c r="H4230" t="s">
        <v>23</v>
      </c>
      <c r="I4230" t="s">
        <v>24</v>
      </c>
      <c r="J4230" t="s">
        <v>25</v>
      </c>
      <c r="K4230" t="s">
        <v>36</v>
      </c>
      <c r="L4230" t="s">
        <v>44</v>
      </c>
      <c r="M4230">
        <v>2</v>
      </c>
      <c r="N4230" s="2">
        <v>25</v>
      </c>
      <c r="O4230" s="3">
        <v>2295</v>
      </c>
      <c r="P4230">
        <v>0</v>
      </c>
      <c r="Q4230">
        <v>4</v>
      </c>
      <c r="R4230" t="s">
        <v>33</v>
      </c>
      <c r="S4230">
        <v>1</v>
      </c>
    </row>
    <row r="4231" spans="1:19" ht="16.5" x14ac:dyDescent="0.3">
      <c r="A4231" t="s">
        <v>4294</v>
      </c>
      <c r="B4231" s="1">
        <v>45844</v>
      </c>
      <c r="C4231" s="1">
        <v>45859</v>
      </c>
      <c r="D4231">
        <v>2025</v>
      </c>
      <c r="E4231" t="s">
        <v>1445</v>
      </c>
      <c r="F4231" t="s">
        <v>1446</v>
      </c>
      <c r="G4231" t="s">
        <v>112</v>
      </c>
      <c r="H4231" t="s">
        <v>30</v>
      </c>
      <c r="I4231" t="s">
        <v>40</v>
      </c>
      <c r="J4231" t="s">
        <v>25</v>
      </c>
      <c r="K4231" t="s">
        <v>26</v>
      </c>
      <c r="L4231" t="s">
        <v>27</v>
      </c>
      <c r="M4231">
        <v>15</v>
      </c>
      <c r="N4231" s="2"/>
      <c r="O4231" s="3">
        <v>16910</v>
      </c>
      <c r="P4231">
        <v>0</v>
      </c>
      <c r="Q4231">
        <v>5</v>
      </c>
      <c r="R4231" t="s">
        <v>28</v>
      </c>
      <c r="S4231">
        <v>1</v>
      </c>
    </row>
    <row r="4232" spans="1:19" ht="16.5" x14ac:dyDescent="0.3">
      <c r="A4232" t="s">
        <v>4295</v>
      </c>
      <c r="B4232" s="1">
        <v>45844</v>
      </c>
      <c r="C4232" s="1">
        <v>45851</v>
      </c>
      <c r="D4232">
        <v>2025</v>
      </c>
      <c r="E4232" t="s">
        <v>1445</v>
      </c>
      <c r="F4232" t="s">
        <v>1446</v>
      </c>
      <c r="G4232" t="s">
        <v>112</v>
      </c>
      <c r="H4232" t="s">
        <v>30</v>
      </c>
      <c r="I4232" t="s">
        <v>24</v>
      </c>
      <c r="J4232" t="s">
        <v>43</v>
      </c>
      <c r="K4232" t="s">
        <v>32</v>
      </c>
      <c r="L4232" t="s">
        <v>27</v>
      </c>
      <c r="M4232">
        <v>7</v>
      </c>
      <c r="N4232" s="2">
        <v>41</v>
      </c>
      <c r="O4232" s="3">
        <v>8526</v>
      </c>
      <c r="P4232">
        <v>0</v>
      </c>
      <c r="Q4232">
        <v>4</v>
      </c>
      <c r="R4232" t="s">
        <v>33</v>
      </c>
      <c r="S4232">
        <v>1</v>
      </c>
    </row>
    <row r="4233" spans="1:19" ht="16.5" x14ac:dyDescent="0.3">
      <c r="A4233" t="s">
        <v>4296</v>
      </c>
      <c r="B4233" s="1">
        <v>45844</v>
      </c>
      <c r="C4233" s="1">
        <v>45848</v>
      </c>
      <c r="D4233">
        <v>2025</v>
      </c>
      <c r="E4233" t="s">
        <v>1445</v>
      </c>
      <c r="F4233" t="s">
        <v>1446</v>
      </c>
      <c r="G4233" t="s">
        <v>112</v>
      </c>
      <c r="H4233" t="s">
        <v>23</v>
      </c>
      <c r="I4233" t="s">
        <v>24</v>
      </c>
      <c r="J4233" t="s">
        <v>43</v>
      </c>
      <c r="K4233" t="s">
        <v>53</v>
      </c>
      <c r="L4233" t="s">
        <v>27</v>
      </c>
      <c r="M4233">
        <v>4</v>
      </c>
      <c r="N4233" s="2">
        <v>17</v>
      </c>
      <c r="O4233" s="3">
        <v>3723</v>
      </c>
      <c r="P4233">
        <v>0</v>
      </c>
      <c r="Q4233">
        <v>4</v>
      </c>
      <c r="R4233" t="s">
        <v>33</v>
      </c>
      <c r="S4233">
        <v>1</v>
      </c>
    </row>
    <row r="4234" spans="1:19" ht="16.5" x14ac:dyDescent="0.3">
      <c r="A4234" t="s">
        <v>4297</v>
      </c>
      <c r="B4234" s="1">
        <v>45844</v>
      </c>
      <c r="C4234" s="1">
        <v>45847</v>
      </c>
      <c r="D4234">
        <v>2025</v>
      </c>
      <c r="E4234" t="s">
        <v>1445</v>
      </c>
      <c r="F4234" t="s">
        <v>1446</v>
      </c>
      <c r="G4234" t="s">
        <v>112</v>
      </c>
      <c r="H4234" t="s">
        <v>52</v>
      </c>
      <c r="I4234" t="s">
        <v>40</v>
      </c>
      <c r="J4234" t="s">
        <v>43</v>
      </c>
      <c r="K4234" t="s">
        <v>32</v>
      </c>
      <c r="L4234" t="s">
        <v>44</v>
      </c>
      <c r="M4234">
        <v>3</v>
      </c>
      <c r="N4234" s="2"/>
      <c r="O4234" s="3">
        <v>4414</v>
      </c>
      <c r="P4234">
        <v>0</v>
      </c>
      <c r="Q4234">
        <v>4</v>
      </c>
      <c r="R4234" t="s">
        <v>33</v>
      </c>
      <c r="S4234">
        <v>1</v>
      </c>
    </row>
    <row r="4235" spans="1:19" ht="16.5" x14ac:dyDescent="0.3">
      <c r="A4235" t="s">
        <v>4298</v>
      </c>
      <c r="B4235" s="1">
        <v>45844</v>
      </c>
      <c r="C4235" s="1">
        <v>45848</v>
      </c>
      <c r="D4235">
        <v>2025</v>
      </c>
      <c r="E4235" t="s">
        <v>1445</v>
      </c>
      <c r="F4235" t="s">
        <v>1446</v>
      </c>
      <c r="G4235" t="s">
        <v>112</v>
      </c>
      <c r="H4235" t="s">
        <v>35</v>
      </c>
      <c r="I4235" t="s">
        <v>24</v>
      </c>
      <c r="J4235" t="s">
        <v>25</v>
      </c>
      <c r="K4235" t="s">
        <v>36</v>
      </c>
      <c r="L4235" t="s">
        <v>27</v>
      </c>
      <c r="M4235">
        <v>4</v>
      </c>
      <c r="N4235" s="2">
        <v>51</v>
      </c>
      <c r="O4235" s="3">
        <v>3967</v>
      </c>
      <c r="P4235">
        <v>1</v>
      </c>
      <c r="Q4235">
        <v>4</v>
      </c>
      <c r="R4235" t="s">
        <v>33</v>
      </c>
      <c r="S4235">
        <v>1</v>
      </c>
    </row>
    <row r="4236" spans="1:19" ht="16.5" x14ac:dyDescent="0.3">
      <c r="A4236" t="s">
        <v>4299</v>
      </c>
      <c r="B4236" s="1">
        <v>45844</v>
      </c>
      <c r="C4236" s="1">
        <v>45848</v>
      </c>
      <c r="D4236">
        <v>2025</v>
      </c>
      <c r="E4236" t="s">
        <v>1445</v>
      </c>
      <c r="F4236" t="s">
        <v>1446</v>
      </c>
      <c r="G4236" t="s">
        <v>112</v>
      </c>
      <c r="H4236" t="s">
        <v>30</v>
      </c>
      <c r="I4236" t="s">
        <v>40</v>
      </c>
      <c r="J4236" t="s">
        <v>43</v>
      </c>
      <c r="K4236" t="s">
        <v>32</v>
      </c>
      <c r="L4236" t="s">
        <v>37</v>
      </c>
      <c r="M4236">
        <v>4</v>
      </c>
      <c r="N4236" s="2"/>
      <c r="O4236" s="3">
        <v>4965</v>
      </c>
      <c r="P4236">
        <v>0</v>
      </c>
      <c r="Q4236">
        <v>4</v>
      </c>
      <c r="R4236" t="s">
        <v>33</v>
      </c>
      <c r="S4236">
        <v>1</v>
      </c>
    </row>
    <row r="4237" spans="1:19" ht="16.5" x14ac:dyDescent="0.3">
      <c r="A4237" t="s">
        <v>4300</v>
      </c>
      <c r="B4237" s="1">
        <v>45844</v>
      </c>
      <c r="C4237" s="1">
        <v>45846</v>
      </c>
      <c r="D4237">
        <v>2025</v>
      </c>
      <c r="E4237" t="s">
        <v>1445</v>
      </c>
      <c r="F4237" t="s">
        <v>1446</v>
      </c>
      <c r="G4237" t="s">
        <v>112</v>
      </c>
      <c r="H4237" t="s">
        <v>23</v>
      </c>
      <c r="I4237" t="s">
        <v>40</v>
      </c>
      <c r="J4237" t="s">
        <v>25</v>
      </c>
      <c r="K4237" t="s">
        <v>32</v>
      </c>
      <c r="L4237" t="s">
        <v>27</v>
      </c>
      <c r="M4237">
        <v>2</v>
      </c>
      <c r="N4237" s="2"/>
      <c r="O4237" s="3">
        <v>3228</v>
      </c>
      <c r="P4237">
        <v>0</v>
      </c>
      <c r="Q4237">
        <v>5</v>
      </c>
      <c r="R4237" t="s">
        <v>33</v>
      </c>
      <c r="S4237">
        <v>1</v>
      </c>
    </row>
    <row r="4238" spans="1:19" ht="16.5" x14ac:dyDescent="0.3">
      <c r="A4238" t="s">
        <v>4301</v>
      </c>
      <c r="B4238" s="1">
        <v>45844</v>
      </c>
      <c r="C4238" s="1">
        <v>45848</v>
      </c>
      <c r="D4238">
        <v>2025</v>
      </c>
      <c r="E4238" t="s">
        <v>1445</v>
      </c>
      <c r="F4238" t="s">
        <v>1446</v>
      </c>
      <c r="G4238" t="s">
        <v>112</v>
      </c>
      <c r="H4238" t="s">
        <v>52</v>
      </c>
      <c r="I4238" t="s">
        <v>40</v>
      </c>
      <c r="J4238" t="s">
        <v>25</v>
      </c>
      <c r="K4238" t="s">
        <v>26</v>
      </c>
      <c r="L4238" t="s">
        <v>27</v>
      </c>
      <c r="M4238">
        <v>4</v>
      </c>
      <c r="N4238" s="2"/>
      <c r="O4238" s="3">
        <v>4910</v>
      </c>
      <c r="P4238">
        <v>0</v>
      </c>
      <c r="Q4238">
        <v>4</v>
      </c>
      <c r="R4238" t="s">
        <v>28</v>
      </c>
      <c r="S4238">
        <v>1</v>
      </c>
    </row>
    <row r="4239" spans="1:19" ht="16.5" x14ac:dyDescent="0.3">
      <c r="A4239" t="s">
        <v>4302</v>
      </c>
      <c r="B4239" s="1">
        <v>45844</v>
      </c>
      <c r="C4239" s="1">
        <v>45846</v>
      </c>
      <c r="D4239">
        <v>2025</v>
      </c>
      <c r="E4239" t="s">
        <v>1445</v>
      </c>
      <c r="F4239" t="s">
        <v>1446</v>
      </c>
      <c r="G4239" t="s">
        <v>112</v>
      </c>
      <c r="H4239" t="s">
        <v>39</v>
      </c>
      <c r="I4239" t="s">
        <v>24</v>
      </c>
      <c r="J4239" t="s">
        <v>25</v>
      </c>
      <c r="K4239" t="s">
        <v>41</v>
      </c>
      <c r="L4239" t="s">
        <v>44</v>
      </c>
      <c r="M4239">
        <v>2</v>
      </c>
      <c r="N4239" s="2">
        <v>36</v>
      </c>
      <c r="O4239" s="3">
        <v>1233</v>
      </c>
      <c r="P4239">
        <v>0</v>
      </c>
      <c r="Q4239">
        <v>4</v>
      </c>
      <c r="R4239" t="s">
        <v>33</v>
      </c>
      <c r="S4239">
        <v>1</v>
      </c>
    </row>
    <row r="4240" spans="1:19" ht="16.5" x14ac:dyDescent="0.3">
      <c r="A4240" t="s">
        <v>4303</v>
      </c>
      <c r="B4240" s="1">
        <v>45844</v>
      </c>
      <c r="C4240" s="1">
        <v>45851</v>
      </c>
      <c r="D4240">
        <v>2025</v>
      </c>
      <c r="E4240" t="s">
        <v>1445</v>
      </c>
      <c r="F4240" t="s">
        <v>1446</v>
      </c>
      <c r="G4240" t="s">
        <v>112</v>
      </c>
      <c r="H4240" t="s">
        <v>35</v>
      </c>
      <c r="I4240" t="s">
        <v>24</v>
      </c>
      <c r="J4240" t="s">
        <v>25</v>
      </c>
      <c r="K4240" t="s">
        <v>36</v>
      </c>
      <c r="L4240" t="s">
        <v>37</v>
      </c>
      <c r="M4240">
        <v>7</v>
      </c>
      <c r="N4240" s="2">
        <v>14</v>
      </c>
      <c r="O4240" s="3">
        <v>5644</v>
      </c>
      <c r="P4240">
        <v>0</v>
      </c>
      <c r="Q4240">
        <v>5</v>
      </c>
      <c r="R4240" t="s">
        <v>59</v>
      </c>
      <c r="S4240">
        <v>1</v>
      </c>
    </row>
    <row r="4241" spans="1:19" ht="16.5" x14ac:dyDescent="0.3">
      <c r="A4241" t="s">
        <v>4304</v>
      </c>
      <c r="B4241" s="1">
        <v>45844</v>
      </c>
      <c r="C4241" s="1">
        <v>45846</v>
      </c>
      <c r="D4241">
        <v>2025</v>
      </c>
      <c r="E4241" t="s">
        <v>1445</v>
      </c>
      <c r="F4241" t="s">
        <v>1446</v>
      </c>
      <c r="G4241" t="s">
        <v>112</v>
      </c>
      <c r="H4241" t="s">
        <v>23</v>
      </c>
      <c r="I4241" t="s">
        <v>24</v>
      </c>
      <c r="J4241" t="s">
        <v>43</v>
      </c>
      <c r="K4241" t="s">
        <v>32</v>
      </c>
      <c r="L4241" t="s">
        <v>44</v>
      </c>
      <c r="M4241">
        <v>2</v>
      </c>
      <c r="N4241" s="2">
        <v>15</v>
      </c>
      <c r="O4241" s="3">
        <v>2294</v>
      </c>
      <c r="P4241">
        <v>0</v>
      </c>
      <c r="Q4241">
        <v>4</v>
      </c>
      <c r="R4241" t="s">
        <v>28</v>
      </c>
      <c r="S4241">
        <v>1</v>
      </c>
    </row>
    <row r="4242" spans="1:19" ht="16.5" x14ac:dyDescent="0.3">
      <c r="A4242" t="s">
        <v>4305</v>
      </c>
      <c r="B4242" s="1">
        <v>45845</v>
      </c>
      <c r="C4242" s="1">
        <v>45860</v>
      </c>
      <c r="D4242">
        <v>2025</v>
      </c>
      <c r="E4242" t="s">
        <v>1445</v>
      </c>
      <c r="F4242" t="s">
        <v>1446</v>
      </c>
      <c r="G4242" t="s">
        <v>22</v>
      </c>
      <c r="H4242" t="s">
        <v>23</v>
      </c>
      <c r="I4242" t="s">
        <v>24</v>
      </c>
      <c r="J4242" t="s">
        <v>43</v>
      </c>
      <c r="K4242" t="s">
        <v>53</v>
      </c>
      <c r="L4242" t="s">
        <v>44</v>
      </c>
      <c r="M4242">
        <v>15</v>
      </c>
      <c r="N4242" s="2">
        <v>93</v>
      </c>
      <c r="O4242" s="3">
        <v>10069</v>
      </c>
      <c r="P4242">
        <v>0</v>
      </c>
      <c r="Q4242">
        <v>2</v>
      </c>
      <c r="R4242" t="s">
        <v>59</v>
      </c>
      <c r="S4242">
        <v>1</v>
      </c>
    </row>
    <row r="4243" spans="1:19" ht="16.5" x14ac:dyDescent="0.3">
      <c r="A4243" t="s">
        <v>4306</v>
      </c>
      <c r="B4243" s="1">
        <v>45845</v>
      </c>
      <c r="C4243" s="1">
        <v>45847</v>
      </c>
      <c r="D4243">
        <v>2025</v>
      </c>
      <c r="E4243" t="s">
        <v>1445</v>
      </c>
      <c r="F4243" t="s">
        <v>1446</v>
      </c>
      <c r="G4243" t="s">
        <v>22</v>
      </c>
      <c r="H4243" t="s">
        <v>23</v>
      </c>
      <c r="I4243" t="s">
        <v>40</v>
      </c>
      <c r="J4243" t="s">
        <v>25</v>
      </c>
      <c r="K4243" t="s">
        <v>36</v>
      </c>
      <c r="L4243" t="s">
        <v>37</v>
      </c>
      <c r="M4243">
        <v>2</v>
      </c>
      <c r="N4243" s="2"/>
      <c r="O4243" s="3">
        <v>2153</v>
      </c>
      <c r="P4243">
        <v>0</v>
      </c>
      <c r="Q4243">
        <v>5</v>
      </c>
      <c r="R4243" t="s">
        <v>33</v>
      </c>
      <c r="S4243">
        <v>1</v>
      </c>
    </row>
    <row r="4244" spans="1:19" ht="16.5" x14ac:dyDescent="0.3">
      <c r="A4244" t="s">
        <v>4307</v>
      </c>
      <c r="B4244" s="1">
        <v>45845</v>
      </c>
      <c r="C4244" s="1">
        <v>45848</v>
      </c>
      <c r="D4244">
        <v>2025</v>
      </c>
      <c r="E4244" t="s">
        <v>1445</v>
      </c>
      <c r="F4244" t="s">
        <v>1446</v>
      </c>
      <c r="G4244" t="s">
        <v>22</v>
      </c>
      <c r="H4244" t="s">
        <v>30</v>
      </c>
      <c r="I4244" t="s">
        <v>40</v>
      </c>
      <c r="J4244" t="s">
        <v>25</v>
      </c>
      <c r="K4244" t="s">
        <v>36</v>
      </c>
      <c r="L4244" t="s">
        <v>44</v>
      </c>
      <c r="M4244">
        <v>3</v>
      </c>
      <c r="N4244" s="2"/>
      <c r="O4244" s="3">
        <v>4001</v>
      </c>
      <c r="P4244">
        <v>0</v>
      </c>
      <c r="Q4244">
        <v>4</v>
      </c>
      <c r="R4244" t="s">
        <v>28</v>
      </c>
      <c r="S4244">
        <v>1</v>
      </c>
    </row>
    <row r="4245" spans="1:19" ht="16.5" x14ac:dyDescent="0.3">
      <c r="A4245" t="s">
        <v>4308</v>
      </c>
      <c r="B4245" s="1">
        <v>45846</v>
      </c>
      <c r="C4245" s="1">
        <v>45852</v>
      </c>
      <c r="D4245">
        <v>2025</v>
      </c>
      <c r="E4245" t="s">
        <v>1445</v>
      </c>
      <c r="F4245" t="s">
        <v>1446</v>
      </c>
      <c r="G4245" t="s">
        <v>56</v>
      </c>
      <c r="H4245" t="s">
        <v>50</v>
      </c>
      <c r="I4245" t="s">
        <v>24</v>
      </c>
      <c r="J4245" t="s">
        <v>43</v>
      </c>
      <c r="K4245" t="s">
        <v>26</v>
      </c>
      <c r="L4245" t="s">
        <v>27</v>
      </c>
      <c r="M4245">
        <v>6</v>
      </c>
      <c r="N4245" s="2">
        <v>72</v>
      </c>
      <c r="O4245" s="3">
        <v>8789</v>
      </c>
      <c r="P4245">
        <v>0</v>
      </c>
      <c r="Q4245">
        <v>4</v>
      </c>
      <c r="R4245" t="s">
        <v>28</v>
      </c>
      <c r="S4245">
        <v>1</v>
      </c>
    </row>
    <row r="4246" spans="1:19" ht="16.5" x14ac:dyDescent="0.3">
      <c r="A4246" t="s">
        <v>4309</v>
      </c>
      <c r="B4246" s="1">
        <v>45846</v>
      </c>
      <c r="C4246" s="1">
        <v>45847</v>
      </c>
      <c r="D4246">
        <v>2025</v>
      </c>
      <c r="E4246" t="s">
        <v>1445</v>
      </c>
      <c r="F4246" t="s">
        <v>1446</v>
      </c>
      <c r="G4246" t="s">
        <v>56</v>
      </c>
      <c r="H4246" t="s">
        <v>30</v>
      </c>
      <c r="I4246" t="s">
        <v>24</v>
      </c>
      <c r="J4246" t="s">
        <v>43</v>
      </c>
      <c r="K4246" t="s">
        <v>36</v>
      </c>
      <c r="L4246" t="s">
        <v>37</v>
      </c>
      <c r="M4246">
        <v>1</v>
      </c>
      <c r="N4246" s="2">
        <v>15</v>
      </c>
      <c r="O4246" s="3">
        <v>1622</v>
      </c>
      <c r="P4246">
        <v>0</v>
      </c>
      <c r="Q4246">
        <v>4</v>
      </c>
      <c r="R4246" t="s">
        <v>28</v>
      </c>
      <c r="S4246">
        <v>1</v>
      </c>
    </row>
    <row r="4247" spans="1:19" ht="16.5" x14ac:dyDescent="0.3">
      <c r="A4247" t="s">
        <v>4310</v>
      </c>
      <c r="B4247" s="1">
        <v>45846</v>
      </c>
      <c r="C4247" s="1">
        <v>45848</v>
      </c>
      <c r="D4247">
        <v>2025</v>
      </c>
      <c r="E4247" t="s">
        <v>1445</v>
      </c>
      <c r="F4247" t="s">
        <v>1446</v>
      </c>
      <c r="G4247" t="s">
        <v>56</v>
      </c>
      <c r="H4247" t="s">
        <v>30</v>
      </c>
      <c r="I4247" t="s">
        <v>40</v>
      </c>
      <c r="J4247" t="s">
        <v>43</v>
      </c>
      <c r="K4247" t="s">
        <v>53</v>
      </c>
      <c r="L4247" t="s">
        <v>37</v>
      </c>
      <c r="M4247">
        <v>2</v>
      </c>
      <c r="N4247" s="2"/>
      <c r="O4247" s="3">
        <v>2838</v>
      </c>
      <c r="P4247">
        <v>0</v>
      </c>
      <c r="Q4247">
        <v>4</v>
      </c>
      <c r="R4247" t="s">
        <v>33</v>
      </c>
      <c r="S4247">
        <v>1</v>
      </c>
    </row>
    <row r="4248" spans="1:19" ht="16.5" x14ac:dyDescent="0.3">
      <c r="A4248" t="s">
        <v>4311</v>
      </c>
      <c r="B4248" s="1">
        <v>45846</v>
      </c>
      <c r="C4248" s="1">
        <v>45847</v>
      </c>
      <c r="D4248">
        <v>2025</v>
      </c>
      <c r="E4248" t="s">
        <v>1445</v>
      </c>
      <c r="F4248" t="s">
        <v>1446</v>
      </c>
      <c r="G4248" t="s">
        <v>56</v>
      </c>
      <c r="H4248" t="s">
        <v>35</v>
      </c>
      <c r="I4248" t="s">
        <v>24</v>
      </c>
      <c r="J4248" t="s">
        <v>25</v>
      </c>
      <c r="K4248" t="s">
        <v>36</v>
      </c>
      <c r="L4248" t="s">
        <v>37</v>
      </c>
      <c r="M4248">
        <v>1</v>
      </c>
      <c r="N4248" s="2">
        <v>38</v>
      </c>
      <c r="O4248" s="3">
        <v>1441</v>
      </c>
      <c r="P4248">
        <v>0</v>
      </c>
      <c r="Q4248">
        <v>4</v>
      </c>
      <c r="R4248" t="s">
        <v>33</v>
      </c>
      <c r="S4248">
        <v>1</v>
      </c>
    </row>
    <row r="4249" spans="1:19" ht="16.5" x14ac:dyDescent="0.3">
      <c r="A4249" t="s">
        <v>4312</v>
      </c>
      <c r="B4249" s="1">
        <v>45846</v>
      </c>
      <c r="C4249" s="1">
        <v>45847</v>
      </c>
      <c r="D4249">
        <v>2025</v>
      </c>
      <c r="E4249" t="s">
        <v>1445</v>
      </c>
      <c r="F4249" t="s">
        <v>1446</v>
      </c>
      <c r="G4249" t="s">
        <v>56</v>
      </c>
      <c r="H4249" t="s">
        <v>50</v>
      </c>
      <c r="I4249" t="s">
        <v>24</v>
      </c>
      <c r="J4249" t="s">
        <v>43</v>
      </c>
      <c r="K4249" t="s">
        <v>53</v>
      </c>
      <c r="L4249" t="s">
        <v>37</v>
      </c>
      <c r="M4249">
        <v>1</v>
      </c>
      <c r="N4249" s="2">
        <v>69</v>
      </c>
      <c r="O4249" s="3">
        <v>1905</v>
      </c>
      <c r="P4249">
        <v>0</v>
      </c>
      <c r="Q4249">
        <v>5</v>
      </c>
      <c r="R4249" t="s">
        <v>33</v>
      </c>
      <c r="S4249">
        <v>1</v>
      </c>
    </row>
    <row r="4250" spans="1:19" ht="16.5" x14ac:dyDescent="0.3">
      <c r="A4250" t="s">
        <v>4313</v>
      </c>
      <c r="B4250" s="1">
        <v>45847</v>
      </c>
      <c r="C4250" s="1">
        <v>45850</v>
      </c>
      <c r="D4250">
        <v>2025</v>
      </c>
      <c r="E4250" t="s">
        <v>1445</v>
      </c>
      <c r="F4250" t="s">
        <v>1446</v>
      </c>
      <c r="G4250" t="s">
        <v>70</v>
      </c>
      <c r="H4250" t="s">
        <v>50</v>
      </c>
      <c r="I4250" t="s">
        <v>24</v>
      </c>
      <c r="J4250" t="s">
        <v>25</v>
      </c>
      <c r="K4250" t="s">
        <v>26</v>
      </c>
      <c r="L4250" t="s">
        <v>44</v>
      </c>
      <c r="M4250">
        <v>3</v>
      </c>
      <c r="N4250" s="2">
        <v>30</v>
      </c>
      <c r="O4250" s="3">
        <v>5189</v>
      </c>
      <c r="P4250">
        <v>0</v>
      </c>
      <c r="Q4250">
        <v>3</v>
      </c>
      <c r="R4250" t="s">
        <v>33</v>
      </c>
      <c r="S4250">
        <v>1</v>
      </c>
    </row>
    <row r="4251" spans="1:19" ht="16.5" x14ac:dyDescent="0.3">
      <c r="A4251" t="s">
        <v>4314</v>
      </c>
      <c r="B4251" s="1">
        <v>45847</v>
      </c>
      <c r="C4251" s="1">
        <v>45848</v>
      </c>
      <c r="D4251">
        <v>2025</v>
      </c>
      <c r="E4251" t="s">
        <v>1445</v>
      </c>
      <c r="F4251" t="s">
        <v>1446</v>
      </c>
      <c r="G4251" t="s">
        <v>70</v>
      </c>
      <c r="H4251" t="s">
        <v>23</v>
      </c>
      <c r="I4251" t="s">
        <v>24</v>
      </c>
      <c r="J4251" t="s">
        <v>25</v>
      </c>
      <c r="K4251" t="s">
        <v>36</v>
      </c>
      <c r="L4251" t="s">
        <v>27</v>
      </c>
      <c r="M4251">
        <v>1</v>
      </c>
      <c r="N4251" s="2">
        <v>25</v>
      </c>
      <c r="O4251" s="3">
        <v>1702</v>
      </c>
      <c r="P4251">
        <v>0</v>
      </c>
      <c r="Q4251">
        <v>4</v>
      </c>
      <c r="R4251" t="s">
        <v>33</v>
      </c>
      <c r="S4251">
        <v>1</v>
      </c>
    </row>
    <row r="4252" spans="1:19" ht="16.5" x14ac:dyDescent="0.3">
      <c r="A4252" t="s">
        <v>4315</v>
      </c>
      <c r="B4252" s="1">
        <v>45847</v>
      </c>
      <c r="C4252" s="1">
        <v>45851</v>
      </c>
      <c r="D4252">
        <v>2025</v>
      </c>
      <c r="E4252" t="s">
        <v>1445</v>
      </c>
      <c r="F4252" t="s">
        <v>1446</v>
      </c>
      <c r="G4252" t="s">
        <v>70</v>
      </c>
      <c r="H4252" t="s">
        <v>30</v>
      </c>
      <c r="I4252" t="s">
        <v>40</v>
      </c>
      <c r="J4252" t="s">
        <v>43</v>
      </c>
      <c r="K4252" t="s">
        <v>53</v>
      </c>
      <c r="L4252" t="s">
        <v>44</v>
      </c>
      <c r="M4252">
        <v>4</v>
      </c>
      <c r="N4252" s="2"/>
      <c r="O4252" s="3">
        <v>4205</v>
      </c>
      <c r="P4252">
        <v>0</v>
      </c>
      <c r="Q4252">
        <v>4</v>
      </c>
      <c r="R4252" t="s">
        <v>59</v>
      </c>
      <c r="S4252">
        <v>1</v>
      </c>
    </row>
    <row r="4253" spans="1:19" ht="16.5" x14ac:dyDescent="0.3">
      <c r="A4253" t="s">
        <v>4316</v>
      </c>
      <c r="B4253" s="1">
        <v>45847</v>
      </c>
      <c r="C4253" s="1">
        <v>45850</v>
      </c>
      <c r="D4253">
        <v>2025</v>
      </c>
      <c r="E4253" t="s">
        <v>1445</v>
      </c>
      <c r="F4253" t="s">
        <v>1446</v>
      </c>
      <c r="G4253" t="s">
        <v>70</v>
      </c>
      <c r="H4253" t="s">
        <v>39</v>
      </c>
      <c r="I4253" t="s">
        <v>40</v>
      </c>
      <c r="J4253" t="s">
        <v>25</v>
      </c>
      <c r="K4253" t="s">
        <v>41</v>
      </c>
      <c r="L4253" t="s">
        <v>27</v>
      </c>
      <c r="M4253">
        <v>3</v>
      </c>
      <c r="N4253" s="2"/>
      <c r="O4253" s="3">
        <v>2704</v>
      </c>
      <c r="P4253">
        <v>0</v>
      </c>
      <c r="Q4253">
        <v>4</v>
      </c>
      <c r="R4253" t="s">
        <v>33</v>
      </c>
      <c r="S4253">
        <v>1</v>
      </c>
    </row>
    <row r="4254" spans="1:19" ht="16.5" x14ac:dyDescent="0.3">
      <c r="A4254" t="s">
        <v>4317</v>
      </c>
      <c r="B4254" s="1">
        <v>45847</v>
      </c>
      <c r="C4254" s="1">
        <v>45859</v>
      </c>
      <c r="D4254">
        <v>2025</v>
      </c>
      <c r="E4254" t="s">
        <v>1445</v>
      </c>
      <c r="F4254" t="s">
        <v>1446</v>
      </c>
      <c r="G4254" t="s">
        <v>70</v>
      </c>
      <c r="H4254" t="s">
        <v>23</v>
      </c>
      <c r="I4254" t="s">
        <v>24</v>
      </c>
      <c r="J4254" t="s">
        <v>25</v>
      </c>
      <c r="K4254" t="s">
        <v>53</v>
      </c>
      <c r="L4254" t="s">
        <v>27</v>
      </c>
      <c r="M4254">
        <v>12</v>
      </c>
      <c r="N4254" s="2">
        <v>52</v>
      </c>
      <c r="O4254" s="3">
        <v>5010</v>
      </c>
      <c r="P4254">
        <v>0</v>
      </c>
      <c r="Q4254">
        <v>4</v>
      </c>
      <c r="R4254" t="s">
        <v>28</v>
      </c>
      <c r="S4254">
        <v>1</v>
      </c>
    </row>
    <row r="4255" spans="1:19" ht="16.5" x14ac:dyDescent="0.3">
      <c r="A4255" t="s">
        <v>4318</v>
      </c>
      <c r="B4255" s="1">
        <v>45847</v>
      </c>
      <c r="C4255" s="1">
        <v>45848</v>
      </c>
      <c r="D4255">
        <v>2025</v>
      </c>
      <c r="E4255" t="s">
        <v>1445</v>
      </c>
      <c r="F4255" t="s">
        <v>1446</v>
      </c>
      <c r="G4255" t="s">
        <v>70</v>
      </c>
      <c r="H4255" t="s">
        <v>23</v>
      </c>
      <c r="I4255" t="s">
        <v>24</v>
      </c>
      <c r="J4255" t="s">
        <v>25</v>
      </c>
      <c r="K4255" t="s">
        <v>36</v>
      </c>
      <c r="L4255" t="s">
        <v>27</v>
      </c>
      <c r="M4255">
        <v>1</v>
      </c>
      <c r="N4255" s="2">
        <v>17</v>
      </c>
      <c r="O4255" s="3">
        <v>1060</v>
      </c>
      <c r="P4255">
        <v>0</v>
      </c>
      <c r="Q4255">
        <v>3</v>
      </c>
      <c r="R4255" t="s">
        <v>33</v>
      </c>
      <c r="S4255">
        <v>1</v>
      </c>
    </row>
    <row r="4256" spans="1:19" ht="16.5" x14ac:dyDescent="0.3">
      <c r="A4256" t="s">
        <v>4319</v>
      </c>
      <c r="B4256" s="1">
        <v>45848</v>
      </c>
      <c r="C4256" s="1">
        <v>45851</v>
      </c>
      <c r="D4256">
        <v>2025</v>
      </c>
      <c r="E4256" t="s">
        <v>1445</v>
      </c>
      <c r="F4256" t="s">
        <v>1446</v>
      </c>
      <c r="G4256" t="s">
        <v>78</v>
      </c>
      <c r="H4256" t="s">
        <v>52</v>
      </c>
      <c r="I4256" t="s">
        <v>40</v>
      </c>
      <c r="J4256" t="s">
        <v>25</v>
      </c>
      <c r="K4256" t="s">
        <v>26</v>
      </c>
      <c r="L4256" t="s">
        <v>44</v>
      </c>
      <c r="M4256">
        <v>3</v>
      </c>
      <c r="N4256" s="2"/>
      <c r="O4256" s="3">
        <v>3935</v>
      </c>
      <c r="P4256">
        <v>1</v>
      </c>
      <c r="Q4256">
        <v>4</v>
      </c>
      <c r="R4256" t="s">
        <v>33</v>
      </c>
      <c r="S4256">
        <v>1</v>
      </c>
    </row>
    <row r="4257" spans="1:19" ht="16.5" x14ac:dyDescent="0.3">
      <c r="A4257" t="s">
        <v>4320</v>
      </c>
      <c r="B4257" s="1">
        <v>45848</v>
      </c>
      <c r="C4257" s="1">
        <v>45852</v>
      </c>
      <c r="D4257">
        <v>2025</v>
      </c>
      <c r="E4257" t="s">
        <v>1445</v>
      </c>
      <c r="F4257" t="s">
        <v>1446</v>
      </c>
      <c r="G4257" t="s">
        <v>78</v>
      </c>
      <c r="H4257" t="s">
        <v>35</v>
      </c>
      <c r="I4257" t="s">
        <v>31</v>
      </c>
      <c r="J4257" t="s">
        <v>25</v>
      </c>
      <c r="K4257" t="s">
        <v>32</v>
      </c>
      <c r="L4257" t="s">
        <v>27</v>
      </c>
      <c r="M4257">
        <v>4</v>
      </c>
      <c r="N4257" s="2"/>
      <c r="O4257" s="3">
        <v>3363</v>
      </c>
      <c r="P4257">
        <v>0</v>
      </c>
      <c r="Q4257">
        <v>5</v>
      </c>
      <c r="R4257" t="s">
        <v>33</v>
      </c>
      <c r="S4257">
        <v>1</v>
      </c>
    </row>
    <row r="4258" spans="1:19" ht="16.5" x14ac:dyDescent="0.3">
      <c r="A4258" t="s">
        <v>4321</v>
      </c>
      <c r="B4258" s="1">
        <v>45848</v>
      </c>
      <c r="C4258" s="1">
        <v>45850</v>
      </c>
      <c r="D4258">
        <v>2025</v>
      </c>
      <c r="E4258" t="s">
        <v>1445</v>
      </c>
      <c r="F4258" t="s">
        <v>1446</v>
      </c>
      <c r="G4258" t="s">
        <v>78</v>
      </c>
      <c r="H4258" t="s">
        <v>30</v>
      </c>
      <c r="I4258" t="s">
        <v>40</v>
      </c>
      <c r="J4258" t="s">
        <v>25</v>
      </c>
      <c r="K4258" t="s">
        <v>26</v>
      </c>
      <c r="L4258" t="s">
        <v>27</v>
      </c>
      <c r="M4258">
        <v>2</v>
      </c>
      <c r="N4258" s="2"/>
      <c r="O4258" s="3">
        <v>3544</v>
      </c>
      <c r="P4258">
        <v>0</v>
      </c>
      <c r="Q4258">
        <v>4</v>
      </c>
      <c r="R4258" t="s">
        <v>28</v>
      </c>
      <c r="S4258">
        <v>1</v>
      </c>
    </row>
    <row r="4259" spans="1:19" ht="16.5" x14ac:dyDescent="0.3">
      <c r="A4259" t="s">
        <v>4322</v>
      </c>
      <c r="B4259" s="1">
        <v>45848</v>
      </c>
      <c r="C4259" s="1">
        <v>45855</v>
      </c>
      <c r="D4259">
        <v>2025</v>
      </c>
      <c r="E4259" t="s">
        <v>1445</v>
      </c>
      <c r="F4259" t="s">
        <v>1446</v>
      </c>
      <c r="G4259" t="s">
        <v>78</v>
      </c>
      <c r="H4259" t="s">
        <v>52</v>
      </c>
      <c r="I4259" t="s">
        <v>40</v>
      </c>
      <c r="J4259" t="s">
        <v>25</v>
      </c>
      <c r="K4259" t="s">
        <v>26</v>
      </c>
      <c r="L4259" t="s">
        <v>27</v>
      </c>
      <c r="M4259">
        <v>7</v>
      </c>
      <c r="N4259" s="2"/>
      <c r="O4259" s="3">
        <v>8527</v>
      </c>
      <c r="P4259">
        <v>0</v>
      </c>
      <c r="Q4259">
        <v>3</v>
      </c>
      <c r="R4259" t="s">
        <v>28</v>
      </c>
      <c r="S4259">
        <v>1</v>
      </c>
    </row>
    <row r="4260" spans="1:19" ht="16.5" x14ac:dyDescent="0.3">
      <c r="A4260" t="s">
        <v>4323</v>
      </c>
      <c r="B4260" s="1">
        <v>45848</v>
      </c>
      <c r="C4260" s="1">
        <v>45852</v>
      </c>
      <c r="D4260">
        <v>2025</v>
      </c>
      <c r="E4260" t="s">
        <v>1445</v>
      </c>
      <c r="F4260" t="s">
        <v>1446</v>
      </c>
      <c r="G4260" t="s">
        <v>78</v>
      </c>
      <c r="H4260" t="s">
        <v>30</v>
      </c>
      <c r="I4260" t="s">
        <v>24</v>
      </c>
      <c r="J4260" t="s">
        <v>43</v>
      </c>
      <c r="K4260" t="s">
        <v>32</v>
      </c>
      <c r="L4260" t="s">
        <v>44</v>
      </c>
      <c r="M4260">
        <v>4</v>
      </c>
      <c r="N4260" s="2">
        <v>42</v>
      </c>
      <c r="O4260" s="3">
        <v>3392</v>
      </c>
      <c r="P4260">
        <v>0</v>
      </c>
      <c r="Q4260">
        <v>3</v>
      </c>
      <c r="R4260" t="s">
        <v>28</v>
      </c>
      <c r="S4260">
        <v>1</v>
      </c>
    </row>
    <row r="4261" spans="1:19" ht="16.5" x14ac:dyDescent="0.3">
      <c r="A4261" t="s">
        <v>4324</v>
      </c>
      <c r="B4261" s="1">
        <v>45848</v>
      </c>
      <c r="C4261" s="1">
        <v>45851</v>
      </c>
      <c r="D4261">
        <v>2025</v>
      </c>
      <c r="E4261" t="s">
        <v>1445</v>
      </c>
      <c r="F4261" t="s">
        <v>1446</v>
      </c>
      <c r="G4261" t="s">
        <v>78</v>
      </c>
      <c r="H4261" t="s">
        <v>23</v>
      </c>
      <c r="I4261" t="s">
        <v>40</v>
      </c>
      <c r="J4261" t="s">
        <v>43</v>
      </c>
      <c r="K4261" t="s">
        <v>53</v>
      </c>
      <c r="L4261" t="s">
        <v>44</v>
      </c>
      <c r="M4261">
        <v>3</v>
      </c>
      <c r="N4261" s="2"/>
      <c r="O4261" s="3">
        <v>3175</v>
      </c>
      <c r="P4261">
        <v>0</v>
      </c>
      <c r="Q4261">
        <v>4</v>
      </c>
      <c r="R4261" t="s">
        <v>28</v>
      </c>
      <c r="S4261">
        <v>1</v>
      </c>
    </row>
    <row r="4262" spans="1:19" ht="16.5" x14ac:dyDescent="0.3">
      <c r="A4262" t="s">
        <v>4325</v>
      </c>
      <c r="B4262" s="1">
        <v>45848</v>
      </c>
      <c r="C4262" s="1">
        <v>45850</v>
      </c>
      <c r="D4262">
        <v>2025</v>
      </c>
      <c r="E4262" t="s">
        <v>1445</v>
      </c>
      <c r="F4262" t="s">
        <v>1446</v>
      </c>
      <c r="G4262" t="s">
        <v>78</v>
      </c>
      <c r="H4262" t="s">
        <v>30</v>
      </c>
      <c r="I4262" t="s">
        <v>24</v>
      </c>
      <c r="J4262" t="s">
        <v>43</v>
      </c>
      <c r="K4262" t="s">
        <v>53</v>
      </c>
      <c r="L4262" t="s">
        <v>27</v>
      </c>
      <c r="M4262">
        <v>2</v>
      </c>
      <c r="N4262" s="2">
        <v>19</v>
      </c>
      <c r="O4262" s="3">
        <v>3575</v>
      </c>
      <c r="P4262">
        <v>0</v>
      </c>
      <c r="Q4262">
        <v>4</v>
      </c>
      <c r="R4262" t="s">
        <v>33</v>
      </c>
      <c r="S4262">
        <v>1</v>
      </c>
    </row>
    <row r="4263" spans="1:19" ht="16.5" x14ac:dyDescent="0.3">
      <c r="A4263" t="s">
        <v>4326</v>
      </c>
      <c r="B4263" s="1">
        <v>45848</v>
      </c>
      <c r="C4263" s="1">
        <v>45849</v>
      </c>
      <c r="D4263">
        <v>2025</v>
      </c>
      <c r="E4263" t="s">
        <v>1445</v>
      </c>
      <c r="F4263" t="s">
        <v>1446</v>
      </c>
      <c r="G4263" t="s">
        <v>78</v>
      </c>
      <c r="H4263" t="s">
        <v>35</v>
      </c>
      <c r="I4263" t="s">
        <v>40</v>
      </c>
      <c r="J4263" t="s">
        <v>25</v>
      </c>
      <c r="K4263" t="s">
        <v>36</v>
      </c>
      <c r="L4263" t="s">
        <v>27</v>
      </c>
      <c r="M4263">
        <v>1</v>
      </c>
      <c r="N4263" s="2"/>
      <c r="O4263" s="3">
        <v>1353</v>
      </c>
      <c r="P4263">
        <v>0</v>
      </c>
      <c r="Q4263">
        <v>3</v>
      </c>
      <c r="R4263" t="s">
        <v>33</v>
      </c>
      <c r="S4263">
        <v>1</v>
      </c>
    </row>
    <row r="4264" spans="1:19" ht="16.5" x14ac:dyDescent="0.3">
      <c r="A4264" t="s">
        <v>4327</v>
      </c>
      <c r="B4264" s="1">
        <v>45848</v>
      </c>
      <c r="C4264" s="1">
        <v>45852</v>
      </c>
      <c r="D4264">
        <v>2025</v>
      </c>
      <c r="E4264" t="s">
        <v>1445</v>
      </c>
      <c r="F4264" t="s">
        <v>1446</v>
      </c>
      <c r="G4264" t="s">
        <v>78</v>
      </c>
      <c r="H4264" t="s">
        <v>50</v>
      </c>
      <c r="I4264" t="s">
        <v>24</v>
      </c>
      <c r="J4264" t="s">
        <v>43</v>
      </c>
      <c r="K4264" t="s">
        <v>53</v>
      </c>
      <c r="L4264" t="s">
        <v>44</v>
      </c>
      <c r="M4264">
        <v>4</v>
      </c>
      <c r="N4264" s="2">
        <v>18</v>
      </c>
      <c r="O4264" s="3">
        <v>6346</v>
      </c>
      <c r="P4264">
        <v>0</v>
      </c>
      <c r="Q4264">
        <v>5</v>
      </c>
      <c r="R4264" t="s">
        <v>33</v>
      </c>
      <c r="S4264">
        <v>1</v>
      </c>
    </row>
    <row r="4265" spans="1:19" ht="16.5" x14ac:dyDescent="0.3">
      <c r="A4265" t="s">
        <v>4328</v>
      </c>
      <c r="B4265" s="1">
        <v>45848</v>
      </c>
      <c r="C4265" s="1">
        <v>45849</v>
      </c>
      <c r="D4265">
        <v>2025</v>
      </c>
      <c r="E4265" t="s">
        <v>1445</v>
      </c>
      <c r="F4265" t="s">
        <v>1446</v>
      </c>
      <c r="G4265" t="s">
        <v>78</v>
      </c>
      <c r="H4265" t="s">
        <v>23</v>
      </c>
      <c r="I4265" t="s">
        <v>40</v>
      </c>
      <c r="J4265" t="s">
        <v>25</v>
      </c>
      <c r="K4265" t="s">
        <v>36</v>
      </c>
      <c r="L4265" t="s">
        <v>44</v>
      </c>
      <c r="M4265">
        <v>1</v>
      </c>
      <c r="N4265" s="2"/>
      <c r="O4265" s="3">
        <v>1304</v>
      </c>
      <c r="P4265">
        <v>0</v>
      </c>
      <c r="Q4265">
        <v>4</v>
      </c>
      <c r="R4265" t="s">
        <v>33</v>
      </c>
      <c r="S4265">
        <v>1</v>
      </c>
    </row>
    <row r="4266" spans="1:19" ht="16.5" x14ac:dyDescent="0.3">
      <c r="A4266" t="s">
        <v>4329</v>
      </c>
      <c r="B4266" s="1">
        <v>45848</v>
      </c>
      <c r="C4266" s="1">
        <v>45855</v>
      </c>
      <c r="D4266">
        <v>2025</v>
      </c>
      <c r="E4266" t="s">
        <v>1445</v>
      </c>
      <c r="F4266" t="s">
        <v>1446</v>
      </c>
      <c r="G4266" t="s">
        <v>78</v>
      </c>
      <c r="H4266" t="s">
        <v>52</v>
      </c>
      <c r="I4266" t="s">
        <v>24</v>
      </c>
      <c r="J4266" t="s">
        <v>43</v>
      </c>
      <c r="K4266" t="s">
        <v>32</v>
      </c>
      <c r="L4266" t="s">
        <v>44</v>
      </c>
      <c r="M4266">
        <v>7</v>
      </c>
      <c r="N4266" s="2">
        <v>55</v>
      </c>
      <c r="O4266" s="3">
        <v>7179</v>
      </c>
      <c r="P4266">
        <v>0</v>
      </c>
      <c r="Q4266">
        <v>4</v>
      </c>
      <c r="R4266" t="s">
        <v>33</v>
      </c>
      <c r="S4266">
        <v>1</v>
      </c>
    </row>
    <row r="4267" spans="1:19" ht="16.5" x14ac:dyDescent="0.3">
      <c r="A4267" t="s">
        <v>4330</v>
      </c>
      <c r="B4267" s="1">
        <v>45849</v>
      </c>
      <c r="C4267" s="1">
        <v>45854</v>
      </c>
      <c r="D4267">
        <v>2025</v>
      </c>
      <c r="E4267" t="s">
        <v>1445</v>
      </c>
      <c r="F4267" t="s">
        <v>1446</v>
      </c>
      <c r="G4267" t="s">
        <v>83</v>
      </c>
      <c r="H4267" t="s">
        <v>35</v>
      </c>
      <c r="I4267" t="s">
        <v>24</v>
      </c>
      <c r="J4267" t="s">
        <v>25</v>
      </c>
      <c r="K4267" t="s">
        <v>32</v>
      </c>
      <c r="L4267" t="s">
        <v>27</v>
      </c>
      <c r="M4267">
        <v>5</v>
      </c>
      <c r="N4267" s="2">
        <v>150</v>
      </c>
      <c r="O4267" s="3">
        <v>4170</v>
      </c>
      <c r="P4267">
        <v>0</v>
      </c>
      <c r="Q4267">
        <v>4</v>
      </c>
      <c r="R4267" t="s">
        <v>33</v>
      </c>
      <c r="S4267">
        <v>1</v>
      </c>
    </row>
    <row r="4268" spans="1:19" ht="16.5" x14ac:dyDescent="0.3">
      <c r="A4268" t="s">
        <v>4331</v>
      </c>
      <c r="B4268" s="1">
        <v>45849</v>
      </c>
      <c r="C4268" s="1">
        <v>45852</v>
      </c>
      <c r="D4268">
        <v>2025</v>
      </c>
      <c r="E4268" t="s">
        <v>1445</v>
      </c>
      <c r="F4268" t="s">
        <v>1446</v>
      </c>
      <c r="G4268" t="s">
        <v>83</v>
      </c>
      <c r="H4268" t="s">
        <v>50</v>
      </c>
      <c r="I4268" t="s">
        <v>40</v>
      </c>
      <c r="J4268" t="s">
        <v>25</v>
      </c>
      <c r="K4268" t="s">
        <v>26</v>
      </c>
      <c r="L4268" t="s">
        <v>37</v>
      </c>
      <c r="M4268">
        <v>3</v>
      </c>
      <c r="N4268" s="2"/>
      <c r="O4268" s="3">
        <v>5467</v>
      </c>
      <c r="P4268">
        <v>0</v>
      </c>
      <c r="Q4268">
        <v>5</v>
      </c>
      <c r="R4268" t="s">
        <v>28</v>
      </c>
      <c r="S4268">
        <v>1</v>
      </c>
    </row>
    <row r="4269" spans="1:19" ht="16.5" x14ac:dyDescent="0.3">
      <c r="A4269" t="s">
        <v>4332</v>
      </c>
      <c r="B4269" s="1">
        <v>45849</v>
      </c>
      <c r="C4269" s="1">
        <v>45852</v>
      </c>
      <c r="D4269">
        <v>2025</v>
      </c>
      <c r="E4269" t="s">
        <v>1445</v>
      </c>
      <c r="F4269" t="s">
        <v>1446</v>
      </c>
      <c r="G4269" t="s">
        <v>83</v>
      </c>
      <c r="H4269" t="s">
        <v>30</v>
      </c>
      <c r="I4269" t="s">
        <v>40</v>
      </c>
      <c r="J4269" t="s">
        <v>25</v>
      </c>
      <c r="K4269" t="s">
        <v>36</v>
      </c>
      <c r="L4269" t="s">
        <v>27</v>
      </c>
      <c r="M4269">
        <v>3</v>
      </c>
      <c r="N4269" s="2"/>
      <c r="O4269" s="3">
        <v>3093</v>
      </c>
      <c r="P4269">
        <v>0</v>
      </c>
      <c r="Q4269">
        <v>4</v>
      </c>
      <c r="R4269" t="s">
        <v>33</v>
      </c>
      <c r="S4269">
        <v>1</v>
      </c>
    </row>
    <row r="4270" spans="1:19" ht="16.5" x14ac:dyDescent="0.3">
      <c r="A4270" t="s">
        <v>4333</v>
      </c>
      <c r="B4270" s="1">
        <v>45849</v>
      </c>
      <c r="C4270" s="1">
        <v>45853</v>
      </c>
      <c r="D4270">
        <v>2025</v>
      </c>
      <c r="E4270" t="s">
        <v>1445</v>
      </c>
      <c r="F4270" t="s">
        <v>1446</v>
      </c>
      <c r="G4270" t="s">
        <v>83</v>
      </c>
      <c r="H4270" t="s">
        <v>39</v>
      </c>
      <c r="I4270" t="s">
        <v>24</v>
      </c>
      <c r="J4270" t="s">
        <v>43</v>
      </c>
      <c r="K4270" t="s">
        <v>41</v>
      </c>
      <c r="L4270" t="s">
        <v>44</v>
      </c>
      <c r="M4270">
        <v>4</v>
      </c>
      <c r="N4270" s="2">
        <v>19</v>
      </c>
      <c r="O4270" s="3">
        <v>3320</v>
      </c>
      <c r="P4270">
        <v>0</v>
      </c>
      <c r="Q4270">
        <v>5</v>
      </c>
      <c r="R4270" t="s">
        <v>33</v>
      </c>
      <c r="S4270">
        <v>1</v>
      </c>
    </row>
    <row r="4271" spans="1:19" ht="16.5" x14ac:dyDescent="0.3">
      <c r="A4271" t="s">
        <v>4334</v>
      </c>
      <c r="B4271" s="1">
        <v>45849</v>
      </c>
      <c r="C4271" s="1">
        <v>45860</v>
      </c>
      <c r="D4271">
        <v>2025</v>
      </c>
      <c r="E4271" t="s">
        <v>1445</v>
      </c>
      <c r="F4271" t="s">
        <v>1446</v>
      </c>
      <c r="G4271" t="s">
        <v>83</v>
      </c>
      <c r="H4271" t="s">
        <v>30</v>
      </c>
      <c r="I4271" t="s">
        <v>31</v>
      </c>
      <c r="J4271" t="s">
        <v>25</v>
      </c>
      <c r="K4271" t="s">
        <v>32</v>
      </c>
      <c r="L4271" t="s">
        <v>44</v>
      </c>
      <c r="M4271">
        <v>11</v>
      </c>
      <c r="N4271" s="2"/>
      <c r="O4271" s="3">
        <v>9974</v>
      </c>
      <c r="P4271">
        <v>0</v>
      </c>
      <c r="Q4271">
        <v>4</v>
      </c>
      <c r="R4271" t="s">
        <v>33</v>
      </c>
      <c r="S4271">
        <v>1</v>
      </c>
    </row>
    <row r="4272" spans="1:19" ht="16.5" x14ac:dyDescent="0.3">
      <c r="A4272" t="s">
        <v>4335</v>
      </c>
      <c r="B4272" s="1">
        <v>45849</v>
      </c>
      <c r="C4272" s="1">
        <v>45860</v>
      </c>
      <c r="D4272">
        <v>2025</v>
      </c>
      <c r="E4272" t="s">
        <v>1445</v>
      </c>
      <c r="F4272" t="s">
        <v>1446</v>
      </c>
      <c r="G4272" t="s">
        <v>83</v>
      </c>
      <c r="H4272" t="s">
        <v>23</v>
      </c>
      <c r="I4272" t="s">
        <v>24</v>
      </c>
      <c r="J4272" t="s">
        <v>43</v>
      </c>
      <c r="K4272" t="s">
        <v>36</v>
      </c>
      <c r="L4272" t="s">
        <v>44</v>
      </c>
      <c r="M4272">
        <v>11</v>
      </c>
      <c r="N4272" s="2">
        <v>33</v>
      </c>
      <c r="O4272" s="3">
        <v>8172</v>
      </c>
      <c r="P4272">
        <v>0</v>
      </c>
      <c r="Q4272">
        <v>3</v>
      </c>
      <c r="R4272" t="s">
        <v>28</v>
      </c>
      <c r="S4272">
        <v>1</v>
      </c>
    </row>
    <row r="4273" spans="1:19" ht="16.5" x14ac:dyDescent="0.3">
      <c r="A4273" t="s">
        <v>4336</v>
      </c>
      <c r="B4273" s="1">
        <v>45850</v>
      </c>
      <c r="C4273" s="1">
        <v>45853</v>
      </c>
      <c r="D4273">
        <v>2025</v>
      </c>
      <c r="E4273" t="s">
        <v>1445</v>
      </c>
      <c r="F4273" t="s">
        <v>1446</v>
      </c>
      <c r="G4273" t="s">
        <v>102</v>
      </c>
      <c r="H4273" t="s">
        <v>35</v>
      </c>
      <c r="I4273" t="s">
        <v>24</v>
      </c>
      <c r="J4273" t="s">
        <v>25</v>
      </c>
      <c r="K4273" t="s">
        <v>36</v>
      </c>
      <c r="L4273" t="s">
        <v>27</v>
      </c>
      <c r="M4273">
        <v>3</v>
      </c>
      <c r="N4273" s="2">
        <v>19</v>
      </c>
      <c r="O4273" s="3">
        <v>3341</v>
      </c>
      <c r="P4273">
        <v>0</v>
      </c>
      <c r="Q4273">
        <v>4</v>
      </c>
      <c r="R4273" t="s">
        <v>33</v>
      </c>
      <c r="S4273">
        <v>1</v>
      </c>
    </row>
    <row r="4274" spans="1:19" ht="16.5" x14ac:dyDescent="0.3">
      <c r="A4274" t="s">
        <v>4337</v>
      </c>
      <c r="B4274" s="1">
        <v>45850</v>
      </c>
      <c r="C4274" s="1">
        <v>45851</v>
      </c>
      <c r="D4274">
        <v>2025</v>
      </c>
      <c r="E4274" t="s">
        <v>1445</v>
      </c>
      <c r="F4274" t="s">
        <v>1446</v>
      </c>
      <c r="G4274" t="s">
        <v>102</v>
      </c>
      <c r="H4274" t="s">
        <v>39</v>
      </c>
      <c r="I4274" t="s">
        <v>31</v>
      </c>
      <c r="J4274" t="s">
        <v>25</v>
      </c>
      <c r="K4274" t="s">
        <v>41</v>
      </c>
      <c r="L4274" t="s">
        <v>27</v>
      </c>
      <c r="M4274">
        <v>1</v>
      </c>
      <c r="N4274" s="2"/>
      <c r="O4274" s="3">
        <v>1001</v>
      </c>
      <c r="P4274">
        <v>0</v>
      </c>
      <c r="Q4274">
        <v>4</v>
      </c>
      <c r="R4274" t="s">
        <v>33</v>
      </c>
      <c r="S4274">
        <v>1</v>
      </c>
    </row>
    <row r="4275" spans="1:19" ht="16.5" x14ac:dyDescent="0.3">
      <c r="A4275" t="s">
        <v>4338</v>
      </c>
      <c r="B4275" s="1">
        <v>45850</v>
      </c>
      <c r="C4275" s="1">
        <v>45852</v>
      </c>
      <c r="D4275">
        <v>2025</v>
      </c>
      <c r="E4275" t="s">
        <v>1445</v>
      </c>
      <c r="F4275" t="s">
        <v>1446</v>
      </c>
      <c r="G4275" t="s">
        <v>102</v>
      </c>
      <c r="H4275" t="s">
        <v>39</v>
      </c>
      <c r="I4275" t="s">
        <v>31</v>
      </c>
      <c r="J4275" t="s">
        <v>43</v>
      </c>
      <c r="K4275" t="s">
        <v>41</v>
      </c>
      <c r="L4275" t="s">
        <v>27</v>
      </c>
      <c r="M4275">
        <v>2</v>
      </c>
      <c r="N4275" s="2"/>
      <c r="O4275" s="3">
        <v>1657</v>
      </c>
      <c r="P4275">
        <v>0</v>
      </c>
      <c r="Q4275">
        <v>4</v>
      </c>
      <c r="R4275" t="s">
        <v>33</v>
      </c>
      <c r="S4275">
        <v>1</v>
      </c>
    </row>
    <row r="4276" spans="1:19" ht="16.5" x14ac:dyDescent="0.3">
      <c r="A4276" t="s">
        <v>4339</v>
      </c>
      <c r="B4276" s="1">
        <v>45850</v>
      </c>
      <c r="C4276" s="1">
        <v>45851</v>
      </c>
      <c r="D4276">
        <v>2025</v>
      </c>
      <c r="E4276" t="s">
        <v>1445</v>
      </c>
      <c r="F4276" t="s">
        <v>1446</v>
      </c>
      <c r="G4276" t="s">
        <v>102</v>
      </c>
      <c r="H4276" t="s">
        <v>52</v>
      </c>
      <c r="I4276" t="s">
        <v>40</v>
      </c>
      <c r="J4276" t="s">
        <v>43</v>
      </c>
      <c r="K4276" t="s">
        <v>26</v>
      </c>
      <c r="L4276" t="s">
        <v>27</v>
      </c>
      <c r="M4276">
        <v>1</v>
      </c>
      <c r="N4276" s="2"/>
      <c r="O4276" s="3">
        <v>1675</v>
      </c>
      <c r="P4276">
        <v>0</v>
      </c>
      <c r="Q4276">
        <v>4</v>
      </c>
      <c r="R4276" t="s">
        <v>33</v>
      </c>
      <c r="S4276">
        <v>1</v>
      </c>
    </row>
    <row r="4277" spans="1:19" ht="16.5" x14ac:dyDescent="0.3">
      <c r="A4277" t="s">
        <v>4340</v>
      </c>
      <c r="B4277" s="1">
        <v>45850</v>
      </c>
      <c r="C4277" s="1">
        <v>45855</v>
      </c>
      <c r="D4277">
        <v>2025</v>
      </c>
      <c r="E4277" t="s">
        <v>1445</v>
      </c>
      <c r="F4277" t="s">
        <v>1446</v>
      </c>
      <c r="G4277" t="s">
        <v>102</v>
      </c>
      <c r="H4277" t="s">
        <v>30</v>
      </c>
      <c r="I4277" t="s">
        <v>40</v>
      </c>
      <c r="J4277" t="s">
        <v>43</v>
      </c>
      <c r="K4277" t="s">
        <v>26</v>
      </c>
      <c r="L4277" t="s">
        <v>44</v>
      </c>
      <c r="M4277">
        <v>5</v>
      </c>
      <c r="N4277" s="2"/>
      <c r="O4277" s="3">
        <v>4653</v>
      </c>
      <c r="P4277">
        <v>0</v>
      </c>
      <c r="Q4277">
        <v>4</v>
      </c>
      <c r="R4277" t="s">
        <v>28</v>
      </c>
      <c r="S4277">
        <v>1</v>
      </c>
    </row>
    <row r="4278" spans="1:19" ht="16.5" x14ac:dyDescent="0.3">
      <c r="A4278" t="s">
        <v>4341</v>
      </c>
      <c r="B4278" s="1">
        <v>45850</v>
      </c>
      <c r="C4278" s="1">
        <v>45852</v>
      </c>
      <c r="D4278">
        <v>2025</v>
      </c>
      <c r="E4278" t="s">
        <v>1445</v>
      </c>
      <c r="F4278" t="s">
        <v>1446</v>
      </c>
      <c r="G4278" t="s">
        <v>102</v>
      </c>
      <c r="H4278" t="s">
        <v>23</v>
      </c>
      <c r="I4278" t="s">
        <v>40</v>
      </c>
      <c r="J4278" t="s">
        <v>43</v>
      </c>
      <c r="K4278" t="s">
        <v>36</v>
      </c>
      <c r="L4278" t="s">
        <v>44</v>
      </c>
      <c r="M4278">
        <v>2</v>
      </c>
      <c r="N4278" s="2"/>
      <c r="O4278" s="3">
        <v>1693</v>
      </c>
      <c r="P4278">
        <v>0</v>
      </c>
      <c r="Q4278">
        <v>5</v>
      </c>
      <c r="R4278" t="s">
        <v>33</v>
      </c>
      <c r="S4278">
        <v>1</v>
      </c>
    </row>
    <row r="4279" spans="1:19" ht="16.5" x14ac:dyDescent="0.3">
      <c r="A4279" t="s">
        <v>4342</v>
      </c>
      <c r="B4279" s="1">
        <v>45850</v>
      </c>
      <c r="C4279" s="1">
        <v>45858</v>
      </c>
      <c r="D4279">
        <v>2025</v>
      </c>
      <c r="E4279" t="s">
        <v>1445</v>
      </c>
      <c r="F4279" t="s">
        <v>1446</v>
      </c>
      <c r="G4279" t="s">
        <v>102</v>
      </c>
      <c r="H4279" t="s">
        <v>50</v>
      </c>
      <c r="I4279" t="s">
        <v>24</v>
      </c>
      <c r="J4279" t="s">
        <v>43</v>
      </c>
      <c r="K4279" t="s">
        <v>53</v>
      </c>
      <c r="L4279" t="s">
        <v>44</v>
      </c>
      <c r="M4279">
        <v>8</v>
      </c>
      <c r="N4279" s="2">
        <v>39</v>
      </c>
      <c r="O4279" s="3">
        <v>10268</v>
      </c>
      <c r="P4279">
        <v>0</v>
      </c>
      <c r="Q4279">
        <v>5</v>
      </c>
      <c r="R4279" t="s">
        <v>33</v>
      </c>
      <c r="S4279">
        <v>1</v>
      </c>
    </row>
    <row r="4280" spans="1:19" ht="16.5" x14ac:dyDescent="0.3">
      <c r="A4280" t="s">
        <v>4343</v>
      </c>
      <c r="B4280" s="1">
        <v>45851</v>
      </c>
      <c r="C4280" s="1">
        <v>45858</v>
      </c>
      <c r="D4280">
        <v>2025</v>
      </c>
      <c r="E4280" t="s">
        <v>1445</v>
      </c>
      <c r="F4280" t="s">
        <v>1446</v>
      </c>
      <c r="G4280" t="s">
        <v>112</v>
      </c>
      <c r="H4280" t="s">
        <v>52</v>
      </c>
      <c r="I4280" t="s">
        <v>40</v>
      </c>
      <c r="J4280" t="s">
        <v>25</v>
      </c>
      <c r="K4280" t="s">
        <v>26</v>
      </c>
      <c r="L4280" t="s">
        <v>44</v>
      </c>
      <c r="M4280">
        <v>7</v>
      </c>
      <c r="N4280" s="2"/>
      <c r="O4280" s="3">
        <v>9265</v>
      </c>
      <c r="P4280">
        <v>0</v>
      </c>
      <c r="Q4280">
        <v>4</v>
      </c>
      <c r="R4280" t="s">
        <v>33</v>
      </c>
      <c r="S4280">
        <v>1</v>
      </c>
    </row>
    <row r="4281" spans="1:19" ht="16.5" x14ac:dyDescent="0.3">
      <c r="A4281" t="s">
        <v>4344</v>
      </c>
      <c r="B4281" s="1">
        <v>45851</v>
      </c>
      <c r="C4281" s="1">
        <v>45854</v>
      </c>
      <c r="D4281">
        <v>2025</v>
      </c>
      <c r="E4281" t="s">
        <v>1445</v>
      </c>
      <c r="F4281" t="s">
        <v>1446</v>
      </c>
      <c r="G4281" t="s">
        <v>112</v>
      </c>
      <c r="H4281" t="s">
        <v>35</v>
      </c>
      <c r="I4281" t="s">
        <v>24</v>
      </c>
      <c r="J4281" t="s">
        <v>25</v>
      </c>
      <c r="K4281" t="s">
        <v>36</v>
      </c>
      <c r="L4281" t="s">
        <v>44</v>
      </c>
      <c r="M4281">
        <v>3</v>
      </c>
      <c r="N4281" s="2">
        <v>39</v>
      </c>
      <c r="O4281" s="3">
        <v>2390</v>
      </c>
      <c r="P4281">
        <v>0</v>
      </c>
      <c r="Q4281">
        <v>5</v>
      </c>
      <c r="R4281" t="s">
        <v>28</v>
      </c>
      <c r="S4281">
        <v>1</v>
      </c>
    </row>
    <row r="4282" spans="1:19" ht="16.5" x14ac:dyDescent="0.3">
      <c r="A4282" t="s">
        <v>4345</v>
      </c>
      <c r="B4282" s="1">
        <v>45852</v>
      </c>
      <c r="C4282" s="1">
        <v>45855</v>
      </c>
      <c r="D4282">
        <v>2025</v>
      </c>
      <c r="E4282" t="s">
        <v>1445</v>
      </c>
      <c r="F4282" t="s">
        <v>1446</v>
      </c>
      <c r="G4282" t="s">
        <v>22</v>
      </c>
      <c r="H4282" t="s">
        <v>35</v>
      </c>
      <c r="I4282" t="s">
        <v>24</v>
      </c>
      <c r="J4282" t="s">
        <v>25</v>
      </c>
      <c r="K4282" t="s">
        <v>32</v>
      </c>
      <c r="L4282" t="s">
        <v>37</v>
      </c>
      <c r="M4282">
        <v>3</v>
      </c>
      <c r="N4282" s="2">
        <v>63</v>
      </c>
      <c r="O4282" s="3">
        <v>1973</v>
      </c>
      <c r="P4282">
        <v>1</v>
      </c>
      <c r="Q4282">
        <v>3</v>
      </c>
      <c r="R4282" t="s">
        <v>33</v>
      </c>
      <c r="S4282">
        <v>1</v>
      </c>
    </row>
    <row r="4283" spans="1:19" ht="16.5" x14ac:dyDescent="0.3">
      <c r="A4283" t="s">
        <v>4346</v>
      </c>
      <c r="B4283" s="1">
        <v>45852</v>
      </c>
      <c r="C4283" s="1">
        <v>45856</v>
      </c>
      <c r="D4283">
        <v>2025</v>
      </c>
      <c r="E4283" t="s">
        <v>1445</v>
      </c>
      <c r="F4283" t="s">
        <v>1446</v>
      </c>
      <c r="G4283" t="s">
        <v>22</v>
      </c>
      <c r="H4283" t="s">
        <v>23</v>
      </c>
      <c r="I4283" t="s">
        <v>24</v>
      </c>
      <c r="J4283" t="s">
        <v>25</v>
      </c>
      <c r="K4283" t="s">
        <v>26</v>
      </c>
      <c r="L4283" t="s">
        <v>44</v>
      </c>
      <c r="M4283">
        <v>4</v>
      </c>
      <c r="N4283" s="2">
        <v>50</v>
      </c>
      <c r="O4283" s="3">
        <v>2476</v>
      </c>
      <c r="P4283">
        <v>1</v>
      </c>
      <c r="Q4283">
        <v>4</v>
      </c>
      <c r="R4283" t="s">
        <v>33</v>
      </c>
      <c r="S4283">
        <v>1</v>
      </c>
    </row>
    <row r="4284" spans="1:19" ht="16.5" x14ac:dyDescent="0.3">
      <c r="A4284" t="s">
        <v>4347</v>
      </c>
      <c r="B4284" s="1">
        <v>45852</v>
      </c>
      <c r="C4284" s="1">
        <v>45860</v>
      </c>
      <c r="D4284">
        <v>2025</v>
      </c>
      <c r="E4284" t="s">
        <v>1445</v>
      </c>
      <c r="F4284" t="s">
        <v>1446</v>
      </c>
      <c r="G4284" t="s">
        <v>22</v>
      </c>
      <c r="H4284" t="s">
        <v>50</v>
      </c>
      <c r="I4284" t="s">
        <v>24</v>
      </c>
      <c r="J4284" t="s">
        <v>43</v>
      </c>
      <c r="K4284" t="s">
        <v>32</v>
      </c>
      <c r="L4284" t="s">
        <v>27</v>
      </c>
      <c r="M4284">
        <v>8</v>
      </c>
      <c r="N4284" s="2">
        <v>31</v>
      </c>
      <c r="O4284" s="3">
        <v>12153</v>
      </c>
      <c r="P4284">
        <v>0</v>
      </c>
      <c r="Q4284">
        <v>4</v>
      </c>
      <c r="R4284" t="s">
        <v>33</v>
      </c>
      <c r="S4284">
        <v>1</v>
      </c>
    </row>
    <row r="4285" spans="1:19" ht="16.5" x14ac:dyDescent="0.3">
      <c r="A4285" t="s">
        <v>4348</v>
      </c>
      <c r="B4285" s="1">
        <v>45852</v>
      </c>
      <c r="C4285" s="1">
        <v>45857</v>
      </c>
      <c r="D4285">
        <v>2025</v>
      </c>
      <c r="E4285" t="s">
        <v>1445</v>
      </c>
      <c r="F4285" t="s">
        <v>1446</v>
      </c>
      <c r="G4285" t="s">
        <v>22</v>
      </c>
      <c r="H4285" t="s">
        <v>23</v>
      </c>
      <c r="I4285" t="s">
        <v>40</v>
      </c>
      <c r="J4285" t="s">
        <v>25</v>
      </c>
      <c r="K4285" t="s">
        <v>53</v>
      </c>
      <c r="L4285" t="s">
        <v>44</v>
      </c>
      <c r="M4285">
        <v>5</v>
      </c>
      <c r="N4285" s="2"/>
      <c r="O4285" s="3">
        <v>4046</v>
      </c>
      <c r="P4285">
        <v>0</v>
      </c>
      <c r="Q4285">
        <v>4</v>
      </c>
      <c r="R4285" t="s">
        <v>33</v>
      </c>
      <c r="S4285">
        <v>1</v>
      </c>
    </row>
    <row r="4286" spans="1:19" ht="16.5" x14ac:dyDescent="0.3">
      <c r="A4286" t="s">
        <v>4349</v>
      </c>
      <c r="B4286" s="1">
        <v>45852</v>
      </c>
      <c r="C4286" s="1">
        <v>45855</v>
      </c>
      <c r="D4286">
        <v>2025</v>
      </c>
      <c r="E4286" t="s">
        <v>1445</v>
      </c>
      <c r="F4286" t="s">
        <v>1446</v>
      </c>
      <c r="G4286" t="s">
        <v>22</v>
      </c>
      <c r="H4286" t="s">
        <v>35</v>
      </c>
      <c r="I4286" t="s">
        <v>24</v>
      </c>
      <c r="J4286" t="s">
        <v>25</v>
      </c>
      <c r="K4286" t="s">
        <v>32</v>
      </c>
      <c r="L4286" t="s">
        <v>44</v>
      </c>
      <c r="M4286">
        <v>3</v>
      </c>
      <c r="N4286" s="2">
        <v>20</v>
      </c>
      <c r="O4286" s="3">
        <v>2343</v>
      </c>
      <c r="P4286">
        <v>0</v>
      </c>
      <c r="Q4286">
        <v>5</v>
      </c>
      <c r="R4286" t="s">
        <v>28</v>
      </c>
      <c r="S4286">
        <v>1</v>
      </c>
    </row>
    <row r="4287" spans="1:19" ht="16.5" x14ac:dyDescent="0.3">
      <c r="A4287" t="s">
        <v>4350</v>
      </c>
      <c r="B4287" s="1">
        <v>45852</v>
      </c>
      <c r="C4287" s="1">
        <v>45854</v>
      </c>
      <c r="D4287">
        <v>2025</v>
      </c>
      <c r="E4287" t="s">
        <v>1445</v>
      </c>
      <c r="F4287" t="s">
        <v>1446</v>
      </c>
      <c r="G4287" t="s">
        <v>22</v>
      </c>
      <c r="H4287" t="s">
        <v>39</v>
      </c>
      <c r="I4287" t="s">
        <v>40</v>
      </c>
      <c r="J4287" t="s">
        <v>43</v>
      </c>
      <c r="K4287" t="s">
        <v>41</v>
      </c>
      <c r="L4287" t="s">
        <v>37</v>
      </c>
      <c r="M4287">
        <v>2</v>
      </c>
      <c r="N4287" s="2"/>
      <c r="O4287" s="3">
        <v>1740</v>
      </c>
      <c r="P4287">
        <v>0</v>
      </c>
      <c r="Q4287">
        <v>4</v>
      </c>
      <c r="R4287" t="s">
        <v>33</v>
      </c>
      <c r="S4287">
        <v>1</v>
      </c>
    </row>
    <row r="4288" spans="1:19" ht="16.5" x14ac:dyDescent="0.3">
      <c r="A4288" t="s">
        <v>4351</v>
      </c>
      <c r="B4288" s="1">
        <v>45852</v>
      </c>
      <c r="C4288" s="1">
        <v>45854</v>
      </c>
      <c r="D4288">
        <v>2025</v>
      </c>
      <c r="E4288" t="s">
        <v>1445</v>
      </c>
      <c r="F4288" t="s">
        <v>1446</v>
      </c>
      <c r="G4288" t="s">
        <v>22</v>
      </c>
      <c r="H4288" t="s">
        <v>35</v>
      </c>
      <c r="I4288" t="s">
        <v>24</v>
      </c>
      <c r="J4288" t="s">
        <v>25</v>
      </c>
      <c r="K4288" t="s">
        <v>36</v>
      </c>
      <c r="L4288" t="s">
        <v>44</v>
      </c>
      <c r="M4288">
        <v>2</v>
      </c>
      <c r="N4288" s="2">
        <v>17</v>
      </c>
      <c r="O4288" s="3">
        <v>1948</v>
      </c>
      <c r="P4288">
        <v>0</v>
      </c>
      <c r="Q4288">
        <v>5</v>
      </c>
      <c r="R4288" t="s">
        <v>28</v>
      </c>
      <c r="S4288">
        <v>1</v>
      </c>
    </row>
    <row r="4289" spans="1:19" ht="16.5" x14ac:dyDescent="0.3">
      <c r="A4289" t="s">
        <v>4352</v>
      </c>
      <c r="B4289" s="1">
        <v>45852</v>
      </c>
      <c r="C4289" s="1">
        <v>45854</v>
      </c>
      <c r="D4289">
        <v>2025</v>
      </c>
      <c r="E4289" t="s">
        <v>1445</v>
      </c>
      <c r="F4289" t="s">
        <v>1446</v>
      </c>
      <c r="G4289" t="s">
        <v>22</v>
      </c>
      <c r="H4289" t="s">
        <v>30</v>
      </c>
      <c r="I4289" t="s">
        <v>40</v>
      </c>
      <c r="J4289" t="s">
        <v>25</v>
      </c>
      <c r="K4289" t="s">
        <v>26</v>
      </c>
      <c r="L4289" t="s">
        <v>27</v>
      </c>
      <c r="M4289">
        <v>2</v>
      </c>
      <c r="N4289" s="2"/>
      <c r="O4289" s="3">
        <v>3794</v>
      </c>
      <c r="P4289">
        <v>1</v>
      </c>
      <c r="Q4289">
        <v>5</v>
      </c>
      <c r="R4289" t="s">
        <v>165</v>
      </c>
      <c r="S4289">
        <v>1</v>
      </c>
    </row>
    <row r="4290" spans="1:19" ht="16.5" x14ac:dyDescent="0.3">
      <c r="A4290" t="s">
        <v>4353</v>
      </c>
      <c r="B4290" s="1">
        <v>45853</v>
      </c>
      <c r="C4290" s="1">
        <v>45857</v>
      </c>
      <c r="D4290">
        <v>2025</v>
      </c>
      <c r="E4290" t="s">
        <v>1445</v>
      </c>
      <c r="F4290" t="s">
        <v>1446</v>
      </c>
      <c r="G4290" t="s">
        <v>56</v>
      </c>
      <c r="H4290" t="s">
        <v>23</v>
      </c>
      <c r="I4290" t="s">
        <v>40</v>
      </c>
      <c r="J4290" t="s">
        <v>25</v>
      </c>
      <c r="K4290" t="s">
        <v>36</v>
      </c>
      <c r="L4290" t="s">
        <v>44</v>
      </c>
      <c r="M4290">
        <v>4</v>
      </c>
      <c r="N4290" s="2"/>
      <c r="O4290" s="3">
        <v>2734</v>
      </c>
      <c r="P4290">
        <v>0</v>
      </c>
      <c r="Q4290">
        <v>5</v>
      </c>
      <c r="R4290" t="s">
        <v>28</v>
      </c>
      <c r="S4290">
        <v>1</v>
      </c>
    </row>
    <row r="4291" spans="1:19" ht="16.5" x14ac:dyDescent="0.3">
      <c r="A4291" t="s">
        <v>4354</v>
      </c>
      <c r="B4291" s="1">
        <v>45853</v>
      </c>
      <c r="C4291" s="1">
        <v>45858</v>
      </c>
      <c r="D4291">
        <v>2025</v>
      </c>
      <c r="E4291" t="s">
        <v>1445</v>
      </c>
      <c r="F4291" t="s">
        <v>1446</v>
      </c>
      <c r="G4291" t="s">
        <v>56</v>
      </c>
      <c r="H4291" t="s">
        <v>35</v>
      </c>
      <c r="I4291" t="s">
        <v>24</v>
      </c>
      <c r="J4291" t="s">
        <v>25</v>
      </c>
      <c r="K4291" t="s">
        <v>32</v>
      </c>
      <c r="L4291" t="s">
        <v>44</v>
      </c>
      <c r="M4291">
        <v>5</v>
      </c>
      <c r="N4291" s="2">
        <v>123</v>
      </c>
      <c r="O4291" s="3">
        <v>3945</v>
      </c>
      <c r="P4291">
        <v>0</v>
      </c>
      <c r="Q4291">
        <v>4</v>
      </c>
      <c r="R4291" t="s">
        <v>28</v>
      </c>
      <c r="S4291">
        <v>1</v>
      </c>
    </row>
    <row r="4292" spans="1:19" ht="16.5" x14ac:dyDescent="0.3">
      <c r="A4292" t="s">
        <v>4355</v>
      </c>
      <c r="B4292" s="1">
        <v>45853</v>
      </c>
      <c r="C4292" s="1">
        <v>45866</v>
      </c>
      <c r="D4292">
        <v>2025</v>
      </c>
      <c r="E4292" t="s">
        <v>1445</v>
      </c>
      <c r="F4292" t="s">
        <v>1446</v>
      </c>
      <c r="G4292" t="s">
        <v>56</v>
      </c>
      <c r="H4292" t="s">
        <v>50</v>
      </c>
      <c r="I4292" t="s">
        <v>24</v>
      </c>
      <c r="J4292" t="s">
        <v>25</v>
      </c>
      <c r="K4292" t="s">
        <v>32</v>
      </c>
      <c r="L4292" t="s">
        <v>37</v>
      </c>
      <c r="M4292">
        <v>13</v>
      </c>
      <c r="N4292" s="2">
        <v>29</v>
      </c>
      <c r="O4292" s="3">
        <v>12996</v>
      </c>
      <c r="P4292">
        <v>0</v>
      </c>
      <c r="Q4292">
        <v>4</v>
      </c>
      <c r="R4292" t="s">
        <v>33</v>
      </c>
      <c r="S4292">
        <v>1</v>
      </c>
    </row>
    <row r="4293" spans="1:19" ht="16.5" x14ac:dyDescent="0.3">
      <c r="A4293" t="s">
        <v>4356</v>
      </c>
      <c r="B4293" s="1">
        <v>45853</v>
      </c>
      <c r="C4293" s="1">
        <v>45857</v>
      </c>
      <c r="D4293">
        <v>2025</v>
      </c>
      <c r="E4293" t="s">
        <v>1445</v>
      </c>
      <c r="F4293" t="s">
        <v>1446</v>
      </c>
      <c r="G4293" t="s">
        <v>56</v>
      </c>
      <c r="H4293" t="s">
        <v>30</v>
      </c>
      <c r="I4293" t="s">
        <v>40</v>
      </c>
      <c r="J4293" t="s">
        <v>43</v>
      </c>
      <c r="K4293" t="s">
        <v>26</v>
      </c>
      <c r="L4293" t="s">
        <v>27</v>
      </c>
      <c r="M4293">
        <v>4</v>
      </c>
      <c r="N4293" s="2"/>
      <c r="O4293" s="3">
        <v>3192</v>
      </c>
      <c r="P4293">
        <v>0</v>
      </c>
      <c r="Q4293">
        <v>5</v>
      </c>
      <c r="R4293" t="s">
        <v>28</v>
      </c>
      <c r="S4293">
        <v>1</v>
      </c>
    </row>
    <row r="4294" spans="1:19" ht="16.5" x14ac:dyDescent="0.3">
      <c r="A4294" t="s">
        <v>4357</v>
      </c>
      <c r="B4294" s="1">
        <v>45853</v>
      </c>
      <c r="C4294" s="1">
        <v>45860</v>
      </c>
      <c r="D4294">
        <v>2025</v>
      </c>
      <c r="E4294" t="s">
        <v>1445</v>
      </c>
      <c r="F4294" t="s">
        <v>1446</v>
      </c>
      <c r="G4294" t="s">
        <v>56</v>
      </c>
      <c r="H4294" t="s">
        <v>52</v>
      </c>
      <c r="I4294" t="s">
        <v>40</v>
      </c>
      <c r="J4294" t="s">
        <v>25</v>
      </c>
      <c r="K4294" t="s">
        <v>36</v>
      </c>
      <c r="L4294" t="s">
        <v>37</v>
      </c>
      <c r="M4294">
        <v>7</v>
      </c>
      <c r="N4294" s="2"/>
      <c r="O4294" s="3">
        <v>5649</v>
      </c>
      <c r="P4294">
        <v>1</v>
      </c>
      <c r="Q4294">
        <v>4</v>
      </c>
      <c r="R4294" t="s">
        <v>28</v>
      </c>
      <c r="S4294">
        <v>1</v>
      </c>
    </row>
    <row r="4295" spans="1:19" ht="16.5" x14ac:dyDescent="0.3">
      <c r="A4295" t="s">
        <v>4358</v>
      </c>
      <c r="B4295" s="1">
        <v>45853</v>
      </c>
      <c r="C4295" s="1">
        <v>45859</v>
      </c>
      <c r="D4295">
        <v>2025</v>
      </c>
      <c r="E4295" t="s">
        <v>1445</v>
      </c>
      <c r="F4295" t="s">
        <v>1446</v>
      </c>
      <c r="G4295" t="s">
        <v>56</v>
      </c>
      <c r="H4295" t="s">
        <v>35</v>
      </c>
      <c r="I4295" t="s">
        <v>40</v>
      </c>
      <c r="J4295" t="s">
        <v>25</v>
      </c>
      <c r="K4295" t="s">
        <v>32</v>
      </c>
      <c r="L4295" t="s">
        <v>44</v>
      </c>
      <c r="M4295">
        <v>6</v>
      </c>
      <c r="N4295" s="2"/>
      <c r="O4295" s="3">
        <v>4610</v>
      </c>
      <c r="P4295">
        <v>0</v>
      </c>
      <c r="Q4295">
        <v>4</v>
      </c>
      <c r="R4295" t="s">
        <v>33</v>
      </c>
      <c r="S4295">
        <v>1</v>
      </c>
    </row>
    <row r="4296" spans="1:19" ht="16.5" x14ac:dyDescent="0.3">
      <c r="A4296" t="s">
        <v>4359</v>
      </c>
      <c r="B4296" s="1">
        <v>45853</v>
      </c>
      <c r="C4296" s="1">
        <v>45862</v>
      </c>
      <c r="D4296">
        <v>2025</v>
      </c>
      <c r="E4296" t="s">
        <v>1445</v>
      </c>
      <c r="F4296" t="s">
        <v>1446</v>
      </c>
      <c r="G4296" t="s">
        <v>56</v>
      </c>
      <c r="H4296" t="s">
        <v>50</v>
      </c>
      <c r="I4296" t="s">
        <v>24</v>
      </c>
      <c r="J4296" t="s">
        <v>25</v>
      </c>
      <c r="K4296" t="s">
        <v>26</v>
      </c>
      <c r="L4296" t="s">
        <v>37</v>
      </c>
      <c r="M4296">
        <v>9</v>
      </c>
      <c r="N4296" s="2">
        <v>23</v>
      </c>
      <c r="O4296" s="3">
        <v>14230</v>
      </c>
      <c r="P4296">
        <v>0</v>
      </c>
      <c r="Q4296">
        <v>4</v>
      </c>
      <c r="R4296" t="s">
        <v>33</v>
      </c>
      <c r="S4296">
        <v>1</v>
      </c>
    </row>
    <row r="4297" spans="1:19" ht="16.5" x14ac:dyDescent="0.3">
      <c r="A4297" t="s">
        <v>4360</v>
      </c>
      <c r="B4297" s="1">
        <v>45854</v>
      </c>
      <c r="C4297" s="1">
        <v>45856</v>
      </c>
      <c r="D4297">
        <v>2025</v>
      </c>
      <c r="E4297" t="s">
        <v>1445</v>
      </c>
      <c r="F4297" t="s">
        <v>1446</v>
      </c>
      <c r="G4297" t="s">
        <v>70</v>
      </c>
      <c r="H4297" t="s">
        <v>35</v>
      </c>
      <c r="I4297" t="s">
        <v>24</v>
      </c>
      <c r="J4297" t="s">
        <v>25</v>
      </c>
      <c r="K4297" t="s">
        <v>32</v>
      </c>
      <c r="L4297" t="s">
        <v>44</v>
      </c>
      <c r="M4297">
        <v>2</v>
      </c>
      <c r="N4297" s="2">
        <v>45</v>
      </c>
      <c r="O4297" s="3">
        <v>1909</v>
      </c>
      <c r="P4297">
        <v>0</v>
      </c>
      <c r="Q4297">
        <v>5</v>
      </c>
      <c r="R4297" t="s">
        <v>28</v>
      </c>
      <c r="S4297">
        <v>1</v>
      </c>
    </row>
    <row r="4298" spans="1:19" ht="16.5" x14ac:dyDescent="0.3">
      <c r="A4298" t="s">
        <v>4361</v>
      </c>
      <c r="B4298" s="1">
        <v>45854</v>
      </c>
      <c r="C4298" s="1">
        <v>45864</v>
      </c>
      <c r="D4298">
        <v>2025</v>
      </c>
      <c r="E4298" t="s">
        <v>1445</v>
      </c>
      <c r="F4298" t="s">
        <v>1446</v>
      </c>
      <c r="G4298" t="s">
        <v>70</v>
      </c>
      <c r="H4298" t="s">
        <v>23</v>
      </c>
      <c r="I4298" t="s">
        <v>24</v>
      </c>
      <c r="J4298" t="s">
        <v>25</v>
      </c>
      <c r="K4298" t="s">
        <v>53</v>
      </c>
      <c r="L4298" t="s">
        <v>44</v>
      </c>
      <c r="M4298">
        <v>10</v>
      </c>
      <c r="N4298" s="2">
        <v>20</v>
      </c>
      <c r="O4298" s="3">
        <v>6810</v>
      </c>
      <c r="P4298">
        <v>1</v>
      </c>
      <c r="Q4298">
        <v>4</v>
      </c>
      <c r="R4298" t="s">
        <v>33</v>
      </c>
      <c r="S4298">
        <v>1</v>
      </c>
    </row>
    <row r="4299" spans="1:19" ht="16.5" x14ac:dyDescent="0.3">
      <c r="A4299" t="s">
        <v>4362</v>
      </c>
      <c r="B4299" s="1">
        <v>45854</v>
      </c>
      <c r="C4299" s="1">
        <v>45866</v>
      </c>
      <c r="D4299">
        <v>2025</v>
      </c>
      <c r="E4299" t="s">
        <v>1445</v>
      </c>
      <c r="F4299" t="s">
        <v>1446</v>
      </c>
      <c r="G4299" t="s">
        <v>70</v>
      </c>
      <c r="H4299" t="s">
        <v>30</v>
      </c>
      <c r="I4299" t="s">
        <v>24</v>
      </c>
      <c r="J4299" t="s">
        <v>43</v>
      </c>
      <c r="K4299" t="s">
        <v>26</v>
      </c>
      <c r="L4299" t="s">
        <v>44</v>
      </c>
      <c r="M4299">
        <v>12</v>
      </c>
      <c r="N4299" s="2">
        <v>16</v>
      </c>
      <c r="O4299" s="3">
        <v>12155</v>
      </c>
      <c r="P4299">
        <v>0</v>
      </c>
      <c r="Q4299">
        <v>4</v>
      </c>
      <c r="R4299" t="s">
        <v>28</v>
      </c>
      <c r="S4299">
        <v>1</v>
      </c>
    </row>
    <row r="4300" spans="1:19" ht="16.5" x14ac:dyDescent="0.3">
      <c r="A4300" t="s">
        <v>4363</v>
      </c>
      <c r="B4300" s="1">
        <v>45854</v>
      </c>
      <c r="C4300" s="1">
        <v>45861</v>
      </c>
      <c r="D4300">
        <v>2025</v>
      </c>
      <c r="E4300" t="s">
        <v>1445</v>
      </c>
      <c r="F4300" t="s">
        <v>1446</v>
      </c>
      <c r="G4300" t="s">
        <v>70</v>
      </c>
      <c r="H4300" t="s">
        <v>52</v>
      </c>
      <c r="I4300" t="s">
        <v>40</v>
      </c>
      <c r="J4300" t="s">
        <v>43</v>
      </c>
      <c r="K4300" t="s">
        <v>32</v>
      </c>
      <c r="L4300" t="s">
        <v>27</v>
      </c>
      <c r="M4300">
        <v>7</v>
      </c>
      <c r="N4300" s="2"/>
      <c r="O4300" s="3">
        <v>6415</v>
      </c>
      <c r="P4300">
        <v>0</v>
      </c>
      <c r="Q4300">
        <v>4</v>
      </c>
      <c r="R4300" t="s">
        <v>33</v>
      </c>
      <c r="S4300">
        <v>1</v>
      </c>
    </row>
    <row r="4301" spans="1:19" ht="16.5" x14ac:dyDescent="0.3">
      <c r="A4301" t="s">
        <v>4364</v>
      </c>
      <c r="B4301" s="1">
        <v>45854</v>
      </c>
      <c r="C4301" s="1">
        <v>45856</v>
      </c>
      <c r="D4301">
        <v>2025</v>
      </c>
      <c r="E4301" t="s">
        <v>1445</v>
      </c>
      <c r="F4301" t="s">
        <v>1446</v>
      </c>
      <c r="G4301" t="s">
        <v>70</v>
      </c>
      <c r="H4301" t="s">
        <v>30</v>
      </c>
      <c r="I4301" t="s">
        <v>24</v>
      </c>
      <c r="J4301" t="s">
        <v>43</v>
      </c>
      <c r="K4301" t="s">
        <v>53</v>
      </c>
      <c r="L4301" t="s">
        <v>44</v>
      </c>
      <c r="M4301">
        <v>2</v>
      </c>
      <c r="N4301" s="2">
        <v>27</v>
      </c>
      <c r="O4301" s="3">
        <v>3037</v>
      </c>
      <c r="P4301">
        <v>0</v>
      </c>
      <c r="Q4301">
        <v>4</v>
      </c>
      <c r="R4301" t="s">
        <v>28</v>
      </c>
      <c r="S4301">
        <v>1</v>
      </c>
    </row>
    <row r="4302" spans="1:19" ht="16.5" x14ac:dyDescent="0.3">
      <c r="A4302" t="s">
        <v>4365</v>
      </c>
      <c r="B4302" s="1">
        <v>45854</v>
      </c>
      <c r="C4302" s="1">
        <v>45859</v>
      </c>
      <c r="D4302">
        <v>2025</v>
      </c>
      <c r="E4302" t="s">
        <v>1445</v>
      </c>
      <c r="F4302" t="s">
        <v>1446</v>
      </c>
      <c r="G4302" t="s">
        <v>70</v>
      </c>
      <c r="H4302" t="s">
        <v>50</v>
      </c>
      <c r="I4302" t="s">
        <v>40</v>
      </c>
      <c r="J4302" t="s">
        <v>25</v>
      </c>
      <c r="K4302" t="s">
        <v>53</v>
      </c>
      <c r="L4302" t="s">
        <v>44</v>
      </c>
      <c r="M4302">
        <v>5</v>
      </c>
      <c r="N4302" s="2"/>
      <c r="O4302" s="3">
        <v>6333</v>
      </c>
      <c r="P4302">
        <v>0</v>
      </c>
      <c r="Q4302">
        <v>4</v>
      </c>
      <c r="R4302" t="s">
        <v>28</v>
      </c>
      <c r="S4302">
        <v>1</v>
      </c>
    </row>
    <row r="4303" spans="1:19" ht="16.5" x14ac:dyDescent="0.3">
      <c r="A4303" t="s">
        <v>4366</v>
      </c>
      <c r="B4303" s="1">
        <v>45854</v>
      </c>
      <c r="C4303" s="1">
        <v>45856</v>
      </c>
      <c r="D4303">
        <v>2025</v>
      </c>
      <c r="E4303" t="s">
        <v>1445</v>
      </c>
      <c r="F4303" t="s">
        <v>1446</v>
      </c>
      <c r="G4303" t="s">
        <v>70</v>
      </c>
      <c r="H4303" t="s">
        <v>23</v>
      </c>
      <c r="I4303" t="s">
        <v>31</v>
      </c>
      <c r="J4303" t="s">
        <v>43</v>
      </c>
      <c r="K4303" t="s">
        <v>53</v>
      </c>
      <c r="L4303" t="s">
        <v>44</v>
      </c>
      <c r="M4303">
        <v>2</v>
      </c>
      <c r="N4303" s="2"/>
      <c r="O4303" s="3">
        <v>1786</v>
      </c>
      <c r="P4303">
        <v>0</v>
      </c>
      <c r="Q4303">
        <v>5</v>
      </c>
      <c r="R4303" t="s">
        <v>33</v>
      </c>
      <c r="S4303">
        <v>1</v>
      </c>
    </row>
    <row r="4304" spans="1:19" ht="16.5" x14ac:dyDescent="0.3">
      <c r="A4304" t="s">
        <v>4367</v>
      </c>
      <c r="B4304" s="1">
        <v>45855</v>
      </c>
      <c r="C4304" s="1">
        <v>45856</v>
      </c>
      <c r="D4304">
        <v>2025</v>
      </c>
      <c r="E4304" t="s">
        <v>1445</v>
      </c>
      <c r="F4304" t="s">
        <v>1446</v>
      </c>
      <c r="G4304" t="s">
        <v>78</v>
      </c>
      <c r="H4304" t="s">
        <v>23</v>
      </c>
      <c r="I4304" t="s">
        <v>24</v>
      </c>
      <c r="J4304" t="s">
        <v>25</v>
      </c>
      <c r="K4304" t="s">
        <v>32</v>
      </c>
      <c r="L4304" t="s">
        <v>44</v>
      </c>
      <c r="M4304">
        <v>1</v>
      </c>
      <c r="N4304" s="2">
        <v>25</v>
      </c>
      <c r="O4304" s="3">
        <v>1572</v>
      </c>
      <c r="P4304">
        <v>0</v>
      </c>
      <c r="Q4304">
        <v>4</v>
      </c>
      <c r="R4304" t="s">
        <v>33</v>
      </c>
      <c r="S4304">
        <v>1</v>
      </c>
    </row>
    <row r="4305" spans="1:19" ht="16.5" x14ac:dyDescent="0.3">
      <c r="A4305" t="s">
        <v>4368</v>
      </c>
      <c r="B4305" s="1">
        <v>45855</v>
      </c>
      <c r="C4305" s="1">
        <v>45867</v>
      </c>
      <c r="D4305">
        <v>2025</v>
      </c>
      <c r="E4305" t="s">
        <v>1445</v>
      </c>
      <c r="F4305" t="s">
        <v>1446</v>
      </c>
      <c r="G4305" t="s">
        <v>78</v>
      </c>
      <c r="H4305" t="s">
        <v>50</v>
      </c>
      <c r="I4305" t="s">
        <v>24</v>
      </c>
      <c r="J4305" t="s">
        <v>43</v>
      </c>
      <c r="K4305" t="s">
        <v>36</v>
      </c>
      <c r="L4305" t="s">
        <v>27</v>
      </c>
      <c r="M4305">
        <v>12</v>
      </c>
      <c r="N4305" s="2">
        <v>35</v>
      </c>
      <c r="O4305" s="3">
        <v>14852</v>
      </c>
      <c r="P4305">
        <v>0</v>
      </c>
      <c r="Q4305">
        <v>5</v>
      </c>
      <c r="R4305" t="s">
        <v>28</v>
      </c>
      <c r="S4305">
        <v>1</v>
      </c>
    </row>
    <row r="4306" spans="1:19" ht="16.5" x14ac:dyDescent="0.3">
      <c r="A4306" t="s">
        <v>4369</v>
      </c>
      <c r="B4306" s="1">
        <v>45855</v>
      </c>
      <c r="C4306" s="1">
        <v>45856</v>
      </c>
      <c r="D4306">
        <v>2025</v>
      </c>
      <c r="E4306" t="s">
        <v>1445</v>
      </c>
      <c r="F4306" t="s">
        <v>1446</v>
      </c>
      <c r="G4306" t="s">
        <v>78</v>
      </c>
      <c r="H4306" t="s">
        <v>50</v>
      </c>
      <c r="I4306" t="s">
        <v>24</v>
      </c>
      <c r="J4306" t="s">
        <v>43</v>
      </c>
      <c r="K4306" t="s">
        <v>53</v>
      </c>
      <c r="L4306" t="s">
        <v>44</v>
      </c>
      <c r="M4306">
        <v>1</v>
      </c>
      <c r="N4306" s="2">
        <v>41</v>
      </c>
      <c r="O4306" s="3">
        <v>1213</v>
      </c>
      <c r="P4306">
        <v>0</v>
      </c>
      <c r="Q4306">
        <v>4</v>
      </c>
      <c r="R4306" t="s">
        <v>28</v>
      </c>
      <c r="S4306">
        <v>1</v>
      </c>
    </row>
    <row r="4307" spans="1:19" ht="16.5" x14ac:dyDescent="0.3">
      <c r="A4307" t="s">
        <v>4370</v>
      </c>
      <c r="B4307" s="1">
        <v>45856</v>
      </c>
      <c r="C4307" s="1">
        <v>45861</v>
      </c>
      <c r="D4307">
        <v>2025</v>
      </c>
      <c r="E4307" t="s">
        <v>1445</v>
      </c>
      <c r="F4307" t="s">
        <v>1446</v>
      </c>
      <c r="G4307" t="s">
        <v>83</v>
      </c>
      <c r="H4307" t="s">
        <v>35</v>
      </c>
      <c r="I4307" t="s">
        <v>24</v>
      </c>
      <c r="J4307" t="s">
        <v>25</v>
      </c>
      <c r="K4307" t="s">
        <v>36</v>
      </c>
      <c r="L4307" t="s">
        <v>44</v>
      </c>
      <c r="M4307">
        <v>5</v>
      </c>
      <c r="N4307" s="2">
        <v>25</v>
      </c>
      <c r="O4307" s="3">
        <v>3374</v>
      </c>
      <c r="P4307">
        <v>0</v>
      </c>
      <c r="Q4307">
        <v>5</v>
      </c>
      <c r="R4307" t="s">
        <v>28</v>
      </c>
      <c r="S4307">
        <v>1</v>
      </c>
    </row>
    <row r="4308" spans="1:19" ht="16.5" x14ac:dyDescent="0.3">
      <c r="A4308" t="s">
        <v>4371</v>
      </c>
      <c r="B4308" s="1">
        <v>45856</v>
      </c>
      <c r="C4308" s="1">
        <v>45857</v>
      </c>
      <c r="D4308">
        <v>2025</v>
      </c>
      <c r="E4308" t="s">
        <v>1445</v>
      </c>
      <c r="F4308" t="s">
        <v>1446</v>
      </c>
      <c r="G4308" t="s">
        <v>83</v>
      </c>
      <c r="H4308" t="s">
        <v>50</v>
      </c>
      <c r="I4308" t="s">
        <v>31</v>
      </c>
      <c r="J4308" t="s">
        <v>43</v>
      </c>
      <c r="K4308" t="s">
        <v>53</v>
      </c>
      <c r="L4308" t="s">
        <v>44</v>
      </c>
      <c r="M4308">
        <v>1</v>
      </c>
      <c r="N4308" s="2"/>
      <c r="O4308" s="3">
        <v>1854</v>
      </c>
      <c r="P4308">
        <v>0</v>
      </c>
      <c r="Q4308">
        <v>4</v>
      </c>
      <c r="R4308" t="s">
        <v>33</v>
      </c>
      <c r="S4308">
        <v>1</v>
      </c>
    </row>
    <row r="4309" spans="1:19" ht="16.5" x14ac:dyDescent="0.3">
      <c r="A4309" t="s">
        <v>4372</v>
      </c>
      <c r="B4309" s="1">
        <v>45856</v>
      </c>
      <c r="C4309" s="1">
        <v>45857</v>
      </c>
      <c r="D4309">
        <v>2025</v>
      </c>
      <c r="E4309" t="s">
        <v>1445</v>
      </c>
      <c r="F4309" t="s">
        <v>1446</v>
      </c>
      <c r="G4309" t="s">
        <v>83</v>
      </c>
      <c r="H4309" t="s">
        <v>35</v>
      </c>
      <c r="I4309" t="s">
        <v>24</v>
      </c>
      <c r="J4309" t="s">
        <v>25</v>
      </c>
      <c r="K4309" t="s">
        <v>36</v>
      </c>
      <c r="L4309" t="s">
        <v>27</v>
      </c>
      <c r="M4309">
        <v>1</v>
      </c>
      <c r="N4309" s="2">
        <v>31</v>
      </c>
      <c r="O4309" s="3">
        <v>1254</v>
      </c>
      <c r="P4309">
        <v>0</v>
      </c>
      <c r="Q4309">
        <v>4</v>
      </c>
      <c r="R4309" t="s">
        <v>33</v>
      </c>
      <c r="S4309">
        <v>1</v>
      </c>
    </row>
    <row r="4310" spans="1:19" ht="16.5" x14ac:dyDescent="0.3">
      <c r="A4310" t="s">
        <v>4373</v>
      </c>
      <c r="B4310" s="1">
        <v>45856</v>
      </c>
      <c r="C4310" s="1">
        <v>45863</v>
      </c>
      <c r="D4310">
        <v>2025</v>
      </c>
      <c r="E4310" t="s">
        <v>1445</v>
      </c>
      <c r="F4310" t="s">
        <v>1446</v>
      </c>
      <c r="G4310" t="s">
        <v>83</v>
      </c>
      <c r="H4310" t="s">
        <v>50</v>
      </c>
      <c r="I4310" t="s">
        <v>24</v>
      </c>
      <c r="J4310" t="s">
        <v>43</v>
      </c>
      <c r="K4310" t="s">
        <v>26</v>
      </c>
      <c r="L4310" t="s">
        <v>37</v>
      </c>
      <c r="M4310">
        <v>7</v>
      </c>
      <c r="N4310" s="2">
        <v>23</v>
      </c>
      <c r="O4310" s="3">
        <v>8147</v>
      </c>
      <c r="P4310">
        <v>0</v>
      </c>
      <c r="Q4310">
        <v>5</v>
      </c>
      <c r="R4310" t="s">
        <v>33</v>
      </c>
      <c r="S4310">
        <v>1</v>
      </c>
    </row>
    <row r="4311" spans="1:19" ht="16.5" x14ac:dyDescent="0.3">
      <c r="A4311" t="s">
        <v>4374</v>
      </c>
      <c r="B4311" s="1">
        <v>45856</v>
      </c>
      <c r="C4311" s="1">
        <v>45861</v>
      </c>
      <c r="D4311">
        <v>2025</v>
      </c>
      <c r="E4311" t="s">
        <v>1445</v>
      </c>
      <c r="F4311" t="s">
        <v>1446</v>
      </c>
      <c r="G4311" t="s">
        <v>83</v>
      </c>
      <c r="H4311" t="s">
        <v>35</v>
      </c>
      <c r="I4311" t="s">
        <v>24</v>
      </c>
      <c r="J4311" t="s">
        <v>25</v>
      </c>
      <c r="K4311" t="s">
        <v>36</v>
      </c>
      <c r="L4311" t="s">
        <v>44</v>
      </c>
      <c r="M4311">
        <v>5</v>
      </c>
      <c r="N4311" s="2">
        <v>25</v>
      </c>
      <c r="O4311" s="3">
        <v>3866</v>
      </c>
      <c r="P4311">
        <v>0</v>
      </c>
      <c r="Q4311">
        <v>4</v>
      </c>
      <c r="R4311" t="s">
        <v>33</v>
      </c>
      <c r="S4311">
        <v>1</v>
      </c>
    </row>
    <row r="4312" spans="1:19" ht="16.5" x14ac:dyDescent="0.3">
      <c r="A4312" t="s">
        <v>4375</v>
      </c>
      <c r="B4312" s="1">
        <v>45857</v>
      </c>
      <c r="C4312" s="1">
        <v>45858</v>
      </c>
      <c r="D4312">
        <v>2025</v>
      </c>
      <c r="E4312" t="s">
        <v>1445</v>
      </c>
      <c r="F4312" t="s">
        <v>1446</v>
      </c>
      <c r="G4312" t="s">
        <v>102</v>
      </c>
      <c r="H4312" t="s">
        <v>39</v>
      </c>
      <c r="I4312" t="s">
        <v>24</v>
      </c>
      <c r="J4312" t="s">
        <v>43</v>
      </c>
      <c r="K4312" t="s">
        <v>41</v>
      </c>
      <c r="L4312" t="s">
        <v>44</v>
      </c>
      <c r="M4312">
        <v>1</v>
      </c>
      <c r="N4312" s="2">
        <v>65</v>
      </c>
      <c r="O4312" s="3">
        <v>1586</v>
      </c>
      <c r="P4312">
        <v>0</v>
      </c>
      <c r="Q4312">
        <v>5</v>
      </c>
      <c r="R4312" t="s">
        <v>28</v>
      </c>
      <c r="S4312">
        <v>1</v>
      </c>
    </row>
    <row r="4313" spans="1:19" ht="16.5" x14ac:dyDescent="0.3">
      <c r="A4313" t="s">
        <v>4376</v>
      </c>
      <c r="B4313" s="1">
        <v>45857</v>
      </c>
      <c r="C4313" s="1">
        <v>45868</v>
      </c>
      <c r="D4313">
        <v>2025</v>
      </c>
      <c r="E4313" t="s">
        <v>1445</v>
      </c>
      <c r="F4313" t="s">
        <v>1446</v>
      </c>
      <c r="G4313" t="s">
        <v>102</v>
      </c>
      <c r="H4313" t="s">
        <v>50</v>
      </c>
      <c r="I4313" t="s">
        <v>24</v>
      </c>
      <c r="J4313" t="s">
        <v>25</v>
      </c>
      <c r="K4313" t="s">
        <v>32</v>
      </c>
      <c r="L4313" t="s">
        <v>27</v>
      </c>
      <c r="M4313">
        <v>11</v>
      </c>
      <c r="N4313" s="2">
        <v>47</v>
      </c>
      <c r="O4313" s="3">
        <v>17300</v>
      </c>
      <c r="P4313">
        <v>0</v>
      </c>
      <c r="Q4313">
        <v>4</v>
      </c>
      <c r="R4313" t="s">
        <v>28</v>
      </c>
      <c r="S4313">
        <v>1</v>
      </c>
    </row>
    <row r="4314" spans="1:19" ht="16.5" x14ac:dyDescent="0.3">
      <c r="A4314" t="s">
        <v>4377</v>
      </c>
      <c r="B4314" s="1">
        <v>45857</v>
      </c>
      <c r="C4314" s="1">
        <v>45858</v>
      </c>
      <c r="D4314">
        <v>2025</v>
      </c>
      <c r="E4314" t="s">
        <v>1445</v>
      </c>
      <c r="F4314" t="s">
        <v>1446</v>
      </c>
      <c r="G4314" t="s">
        <v>102</v>
      </c>
      <c r="H4314" t="s">
        <v>35</v>
      </c>
      <c r="I4314" t="s">
        <v>40</v>
      </c>
      <c r="J4314" t="s">
        <v>25</v>
      </c>
      <c r="K4314" t="s">
        <v>32</v>
      </c>
      <c r="L4314" t="s">
        <v>44</v>
      </c>
      <c r="M4314">
        <v>1</v>
      </c>
      <c r="N4314" s="2"/>
      <c r="O4314" s="3">
        <v>1298</v>
      </c>
      <c r="P4314">
        <v>0</v>
      </c>
      <c r="Q4314">
        <v>4</v>
      </c>
      <c r="R4314" t="s">
        <v>33</v>
      </c>
      <c r="S4314">
        <v>1</v>
      </c>
    </row>
    <row r="4315" spans="1:19" ht="16.5" x14ac:dyDescent="0.3">
      <c r="A4315" t="s">
        <v>4378</v>
      </c>
      <c r="B4315" s="1">
        <v>45857</v>
      </c>
      <c r="C4315" s="1">
        <v>45862</v>
      </c>
      <c r="D4315">
        <v>2025</v>
      </c>
      <c r="E4315" t="s">
        <v>1445</v>
      </c>
      <c r="F4315" t="s">
        <v>1446</v>
      </c>
      <c r="G4315" t="s">
        <v>102</v>
      </c>
      <c r="H4315" t="s">
        <v>23</v>
      </c>
      <c r="I4315" t="s">
        <v>24</v>
      </c>
      <c r="J4315" t="s">
        <v>43</v>
      </c>
      <c r="K4315" t="s">
        <v>26</v>
      </c>
      <c r="L4315" t="s">
        <v>27</v>
      </c>
      <c r="M4315">
        <v>5</v>
      </c>
      <c r="N4315" s="2">
        <v>102</v>
      </c>
      <c r="O4315" s="3">
        <v>2975</v>
      </c>
      <c r="P4315">
        <v>0</v>
      </c>
      <c r="Q4315">
        <v>2</v>
      </c>
      <c r="R4315" t="s">
        <v>28</v>
      </c>
      <c r="S4315">
        <v>1</v>
      </c>
    </row>
    <row r="4316" spans="1:19" ht="16.5" x14ac:dyDescent="0.3">
      <c r="A4316" t="s">
        <v>4379</v>
      </c>
      <c r="B4316" s="1">
        <v>45857</v>
      </c>
      <c r="C4316" s="1">
        <v>45858</v>
      </c>
      <c r="D4316">
        <v>2025</v>
      </c>
      <c r="E4316" t="s">
        <v>1445</v>
      </c>
      <c r="F4316" t="s">
        <v>1446</v>
      </c>
      <c r="G4316" t="s">
        <v>102</v>
      </c>
      <c r="H4316" t="s">
        <v>35</v>
      </c>
      <c r="I4316" t="s">
        <v>24</v>
      </c>
      <c r="J4316" t="s">
        <v>25</v>
      </c>
      <c r="K4316" t="s">
        <v>36</v>
      </c>
      <c r="L4316" t="s">
        <v>44</v>
      </c>
      <c r="M4316">
        <v>1</v>
      </c>
      <c r="N4316" s="2">
        <v>166</v>
      </c>
      <c r="O4316" s="3">
        <v>1410</v>
      </c>
      <c r="P4316">
        <v>0</v>
      </c>
      <c r="Q4316">
        <v>1</v>
      </c>
      <c r="R4316" t="s">
        <v>33</v>
      </c>
      <c r="S4316">
        <v>1</v>
      </c>
    </row>
    <row r="4317" spans="1:19" ht="16.5" x14ac:dyDescent="0.3">
      <c r="A4317" t="s">
        <v>4380</v>
      </c>
      <c r="B4317" s="1">
        <v>45857</v>
      </c>
      <c r="C4317" s="1">
        <v>45860</v>
      </c>
      <c r="D4317">
        <v>2025</v>
      </c>
      <c r="E4317" t="s">
        <v>1445</v>
      </c>
      <c r="F4317" t="s">
        <v>1446</v>
      </c>
      <c r="G4317" t="s">
        <v>102</v>
      </c>
      <c r="H4317" t="s">
        <v>35</v>
      </c>
      <c r="I4317" t="s">
        <v>40</v>
      </c>
      <c r="J4317" t="s">
        <v>25</v>
      </c>
      <c r="K4317" t="s">
        <v>32</v>
      </c>
      <c r="L4317" t="s">
        <v>27</v>
      </c>
      <c r="M4317">
        <v>3</v>
      </c>
      <c r="N4317" s="2"/>
      <c r="O4317" s="3">
        <v>3104</v>
      </c>
      <c r="P4317">
        <v>0</v>
      </c>
      <c r="Q4317">
        <v>3</v>
      </c>
      <c r="R4317" t="s">
        <v>33</v>
      </c>
      <c r="S4317">
        <v>1</v>
      </c>
    </row>
    <row r="4318" spans="1:19" ht="16.5" x14ac:dyDescent="0.3">
      <c r="A4318" t="s">
        <v>4381</v>
      </c>
      <c r="B4318" s="1">
        <v>45857</v>
      </c>
      <c r="C4318" s="1">
        <v>45859</v>
      </c>
      <c r="D4318">
        <v>2025</v>
      </c>
      <c r="E4318" t="s">
        <v>1445</v>
      </c>
      <c r="F4318" t="s">
        <v>1446</v>
      </c>
      <c r="G4318" t="s">
        <v>102</v>
      </c>
      <c r="H4318" t="s">
        <v>39</v>
      </c>
      <c r="I4318" t="s">
        <v>24</v>
      </c>
      <c r="J4318" t="s">
        <v>43</v>
      </c>
      <c r="K4318" t="s">
        <v>41</v>
      </c>
      <c r="L4318" t="s">
        <v>27</v>
      </c>
      <c r="M4318">
        <v>2</v>
      </c>
      <c r="N4318" s="2">
        <v>21</v>
      </c>
      <c r="O4318" s="3">
        <v>2353</v>
      </c>
      <c r="P4318">
        <v>0</v>
      </c>
      <c r="Q4318">
        <v>5</v>
      </c>
      <c r="R4318" t="s">
        <v>33</v>
      </c>
      <c r="S4318">
        <v>1</v>
      </c>
    </row>
    <row r="4319" spans="1:19" ht="16.5" x14ac:dyDescent="0.3">
      <c r="A4319" t="s">
        <v>4382</v>
      </c>
      <c r="B4319" s="1">
        <v>45858</v>
      </c>
      <c r="C4319" s="1">
        <v>45860</v>
      </c>
      <c r="D4319">
        <v>2025</v>
      </c>
      <c r="E4319" t="s">
        <v>1445</v>
      </c>
      <c r="F4319" t="s">
        <v>1446</v>
      </c>
      <c r="G4319" t="s">
        <v>112</v>
      </c>
      <c r="H4319" t="s">
        <v>30</v>
      </c>
      <c r="I4319" t="s">
        <v>24</v>
      </c>
      <c r="J4319" t="s">
        <v>25</v>
      </c>
      <c r="K4319" t="s">
        <v>32</v>
      </c>
      <c r="L4319" t="s">
        <v>44</v>
      </c>
      <c r="M4319">
        <v>2</v>
      </c>
      <c r="N4319" s="2">
        <v>43</v>
      </c>
      <c r="O4319" s="3">
        <v>2815</v>
      </c>
      <c r="P4319">
        <v>0</v>
      </c>
      <c r="Q4319">
        <v>4</v>
      </c>
      <c r="R4319" t="s">
        <v>59</v>
      </c>
      <c r="S4319">
        <v>1</v>
      </c>
    </row>
    <row r="4320" spans="1:19" ht="16.5" x14ac:dyDescent="0.3">
      <c r="A4320" t="s">
        <v>4383</v>
      </c>
      <c r="B4320" s="1">
        <v>45858</v>
      </c>
      <c r="C4320" s="1">
        <v>45863</v>
      </c>
      <c r="D4320">
        <v>2025</v>
      </c>
      <c r="E4320" t="s">
        <v>1445</v>
      </c>
      <c r="F4320" t="s">
        <v>1446</v>
      </c>
      <c r="G4320" t="s">
        <v>112</v>
      </c>
      <c r="H4320" t="s">
        <v>50</v>
      </c>
      <c r="I4320" t="s">
        <v>24</v>
      </c>
      <c r="J4320" t="s">
        <v>43</v>
      </c>
      <c r="K4320" t="s">
        <v>32</v>
      </c>
      <c r="L4320" t="s">
        <v>27</v>
      </c>
      <c r="M4320">
        <v>5</v>
      </c>
      <c r="N4320" s="2">
        <v>58</v>
      </c>
      <c r="O4320" s="3">
        <v>6641</v>
      </c>
      <c r="P4320">
        <v>0</v>
      </c>
      <c r="Q4320">
        <v>3</v>
      </c>
      <c r="R4320" t="s">
        <v>28</v>
      </c>
      <c r="S4320">
        <v>1</v>
      </c>
    </row>
    <row r="4321" spans="1:19" ht="16.5" x14ac:dyDescent="0.3">
      <c r="A4321" t="s">
        <v>4384</v>
      </c>
      <c r="B4321" s="1">
        <v>45858</v>
      </c>
      <c r="C4321" s="1">
        <v>45863</v>
      </c>
      <c r="D4321">
        <v>2025</v>
      </c>
      <c r="E4321" t="s">
        <v>1445</v>
      </c>
      <c r="F4321" t="s">
        <v>1446</v>
      </c>
      <c r="G4321" t="s">
        <v>112</v>
      </c>
      <c r="H4321" t="s">
        <v>23</v>
      </c>
      <c r="I4321" t="s">
        <v>24</v>
      </c>
      <c r="J4321" t="s">
        <v>43</v>
      </c>
      <c r="K4321" t="s">
        <v>53</v>
      </c>
      <c r="L4321" t="s">
        <v>27</v>
      </c>
      <c r="M4321">
        <v>5</v>
      </c>
      <c r="N4321" s="2">
        <v>71</v>
      </c>
      <c r="O4321" s="3">
        <v>4786</v>
      </c>
      <c r="P4321">
        <v>0</v>
      </c>
      <c r="Q4321">
        <v>4</v>
      </c>
      <c r="R4321" t="s">
        <v>33</v>
      </c>
      <c r="S4321">
        <v>1</v>
      </c>
    </row>
    <row r="4322" spans="1:19" ht="16.5" x14ac:dyDescent="0.3">
      <c r="A4322" t="s">
        <v>4385</v>
      </c>
      <c r="B4322" s="1">
        <v>45858</v>
      </c>
      <c r="C4322" s="1">
        <v>45862</v>
      </c>
      <c r="D4322">
        <v>2025</v>
      </c>
      <c r="E4322" t="s">
        <v>1445</v>
      </c>
      <c r="F4322" t="s">
        <v>1446</v>
      </c>
      <c r="G4322" t="s">
        <v>112</v>
      </c>
      <c r="H4322" t="s">
        <v>23</v>
      </c>
      <c r="I4322" t="s">
        <v>40</v>
      </c>
      <c r="J4322" t="s">
        <v>25</v>
      </c>
      <c r="K4322" t="s">
        <v>32</v>
      </c>
      <c r="L4322" t="s">
        <v>27</v>
      </c>
      <c r="M4322">
        <v>4</v>
      </c>
      <c r="N4322" s="2"/>
      <c r="O4322" s="3">
        <v>3014</v>
      </c>
      <c r="P4322">
        <v>1</v>
      </c>
      <c r="Q4322">
        <v>3</v>
      </c>
      <c r="R4322" t="s">
        <v>33</v>
      </c>
      <c r="S4322">
        <v>1</v>
      </c>
    </row>
    <row r="4323" spans="1:19" ht="16.5" x14ac:dyDescent="0.3">
      <c r="A4323" t="s">
        <v>4386</v>
      </c>
      <c r="B4323" s="1">
        <v>45858</v>
      </c>
      <c r="C4323" s="1">
        <v>45864</v>
      </c>
      <c r="D4323">
        <v>2025</v>
      </c>
      <c r="E4323" t="s">
        <v>1445</v>
      </c>
      <c r="F4323" t="s">
        <v>1446</v>
      </c>
      <c r="G4323" t="s">
        <v>112</v>
      </c>
      <c r="H4323" t="s">
        <v>39</v>
      </c>
      <c r="I4323" t="s">
        <v>24</v>
      </c>
      <c r="J4323" t="s">
        <v>43</v>
      </c>
      <c r="K4323" t="s">
        <v>41</v>
      </c>
      <c r="L4323" t="s">
        <v>27</v>
      </c>
      <c r="M4323">
        <v>6</v>
      </c>
      <c r="N4323" s="2">
        <v>20</v>
      </c>
      <c r="O4323" s="3">
        <v>4303</v>
      </c>
      <c r="P4323">
        <v>0</v>
      </c>
      <c r="Q4323">
        <v>4</v>
      </c>
      <c r="R4323" t="s">
        <v>28</v>
      </c>
      <c r="S4323">
        <v>1</v>
      </c>
    </row>
    <row r="4324" spans="1:19" ht="16.5" x14ac:dyDescent="0.3">
      <c r="A4324" t="s">
        <v>4387</v>
      </c>
      <c r="B4324" s="1">
        <v>45859</v>
      </c>
      <c r="C4324" s="1">
        <v>45863</v>
      </c>
      <c r="D4324">
        <v>2025</v>
      </c>
      <c r="E4324" t="s">
        <v>1445</v>
      </c>
      <c r="F4324" t="s">
        <v>1446</v>
      </c>
      <c r="G4324" t="s">
        <v>22</v>
      </c>
      <c r="H4324" t="s">
        <v>50</v>
      </c>
      <c r="I4324" t="s">
        <v>24</v>
      </c>
      <c r="J4324" t="s">
        <v>25</v>
      </c>
      <c r="K4324" t="s">
        <v>32</v>
      </c>
      <c r="L4324" t="s">
        <v>44</v>
      </c>
      <c r="M4324">
        <v>4</v>
      </c>
      <c r="N4324" s="2">
        <v>48</v>
      </c>
      <c r="O4324" s="3">
        <v>6865</v>
      </c>
      <c r="P4324">
        <v>0</v>
      </c>
      <c r="Q4324">
        <v>4</v>
      </c>
      <c r="R4324" t="s">
        <v>28</v>
      </c>
      <c r="S4324">
        <v>1</v>
      </c>
    </row>
    <row r="4325" spans="1:19" ht="16.5" x14ac:dyDescent="0.3">
      <c r="A4325" t="s">
        <v>4388</v>
      </c>
      <c r="B4325" s="1">
        <v>45859</v>
      </c>
      <c r="C4325" s="1">
        <v>45864</v>
      </c>
      <c r="D4325">
        <v>2025</v>
      </c>
      <c r="E4325" t="s">
        <v>1445</v>
      </c>
      <c r="F4325" t="s">
        <v>1446</v>
      </c>
      <c r="G4325" t="s">
        <v>22</v>
      </c>
      <c r="H4325" t="s">
        <v>50</v>
      </c>
      <c r="I4325" t="s">
        <v>24</v>
      </c>
      <c r="J4325" t="s">
        <v>25</v>
      </c>
      <c r="K4325" t="s">
        <v>32</v>
      </c>
      <c r="L4325" t="s">
        <v>44</v>
      </c>
      <c r="M4325">
        <v>5</v>
      </c>
      <c r="N4325" s="2">
        <v>36</v>
      </c>
      <c r="O4325" s="3">
        <v>7545</v>
      </c>
      <c r="P4325">
        <v>0</v>
      </c>
      <c r="Q4325">
        <v>4</v>
      </c>
      <c r="R4325" t="s">
        <v>33</v>
      </c>
      <c r="S4325">
        <v>1</v>
      </c>
    </row>
    <row r="4326" spans="1:19" ht="16.5" x14ac:dyDescent="0.3">
      <c r="A4326" t="s">
        <v>4389</v>
      </c>
      <c r="B4326" s="1">
        <v>45859</v>
      </c>
      <c r="C4326" s="1">
        <v>45864</v>
      </c>
      <c r="D4326">
        <v>2025</v>
      </c>
      <c r="E4326" t="s">
        <v>1445</v>
      </c>
      <c r="F4326" t="s">
        <v>1446</v>
      </c>
      <c r="G4326" t="s">
        <v>22</v>
      </c>
      <c r="H4326" t="s">
        <v>52</v>
      </c>
      <c r="I4326" t="s">
        <v>31</v>
      </c>
      <c r="J4326" t="s">
        <v>25</v>
      </c>
      <c r="K4326" t="s">
        <v>36</v>
      </c>
      <c r="L4326" t="s">
        <v>44</v>
      </c>
      <c r="M4326">
        <v>5</v>
      </c>
      <c r="N4326" s="2"/>
      <c r="O4326" s="3">
        <v>5032</v>
      </c>
      <c r="P4326">
        <v>0</v>
      </c>
      <c r="Q4326">
        <v>4</v>
      </c>
      <c r="R4326" t="s">
        <v>33</v>
      </c>
      <c r="S4326">
        <v>1</v>
      </c>
    </row>
    <row r="4327" spans="1:19" ht="16.5" x14ac:dyDescent="0.3">
      <c r="A4327" t="s">
        <v>4390</v>
      </c>
      <c r="B4327" s="1">
        <v>45859</v>
      </c>
      <c r="C4327" s="1">
        <v>45862</v>
      </c>
      <c r="D4327">
        <v>2025</v>
      </c>
      <c r="E4327" t="s">
        <v>1445</v>
      </c>
      <c r="F4327" t="s">
        <v>1446</v>
      </c>
      <c r="G4327" t="s">
        <v>22</v>
      </c>
      <c r="H4327" t="s">
        <v>39</v>
      </c>
      <c r="I4327" t="s">
        <v>24</v>
      </c>
      <c r="J4327" t="s">
        <v>43</v>
      </c>
      <c r="K4327" t="s">
        <v>41</v>
      </c>
      <c r="L4327" t="s">
        <v>27</v>
      </c>
      <c r="M4327">
        <v>3</v>
      </c>
      <c r="N4327" s="2">
        <v>36</v>
      </c>
      <c r="O4327" s="3">
        <v>2735</v>
      </c>
      <c r="P4327">
        <v>0</v>
      </c>
      <c r="Q4327">
        <v>5</v>
      </c>
      <c r="R4327" t="s">
        <v>33</v>
      </c>
      <c r="S4327">
        <v>1</v>
      </c>
    </row>
    <row r="4328" spans="1:19" ht="16.5" x14ac:dyDescent="0.3">
      <c r="A4328" t="s">
        <v>4391</v>
      </c>
      <c r="B4328" s="1">
        <v>45859</v>
      </c>
      <c r="C4328" s="1">
        <v>45867</v>
      </c>
      <c r="D4328">
        <v>2025</v>
      </c>
      <c r="E4328" t="s">
        <v>1445</v>
      </c>
      <c r="F4328" t="s">
        <v>1446</v>
      </c>
      <c r="G4328" t="s">
        <v>22</v>
      </c>
      <c r="H4328" t="s">
        <v>50</v>
      </c>
      <c r="I4328" t="s">
        <v>24</v>
      </c>
      <c r="J4328" t="s">
        <v>25</v>
      </c>
      <c r="K4328" t="s">
        <v>32</v>
      </c>
      <c r="L4328" t="s">
        <v>27</v>
      </c>
      <c r="M4328">
        <v>8</v>
      </c>
      <c r="N4328" s="2">
        <v>37</v>
      </c>
      <c r="O4328" s="3">
        <v>10087</v>
      </c>
      <c r="P4328">
        <v>0</v>
      </c>
      <c r="Q4328">
        <v>5</v>
      </c>
      <c r="R4328" t="s">
        <v>28</v>
      </c>
      <c r="S4328">
        <v>1</v>
      </c>
    </row>
    <row r="4329" spans="1:19" ht="16.5" x14ac:dyDescent="0.3">
      <c r="A4329" t="s">
        <v>4392</v>
      </c>
      <c r="B4329" s="1">
        <v>45859</v>
      </c>
      <c r="C4329" s="1">
        <v>45860</v>
      </c>
      <c r="D4329">
        <v>2025</v>
      </c>
      <c r="E4329" t="s">
        <v>1445</v>
      </c>
      <c r="F4329" t="s">
        <v>1446</v>
      </c>
      <c r="G4329" t="s">
        <v>22</v>
      </c>
      <c r="H4329" t="s">
        <v>30</v>
      </c>
      <c r="I4329" t="s">
        <v>24</v>
      </c>
      <c r="J4329" t="s">
        <v>43</v>
      </c>
      <c r="K4329" t="s">
        <v>32</v>
      </c>
      <c r="L4329" t="s">
        <v>27</v>
      </c>
      <c r="M4329">
        <v>1</v>
      </c>
      <c r="N4329" s="2">
        <v>71</v>
      </c>
      <c r="O4329" s="3">
        <v>1837</v>
      </c>
      <c r="P4329">
        <v>0</v>
      </c>
      <c r="Q4329">
        <v>3</v>
      </c>
      <c r="R4329" t="s">
        <v>33</v>
      </c>
      <c r="S4329">
        <v>1</v>
      </c>
    </row>
    <row r="4330" spans="1:19" ht="16.5" x14ac:dyDescent="0.3">
      <c r="A4330" t="s">
        <v>4393</v>
      </c>
      <c r="B4330" s="1">
        <v>45859</v>
      </c>
      <c r="C4330" s="1">
        <v>45860</v>
      </c>
      <c r="D4330">
        <v>2025</v>
      </c>
      <c r="E4330" t="s">
        <v>1445</v>
      </c>
      <c r="F4330" t="s">
        <v>1446</v>
      </c>
      <c r="G4330" t="s">
        <v>22</v>
      </c>
      <c r="H4330" t="s">
        <v>52</v>
      </c>
      <c r="I4330" t="s">
        <v>24</v>
      </c>
      <c r="J4330" t="s">
        <v>43</v>
      </c>
      <c r="K4330" t="s">
        <v>53</v>
      </c>
      <c r="L4330" t="s">
        <v>27</v>
      </c>
      <c r="M4330">
        <v>1</v>
      </c>
      <c r="N4330" s="2">
        <v>76</v>
      </c>
      <c r="O4330" s="3">
        <v>1876</v>
      </c>
      <c r="P4330">
        <v>0</v>
      </c>
      <c r="Q4330">
        <v>5</v>
      </c>
      <c r="R4330" t="s">
        <v>33</v>
      </c>
      <c r="S4330">
        <v>1</v>
      </c>
    </row>
    <row r="4331" spans="1:19" ht="16.5" x14ac:dyDescent="0.3">
      <c r="A4331" t="s">
        <v>4394</v>
      </c>
      <c r="B4331" s="1">
        <v>45860</v>
      </c>
      <c r="C4331" s="1">
        <v>45867</v>
      </c>
      <c r="D4331">
        <v>2025</v>
      </c>
      <c r="E4331" t="s">
        <v>1445</v>
      </c>
      <c r="F4331" t="s">
        <v>1446</v>
      </c>
      <c r="G4331" t="s">
        <v>56</v>
      </c>
      <c r="H4331" t="s">
        <v>23</v>
      </c>
      <c r="I4331" t="s">
        <v>24</v>
      </c>
      <c r="J4331" t="s">
        <v>43</v>
      </c>
      <c r="K4331" t="s">
        <v>26</v>
      </c>
      <c r="L4331" t="s">
        <v>44</v>
      </c>
      <c r="M4331">
        <v>7</v>
      </c>
      <c r="N4331" s="2">
        <v>31</v>
      </c>
      <c r="O4331" s="3">
        <v>5797</v>
      </c>
      <c r="P4331">
        <v>0</v>
      </c>
      <c r="Q4331">
        <v>4</v>
      </c>
      <c r="R4331" t="s">
        <v>33</v>
      </c>
      <c r="S4331">
        <v>1</v>
      </c>
    </row>
    <row r="4332" spans="1:19" ht="16.5" x14ac:dyDescent="0.3">
      <c r="A4332" t="s">
        <v>4395</v>
      </c>
      <c r="B4332" s="1">
        <v>45860</v>
      </c>
      <c r="C4332" s="1">
        <v>45861</v>
      </c>
      <c r="D4332">
        <v>2025</v>
      </c>
      <c r="E4332" t="s">
        <v>1445</v>
      </c>
      <c r="F4332" t="s">
        <v>1446</v>
      </c>
      <c r="G4332" t="s">
        <v>56</v>
      </c>
      <c r="H4332" t="s">
        <v>39</v>
      </c>
      <c r="I4332" t="s">
        <v>31</v>
      </c>
      <c r="J4332" t="s">
        <v>43</v>
      </c>
      <c r="K4332" t="s">
        <v>41</v>
      </c>
      <c r="L4332" t="s">
        <v>44</v>
      </c>
      <c r="M4332">
        <v>1</v>
      </c>
      <c r="N4332" s="2"/>
      <c r="O4332" s="3">
        <v>1245</v>
      </c>
      <c r="P4332">
        <v>0</v>
      </c>
      <c r="Q4332">
        <v>3</v>
      </c>
      <c r="R4332" t="s">
        <v>28</v>
      </c>
      <c r="S4332">
        <v>1</v>
      </c>
    </row>
    <row r="4333" spans="1:19" ht="16.5" x14ac:dyDescent="0.3">
      <c r="A4333" t="s">
        <v>4396</v>
      </c>
      <c r="B4333" s="1">
        <v>45860</v>
      </c>
      <c r="C4333" s="1">
        <v>45861</v>
      </c>
      <c r="D4333">
        <v>2025</v>
      </c>
      <c r="E4333" t="s">
        <v>1445</v>
      </c>
      <c r="F4333" t="s">
        <v>1446</v>
      </c>
      <c r="G4333" t="s">
        <v>56</v>
      </c>
      <c r="H4333" t="s">
        <v>39</v>
      </c>
      <c r="I4333" t="s">
        <v>40</v>
      </c>
      <c r="J4333" t="s">
        <v>43</v>
      </c>
      <c r="K4333" t="s">
        <v>41</v>
      </c>
      <c r="L4333" t="s">
        <v>27</v>
      </c>
      <c r="M4333">
        <v>1</v>
      </c>
      <c r="N4333" s="2"/>
      <c r="O4333" s="3">
        <v>1855</v>
      </c>
      <c r="P4333">
        <v>0</v>
      </c>
      <c r="Q4333">
        <v>4</v>
      </c>
      <c r="R4333" t="s">
        <v>33</v>
      </c>
      <c r="S4333">
        <v>1</v>
      </c>
    </row>
    <row r="4334" spans="1:19" ht="16.5" x14ac:dyDescent="0.3">
      <c r="A4334" t="s">
        <v>4397</v>
      </c>
      <c r="B4334" s="1">
        <v>45860</v>
      </c>
      <c r="C4334" s="1">
        <v>45870</v>
      </c>
      <c r="D4334">
        <v>2025</v>
      </c>
      <c r="E4334" t="s">
        <v>1445</v>
      </c>
      <c r="F4334" t="s">
        <v>1446</v>
      </c>
      <c r="G4334" t="s">
        <v>56</v>
      </c>
      <c r="H4334" t="s">
        <v>30</v>
      </c>
      <c r="I4334" t="s">
        <v>40</v>
      </c>
      <c r="J4334" t="s">
        <v>43</v>
      </c>
      <c r="K4334" t="s">
        <v>26</v>
      </c>
      <c r="L4334" t="s">
        <v>27</v>
      </c>
      <c r="M4334">
        <v>10</v>
      </c>
      <c r="N4334" s="2"/>
      <c r="O4334" s="3">
        <v>10922</v>
      </c>
      <c r="P4334">
        <v>0</v>
      </c>
      <c r="Q4334">
        <v>4</v>
      </c>
      <c r="R4334" t="s">
        <v>28</v>
      </c>
      <c r="S4334">
        <v>1</v>
      </c>
    </row>
    <row r="4335" spans="1:19" ht="16.5" x14ac:dyDescent="0.3">
      <c r="A4335" t="s">
        <v>4398</v>
      </c>
      <c r="B4335" s="1">
        <v>45860</v>
      </c>
      <c r="C4335" s="1">
        <v>45863</v>
      </c>
      <c r="D4335">
        <v>2025</v>
      </c>
      <c r="E4335" t="s">
        <v>1445</v>
      </c>
      <c r="F4335" t="s">
        <v>1446</v>
      </c>
      <c r="G4335" t="s">
        <v>56</v>
      </c>
      <c r="H4335" t="s">
        <v>23</v>
      </c>
      <c r="I4335" t="s">
        <v>24</v>
      </c>
      <c r="J4335" t="s">
        <v>43</v>
      </c>
      <c r="K4335" t="s">
        <v>36</v>
      </c>
      <c r="L4335" t="s">
        <v>27</v>
      </c>
      <c r="M4335">
        <v>3</v>
      </c>
      <c r="N4335" s="2">
        <v>41</v>
      </c>
      <c r="O4335" s="3">
        <v>2236</v>
      </c>
      <c r="P4335">
        <v>0</v>
      </c>
      <c r="Q4335">
        <v>5</v>
      </c>
      <c r="R4335" t="s">
        <v>33</v>
      </c>
      <c r="S4335">
        <v>1</v>
      </c>
    </row>
    <row r="4336" spans="1:19" ht="16.5" x14ac:dyDescent="0.3">
      <c r="A4336" t="s">
        <v>4399</v>
      </c>
      <c r="B4336" s="1">
        <v>45860</v>
      </c>
      <c r="C4336" s="1">
        <v>45866</v>
      </c>
      <c r="D4336">
        <v>2025</v>
      </c>
      <c r="E4336" t="s">
        <v>1445</v>
      </c>
      <c r="F4336" t="s">
        <v>1446</v>
      </c>
      <c r="G4336" t="s">
        <v>56</v>
      </c>
      <c r="H4336" t="s">
        <v>52</v>
      </c>
      <c r="I4336" t="s">
        <v>40</v>
      </c>
      <c r="J4336" t="s">
        <v>43</v>
      </c>
      <c r="K4336" t="s">
        <v>26</v>
      </c>
      <c r="L4336" t="s">
        <v>44</v>
      </c>
      <c r="M4336">
        <v>6</v>
      </c>
      <c r="N4336" s="2"/>
      <c r="O4336" s="3">
        <v>5009</v>
      </c>
      <c r="P4336">
        <v>0</v>
      </c>
      <c r="Q4336">
        <v>5</v>
      </c>
      <c r="R4336" t="s">
        <v>28</v>
      </c>
      <c r="S4336">
        <v>1</v>
      </c>
    </row>
    <row r="4337" spans="1:19" ht="16.5" x14ac:dyDescent="0.3">
      <c r="A4337" t="s">
        <v>4400</v>
      </c>
      <c r="B4337" s="1">
        <v>45860</v>
      </c>
      <c r="C4337" s="1">
        <v>45866</v>
      </c>
      <c r="D4337">
        <v>2025</v>
      </c>
      <c r="E4337" t="s">
        <v>1445</v>
      </c>
      <c r="F4337" t="s">
        <v>1446</v>
      </c>
      <c r="G4337" t="s">
        <v>56</v>
      </c>
      <c r="H4337" t="s">
        <v>30</v>
      </c>
      <c r="I4337" t="s">
        <v>40</v>
      </c>
      <c r="J4337" t="s">
        <v>25</v>
      </c>
      <c r="K4337" t="s">
        <v>26</v>
      </c>
      <c r="L4337" t="s">
        <v>27</v>
      </c>
      <c r="M4337">
        <v>6</v>
      </c>
      <c r="N4337" s="2"/>
      <c r="O4337" s="3">
        <v>8467</v>
      </c>
      <c r="P4337">
        <v>0</v>
      </c>
      <c r="Q4337">
        <v>3</v>
      </c>
      <c r="R4337" t="s">
        <v>33</v>
      </c>
      <c r="S4337">
        <v>1</v>
      </c>
    </row>
    <row r="4338" spans="1:19" ht="16.5" x14ac:dyDescent="0.3">
      <c r="A4338" t="s">
        <v>4401</v>
      </c>
      <c r="B4338" s="1">
        <v>45861</v>
      </c>
      <c r="C4338" s="1">
        <v>45872</v>
      </c>
      <c r="D4338">
        <v>2025</v>
      </c>
      <c r="E4338" t="s">
        <v>1445</v>
      </c>
      <c r="F4338" t="s">
        <v>1446</v>
      </c>
      <c r="G4338" t="s">
        <v>70</v>
      </c>
      <c r="H4338" t="s">
        <v>23</v>
      </c>
      <c r="I4338" t="s">
        <v>24</v>
      </c>
      <c r="J4338" t="s">
        <v>25</v>
      </c>
      <c r="K4338" t="s">
        <v>53</v>
      </c>
      <c r="L4338" t="s">
        <v>27</v>
      </c>
      <c r="M4338">
        <v>11</v>
      </c>
      <c r="N4338" s="2">
        <v>12</v>
      </c>
      <c r="O4338" s="3">
        <v>7587</v>
      </c>
      <c r="P4338">
        <v>0</v>
      </c>
      <c r="Q4338">
        <v>4</v>
      </c>
      <c r="R4338" t="s">
        <v>33</v>
      </c>
      <c r="S4338">
        <v>1</v>
      </c>
    </row>
    <row r="4339" spans="1:19" ht="16.5" x14ac:dyDescent="0.3">
      <c r="A4339" t="s">
        <v>4402</v>
      </c>
      <c r="B4339" s="1">
        <v>45861</v>
      </c>
      <c r="C4339" s="1">
        <v>45869</v>
      </c>
      <c r="D4339">
        <v>2025</v>
      </c>
      <c r="E4339" t="s">
        <v>1445</v>
      </c>
      <c r="F4339" t="s">
        <v>1446</v>
      </c>
      <c r="G4339" t="s">
        <v>70</v>
      </c>
      <c r="H4339" t="s">
        <v>23</v>
      </c>
      <c r="I4339" t="s">
        <v>24</v>
      </c>
      <c r="J4339" t="s">
        <v>25</v>
      </c>
      <c r="K4339" t="s">
        <v>26</v>
      </c>
      <c r="L4339" t="s">
        <v>44</v>
      </c>
      <c r="M4339">
        <v>8</v>
      </c>
      <c r="N4339" s="2">
        <v>56</v>
      </c>
      <c r="O4339" s="3">
        <v>6374</v>
      </c>
      <c r="P4339">
        <v>0</v>
      </c>
      <c r="Q4339">
        <v>5</v>
      </c>
      <c r="R4339" t="s">
        <v>33</v>
      </c>
      <c r="S4339">
        <v>1</v>
      </c>
    </row>
    <row r="4340" spans="1:19" ht="16.5" x14ac:dyDescent="0.3">
      <c r="A4340" t="s">
        <v>4403</v>
      </c>
      <c r="B4340" s="1">
        <v>45861</v>
      </c>
      <c r="C4340" s="1">
        <v>45867</v>
      </c>
      <c r="D4340">
        <v>2025</v>
      </c>
      <c r="E4340" t="s">
        <v>1445</v>
      </c>
      <c r="F4340" t="s">
        <v>1446</v>
      </c>
      <c r="G4340" t="s">
        <v>70</v>
      </c>
      <c r="H4340" t="s">
        <v>23</v>
      </c>
      <c r="I4340" t="s">
        <v>24</v>
      </c>
      <c r="J4340" t="s">
        <v>25</v>
      </c>
      <c r="K4340" t="s">
        <v>32</v>
      </c>
      <c r="L4340" t="s">
        <v>44</v>
      </c>
      <c r="M4340">
        <v>6</v>
      </c>
      <c r="N4340" s="2">
        <v>97</v>
      </c>
      <c r="O4340" s="3">
        <v>5503</v>
      </c>
      <c r="P4340">
        <v>1</v>
      </c>
      <c r="Q4340">
        <v>4</v>
      </c>
      <c r="R4340" t="s">
        <v>28</v>
      </c>
      <c r="S4340">
        <v>1</v>
      </c>
    </row>
    <row r="4341" spans="1:19" ht="16.5" x14ac:dyDescent="0.3">
      <c r="A4341" t="s">
        <v>4404</v>
      </c>
      <c r="B4341" s="1">
        <v>45862</v>
      </c>
      <c r="C4341" s="1">
        <v>45864</v>
      </c>
      <c r="D4341">
        <v>2025</v>
      </c>
      <c r="E4341" t="s">
        <v>1445</v>
      </c>
      <c r="F4341" t="s">
        <v>1446</v>
      </c>
      <c r="G4341" t="s">
        <v>78</v>
      </c>
      <c r="H4341" t="s">
        <v>35</v>
      </c>
      <c r="I4341" t="s">
        <v>24</v>
      </c>
      <c r="J4341" t="s">
        <v>25</v>
      </c>
      <c r="K4341" t="s">
        <v>36</v>
      </c>
      <c r="L4341" t="s">
        <v>44</v>
      </c>
      <c r="M4341">
        <v>2</v>
      </c>
      <c r="N4341" s="2">
        <v>57</v>
      </c>
      <c r="O4341" s="3">
        <v>2077</v>
      </c>
      <c r="P4341">
        <v>0</v>
      </c>
      <c r="Q4341">
        <v>4</v>
      </c>
      <c r="R4341" t="s">
        <v>33</v>
      </c>
      <c r="S4341">
        <v>1</v>
      </c>
    </row>
    <row r="4342" spans="1:19" ht="16.5" x14ac:dyDescent="0.3">
      <c r="A4342" t="s">
        <v>4405</v>
      </c>
      <c r="B4342" s="1">
        <v>45862</v>
      </c>
      <c r="C4342" s="1">
        <v>45865</v>
      </c>
      <c r="D4342">
        <v>2025</v>
      </c>
      <c r="E4342" t="s">
        <v>1445</v>
      </c>
      <c r="F4342" t="s">
        <v>1446</v>
      </c>
      <c r="G4342" t="s">
        <v>78</v>
      </c>
      <c r="H4342" t="s">
        <v>23</v>
      </c>
      <c r="I4342" t="s">
        <v>24</v>
      </c>
      <c r="J4342" t="s">
        <v>25</v>
      </c>
      <c r="K4342" t="s">
        <v>53</v>
      </c>
      <c r="L4342" t="s">
        <v>27</v>
      </c>
      <c r="M4342">
        <v>3</v>
      </c>
      <c r="N4342" s="2">
        <v>29</v>
      </c>
      <c r="O4342" s="3">
        <v>3298</v>
      </c>
      <c r="P4342">
        <v>0</v>
      </c>
      <c r="Q4342">
        <v>5</v>
      </c>
      <c r="R4342" t="s">
        <v>33</v>
      </c>
      <c r="S4342">
        <v>1</v>
      </c>
    </row>
    <row r="4343" spans="1:19" ht="16.5" x14ac:dyDescent="0.3">
      <c r="A4343" t="s">
        <v>4406</v>
      </c>
      <c r="B4343" s="1">
        <v>45862</v>
      </c>
      <c r="C4343" s="1">
        <v>45865</v>
      </c>
      <c r="D4343">
        <v>2025</v>
      </c>
      <c r="E4343" t="s">
        <v>1445</v>
      </c>
      <c r="F4343" t="s">
        <v>1446</v>
      </c>
      <c r="G4343" t="s">
        <v>78</v>
      </c>
      <c r="H4343" t="s">
        <v>30</v>
      </c>
      <c r="I4343" t="s">
        <v>40</v>
      </c>
      <c r="J4343" t="s">
        <v>25</v>
      </c>
      <c r="K4343" t="s">
        <v>32</v>
      </c>
      <c r="L4343" t="s">
        <v>37</v>
      </c>
      <c r="M4343">
        <v>3</v>
      </c>
      <c r="N4343" s="2"/>
      <c r="O4343" s="3">
        <v>4178</v>
      </c>
      <c r="P4343">
        <v>0</v>
      </c>
      <c r="Q4343">
        <v>4</v>
      </c>
      <c r="R4343" t="s">
        <v>28</v>
      </c>
      <c r="S4343">
        <v>1</v>
      </c>
    </row>
    <row r="4344" spans="1:19" ht="16.5" x14ac:dyDescent="0.3">
      <c r="A4344" t="s">
        <v>4407</v>
      </c>
      <c r="B4344" s="1">
        <v>45862</v>
      </c>
      <c r="C4344" s="1">
        <v>45865</v>
      </c>
      <c r="D4344">
        <v>2025</v>
      </c>
      <c r="E4344" t="s">
        <v>1445</v>
      </c>
      <c r="F4344" t="s">
        <v>1446</v>
      </c>
      <c r="G4344" t="s">
        <v>78</v>
      </c>
      <c r="H4344" t="s">
        <v>30</v>
      </c>
      <c r="I4344" t="s">
        <v>40</v>
      </c>
      <c r="J4344" t="s">
        <v>25</v>
      </c>
      <c r="K4344" t="s">
        <v>36</v>
      </c>
      <c r="L4344" t="s">
        <v>37</v>
      </c>
      <c r="M4344">
        <v>3</v>
      </c>
      <c r="N4344" s="2"/>
      <c r="O4344" s="3">
        <v>4000</v>
      </c>
      <c r="P4344">
        <v>0</v>
      </c>
      <c r="Q4344">
        <v>5</v>
      </c>
      <c r="R4344" t="s">
        <v>28</v>
      </c>
      <c r="S4344">
        <v>1</v>
      </c>
    </row>
    <row r="4345" spans="1:19" ht="16.5" x14ac:dyDescent="0.3">
      <c r="A4345" t="s">
        <v>4408</v>
      </c>
      <c r="B4345" s="1">
        <v>45862</v>
      </c>
      <c r="C4345" s="1">
        <v>45866</v>
      </c>
      <c r="D4345">
        <v>2025</v>
      </c>
      <c r="E4345" t="s">
        <v>1445</v>
      </c>
      <c r="F4345" t="s">
        <v>1446</v>
      </c>
      <c r="G4345" t="s">
        <v>78</v>
      </c>
      <c r="H4345" t="s">
        <v>23</v>
      </c>
      <c r="I4345" t="s">
        <v>40</v>
      </c>
      <c r="J4345" t="s">
        <v>25</v>
      </c>
      <c r="K4345" t="s">
        <v>26</v>
      </c>
      <c r="L4345" t="s">
        <v>27</v>
      </c>
      <c r="M4345">
        <v>4</v>
      </c>
      <c r="N4345" s="2"/>
      <c r="O4345" s="3">
        <v>3204</v>
      </c>
      <c r="P4345">
        <v>0</v>
      </c>
      <c r="Q4345">
        <v>5</v>
      </c>
      <c r="R4345" t="s">
        <v>33</v>
      </c>
      <c r="S4345">
        <v>1</v>
      </c>
    </row>
    <row r="4346" spans="1:19" ht="16.5" x14ac:dyDescent="0.3">
      <c r="A4346" t="s">
        <v>4409</v>
      </c>
      <c r="B4346" s="1">
        <v>45862</v>
      </c>
      <c r="C4346" s="1">
        <v>45866</v>
      </c>
      <c r="D4346">
        <v>2025</v>
      </c>
      <c r="E4346" t="s">
        <v>1445</v>
      </c>
      <c r="F4346" t="s">
        <v>1446</v>
      </c>
      <c r="G4346" t="s">
        <v>78</v>
      </c>
      <c r="H4346" t="s">
        <v>23</v>
      </c>
      <c r="I4346" t="s">
        <v>24</v>
      </c>
      <c r="J4346" t="s">
        <v>43</v>
      </c>
      <c r="K4346" t="s">
        <v>36</v>
      </c>
      <c r="L4346" t="s">
        <v>27</v>
      </c>
      <c r="M4346">
        <v>4</v>
      </c>
      <c r="N4346" s="2">
        <v>33</v>
      </c>
      <c r="O4346" s="3">
        <v>2912</v>
      </c>
      <c r="P4346">
        <v>0</v>
      </c>
      <c r="Q4346">
        <v>4</v>
      </c>
      <c r="R4346" t="s">
        <v>33</v>
      </c>
      <c r="S4346">
        <v>1</v>
      </c>
    </row>
    <row r="4347" spans="1:19" ht="16.5" x14ac:dyDescent="0.3">
      <c r="A4347" t="s">
        <v>4410</v>
      </c>
      <c r="B4347" s="1">
        <v>45862</v>
      </c>
      <c r="C4347" s="1">
        <v>45866</v>
      </c>
      <c r="D4347">
        <v>2025</v>
      </c>
      <c r="E4347" t="s">
        <v>1445</v>
      </c>
      <c r="F4347" t="s">
        <v>1446</v>
      </c>
      <c r="G4347" t="s">
        <v>78</v>
      </c>
      <c r="H4347" t="s">
        <v>39</v>
      </c>
      <c r="I4347" t="s">
        <v>40</v>
      </c>
      <c r="J4347" t="s">
        <v>25</v>
      </c>
      <c r="K4347" t="s">
        <v>41</v>
      </c>
      <c r="L4347" t="s">
        <v>44</v>
      </c>
      <c r="M4347">
        <v>4</v>
      </c>
      <c r="N4347" s="2"/>
      <c r="O4347" s="3">
        <v>3729</v>
      </c>
      <c r="P4347">
        <v>0</v>
      </c>
      <c r="Q4347">
        <v>4</v>
      </c>
      <c r="R4347" t="s">
        <v>28</v>
      </c>
      <c r="S4347">
        <v>1</v>
      </c>
    </row>
    <row r="4348" spans="1:19" ht="16.5" x14ac:dyDescent="0.3">
      <c r="A4348" t="s">
        <v>4411</v>
      </c>
      <c r="B4348" s="1">
        <v>45862</v>
      </c>
      <c r="C4348" s="1">
        <v>45865</v>
      </c>
      <c r="D4348">
        <v>2025</v>
      </c>
      <c r="E4348" t="s">
        <v>1445</v>
      </c>
      <c r="F4348" t="s">
        <v>1446</v>
      </c>
      <c r="G4348" t="s">
        <v>78</v>
      </c>
      <c r="H4348" t="s">
        <v>23</v>
      </c>
      <c r="I4348" t="s">
        <v>24</v>
      </c>
      <c r="J4348" t="s">
        <v>43</v>
      </c>
      <c r="K4348" t="s">
        <v>32</v>
      </c>
      <c r="L4348" t="s">
        <v>27</v>
      </c>
      <c r="M4348">
        <v>3</v>
      </c>
      <c r="N4348" s="2">
        <v>40</v>
      </c>
      <c r="O4348" s="3">
        <v>3606</v>
      </c>
      <c r="P4348">
        <v>0</v>
      </c>
      <c r="Q4348">
        <v>5</v>
      </c>
      <c r="R4348" t="s">
        <v>33</v>
      </c>
      <c r="S4348">
        <v>1</v>
      </c>
    </row>
    <row r="4349" spans="1:19" ht="16.5" x14ac:dyDescent="0.3">
      <c r="A4349" t="s">
        <v>4412</v>
      </c>
      <c r="B4349" s="1">
        <v>45862</v>
      </c>
      <c r="C4349" s="1">
        <v>45868</v>
      </c>
      <c r="D4349">
        <v>2025</v>
      </c>
      <c r="E4349" t="s">
        <v>1445</v>
      </c>
      <c r="F4349" t="s">
        <v>1446</v>
      </c>
      <c r="G4349" t="s">
        <v>78</v>
      </c>
      <c r="H4349" t="s">
        <v>50</v>
      </c>
      <c r="I4349" t="s">
        <v>40</v>
      </c>
      <c r="J4349" t="s">
        <v>43</v>
      </c>
      <c r="K4349" t="s">
        <v>26</v>
      </c>
      <c r="L4349" t="s">
        <v>27</v>
      </c>
      <c r="M4349">
        <v>6</v>
      </c>
      <c r="N4349" s="2"/>
      <c r="O4349" s="3">
        <v>6383</v>
      </c>
      <c r="P4349">
        <v>0</v>
      </c>
      <c r="Q4349">
        <v>4</v>
      </c>
      <c r="R4349" t="s">
        <v>28</v>
      </c>
      <c r="S4349">
        <v>1</v>
      </c>
    </row>
    <row r="4350" spans="1:19" ht="16.5" x14ac:dyDescent="0.3">
      <c r="A4350" t="s">
        <v>4413</v>
      </c>
      <c r="B4350" s="1">
        <v>45863</v>
      </c>
      <c r="C4350" s="1">
        <v>45865</v>
      </c>
      <c r="D4350">
        <v>2025</v>
      </c>
      <c r="E4350" t="s">
        <v>1445</v>
      </c>
      <c r="F4350" t="s">
        <v>1446</v>
      </c>
      <c r="G4350" t="s">
        <v>83</v>
      </c>
      <c r="H4350" t="s">
        <v>23</v>
      </c>
      <c r="I4350" t="s">
        <v>40</v>
      </c>
      <c r="J4350" t="s">
        <v>25</v>
      </c>
      <c r="K4350" t="s">
        <v>53</v>
      </c>
      <c r="L4350" t="s">
        <v>27</v>
      </c>
      <c r="M4350">
        <v>2</v>
      </c>
      <c r="N4350" s="2"/>
      <c r="O4350" s="3">
        <v>2206</v>
      </c>
      <c r="P4350">
        <v>0</v>
      </c>
      <c r="Q4350">
        <v>3</v>
      </c>
      <c r="R4350" t="s">
        <v>33</v>
      </c>
      <c r="S4350">
        <v>1</v>
      </c>
    </row>
    <row r="4351" spans="1:19" ht="16.5" x14ac:dyDescent="0.3">
      <c r="A4351" t="s">
        <v>4414</v>
      </c>
      <c r="B4351" s="1">
        <v>45863</v>
      </c>
      <c r="C4351" s="1">
        <v>45867</v>
      </c>
      <c r="D4351">
        <v>2025</v>
      </c>
      <c r="E4351" t="s">
        <v>1445</v>
      </c>
      <c r="F4351" t="s">
        <v>1446</v>
      </c>
      <c r="G4351" t="s">
        <v>83</v>
      </c>
      <c r="H4351" t="s">
        <v>39</v>
      </c>
      <c r="I4351" t="s">
        <v>24</v>
      </c>
      <c r="J4351" t="s">
        <v>43</v>
      </c>
      <c r="K4351" t="s">
        <v>41</v>
      </c>
      <c r="L4351" t="s">
        <v>44</v>
      </c>
      <c r="M4351">
        <v>4</v>
      </c>
      <c r="N4351" s="2">
        <v>24</v>
      </c>
      <c r="O4351" s="3">
        <v>2887</v>
      </c>
      <c r="P4351">
        <v>0</v>
      </c>
      <c r="Q4351">
        <v>5</v>
      </c>
      <c r="R4351" t="s">
        <v>33</v>
      </c>
      <c r="S4351">
        <v>1</v>
      </c>
    </row>
    <row r="4352" spans="1:19" ht="16.5" x14ac:dyDescent="0.3">
      <c r="A4352" t="s">
        <v>4415</v>
      </c>
      <c r="B4352" s="1">
        <v>45863</v>
      </c>
      <c r="C4352" s="1">
        <v>45867</v>
      </c>
      <c r="D4352">
        <v>2025</v>
      </c>
      <c r="E4352" t="s">
        <v>1445</v>
      </c>
      <c r="F4352" t="s">
        <v>1446</v>
      </c>
      <c r="G4352" t="s">
        <v>83</v>
      </c>
      <c r="H4352" t="s">
        <v>39</v>
      </c>
      <c r="I4352" t="s">
        <v>24</v>
      </c>
      <c r="J4352" t="s">
        <v>25</v>
      </c>
      <c r="K4352" t="s">
        <v>41</v>
      </c>
      <c r="L4352" t="s">
        <v>44</v>
      </c>
      <c r="M4352">
        <v>4</v>
      </c>
      <c r="N4352" s="2">
        <v>160</v>
      </c>
      <c r="O4352" s="3">
        <v>2583</v>
      </c>
      <c r="P4352">
        <v>0</v>
      </c>
      <c r="Q4352">
        <v>3</v>
      </c>
      <c r="R4352" t="s">
        <v>33</v>
      </c>
      <c r="S4352">
        <v>1</v>
      </c>
    </row>
    <row r="4353" spans="1:19" ht="16.5" x14ac:dyDescent="0.3">
      <c r="A4353" t="s">
        <v>4416</v>
      </c>
      <c r="B4353" s="1">
        <v>45863</v>
      </c>
      <c r="C4353" s="1">
        <v>45872</v>
      </c>
      <c r="D4353">
        <v>2025</v>
      </c>
      <c r="E4353" t="s">
        <v>1445</v>
      </c>
      <c r="F4353" t="s">
        <v>1446</v>
      </c>
      <c r="G4353" t="s">
        <v>83</v>
      </c>
      <c r="H4353" t="s">
        <v>50</v>
      </c>
      <c r="I4353" t="s">
        <v>24</v>
      </c>
      <c r="J4353" t="s">
        <v>25</v>
      </c>
      <c r="K4353" t="s">
        <v>26</v>
      </c>
      <c r="L4353" t="s">
        <v>27</v>
      </c>
      <c r="M4353">
        <v>9</v>
      </c>
      <c r="N4353" s="2">
        <v>79</v>
      </c>
      <c r="O4353" s="3">
        <v>11564</v>
      </c>
      <c r="P4353">
        <v>0</v>
      </c>
      <c r="Q4353">
        <v>4</v>
      </c>
      <c r="R4353" t="s">
        <v>165</v>
      </c>
      <c r="S4353">
        <v>1</v>
      </c>
    </row>
    <row r="4354" spans="1:19" ht="16.5" x14ac:dyDescent="0.3">
      <c r="A4354" t="s">
        <v>4417</v>
      </c>
      <c r="B4354" s="1">
        <v>45863</v>
      </c>
      <c r="C4354" s="1">
        <v>45867</v>
      </c>
      <c r="D4354">
        <v>2025</v>
      </c>
      <c r="E4354" t="s">
        <v>1445</v>
      </c>
      <c r="F4354" t="s">
        <v>1446</v>
      </c>
      <c r="G4354" t="s">
        <v>83</v>
      </c>
      <c r="H4354" t="s">
        <v>30</v>
      </c>
      <c r="I4354" t="s">
        <v>24</v>
      </c>
      <c r="J4354" t="s">
        <v>43</v>
      </c>
      <c r="K4354" t="s">
        <v>32</v>
      </c>
      <c r="L4354" t="s">
        <v>44</v>
      </c>
      <c r="M4354">
        <v>4</v>
      </c>
      <c r="N4354" s="2">
        <v>47</v>
      </c>
      <c r="O4354" s="3">
        <v>4685</v>
      </c>
      <c r="P4354">
        <v>0</v>
      </c>
      <c r="Q4354">
        <v>5</v>
      </c>
      <c r="R4354" t="s">
        <v>33</v>
      </c>
      <c r="S4354">
        <v>1</v>
      </c>
    </row>
    <row r="4355" spans="1:19" ht="16.5" x14ac:dyDescent="0.3">
      <c r="A4355" t="s">
        <v>4418</v>
      </c>
      <c r="B4355" s="1">
        <v>45863</v>
      </c>
      <c r="C4355" s="1">
        <v>45865</v>
      </c>
      <c r="D4355">
        <v>2025</v>
      </c>
      <c r="E4355" t="s">
        <v>1445</v>
      </c>
      <c r="F4355" t="s">
        <v>1446</v>
      </c>
      <c r="G4355" t="s">
        <v>83</v>
      </c>
      <c r="H4355" t="s">
        <v>39</v>
      </c>
      <c r="I4355" t="s">
        <v>40</v>
      </c>
      <c r="J4355" t="s">
        <v>43</v>
      </c>
      <c r="K4355" t="s">
        <v>41</v>
      </c>
      <c r="L4355" t="s">
        <v>37</v>
      </c>
      <c r="M4355">
        <v>2</v>
      </c>
      <c r="N4355" s="2"/>
      <c r="O4355" s="3">
        <v>2311</v>
      </c>
      <c r="P4355">
        <v>0</v>
      </c>
      <c r="Q4355">
        <v>5</v>
      </c>
      <c r="R4355" t="s">
        <v>33</v>
      </c>
      <c r="S4355">
        <v>1</v>
      </c>
    </row>
    <row r="4356" spans="1:19" ht="16.5" x14ac:dyDescent="0.3">
      <c r="A4356" t="s">
        <v>4419</v>
      </c>
      <c r="B4356" s="1">
        <v>45864</v>
      </c>
      <c r="C4356" s="1">
        <v>45868</v>
      </c>
      <c r="D4356">
        <v>2025</v>
      </c>
      <c r="E4356" t="s">
        <v>1445</v>
      </c>
      <c r="F4356" t="s">
        <v>1446</v>
      </c>
      <c r="G4356" t="s">
        <v>102</v>
      </c>
      <c r="H4356" t="s">
        <v>35</v>
      </c>
      <c r="I4356" t="s">
        <v>24</v>
      </c>
      <c r="J4356" t="s">
        <v>25</v>
      </c>
      <c r="K4356" t="s">
        <v>32</v>
      </c>
      <c r="L4356" t="s">
        <v>37</v>
      </c>
      <c r="M4356">
        <v>4</v>
      </c>
      <c r="N4356" s="2">
        <v>29</v>
      </c>
      <c r="O4356" s="3">
        <v>3685</v>
      </c>
      <c r="P4356">
        <v>0</v>
      </c>
      <c r="Q4356">
        <v>5</v>
      </c>
      <c r="R4356" t="s">
        <v>28</v>
      </c>
      <c r="S4356">
        <v>1</v>
      </c>
    </row>
    <row r="4357" spans="1:19" ht="16.5" x14ac:dyDescent="0.3">
      <c r="A4357" t="s">
        <v>4420</v>
      </c>
      <c r="B4357" s="1">
        <v>45864</v>
      </c>
      <c r="C4357" s="1">
        <v>45873</v>
      </c>
      <c r="D4357">
        <v>2025</v>
      </c>
      <c r="E4357" t="s">
        <v>1445</v>
      </c>
      <c r="F4357" t="s">
        <v>1446</v>
      </c>
      <c r="G4357" t="s">
        <v>102</v>
      </c>
      <c r="H4357" t="s">
        <v>52</v>
      </c>
      <c r="I4357" t="s">
        <v>40</v>
      </c>
      <c r="J4357" t="s">
        <v>43</v>
      </c>
      <c r="K4357" t="s">
        <v>53</v>
      </c>
      <c r="L4357" t="s">
        <v>44</v>
      </c>
      <c r="M4357">
        <v>9</v>
      </c>
      <c r="N4357" s="2"/>
      <c r="O4357" s="3">
        <v>9411</v>
      </c>
      <c r="P4357">
        <v>0</v>
      </c>
      <c r="Q4357">
        <v>4</v>
      </c>
      <c r="R4357" t="s">
        <v>33</v>
      </c>
      <c r="S4357">
        <v>1</v>
      </c>
    </row>
    <row r="4358" spans="1:19" ht="16.5" x14ac:dyDescent="0.3">
      <c r="A4358" t="s">
        <v>4421</v>
      </c>
      <c r="B4358" s="1">
        <v>45864</v>
      </c>
      <c r="C4358" s="1">
        <v>45874</v>
      </c>
      <c r="D4358">
        <v>2025</v>
      </c>
      <c r="E4358" t="s">
        <v>1445</v>
      </c>
      <c r="F4358" t="s">
        <v>1446</v>
      </c>
      <c r="G4358" t="s">
        <v>102</v>
      </c>
      <c r="H4358" t="s">
        <v>50</v>
      </c>
      <c r="I4358" t="s">
        <v>40</v>
      </c>
      <c r="J4358" t="s">
        <v>25</v>
      </c>
      <c r="K4358" t="s">
        <v>26</v>
      </c>
      <c r="L4358" t="s">
        <v>37</v>
      </c>
      <c r="M4358">
        <v>10</v>
      </c>
      <c r="N4358" s="2"/>
      <c r="O4358" s="3">
        <v>9971</v>
      </c>
      <c r="P4358">
        <v>0</v>
      </c>
      <c r="Q4358">
        <v>5</v>
      </c>
      <c r="R4358" t="s">
        <v>28</v>
      </c>
      <c r="S4358">
        <v>1</v>
      </c>
    </row>
    <row r="4359" spans="1:19" ht="16.5" x14ac:dyDescent="0.3">
      <c r="A4359" t="s">
        <v>4422</v>
      </c>
      <c r="B4359" s="1">
        <v>45864</v>
      </c>
      <c r="C4359" s="1">
        <v>45888</v>
      </c>
      <c r="D4359">
        <v>2025</v>
      </c>
      <c r="E4359" t="s">
        <v>1445</v>
      </c>
      <c r="F4359" t="s">
        <v>1446</v>
      </c>
      <c r="G4359" t="s">
        <v>102</v>
      </c>
      <c r="H4359" t="s">
        <v>50</v>
      </c>
      <c r="I4359" t="s">
        <v>24</v>
      </c>
      <c r="J4359" t="s">
        <v>43</v>
      </c>
      <c r="K4359" t="s">
        <v>26</v>
      </c>
      <c r="L4359" t="s">
        <v>27</v>
      </c>
      <c r="M4359">
        <v>24</v>
      </c>
      <c r="N4359" s="2">
        <v>14</v>
      </c>
      <c r="O4359" s="3">
        <v>25483</v>
      </c>
      <c r="P4359">
        <v>1</v>
      </c>
      <c r="Q4359">
        <v>5</v>
      </c>
      <c r="R4359" t="s">
        <v>33</v>
      </c>
      <c r="S4359">
        <v>1</v>
      </c>
    </row>
    <row r="4360" spans="1:19" ht="16.5" x14ac:dyDescent="0.3">
      <c r="A4360" t="s">
        <v>4423</v>
      </c>
      <c r="B4360" s="1">
        <v>45864</v>
      </c>
      <c r="C4360" s="1">
        <v>45867</v>
      </c>
      <c r="D4360">
        <v>2025</v>
      </c>
      <c r="E4360" t="s">
        <v>1445</v>
      </c>
      <c r="F4360" t="s">
        <v>1446</v>
      </c>
      <c r="G4360" t="s">
        <v>102</v>
      </c>
      <c r="H4360" t="s">
        <v>50</v>
      </c>
      <c r="I4360" t="s">
        <v>24</v>
      </c>
      <c r="J4360" t="s">
        <v>25</v>
      </c>
      <c r="K4360" t="s">
        <v>53</v>
      </c>
      <c r="L4360" t="s">
        <v>44</v>
      </c>
      <c r="M4360">
        <v>3</v>
      </c>
      <c r="N4360" s="2">
        <v>72</v>
      </c>
      <c r="O4360" s="3">
        <v>3079</v>
      </c>
      <c r="P4360">
        <v>0</v>
      </c>
      <c r="Q4360">
        <v>5</v>
      </c>
      <c r="R4360" t="s">
        <v>28</v>
      </c>
      <c r="S4360">
        <v>1</v>
      </c>
    </row>
    <row r="4361" spans="1:19" ht="16.5" x14ac:dyDescent="0.3">
      <c r="A4361" t="s">
        <v>4424</v>
      </c>
      <c r="B4361" s="1">
        <v>45864</v>
      </c>
      <c r="C4361" s="1">
        <v>45865</v>
      </c>
      <c r="D4361">
        <v>2025</v>
      </c>
      <c r="E4361" t="s">
        <v>1445</v>
      </c>
      <c r="F4361" t="s">
        <v>1446</v>
      </c>
      <c r="G4361" t="s">
        <v>102</v>
      </c>
      <c r="H4361" t="s">
        <v>30</v>
      </c>
      <c r="I4361" t="s">
        <v>40</v>
      </c>
      <c r="J4361" t="s">
        <v>25</v>
      </c>
      <c r="K4361" t="s">
        <v>53</v>
      </c>
      <c r="L4361" t="s">
        <v>44</v>
      </c>
      <c r="M4361">
        <v>1</v>
      </c>
      <c r="N4361" s="2"/>
      <c r="O4361" s="3">
        <v>2197</v>
      </c>
      <c r="P4361">
        <v>0</v>
      </c>
      <c r="Q4361">
        <v>5</v>
      </c>
      <c r="R4361" t="s">
        <v>33</v>
      </c>
      <c r="S4361">
        <v>1</v>
      </c>
    </row>
    <row r="4362" spans="1:19" ht="16.5" x14ac:dyDescent="0.3">
      <c r="A4362" t="s">
        <v>4425</v>
      </c>
      <c r="B4362" s="1">
        <v>45865</v>
      </c>
      <c r="C4362" s="1">
        <v>45875</v>
      </c>
      <c r="D4362">
        <v>2025</v>
      </c>
      <c r="E4362" t="s">
        <v>1445</v>
      </c>
      <c r="F4362" t="s">
        <v>1446</v>
      </c>
      <c r="G4362" t="s">
        <v>112</v>
      </c>
      <c r="H4362" t="s">
        <v>23</v>
      </c>
      <c r="I4362" t="s">
        <v>40</v>
      </c>
      <c r="J4362" t="s">
        <v>25</v>
      </c>
      <c r="K4362" t="s">
        <v>26</v>
      </c>
      <c r="L4362" t="s">
        <v>44</v>
      </c>
      <c r="M4362">
        <v>10</v>
      </c>
      <c r="N4362" s="2"/>
      <c r="O4362" s="3">
        <v>6161</v>
      </c>
      <c r="P4362">
        <v>0</v>
      </c>
      <c r="Q4362">
        <v>4</v>
      </c>
      <c r="R4362" t="s">
        <v>33</v>
      </c>
      <c r="S4362">
        <v>1</v>
      </c>
    </row>
    <row r="4363" spans="1:19" ht="16.5" x14ac:dyDescent="0.3">
      <c r="A4363" t="s">
        <v>4426</v>
      </c>
      <c r="B4363" s="1">
        <v>45865</v>
      </c>
      <c r="C4363" s="1">
        <v>45866</v>
      </c>
      <c r="D4363">
        <v>2025</v>
      </c>
      <c r="E4363" t="s">
        <v>1445</v>
      </c>
      <c r="F4363" t="s">
        <v>1446</v>
      </c>
      <c r="G4363" t="s">
        <v>112</v>
      </c>
      <c r="H4363" t="s">
        <v>35</v>
      </c>
      <c r="I4363" t="s">
        <v>40</v>
      </c>
      <c r="J4363" t="s">
        <v>25</v>
      </c>
      <c r="K4363" t="s">
        <v>32</v>
      </c>
      <c r="L4363" t="s">
        <v>44</v>
      </c>
      <c r="M4363">
        <v>1</v>
      </c>
      <c r="N4363" s="2"/>
      <c r="O4363" s="3">
        <v>1265</v>
      </c>
      <c r="P4363">
        <v>0</v>
      </c>
      <c r="Q4363">
        <v>4</v>
      </c>
      <c r="R4363" t="s">
        <v>33</v>
      </c>
      <c r="S4363">
        <v>1</v>
      </c>
    </row>
    <row r="4364" spans="1:19" ht="16.5" x14ac:dyDescent="0.3">
      <c r="A4364" t="s">
        <v>4427</v>
      </c>
      <c r="B4364" s="1">
        <v>45865</v>
      </c>
      <c r="C4364" s="1">
        <v>45867</v>
      </c>
      <c r="D4364">
        <v>2025</v>
      </c>
      <c r="E4364" t="s">
        <v>1445</v>
      </c>
      <c r="F4364" t="s">
        <v>1446</v>
      </c>
      <c r="G4364" t="s">
        <v>112</v>
      </c>
      <c r="H4364" t="s">
        <v>23</v>
      </c>
      <c r="I4364" t="s">
        <v>40</v>
      </c>
      <c r="J4364" t="s">
        <v>43</v>
      </c>
      <c r="K4364" t="s">
        <v>26</v>
      </c>
      <c r="L4364" t="s">
        <v>44</v>
      </c>
      <c r="M4364">
        <v>2</v>
      </c>
      <c r="N4364" s="2"/>
      <c r="O4364" s="3">
        <v>1486</v>
      </c>
      <c r="P4364">
        <v>1</v>
      </c>
      <c r="Q4364">
        <v>4</v>
      </c>
      <c r="R4364" t="s">
        <v>33</v>
      </c>
      <c r="S4364">
        <v>1</v>
      </c>
    </row>
    <row r="4365" spans="1:19" ht="16.5" x14ac:dyDescent="0.3">
      <c r="A4365" t="s">
        <v>4428</v>
      </c>
      <c r="B4365" s="1">
        <v>45865</v>
      </c>
      <c r="C4365" s="1">
        <v>45877</v>
      </c>
      <c r="D4365">
        <v>2025</v>
      </c>
      <c r="E4365" t="s">
        <v>1445</v>
      </c>
      <c r="F4365" t="s">
        <v>1446</v>
      </c>
      <c r="G4365" t="s">
        <v>112</v>
      </c>
      <c r="H4365" t="s">
        <v>23</v>
      </c>
      <c r="I4365" t="s">
        <v>24</v>
      </c>
      <c r="J4365" t="s">
        <v>25</v>
      </c>
      <c r="K4365" t="s">
        <v>26</v>
      </c>
      <c r="L4365" t="s">
        <v>27</v>
      </c>
      <c r="M4365">
        <v>12</v>
      </c>
      <c r="N4365" s="2">
        <v>40</v>
      </c>
      <c r="O4365" s="3">
        <v>12230</v>
      </c>
      <c r="P4365">
        <v>0</v>
      </c>
      <c r="Q4365">
        <v>4</v>
      </c>
      <c r="R4365" t="s">
        <v>33</v>
      </c>
      <c r="S4365">
        <v>1</v>
      </c>
    </row>
    <row r="4366" spans="1:19" ht="16.5" x14ac:dyDescent="0.3">
      <c r="A4366" t="s">
        <v>4429</v>
      </c>
      <c r="B4366" s="1">
        <v>45865</v>
      </c>
      <c r="C4366" s="1">
        <v>45866</v>
      </c>
      <c r="D4366">
        <v>2025</v>
      </c>
      <c r="E4366" t="s">
        <v>1445</v>
      </c>
      <c r="F4366" t="s">
        <v>1446</v>
      </c>
      <c r="G4366" t="s">
        <v>112</v>
      </c>
      <c r="H4366" t="s">
        <v>50</v>
      </c>
      <c r="I4366" t="s">
        <v>24</v>
      </c>
      <c r="J4366" t="s">
        <v>25</v>
      </c>
      <c r="K4366" t="s">
        <v>36</v>
      </c>
      <c r="L4366" t="s">
        <v>27</v>
      </c>
      <c r="M4366">
        <v>1</v>
      </c>
      <c r="N4366" s="2">
        <v>38</v>
      </c>
      <c r="O4366" s="3">
        <v>2085</v>
      </c>
      <c r="P4366">
        <v>0</v>
      </c>
      <c r="Q4366">
        <v>5</v>
      </c>
      <c r="R4366" t="s">
        <v>33</v>
      </c>
      <c r="S4366">
        <v>1</v>
      </c>
    </row>
    <row r="4367" spans="1:19" ht="16.5" x14ac:dyDescent="0.3">
      <c r="A4367" t="s">
        <v>4430</v>
      </c>
      <c r="B4367" s="1">
        <v>45866</v>
      </c>
      <c r="C4367" s="1">
        <v>45878</v>
      </c>
      <c r="D4367">
        <v>2025</v>
      </c>
      <c r="E4367" t="s">
        <v>1445</v>
      </c>
      <c r="F4367" t="s">
        <v>1446</v>
      </c>
      <c r="G4367" t="s">
        <v>22</v>
      </c>
      <c r="H4367" t="s">
        <v>52</v>
      </c>
      <c r="I4367" t="s">
        <v>40</v>
      </c>
      <c r="J4367" t="s">
        <v>43</v>
      </c>
      <c r="K4367" t="s">
        <v>53</v>
      </c>
      <c r="L4367" t="s">
        <v>44</v>
      </c>
      <c r="M4367">
        <v>12</v>
      </c>
      <c r="N4367" s="2"/>
      <c r="O4367" s="3">
        <v>12254</v>
      </c>
      <c r="P4367">
        <v>0</v>
      </c>
      <c r="Q4367">
        <v>5</v>
      </c>
      <c r="R4367" t="s">
        <v>33</v>
      </c>
      <c r="S4367">
        <v>1</v>
      </c>
    </row>
    <row r="4368" spans="1:19" ht="16.5" x14ac:dyDescent="0.3">
      <c r="A4368" t="s">
        <v>4431</v>
      </c>
      <c r="B4368" s="1">
        <v>45866</v>
      </c>
      <c r="C4368" s="1">
        <v>45869</v>
      </c>
      <c r="D4368">
        <v>2025</v>
      </c>
      <c r="E4368" t="s">
        <v>1445</v>
      </c>
      <c r="F4368" t="s">
        <v>1446</v>
      </c>
      <c r="G4368" t="s">
        <v>22</v>
      </c>
      <c r="H4368" t="s">
        <v>23</v>
      </c>
      <c r="I4368" t="s">
        <v>24</v>
      </c>
      <c r="J4368" t="s">
        <v>43</v>
      </c>
      <c r="K4368" t="s">
        <v>26</v>
      </c>
      <c r="L4368" t="s">
        <v>44</v>
      </c>
      <c r="M4368">
        <v>3</v>
      </c>
      <c r="N4368" s="2">
        <v>49</v>
      </c>
      <c r="O4368" s="3">
        <v>2890</v>
      </c>
      <c r="P4368">
        <v>0</v>
      </c>
      <c r="Q4368">
        <v>4</v>
      </c>
      <c r="R4368" t="s">
        <v>33</v>
      </c>
      <c r="S4368">
        <v>1</v>
      </c>
    </row>
    <row r="4369" spans="1:19" ht="16.5" x14ac:dyDescent="0.3">
      <c r="A4369" t="s">
        <v>4432</v>
      </c>
      <c r="B4369" s="1">
        <v>45866</v>
      </c>
      <c r="C4369" s="1">
        <v>45870</v>
      </c>
      <c r="D4369">
        <v>2025</v>
      </c>
      <c r="E4369" t="s">
        <v>1445</v>
      </c>
      <c r="F4369" t="s">
        <v>1446</v>
      </c>
      <c r="G4369" t="s">
        <v>22</v>
      </c>
      <c r="H4369" t="s">
        <v>50</v>
      </c>
      <c r="I4369" t="s">
        <v>24</v>
      </c>
      <c r="J4369" t="s">
        <v>43</v>
      </c>
      <c r="K4369" t="s">
        <v>36</v>
      </c>
      <c r="L4369" t="s">
        <v>44</v>
      </c>
      <c r="M4369">
        <v>4</v>
      </c>
      <c r="N4369" s="2">
        <v>67</v>
      </c>
      <c r="O4369" s="3">
        <v>4829</v>
      </c>
      <c r="P4369">
        <v>0</v>
      </c>
      <c r="Q4369">
        <v>5</v>
      </c>
      <c r="R4369" t="s">
        <v>28</v>
      </c>
      <c r="S4369">
        <v>1</v>
      </c>
    </row>
    <row r="4370" spans="1:19" ht="16.5" x14ac:dyDescent="0.3">
      <c r="A4370" t="s">
        <v>4433</v>
      </c>
      <c r="B4370" s="1">
        <v>45866</v>
      </c>
      <c r="C4370" s="1">
        <v>45875</v>
      </c>
      <c r="D4370">
        <v>2025</v>
      </c>
      <c r="E4370" t="s">
        <v>1445</v>
      </c>
      <c r="F4370" t="s">
        <v>1446</v>
      </c>
      <c r="G4370" t="s">
        <v>22</v>
      </c>
      <c r="H4370" t="s">
        <v>35</v>
      </c>
      <c r="I4370" t="s">
        <v>24</v>
      </c>
      <c r="J4370" t="s">
        <v>25</v>
      </c>
      <c r="K4370" t="s">
        <v>36</v>
      </c>
      <c r="L4370" t="s">
        <v>37</v>
      </c>
      <c r="M4370">
        <v>9</v>
      </c>
      <c r="N4370" s="2">
        <v>21</v>
      </c>
      <c r="O4370" s="3">
        <v>4098</v>
      </c>
      <c r="P4370">
        <v>0</v>
      </c>
      <c r="Q4370">
        <v>3</v>
      </c>
      <c r="R4370" t="s">
        <v>33</v>
      </c>
      <c r="S4370">
        <v>1</v>
      </c>
    </row>
    <row r="4371" spans="1:19" ht="16.5" x14ac:dyDescent="0.3">
      <c r="A4371" t="s">
        <v>4434</v>
      </c>
      <c r="B4371" s="1">
        <v>45866</v>
      </c>
      <c r="C4371" s="1">
        <v>45868</v>
      </c>
      <c r="D4371">
        <v>2025</v>
      </c>
      <c r="E4371" t="s">
        <v>1445</v>
      </c>
      <c r="F4371" t="s">
        <v>1446</v>
      </c>
      <c r="G4371" t="s">
        <v>22</v>
      </c>
      <c r="H4371" t="s">
        <v>52</v>
      </c>
      <c r="I4371" t="s">
        <v>40</v>
      </c>
      <c r="J4371" t="s">
        <v>43</v>
      </c>
      <c r="K4371" t="s">
        <v>26</v>
      </c>
      <c r="L4371" t="s">
        <v>44</v>
      </c>
      <c r="M4371">
        <v>2</v>
      </c>
      <c r="N4371" s="2"/>
      <c r="O4371" s="3">
        <v>3134</v>
      </c>
      <c r="P4371">
        <v>0</v>
      </c>
      <c r="Q4371">
        <v>5</v>
      </c>
      <c r="R4371" t="s">
        <v>28</v>
      </c>
      <c r="S4371">
        <v>1</v>
      </c>
    </row>
    <row r="4372" spans="1:19" ht="16.5" x14ac:dyDescent="0.3">
      <c r="A4372" t="s">
        <v>4435</v>
      </c>
      <c r="B4372" s="1">
        <v>45866</v>
      </c>
      <c r="C4372" s="1">
        <v>45868</v>
      </c>
      <c r="D4372">
        <v>2025</v>
      </c>
      <c r="E4372" t="s">
        <v>1445</v>
      </c>
      <c r="F4372" t="s">
        <v>1446</v>
      </c>
      <c r="G4372" t="s">
        <v>22</v>
      </c>
      <c r="H4372" t="s">
        <v>52</v>
      </c>
      <c r="I4372" t="s">
        <v>24</v>
      </c>
      <c r="J4372" t="s">
        <v>25</v>
      </c>
      <c r="K4372" t="s">
        <v>36</v>
      </c>
      <c r="L4372" t="s">
        <v>27</v>
      </c>
      <c r="M4372">
        <v>2</v>
      </c>
      <c r="N4372" s="2">
        <v>28</v>
      </c>
      <c r="O4372" s="3">
        <v>2394</v>
      </c>
      <c r="P4372">
        <v>0</v>
      </c>
      <c r="Q4372">
        <v>5</v>
      </c>
      <c r="R4372" t="s">
        <v>28</v>
      </c>
      <c r="S4372">
        <v>1</v>
      </c>
    </row>
    <row r="4373" spans="1:19" ht="16.5" x14ac:dyDescent="0.3">
      <c r="A4373" t="s">
        <v>4436</v>
      </c>
      <c r="B4373" s="1">
        <v>45866</v>
      </c>
      <c r="C4373" s="1">
        <v>45870</v>
      </c>
      <c r="D4373">
        <v>2025</v>
      </c>
      <c r="E4373" t="s">
        <v>1445</v>
      </c>
      <c r="F4373" t="s">
        <v>1446</v>
      </c>
      <c r="G4373" t="s">
        <v>22</v>
      </c>
      <c r="H4373" t="s">
        <v>39</v>
      </c>
      <c r="I4373" t="s">
        <v>40</v>
      </c>
      <c r="J4373" t="s">
        <v>25</v>
      </c>
      <c r="K4373" t="s">
        <v>41</v>
      </c>
      <c r="L4373" t="s">
        <v>27</v>
      </c>
      <c r="M4373">
        <v>4</v>
      </c>
      <c r="N4373" s="2"/>
      <c r="O4373" s="3">
        <v>3395</v>
      </c>
      <c r="P4373">
        <v>0</v>
      </c>
      <c r="Q4373">
        <v>4</v>
      </c>
      <c r="R4373" t="s">
        <v>33</v>
      </c>
      <c r="S4373">
        <v>1</v>
      </c>
    </row>
    <row r="4374" spans="1:19" ht="16.5" x14ac:dyDescent="0.3">
      <c r="A4374" t="s">
        <v>4437</v>
      </c>
      <c r="B4374" s="1">
        <v>45867</v>
      </c>
      <c r="C4374" s="1">
        <v>45871</v>
      </c>
      <c r="D4374">
        <v>2025</v>
      </c>
      <c r="E4374" t="s">
        <v>1445</v>
      </c>
      <c r="F4374" t="s">
        <v>1446</v>
      </c>
      <c r="G4374" t="s">
        <v>56</v>
      </c>
      <c r="H4374" t="s">
        <v>30</v>
      </c>
      <c r="I4374" t="s">
        <v>40</v>
      </c>
      <c r="J4374" t="s">
        <v>43</v>
      </c>
      <c r="K4374" t="s">
        <v>36</v>
      </c>
      <c r="L4374" t="s">
        <v>44</v>
      </c>
      <c r="M4374">
        <v>4</v>
      </c>
      <c r="N4374" s="2"/>
      <c r="O4374" s="3">
        <v>4669</v>
      </c>
      <c r="P4374">
        <v>0</v>
      </c>
      <c r="Q4374">
        <v>5</v>
      </c>
      <c r="R4374" t="s">
        <v>28</v>
      </c>
      <c r="S4374">
        <v>1</v>
      </c>
    </row>
    <row r="4375" spans="1:19" ht="16.5" x14ac:dyDescent="0.3">
      <c r="A4375" t="s">
        <v>4438</v>
      </c>
      <c r="B4375" s="1">
        <v>45867</v>
      </c>
      <c r="C4375" s="1">
        <v>45869</v>
      </c>
      <c r="D4375">
        <v>2025</v>
      </c>
      <c r="E4375" t="s">
        <v>1445</v>
      </c>
      <c r="F4375" t="s">
        <v>1446</v>
      </c>
      <c r="G4375" t="s">
        <v>56</v>
      </c>
      <c r="H4375" t="s">
        <v>52</v>
      </c>
      <c r="I4375" t="s">
        <v>40</v>
      </c>
      <c r="J4375" t="s">
        <v>43</v>
      </c>
      <c r="K4375" t="s">
        <v>32</v>
      </c>
      <c r="L4375" t="s">
        <v>44</v>
      </c>
      <c r="M4375">
        <v>2</v>
      </c>
      <c r="N4375" s="2"/>
      <c r="O4375" s="3">
        <v>1883</v>
      </c>
      <c r="P4375">
        <v>1</v>
      </c>
      <c r="Q4375">
        <v>5</v>
      </c>
      <c r="R4375" t="s">
        <v>59</v>
      </c>
      <c r="S4375">
        <v>1</v>
      </c>
    </row>
    <row r="4376" spans="1:19" ht="16.5" x14ac:dyDescent="0.3">
      <c r="A4376" t="s">
        <v>4439</v>
      </c>
      <c r="B4376" s="1">
        <v>45867</v>
      </c>
      <c r="C4376" s="1">
        <v>45868</v>
      </c>
      <c r="D4376">
        <v>2025</v>
      </c>
      <c r="E4376" t="s">
        <v>1445</v>
      </c>
      <c r="F4376" t="s">
        <v>1446</v>
      </c>
      <c r="G4376" t="s">
        <v>56</v>
      </c>
      <c r="H4376" t="s">
        <v>30</v>
      </c>
      <c r="I4376" t="s">
        <v>40</v>
      </c>
      <c r="J4376" t="s">
        <v>43</v>
      </c>
      <c r="K4376" t="s">
        <v>36</v>
      </c>
      <c r="L4376" t="s">
        <v>44</v>
      </c>
      <c r="M4376">
        <v>1</v>
      </c>
      <c r="N4376" s="2"/>
      <c r="O4376" s="3">
        <v>1500</v>
      </c>
      <c r="P4376">
        <v>0</v>
      </c>
      <c r="Q4376">
        <v>4</v>
      </c>
      <c r="R4376" t="s">
        <v>33</v>
      </c>
      <c r="S4376">
        <v>1</v>
      </c>
    </row>
    <row r="4377" spans="1:19" ht="16.5" x14ac:dyDescent="0.3">
      <c r="A4377" t="s">
        <v>4440</v>
      </c>
      <c r="B4377" s="1">
        <v>45867</v>
      </c>
      <c r="C4377" s="1">
        <v>45872</v>
      </c>
      <c r="D4377">
        <v>2025</v>
      </c>
      <c r="E4377" t="s">
        <v>1445</v>
      </c>
      <c r="F4377" t="s">
        <v>1446</v>
      </c>
      <c r="G4377" t="s">
        <v>56</v>
      </c>
      <c r="H4377" t="s">
        <v>35</v>
      </c>
      <c r="I4377" t="s">
        <v>24</v>
      </c>
      <c r="J4377" t="s">
        <v>25</v>
      </c>
      <c r="K4377" t="s">
        <v>36</v>
      </c>
      <c r="L4377" t="s">
        <v>44</v>
      </c>
      <c r="M4377">
        <v>5</v>
      </c>
      <c r="N4377" s="2">
        <v>27</v>
      </c>
      <c r="O4377" s="3">
        <v>5071</v>
      </c>
      <c r="P4377">
        <v>0</v>
      </c>
      <c r="Q4377">
        <v>4</v>
      </c>
      <c r="R4377" t="s">
        <v>33</v>
      </c>
      <c r="S4377">
        <v>1</v>
      </c>
    </row>
    <row r="4378" spans="1:19" ht="16.5" x14ac:dyDescent="0.3">
      <c r="A4378" t="s">
        <v>4441</v>
      </c>
      <c r="B4378" s="1">
        <v>45867</v>
      </c>
      <c r="C4378" s="1">
        <v>45878</v>
      </c>
      <c r="D4378">
        <v>2025</v>
      </c>
      <c r="E4378" t="s">
        <v>1445</v>
      </c>
      <c r="F4378" t="s">
        <v>1446</v>
      </c>
      <c r="G4378" t="s">
        <v>56</v>
      </c>
      <c r="H4378" t="s">
        <v>50</v>
      </c>
      <c r="I4378" t="s">
        <v>24</v>
      </c>
      <c r="J4378" t="s">
        <v>25</v>
      </c>
      <c r="K4378" t="s">
        <v>26</v>
      </c>
      <c r="L4378" t="s">
        <v>27</v>
      </c>
      <c r="M4378">
        <v>11</v>
      </c>
      <c r="N4378" s="2">
        <v>28</v>
      </c>
      <c r="O4378" s="3">
        <v>13376</v>
      </c>
      <c r="P4378">
        <v>0</v>
      </c>
      <c r="Q4378">
        <v>5</v>
      </c>
      <c r="R4378" t="s">
        <v>28</v>
      </c>
      <c r="S4378">
        <v>1</v>
      </c>
    </row>
    <row r="4379" spans="1:19" ht="16.5" x14ac:dyDescent="0.3">
      <c r="A4379" t="s">
        <v>4442</v>
      </c>
      <c r="B4379" s="1">
        <v>45868</v>
      </c>
      <c r="C4379" s="1">
        <v>45869</v>
      </c>
      <c r="D4379">
        <v>2025</v>
      </c>
      <c r="E4379" t="s">
        <v>1445</v>
      </c>
      <c r="F4379" t="s">
        <v>1446</v>
      </c>
      <c r="G4379" t="s">
        <v>70</v>
      </c>
      <c r="H4379" t="s">
        <v>35</v>
      </c>
      <c r="I4379" t="s">
        <v>24</v>
      </c>
      <c r="J4379" t="s">
        <v>25</v>
      </c>
      <c r="K4379" t="s">
        <v>36</v>
      </c>
      <c r="L4379" t="s">
        <v>44</v>
      </c>
      <c r="M4379">
        <v>1</v>
      </c>
      <c r="N4379" s="2">
        <v>87</v>
      </c>
      <c r="O4379" s="3">
        <v>1110</v>
      </c>
      <c r="P4379">
        <v>0</v>
      </c>
      <c r="Q4379">
        <v>3</v>
      </c>
      <c r="R4379" t="s">
        <v>28</v>
      </c>
      <c r="S4379">
        <v>1</v>
      </c>
    </row>
    <row r="4380" spans="1:19" ht="16.5" x14ac:dyDescent="0.3">
      <c r="A4380" t="s">
        <v>4443</v>
      </c>
      <c r="B4380" s="1">
        <v>45868</v>
      </c>
      <c r="C4380" s="1">
        <v>45875</v>
      </c>
      <c r="D4380">
        <v>2025</v>
      </c>
      <c r="E4380" t="s">
        <v>1445</v>
      </c>
      <c r="F4380" t="s">
        <v>1446</v>
      </c>
      <c r="G4380" t="s">
        <v>70</v>
      </c>
      <c r="H4380" t="s">
        <v>50</v>
      </c>
      <c r="I4380" t="s">
        <v>40</v>
      </c>
      <c r="J4380" t="s">
        <v>43</v>
      </c>
      <c r="K4380" t="s">
        <v>26</v>
      </c>
      <c r="L4380" t="s">
        <v>27</v>
      </c>
      <c r="M4380">
        <v>7</v>
      </c>
      <c r="N4380" s="2"/>
      <c r="O4380" s="3">
        <v>7883</v>
      </c>
      <c r="P4380">
        <v>0</v>
      </c>
      <c r="Q4380">
        <v>5</v>
      </c>
      <c r="R4380" t="s">
        <v>59</v>
      </c>
      <c r="S4380">
        <v>1</v>
      </c>
    </row>
    <row r="4381" spans="1:19" ht="16.5" x14ac:dyDescent="0.3">
      <c r="A4381" t="s">
        <v>4444</v>
      </c>
      <c r="B4381" s="1">
        <v>45868</v>
      </c>
      <c r="C4381" s="1">
        <v>45875</v>
      </c>
      <c r="D4381">
        <v>2025</v>
      </c>
      <c r="E4381" t="s">
        <v>1445</v>
      </c>
      <c r="F4381" t="s">
        <v>1446</v>
      </c>
      <c r="G4381" t="s">
        <v>70</v>
      </c>
      <c r="H4381" t="s">
        <v>50</v>
      </c>
      <c r="I4381" t="s">
        <v>40</v>
      </c>
      <c r="J4381" t="s">
        <v>25</v>
      </c>
      <c r="K4381" t="s">
        <v>32</v>
      </c>
      <c r="L4381" t="s">
        <v>37</v>
      </c>
      <c r="M4381">
        <v>7</v>
      </c>
      <c r="N4381" s="2"/>
      <c r="O4381" s="3">
        <v>8955</v>
      </c>
      <c r="P4381">
        <v>0</v>
      </c>
      <c r="Q4381">
        <v>4</v>
      </c>
      <c r="R4381" t="s">
        <v>33</v>
      </c>
      <c r="S4381">
        <v>1</v>
      </c>
    </row>
    <row r="4382" spans="1:19" ht="16.5" x14ac:dyDescent="0.3">
      <c r="A4382" t="s">
        <v>4445</v>
      </c>
      <c r="B4382" s="1">
        <v>45868</v>
      </c>
      <c r="C4382" s="1">
        <v>45872</v>
      </c>
      <c r="D4382">
        <v>2025</v>
      </c>
      <c r="E4382" t="s">
        <v>1445</v>
      </c>
      <c r="F4382" t="s">
        <v>1446</v>
      </c>
      <c r="G4382" t="s">
        <v>70</v>
      </c>
      <c r="H4382" t="s">
        <v>30</v>
      </c>
      <c r="I4382" t="s">
        <v>24</v>
      </c>
      <c r="J4382" t="s">
        <v>43</v>
      </c>
      <c r="K4382" t="s">
        <v>32</v>
      </c>
      <c r="L4382" t="s">
        <v>44</v>
      </c>
      <c r="M4382">
        <v>4</v>
      </c>
      <c r="N4382" s="2">
        <v>25</v>
      </c>
      <c r="O4382" s="3">
        <v>4175</v>
      </c>
      <c r="P4382">
        <v>0</v>
      </c>
      <c r="Q4382">
        <v>4</v>
      </c>
      <c r="R4382" t="s">
        <v>59</v>
      </c>
      <c r="S4382">
        <v>1</v>
      </c>
    </row>
    <row r="4383" spans="1:19" ht="16.5" x14ac:dyDescent="0.3">
      <c r="A4383" t="s">
        <v>4446</v>
      </c>
      <c r="B4383" s="1">
        <v>45869</v>
      </c>
      <c r="C4383" s="1">
        <v>45872</v>
      </c>
      <c r="D4383">
        <v>2025</v>
      </c>
      <c r="E4383" t="s">
        <v>1445</v>
      </c>
      <c r="F4383" t="s">
        <v>1446</v>
      </c>
      <c r="G4383" t="s">
        <v>78</v>
      </c>
      <c r="H4383" t="s">
        <v>39</v>
      </c>
      <c r="I4383" t="s">
        <v>24</v>
      </c>
      <c r="J4383" t="s">
        <v>43</v>
      </c>
      <c r="K4383" t="s">
        <v>41</v>
      </c>
      <c r="L4383" t="s">
        <v>27</v>
      </c>
      <c r="M4383">
        <v>3</v>
      </c>
      <c r="N4383" s="2">
        <v>29</v>
      </c>
      <c r="O4383" s="3">
        <v>2649</v>
      </c>
      <c r="P4383">
        <v>0</v>
      </c>
      <c r="Q4383">
        <v>5</v>
      </c>
      <c r="R4383" t="s">
        <v>33</v>
      </c>
      <c r="S4383">
        <v>1</v>
      </c>
    </row>
    <row r="4384" spans="1:19" ht="16.5" x14ac:dyDescent="0.3">
      <c r="A4384" t="s">
        <v>4447</v>
      </c>
      <c r="B4384" s="1">
        <v>45869</v>
      </c>
      <c r="C4384" s="1">
        <v>45872</v>
      </c>
      <c r="D4384">
        <v>2025</v>
      </c>
      <c r="E4384" t="s">
        <v>1445</v>
      </c>
      <c r="F4384" t="s">
        <v>1446</v>
      </c>
      <c r="G4384" t="s">
        <v>78</v>
      </c>
      <c r="H4384" t="s">
        <v>35</v>
      </c>
      <c r="I4384" t="s">
        <v>24</v>
      </c>
      <c r="J4384" t="s">
        <v>25</v>
      </c>
      <c r="K4384" t="s">
        <v>36</v>
      </c>
      <c r="L4384" t="s">
        <v>44</v>
      </c>
      <c r="M4384">
        <v>3</v>
      </c>
      <c r="N4384" s="2">
        <v>21</v>
      </c>
      <c r="O4384" s="3">
        <v>2690</v>
      </c>
      <c r="P4384">
        <v>0</v>
      </c>
      <c r="Q4384">
        <v>4</v>
      </c>
      <c r="R4384" t="s">
        <v>33</v>
      </c>
      <c r="S4384">
        <v>1</v>
      </c>
    </row>
    <row r="4385" spans="1:19" ht="16.5" x14ac:dyDescent="0.3">
      <c r="A4385" t="s">
        <v>4448</v>
      </c>
      <c r="B4385" s="1">
        <v>45869</v>
      </c>
      <c r="C4385" s="1">
        <v>45881</v>
      </c>
      <c r="D4385">
        <v>2025</v>
      </c>
      <c r="E4385" t="s">
        <v>1445</v>
      </c>
      <c r="F4385" t="s">
        <v>1446</v>
      </c>
      <c r="G4385" t="s">
        <v>78</v>
      </c>
      <c r="H4385" t="s">
        <v>50</v>
      </c>
      <c r="I4385" t="s">
        <v>24</v>
      </c>
      <c r="J4385" t="s">
        <v>25</v>
      </c>
      <c r="K4385" t="s">
        <v>26</v>
      </c>
      <c r="L4385" t="s">
        <v>44</v>
      </c>
      <c r="M4385">
        <v>12</v>
      </c>
      <c r="N4385" s="2">
        <v>18</v>
      </c>
      <c r="O4385" s="3">
        <v>15027</v>
      </c>
      <c r="P4385">
        <v>0</v>
      </c>
      <c r="Q4385">
        <v>5</v>
      </c>
      <c r="R4385" t="s">
        <v>33</v>
      </c>
      <c r="S4385">
        <v>1</v>
      </c>
    </row>
    <row r="4386" spans="1:19" ht="16.5" x14ac:dyDescent="0.3">
      <c r="A4386" t="s">
        <v>4449</v>
      </c>
      <c r="B4386" s="1">
        <v>45869</v>
      </c>
      <c r="C4386" s="1">
        <v>45873</v>
      </c>
      <c r="D4386">
        <v>2025</v>
      </c>
      <c r="E4386" t="s">
        <v>1445</v>
      </c>
      <c r="F4386" t="s">
        <v>1446</v>
      </c>
      <c r="G4386" t="s">
        <v>78</v>
      </c>
      <c r="H4386" t="s">
        <v>52</v>
      </c>
      <c r="I4386" t="s">
        <v>40</v>
      </c>
      <c r="J4386" t="s">
        <v>43</v>
      </c>
      <c r="K4386" t="s">
        <v>26</v>
      </c>
      <c r="L4386" t="s">
        <v>44</v>
      </c>
      <c r="M4386">
        <v>4</v>
      </c>
      <c r="N4386" s="2"/>
      <c r="O4386" s="3">
        <v>3605</v>
      </c>
      <c r="P4386">
        <v>0</v>
      </c>
      <c r="Q4386">
        <v>3</v>
      </c>
      <c r="R4386" t="s">
        <v>33</v>
      </c>
      <c r="S4386">
        <v>1</v>
      </c>
    </row>
    <row r="4387" spans="1:19" ht="16.5" x14ac:dyDescent="0.3">
      <c r="A4387" t="s">
        <v>4450</v>
      </c>
      <c r="B4387" s="1">
        <v>45869</v>
      </c>
      <c r="C4387" s="1">
        <v>45876</v>
      </c>
      <c r="D4387">
        <v>2025</v>
      </c>
      <c r="E4387" t="s">
        <v>1445</v>
      </c>
      <c r="F4387" t="s">
        <v>1446</v>
      </c>
      <c r="G4387" t="s">
        <v>78</v>
      </c>
      <c r="H4387" t="s">
        <v>23</v>
      </c>
      <c r="I4387" t="s">
        <v>40</v>
      </c>
      <c r="J4387" t="s">
        <v>43</v>
      </c>
      <c r="K4387" t="s">
        <v>53</v>
      </c>
      <c r="L4387" t="s">
        <v>27</v>
      </c>
      <c r="M4387">
        <v>7</v>
      </c>
      <c r="N4387" s="2"/>
      <c r="O4387" s="3">
        <v>6155</v>
      </c>
      <c r="P4387">
        <v>0</v>
      </c>
      <c r="Q4387">
        <v>5</v>
      </c>
      <c r="R4387" t="s">
        <v>28</v>
      </c>
      <c r="S4387">
        <v>1</v>
      </c>
    </row>
    <row r="4388" spans="1:19" ht="16.5" x14ac:dyDescent="0.3">
      <c r="A4388" t="s">
        <v>4451</v>
      </c>
      <c r="B4388" s="1">
        <v>45869</v>
      </c>
      <c r="C4388" s="1">
        <v>45873</v>
      </c>
      <c r="D4388">
        <v>2025</v>
      </c>
      <c r="E4388" t="s">
        <v>1445</v>
      </c>
      <c r="F4388" t="s">
        <v>1446</v>
      </c>
      <c r="G4388" t="s">
        <v>78</v>
      </c>
      <c r="H4388" t="s">
        <v>52</v>
      </c>
      <c r="I4388" t="s">
        <v>40</v>
      </c>
      <c r="J4388" t="s">
        <v>43</v>
      </c>
      <c r="K4388" t="s">
        <v>26</v>
      </c>
      <c r="L4388" t="s">
        <v>44</v>
      </c>
      <c r="M4388">
        <v>4</v>
      </c>
      <c r="N4388" s="2"/>
      <c r="O4388" s="3">
        <v>4271</v>
      </c>
      <c r="P4388">
        <v>0</v>
      </c>
      <c r="Q4388">
        <v>4</v>
      </c>
      <c r="R4388" t="s">
        <v>33</v>
      </c>
      <c r="S4388">
        <v>1</v>
      </c>
    </row>
    <row r="4389" spans="1:19" ht="16.5" x14ac:dyDescent="0.3">
      <c r="A4389" t="s">
        <v>4452</v>
      </c>
      <c r="B4389" s="1">
        <v>45869</v>
      </c>
      <c r="C4389" s="1">
        <v>45872</v>
      </c>
      <c r="D4389">
        <v>2025</v>
      </c>
      <c r="E4389" t="s">
        <v>1445</v>
      </c>
      <c r="F4389" t="s">
        <v>1446</v>
      </c>
      <c r="G4389" t="s">
        <v>78</v>
      </c>
      <c r="H4389" t="s">
        <v>30</v>
      </c>
      <c r="I4389" t="s">
        <v>31</v>
      </c>
      <c r="J4389" t="s">
        <v>43</v>
      </c>
      <c r="K4389" t="s">
        <v>32</v>
      </c>
      <c r="L4389" t="s">
        <v>27</v>
      </c>
      <c r="M4389">
        <v>3</v>
      </c>
      <c r="N4389" s="2"/>
      <c r="O4389" s="3">
        <v>3724</v>
      </c>
      <c r="P4389">
        <v>0</v>
      </c>
      <c r="Q4389">
        <v>4</v>
      </c>
      <c r="R4389" t="s">
        <v>28</v>
      </c>
      <c r="S4389">
        <v>1</v>
      </c>
    </row>
    <row r="4390" spans="1:19" ht="16.5" x14ac:dyDescent="0.3">
      <c r="A4390" t="s">
        <v>4453</v>
      </c>
      <c r="B4390" s="1">
        <v>45870</v>
      </c>
      <c r="C4390" s="1">
        <v>45888</v>
      </c>
      <c r="D4390">
        <v>2025</v>
      </c>
      <c r="E4390" t="s">
        <v>1445</v>
      </c>
      <c r="F4390" t="s">
        <v>1651</v>
      </c>
      <c r="G4390" t="s">
        <v>83</v>
      </c>
      <c r="H4390" t="s">
        <v>23</v>
      </c>
      <c r="I4390" t="s">
        <v>24</v>
      </c>
      <c r="J4390" t="s">
        <v>25</v>
      </c>
      <c r="K4390" t="s">
        <v>36</v>
      </c>
      <c r="L4390" t="s">
        <v>27</v>
      </c>
      <c r="M4390">
        <v>18</v>
      </c>
      <c r="N4390" s="2">
        <v>35</v>
      </c>
      <c r="O4390" s="3">
        <v>13251</v>
      </c>
      <c r="P4390">
        <v>0</v>
      </c>
      <c r="Q4390">
        <v>5</v>
      </c>
      <c r="R4390" t="s">
        <v>33</v>
      </c>
      <c r="S4390">
        <v>1</v>
      </c>
    </row>
    <row r="4391" spans="1:19" ht="16.5" x14ac:dyDescent="0.3">
      <c r="A4391" t="s">
        <v>4454</v>
      </c>
      <c r="B4391" s="1">
        <v>45870</v>
      </c>
      <c r="C4391" s="1">
        <v>45876</v>
      </c>
      <c r="D4391">
        <v>2025</v>
      </c>
      <c r="E4391" t="s">
        <v>1445</v>
      </c>
      <c r="F4391" t="s">
        <v>1651</v>
      </c>
      <c r="G4391" t="s">
        <v>83</v>
      </c>
      <c r="H4391" t="s">
        <v>30</v>
      </c>
      <c r="I4391" t="s">
        <v>40</v>
      </c>
      <c r="J4391" t="s">
        <v>25</v>
      </c>
      <c r="K4391" t="s">
        <v>53</v>
      </c>
      <c r="L4391" t="s">
        <v>44</v>
      </c>
      <c r="M4391">
        <v>6</v>
      </c>
      <c r="N4391" s="2"/>
      <c r="O4391" s="3">
        <v>5059</v>
      </c>
      <c r="P4391">
        <v>0</v>
      </c>
      <c r="Q4391">
        <v>5</v>
      </c>
      <c r="R4391" t="s">
        <v>28</v>
      </c>
      <c r="S4391">
        <v>1</v>
      </c>
    </row>
    <row r="4392" spans="1:19" ht="16.5" x14ac:dyDescent="0.3">
      <c r="A4392" t="s">
        <v>4455</v>
      </c>
      <c r="B4392" s="1">
        <v>45870</v>
      </c>
      <c r="C4392" s="1">
        <v>45877</v>
      </c>
      <c r="D4392">
        <v>2025</v>
      </c>
      <c r="E4392" t="s">
        <v>1445</v>
      </c>
      <c r="F4392" t="s">
        <v>1651</v>
      </c>
      <c r="G4392" t="s">
        <v>83</v>
      </c>
      <c r="H4392" t="s">
        <v>30</v>
      </c>
      <c r="I4392" t="s">
        <v>24</v>
      </c>
      <c r="J4392" t="s">
        <v>25</v>
      </c>
      <c r="K4392" t="s">
        <v>53</v>
      </c>
      <c r="L4392" t="s">
        <v>44</v>
      </c>
      <c r="M4392">
        <v>7</v>
      </c>
      <c r="N4392" s="2">
        <v>69</v>
      </c>
      <c r="O4392" s="3">
        <v>5580</v>
      </c>
      <c r="P4392">
        <v>0</v>
      </c>
      <c r="Q4392">
        <v>5</v>
      </c>
      <c r="R4392" t="s">
        <v>33</v>
      </c>
      <c r="S4392">
        <v>1</v>
      </c>
    </row>
    <row r="4393" spans="1:19" ht="16.5" x14ac:dyDescent="0.3">
      <c r="A4393" t="s">
        <v>4456</v>
      </c>
      <c r="B4393" s="1">
        <v>45870</v>
      </c>
      <c r="C4393" s="1">
        <v>45874</v>
      </c>
      <c r="D4393">
        <v>2025</v>
      </c>
      <c r="E4393" t="s">
        <v>1445</v>
      </c>
      <c r="F4393" t="s">
        <v>1651</v>
      </c>
      <c r="G4393" t="s">
        <v>83</v>
      </c>
      <c r="H4393" t="s">
        <v>35</v>
      </c>
      <c r="I4393" t="s">
        <v>40</v>
      </c>
      <c r="J4393" t="s">
        <v>25</v>
      </c>
      <c r="K4393" t="s">
        <v>36</v>
      </c>
      <c r="L4393" t="s">
        <v>44</v>
      </c>
      <c r="M4393">
        <v>4</v>
      </c>
      <c r="N4393" s="2"/>
      <c r="O4393" s="3">
        <v>3181</v>
      </c>
      <c r="P4393">
        <v>0</v>
      </c>
      <c r="Q4393">
        <v>4</v>
      </c>
      <c r="R4393" t="s">
        <v>33</v>
      </c>
      <c r="S4393">
        <v>1</v>
      </c>
    </row>
    <row r="4394" spans="1:19" ht="16.5" x14ac:dyDescent="0.3">
      <c r="A4394" t="s">
        <v>4457</v>
      </c>
      <c r="B4394" s="1">
        <v>45870</v>
      </c>
      <c r="C4394" s="1">
        <v>45875</v>
      </c>
      <c r="D4394">
        <v>2025</v>
      </c>
      <c r="E4394" t="s">
        <v>1445</v>
      </c>
      <c r="F4394" t="s">
        <v>1651</v>
      </c>
      <c r="G4394" t="s">
        <v>83</v>
      </c>
      <c r="H4394" t="s">
        <v>39</v>
      </c>
      <c r="I4394" t="s">
        <v>40</v>
      </c>
      <c r="J4394" t="s">
        <v>25</v>
      </c>
      <c r="K4394" t="s">
        <v>41</v>
      </c>
      <c r="L4394" t="s">
        <v>27</v>
      </c>
      <c r="M4394">
        <v>5</v>
      </c>
      <c r="N4394" s="2"/>
      <c r="O4394" s="3">
        <v>4955</v>
      </c>
      <c r="P4394">
        <v>0</v>
      </c>
      <c r="Q4394">
        <v>4</v>
      </c>
      <c r="R4394" t="s">
        <v>28</v>
      </c>
      <c r="S4394">
        <v>1</v>
      </c>
    </row>
    <row r="4395" spans="1:19" ht="16.5" x14ac:dyDescent="0.3">
      <c r="A4395" t="s">
        <v>4458</v>
      </c>
      <c r="B4395" s="1">
        <v>45870</v>
      </c>
      <c r="C4395" s="1">
        <v>45873</v>
      </c>
      <c r="D4395">
        <v>2025</v>
      </c>
      <c r="E4395" t="s">
        <v>1445</v>
      </c>
      <c r="F4395" t="s">
        <v>1651</v>
      </c>
      <c r="G4395" t="s">
        <v>83</v>
      </c>
      <c r="H4395" t="s">
        <v>52</v>
      </c>
      <c r="I4395" t="s">
        <v>40</v>
      </c>
      <c r="J4395" t="s">
        <v>43</v>
      </c>
      <c r="K4395" t="s">
        <v>32</v>
      </c>
      <c r="L4395" t="s">
        <v>44</v>
      </c>
      <c r="M4395">
        <v>3</v>
      </c>
      <c r="N4395" s="2"/>
      <c r="O4395" s="3">
        <v>3944</v>
      </c>
      <c r="P4395">
        <v>0</v>
      </c>
      <c r="Q4395">
        <v>5</v>
      </c>
      <c r="R4395" t="s">
        <v>28</v>
      </c>
      <c r="S4395">
        <v>1</v>
      </c>
    </row>
    <row r="4396" spans="1:19" ht="16.5" x14ac:dyDescent="0.3">
      <c r="A4396" t="s">
        <v>4459</v>
      </c>
      <c r="B4396" s="1">
        <v>45870</v>
      </c>
      <c r="C4396" s="1">
        <v>45871</v>
      </c>
      <c r="D4396">
        <v>2025</v>
      </c>
      <c r="E4396" t="s">
        <v>1445</v>
      </c>
      <c r="F4396" t="s">
        <v>1651</v>
      </c>
      <c r="G4396" t="s">
        <v>83</v>
      </c>
      <c r="H4396" t="s">
        <v>35</v>
      </c>
      <c r="I4396" t="s">
        <v>24</v>
      </c>
      <c r="J4396" t="s">
        <v>25</v>
      </c>
      <c r="K4396" t="s">
        <v>32</v>
      </c>
      <c r="L4396" t="s">
        <v>44</v>
      </c>
      <c r="M4396">
        <v>1</v>
      </c>
      <c r="N4396" s="2">
        <v>54</v>
      </c>
      <c r="O4396" s="3">
        <v>1573</v>
      </c>
      <c r="P4396">
        <v>0</v>
      </c>
      <c r="Q4396">
        <v>4</v>
      </c>
      <c r="R4396" t="s">
        <v>33</v>
      </c>
      <c r="S4396">
        <v>1</v>
      </c>
    </row>
    <row r="4397" spans="1:19" ht="16.5" x14ac:dyDescent="0.3">
      <c r="A4397" t="s">
        <v>4460</v>
      </c>
      <c r="B4397" s="1">
        <v>45870</v>
      </c>
      <c r="C4397" s="1">
        <v>45878</v>
      </c>
      <c r="D4397">
        <v>2025</v>
      </c>
      <c r="E4397" t="s">
        <v>1445</v>
      </c>
      <c r="F4397" t="s">
        <v>1651</v>
      </c>
      <c r="G4397" t="s">
        <v>83</v>
      </c>
      <c r="H4397" t="s">
        <v>39</v>
      </c>
      <c r="I4397" t="s">
        <v>24</v>
      </c>
      <c r="J4397" t="s">
        <v>25</v>
      </c>
      <c r="K4397" t="s">
        <v>41</v>
      </c>
      <c r="L4397" t="s">
        <v>27</v>
      </c>
      <c r="M4397">
        <v>8</v>
      </c>
      <c r="N4397" s="2">
        <v>23</v>
      </c>
      <c r="O4397" s="3">
        <v>4915</v>
      </c>
      <c r="P4397">
        <v>0</v>
      </c>
      <c r="Q4397">
        <v>5</v>
      </c>
      <c r="R4397" t="s">
        <v>33</v>
      </c>
      <c r="S4397">
        <v>1</v>
      </c>
    </row>
    <row r="4398" spans="1:19" ht="16.5" x14ac:dyDescent="0.3">
      <c r="A4398" t="s">
        <v>4461</v>
      </c>
      <c r="B4398" s="1">
        <v>45870</v>
      </c>
      <c r="C4398" s="1">
        <v>45871</v>
      </c>
      <c r="D4398">
        <v>2025</v>
      </c>
      <c r="E4398" t="s">
        <v>1445</v>
      </c>
      <c r="F4398" t="s">
        <v>1651</v>
      </c>
      <c r="G4398" t="s">
        <v>83</v>
      </c>
      <c r="H4398" t="s">
        <v>52</v>
      </c>
      <c r="I4398" t="s">
        <v>40</v>
      </c>
      <c r="J4398" t="s">
        <v>43</v>
      </c>
      <c r="K4398" t="s">
        <v>26</v>
      </c>
      <c r="L4398" t="s">
        <v>37</v>
      </c>
      <c r="M4398">
        <v>1</v>
      </c>
      <c r="N4398" s="2"/>
      <c r="O4398" s="3">
        <v>1744</v>
      </c>
      <c r="P4398">
        <v>0</v>
      </c>
      <c r="Q4398">
        <v>5</v>
      </c>
      <c r="R4398" t="s">
        <v>28</v>
      </c>
      <c r="S4398">
        <v>1</v>
      </c>
    </row>
    <row r="4399" spans="1:19" ht="16.5" x14ac:dyDescent="0.3">
      <c r="A4399" t="s">
        <v>4462</v>
      </c>
      <c r="B4399" s="1">
        <v>45870</v>
      </c>
      <c r="C4399" s="1">
        <v>45872</v>
      </c>
      <c r="D4399">
        <v>2025</v>
      </c>
      <c r="E4399" t="s">
        <v>1445</v>
      </c>
      <c r="F4399" t="s">
        <v>1651</v>
      </c>
      <c r="G4399" t="s">
        <v>83</v>
      </c>
      <c r="H4399" t="s">
        <v>52</v>
      </c>
      <c r="I4399" t="s">
        <v>24</v>
      </c>
      <c r="J4399" t="s">
        <v>43</v>
      </c>
      <c r="K4399" t="s">
        <v>26</v>
      </c>
      <c r="L4399" t="s">
        <v>27</v>
      </c>
      <c r="M4399">
        <v>2</v>
      </c>
      <c r="N4399" s="2">
        <v>35</v>
      </c>
      <c r="O4399" s="3">
        <v>2704</v>
      </c>
      <c r="P4399">
        <v>0</v>
      </c>
      <c r="Q4399">
        <v>5</v>
      </c>
      <c r="R4399" t="s">
        <v>28</v>
      </c>
      <c r="S4399">
        <v>1</v>
      </c>
    </row>
    <row r="4400" spans="1:19" ht="16.5" x14ac:dyDescent="0.3">
      <c r="A4400" t="s">
        <v>4463</v>
      </c>
      <c r="B4400" s="1">
        <v>45871</v>
      </c>
      <c r="C4400" s="1">
        <v>45873</v>
      </c>
      <c r="D4400">
        <v>2025</v>
      </c>
      <c r="E4400" t="s">
        <v>1445</v>
      </c>
      <c r="F4400" t="s">
        <v>1651</v>
      </c>
      <c r="G4400" t="s">
        <v>102</v>
      </c>
      <c r="H4400" t="s">
        <v>35</v>
      </c>
      <c r="I4400" t="s">
        <v>31</v>
      </c>
      <c r="J4400" t="s">
        <v>25</v>
      </c>
      <c r="K4400" t="s">
        <v>36</v>
      </c>
      <c r="L4400" t="s">
        <v>44</v>
      </c>
      <c r="M4400">
        <v>2</v>
      </c>
      <c r="N4400" s="2"/>
      <c r="O4400" s="3">
        <v>2582</v>
      </c>
      <c r="P4400">
        <v>0</v>
      </c>
      <c r="Q4400">
        <v>4</v>
      </c>
      <c r="R4400" t="s">
        <v>33</v>
      </c>
      <c r="S4400">
        <v>1</v>
      </c>
    </row>
    <row r="4401" spans="1:19" ht="16.5" x14ac:dyDescent="0.3">
      <c r="A4401" t="s">
        <v>4464</v>
      </c>
      <c r="B4401" s="1">
        <v>45871</v>
      </c>
      <c r="C4401" s="1">
        <v>45873</v>
      </c>
      <c r="D4401">
        <v>2025</v>
      </c>
      <c r="E4401" t="s">
        <v>1445</v>
      </c>
      <c r="F4401" t="s">
        <v>1651</v>
      </c>
      <c r="G4401" t="s">
        <v>102</v>
      </c>
      <c r="H4401" t="s">
        <v>39</v>
      </c>
      <c r="I4401" t="s">
        <v>40</v>
      </c>
      <c r="J4401" t="s">
        <v>25</v>
      </c>
      <c r="K4401" t="s">
        <v>41</v>
      </c>
      <c r="L4401" t="s">
        <v>44</v>
      </c>
      <c r="M4401">
        <v>2</v>
      </c>
      <c r="N4401" s="2"/>
      <c r="O4401" s="3">
        <v>2029</v>
      </c>
      <c r="P4401">
        <v>0</v>
      </c>
      <c r="Q4401">
        <v>4</v>
      </c>
      <c r="R4401" t="s">
        <v>33</v>
      </c>
      <c r="S4401">
        <v>1</v>
      </c>
    </row>
    <row r="4402" spans="1:19" ht="16.5" x14ac:dyDescent="0.3">
      <c r="A4402" t="s">
        <v>4465</v>
      </c>
      <c r="B4402" s="1">
        <v>45871</v>
      </c>
      <c r="C4402" s="1">
        <v>45877</v>
      </c>
      <c r="D4402">
        <v>2025</v>
      </c>
      <c r="E4402" t="s">
        <v>1445</v>
      </c>
      <c r="F4402" t="s">
        <v>1651</v>
      </c>
      <c r="G4402" t="s">
        <v>102</v>
      </c>
      <c r="H4402" t="s">
        <v>23</v>
      </c>
      <c r="I4402" t="s">
        <v>24</v>
      </c>
      <c r="J4402" t="s">
        <v>43</v>
      </c>
      <c r="K4402" t="s">
        <v>36</v>
      </c>
      <c r="L4402" t="s">
        <v>44</v>
      </c>
      <c r="M4402">
        <v>6</v>
      </c>
      <c r="N4402" s="2">
        <v>81</v>
      </c>
      <c r="O4402" s="3">
        <v>3468</v>
      </c>
      <c r="P4402">
        <v>0</v>
      </c>
      <c r="Q4402">
        <v>4</v>
      </c>
      <c r="R4402" t="s">
        <v>33</v>
      </c>
      <c r="S4402">
        <v>1</v>
      </c>
    </row>
    <row r="4403" spans="1:19" ht="16.5" x14ac:dyDescent="0.3">
      <c r="A4403" t="s">
        <v>4466</v>
      </c>
      <c r="B4403" s="1">
        <v>45871</v>
      </c>
      <c r="C4403" s="1">
        <v>45872</v>
      </c>
      <c r="D4403">
        <v>2025</v>
      </c>
      <c r="E4403" t="s">
        <v>1445</v>
      </c>
      <c r="F4403" t="s">
        <v>1651</v>
      </c>
      <c r="G4403" t="s">
        <v>102</v>
      </c>
      <c r="H4403" t="s">
        <v>30</v>
      </c>
      <c r="I4403" t="s">
        <v>40</v>
      </c>
      <c r="J4403" t="s">
        <v>43</v>
      </c>
      <c r="K4403" t="s">
        <v>32</v>
      </c>
      <c r="L4403" t="s">
        <v>44</v>
      </c>
      <c r="M4403">
        <v>1</v>
      </c>
      <c r="N4403" s="2"/>
      <c r="O4403" s="3">
        <v>1583</v>
      </c>
      <c r="P4403">
        <v>0</v>
      </c>
      <c r="Q4403">
        <v>4</v>
      </c>
      <c r="R4403" t="s">
        <v>59</v>
      </c>
      <c r="S4403">
        <v>1</v>
      </c>
    </row>
    <row r="4404" spans="1:19" ht="16.5" x14ac:dyDescent="0.3">
      <c r="A4404" t="s">
        <v>4467</v>
      </c>
      <c r="B4404" s="1">
        <v>45871</v>
      </c>
      <c r="C4404" s="1">
        <v>45872</v>
      </c>
      <c r="D4404">
        <v>2025</v>
      </c>
      <c r="E4404" t="s">
        <v>1445</v>
      </c>
      <c r="F4404" t="s">
        <v>1651</v>
      </c>
      <c r="G4404" t="s">
        <v>102</v>
      </c>
      <c r="H4404" t="s">
        <v>52</v>
      </c>
      <c r="I4404" t="s">
        <v>24</v>
      </c>
      <c r="J4404" t="s">
        <v>25</v>
      </c>
      <c r="K4404" t="s">
        <v>53</v>
      </c>
      <c r="L4404" t="s">
        <v>44</v>
      </c>
      <c r="M4404">
        <v>1</v>
      </c>
      <c r="N4404" s="2">
        <v>32</v>
      </c>
      <c r="O4404" s="3">
        <v>1715</v>
      </c>
      <c r="P4404">
        <v>1</v>
      </c>
      <c r="Q4404">
        <v>4</v>
      </c>
      <c r="R4404" t="s">
        <v>33</v>
      </c>
      <c r="S4404">
        <v>1</v>
      </c>
    </row>
    <row r="4405" spans="1:19" ht="16.5" x14ac:dyDescent="0.3">
      <c r="A4405" t="s">
        <v>4468</v>
      </c>
      <c r="B4405" s="1">
        <v>45871</v>
      </c>
      <c r="C4405" s="1">
        <v>45874</v>
      </c>
      <c r="D4405">
        <v>2025</v>
      </c>
      <c r="E4405" t="s">
        <v>1445</v>
      </c>
      <c r="F4405" t="s">
        <v>1651</v>
      </c>
      <c r="G4405" t="s">
        <v>102</v>
      </c>
      <c r="H4405" t="s">
        <v>39</v>
      </c>
      <c r="I4405" t="s">
        <v>24</v>
      </c>
      <c r="J4405" t="s">
        <v>25</v>
      </c>
      <c r="K4405" t="s">
        <v>41</v>
      </c>
      <c r="L4405" t="s">
        <v>44</v>
      </c>
      <c r="M4405">
        <v>3</v>
      </c>
      <c r="N4405" s="2">
        <v>19</v>
      </c>
      <c r="O4405" s="3">
        <v>2559</v>
      </c>
      <c r="P4405">
        <v>0</v>
      </c>
      <c r="Q4405">
        <v>5</v>
      </c>
      <c r="R4405" t="s">
        <v>33</v>
      </c>
      <c r="S4405">
        <v>1</v>
      </c>
    </row>
    <row r="4406" spans="1:19" ht="16.5" x14ac:dyDescent="0.3">
      <c r="A4406" t="s">
        <v>4469</v>
      </c>
      <c r="B4406" s="1">
        <v>45871</v>
      </c>
      <c r="C4406" s="1">
        <v>45872</v>
      </c>
      <c r="D4406">
        <v>2025</v>
      </c>
      <c r="E4406" t="s">
        <v>1445</v>
      </c>
      <c r="F4406" t="s">
        <v>1651</v>
      </c>
      <c r="G4406" t="s">
        <v>102</v>
      </c>
      <c r="H4406" t="s">
        <v>35</v>
      </c>
      <c r="I4406" t="s">
        <v>24</v>
      </c>
      <c r="J4406" t="s">
        <v>25</v>
      </c>
      <c r="K4406" t="s">
        <v>32</v>
      </c>
      <c r="L4406" t="s">
        <v>37</v>
      </c>
      <c r="M4406">
        <v>1</v>
      </c>
      <c r="N4406" s="2">
        <v>40</v>
      </c>
      <c r="O4406" s="3">
        <v>1972</v>
      </c>
      <c r="P4406">
        <v>0</v>
      </c>
      <c r="Q4406">
        <v>4</v>
      </c>
      <c r="R4406" t="s">
        <v>28</v>
      </c>
      <c r="S4406">
        <v>1</v>
      </c>
    </row>
    <row r="4407" spans="1:19" ht="16.5" x14ac:dyDescent="0.3">
      <c r="A4407" t="s">
        <v>4470</v>
      </c>
      <c r="B4407" s="1">
        <v>45872</v>
      </c>
      <c r="C4407" s="1">
        <v>45875</v>
      </c>
      <c r="D4407">
        <v>2025</v>
      </c>
      <c r="E4407" t="s">
        <v>1445</v>
      </c>
      <c r="F4407" t="s">
        <v>1651</v>
      </c>
      <c r="G4407" t="s">
        <v>112</v>
      </c>
      <c r="H4407" t="s">
        <v>30</v>
      </c>
      <c r="I4407" t="s">
        <v>40</v>
      </c>
      <c r="J4407" t="s">
        <v>43</v>
      </c>
      <c r="K4407" t="s">
        <v>53</v>
      </c>
      <c r="L4407" t="s">
        <v>44</v>
      </c>
      <c r="M4407">
        <v>3</v>
      </c>
      <c r="N4407" s="2"/>
      <c r="O4407" s="3">
        <v>4673</v>
      </c>
      <c r="P4407">
        <v>0</v>
      </c>
      <c r="Q4407">
        <v>4</v>
      </c>
      <c r="R4407" t="s">
        <v>28</v>
      </c>
      <c r="S4407">
        <v>1</v>
      </c>
    </row>
    <row r="4408" spans="1:19" ht="16.5" x14ac:dyDescent="0.3">
      <c r="A4408" t="s">
        <v>4471</v>
      </c>
      <c r="B4408" s="1">
        <v>45872</v>
      </c>
      <c r="C4408" s="1">
        <v>45873</v>
      </c>
      <c r="D4408">
        <v>2025</v>
      </c>
      <c r="E4408" t="s">
        <v>1445</v>
      </c>
      <c r="F4408" t="s">
        <v>1651</v>
      </c>
      <c r="G4408" t="s">
        <v>112</v>
      </c>
      <c r="H4408" t="s">
        <v>35</v>
      </c>
      <c r="I4408" t="s">
        <v>31</v>
      </c>
      <c r="J4408" t="s">
        <v>25</v>
      </c>
      <c r="K4408" t="s">
        <v>36</v>
      </c>
      <c r="L4408" t="s">
        <v>27</v>
      </c>
      <c r="M4408">
        <v>1</v>
      </c>
      <c r="N4408" s="2"/>
      <c r="O4408" s="3">
        <v>1728</v>
      </c>
      <c r="P4408">
        <v>0</v>
      </c>
      <c r="Q4408">
        <v>4</v>
      </c>
      <c r="R4408" t="s">
        <v>33</v>
      </c>
      <c r="S4408">
        <v>1</v>
      </c>
    </row>
    <row r="4409" spans="1:19" ht="16.5" x14ac:dyDescent="0.3">
      <c r="A4409" t="s">
        <v>4472</v>
      </c>
      <c r="B4409" s="1">
        <v>45872</v>
      </c>
      <c r="C4409" s="1">
        <v>45873</v>
      </c>
      <c r="D4409">
        <v>2025</v>
      </c>
      <c r="E4409" t="s">
        <v>1445</v>
      </c>
      <c r="F4409" t="s">
        <v>1651</v>
      </c>
      <c r="G4409" t="s">
        <v>112</v>
      </c>
      <c r="H4409" t="s">
        <v>39</v>
      </c>
      <c r="I4409" t="s">
        <v>24</v>
      </c>
      <c r="J4409" t="s">
        <v>43</v>
      </c>
      <c r="K4409" t="s">
        <v>41</v>
      </c>
      <c r="L4409" t="s">
        <v>44</v>
      </c>
      <c r="M4409">
        <v>1</v>
      </c>
      <c r="N4409" s="2">
        <v>72</v>
      </c>
      <c r="O4409" s="3">
        <v>1462</v>
      </c>
      <c r="P4409">
        <v>0</v>
      </c>
      <c r="Q4409">
        <v>4</v>
      </c>
      <c r="R4409" t="s">
        <v>33</v>
      </c>
      <c r="S4409">
        <v>1</v>
      </c>
    </row>
    <row r="4410" spans="1:19" ht="16.5" x14ac:dyDescent="0.3">
      <c r="A4410" t="s">
        <v>4473</v>
      </c>
      <c r="B4410" s="1">
        <v>45872</v>
      </c>
      <c r="C4410" s="1">
        <v>45877</v>
      </c>
      <c r="D4410">
        <v>2025</v>
      </c>
      <c r="E4410" t="s">
        <v>1445</v>
      </c>
      <c r="F4410" t="s">
        <v>1651</v>
      </c>
      <c r="G4410" t="s">
        <v>112</v>
      </c>
      <c r="H4410" t="s">
        <v>39</v>
      </c>
      <c r="I4410" t="s">
        <v>40</v>
      </c>
      <c r="J4410" t="s">
        <v>43</v>
      </c>
      <c r="K4410" t="s">
        <v>41</v>
      </c>
      <c r="L4410" t="s">
        <v>27</v>
      </c>
      <c r="M4410">
        <v>5</v>
      </c>
      <c r="N4410" s="2"/>
      <c r="O4410" s="3">
        <v>2646</v>
      </c>
      <c r="P4410">
        <v>0</v>
      </c>
      <c r="Q4410">
        <v>5</v>
      </c>
      <c r="R4410" t="s">
        <v>33</v>
      </c>
      <c r="S4410">
        <v>1</v>
      </c>
    </row>
    <row r="4411" spans="1:19" ht="16.5" x14ac:dyDescent="0.3">
      <c r="A4411" t="s">
        <v>4474</v>
      </c>
      <c r="B4411" s="1">
        <v>45872</v>
      </c>
      <c r="C4411" s="1">
        <v>45874</v>
      </c>
      <c r="D4411">
        <v>2025</v>
      </c>
      <c r="E4411" t="s">
        <v>1445</v>
      </c>
      <c r="F4411" t="s">
        <v>1651</v>
      </c>
      <c r="G4411" t="s">
        <v>112</v>
      </c>
      <c r="H4411" t="s">
        <v>35</v>
      </c>
      <c r="I4411" t="s">
        <v>40</v>
      </c>
      <c r="J4411" t="s">
        <v>25</v>
      </c>
      <c r="K4411" t="s">
        <v>36</v>
      </c>
      <c r="L4411" t="s">
        <v>37</v>
      </c>
      <c r="M4411">
        <v>2</v>
      </c>
      <c r="N4411" s="2"/>
      <c r="O4411" s="3">
        <v>1925</v>
      </c>
      <c r="P4411">
        <v>0</v>
      </c>
      <c r="Q4411">
        <v>5</v>
      </c>
      <c r="R4411" t="s">
        <v>33</v>
      </c>
      <c r="S4411">
        <v>1</v>
      </c>
    </row>
    <row r="4412" spans="1:19" ht="16.5" x14ac:dyDescent="0.3">
      <c r="A4412" t="s">
        <v>4475</v>
      </c>
      <c r="B4412" s="1">
        <v>45872</v>
      </c>
      <c r="C4412" s="1">
        <v>45878</v>
      </c>
      <c r="D4412">
        <v>2025</v>
      </c>
      <c r="E4412" t="s">
        <v>1445</v>
      </c>
      <c r="F4412" t="s">
        <v>1651</v>
      </c>
      <c r="G4412" t="s">
        <v>112</v>
      </c>
      <c r="H4412" t="s">
        <v>30</v>
      </c>
      <c r="I4412" t="s">
        <v>40</v>
      </c>
      <c r="J4412" t="s">
        <v>25</v>
      </c>
      <c r="K4412" t="s">
        <v>26</v>
      </c>
      <c r="L4412" t="s">
        <v>27</v>
      </c>
      <c r="M4412">
        <v>6</v>
      </c>
      <c r="N4412" s="2"/>
      <c r="O4412" s="3">
        <v>6849</v>
      </c>
      <c r="P4412">
        <v>0</v>
      </c>
      <c r="Q4412">
        <v>4</v>
      </c>
      <c r="R4412" t="s">
        <v>33</v>
      </c>
      <c r="S4412">
        <v>1</v>
      </c>
    </row>
    <row r="4413" spans="1:19" ht="16.5" x14ac:dyDescent="0.3">
      <c r="A4413" t="s">
        <v>4476</v>
      </c>
      <c r="B4413" s="1">
        <v>45873</v>
      </c>
      <c r="C4413" s="1">
        <v>45876</v>
      </c>
      <c r="D4413">
        <v>2025</v>
      </c>
      <c r="E4413" t="s">
        <v>1445</v>
      </c>
      <c r="F4413" t="s">
        <v>1651</v>
      </c>
      <c r="G4413" t="s">
        <v>22</v>
      </c>
      <c r="H4413" t="s">
        <v>39</v>
      </c>
      <c r="I4413" t="s">
        <v>40</v>
      </c>
      <c r="J4413" t="s">
        <v>25</v>
      </c>
      <c r="K4413" t="s">
        <v>41</v>
      </c>
      <c r="L4413" t="s">
        <v>44</v>
      </c>
      <c r="M4413">
        <v>3</v>
      </c>
      <c r="N4413" s="2"/>
      <c r="O4413" s="3">
        <v>2599</v>
      </c>
      <c r="P4413">
        <v>0</v>
      </c>
      <c r="Q4413">
        <v>4</v>
      </c>
      <c r="R4413" t="s">
        <v>33</v>
      </c>
      <c r="S4413">
        <v>1</v>
      </c>
    </row>
    <row r="4414" spans="1:19" ht="16.5" x14ac:dyDescent="0.3">
      <c r="A4414" t="s">
        <v>4477</v>
      </c>
      <c r="B4414" s="1">
        <v>45873</v>
      </c>
      <c r="C4414" s="1">
        <v>45878</v>
      </c>
      <c r="D4414">
        <v>2025</v>
      </c>
      <c r="E4414" t="s">
        <v>1445</v>
      </c>
      <c r="F4414" t="s">
        <v>1651</v>
      </c>
      <c r="G4414" t="s">
        <v>22</v>
      </c>
      <c r="H4414" t="s">
        <v>52</v>
      </c>
      <c r="I4414" t="s">
        <v>24</v>
      </c>
      <c r="J4414" t="s">
        <v>43</v>
      </c>
      <c r="K4414" t="s">
        <v>26</v>
      </c>
      <c r="L4414" t="s">
        <v>44</v>
      </c>
      <c r="M4414">
        <v>5</v>
      </c>
      <c r="N4414" s="2">
        <v>25</v>
      </c>
      <c r="O4414" s="3">
        <v>5484</v>
      </c>
      <c r="P4414">
        <v>0</v>
      </c>
      <c r="Q4414">
        <v>5</v>
      </c>
      <c r="R4414" t="s">
        <v>59</v>
      </c>
      <c r="S4414">
        <v>1</v>
      </c>
    </row>
    <row r="4415" spans="1:19" ht="16.5" x14ac:dyDescent="0.3">
      <c r="A4415" t="s">
        <v>4478</v>
      </c>
      <c r="B4415" s="1">
        <v>45873</v>
      </c>
      <c r="C4415" s="1">
        <v>45875</v>
      </c>
      <c r="D4415">
        <v>2025</v>
      </c>
      <c r="E4415" t="s">
        <v>1445</v>
      </c>
      <c r="F4415" t="s">
        <v>1651</v>
      </c>
      <c r="G4415" t="s">
        <v>22</v>
      </c>
      <c r="H4415" t="s">
        <v>39</v>
      </c>
      <c r="I4415" t="s">
        <v>24</v>
      </c>
      <c r="J4415" t="s">
        <v>25</v>
      </c>
      <c r="K4415" t="s">
        <v>41</v>
      </c>
      <c r="L4415" t="s">
        <v>27</v>
      </c>
      <c r="M4415">
        <v>2</v>
      </c>
      <c r="N4415" s="2">
        <v>70</v>
      </c>
      <c r="O4415" s="3">
        <v>1283</v>
      </c>
      <c r="P4415">
        <v>0</v>
      </c>
      <c r="Q4415">
        <v>4</v>
      </c>
      <c r="R4415" t="s">
        <v>33</v>
      </c>
      <c r="S4415">
        <v>1</v>
      </c>
    </row>
    <row r="4416" spans="1:19" ht="16.5" x14ac:dyDescent="0.3">
      <c r="A4416" t="s">
        <v>4479</v>
      </c>
      <c r="B4416" s="1">
        <v>45873</v>
      </c>
      <c r="C4416" s="1">
        <v>45879</v>
      </c>
      <c r="D4416">
        <v>2025</v>
      </c>
      <c r="E4416" t="s">
        <v>1445</v>
      </c>
      <c r="F4416" t="s">
        <v>1651</v>
      </c>
      <c r="G4416" t="s">
        <v>22</v>
      </c>
      <c r="H4416" t="s">
        <v>23</v>
      </c>
      <c r="I4416" t="s">
        <v>24</v>
      </c>
      <c r="J4416" t="s">
        <v>25</v>
      </c>
      <c r="K4416" t="s">
        <v>26</v>
      </c>
      <c r="L4416" t="s">
        <v>27</v>
      </c>
      <c r="M4416">
        <v>6</v>
      </c>
      <c r="N4416" s="2">
        <v>58</v>
      </c>
      <c r="O4416" s="3">
        <v>4367</v>
      </c>
      <c r="P4416">
        <v>0</v>
      </c>
      <c r="Q4416">
        <v>5</v>
      </c>
      <c r="R4416" t="s">
        <v>165</v>
      </c>
      <c r="S4416">
        <v>1</v>
      </c>
    </row>
    <row r="4417" spans="1:19" ht="16.5" x14ac:dyDescent="0.3">
      <c r="A4417" t="s">
        <v>4480</v>
      </c>
      <c r="B4417" s="1">
        <v>45873</v>
      </c>
      <c r="C4417" s="1">
        <v>45874</v>
      </c>
      <c r="D4417">
        <v>2025</v>
      </c>
      <c r="E4417" t="s">
        <v>1445</v>
      </c>
      <c r="F4417" t="s">
        <v>1651</v>
      </c>
      <c r="G4417" t="s">
        <v>22</v>
      </c>
      <c r="H4417" t="s">
        <v>23</v>
      </c>
      <c r="I4417" t="s">
        <v>31</v>
      </c>
      <c r="J4417" t="s">
        <v>43</v>
      </c>
      <c r="K4417" t="s">
        <v>53</v>
      </c>
      <c r="L4417" t="s">
        <v>27</v>
      </c>
      <c r="M4417">
        <v>1</v>
      </c>
      <c r="N4417" s="2"/>
      <c r="O4417" s="3">
        <v>1777</v>
      </c>
      <c r="P4417">
        <v>1</v>
      </c>
      <c r="Q4417">
        <v>4</v>
      </c>
      <c r="R4417" t="s">
        <v>33</v>
      </c>
      <c r="S4417">
        <v>1</v>
      </c>
    </row>
    <row r="4418" spans="1:19" ht="16.5" x14ac:dyDescent="0.3">
      <c r="A4418" t="s">
        <v>4481</v>
      </c>
      <c r="B4418" s="1">
        <v>45873</v>
      </c>
      <c r="C4418" s="1">
        <v>45875</v>
      </c>
      <c r="D4418">
        <v>2025</v>
      </c>
      <c r="E4418" t="s">
        <v>1445</v>
      </c>
      <c r="F4418" t="s">
        <v>1651</v>
      </c>
      <c r="G4418" t="s">
        <v>22</v>
      </c>
      <c r="H4418" t="s">
        <v>39</v>
      </c>
      <c r="I4418" t="s">
        <v>40</v>
      </c>
      <c r="J4418" t="s">
        <v>25</v>
      </c>
      <c r="K4418" t="s">
        <v>41</v>
      </c>
      <c r="L4418" t="s">
        <v>37</v>
      </c>
      <c r="M4418">
        <v>2</v>
      </c>
      <c r="N4418" s="2"/>
      <c r="O4418" s="3">
        <v>1900</v>
      </c>
      <c r="P4418">
        <v>0</v>
      </c>
      <c r="Q4418">
        <v>5</v>
      </c>
      <c r="R4418" t="s">
        <v>33</v>
      </c>
      <c r="S4418">
        <v>1</v>
      </c>
    </row>
    <row r="4419" spans="1:19" ht="16.5" x14ac:dyDescent="0.3">
      <c r="A4419" t="s">
        <v>4482</v>
      </c>
      <c r="B4419" s="1">
        <v>45874</v>
      </c>
      <c r="C4419" s="1">
        <v>45877</v>
      </c>
      <c r="D4419">
        <v>2025</v>
      </c>
      <c r="E4419" t="s">
        <v>1445</v>
      </c>
      <c r="F4419" t="s">
        <v>1651</v>
      </c>
      <c r="G4419" t="s">
        <v>56</v>
      </c>
      <c r="H4419" t="s">
        <v>50</v>
      </c>
      <c r="I4419" t="s">
        <v>24</v>
      </c>
      <c r="J4419" t="s">
        <v>25</v>
      </c>
      <c r="K4419" t="s">
        <v>26</v>
      </c>
      <c r="L4419" t="s">
        <v>44</v>
      </c>
      <c r="M4419">
        <v>3</v>
      </c>
      <c r="N4419" s="2">
        <v>38</v>
      </c>
      <c r="O4419" s="3">
        <v>4591</v>
      </c>
      <c r="P4419">
        <v>0</v>
      </c>
      <c r="Q4419">
        <v>4</v>
      </c>
      <c r="R4419" t="s">
        <v>33</v>
      </c>
      <c r="S4419">
        <v>1</v>
      </c>
    </row>
    <row r="4420" spans="1:19" ht="16.5" x14ac:dyDescent="0.3">
      <c r="A4420" t="s">
        <v>4483</v>
      </c>
      <c r="B4420" s="1">
        <v>45874</v>
      </c>
      <c r="C4420" s="1">
        <v>45875</v>
      </c>
      <c r="D4420">
        <v>2025</v>
      </c>
      <c r="E4420" t="s">
        <v>1445</v>
      </c>
      <c r="F4420" t="s">
        <v>1651</v>
      </c>
      <c r="G4420" t="s">
        <v>56</v>
      </c>
      <c r="H4420" t="s">
        <v>39</v>
      </c>
      <c r="I4420" t="s">
        <v>24</v>
      </c>
      <c r="J4420" t="s">
        <v>25</v>
      </c>
      <c r="K4420" t="s">
        <v>41</v>
      </c>
      <c r="L4420" t="s">
        <v>44</v>
      </c>
      <c r="M4420">
        <v>1</v>
      </c>
      <c r="N4420" s="2">
        <v>25</v>
      </c>
      <c r="O4420" s="3">
        <v>1681</v>
      </c>
      <c r="P4420">
        <v>0</v>
      </c>
      <c r="Q4420">
        <v>4</v>
      </c>
      <c r="R4420" t="s">
        <v>28</v>
      </c>
      <c r="S4420">
        <v>1</v>
      </c>
    </row>
    <row r="4421" spans="1:19" ht="16.5" x14ac:dyDescent="0.3">
      <c r="A4421" t="s">
        <v>4484</v>
      </c>
      <c r="B4421" s="1">
        <v>45874</v>
      </c>
      <c r="C4421" s="1">
        <v>45876</v>
      </c>
      <c r="D4421">
        <v>2025</v>
      </c>
      <c r="E4421" t="s">
        <v>1445</v>
      </c>
      <c r="F4421" t="s">
        <v>1651</v>
      </c>
      <c r="G4421" t="s">
        <v>56</v>
      </c>
      <c r="H4421" t="s">
        <v>52</v>
      </c>
      <c r="I4421" t="s">
        <v>40</v>
      </c>
      <c r="J4421" t="s">
        <v>25</v>
      </c>
      <c r="K4421" t="s">
        <v>53</v>
      </c>
      <c r="L4421" t="s">
        <v>44</v>
      </c>
      <c r="M4421">
        <v>2</v>
      </c>
      <c r="N4421" s="2"/>
      <c r="O4421" s="3">
        <v>2263</v>
      </c>
      <c r="P4421">
        <v>1</v>
      </c>
      <c r="Q4421">
        <v>4</v>
      </c>
      <c r="R4421" t="s">
        <v>28</v>
      </c>
      <c r="S4421">
        <v>1</v>
      </c>
    </row>
    <row r="4422" spans="1:19" ht="16.5" x14ac:dyDescent="0.3">
      <c r="A4422" t="s">
        <v>4485</v>
      </c>
      <c r="B4422" s="1">
        <v>45874</v>
      </c>
      <c r="C4422" s="1">
        <v>45879</v>
      </c>
      <c r="D4422">
        <v>2025</v>
      </c>
      <c r="E4422" t="s">
        <v>1445</v>
      </c>
      <c r="F4422" t="s">
        <v>1651</v>
      </c>
      <c r="G4422" t="s">
        <v>56</v>
      </c>
      <c r="H4422" t="s">
        <v>23</v>
      </c>
      <c r="I4422" t="s">
        <v>24</v>
      </c>
      <c r="J4422" t="s">
        <v>43</v>
      </c>
      <c r="K4422" t="s">
        <v>36</v>
      </c>
      <c r="L4422" t="s">
        <v>37</v>
      </c>
      <c r="M4422">
        <v>5</v>
      </c>
      <c r="N4422" s="2">
        <v>59</v>
      </c>
      <c r="O4422" s="3">
        <v>2677</v>
      </c>
      <c r="P4422">
        <v>0</v>
      </c>
      <c r="Q4422">
        <v>5</v>
      </c>
      <c r="R4422" t="s">
        <v>33</v>
      </c>
      <c r="S4422">
        <v>1</v>
      </c>
    </row>
    <row r="4423" spans="1:19" ht="16.5" x14ac:dyDescent="0.3">
      <c r="A4423" t="s">
        <v>4486</v>
      </c>
      <c r="B4423" s="1">
        <v>45874</v>
      </c>
      <c r="C4423" s="1">
        <v>45878</v>
      </c>
      <c r="D4423">
        <v>2025</v>
      </c>
      <c r="E4423" t="s">
        <v>1445</v>
      </c>
      <c r="F4423" t="s">
        <v>1651</v>
      </c>
      <c r="G4423" t="s">
        <v>56</v>
      </c>
      <c r="H4423" t="s">
        <v>23</v>
      </c>
      <c r="I4423" t="s">
        <v>24</v>
      </c>
      <c r="J4423" t="s">
        <v>43</v>
      </c>
      <c r="K4423" t="s">
        <v>32</v>
      </c>
      <c r="L4423" t="s">
        <v>44</v>
      </c>
      <c r="M4423">
        <v>4</v>
      </c>
      <c r="N4423" s="2">
        <v>83</v>
      </c>
      <c r="O4423" s="3">
        <v>3567</v>
      </c>
      <c r="P4423">
        <v>1</v>
      </c>
      <c r="Q4423">
        <v>5</v>
      </c>
      <c r="R4423" t="s">
        <v>33</v>
      </c>
      <c r="S4423">
        <v>1</v>
      </c>
    </row>
    <row r="4424" spans="1:19" ht="16.5" x14ac:dyDescent="0.3">
      <c r="A4424" t="s">
        <v>4487</v>
      </c>
      <c r="B4424" s="1">
        <v>45875</v>
      </c>
      <c r="C4424" s="1">
        <v>45883</v>
      </c>
      <c r="D4424">
        <v>2025</v>
      </c>
      <c r="E4424" t="s">
        <v>1445</v>
      </c>
      <c r="F4424" t="s">
        <v>1651</v>
      </c>
      <c r="G4424" t="s">
        <v>70</v>
      </c>
      <c r="H4424" t="s">
        <v>23</v>
      </c>
      <c r="I4424" t="s">
        <v>24</v>
      </c>
      <c r="J4424" t="s">
        <v>43</v>
      </c>
      <c r="K4424" t="s">
        <v>26</v>
      </c>
      <c r="L4424" t="s">
        <v>44</v>
      </c>
      <c r="M4424">
        <v>8</v>
      </c>
      <c r="N4424" s="2">
        <v>84</v>
      </c>
      <c r="O4424" s="3">
        <v>5005</v>
      </c>
      <c r="P4424">
        <v>0</v>
      </c>
      <c r="Q4424">
        <v>4</v>
      </c>
      <c r="R4424" t="s">
        <v>33</v>
      </c>
      <c r="S4424">
        <v>1</v>
      </c>
    </row>
    <row r="4425" spans="1:19" ht="16.5" x14ac:dyDescent="0.3">
      <c r="A4425" t="s">
        <v>4488</v>
      </c>
      <c r="B4425" s="1">
        <v>45875</v>
      </c>
      <c r="C4425" s="1">
        <v>45879</v>
      </c>
      <c r="D4425">
        <v>2025</v>
      </c>
      <c r="E4425" t="s">
        <v>1445</v>
      </c>
      <c r="F4425" t="s">
        <v>1651</v>
      </c>
      <c r="G4425" t="s">
        <v>70</v>
      </c>
      <c r="H4425" t="s">
        <v>50</v>
      </c>
      <c r="I4425" t="s">
        <v>24</v>
      </c>
      <c r="J4425" t="s">
        <v>43</v>
      </c>
      <c r="K4425" t="s">
        <v>32</v>
      </c>
      <c r="L4425" t="s">
        <v>27</v>
      </c>
      <c r="M4425">
        <v>4</v>
      </c>
      <c r="N4425" s="2">
        <v>28</v>
      </c>
      <c r="O4425" s="3">
        <v>4198</v>
      </c>
      <c r="P4425">
        <v>1</v>
      </c>
      <c r="Q4425">
        <v>4</v>
      </c>
      <c r="R4425" t="s">
        <v>28</v>
      </c>
      <c r="S4425">
        <v>1</v>
      </c>
    </row>
    <row r="4426" spans="1:19" ht="16.5" x14ac:dyDescent="0.3">
      <c r="A4426" t="s">
        <v>4489</v>
      </c>
      <c r="B4426" s="1">
        <v>45875</v>
      </c>
      <c r="C4426" s="1">
        <v>45881</v>
      </c>
      <c r="D4426">
        <v>2025</v>
      </c>
      <c r="E4426" t="s">
        <v>1445</v>
      </c>
      <c r="F4426" t="s">
        <v>1651</v>
      </c>
      <c r="G4426" t="s">
        <v>70</v>
      </c>
      <c r="H4426" t="s">
        <v>39</v>
      </c>
      <c r="I4426" t="s">
        <v>24</v>
      </c>
      <c r="J4426" t="s">
        <v>43</v>
      </c>
      <c r="K4426" t="s">
        <v>41</v>
      </c>
      <c r="L4426" t="s">
        <v>27</v>
      </c>
      <c r="M4426">
        <v>6</v>
      </c>
      <c r="N4426" s="2">
        <v>64</v>
      </c>
      <c r="O4426" s="3">
        <v>4156</v>
      </c>
      <c r="P4426">
        <v>0</v>
      </c>
      <c r="Q4426">
        <v>4</v>
      </c>
      <c r="R4426" t="s">
        <v>33</v>
      </c>
      <c r="S4426">
        <v>1</v>
      </c>
    </row>
    <row r="4427" spans="1:19" ht="16.5" x14ac:dyDescent="0.3">
      <c r="A4427" t="s">
        <v>4490</v>
      </c>
      <c r="B4427" s="1">
        <v>45875</v>
      </c>
      <c r="C4427" s="1">
        <v>45882</v>
      </c>
      <c r="D4427">
        <v>2025</v>
      </c>
      <c r="E4427" t="s">
        <v>1445</v>
      </c>
      <c r="F4427" t="s">
        <v>1651</v>
      </c>
      <c r="G4427" t="s">
        <v>70</v>
      </c>
      <c r="H4427" t="s">
        <v>23</v>
      </c>
      <c r="I4427" t="s">
        <v>24</v>
      </c>
      <c r="J4427" t="s">
        <v>43</v>
      </c>
      <c r="K4427" t="s">
        <v>26</v>
      </c>
      <c r="L4427" t="s">
        <v>37</v>
      </c>
      <c r="M4427">
        <v>7</v>
      </c>
      <c r="N4427" s="2">
        <v>61</v>
      </c>
      <c r="O4427" s="3">
        <v>4547</v>
      </c>
      <c r="P4427">
        <v>0</v>
      </c>
      <c r="Q4427">
        <v>5</v>
      </c>
      <c r="R4427" t="s">
        <v>33</v>
      </c>
      <c r="S4427">
        <v>1</v>
      </c>
    </row>
    <row r="4428" spans="1:19" ht="16.5" x14ac:dyDescent="0.3">
      <c r="A4428" t="s">
        <v>4491</v>
      </c>
      <c r="B4428" s="1">
        <v>45876</v>
      </c>
      <c r="C4428" s="1">
        <v>45880</v>
      </c>
      <c r="D4428">
        <v>2025</v>
      </c>
      <c r="E4428" t="s">
        <v>1445</v>
      </c>
      <c r="F4428" t="s">
        <v>1651</v>
      </c>
      <c r="G4428" t="s">
        <v>78</v>
      </c>
      <c r="H4428" t="s">
        <v>52</v>
      </c>
      <c r="I4428" t="s">
        <v>40</v>
      </c>
      <c r="J4428" t="s">
        <v>25</v>
      </c>
      <c r="K4428" t="s">
        <v>32</v>
      </c>
      <c r="L4428" t="s">
        <v>44</v>
      </c>
      <c r="M4428">
        <v>4</v>
      </c>
      <c r="N4428" s="2"/>
      <c r="O4428" s="3">
        <v>5236</v>
      </c>
      <c r="P4428">
        <v>0</v>
      </c>
      <c r="Q4428">
        <v>4</v>
      </c>
      <c r="R4428" t="s">
        <v>28</v>
      </c>
      <c r="S4428">
        <v>1</v>
      </c>
    </row>
    <row r="4429" spans="1:19" ht="16.5" x14ac:dyDescent="0.3">
      <c r="A4429" t="s">
        <v>4492</v>
      </c>
      <c r="B4429" s="1">
        <v>45876</v>
      </c>
      <c r="C4429" s="1">
        <v>45877</v>
      </c>
      <c r="D4429">
        <v>2025</v>
      </c>
      <c r="E4429" t="s">
        <v>1445</v>
      </c>
      <c r="F4429" t="s">
        <v>1651</v>
      </c>
      <c r="G4429" t="s">
        <v>78</v>
      </c>
      <c r="H4429" t="s">
        <v>35</v>
      </c>
      <c r="I4429" t="s">
        <v>24</v>
      </c>
      <c r="J4429" t="s">
        <v>25</v>
      </c>
      <c r="K4429" t="s">
        <v>36</v>
      </c>
      <c r="L4429" t="s">
        <v>44</v>
      </c>
      <c r="M4429">
        <v>1</v>
      </c>
      <c r="N4429" s="2">
        <v>60</v>
      </c>
      <c r="O4429" s="3">
        <v>1146</v>
      </c>
      <c r="P4429">
        <v>0</v>
      </c>
      <c r="Q4429">
        <v>5</v>
      </c>
      <c r="R4429" t="s">
        <v>28</v>
      </c>
      <c r="S4429">
        <v>1</v>
      </c>
    </row>
    <row r="4430" spans="1:19" ht="16.5" x14ac:dyDescent="0.3">
      <c r="A4430" t="s">
        <v>4493</v>
      </c>
      <c r="B4430" s="1">
        <v>45876</v>
      </c>
      <c r="C4430" s="1">
        <v>45878</v>
      </c>
      <c r="D4430">
        <v>2025</v>
      </c>
      <c r="E4430" t="s">
        <v>1445</v>
      </c>
      <c r="F4430" t="s">
        <v>1651</v>
      </c>
      <c r="G4430" t="s">
        <v>78</v>
      </c>
      <c r="H4430" t="s">
        <v>50</v>
      </c>
      <c r="I4430" t="s">
        <v>24</v>
      </c>
      <c r="J4430" t="s">
        <v>25</v>
      </c>
      <c r="K4430" t="s">
        <v>26</v>
      </c>
      <c r="L4430" t="s">
        <v>44</v>
      </c>
      <c r="M4430">
        <v>2</v>
      </c>
      <c r="N4430" s="2">
        <v>60</v>
      </c>
      <c r="O4430" s="3">
        <v>3178</v>
      </c>
      <c r="P4430">
        <v>1</v>
      </c>
      <c r="Q4430">
        <v>3</v>
      </c>
      <c r="R4430" t="s">
        <v>33</v>
      </c>
      <c r="S4430">
        <v>1</v>
      </c>
    </row>
    <row r="4431" spans="1:19" ht="16.5" x14ac:dyDescent="0.3">
      <c r="A4431" t="s">
        <v>4494</v>
      </c>
      <c r="B4431" s="1">
        <v>45876</v>
      </c>
      <c r="C4431" s="1">
        <v>45877</v>
      </c>
      <c r="D4431">
        <v>2025</v>
      </c>
      <c r="E4431" t="s">
        <v>1445</v>
      </c>
      <c r="F4431" t="s">
        <v>1651</v>
      </c>
      <c r="G4431" t="s">
        <v>78</v>
      </c>
      <c r="H4431" t="s">
        <v>52</v>
      </c>
      <c r="I4431" t="s">
        <v>40</v>
      </c>
      <c r="J4431" t="s">
        <v>43</v>
      </c>
      <c r="K4431" t="s">
        <v>32</v>
      </c>
      <c r="L4431" t="s">
        <v>44</v>
      </c>
      <c r="M4431">
        <v>1</v>
      </c>
      <c r="N4431" s="2"/>
      <c r="O4431" s="3">
        <v>1813</v>
      </c>
      <c r="P4431">
        <v>0</v>
      </c>
      <c r="Q4431">
        <v>5</v>
      </c>
      <c r="R4431" t="s">
        <v>33</v>
      </c>
      <c r="S4431">
        <v>1</v>
      </c>
    </row>
    <row r="4432" spans="1:19" ht="16.5" x14ac:dyDescent="0.3">
      <c r="A4432" t="s">
        <v>4495</v>
      </c>
      <c r="B4432" s="1">
        <v>45876</v>
      </c>
      <c r="C4432" s="1">
        <v>45884</v>
      </c>
      <c r="D4432">
        <v>2025</v>
      </c>
      <c r="E4432" t="s">
        <v>1445</v>
      </c>
      <c r="F4432" t="s">
        <v>1651</v>
      </c>
      <c r="G4432" t="s">
        <v>78</v>
      </c>
      <c r="H4432" t="s">
        <v>23</v>
      </c>
      <c r="I4432" t="s">
        <v>24</v>
      </c>
      <c r="J4432" t="s">
        <v>25</v>
      </c>
      <c r="K4432" t="s">
        <v>26</v>
      </c>
      <c r="L4432" t="s">
        <v>44</v>
      </c>
      <c r="M4432">
        <v>8</v>
      </c>
      <c r="N4432" s="2">
        <v>55</v>
      </c>
      <c r="O4432" s="3">
        <v>6563</v>
      </c>
      <c r="P4432">
        <v>0</v>
      </c>
      <c r="Q4432">
        <v>5</v>
      </c>
      <c r="R4432" t="s">
        <v>33</v>
      </c>
      <c r="S4432">
        <v>1</v>
      </c>
    </row>
    <row r="4433" spans="1:19" ht="16.5" x14ac:dyDescent="0.3">
      <c r="A4433" t="s">
        <v>4496</v>
      </c>
      <c r="B4433" s="1">
        <v>45876</v>
      </c>
      <c r="C4433" s="1">
        <v>45878</v>
      </c>
      <c r="D4433">
        <v>2025</v>
      </c>
      <c r="E4433" t="s">
        <v>1445</v>
      </c>
      <c r="F4433" t="s">
        <v>1651</v>
      </c>
      <c r="G4433" t="s">
        <v>78</v>
      </c>
      <c r="H4433" t="s">
        <v>30</v>
      </c>
      <c r="I4433" t="s">
        <v>40</v>
      </c>
      <c r="J4433" t="s">
        <v>25</v>
      </c>
      <c r="K4433" t="s">
        <v>32</v>
      </c>
      <c r="L4433" t="s">
        <v>44</v>
      </c>
      <c r="M4433">
        <v>2</v>
      </c>
      <c r="N4433" s="2"/>
      <c r="O4433" s="3">
        <v>2784</v>
      </c>
      <c r="P4433">
        <v>0</v>
      </c>
      <c r="Q4433">
        <v>5</v>
      </c>
      <c r="R4433" t="s">
        <v>33</v>
      </c>
      <c r="S4433">
        <v>1</v>
      </c>
    </row>
    <row r="4434" spans="1:19" ht="16.5" x14ac:dyDescent="0.3">
      <c r="A4434" t="s">
        <v>4497</v>
      </c>
      <c r="B4434" s="1">
        <v>45876</v>
      </c>
      <c r="C4434" s="1">
        <v>45877</v>
      </c>
      <c r="D4434">
        <v>2025</v>
      </c>
      <c r="E4434" t="s">
        <v>1445</v>
      </c>
      <c r="F4434" t="s">
        <v>1651</v>
      </c>
      <c r="G4434" t="s">
        <v>78</v>
      </c>
      <c r="H4434" t="s">
        <v>52</v>
      </c>
      <c r="I4434" t="s">
        <v>40</v>
      </c>
      <c r="J4434" t="s">
        <v>25</v>
      </c>
      <c r="K4434" t="s">
        <v>53</v>
      </c>
      <c r="L4434" t="s">
        <v>44</v>
      </c>
      <c r="M4434">
        <v>1</v>
      </c>
      <c r="N4434" s="2"/>
      <c r="O4434" s="3">
        <v>1604</v>
      </c>
      <c r="P4434">
        <v>0</v>
      </c>
      <c r="Q4434">
        <v>4</v>
      </c>
      <c r="R4434" t="s">
        <v>33</v>
      </c>
      <c r="S4434">
        <v>1</v>
      </c>
    </row>
    <row r="4435" spans="1:19" ht="16.5" x14ac:dyDescent="0.3">
      <c r="A4435" t="s">
        <v>4498</v>
      </c>
      <c r="B4435" s="1">
        <v>45877</v>
      </c>
      <c r="C4435" s="1">
        <v>45878</v>
      </c>
      <c r="D4435">
        <v>2025</v>
      </c>
      <c r="E4435" t="s">
        <v>1445</v>
      </c>
      <c r="F4435" t="s">
        <v>1651</v>
      </c>
      <c r="G4435" t="s">
        <v>83</v>
      </c>
      <c r="H4435" t="s">
        <v>50</v>
      </c>
      <c r="I4435" t="s">
        <v>24</v>
      </c>
      <c r="J4435" t="s">
        <v>43</v>
      </c>
      <c r="K4435" t="s">
        <v>53</v>
      </c>
      <c r="L4435" t="s">
        <v>37</v>
      </c>
      <c r="M4435">
        <v>1</v>
      </c>
      <c r="N4435" s="2">
        <v>89</v>
      </c>
      <c r="O4435" s="3">
        <v>1648</v>
      </c>
      <c r="P4435">
        <v>1</v>
      </c>
      <c r="Q4435">
        <v>3</v>
      </c>
      <c r="R4435" t="s">
        <v>28</v>
      </c>
      <c r="S4435">
        <v>1</v>
      </c>
    </row>
    <row r="4436" spans="1:19" ht="16.5" x14ac:dyDescent="0.3">
      <c r="A4436" t="s">
        <v>4499</v>
      </c>
      <c r="B4436" s="1">
        <v>45877</v>
      </c>
      <c r="C4436" s="1">
        <v>45880</v>
      </c>
      <c r="D4436">
        <v>2025</v>
      </c>
      <c r="E4436" t="s">
        <v>1445</v>
      </c>
      <c r="F4436" t="s">
        <v>1651</v>
      </c>
      <c r="G4436" t="s">
        <v>83</v>
      </c>
      <c r="H4436" t="s">
        <v>23</v>
      </c>
      <c r="I4436" t="s">
        <v>31</v>
      </c>
      <c r="J4436" t="s">
        <v>25</v>
      </c>
      <c r="K4436" t="s">
        <v>32</v>
      </c>
      <c r="L4436" t="s">
        <v>44</v>
      </c>
      <c r="M4436">
        <v>3</v>
      </c>
      <c r="N4436" s="2"/>
      <c r="O4436" s="3">
        <v>2136</v>
      </c>
      <c r="P4436">
        <v>0</v>
      </c>
      <c r="Q4436">
        <v>4</v>
      </c>
      <c r="R4436" t="s">
        <v>33</v>
      </c>
      <c r="S4436">
        <v>1</v>
      </c>
    </row>
    <row r="4437" spans="1:19" ht="16.5" x14ac:dyDescent="0.3">
      <c r="A4437" t="s">
        <v>4500</v>
      </c>
      <c r="B4437" s="1">
        <v>45877</v>
      </c>
      <c r="C4437" s="1">
        <v>45881</v>
      </c>
      <c r="D4437">
        <v>2025</v>
      </c>
      <c r="E4437" t="s">
        <v>1445</v>
      </c>
      <c r="F4437" t="s">
        <v>1651</v>
      </c>
      <c r="G4437" t="s">
        <v>83</v>
      </c>
      <c r="H4437" t="s">
        <v>23</v>
      </c>
      <c r="I4437" t="s">
        <v>24</v>
      </c>
      <c r="J4437" t="s">
        <v>43</v>
      </c>
      <c r="K4437" t="s">
        <v>26</v>
      </c>
      <c r="L4437" t="s">
        <v>44</v>
      </c>
      <c r="M4437">
        <v>4</v>
      </c>
      <c r="N4437" s="2">
        <v>67</v>
      </c>
      <c r="O4437" s="3">
        <v>3630</v>
      </c>
      <c r="P4437">
        <v>0</v>
      </c>
      <c r="Q4437">
        <v>5</v>
      </c>
      <c r="R4437" t="s">
        <v>33</v>
      </c>
      <c r="S4437">
        <v>1</v>
      </c>
    </row>
    <row r="4438" spans="1:19" ht="16.5" x14ac:dyDescent="0.3">
      <c r="A4438" t="s">
        <v>4501</v>
      </c>
      <c r="B4438" s="1">
        <v>45877</v>
      </c>
      <c r="C4438" s="1">
        <v>45881</v>
      </c>
      <c r="D4438">
        <v>2025</v>
      </c>
      <c r="E4438" t="s">
        <v>1445</v>
      </c>
      <c r="F4438" t="s">
        <v>1651</v>
      </c>
      <c r="G4438" t="s">
        <v>83</v>
      </c>
      <c r="H4438" t="s">
        <v>35</v>
      </c>
      <c r="I4438" t="s">
        <v>40</v>
      </c>
      <c r="J4438" t="s">
        <v>25</v>
      </c>
      <c r="K4438" t="s">
        <v>36</v>
      </c>
      <c r="L4438" t="s">
        <v>44</v>
      </c>
      <c r="M4438">
        <v>4</v>
      </c>
      <c r="N4438" s="2"/>
      <c r="O4438" s="3">
        <v>3279</v>
      </c>
      <c r="P4438">
        <v>0</v>
      </c>
      <c r="Q4438">
        <v>4</v>
      </c>
      <c r="R4438" t="s">
        <v>33</v>
      </c>
      <c r="S4438">
        <v>1</v>
      </c>
    </row>
    <row r="4439" spans="1:19" ht="16.5" x14ac:dyDescent="0.3">
      <c r="A4439" t="s">
        <v>4502</v>
      </c>
      <c r="B4439" s="1">
        <v>45877</v>
      </c>
      <c r="C4439" s="1">
        <v>45879</v>
      </c>
      <c r="D4439">
        <v>2025</v>
      </c>
      <c r="E4439" t="s">
        <v>1445</v>
      </c>
      <c r="F4439" t="s">
        <v>1651</v>
      </c>
      <c r="G4439" t="s">
        <v>83</v>
      </c>
      <c r="H4439" t="s">
        <v>30</v>
      </c>
      <c r="I4439" t="s">
        <v>40</v>
      </c>
      <c r="J4439" t="s">
        <v>43</v>
      </c>
      <c r="K4439" t="s">
        <v>32</v>
      </c>
      <c r="L4439" t="s">
        <v>44</v>
      </c>
      <c r="M4439">
        <v>2</v>
      </c>
      <c r="N4439" s="2"/>
      <c r="O4439" s="3">
        <v>3364</v>
      </c>
      <c r="P4439">
        <v>0</v>
      </c>
      <c r="Q4439">
        <v>4</v>
      </c>
      <c r="R4439" t="s">
        <v>33</v>
      </c>
      <c r="S4439">
        <v>1</v>
      </c>
    </row>
    <row r="4440" spans="1:19" ht="16.5" x14ac:dyDescent="0.3">
      <c r="A4440" t="s">
        <v>4503</v>
      </c>
      <c r="B4440" s="1">
        <v>45877</v>
      </c>
      <c r="C4440" s="1">
        <v>45881</v>
      </c>
      <c r="D4440">
        <v>2025</v>
      </c>
      <c r="E4440" t="s">
        <v>1445</v>
      </c>
      <c r="F4440" t="s">
        <v>1651</v>
      </c>
      <c r="G4440" t="s">
        <v>83</v>
      </c>
      <c r="H4440" t="s">
        <v>52</v>
      </c>
      <c r="I4440" t="s">
        <v>40</v>
      </c>
      <c r="J4440" t="s">
        <v>25</v>
      </c>
      <c r="K4440" t="s">
        <v>36</v>
      </c>
      <c r="L4440" t="s">
        <v>27</v>
      </c>
      <c r="M4440">
        <v>4</v>
      </c>
      <c r="N4440" s="2"/>
      <c r="O4440" s="3">
        <v>4064</v>
      </c>
      <c r="P4440">
        <v>0</v>
      </c>
      <c r="Q4440">
        <v>3</v>
      </c>
      <c r="R4440" t="s">
        <v>33</v>
      </c>
      <c r="S4440">
        <v>1</v>
      </c>
    </row>
    <row r="4441" spans="1:19" ht="16.5" x14ac:dyDescent="0.3">
      <c r="A4441" t="s">
        <v>4504</v>
      </c>
      <c r="B4441" s="1">
        <v>45877</v>
      </c>
      <c r="C4441" s="1">
        <v>45879</v>
      </c>
      <c r="D4441">
        <v>2025</v>
      </c>
      <c r="E4441" t="s">
        <v>1445</v>
      </c>
      <c r="F4441" t="s">
        <v>1651</v>
      </c>
      <c r="G4441" t="s">
        <v>83</v>
      </c>
      <c r="H4441" t="s">
        <v>35</v>
      </c>
      <c r="I4441" t="s">
        <v>24</v>
      </c>
      <c r="J4441" t="s">
        <v>25</v>
      </c>
      <c r="K4441" t="s">
        <v>32</v>
      </c>
      <c r="L4441" t="s">
        <v>27</v>
      </c>
      <c r="M4441">
        <v>2</v>
      </c>
      <c r="N4441" s="2">
        <v>93</v>
      </c>
      <c r="O4441" s="3">
        <v>2390</v>
      </c>
      <c r="P4441">
        <v>0</v>
      </c>
      <c r="Q4441">
        <v>4</v>
      </c>
      <c r="R4441" t="s">
        <v>28</v>
      </c>
      <c r="S4441">
        <v>1</v>
      </c>
    </row>
    <row r="4442" spans="1:19" ht="16.5" x14ac:dyDescent="0.3">
      <c r="A4442" t="s">
        <v>4505</v>
      </c>
      <c r="B4442" s="1">
        <v>45878</v>
      </c>
      <c r="C4442" s="1">
        <v>45884</v>
      </c>
      <c r="D4442">
        <v>2025</v>
      </c>
      <c r="E4442" t="s">
        <v>1445</v>
      </c>
      <c r="F4442" t="s">
        <v>1651</v>
      </c>
      <c r="G4442" t="s">
        <v>102</v>
      </c>
      <c r="H4442" t="s">
        <v>30</v>
      </c>
      <c r="I4442" t="s">
        <v>24</v>
      </c>
      <c r="J4442" t="s">
        <v>25</v>
      </c>
      <c r="K4442" t="s">
        <v>53</v>
      </c>
      <c r="L4442" t="s">
        <v>44</v>
      </c>
      <c r="M4442">
        <v>6</v>
      </c>
      <c r="N4442" s="2">
        <v>35</v>
      </c>
      <c r="O4442" s="3">
        <v>6391</v>
      </c>
      <c r="P4442">
        <v>0</v>
      </c>
      <c r="Q4442">
        <v>4</v>
      </c>
      <c r="R4442" t="s">
        <v>33</v>
      </c>
      <c r="S4442">
        <v>1</v>
      </c>
    </row>
    <row r="4443" spans="1:19" ht="16.5" x14ac:dyDescent="0.3">
      <c r="A4443" t="s">
        <v>4506</v>
      </c>
      <c r="B4443" s="1">
        <v>45878</v>
      </c>
      <c r="C4443" s="1">
        <v>45884</v>
      </c>
      <c r="D4443">
        <v>2025</v>
      </c>
      <c r="E4443" t="s">
        <v>1445</v>
      </c>
      <c r="F4443" t="s">
        <v>1651</v>
      </c>
      <c r="G4443" t="s">
        <v>102</v>
      </c>
      <c r="H4443" t="s">
        <v>39</v>
      </c>
      <c r="I4443" t="s">
        <v>40</v>
      </c>
      <c r="J4443" t="s">
        <v>43</v>
      </c>
      <c r="K4443" t="s">
        <v>41</v>
      </c>
      <c r="L4443" t="s">
        <v>27</v>
      </c>
      <c r="M4443">
        <v>6</v>
      </c>
      <c r="N4443" s="2"/>
      <c r="O4443" s="3">
        <v>3200</v>
      </c>
      <c r="P4443">
        <v>1</v>
      </c>
      <c r="Q4443">
        <v>5</v>
      </c>
      <c r="R4443" t="s">
        <v>28</v>
      </c>
      <c r="S4443">
        <v>1</v>
      </c>
    </row>
    <row r="4444" spans="1:19" ht="16.5" x14ac:dyDescent="0.3">
      <c r="A4444" t="s">
        <v>4507</v>
      </c>
      <c r="B4444" s="1">
        <v>45878</v>
      </c>
      <c r="C4444" s="1">
        <v>45883</v>
      </c>
      <c r="D4444">
        <v>2025</v>
      </c>
      <c r="E4444" t="s">
        <v>1445</v>
      </c>
      <c r="F4444" t="s">
        <v>1651</v>
      </c>
      <c r="G4444" t="s">
        <v>102</v>
      </c>
      <c r="H4444" t="s">
        <v>39</v>
      </c>
      <c r="I4444" t="s">
        <v>24</v>
      </c>
      <c r="J4444" t="s">
        <v>25</v>
      </c>
      <c r="K4444" t="s">
        <v>41</v>
      </c>
      <c r="L4444" t="s">
        <v>27</v>
      </c>
      <c r="M4444">
        <v>5</v>
      </c>
      <c r="N4444" s="2">
        <v>47</v>
      </c>
      <c r="O4444" s="3">
        <v>3951</v>
      </c>
      <c r="P4444">
        <v>0</v>
      </c>
      <c r="Q4444">
        <v>4</v>
      </c>
      <c r="R4444" t="s">
        <v>33</v>
      </c>
      <c r="S4444">
        <v>1</v>
      </c>
    </row>
    <row r="4445" spans="1:19" ht="16.5" x14ac:dyDescent="0.3">
      <c r="A4445" t="s">
        <v>4508</v>
      </c>
      <c r="B4445" s="1">
        <v>45879</v>
      </c>
      <c r="C4445" s="1">
        <v>45880</v>
      </c>
      <c r="D4445">
        <v>2025</v>
      </c>
      <c r="E4445" t="s">
        <v>1445</v>
      </c>
      <c r="F4445" t="s">
        <v>1651</v>
      </c>
      <c r="G4445" t="s">
        <v>112</v>
      </c>
      <c r="H4445" t="s">
        <v>39</v>
      </c>
      <c r="I4445" t="s">
        <v>24</v>
      </c>
      <c r="J4445" t="s">
        <v>43</v>
      </c>
      <c r="K4445" t="s">
        <v>41</v>
      </c>
      <c r="L4445" t="s">
        <v>27</v>
      </c>
      <c r="M4445">
        <v>1</v>
      </c>
      <c r="N4445" s="2">
        <v>67</v>
      </c>
      <c r="O4445" s="3">
        <v>1606</v>
      </c>
      <c r="P4445">
        <v>0</v>
      </c>
      <c r="Q4445">
        <v>4</v>
      </c>
      <c r="R4445" t="s">
        <v>33</v>
      </c>
      <c r="S4445">
        <v>1</v>
      </c>
    </row>
    <row r="4446" spans="1:19" ht="16.5" x14ac:dyDescent="0.3">
      <c r="A4446" t="s">
        <v>4509</v>
      </c>
      <c r="B4446" s="1">
        <v>45879</v>
      </c>
      <c r="C4446" s="1">
        <v>45880</v>
      </c>
      <c r="D4446">
        <v>2025</v>
      </c>
      <c r="E4446" t="s">
        <v>1445</v>
      </c>
      <c r="F4446" t="s">
        <v>1651</v>
      </c>
      <c r="G4446" t="s">
        <v>112</v>
      </c>
      <c r="H4446" t="s">
        <v>35</v>
      </c>
      <c r="I4446" t="s">
        <v>24</v>
      </c>
      <c r="J4446" t="s">
        <v>25</v>
      </c>
      <c r="K4446" t="s">
        <v>36</v>
      </c>
      <c r="L4446" t="s">
        <v>27</v>
      </c>
      <c r="M4446">
        <v>1</v>
      </c>
      <c r="N4446" s="2">
        <v>28</v>
      </c>
      <c r="O4446" s="3">
        <v>1413</v>
      </c>
      <c r="P4446">
        <v>0</v>
      </c>
      <c r="Q4446">
        <v>4</v>
      </c>
      <c r="R4446" t="s">
        <v>28</v>
      </c>
      <c r="S4446">
        <v>1</v>
      </c>
    </row>
    <row r="4447" spans="1:19" ht="16.5" x14ac:dyDescent="0.3">
      <c r="A4447" t="s">
        <v>4510</v>
      </c>
      <c r="B4447" s="1">
        <v>45879</v>
      </c>
      <c r="C4447" s="1">
        <v>45887</v>
      </c>
      <c r="D4447">
        <v>2025</v>
      </c>
      <c r="E4447" t="s">
        <v>1445</v>
      </c>
      <c r="F4447" t="s">
        <v>1651</v>
      </c>
      <c r="G4447" t="s">
        <v>112</v>
      </c>
      <c r="H4447" t="s">
        <v>23</v>
      </c>
      <c r="I4447" t="s">
        <v>24</v>
      </c>
      <c r="J4447" t="s">
        <v>43</v>
      </c>
      <c r="K4447" t="s">
        <v>36</v>
      </c>
      <c r="L4447" t="s">
        <v>27</v>
      </c>
      <c r="M4447">
        <v>8</v>
      </c>
      <c r="N4447" s="2">
        <v>12</v>
      </c>
      <c r="O4447" s="3">
        <v>5735</v>
      </c>
      <c r="P4447">
        <v>0</v>
      </c>
      <c r="Q4447">
        <v>3</v>
      </c>
      <c r="R4447" t="s">
        <v>33</v>
      </c>
      <c r="S4447">
        <v>1</v>
      </c>
    </row>
    <row r="4448" spans="1:19" ht="16.5" x14ac:dyDescent="0.3">
      <c r="A4448" t="s">
        <v>4511</v>
      </c>
      <c r="B4448" s="1">
        <v>45879</v>
      </c>
      <c r="C4448" s="1">
        <v>45891</v>
      </c>
      <c r="D4448">
        <v>2025</v>
      </c>
      <c r="E4448" t="s">
        <v>1445</v>
      </c>
      <c r="F4448" t="s">
        <v>1651</v>
      </c>
      <c r="G4448" t="s">
        <v>112</v>
      </c>
      <c r="H4448" t="s">
        <v>23</v>
      </c>
      <c r="I4448" t="s">
        <v>24</v>
      </c>
      <c r="J4448" t="s">
        <v>43</v>
      </c>
      <c r="K4448" t="s">
        <v>53</v>
      </c>
      <c r="L4448" t="s">
        <v>44</v>
      </c>
      <c r="M4448">
        <v>12</v>
      </c>
      <c r="N4448" s="2">
        <v>82</v>
      </c>
      <c r="O4448" s="3">
        <v>8575</v>
      </c>
      <c r="P4448">
        <v>0</v>
      </c>
      <c r="Q4448">
        <v>5</v>
      </c>
      <c r="R4448" t="s">
        <v>33</v>
      </c>
      <c r="S4448">
        <v>1</v>
      </c>
    </row>
    <row r="4449" spans="1:19" ht="16.5" x14ac:dyDescent="0.3">
      <c r="A4449" t="s">
        <v>4512</v>
      </c>
      <c r="B4449" s="1">
        <v>45880</v>
      </c>
      <c r="C4449" s="1">
        <v>45884</v>
      </c>
      <c r="D4449">
        <v>2025</v>
      </c>
      <c r="E4449" t="s">
        <v>1445</v>
      </c>
      <c r="F4449" t="s">
        <v>1651</v>
      </c>
      <c r="G4449" t="s">
        <v>22</v>
      </c>
      <c r="H4449" t="s">
        <v>52</v>
      </c>
      <c r="I4449" t="s">
        <v>40</v>
      </c>
      <c r="J4449" t="s">
        <v>25</v>
      </c>
      <c r="K4449" t="s">
        <v>26</v>
      </c>
      <c r="L4449" t="s">
        <v>27</v>
      </c>
      <c r="M4449">
        <v>4</v>
      </c>
      <c r="N4449" s="2"/>
      <c r="O4449" s="3">
        <v>4683</v>
      </c>
      <c r="P4449">
        <v>1</v>
      </c>
      <c r="Q4449">
        <v>3</v>
      </c>
      <c r="R4449" t="s">
        <v>33</v>
      </c>
      <c r="S4449">
        <v>1</v>
      </c>
    </row>
    <row r="4450" spans="1:19" ht="16.5" x14ac:dyDescent="0.3">
      <c r="A4450" t="s">
        <v>4513</v>
      </c>
      <c r="B4450" s="1">
        <v>45880</v>
      </c>
      <c r="C4450" s="1">
        <v>45894</v>
      </c>
      <c r="D4450">
        <v>2025</v>
      </c>
      <c r="E4450" t="s">
        <v>1445</v>
      </c>
      <c r="F4450" t="s">
        <v>1651</v>
      </c>
      <c r="G4450" t="s">
        <v>22</v>
      </c>
      <c r="H4450" t="s">
        <v>23</v>
      </c>
      <c r="I4450" t="s">
        <v>24</v>
      </c>
      <c r="J4450" t="s">
        <v>43</v>
      </c>
      <c r="K4450" t="s">
        <v>26</v>
      </c>
      <c r="L4450" t="s">
        <v>27</v>
      </c>
      <c r="M4450">
        <v>14</v>
      </c>
      <c r="N4450" s="2">
        <v>90</v>
      </c>
      <c r="O4450" s="3">
        <v>9524</v>
      </c>
      <c r="P4450">
        <v>0</v>
      </c>
      <c r="Q4450">
        <v>5</v>
      </c>
      <c r="R4450" t="s">
        <v>33</v>
      </c>
      <c r="S4450">
        <v>1</v>
      </c>
    </row>
    <row r="4451" spans="1:19" ht="16.5" x14ac:dyDescent="0.3">
      <c r="A4451" t="s">
        <v>4514</v>
      </c>
      <c r="B4451" s="1">
        <v>45880</v>
      </c>
      <c r="C4451" s="1">
        <v>45886</v>
      </c>
      <c r="D4451">
        <v>2025</v>
      </c>
      <c r="E4451" t="s">
        <v>1445</v>
      </c>
      <c r="F4451" t="s">
        <v>1651</v>
      </c>
      <c r="G4451" t="s">
        <v>22</v>
      </c>
      <c r="H4451" t="s">
        <v>50</v>
      </c>
      <c r="I4451" t="s">
        <v>24</v>
      </c>
      <c r="J4451" t="s">
        <v>43</v>
      </c>
      <c r="K4451" t="s">
        <v>32</v>
      </c>
      <c r="L4451" t="s">
        <v>44</v>
      </c>
      <c r="M4451">
        <v>6</v>
      </c>
      <c r="N4451" s="2">
        <v>64</v>
      </c>
      <c r="O4451" s="3">
        <v>8504</v>
      </c>
      <c r="P4451">
        <v>0</v>
      </c>
      <c r="Q4451">
        <v>5</v>
      </c>
      <c r="R4451" t="s">
        <v>28</v>
      </c>
      <c r="S4451">
        <v>1</v>
      </c>
    </row>
    <row r="4452" spans="1:19" ht="16.5" x14ac:dyDescent="0.3">
      <c r="A4452" t="s">
        <v>4515</v>
      </c>
      <c r="B4452" s="1">
        <v>45880</v>
      </c>
      <c r="C4452" s="1">
        <v>45881</v>
      </c>
      <c r="D4452">
        <v>2025</v>
      </c>
      <c r="E4452" t="s">
        <v>1445</v>
      </c>
      <c r="F4452" t="s">
        <v>1651</v>
      </c>
      <c r="G4452" t="s">
        <v>22</v>
      </c>
      <c r="H4452" t="s">
        <v>52</v>
      </c>
      <c r="I4452" t="s">
        <v>40</v>
      </c>
      <c r="J4452" t="s">
        <v>43</v>
      </c>
      <c r="K4452" t="s">
        <v>32</v>
      </c>
      <c r="L4452" t="s">
        <v>27</v>
      </c>
      <c r="M4452">
        <v>1</v>
      </c>
      <c r="N4452" s="2"/>
      <c r="O4452" s="3">
        <v>1882</v>
      </c>
      <c r="P4452">
        <v>0</v>
      </c>
      <c r="Q4452">
        <v>5</v>
      </c>
      <c r="R4452" t="s">
        <v>28</v>
      </c>
      <c r="S4452">
        <v>1</v>
      </c>
    </row>
    <row r="4453" spans="1:19" ht="16.5" x14ac:dyDescent="0.3">
      <c r="A4453" t="s">
        <v>4516</v>
      </c>
      <c r="B4453" s="1">
        <v>45880</v>
      </c>
      <c r="C4453" s="1">
        <v>45883</v>
      </c>
      <c r="D4453">
        <v>2025</v>
      </c>
      <c r="E4453" t="s">
        <v>1445</v>
      </c>
      <c r="F4453" t="s">
        <v>1651</v>
      </c>
      <c r="G4453" t="s">
        <v>22</v>
      </c>
      <c r="H4453" t="s">
        <v>50</v>
      </c>
      <c r="I4453" t="s">
        <v>40</v>
      </c>
      <c r="J4453" t="s">
        <v>43</v>
      </c>
      <c r="K4453" t="s">
        <v>26</v>
      </c>
      <c r="L4453" t="s">
        <v>27</v>
      </c>
      <c r="M4453">
        <v>3</v>
      </c>
      <c r="N4453" s="2"/>
      <c r="O4453" s="3">
        <v>6214</v>
      </c>
      <c r="P4453">
        <v>1</v>
      </c>
      <c r="Q4453">
        <v>4</v>
      </c>
      <c r="R4453" t="s">
        <v>28</v>
      </c>
      <c r="S4453">
        <v>1</v>
      </c>
    </row>
    <row r="4454" spans="1:19" ht="16.5" x14ac:dyDescent="0.3">
      <c r="A4454" t="s">
        <v>4517</v>
      </c>
      <c r="B4454" s="1">
        <v>45880</v>
      </c>
      <c r="C4454" s="1">
        <v>45883</v>
      </c>
      <c r="D4454">
        <v>2025</v>
      </c>
      <c r="E4454" t="s">
        <v>1445</v>
      </c>
      <c r="F4454" t="s">
        <v>1651</v>
      </c>
      <c r="G4454" t="s">
        <v>22</v>
      </c>
      <c r="H4454" t="s">
        <v>23</v>
      </c>
      <c r="I4454" t="s">
        <v>24</v>
      </c>
      <c r="J4454" t="s">
        <v>25</v>
      </c>
      <c r="K4454" t="s">
        <v>32</v>
      </c>
      <c r="L4454" t="s">
        <v>27</v>
      </c>
      <c r="M4454">
        <v>3</v>
      </c>
      <c r="N4454" s="2">
        <v>28</v>
      </c>
      <c r="O4454" s="3">
        <v>2652</v>
      </c>
      <c r="P4454">
        <v>0</v>
      </c>
      <c r="Q4454">
        <v>5</v>
      </c>
      <c r="R4454" t="s">
        <v>28</v>
      </c>
      <c r="S4454">
        <v>1</v>
      </c>
    </row>
    <row r="4455" spans="1:19" ht="16.5" x14ac:dyDescent="0.3">
      <c r="A4455" t="s">
        <v>4518</v>
      </c>
      <c r="B4455" s="1">
        <v>45880</v>
      </c>
      <c r="C4455" s="1">
        <v>45883</v>
      </c>
      <c r="D4455">
        <v>2025</v>
      </c>
      <c r="E4455" t="s">
        <v>1445</v>
      </c>
      <c r="F4455" t="s">
        <v>1651</v>
      </c>
      <c r="G4455" t="s">
        <v>22</v>
      </c>
      <c r="H4455" t="s">
        <v>50</v>
      </c>
      <c r="I4455" t="s">
        <v>31</v>
      </c>
      <c r="J4455" t="s">
        <v>25</v>
      </c>
      <c r="K4455" t="s">
        <v>53</v>
      </c>
      <c r="L4455" t="s">
        <v>27</v>
      </c>
      <c r="M4455">
        <v>3</v>
      </c>
      <c r="N4455" s="2"/>
      <c r="O4455" s="3">
        <v>4275</v>
      </c>
      <c r="P4455">
        <v>0</v>
      </c>
      <c r="Q4455">
        <v>5</v>
      </c>
      <c r="R4455" t="s">
        <v>33</v>
      </c>
      <c r="S4455">
        <v>1</v>
      </c>
    </row>
    <row r="4456" spans="1:19" ht="16.5" x14ac:dyDescent="0.3">
      <c r="A4456" t="s">
        <v>4519</v>
      </c>
      <c r="B4456" s="1">
        <v>45880</v>
      </c>
      <c r="C4456" s="1">
        <v>45886</v>
      </c>
      <c r="D4456">
        <v>2025</v>
      </c>
      <c r="E4456" t="s">
        <v>1445</v>
      </c>
      <c r="F4456" t="s">
        <v>1651</v>
      </c>
      <c r="G4456" t="s">
        <v>22</v>
      </c>
      <c r="H4456" t="s">
        <v>23</v>
      </c>
      <c r="I4456" t="s">
        <v>24</v>
      </c>
      <c r="J4456" t="s">
        <v>43</v>
      </c>
      <c r="K4456" t="s">
        <v>26</v>
      </c>
      <c r="L4456" t="s">
        <v>44</v>
      </c>
      <c r="M4456">
        <v>6</v>
      </c>
      <c r="N4456" s="2">
        <v>40</v>
      </c>
      <c r="O4456" s="3">
        <v>4998</v>
      </c>
      <c r="P4456">
        <v>0</v>
      </c>
      <c r="Q4456">
        <v>4</v>
      </c>
      <c r="R4456" t="s">
        <v>33</v>
      </c>
      <c r="S4456">
        <v>1</v>
      </c>
    </row>
    <row r="4457" spans="1:19" ht="16.5" x14ac:dyDescent="0.3">
      <c r="A4457" t="s">
        <v>4520</v>
      </c>
      <c r="B4457" s="1">
        <v>45880</v>
      </c>
      <c r="C4457" s="1">
        <v>45881</v>
      </c>
      <c r="D4457">
        <v>2025</v>
      </c>
      <c r="E4457" t="s">
        <v>1445</v>
      </c>
      <c r="F4457" t="s">
        <v>1651</v>
      </c>
      <c r="G4457" t="s">
        <v>22</v>
      </c>
      <c r="H4457" t="s">
        <v>39</v>
      </c>
      <c r="I4457" t="s">
        <v>24</v>
      </c>
      <c r="J4457" t="s">
        <v>25</v>
      </c>
      <c r="K4457" t="s">
        <v>41</v>
      </c>
      <c r="L4457" t="s">
        <v>44</v>
      </c>
      <c r="M4457">
        <v>1</v>
      </c>
      <c r="N4457" s="2">
        <v>51</v>
      </c>
      <c r="O4457" s="3">
        <v>1680</v>
      </c>
      <c r="P4457">
        <v>0</v>
      </c>
      <c r="Q4457">
        <v>4</v>
      </c>
      <c r="R4457" t="s">
        <v>33</v>
      </c>
      <c r="S4457">
        <v>1</v>
      </c>
    </row>
    <row r="4458" spans="1:19" ht="16.5" x14ac:dyDescent="0.3">
      <c r="A4458" t="s">
        <v>4521</v>
      </c>
      <c r="B4458" s="1">
        <v>45880</v>
      </c>
      <c r="C4458" s="1">
        <v>45886</v>
      </c>
      <c r="D4458">
        <v>2025</v>
      </c>
      <c r="E4458" t="s">
        <v>1445</v>
      </c>
      <c r="F4458" t="s">
        <v>1651</v>
      </c>
      <c r="G4458" t="s">
        <v>22</v>
      </c>
      <c r="H4458" t="s">
        <v>30</v>
      </c>
      <c r="I4458" t="s">
        <v>24</v>
      </c>
      <c r="J4458" t="s">
        <v>43</v>
      </c>
      <c r="K4458" t="s">
        <v>53</v>
      </c>
      <c r="L4458" t="s">
        <v>44</v>
      </c>
      <c r="M4458">
        <v>6</v>
      </c>
      <c r="N4458" s="2">
        <v>53</v>
      </c>
      <c r="O4458" s="3">
        <v>7405</v>
      </c>
      <c r="P4458">
        <v>0</v>
      </c>
      <c r="Q4458">
        <v>5</v>
      </c>
      <c r="R4458" t="s">
        <v>33</v>
      </c>
      <c r="S4458">
        <v>1</v>
      </c>
    </row>
    <row r="4459" spans="1:19" ht="16.5" x14ac:dyDescent="0.3">
      <c r="A4459" t="s">
        <v>4522</v>
      </c>
      <c r="B4459" s="1">
        <v>45881</v>
      </c>
      <c r="C4459" s="1">
        <v>45884</v>
      </c>
      <c r="D4459">
        <v>2025</v>
      </c>
      <c r="E4459" t="s">
        <v>1445</v>
      </c>
      <c r="F4459" t="s">
        <v>1651</v>
      </c>
      <c r="G4459" t="s">
        <v>56</v>
      </c>
      <c r="H4459" t="s">
        <v>52</v>
      </c>
      <c r="I4459" t="s">
        <v>40</v>
      </c>
      <c r="J4459" t="s">
        <v>43</v>
      </c>
      <c r="K4459" t="s">
        <v>32</v>
      </c>
      <c r="L4459" t="s">
        <v>37</v>
      </c>
      <c r="M4459">
        <v>3</v>
      </c>
      <c r="N4459" s="2"/>
      <c r="O4459" s="3">
        <v>3784</v>
      </c>
      <c r="P4459">
        <v>0</v>
      </c>
      <c r="Q4459">
        <v>4</v>
      </c>
      <c r="R4459" t="s">
        <v>33</v>
      </c>
      <c r="S4459">
        <v>1</v>
      </c>
    </row>
    <row r="4460" spans="1:19" ht="16.5" x14ac:dyDescent="0.3">
      <c r="A4460" t="s">
        <v>4523</v>
      </c>
      <c r="B4460" s="1">
        <v>45881</v>
      </c>
      <c r="C4460" s="1">
        <v>45885</v>
      </c>
      <c r="D4460">
        <v>2025</v>
      </c>
      <c r="E4460" t="s">
        <v>1445</v>
      </c>
      <c r="F4460" t="s">
        <v>1651</v>
      </c>
      <c r="G4460" t="s">
        <v>56</v>
      </c>
      <c r="H4460" t="s">
        <v>52</v>
      </c>
      <c r="I4460" t="s">
        <v>40</v>
      </c>
      <c r="J4460" t="s">
        <v>43</v>
      </c>
      <c r="K4460" t="s">
        <v>26</v>
      </c>
      <c r="L4460" t="s">
        <v>44</v>
      </c>
      <c r="M4460">
        <v>4</v>
      </c>
      <c r="N4460" s="2"/>
      <c r="O4460" s="3">
        <v>3650</v>
      </c>
      <c r="P4460">
        <v>0</v>
      </c>
      <c r="Q4460">
        <v>4</v>
      </c>
      <c r="R4460" t="s">
        <v>28</v>
      </c>
      <c r="S4460">
        <v>1</v>
      </c>
    </row>
    <row r="4461" spans="1:19" ht="16.5" x14ac:dyDescent="0.3">
      <c r="A4461" t="s">
        <v>4524</v>
      </c>
      <c r="B4461" s="1">
        <v>45881</v>
      </c>
      <c r="C4461" s="1">
        <v>45887</v>
      </c>
      <c r="D4461">
        <v>2025</v>
      </c>
      <c r="E4461" t="s">
        <v>1445</v>
      </c>
      <c r="F4461" t="s">
        <v>1651</v>
      </c>
      <c r="G4461" t="s">
        <v>56</v>
      </c>
      <c r="H4461" t="s">
        <v>52</v>
      </c>
      <c r="I4461" t="s">
        <v>40</v>
      </c>
      <c r="J4461" t="s">
        <v>43</v>
      </c>
      <c r="K4461" t="s">
        <v>32</v>
      </c>
      <c r="L4461" t="s">
        <v>44</v>
      </c>
      <c r="M4461">
        <v>6</v>
      </c>
      <c r="N4461" s="2"/>
      <c r="O4461" s="3">
        <v>5796</v>
      </c>
      <c r="P4461">
        <v>0</v>
      </c>
      <c r="Q4461">
        <v>2</v>
      </c>
      <c r="R4461" t="s">
        <v>28</v>
      </c>
      <c r="S4461">
        <v>1</v>
      </c>
    </row>
    <row r="4462" spans="1:19" ht="16.5" x14ac:dyDescent="0.3">
      <c r="A4462" t="s">
        <v>4525</v>
      </c>
      <c r="B4462" s="1">
        <v>45881</v>
      </c>
      <c r="C4462" s="1">
        <v>45889</v>
      </c>
      <c r="D4462">
        <v>2025</v>
      </c>
      <c r="E4462" t="s">
        <v>1445</v>
      </c>
      <c r="F4462" t="s">
        <v>1651</v>
      </c>
      <c r="G4462" t="s">
        <v>56</v>
      </c>
      <c r="H4462" t="s">
        <v>30</v>
      </c>
      <c r="I4462" t="s">
        <v>40</v>
      </c>
      <c r="J4462" t="s">
        <v>43</v>
      </c>
      <c r="K4462" t="s">
        <v>26</v>
      </c>
      <c r="L4462" t="s">
        <v>44</v>
      </c>
      <c r="M4462">
        <v>8</v>
      </c>
      <c r="N4462" s="2"/>
      <c r="O4462" s="3">
        <v>9868</v>
      </c>
      <c r="P4462">
        <v>0</v>
      </c>
      <c r="Q4462">
        <v>5</v>
      </c>
      <c r="R4462" t="s">
        <v>33</v>
      </c>
      <c r="S4462">
        <v>1</v>
      </c>
    </row>
    <row r="4463" spans="1:19" ht="16.5" x14ac:dyDescent="0.3">
      <c r="A4463" t="s">
        <v>4526</v>
      </c>
      <c r="B4463" s="1">
        <v>45881</v>
      </c>
      <c r="C4463" s="1">
        <v>45887</v>
      </c>
      <c r="D4463">
        <v>2025</v>
      </c>
      <c r="E4463" t="s">
        <v>1445</v>
      </c>
      <c r="F4463" t="s">
        <v>1651</v>
      </c>
      <c r="G4463" t="s">
        <v>56</v>
      </c>
      <c r="H4463" t="s">
        <v>23</v>
      </c>
      <c r="I4463" t="s">
        <v>40</v>
      </c>
      <c r="J4463" t="s">
        <v>25</v>
      </c>
      <c r="K4463" t="s">
        <v>26</v>
      </c>
      <c r="L4463" t="s">
        <v>44</v>
      </c>
      <c r="M4463">
        <v>6</v>
      </c>
      <c r="N4463" s="2"/>
      <c r="O4463" s="3">
        <v>4388</v>
      </c>
      <c r="P4463">
        <v>0</v>
      </c>
      <c r="Q4463">
        <v>5</v>
      </c>
      <c r="R4463" t="s">
        <v>33</v>
      </c>
      <c r="S4463">
        <v>1</v>
      </c>
    </row>
    <row r="4464" spans="1:19" ht="16.5" x14ac:dyDescent="0.3">
      <c r="A4464" t="s">
        <v>4527</v>
      </c>
      <c r="B4464" s="1">
        <v>45882</v>
      </c>
      <c r="C4464" s="1">
        <v>45888</v>
      </c>
      <c r="D4464">
        <v>2025</v>
      </c>
      <c r="E4464" t="s">
        <v>1445</v>
      </c>
      <c r="F4464" t="s">
        <v>1651</v>
      </c>
      <c r="G4464" t="s">
        <v>70</v>
      </c>
      <c r="H4464" t="s">
        <v>50</v>
      </c>
      <c r="I4464" t="s">
        <v>24</v>
      </c>
      <c r="J4464" t="s">
        <v>43</v>
      </c>
      <c r="K4464" t="s">
        <v>53</v>
      </c>
      <c r="L4464" t="s">
        <v>44</v>
      </c>
      <c r="M4464">
        <v>6</v>
      </c>
      <c r="N4464" s="2">
        <v>57</v>
      </c>
      <c r="O4464" s="3">
        <v>8381</v>
      </c>
      <c r="P4464">
        <v>0</v>
      </c>
      <c r="Q4464">
        <v>5</v>
      </c>
      <c r="R4464" t="s">
        <v>33</v>
      </c>
      <c r="S4464">
        <v>1</v>
      </c>
    </row>
    <row r="4465" spans="1:19" ht="16.5" x14ac:dyDescent="0.3">
      <c r="A4465" t="s">
        <v>4528</v>
      </c>
      <c r="B4465" s="1">
        <v>45882</v>
      </c>
      <c r="C4465" s="1">
        <v>45883</v>
      </c>
      <c r="D4465">
        <v>2025</v>
      </c>
      <c r="E4465" t="s">
        <v>1445</v>
      </c>
      <c r="F4465" t="s">
        <v>1651</v>
      </c>
      <c r="G4465" t="s">
        <v>70</v>
      </c>
      <c r="H4465" t="s">
        <v>50</v>
      </c>
      <c r="I4465" t="s">
        <v>24</v>
      </c>
      <c r="J4465" t="s">
        <v>43</v>
      </c>
      <c r="K4465" t="s">
        <v>53</v>
      </c>
      <c r="L4465" t="s">
        <v>44</v>
      </c>
      <c r="M4465">
        <v>1</v>
      </c>
      <c r="N4465" s="2">
        <v>44</v>
      </c>
      <c r="O4465" s="3">
        <v>2535</v>
      </c>
      <c r="P4465">
        <v>0</v>
      </c>
      <c r="Q4465">
        <v>5</v>
      </c>
      <c r="R4465" t="s">
        <v>33</v>
      </c>
      <c r="S4465">
        <v>1</v>
      </c>
    </row>
    <row r="4466" spans="1:19" ht="16.5" x14ac:dyDescent="0.3">
      <c r="A4466" t="s">
        <v>4529</v>
      </c>
      <c r="B4466" s="1">
        <v>45882</v>
      </c>
      <c r="C4466" s="1">
        <v>45886</v>
      </c>
      <c r="D4466">
        <v>2025</v>
      </c>
      <c r="E4466" t="s">
        <v>1445</v>
      </c>
      <c r="F4466" t="s">
        <v>1651</v>
      </c>
      <c r="G4466" t="s">
        <v>70</v>
      </c>
      <c r="H4466" t="s">
        <v>39</v>
      </c>
      <c r="I4466" t="s">
        <v>40</v>
      </c>
      <c r="J4466" t="s">
        <v>25</v>
      </c>
      <c r="K4466" t="s">
        <v>41</v>
      </c>
      <c r="L4466" t="s">
        <v>44</v>
      </c>
      <c r="M4466">
        <v>4</v>
      </c>
      <c r="N4466" s="2"/>
      <c r="O4466" s="3">
        <v>2698</v>
      </c>
      <c r="P4466">
        <v>0</v>
      </c>
      <c r="Q4466">
        <v>4</v>
      </c>
      <c r="R4466" t="s">
        <v>28</v>
      </c>
      <c r="S4466">
        <v>1</v>
      </c>
    </row>
    <row r="4467" spans="1:19" ht="16.5" x14ac:dyDescent="0.3">
      <c r="A4467" t="s">
        <v>4530</v>
      </c>
      <c r="B4467" s="1">
        <v>45882</v>
      </c>
      <c r="C4467" s="1">
        <v>45885</v>
      </c>
      <c r="D4467">
        <v>2025</v>
      </c>
      <c r="E4467" t="s">
        <v>1445</v>
      </c>
      <c r="F4467" t="s">
        <v>1651</v>
      </c>
      <c r="G4467" t="s">
        <v>70</v>
      </c>
      <c r="H4467" t="s">
        <v>23</v>
      </c>
      <c r="I4467" t="s">
        <v>24</v>
      </c>
      <c r="J4467" t="s">
        <v>43</v>
      </c>
      <c r="K4467" t="s">
        <v>53</v>
      </c>
      <c r="L4467" t="s">
        <v>27</v>
      </c>
      <c r="M4467">
        <v>3</v>
      </c>
      <c r="N4467" s="2">
        <v>88</v>
      </c>
      <c r="O4467" s="3">
        <v>2771</v>
      </c>
      <c r="P4467">
        <v>0</v>
      </c>
      <c r="Q4467">
        <v>4</v>
      </c>
      <c r="R4467" t="s">
        <v>28</v>
      </c>
      <c r="S4467">
        <v>1</v>
      </c>
    </row>
    <row r="4468" spans="1:19" ht="16.5" x14ac:dyDescent="0.3">
      <c r="A4468" t="s">
        <v>4531</v>
      </c>
      <c r="B4468" s="1">
        <v>45882</v>
      </c>
      <c r="C4468" s="1">
        <v>45886</v>
      </c>
      <c r="D4468">
        <v>2025</v>
      </c>
      <c r="E4468" t="s">
        <v>1445</v>
      </c>
      <c r="F4468" t="s">
        <v>1651</v>
      </c>
      <c r="G4468" t="s">
        <v>70</v>
      </c>
      <c r="H4468" t="s">
        <v>30</v>
      </c>
      <c r="I4468" t="s">
        <v>24</v>
      </c>
      <c r="J4468" t="s">
        <v>43</v>
      </c>
      <c r="K4468" t="s">
        <v>53</v>
      </c>
      <c r="L4468" t="s">
        <v>27</v>
      </c>
      <c r="M4468">
        <v>4</v>
      </c>
      <c r="N4468" s="2">
        <v>16</v>
      </c>
      <c r="O4468" s="3">
        <v>4928</v>
      </c>
      <c r="P4468">
        <v>0</v>
      </c>
      <c r="Q4468">
        <v>4</v>
      </c>
      <c r="R4468" t="s">
        <v>28</v>
      </c>
      <c r="S4468">
        <v>1</v>
      </c>
    </row>
    <row r="4469" spans="1:19" ht="16.5" x14ac:dyDescent="0.3">
      <c r="A4469" t="s">
        <v>4532</v>
      </c>
      <c r="B4469" s="1">
        <v>45882</v>
      </c>
      <c r="C4469" s="1">
        <v>45887</v>
      </c>
      <c r="D4469">
        <v>2025</v>
      </c>
      <c r="E4469" t="s">
        <v>1445</v>
      </c>
      <c r="F4469" t="s">
        <v>1651</v>
      </c>
      <c r="G4469" t="s">
        <v>70</v>
      </c>
      <c r="H4469" t="s">
        <v>52</v>
      </c>
      <c r="I4469" t="s">
        <v>40</v>
      </c>
      <c r="J4469" t="s">
        <v>43</v>
      </c>
      <c r="K4469" t="s">
        <v>32</v>
      </c>
      <c r="L4469" t="s">
        <v>44</v>
      </c>
      <c r="M4469">
        <v>5</v>
      </c>
      <c r="N4469" s="2"/>
      <c r="O4469" s="3">
        <v>5632</v>
      </c>
      <c r="P4469">
        <v>0</v>
      </c>
      <c r="Q4469">
        <v>5</v>
      </c>
      <c r="R4469" t="s">
        <v>33</v>
      </c>
      <c r="S4469">
        <v>1</v>
      </c>
    </row>
    <row r="4470" spans="1:19" ht="16.5" x14ac:dyDescent="0.3">
      <c r="A4470" t="s">
        <v>4533</v>
      </c>
      <c r="B4470" s="1">
        <v>45882</v>
      </c>
      <c r="C4470" s="1">
        <v>45883</v>
      </c>
      <c r="D4470">
        <v>2025</v>
      </c>
      <c r="E4470" t="s">
        <v>1445</v>
      </c>
      <c r="F4470" t="s">
        <v>1651</v>
      </c>
      <c r="G4470" t="s">
        <v>70</v>
      </c>
      <c r="H4470" t="s">
        <v>35</v>
      </c>
      <c r="I4470" t="s">
        <v>24</v>
      </c>
      <c r="J4470" t="s">
        <v>25</v>
      </c>
      <c r="K4470" t="s">
        <v>36</v>
      </c>
      <c r="L4470" t="s">
        <v>44</v>
      </c>
      <c r="M4470">
        <v>1</v>
      </c>
      <c r="N4470" s="2">
        <v>35</v>
      </c>
      <c r="O4470" s="3">
        <v>1743</v>
      </c>
      <c r="P4470">
        <v>0</v>
      </c>
      <c r="Q4470">
        <v>4</v>
      </c>
      <c r="R4470" t="s">
        <v>33</v>
      </c>
      <c r="S4470">
        <v>1</v>
      </c>
    </row>
    <row r="4471" spans="1:19" ht="16.5" x14ac:dyDescent="0.3">
      <c r="A4471" t="s">
        <v>4534</v>
      </c>
      <c r="B4471" s="1">
        <v>45883</v>
      </c>
      <c r="C4471" s="1">
        <v>45885</v>
      </c>
      <c r="D4471">
        <v>2025</v>
      </c>
      <c r="E4471" t="s">
        <v>1445</v>
      </c>
      <c r="F4471" t="s">
        <v>1651</v>
      </c>
      <c r="G4471" t="s">
        <v>78</v>
      </c>
      <c r="H4471" t="s">
        <v>35</v>
      </c>
      <c r="I4471" t="s">
        <v>40</v>
      </c>
      <c r="J4471" t="s">
        <v>25</v>
      </c>
      <c r="K4471" t="s">
        <v>36</v>
      </c>
      <c r="L4471" t="s">
        <v>44</v>
      </c>
      <c r="M4471">
        <v>2</v>
      </c>
      <c r="N4471" s="2"/>
      <c r="O4471" s="3">
        <v>2141</v>
      </c>
      <c r="P4471">
        <v>0</v>
      </c>
      <c r="Q4471">
        <v>4</v>
      </c>
      <c r="R4471" t="s">
        <v>33</v>
      </c>
      <c r="S4471">
        <v>1</v>
      </c>
    </row>
    <row r="4472" spans="1:19" ht="16.5" x14ac:dyDescent="0.3">
      <c r="A4472" t="s">
        <v>4535</v>
      </c>
      <c r="B4472" s="1">
        <v>45883</v>
      </c>
      <c r="C4472" s="1">
        <v>45884</v>
      </c>
      <c r="D4472">
        <v>2025</v>
      </c>
      <c r="E4472" t="s">
        <v>1445</v>
      </c>
      <c r="F4472" t="s">
        <v>1651</v>
      </c>
      <c r="G4472" t="s">
        <v>78</v>
      </c>
      <c r="H4472" t="s">
        <v>39</v>
      </c>
      <c r="I4472" t="s">
        <v>24</v>
      </c>
      <c r="J4472" t="s">
        <v>43</v>
      </c>
      <c r="K4472" t="s">
        <v>41</v>
      </c>
      <c r="L4472" t="s">
        <v>27</v>
      </c>
      <c r="M4472">
        <v>1</v>
      </c>
      <c r="N4472" s="2">
        <v>46</v>
      </c>
      <c r="O4472" s="3">
        <v>1763</v>
      </c>
      <c r="P4472">
        <v>0</v>
      </c>
      <c r="Q4472">
        <v>4</v>
      </c>
      <c r="R4472" t="s">
        <v>59</v>
      </c>
      <c r="S4472">
        <v>1</v>
      </c>
    </row>
    <row r="4473" spans="1:19" ht="16.5" x14ac:dyDescent="0.3">
      <c r="A4473" t="s">
        <v>4536</v>
      </c>
      <c r="B4473" s="1">
        <v>45883</v>
      </c>
      <c r="C4473" s="1">
        <v>45887</v>
      </c>
      <c r="D4473">
        <v>2025</v>
      </c>
      <c r="E4473" t="s">
        <v>1445</v>
      </c>
      <c r="F4473" t="s">
        <v>1651</v>
      </c>
      <c r="G4473" t="s">
        <v>78</v>
      </c>
      <c r="H4473" t="s">
        <v>23</v>
      </c>
      <c r="I4473" t="s">
        <v>24</v>
      </c>
      <c r="J4473" t="s">
        <v>25</v>
      </c>
      <c r="K4473" t="s">
        <v>32</v>
      </c>
      <c r="L4473" t="s">
        <v>27</v>
      </c>
      <c r="M4473">
        <v>4</v>
      </c>
      <c r="N4473" s="2">
        <v>49</v>
      </c>
      <c r="O4473" s="3">
        <v>2565</v>
      </c>
      <c r="P4473">
        <v>0</v>
      </c>
      <c r="Q4473">
        <v>4</v>
      </c>
      <c r="R4473" t="s">
        <v>33</v>
      </c>
      <c r="S4473">
        <v>1</v>
      </c>
    </row>
    <row r="4474" spans="1:19" ht="16.5" x14ac:dyDescent="0.3">
      <c r="A4474" t="s">
        <v>4537</v>
      </c>
      <c r="B4474" s="1">
        <v>45883</v>
      </c>
      <c r="C4474" s="1">
        <v>45892</v>
      </c>
      <c r="D4474">
        <v>2025</v>
      </c>
      <c r="E4474" t="s">
        <v>1445</v>
      </c>
      <c r="F4474" t="s">
        <v>1651</v>
      </c>
      <c r="G4474" t="s">
        <v>78</v>
      </c>
      <c r="H4474" t="s">
        <v>52</v>
      </c>
      <c r="I4474" t="s">
        <v>40</v>
      </c>
      <c r="J4474" t="s">
        <v>43</v>
      </c>
      <c r="K4474" t="s">
        <v>26</v>
      </c>
      <c r="L4474" t="s">
        <v>27</v>
      </c>
      <c r="M4474">
        <v>9</v>
      </c>
      <c r="N4474" s="2"/>
      <c r="O4474" s="3">
        <v>8284</v>
      </c>
      <c r="P4474">
        <v>0</v>
      </c>
      <c r="Q4474">
        <v>4</v>
      </c>
      <c r="R4474" t="s">
        <v>59</v>
      </c>
      <c r="S4474">
        <v>1</v>
      </c>
    </row>
    <row r="4475" spans="1:19" ht="16.5" x14ac:dyDescent="0.3">
      <c r="A4475" t="s">
        <v>4538</v>
      </c>
      <c r="B4475" s="1">
        <v>45883</v>
      </c>
      <c r="C4475" s="1">
        <v>45886</v>
      </c>
      <c r="D4475">
        <v>2025</v>
      </c>
      <c r="E4475" t="s">
        <v>1445</v>
      </c>
      <c r="F4475" t="s">
        <v>1651</v>
      </c>
      <c r="G4475" t="s">
        <v>78</v>
      </c>
      <c r="H4475" t="s">
        <v>23</v>
      </c>
      <c r="I4475" t="s">
        <v>40</v>
      </c>
      <c r="J4475" t="s">
        <v>25</v>
      </c>
      <c r="K4475" t="s">
        <v>26</v>
      </c>
      <c r="L4475" t="s">
        <v>27</v>
      </c>
      <c r="M4475">
        <v>3</v>
      </c>
      <c r="N4475" s="2"/>
      <c r="O4475" s="3">
        <v>3119</v>
      </c>
      <c r="P4475">
        <v>0</v>
      </c>
      <c r="Q4475">
        <v>5</v>
      </c>
      <c r="R4475" t="s">
        <v>28</v>
      </c>
      <c r="S4475">
        <v>1</v>
      </c>
    </row>
    <row r="4476" spans="1:19" ht="16.5" x14ac:dyDescent="0.3">
      <c r="A4476" t="s">
        <v>4539</v>
      </c>
      <c r="B4476" s="1">
        <v>45884</v>
      </c>
      <c r="C4476" s="1">
        <v>45890</v>
      </c>
      <c r="D4476">
        <v>2025</v>
      </c>
      <c r="E4476" t="s">
        <v>1445</v>
      </c>
      <c r="F4476" t="s">
        <v>1651</v>
      </c>
      <c r="G4476" t="s">
        <v>83</v>
      </c>
      <c r="H4476" t="s">
        <v>23</v>
      </c>
      <c r="I4476" t="s">
        <v>31</v>
      </c>
      <c r="J4476" t="s">
        <v>43</v>
      </c>
      <c r="K4476" t="s">
        <v>26</v>
      </c>
      <c r="L4476" t="s">
        <v>44</v>
      </c>
      <c r="M4476">
        <v>6</v>
      </c>
      <c r="N4476" s="2"/>
      <c r="O4476" s="3">
        <v>3155</v>
      </c>
      <c r="P4476">
        <v>0</v>
      </c>
      <c r="Q4476">
        <v>4</v>
      </c>
      <c r="R4476" t="s">
        <v>59</v>
      </c>
      <c r="S4476">
        <v>1</v>
      </c>
    </row>
    <row r="4477" spans="1:19" ht="16.5" x14ac:dyDescent="0.3">
      <c r="A4477" t="s">
        <v>4540</v>
      </c>
      <c r="B4477" s="1">
        <v>45884</v>
      </c>
      <c r="C4477" s="1">
        <v>45886</v>
      </c>
      <c r="D4477">
        <v>2025</v>
      </c>
      <c r="E4477" t="s">
        <v>1445</v>
      </c>
      <c r="F4477" t="s">
        <v>1651</v>
      </c>
      <c r="G4477" t="s">
        <v>83</v>
      </c>
      <c r="H4477" t="s">
        <v>30</v>
      </c>
      <c r="I4477" t="s">
        <v>40</v>
      </c>
      <c r="J4477" t="s">
        <v>25</v>
      </c>
      <c r="K4477" t="s">
        <v>26</v>
      </c>
      <c r="L4477" t="s">
        <v>44</v>
      </c>
      <c r="M4477">
        <v>2</v>
      </c>
      <c r="N4477" s="2"/>
      <c r="O4477" s="3">
        <v>2273</v>
      </c>
      <c r="P4477">
        <v>0</v>
      </c>
      <c r="Q4477">
        <v>4</v>
      </c>
      <c r="R4477" t="s">
        <v>33</v>
      </c>
      <c r="S4477">
        <v>1</v>
      </c>
    </row>
    <row r="4478" spans="1:19" ht="16.5" x14ac:dyDescent="0.3">
      <c r="A4478" t="s">
        <v>4541</v>
      </c>
      <c r="B4478" s="1">
        <v>45884</v>
      </c>
      <c r="C4478" s="1">
        <v>45892</v>
      </c>
      <c r="D4478">
        <v>2025</v>
      </c>
      <c r="E4478" t="s">
        <v>1445</v>
      </c>
      <c r="F4478" t="s">
        <v>1651</v>
      </c>
      <c r="G4478" t="s">
        <v>83</v>
      </c>
      <c r="H4478" t="s">
        <v>39</v>
      </c>
      <c r="I4478" t="s">
        <v>24</v>
      </c>
      <c r="J4478" t="s">
        <v>43</v>
      </c>
      <c r="K4478" t="s">
        <v>41</v>
      </c>
      <c r="L4478" t="s">
        <v>44</v>
      </c>
      <c r="M4478">
        <v>8</v>
      </c>
      <c r="N4478" s="2">
        <v>106</v>
      </c>
      <c r="O4478" s="3">
        <v>4798</v>
      </c>
      <c r="P4478">
        <v>0</v>
      </c>
      <c r="Q4478">
        <v>3</v>
      </c>
      <c r="R4478" t="s">
        <v>33</v>
      </c>
      <c r="S4478">
        <v>1</v>
      </c>
    </row>
    <row r="4479" spans="1:19" ht="16.5" x14ac:dyDescent="0.3">
      <c r="A4479" t="s">
        <v>4542</v>
      </c>
      <c r="B4479" s="1">
        <v>45884</v>
      </c>
      <c r="C4479" s="1">
        <v>45895</v>
      </c>
      <c r="D4479">
        <v>2025</v>
      </c>
      <c r="E4479" t="s">
        <v>1445</v>
      </c>
      <c r="F4479" t="s">
        <v>1651</v>
      </c>
      <c r="G4479" t="s">
        <v>83</v>
      </c>
      <c r="H4479" t="s">
        <v>50</v>
      </c>
      <c r="I4479" t="s">
        <v>40</v>
      </c>
      <c r="J4479" t="s">
        <v>25</v>
      </c>
      <c r="K4479" t="s">
        <v>26</v>
      </c>
      <c r="L4479" t="s">
        <v>44</v>
      </c>
      <c r="M4479">
        <v>11</v>
      </c>
      <c r="N4479" s="2"/>
      <c r="O4479" s="3">
        <v>13420</v>
      </c>
      <c r="P4479">
        <v>0</v>
      </c>
      <c r="Q4479">
        <v>4</v>
      </c>
      <c r="R4479" t="s">
        <v>33</v>
      </c>
      <c r="S4479">
        <v>1</v>
      </c>
    </row>
    <row r="4480" spans="1:19" ht="16.5" x14ac:dyDescent="0.3">
      <c r="A4480" t="s">
        <v>4543</v>
      </c>
      <c r="B4480" s="1">
        <v>45884</v>
      </c>
      <c r="C4480" s="1">
        <v>45888</v>
      </c>
      <c r="D4480">
        <v>2025</v>
      </c>
      <c r="E4480" t="s">
        <v>1445</v>
      </c>
      <c r="F4480" t="s">
        <v>1651</v>
      </c>
      <c r="G4480" t="s">
        <v>83</v>
      </c>
      <c r="H4480" t="s">
        <v>50</v>
      </c>
      <c r="I4480" t="s">
        <v>24</v>
      </c>
      <c r="J4480" t="s">
        <v>43</v>
      </c>
      <c r="K4480" t="s">
        <v>26</v>
      </c>
      <c r="L4480" t="s">
        <v>37</v>
      </c>
      <c r="M4480">
        <v>4</v>
      </c>
      <c r="N4480" s="2">
        <v>37</v>
      </c>
      <c r="O4480" s="3">
        <v>6325</v>
      </c>
      <c r="P4480">
        <v>0</v>
      </c>
      <c r="Q4480">
        <v>5</v>
      </c>
      <c r="R4480" t="s">
        <v>33</v>
      </c>
      <c r="S4480">
        <v>1</v>
      </c>
    </row>
    <row r="4481" spans="1:19" ht="16.5" x14ac:dyDescent="0.3">
      <c r="A4481" t="s">
        <v>4544</v>
      </c>
      <c r="B4481" s="1">
        <v>45884</v>
      </c>
      <c r="C4481" s="1">
        <v>45889</v>
      </c>
      <c r="D4481">
        <v>2025</v>
      </c>
      <c r="E4481" t="s">
        <v>1445</v>
      </c>
      <c r="F4481" t="s">
        <v>1651</v>
      </c>
      <c r="G4481" t="s">
        <v>83</v>
      </c>
      <c r="H4481" t="s">
        <v>30</v>
      </c>
      <c r="I4481" t="s">
        <v>40</v>
      </c>
      <c r="J4481" t="s">
        <v>25</v>
      </c>
      <c r="K4481" t="s">
        <v>26</v>
      </c>
      <c r="L4481" t="s">
        <v>44</v>
      </c>
      <c r="M4481">
        <v>5</v>
      </c>
      <c r="N4481" s="2"/>
      <c r="O4481" s="3">
        <v>4191</v>
      </c>
      <c r="P4481">
        <v>0</v>
      </c>
      <c r="Q4481">
        <v>4</v>
      </c>
      <c r="R4481" t="s">
        <v>28</v>
      </c>
      <c r="S4481">
        <v>1</v>
      </c>
    </row>
    <row r="4482" spans="1:19" ht="16.5" x14ac:dyDescent="0.3">
      <c r="A4482" t="s">
        <v>4545</v>
      </c>
      <c r="B4482" s="1">
        <v>45884</v>
      </c>
      <c r="C4482" s="1">
        <v>45887</v>
      </c>
      <c r="D4482">
        <v>2025</v>
      </c>
      <c r="E4482" t="s">
        <v>1445</v>
      </c>
      <c r="F4482" t="s">
        <v>1651</v>
      </c>
      <c r="G4482" t="s">
        <v>83</v>
      </c>
      <c r="H4482" t="s">
        <v>35</v>
      </c>
      <c r="I4482" t="s">
        <v>24</v>
      </c>
      <c r="J4482" t="s">
        <v>25</v>
      </c>
      <c r="K4482" t="s">
        <v>32</v>
      </c>
      <c r="L4482" t="s">
        <v>44</v>
      </c>
      <c r="M4482">
        <v>3</v>
      </c>
      <c r="N4482" s="2">
        <v>121</v>
      </c>
      <c r="O4482" s="3">
        <v>2041</v>
      </c>
      <c r="P4482">
        <v>0</v>
      </c>
      <c r="Q4482">
        <v>4</v>
      </c>
      <c r="R4482" t="s">
        <v>28</v>
      </c>
      <c r="S4482">
        <v>1</v>
      </c>
    </row>
    <row r="4483" spans="1:19" ht="16.5" x14ac:dyDescent="0.3">
      <c r="A4483" t="s">
        <v>4546</v>
      </c>
      <c r="B4483" s="1">
        <v>45885</v>
      </c>
      <c r="C4483" s="1">
        <v>45886</v>
      </c>
      <c r="D4483">
        <v>2025</v>
      </c>
      <c r="E4483" t="s">
        <v>1445</v>
      </c>
      <c r="F4483" t="s">
        <v>1651</v>
      </c>
      <c r="G4483" t="s">
        <v>102</v>
      </c>
      <c r="H4483" t="s">
        <v>50</v>
      </c>
      <c r="I4483" t="s">
        <v>24</v>
      </c>
      <c r="J4483" t="s">
        <v>43</v>
      </c>
      <c r="K4483" t="s">
        <v>26</v>
      </c>
      <c r="L4483" t="s">
        <v>44</v>
      </c>
      <c r="M4483">
        <v>1</v>
      </c>
      <c r="N4483" s="2">
        <v>48</v>
      </c>
      <c r="O4483" s="3">
        <v>2177</v>
      </c>
      <c r="P4483">
        <v>1</v>
      </c>
      <c r="Q4483">
        <v>4</v>
      </c>
      <c r="R4483" t="s">
        <v>28</v>
      </c>
      <c r="S4483">
        <v>1</v>
      </c>
    </row>
    <row r="4484" spans="1:19" ht="16.5" x14ac:dyDescent="0.3">
      <c r="A4484" t="s">
        <v>4547</v>
      </c>
      <c r="B4484" s="1">
        <v>45885</v>
      </c>
      <c r="C4484" s="1">
        <v>45886</v>
      </c>
      <c r="D4484">
        <v>2025</v>
      </c>
      <c r="E4484" t="s">
        <v>1445</v>
      </c>
      <c r="F4484" t="s">
        <v>1651</v>
      </c>
      <c r="G4484" t="s">
        <v>102</v>
      </c>
      <c r="H4484" t="s">
        <v>39</v>
      </c>
      <c r="I4484" t="s">
        <v>40</v>
      </c>
      <c r="J4484" t="s">
        <v>43</v>
      </c>
      <c r="K4484" t="s">
        <v>41</v>
      </c>
      <c r="L4484" t="s">
        <v>27</v>
      </c>
      <c r="M4484">
        <v>1</v>
      </c>
      <c r="N4484" s="2"/>
      <c r="O4484" s="3">
        <v>1505</v>
      </c>
      <c r="P4484">
        <v>0</v>
      </c>
      <c r="Q4484">
        <v>5</v>
      </c>
      <c r="R4484" t="s">
        <v>33</v>
      </c>
      <c r="S4484">
        <v>1</v>
      </c>
    </row>
    <row r="4485" spans="1:19" ht="16.5" x14ac:dyDescent="0.3">
      <c r="A4485" t="s">
        <v>4548</v>
      </c>
      <c r="B4485" s="1">
        <v>45885</v>
      </c>
      <c r="C4485" s="1">
        <v>45890</v>
      </c>
      <c r="D4485">
        <v>2025</v>
      </c>
      <c r="E4485" t="s">
        <v>1445</v>
      </c>
      <c r="F4485" t="s">
        <v>1651</v>
      </c>
      <c r="G4485" t="s">
        <v>102</v>
      </c>
      <c r="H4485" t="s">
        <v>39</v>
      </c>
      <c r="I4485" t="s">
        <v>24</v>
      </c>
      <c r="J4485" t="s">
        <v>25</v>
      </c>
      <c r="K4485" t="s">
        <v>41</v>
      </c>
      <c r="L4485" t="s">
        <v>44</v>
      </c>
      <c r="M4485">
        <v>5</v>
      </c>
      <c r="N4485" s="2">
        <v>41</v>
      </c>
      <c r="O4485" s="3">
        <v>3395</v>
      </c>
      <c r="P4485">
        <v>1</v>
      </c>
      <c r="Q4485">
        <v>3</v>
      </c>
      <c r="R4485" t="s">
        <v>33</v>
      </c>
      <c r="S4485">
        <v>1</v>
      </c>
    </row>
    <row r="4486" spans="1:19" ht="16.5" x14ac:dyDescent="0.3">
      <c r="A4486" t="s">
        <v>4549</v>
      </c>
      <c r="B4486" s="1">
        <v>45885</v>
      </c>
      <c r="C4486" s="1">
        <v>45886</v>
      </c>
      <c r="D4486">
        <v>2025</v>
      </c>
      <c r="E4486" t="s">
        <v>1445</v>
      </c>
      <c r="F4486" t="s">
        <v>1651</v>
      </c>
      <c r="G4486" t="s">
        <v>102</v>
      </c>
      <c r="H4486" t="s">
        <v>35</v>
      </c>
      <c r="I4486" t="s">
        <v>24</v>
      </c>
      <c r="J4486" t="s">
        <v>25</v>
      </c>
      <c r="K4486" t="s">
        <v>36</v>
      </c>
      <c r="L4486" t="s">
        <v>27</v>
      </c>
      <c r="M4486">
        <v>1</v>
      </c>
      <c r="N4486" s="2">
        <v>42</v>
      </c>
      <c r="O4486" s="3">
        <v>1627</v>
      </c>
      <c r="P4486">
        <v>0</v>
      </c>
      <c r="Q4486">
        <v>4</v>
      </c>
      <c r="R4486" t="s">
        <v>33</v>
      </c>
      <c r="S4486">
        <v>1</v>
      </c>
    </row>
    <row r="4487" spans="1:19" ht="16.5" x14ac:dyDescent="0.3">
      <c r="A4487" t="s">
        <v>4550</v>
      </c>
      <c r="B4487" s="1">
        <v>45885</v>
      </c>
      <c r="C4487" s="1">
        <v>45886</v>
      </c>
      <c r="D4487">
        <v>2025</v>
      </c>
      <c r="E4487" t="s">
        <v>1445</v>
      </c>
      <c r="F4487" t="s">
        <v>1651</v>
      </c>
      <c r="G4487" t="s">
        <v>102</v>
      </c>
      <c r="H4487" t="s">
        <v>35</v>
      </c>
      <c r="I4487" t="s">
        <v>40</v>
      </c>
      <c r="J4487" t="s">
        <v>25</v>
      </c>
      <c r="K4487" t="s">
        <v>36</v>
      </c>
      <c r="L4487" t="s">
        <v>44</v>
      </c>
      <c r="M4487">
        <v>1</v>
      </c>
      <c r="N4487" s="2"/>
      <c r="O4487" s="3">
        <v>1934</v>
      </c>
      <c r="P4487">
        <v>0</v>
      </c>
      <c r="Q4487">
        <v>5</v>
      </c>
      <c r="R4487" t="s">
        <v>33</v>
      </c>
      <c r="S4487">
        <v>1</v>
      </c>
    </row>
    <row r="4488" spans="1:19" ht="16.5" x14ac:dyDescent="0.3">
      <c r="A4488" t="s">
        <v>4551</v>
      </c>
      <c r="B4488" s="1">
        <v>45885</v>
      </c>
      <c r="C4488" s="1">
        <v>45892</v>
      </c>
      <c r="D4488">
        <v>2025</v>
      </c>
      <c r="E4488" t="s">
        <v>1445</v>
      </c>
      <c r="F4488" t="s">
        <v>1651</v>
      </c>
      <c r="G4488" t="s">
        <v>102</v>
      </c>
      <c r="H4488" t="s">
        <v>23</v>
      </c>
      <c r="I4488" t="s">
        <v>24</v>
      </c>
      <c r="J4488" t="s">
        <v>25</v>
      </c>
      <c r="K4488" t="s">
        <v>32</v>
      </c>
      <c r="L4488" t="s">
        <v>44</v>
      </c>
      <c r="M4488">
        <v>7</v>
      </c>
      <c r="N4488" s="2">
        <v>31</v>
      </c>
      <c r="O4488" s="3">
        <v>6634</v>
      </c>
      <c r="P4488">
        <v>1</v>
      </c>
      <c r="Q4488">
        <v>5</v>
      </c>
      <c r="R4488" t="s">
        <v>28</v>
      </c>
      <c r="S4488">
        <v>1</v>
      </c>
    </row>
    <row r="4489" spans="1:19" ht="16.5" x14ac:dyDescent="0.3">
      <c r="A4489" t="s">
        <v>4552</v>
      </c>
      <c r="B4489" s="1">
        <v>45885</v>
      </c>
      <c r="C4489" s="1">
        <v>45889</v>
      </c>
      <c r="D4489">
        <v>2025</v>
      </c>
      <c r="E4489" t="s">
        <v>1445</v>
      </c>
      <c r="F4489" t="s">
        <v>1651</v>
      </c>
      <c r="G4489" t="s">
        <v>102</v>
      </c>
      <c r="H4489" t="s">
        <v>35</v>
      </c>
      <c r="I4489" t="s">
        <v>31</v>
      </c>
      <c r="J4489" t="s">
        <v>25</v>
      </c>
      <c r="K4489" t="s">
        <v>36</v>
      </c>
      <c r="L4489" t="s">
        <v>44</v>
      </c>
      <c r="M4489">
        <v>4</v>
      </c>
      <c r="N4489" s="2"/>
      <c r="O4489" s="3">
        <v>3840</v>
      </c>
      <c r="P4489">
        <v>0</v>
      </c>
      <c r="Q4489">
        <v>4</v>
      </c>
      <c r="R4489" t="s">
        <v>33</v>
      </c>
      <c r="S4489">
        <v>1</v>
      </c>
    </row>
    <row r="4490" spans="1:19" ht="16.5" x14ac:dyDescent="0.3">
      <c r="A4490" t="s">
        <v>4553</v>
      </c>
      <c r="B4490" s="1">
        <v>45886</v>
      </c>
      <c r="C4490" s="1">
        <v>45892</v>
      </c>
      <c r="D4490">
        <v>2025</v>
      </c>
      <c r="E4490" t="s">
        <v>1445</v>
      </c>
      <c r="F4490" t="s">
        <v>1651</v>
      </c>
      <c r="G4490" t="s">
        <v>112</v>
      </c>
      <c r="H4490" t="s">
        <v>50</v>
      </c>
      <c r="I4490" t="s">
        <v>40</v>
      </c>
      <c r="J4490" t="s">
        <v>43</v>
      </c>
      <c r="K4490" t="s">
        <v>53</v>
      </c>
      <c r="L4490" t="s">
        <v>27</v>
      </c>
      <c r="M4490">
        <v>6</v>
      </c>
      <c r="N4490" s="2"/>
      <c r="O4490" s="3">
        <v>10600</v>
      </c>
      <c r="P4490">
        <v>0</v>
      </c>
      <c r="Q4490">
        <v>3</v>
      </c>
      <c r="R4490" t="s">
        <v>28</v>
      </c>
      <c r="S4490">
        <v>1</v>
      </c>
    </row>
    <row r="4491" spans="1:19" ht="16.5" x14ac:dyDescent="0.3">
      <c r="A4491" t="s">
        <v>4554</v>
      </c>
      <c r="B4491" s="1">
        <v>45886</v>
      </c>
      <c r="C4491" s="1">
        <v>45889</v>
      </c>
      <c r="D4491">
        <v>2025</v>
      </c>
      <c r="E4491" t="s">
        <v>1445</v>
      </c>
      <c r="F4491" t="s">
        <v>1651</v>
      </c>
      <c r="G4491" t="s">
        <v>112</v>
      </c>
      <c r="H4491" t="s">
        <v>30</v>
      </c>
      <c r="I4491" t="s">
        <v>24</v>
      </c>
      <c r="J4491" t="s">
        <v>25</v>
      </c>
      <c r="K4491" t="s">
        <v>26</v>
      </c>
      <c r="L4491" t="s">
        <v>27</v>
      </c>
      <c r="M4491">
        <v>3</v>
      </c>
      <c r="N4491" s="2">
        <v>40</v>
      </c>
      <c r="O4491" s="3">
        <v>3100</v>
      </c>
      <c r="P4491">
        <v>0</v>
      </c>
      <c r="Q4491">
        <v>4</v>
      </c>
      <c r="R4491" t="s">
        <v>33</v>
      </c>
      <c r="S4491">
        <v>1</v>
      </c>
    </row>
    <row r="4492" spans="1:19" ht="16.5" x14ac:dyDescent="0.3">
      <c r="A4492" t="s">
        <v>4555</v>
      </c>
      <c r="B4492" s="1">
        <v>45886</v>
      </c>
      <c r="C4492" s="1">
        <v>45895</v>
      </c>
      <c r="D4492">
        <v>2025</v>
      </c>
      <c r="E4492" t="s">
        <v>1445</v>
      </c>
      <c r="F4492" t="s">
        <v>1651</v>
      </c>
      <c r="G4492" t="s">
        <v>112</v>
      </c>
      <c r="H4492" t="s">
        <v>23</v>
      </c>
      <c r="I4492" t="s">
        <v>24</v>
      </c>
      <c r="J4492" t="s">
        <v>25</v>
      </c>
      <c r="K4492" t="s">
        <v>26</v>
      </c>
      <c r="L4492" t="s">
        <v>44</v>
      </c>
      <c r="M4492">
        <v>9</v>
      </c>
      <c r="N4492" s="2">
        <v>42</v>
      </c>
      <c r="O4492" s="3">
        <v>8265</v>
      </c>
      <c r="P4492">
        <v>1</v>
      </c>
      <c r="Q4492">
        <v>4</v>
      </c>
      <c r="R4492" t="s">
        <v>33</v>
      </c>
      <c r="S4492">
        <v>1</v>
      </c>
    </row>
    <row r="4493" spans="1:19" ht="16.5" x14ac:dyDescent="0.3">
      <c r="A4493" t="s">
        <v>4556</v>
      </c>
      <c r="B4493" s="1">
        <v>45886</v>
      </c>
      <c r="C4493" s="1">
        <v>45892</v>
      </c>
      <c r="D4493">
        <v>2025</v>
      </c>
      <c r="E4493" t="s">
        <v>1445</v>
      </c>
      <c r="F4493" t="s">
        <v>1651</v>
      </c>
      <c r="G4493" t="s">
        <v>112</v>
      </c>
      <c r="H4493" t="s">
        <v>23</v>
      </c>
      <c r="I4493" t="s">
        <v>40</v>
      </c>
      <c r="J4493" t="s">
        <v>43</v>
      </c>
      <c r="K4493" t="s">
        <v>53</v>
      </c>
      <c r="L4493" t="s">
        <v>44</v>
      </c>
      <c r="M4493">
        <v>6</v>
      </c>
      <c r="N4493" s="2"/>
      <c r="O4493" s="3">
        <v>4743</v>
      </c>
      <c r="P4493">
        <v>0</v>
      </c>
      <c r="Q4493">
        <v>5</v>
      </c>
      <c r="R4493" t="s">
        <v>33</v>
      </c>
      <c r="S4493">
        <v>1</v>
      </c>
    </row>
    <row r="4494" spans="1:19" ht="16.5" x14ac:dyDescent="0.3">
      <c r="A4494" t="s">
        <v>4557</v>
      </c>
      <c r="B4494" s="1">
        <v>45886</v>
      </c>
      <c r="C4494" s="1">
        <v>45893</v>
      </c>
      <c r="D4494">
        <v>2025</v>
      </c>
      <c r="E4494" t="s">
        <v>1445</v>
      </c>
      <c r="F4494" t="s">
        <v>1651</v>
      </c>
      <c r="G4494" t="s">
        <v>112</v>
      </c>
      <c r="H4494" t="s">
        <v>30</v>
      </c>
      <c r="I4494" t="s">
        <v>40</v>
      </c>
      <c r="J4494" t="s">
        <v>43</v>
      </c>
      <c r="K4494" t="s">
        <v>32</v>
      </c>
      <c r="L4494" t="s">
        <v>27</v>
      </c>
      <c r="M4494">
        <v>7</v>
      </c>
      <c r="N4494" s="2"/>
      <c r="O4494" s="3">
        <v>7204</v>
      </c>
      <c r="P4494">
        <v>0</v>
      </c>
      <c r="Q4494">
        <v>4</v>
      </c>
      <c r="R4494" t="s">
        <v>33</v>
      </c>
      <c r="S4494">
        <v>1</v>
      </c>
    </row>
    <row r="4495" spans="1:19" ht="16.5" x14ac:dyDescent="0.3">
      <c r="A4495" t="s">
        <v>4558</v>
      </c>
      <c r="B4495" s="1">
        <v>45887</v>
      </c>
      <c r="C4495" s="1">
        <v>45890</v>
      </c>
      <c r="D4495">
        <v>2025</v>
      </c>
      <c r="E4495" t="s">
        <v>1445</v>
      </c>
      <c r="F4495" t="s">
        <v>1651</v>
      </c>
      <c r="G4495" t="s">
        <v>22</v>
      </c>
      <c r="H4495" t="s">
        <v>30</v>
      </c>
      <c r="I4495" t="s">
        <v>40</v>
      </c>
      <c r="J4495" t="s">
        <v>25</v>
      </c>
      <c r="K4495" t="s">
        <v>26</v>
      </c>
      <c r="L4495" t="s">
        <v>44</v>
      </c>
      <c r="M4495">
        <v>3</v>
      </c>
      <c r="N4495" s="2"/>
      <c r="O4495" s="3">
        <v>4584</v>
      </c>
      <c r="P4495">
        <v>0</v>
      </c>
      <c r="Q4495">
        <v>5</v>
      </c>
      <c r="R4495" t="s">
        <v>28</v>
      </c>
      <c r="S4495">
        <v>1</v>
      </c>
    </row>
    <row r="4496" spans="1:19" ht="16.5" x14ac:dyDescent="0.3">
      <c r="A4496" t="s">
        <v>4559</v>
      </c>
      <c r="B4496" s="1">
        <v>45887</v>
      </c>
      <c r="C4496" s="1">
        <v>45888</v>
      </c>
      <c r="D4496">
        <v>2025</v>
      </c>
      <c r="E4496" t="s">
        <v>1445</v>
      </c>
      <c r="F4496" t="s">
        <v>1651</v>
      </c>
      <c r="G4496" t="s">
        <v>22</v>
      </c>
      <c r="H4496" t="s">
        <v>30</v>
      </c>
      <c r="I4496" t="s">
        <v>40</v>
      </c>
      <c r="J4496" t="s">
        <v>25</v>
      </c>
      <c r="K4496" t="s">
        <v>36</v>
      </c>
      <c r="L4496" t="s">
        <v>37</v>
      </c>
      <c r="M4496">
        <v>1</v>
      </c>
      <c r="N4496" s="2"/>
      <c r="O4496" s="3">
        <v>1658</v>
      </c>
      <c r="P4496">
        <v>0</v>
      </c>
      <c r="Q4496">
        <v>5</v>
      </c>
      <c r="R4496" t="s">
        <v>33</v>
      </c>
      <c r="S4496">
        <v>1</v>
      </c>
    </row>
    <row r="4497" spans="1:19" ht="16.5" x14ac:dyDescent="0.3">
      <c r="A4497" t="s">
        <v>4560</v>
      </c>
      <c r="B4497" s="1">
        <v>45887</v>
      </c>
      <c r="C4497" s="1">
        <v>45891</v>
      </c>
      <c r="D4497">
        <v>2025</v>
      </c>
      <c r="E4497" t="s">
        <v>1445</v>
      </c>
      <c r="F4497" t="s">
        <v>1651</v>
      </c>
      <c r="G4497" t="s">
        <v>22</v>
      </c>
      <c r="H4497" t="s">
        <v>50</v>
      </c>
      <c r="I4497" t="s">
        <v>40</v>
      </c>
      <c r="J4497" t="s">
        <v>25</v>
      </c>
      <c r="K4497" t="s">
        <v>53</v>
      </c>
      <c r="L4497" t="s">
        <v>44</v>
      </c>
      <c r="M4497">
        <v>4</v>
      </c>
      <c r="N4497" s="2"/>
      <c r="O4497" s="3">
        <v>5963</v>
      </c>
      <c r="P4497">
        <v>0</v>
      </c>
      <c r="Q4497">
        <v>5</v>
      </c>
      <c r="R4497" t="s">
        <v>33</v>
      </c>
      <c r="S4497">
        <v>1</v>
      </c>
    </row>
    <row r="4498" spans="1:19" ht="16.5" x14ac:dyDescent="0.3">
      <c r="A4498" t="s">
        <v>4561</v>
      </c>
      <c r="B4498" s="1">
        <v>45887</v>
      </c>
      <c r="C4498" s="1">
        <v>45889</v>
      </c>
      <c r="D4498">
        <v>2025</v>
      </c>
      <c r="E4498" t="s">
        <v>1445</v>
      </c>
      <c r="F4498" t="s">
        <v>1651</v>
      </c>
      <c r="G4498" t="s">
        <v>22</v>
      </c>
      <c r="H4498" t="s">
        <v>39</v>
      </c>
      <c r="I4498" t="s">
        <v>24</v>
      </c>
      <c r="J4498" t="s">
        <v>43</v>
      </c>
      <c r="K4498" t="s">
        <v>41</v>
      </c>
      <c r="L4498" t="s">
        <v>27</v>
      </c>
      <c r="M4498">
        <v>2</v>
      </c>
      <c r="N4498" s="2">
        <v>38</v>
      </c>
      <c r="O4498" s="3">
        <v>2168</v>
      </c>
      <c r="P4498">
        <v>0</v>
      </c>
      <c r="Q4498">
        <v>4</v>
      </c>
      <c r="R4498" t="s">
        <v>33</v>
      </c>
      <c r="S4498">
        <v>1</v>
      </c>
    </row>
    <row r="4499" spans="1:19" ht="16.5" x14ac:dyDescent="0.3">
      <c r="A4499" t="s">
        <v>4562</v>
      </c>
      <c r="B4499" s="1">
        <v>45887</v>
      </c>
      <c r="C4499" s="1">
        <v>45893</v>
      </c>
      <c r="D4499">
        <v>2025</v>
      </c>
      <c r="E4499" t="s">
        <v>1445</v>
      </c>
      <c r="F4499" t="s">
        <v>1651</v>
      </c>
      <c r="G4499" t="s">
        <v>22</v>
      </c>
      <c r="H4499" t="s">
        <v>50</v>
      </c>
      <c r="I4499" t="s">
        <v>24</v>
      </c>
      <c r="J4499" t="s">
        <v>25</v>
      </c>
      <c r="K4499" t="s">
        <v>26</v>
      </c>
      <c r="L4499" t="s">
        <v>27</v>
      </c>
      <c r="M4499">
        <v>6</v>
      </c>
      <c r="N4499" s="2">
        <v>60</v>
      </c>
      <c r="O4499" s="3">
        <v>7157</v>
      </c>
      <c r="P4499">
        <v>0</v>
      </c>
      <c r="Q4499">
        <v>5</v>
      </c>
      <c r="R4499" t="s">
        <v>28</v>
      </c>
      <c r="S4499">
        <v>1</v>
      </c>
    </row>
    <row r="4500" spans="1:19" ht="16.5" x14ac:dyDescent="0.3">
      <c r="A4500" t="s">
        <v>4563</v>
      </c>
      <c r="B4500" s="1">
        <v>45887</v>
      </c>
      <c r="C4500" s="1">
        <v>45890</v>
      </c>
      <c r="D4500">
        <v>2025</v>
      </c>
      <c r="E4500" t="s">
        <v>1445</v>
      </c>
      <c r="F4500" t="s">
        <v>1651</v>
      </c>
      <c r="G4500" t="s">
        <v>22</v>
      </c>
      <c r="H4500" t="s">
        <v>23</v>
      </c>
      <c r="I4500" t="s">
        <v>24</v>
      </c>
      <c r="J4500" t="s">
        <v>25</v>
      </c>
      <c r="K4500" t="s">
        <v>32</v>
      </c>
      <c r="L4500" t="s">
        <v>27</v>
      </c>
      <c r="M4500">
        <v>3</v>
      </c>
      <c r="N4500" s="2">
        <v>43</v>
      </c>
      <c r="O4500" s="3">
        <v>2606</v>
      </c>
      <c r="P4500">
        <v>0</v>
      </c>
      <c r="Q4500">
        <v>4</v>
      </c>
      <c r="R4500" t="s">
        <v>28</v>
      </c>
      <c r="S4500">
        <v>1</v>
      </c>
    </row>
    <row r="4501" spans="1:19" ht="16.5" x14ac:dyDescent="0.3">
      <c r="A4501" t="s">
        <v>4564</v>
      </c>
      <c r="B4501" s="1">
        <v>45887</v>
      </c>
      <c r="C4501" s="1">
        <v>45891</v>
      </c>
      <c r="D4501">
        <v>2025</v>
      </c>
      <c r="E4501" t="s">
        <v>1445</v>
      </c>
      <c r="F4501" t="s">
        <v>1651</v>
      </c>
      <c r="G4501" t="s">
        <v>22</v>
      </c>
      <c r="H4501" t="s">
        <v>39</v>
      </c>
      <c r="I4501" t="s">
        <v>24</v>
      </c>
      <c r="J4501" t="s">
        <v>43</v>
      </c>
      <c r="K4501" t="s">
        <v>41</v>
      </c>
      <c r="L4501" t="s">
        <v>37</v>
      </c>
      <c r="M4501">
        <v>4</v>
      </c>
      <c r="N4501" s="2">
        <v>26</v>
      </c>
      <c r="O4501" s="3">
        <v>3346</v>
      </c>
      <c r="P4501">
        <v>0</v>
      </c>
      <c r="Q4501">
        <v>4</v>
      </c>
      <c r="R4501" t="s">
        <v>28</v>
      </c>
      <c r="S4501">
        <v>1</v>
      </c>
    </row>
    <row r="4502" spans="1:19" ht="16.5" x14ac:dyDescent="0.3">
      <c r="A4502" t="s">
        <v>4565</v>
      </c>
      <c r="B4502" s="1">
        <v>45887</v>
      </c>
      <c r="C4502" s="1">
        <v>45904</v>
      </c>
      <c r="D4502">
        <v>2025</v>
      </c>
      <c r="E4502" t="s">
        <v>1445</v>
      </c>
      <c r="F4502" t="s">
        <v>1651</v>
      </c>
      <c r="G4502" t="s">
        <v>22</v>
      </c>
      <c r="H4502" t="s">
        <v>50</v>
      </c>
      <c r="I4502" t="s">
        <v>24</v>
      </c>
      <c r="J4502" t="s">
        <v>25</v>
      </c>
      <c r="K4502" t="s">
        <v>26</v>
      </c>
      <c r="L4502" t="s">
        <v>44</v>
      </c>
      <c r="M4502">
        <v>17</v>
      </c>
      <c r="N4502" s="2">
        <v>81</v>
      </c>
      <c r="O4502" s="3">
        <v>18900</v>
      </c>
      <c r="P4502">
        <v>1</v>
      </c>
      <c r="Q4502">
        <v>4</v>
      </c>
      <c r="R4502" t="s">
        <v>33</v>
      </c>
      <c r="S4502">
        <v>1</v>
      </c>
    </row>
    <row r="4503" spans="1:19" ht="16.5" x14ac:dyDescent="0.3">
      <c r="A4503" t="s">
        <v>4566</v>
      </c>
      <c r="B4503" s="1">
        <v>45888</v>
      </c>
      <c r="C4503" s="1">
        <v>45890</v>
      </c>
      <c r="D4503">
        <v>2025</v>
      </c>
      <c r="E4503" t="s">
        <v>1445</v>
      </c>
      <c r="F4503" t="s">
        <v>1651</v>
      </c>
      <c r="G4503" t="s">
        <v>56</v>
      </c>
      <c r="H4503" t="s">
        <v>52</v>
      </c>
      <c r="I4503" t="s">
        <v>40</v>
      </c>
      <c r="J4503" t="s">
        <v>43</v>
      </c>
      <c r="K4503" t="s">
        <v>53</v>
      </c>
      <c r="L4503" t="s">
        <v>27</v>
      </c>
      <c r="M4503">
        <v>2</v>
      </c>
      <c r="N4503" s="2"/>
      <c r="O4503" s="3">
        <v>3445</v>
      </c>
      <c r="P4503">
        <v>0</v>
      </c>
      <c r="Q4503">
        <v>3</v>
      </c>
      <c r="R4503" t="s">
        <v>28</v>
      </c>
      <c r="S4503">
        <v>1</v>
      </c>
    </row>
    <row r="4504" spans="1:19" ht="16.5" x14ac:dyDescent="0.3">
      <c r="A4504" t="s">
        <v>4567</v>
      </c>
      <c r="B4504" s="1">
        <v>45888</v>
      </c>
      <c r="C4504" s="1">
        <v>45912</v>
      </c>
      <c r="D4504">
        <v>2025</v>
      </c>
      <c r="E4504" t="s">
        <v>1445</v>
      </c>
      <c r="F4504" t="s">
        <v>1651</v>
      </c>
      <c r="G4504" t="s">
        <v>56</v>
      </c>
      <c r="H4504" t="s">
        <v>50</v>
      </c>
      <c r="I4504" t="s">
        <v>24</v>
      </c>
      <c r="J4504" t="s">
        <v>25</v>
      </c>
      <c r="K4504" t="s">
        <v>26</v>
      </c>
      <c r="L4504" t="s">
        <v>44</v>
      </c>
      <c r="M4504">
        <v>24</v>
      </c>
      <c r="N4504" s="2">
        <v>83</v>
      </c>
      <c r="O4504" s="3">
        <v>33767</v>
      </c>
      <c r="P4504">
        <v>0</v>
      </c>
      <c r="Q4504">
        <v>5</v>
      </c>
      <c r="R4504" t="s">
        <v>28</v>
      </c>
      <c r="S4504">
        <v>1</v>
      </c>
    </row>
    <row r="4505" spans="1:19" ht="16.5" x14ac:dyDescent="0.3">
      <c r="A4505" t="s">
        <v>4568</v>
      </c>
      <c r="B4505" s="1">
        <v>45889</v>
      </c>
      <c r="C4505" s="1">
        <v>45892</v>
      </c>
      <c r="D4505">
        <v>2025</v>
      </c>
      <c r="E4505" t="s">
        <v>1445</v>
      </c>
      <c r="F4505" t="s">
        <v>1651</v>
      </c>
      <c r="G4505" t="s">
        <v>70</v>
      </c>
      <c r="H4505" t="s">
        <v>35</v>
      </c>
      <c r="I4505" t="s">
        <v>24</v>
      </c>
      <c r="J4505" t="s">
        <v>25</v>
      </c>
      <c r="K4505" t="s">
        <v>32</v>
      </c>
      <c r="L4505" t="s">
        <v>27</v>
      </c>
      <c r="M4505">
        <v>3</v>
      </c>
      <c r="N4505" s="2">
        <v>85</v>
      </c>
      <c r="O4505" s="3">
        <v>2556</v>
      </c>
      <c r="P4505">
        <v>0</v>
      </c>
      <c r="Q4505">
        <v>3</v>
      </c>
      <c r="R4505" t="s">
        <v>28</v>
      </c>
      <c r="S4505">
        <v>1</v>
      </c>
    </row>
    <row r="4506" spans="1:19" ht="16.5" x14ac:dyDescent="0.3">
      <c r="A4506" t="s">
        <v>4569</v>
      </c>
      <c r="B4506" s="1">
        <v>45889</v>
      </c>
      <c r="C4506" s="1">
        <v>45891</v>
      </c>
      <c r="D4506">
        <v>2025</v>
      </c>
      <c r="E4506" t="s">
        <v>1445</v>
      </c>
      <c r="F4506" t="s">
        <v>1651</v>
      </c>
      <c r="G4506" t="s">
        <v>70</v>
      </c>
      <c r="H4506" t="s">
        <v>35</v>
      </c>
      <c r="I4506" t="s">
        <v>31</v>
      </c>
      <c r="J4506" t="s">
        <v>25</v>
      </c>
      <c r="K4506" t="s">
        <v>36</v>
      </c>
      <c r="L4506" t="s">
        <v>27</v>
      </c>
      <c r="M4506">
        <v>2</v>
      </c>
      <c r="N4506" s="2"/>
      <c r="O4506" s="3">
        <v>1961</v>
      </c>
      <c r="P4506">
        <v>0</v>
      </c>
      <c r="Q4506">
        <v>5</v>
      </c>
      <c r="R4506" t="s">
        <v>33</v>
      </c>
      <c r="S4506">
        <v>1</v>
      </c>
    </row>
    <row r="4507" spans="1:19" ht="16.5" x14ac:dyDescent="0.3">
      <c r="A4507" t="s">
        <v>4570</v>
      </c>
      <c r="B4507" s="1">
        <v>45889</v>
      </c>
      <c r="C4507" s="1">
        <v>45895</v>
      </c>
      <c r="D4507">
        <v>2025</v>
      </c>
      <c r="E4507" t="s">
        <v>1445</v>
      </c>
      <c r="F4507" t="s">
        <v>1651</v>
      </c>
      <c r="G4507" t="s">
        <v>70</v>
      </c>
      <c r="H4507" t="s">
        <v>30</v>
      </c>
      <c r="I4507" t="s">
        <v>40</v>
      </c>
      <c r="J4507" t="s">
        <v>25</v>
      </c>
      <c r="K4507" t="s">
        <v>53</v>
      </c>
      <c r="L4507" t="s">
        <v>27</v>
      </c>
      <c r="M4507">
        <v>6</v>
      </c>
      <c r="N4507" s="2"/>
      <c r="O4507" s="3">
        <v>6455</v>
      </c>
      <c r="P4507">
        <v>0</v>
      </c>
      <c r="Q4507">
        <v>4</v>
      </c>
      <c r="R4507" t="s">
        <v>28</v>
      </c>
      <c r="S4507">
        <v>1</v>
      </c>
    </row>
    <row r="4508" spans="1:19" ht="16.5" x14ac:dyDescent="0.3">
      <c r="A4508" t="s">
        <v>4571</v>
      </c>
      <c r="B4508" s="1">
        <v>45889</v>
      </c>
      <c r="C4508" s="1">
        <v>45907</v>
      </c>
      <c r="D4508">
        <v>2025</v>
      </c>
      <c r="E4508" t="s">
        <v>1445</v>
      </c>
      <c r="F4508" t="s">
        <v>1651</v>
      </c>
      <c r="G4508" t="s">
        <v>70</v>
      </c>
      <c r="H4508" t="s">
        <v>52</v>
      </c>
      <c r="I4508" t="s">
        <v>40</v>
      </c>
      <c r="J4508" t="s">
        <v>25</v>
      </c>
      <c r="K4508" t="s">
        <v>26</v>
      </c>
      <c r="L4508" t="s">
        <v>27</v>
      </c>
      <c r="M4508">
        <v>18</v>
      </c>
      <c r="N4508" s="2"/>
      <c r="O4508" s="3">
        <v>17307</v>
      </c>
      <c r="P4508">
        <v>0</v>
      </c>
      <c r="Q4508">
        <v>5</v>
      </c>
      <c r="R4508" t="s">
        <v>33</v>
      </c>
      <c r="S4508">
        <v>1</v>
      </c>
    </row>
    <row r="4509" spans="1:19" ht="16.5" x14ac:dyDescent="0.3">
      <c r="A4509" t="s">
        <v>4572</v>
      </c>
      <c r="B4509" s="1">
        <v>45889</v>
      </c>
      <c r="C4509" s="1">
        <v>45892</v>
      </c>
      <c r="D4509">
        <v>2025</v>
      </c>
      <c r="E4509" t="s">
        <v>1445</v>
      </c>
      <c r="F4509" t="s">
        <v>1651</v>
      </c>
      <c r="G4509" t="s">
        <v>70</v>
      </c>
      <c r="H4509" t="s">
        <v>35</v>
      </c>
      <c r="I4509" t="s">
        <v>24</v>
      </c>
      <c r="J4509" t="s">
        <v>25</v>
      </c>
      <c r="K4509" t="s">
        <v>32</v>
      </c>
      <c r="L4509" t="s">
        <v>27</v>
      </c>
      <c r="M4509">
        <v>3</v>
      </c>
      <c r="N4509" s="2">
        <v>32</v>
      </c>
      <c r="O4509" s="3">
        <v>2422</v>
      </c>
      <c r="P4509">
        <v>0</v>
      </c>
      <c r="Q4509">
        <v>4</v>
      </c>
      <c r="R4509" t="s">
        <v>33</v>
      </c>
      <c r="S4509">
        <v>1</v>
      </c>
    </row>
    <row r="4510" spans="1:19" ht="16.5" x14ac:dyDescent="0.3">
      <c r="A4510" t="s">
        <v>4573</v>
      </c>
      <c r="B4510" s="1">
        <v>45889</v>
      </c>
      <c r="C4510" s="1">
        <v>45895</v>
      </c>
      <c r="D4510">
        <v>2025</v>
      </c>
      <c r="E4510" t="s">
        <v>1445</v>
      </c>
      <c r="F4510" t="s">
        <v>1651</v>
      </c>
      <c r="G4510" t="s">
        <v>70</v>
      </c>
      <c r="H4510" t="s">
        <v>50</v>
      </c>
      <c r="I4510" t="s">
        <v>24</v>
      </c>
      <c r="J4510" t="s">
        <v>25</v>
      </c>
      <c r="K4510" t="s">
        <v>36</v>
      </c>
      <c r="L4510" t="s">
        <v>44</v>
      </c>
      <c r="M4510">
        <v>6</v>
      </c>
      <c r="N4510" s="2">
        <v>25</v>
      </c>
      <c r="O4510" s="3">
        <v>7694</v>
      </c>
      <c r="P4510">
        <v>0</v>
      </c>
      <c r="Q4510">
        <v>4</v>
      </c>
      <c r="R4510" t="s">
        <v>28</v>
      </c>
      <c r="S4510">
        <v>1</v>
      </c>
    </row>
    <row r="4511" spans="1:19" ht="16.5" x14ac:dyDescent="0.3">
      <c r="A4511" t="s">
        <v>4574</v>
      </c>
      <c r="B4511" s="1">
        <v>45889</v>
      </c>
      <c r="C4511" s="1">
        <v>45890</v>
      </c>
      <c r="D4511">
        <v>2025</v>
      </c>
      <c r="E4511" t="s">
        <v>1445</v>
      </c>
      <c r="F4511" t="s">
        <v>1651</v>
      </c>
      <c r="G4511" t="s">
        <v>70</v>
      </c>
      <c r="H4511" t="s">
        <v>23</v>
      </c>
      <c r="I4511" t="s">
        <v>31</v>
      </c>
      <c r="J4511" t="s">
        <v>25</v>
      </c>
      <c r="K4511" t="s">
        <v>26</v>
      </c>
      <c r="L4511" t="s">
        <v>27</v>
      </c>
      <c r="M4511">
        <v>1</v>
      </c>
      <c r="N4511" s="2"/>
      <c r="O4511" s="3">
        <v>1254</v>
      </c>
      <c r="P4511">
        <v>0</v>
      </c>
      <c r="Q4511">
        <v>4</v>
      </c>
      <c r="R4511" t="s">
        <v>28</v>
      </c>
      <c r="S4511">
        <v>1</v>
      </c>
    </row>
    <row r="4512" spans="1:19" ht="16.5" x14ac:dyDescent="0.3">
      <c r="A4512" t="s">
        <v>4575</v>
      </c>
      <c r="B4512" s="1">
        <v>45889</v>
      </c>
      <c r="C4512" s="1">
        <v>45897</v>
      </c>
      <c r="D4512">
        <v>2025</v>
      </c>
      <c r="E4512" t="s">
        <v>1445</v>
      </c>
      <c r="F4512" t="s">
        <v>1651</v>
      </c>
      <c r="G4512" t="s">
        <v>70</v>
      </c>
      <c r="H4512" t="s">
        <v>52</v>
      </c>
      <c r="I4512" t="s">
        <v>40</v>
      </c>
      <c r="J4512" t="s">
        <v>43</v>
      </c>
      <c r="K4512" t="s">
        <v>26</v>
      </c>
      <c r="L4512" t="s">
        <v>44</v>
      </c>
      <c r="M4512">
        <v>8</v>
      </c>
      <c r="N4512" s="2"/>
      <c r="O4512" s="3">
        <v>7243</v>
      </c>
      <c r="P4512">
        <v>0</v>
      </c>
      <c r="Q4512">
        <v>3</v>
      </c>
      <c r="R4512" t="s">
        <v>33</v>
      </c>
      <c r="S4512">
        <v>1</v>
      </c>
    </row>
    <row r="4513" spans="1:19" ht="16.5" x14ac:dyDescent="0.3">
      <c r="A4513" t="s">
        <v>4576</v>
      </c>
      <c r="B4513" s="1">
        <v>45889</v>
      </c>
      <c r="C4513" s="1">
        <v>45911</v>
      </c>
      <c r="D4513">
        <v>2025</v>
      </c>
      <c r="E4513" t="s">
        <v>1445</v>
      </c>
      <c r="F4513" t="s">
        <v>1651</v>
      </c>
      <c r="G4513" t="s">
        <v>70</v>
      </c>
      <c r="H4513" t="s">
        <v>23</v>
      </c>
      <c r="I4513" t="s">
        <v>24</v>
      </c>
      <c r="J4513" t="s">
        <v>25</v>
      </c>
      <c r="K4513" t="s">
        <v>26</v>
      </c>
      <c r="L4513" t="s">
        <v>27</v>
      </c>
      <c r="M4513">
        <v>22</v>
      </c>
      <c r="N4513" s="2">
        <v>30</v>
      </c>
      <c r="O4513" s="3">
        <v>14286</v>
      </c>
      <c r="P4513">
        <v>0</v>
      </c>
      <c r="Q4513">
        <v>4</v>
      </c>
      <c r="R4513" t="s">
        <v>33</v>
      </c>
      <c r="S4513">
        <v>1</v>
      </c>
    </row>
    <row r="4514" spans="1:19" ht="16.5" x14ac:dyDescent="0.3">
      <c r="A4514" t="s">
        <v>4577</v>
      </c>
      <c r="B4514" s="1">
        <v>45889</v>
      </c>
      <c r="C4514" s="1">
        <v>45894</v>
      </c>
      <c r="D4514">
        <v>2025</v>
      </c>
      <c r="E4514" t="s">
        <v>1445</v>
      </c>
      <c r="F4514" t="s">
        <v>1651</v>
      </c>
      <c r="G4514" t="s">
        <v>70</v>
      </c>
      <c r="H4514" t="s">
        <v>50</v>
      </c>
      <c r="I4514" t="s">
        <v>24</v>
      </c>
      <c r="J4514" t="s">
        <v>25</v>
      </c>
      <c r="K4514" t="s">
        <v>26</v>
      </c>
      <c r="L4514" t="s">
        <v>27</v>
      </c>
      <c r="M4514">
        <v>5</v>
      </c>
      <c r="N4514" s="2">
        <v>29</v>
      </c>
      <c r="O4514" s="3">
        <v>5882</v>
      </c>
      <c r="P4514">
        <v>0</v>
      </c>
      <c r="Q4514">
        <v>4</v>
      </c>
      <c r="R4514" t="s">
        <v>33</v>
      </c>
      <c r="S4514">
        <v>1</v>
      </c>
    </row>
    <row r="4515" spans="1:19" ht="16.5" x14ac:dyDescent="0.3">
      <c r="A4515" t="s">
        <v>4578</v>
      </c>
      <c r="B4515" s="1">
        <v>45889</v>
      </c>
      <c r="C4515" s="1">
        <v>45896</v>
      </c>
      <c r="D4515">
        <v>2025</v>
      </c>
      <c r="E4515" t="s">
        <v>1445</v>
      </c>
      <c r="F4515" t="s">
        <v>1651</v>
      </c>
      <c r="G4515" t="s">
        <v>70</v>
      </c>
      <c r="H4515" t="s">
        <v>23</v>
      </c>
      <c r="I4515" t="s">
        <v>40</v>
      </c>
      <c r="J4515" t="s">
        <v>25</v>
      </c>
      <c r="K4515" t="s">
        <v>26</v>
      </c>
      <c r="L4515" t="s">
        <v>44</v>
      </c>
      <c r="M4515">
        <v>7</v>
      </c>
      <c r="N4515" s="2"/>
      <c r="O4515" s="3">
        <v>5846</v>
      </c>
      <c r="P4515">
        <v>1</v>
      </c>
      <c r="Q4515">
        <v>4</v>
      </c>
      <c r="R4515" t="s">
        <v>33</v>
      </c>
      <c r="S4515">
        <v>1</v>
      </c>
    </row>
    <row r="4516" spans="1:19" ht="16.5" x14ac:dyDescent="0.3">
      <c r="A4516" t="s">
        <v>4579</v>
      </c>
      <c r="B4516" s="1">
        <v>45890</v>
      </c>
      <c r="C4516" s="1">
        <v>45893</v>
      </c>
      <c r="D4516">
        <v>2025</v>
      </c>
      <c r="E4516" t="s">
        <v>1445</v>
      </c>
      <c r="F4516" t="s">
        <v>1651</v>
      </c>
      <c r="G4516" t="s">
        <v>78</v>
      </c>
      <c r="H4516" t="s">
        <v>52</v>
      </c>
      <c r="I4516" t="s">
        <v>24</v>
      </c>
      <c r="J4516" t="s">
        <v>43</v>
      </c>
      <c r="K4516" t="s">
        <v>26</v>
      </c>
      <c r="L4516" t="s">
        <v>44</v>
      </c>
      <c r="M4516">
        <v>3</v>
      </c>
      <c r="N4516" s="2">
        <v>50</v>
      </c>
      <c r="O4516" s="3">
        <v>3591</v>
      </c>
      <c r="P4516">
        <v>0</v>
      </c>
      <c r="Q4516">
        <v>3</v>
      </c>
      <c r="R4516" t="s">
        <v>33</v>
      </c>
      <c r="S4516">
        <v>1</v>
      </c>
    </row>
    <row r="4517" spans="1:19" ht="16.5" x14ac:dyDescent="0.3">
      <c r="A4517" t="s">
        <v>4580</v>
      </c>
      <c r="B4517" s="1">
        <v>45890</v>
      </c>
      <c r="C4517" s="1">
        <v>45896</v>
      </c>
      <c r="D4517">
        <v>2025</v>
      </c>
      <c r="E4517" t="s">
        <v>1445</v>
      </c>
      <c r="F4517" t="s">
        <v>1651</v>
      </c>
      <c r="G4517" t="s">
        <v>78</v>
      </c>
      <c r="H4517" t="s">
        <v>39</v>
      </c>
      <c r="I4517" t="s">
        <v>24</v>
      </c>
      <c r="J4517" t="s">
        <v>25</v>
      </c>
      <c r="K4517" t="s">
        <v>41</v>
      </c>
      <c r="L4517" t="s">
        <v>27</v>
      </c>
      <c r="M4517">
        <v>6</v>
      </c>
      <c r="N4517" s="2">
        <v>46</v>
      </c>
      <c r="O4517" s="3">
        <v>3458</v>
      </c>
      <c r="P4517">
        <v>0</v>
      </c>
      <c r="Q4517">
        <v>4</v>
      </c>
      <c r="R4517" t="s">
        <v>33</v>
      </c>
      <c r="S4517">
        <v>1</v>
      </c>
    </row>
    <row r="4518" spans="1:19" ht="16.5" x14ac:dyDescent="0.3">
      <c r="A4518" t="s">
        <v>4581</v>
      </c>
      <c r="B4518" s="1">
        <v>45890</v>
      </c>
      <c r="C4518" s="1">
        <v>45895</v>
      </c>
      <c r="D4518">
        <v>2025</v>
      </c>
      <c r="E4518" t="s">
        <v>1445</v>
      </c>
      <c r="F4518" t="s">
        <v>1651</v>
      </c>
      <c r="G4518" t="s">
        <v>78</v>
      </c>
      <c r="H4518" t="s">
        <v>30</v>
      </c>
      <c r="I4518" t="s">
        <v>40</v>
      </c>
      <c r="J4518" t="s">
        <v>25</v>
      </c>
      <c r="K4518" t="s">
        <v>53</v>
      </c>
      <c r="L4518" t="s">
        <v>27</v>
      </c>
      <c r="M4518">
        <v>5</v>
      </c>
      <c r="N4518" s="2"/>
      <c r="O4518" s="3">
        <v>6770</v>
      </c>
      <c r="P4518">
        <v>1</v>
      </c>
      <c r="Q4518">
        <v>4</v>
      </c>
      <c r="R4518" t="s">
        <v>28</v>
      </c>
      <c r="S4518">
        <v>1</v>
      </c>
    </row>
    <row r="4519" spans="1:19" ht="16.5" x14ac:dyDescent="0.3">
      <c r="A4519" t="s">
        <v>4582</v>
      </c>
      <c r="B4519" s="1">
        <v>45890</v>
      </c>
      <c r="C4519" s="1">
        <v>45892</v>
      </c>
      <c r="D4519">
        <v>2025</v>
      </c>
      <c r="E4519" t="s">
        <v>1445</v>
      </c>
      <c r="F4519" t="s">
        <v>1651</v>
      </c>
      <c r="G4519" t="s">
        <v>78</v>
      </c>
      <c r="H4519" t="s">
        <v>50</v>
      </c>
      <c r="I4519" t="s">
        <v>24</v>
      </c>
      <c r="J4519" t="s">
        <v>43</v>
      </c>
      <c r="K4519" t="s">
        <v>32</v>
      </c>
      <c r="L4519" t="s">
        <v>27</v>
      </c>
      <c r="M4519">
        <v>2</v>
      </c>
      <c r="N4519" s="2">
        <v>70</v>
      </c>
      <c r="O4519" s="3">
        <v>3382</v>
      </c>
      <c r="P4519">
        <v>0</v>
      </c>
      <c r="Q4519">
        <v>3</v>
      </c>
      <c r="R4519" t="s">
        <v>33</v>
      </c>
      <c r="S4519">
        <v>1</v>
      </c>
    </row>
    <row r="4520" spans="1:19" ht="16.5" x14ac:dyDescent="0.3">
      <c r="A4520" t="s">
        <v>4583</v>
      </c>
      <c r="B4520" s="1">
        <v>45890</v>
      </c>
      <c r="C4520" s="1">
        <v>45898</v>
      </c>
      <c r="D4520">
        <v>2025</v>
      </c>
      <c r="E4520" t="s">
        <v>1445</v>
      </c>
      <c r="F4520" t="s">
        <v>1651</v>
      </c>
      <c r="G4520" t="s">
        <v>78</v>
      </c>
      <c r="H4520" t="s">
        <v>30</v>
      </c>
      <c r="I4520" t="s">
        <v>40</v>
      </c>
      <c r="J4520" t="s">
        <v>25</v>
      </c>
      <c r="K4520" t="s">
        <v>26</v>
      </c>
      <c r="L4520" t="s">
        <v>37</v>
      </c>
      <c r="M4520">
        <v>8</v>
      </c>
      <c r="N4520" s="2"/>
      <c r="O4520" s="3">
        <v>7903</v>
      </c>
      <c r="P4520">
        <v>0</v>
      </c>
      <c r="Q4520">
        <v>3</v>
      </c>
      <c r="R4520" t="s">
        <v>59</v>
      </c>
      <c r="S4520">
        <v>1</v>
      </c>
    </row>
    <row r="4521" spans="1:19" ht="16.5" x14ac:dyDescent="0.3">
      <c r="A4521" t="s">
        <v>4584</v>
      </c>
      <c r="B4521" s="1">
        <v>45890</v>
      </c>
      <c r="C4521" s="1">
        <v>45894</v>
      </c>
      <c r="D4521">
        <v>2025</v>
      </c>
      <c r="E4521" t="s">
        <v>1445</v>
      </c>
      <c r="F4521" t="s">
        <v>1651</v>
      </c>
      <c r="G4521" t="s">
        <v>78</v>
      </c>
      <c r="H4521" t="s">
        <v>23</v>
      </c>
      <c r="I4521" t="s">
        <v>24</v>
      </c>
      <c r="J4521" t="s">
        <v>43</v>
      </c>
      <c r="K4521" t="s">
        <v>26</v>
      </c>
      <c r="L4521" t="s">
        <v>27</v>
      </c>
      <c r="M4521">
        <v>4</v>
      </c>
      <c r="N4521" s="2">
        <v>11</v>
      </c>
      <c r="O4521" s="3">
        <v>3514</v>
      </c>
      <c r="P4521">
        <v>1</v>
      </c>
      <c r="Q4521">
        <v>4</v>
      </c>
      <c r="R4521" t="s">
        <v>33</v>
      </c>
      <c r="S4521">
        <v>1</v>
      </c>
    </row>
    <row r="4522" spans="1:19" ht="16.5" x14ac:dyDescent="0.3">
      <c r="A4522" t="s">
        <v>4585</v>
      </c>
      <c r="B4522" s="1">
        <v>45891</v>
      </c>
      <c r="C4522" s="1">
        <v>45892</v>
      </c>
      <c r="D4522">
        <v>2025</v>
      </c>
      <c r="E4522" t="s">
        <v>1445</v>
      </c>
      <c r="F4522" t="s">
        <v>1651</v>
      </c>
      <c r="G4522" t="s">
        <v>83</v>
      </c>
      <c r="H4522" t="s">
        <v>39</v>
      </c>
      <c r="I4522" t="s">
        <v>24</v>
      </c>
      <c r="J4522" t="s">
        <v>43</v>
      </c>
      <c r="K4522" t="s">
        <v>41</v>
      </c>
      <c r="L4522" t="s">
        <v>37</v>
      </c>
      <c r="M4522">
        <v>1</v>
      </c>
      <c r="N4522" s="2">
        <v>90</v>
      </c>
      <c r="O4522" s="3">
        <v>1643</v>
      </c>
      <c r="P4522">
        <v>0</v>
      </c>
      <c r="Q4522">
        <v>5</v>
      </c>
      <c r="R4522" t="s">
        <v>28</v>
      </c>
      <c r="S4522">
        <v>1</v>
      </c>
    </row>
    <row r="4523" spans="1:19" ht="16.5" x14ac:dyDescent="0.3">
      <c r="A4523" t="s">
        <v>4586</v>
      </c>
      <c r="B4523" s="1">
        <v>45891</v>
      </c>
      <c r="C4523" s="1">
        <v>45893</v>
      </c>
      <c r="D4523">
        <v>2025</v>
      </c>
      <c r="E4523" t="s">
        <v>1445</v>
      </c>
      <c r="F4523" t="s">
        <v>1651</v>
      </c>
      <c r="G4523" t="s">
        <v>83</v>
      </c>
      <c r="H4523" t="s">
        <v>30</v>
      </c>
      <c r="I4523" t="s">
        <v>40</v>
      </c>
      <c r="J4523" t="s">
        <v>43</v>
      </c>
      <c r="K4523" t="s">
        <v>53</v>
      </c>
      <c r="L4523" t="s">
        <v>44</v>
      </c>
      <c r="M4523">
        <v>2</v>
      </c>
      <c r="N4523" s="2"/>
      <c r="O4523" s="3">
        <v>3089</v>
      </c>
      <c r="P4523">
        <v>0</v>
      </c>
      <c r="Q4523">
        <v>4</v>
      </c>
      <c r="R4523" t="s">
        <v>33</v>
      </c>
      <c r="S4523">
        <v>1</v>
      </c>
    </row>
    <row r="4524" spans="1:19" ht="16.5" x14ac:dyDescent="0.3">
      <c r="A4524" t="s">
        <v>4587</v>
      </c>
      <c r="B4524" s="1">
        <v>45891</v>
      </c>
      <c r="C4524" s="1">
        <v>45894</v>
      </c>
      <c r="D4524">
        <v>2025</v>
      </c>
      <c r="E4524" t="s">
        <v>1445</v>
      </c>
      <c r="F4524" t="s">
        <v>1651</v>
      </c>
      <c r="G4524" t="s">
        <v>83</v>
      </c>
      <c r="H4524" t="s">
        <v>30</v>
      </c>
      <c r="I4524" t="s">
        <v>40</v>
      </c>
      <c r="J4524" t="s">
        <v>25</v>
      </c>
      <c r="K4524" t="s">
        <v>53</v>
      </c>
      <c r="L4524" t="s">
        <v>27</v>
      </c>
      <c r="M4524">
        <v>3</v>
      </c>
      <c r="N4524" s="2"/>
      <c r="O4524" s="3">
        <v>3944</v>
      </c>
      <c r="P4524">
        <v>0</v>
      </c>
      <c r="Q4524">
        <v>5</v>
      </c>
      <c r="R4524" t="s">
        <v>33</v>
      </c>
      <c r="S4524">
        <v>1</v>
      </c>
    </row>
    <row r="4525" spans="1:19" ht="16.5" x14ac:dyDescent="0.3">
      <c r="A4525" t="s">
        <v>4588</v>
      </c>
      <c r="B4525" s="1">
        <v>45891</v>
      </c>
      <c r="C4525" s="1">
        <v>45894</v>
      </c>
      <c r="D4525">
        <v>2025</v>
      </c>
      <c r="E4525" t="s">
        <v>1445</v>
      </c>
      <c r="F4525" t="s">
        <v>1651</v>
      </c>
      <c r="G4525" t="s">
        <v>83</v>
      </c>
      <c r="H4525" t="s">
        <v>39</v>
      </c>
      <c r="I4525" t="s">
        <v>24</v>
      </c>
      <c r="J4525" t="s">
        <v>43</v>
      </c>
      <c r="K4525" t="s">
        <v>41</v>
      </c>
      <c r="L4525" t="s">
        <v>44</v>
      </c>
      <c r="M4525">
        <v>3</v>
      </c>
      <c r="N4525" s="2">
        <v>28</v>
      </c>
      <c r="O4525" s="3">
        <v>2337</v>
      </c>
      <c r="P4525">
        <v>0</v>
      </c>
      <c r="Q4525">
        <v>5</v>
      </c>
      <c r="R4525" t="s">
        <v>33</v>
      </c>
      <c r="S4525">
        <v>1</v>
      </c>
    </row>
    <row r="4526" spans="1:19" ht="16.5" x14ac:dyDescent="0.3">
      <c r="A4526" t="s">
        <v>4589</v>
      </c>
      <c r="B4526" s="1">
        <v>45891</v>
      </c>
      <c r="C4526" s="1">
        <v>45893</v>
      </c>
      <c r="D4526">
        <v>2025</v>
      </c>
      <c r="E4526" t="s">
        <v>1445</v>
      </c>
      <c r="F4526" t="s">
        <v>1651</v>
      </c>
      <c r="G4526" t="s">
        <v>83</v>
      </c>
      <c r="H4526" t="s">
        <v>30</v>
      </c>
      <c r="I4526" t="s">
        <v>24</v>
      </c>
      <c r="J4526" t="s">
        <v>43</v>
      </c>
      <c r="K4526" t="s">
        <v>26</v>
      </c>
      <c r="L4526" t="s">
        <v>44</v>
      </c>
      <c r="M4526">
        <v>2</v>
      </c>
      <c r="N4526" s="2">
        <v>88</v>
      </c>
      <c r="O4526" s="3">
        <v>2945</v>
      </c>
      <c r="P4526">
        <v>0</v>
      </c>
      <c r="Q4526">
        <v>4</v>
      </c>
      <c r="R4526" t="s">
        <v>33</v>
      </c>
      <c r="S4526">
        <v>1</v>
      </c>
    </row>
    <row r="4527" spans="1:19" ht="16.5" x14ac:dyDescent="0.3">
      <c r="A4527" t="s">
        <v>4590</v>
      </c>
      <c r="B4527" s="1">
        <v>45891</v>
      </c>
      <c r="C4527" s="1">
        <v>45898</v>
      </c>
      <c r="D4527">
        <v>2025</v>
      </c>
      <c r="E4527" t="s">
        <v>1445</v>
      </c>
      <c r="F4527" t="s">
        <v>1651</v>
      </c>
      <c r="G4527" t="s">
        <v>83</v>
      </c>
      <c r="H4527" t="s">
        <v>23</v>
      </c>
      <c r="I4527" t="s">
        <v>24</v>
      </c>
      <c r="J4527" t="s">
        <v>43</v>
      </c>
      <c r="K4527" t="s">
        <v>53</v>
      </c>
      <c r="L4527" t="s">
        <v>27</v>
      </c>
      <c r="M4527">
        <v>7</v>
      </c>
      <c r="N4527" s="2">
        <v>13</v>
      </c>
      <c r="O4527" s="3">
        <v>4646</v>
      </c>
      <c r="P4527">
        <v>0</v>
      </c>
      <c r="Q4527">
        <v>4</v>
      </c>
      <c r="R4527" t="s">
        <v>33</v>
      </c>
      <c r="S4527">
        <v>1</v>
      </c>
    </row>
    <row r="4528" spans="1:19" ht="16.5" x14ac:dyDescent="0.3">
      <c r="A4528" t="s">
        <v>4591</v>
      </c>
      <c r="B4528" s="1">
        <v>45891</v>
      </c>
      <c r="C4528" s="1">
        <v>45900</v>
      </c>
      <c r="D4528">
        <v>2025</v>
      </c>
      <c r="E4528" t="s">
        <v>1445</v>
      </c>
      <c r="F4528" t="s">
        <v>1651</v>
      </c>
      <c r="G4528" t="s">
        <v>83</v>
      </c>
      <c r="H4528" t="s">
        <v>52</v>
      </c>
      <c r="I4528" t="s">
        <v>24</v>
      </c>
      <c r="J4528" t="s">
        <v>43</v>
      </c>
      <c r="K4528" t="s">
        <v>26</v>
      </c>
      <c r="L4528" t="s">
        <v>27</v>
      </c>
      <c r="M4528">
        <v>9</v>
      </c>
      <c r="N4528" s="2">
        <v>76</v>
      </c>
      <c r="O4528" s="3">
        <v>9714</v>
      </c>
      <c r="P4528">
        <v>0</v>
      </c>
      <c r="Q4528">
        <v>5</v>
      </c>
      <c r="R4528" t="s">
        <v>33</v>
      </c>
      <c r="S4528">
        <v>1</v>
      </c>
    </row>
    <row r="4529" spans="1:19" ht="16.5" x14ac:dyDescent="0.3">
      <c r="A4529" t="s">
        <v>4592</v>
      </c>
      <c r="B4529" s="1">
        <v>45892</v>
      </c>
      <c r="C4529" s="1">
        <v>45895</v>
      </c>
      <c r="D4529">
        <v>2025</v>
      </c>
      <c r="E4529" t="s">
        <v>1445</v>
      </c>
      <c r="F4529" t="s">
        <v>1651</v>
      </c>
      <c r="G4529" t="s">
        <v>102</v>
      </c>
      <c r="H4529" t="s">
        <v>50</v>
      </c>
      <c r="I4529" t="s">
        <v>24</v>
      </c>
      <c r="J4529" t="s">
        <v>25</v>
      </c>
      <c r="K4529" t="s">
        <v>32</v>
      </c>
      <c r="L4529" t="s">
        <v>27</v>
      </c>
      <c r="M4529">
        <v>3</v>
      </c>
      <c r="N4529" s="2">
        <v>46</v>
      </c>
      <c r="O4529" s="3">
        <v>4561</v>
      </c>
      <c r="P4529">
        <v>0</v>
      </c>
      <c r="Q4529">
        <v>5</v>
      </c>
      <c r="R4529" t="s">
        <v>59</v>
      </c>
      <c r="S4529">
        <v>1</v>
      </c>
    </row>
    <row r="4530" spans="1:19" ht="16.5" x14ac:dyDescent="0.3">
      <c r="A4530" t="s">
        <v>4593</v>
      </c>
      <c r="B4530" s="1">
        <v>45892</v>
      </c>
      <c r="C4530" s="1">
        <v>45899</v>
      </c>
      <c r="D4530">
        <v>2025</v>
      </c>
      <c r="E4530" t="s">
        <v>1445</v>
      </c>
      <c r="F4530" t="s">
        <v>1651</v>
      </c>
      <c r="G4530" t="s">
        <v>102</v>
      </c>
      <c r="H4530" t="s">
        <v>39</v>
      </c>
      <c r="I4530" t="s">
        <v>24</v>
      </c>
      <c r="J4530" t="s">
        <v>25</v>
      </c>
      <c r="K4530" t="s">
        <v>41</v>
      </c>
      <c r="L4530" t="s">
        <v>27</v>
      </c>
      <c r="M4530">
        <v>7</v>
      </c>
      <c r="N4530" s="2">
        <v>57</v>
      </c>
      <c r="O4530" s="3">
        <v>5260</v>
      </c>
      <c r="P4530">
        <v>0</v>
      </c>
      <c r="Q4530">
        <v>5</v>
      </c>
      <c r="R4530" t="s">
        <v>33</v>
      </c>
      <c r="S4530">
        <v>1</v>
      </c>
    </row>
    <row r="4531" spans="1:19" ht="16.5" x14ac:dyDescent="0.3">
      <c r="A4531" t="s">
        <v>4594</v>
      </c>
      <c r="B4531" s="1">
        <v>45892</v>
      </c>
      <c r="C4531" s="1">
        <v>45902</v>
      </c>
      <c r="D4531">
        <v>2025</v>
      </c>
      <c r="E4531" t="s">
        <v>1445</v>
      </c>
      <c r="F4531" t="s">
        <v>1651</v>
      </c>
      <c r="G4531" t="s">
        <v>102</v>
      </c>
      <c r="H4531" t="s">
        <v>50</v>
      </c>
      <c r="I4531" t="s">
        <v>24</v>
      </c>
      <c r="J4531" t="s">
        <v>43</v>
      </c>
      <c r="K4531" t="s">
        <v>53</v>
      </c>
      <c r="L4531" t="s">
        <v>27</v>
      </c>
      <c r="M4531">
        <v>10</v>
      </c>
      <c r="N4531" s="2">
        <v>92</v>
      </c>
      <c r="O4531" s="3">
        <v>17696</v>
      </c>
      <c r="P4531">
        <v>0</v>
      </c>
      <c r="Q4531">
        <v>3</v>
      </c>
      <c r="R4531" t="s">
        <v>33</v>
      </c>
      <c r="S4531">
        <v>1</v>
      </c>
    </row>
    <row r="4532" spans="1:19" ht="16.5" x14ac:dyDescent="0.3">
      <c r="A4532" t="s">
        <v>4595</v>
      </c>
      <c r="B4532" s="1">
        <v>45892</v>
      </c>
      <c r="C4532" s="1">
        <v>45896</v>
      </c>
      <c r="D4532">
        <v>2025</v>
      </c>
      <c r="E4532" t="s">
        <v>1445</v>
      </c>
      <c r="F4532" t="s">
        <v>1651</v>
      </c>
      <c r="G4532" t="s">
        <v>102</v>
      </c>
      <c r="H4532" t="s">
        <v>30</v>
      </c>
      <c r="I4532" t="s">
        <v>40</v>
      </c>
      <c r="J4532" t="s">
        <v>25</v>
      </c>
      <c r="K4532" t="s">
        <v>53</v>
      </c>
      <c r="L4532" t="s">
        <v>44</v>
      </c>
      <c r="M4532">
        <v>4</v>
      </c>
      <c r="N4532" s="2"/>
      <c r="O4532" s="3">
        <v>4707</v>
      </c>
      <c r="P4532">
        <v>0</v>
      </c>
      <c r="Q4532">
        <v>4</v>
      </c>
      <c r="R4532" t="s">
        <v>33</v>
      </c>
      <c r="S4532">
        <v>1</v>
      </c>
    </row>
    <row r="4533" spans="1:19" ht="16.5" x14ac:dyDescent="0.3">
      <c r="A4533" t="s">
        <v>4596</v>
      </c>
      <c r="B4533" s="1">
        <v>45892</v>
      </c>
      <c r="C4533" s="1">
        <v>45901</v>
      </c>
      <c r="D4533">
        <v>2025</v>
      </c>
      <c r="E4533" t="s">
        <v>1445</v>
      </c>
      <c r="F4533" t="s">
        <v>1651</v>
      </c>
      <c r="G4533" t="s">
        <v>102</v>
      </c>
      <c r="H4533" t="s">
        <v>50</v>
      </c>
      <c r="I4533" t="s">
        <v>24</v>
      </c>
      <c r="J4533" t="s">
        <v>25</v>
      </c>
      <c r="K4533" t="s">
        <v>26</v>
      </c>
      <c r="L4533" t="s">
        <v>44</v>
      </c>
      <c r="M4533">
        <v>9</v>
      </c>
      <c r="N4533" s="2">
        <v>66</v>
      </c>
      <c r="O4533" s="3">
        <v>12851</v>
      </c>
      <c r="P4533">
        <v>0</v>
      </c>
      <c r="Q4533">
        <v>4</v>
      </c>
      <c r="R4533" t="s">
        <v>28</v>
      </c>
      <c r="S4533">
        <v>1</v>
      </c>
    </row>
    <row r="4534" spans="1:19" ht="16.5" x14ac:dyDescent="0.3">
      <c r="A4534" t="s">
        <v>4597</v>
      </c>
      <c r="B4534" s="1">
        <v>45892</v>
      </c>
      <c r="C4534" s="1">
        <v>45895</v>
      </c>
      <c r="D4534">
        <v>2025</v>
      </c>
      <c r="E4534" t="s">
        <v>1445</v>
      </c>
      <c r="F4534" t="s">
        <v>1651</v>
      </c>
      <c r="G4534" t="s">
        <v>102</v>
      </c>
      <c r="H4534" t="s">
        <v>35</v>
      </c>
      <c r="I4534" t="s">
        <v>24</v>
      </c>
      <c r="J4534" t="s">
        <v>25</v>
      </c>
      <c r="K4534" t="s">
        <v>36</v>
      </c>
      <c r="L4534" t="s">
        <v>44</v>
      </c>
      <c r="M4534">
        <v>3</v>
      </c>
      <c r="N4534" s="2">
        <v>75</v>
      </c>
      <c r="O4534" s="3">
        <v>3090</v>
      </c>
      <c r="P4534">
        <v>0</v>
      </c>
      <c r="Q4534">
        <v>5</v>
      </c>
      <c r="R4534" t="s">
        <v>33</v>
      </c>
      <c r="S4534">
        <v>1</v>
      </c>
    </row>
    <row r="4535" spans="1:19" ht="16.5" x14ac:dyDescent="0.3">
      <c r="A4535" t="s">
        <v>4598</v>
      </c>
      <c r="B4535" s="1">
        <v>45892</v>
      </c>
      <c r="C4535" s="1">
        <v>45903</v>
      </c>
      <c r="D4535">
        <v>2025</v>
      </c>
      <c r="E4535" t="s">
        <v>1445</v>
      </c>
      <c r="F4535" t="s">
        <v>1651</v>
      </c>
      <c r="G4535" t="s">
        <v>102</v>
      </c>
      <c r="H4535" t="s">
        <v>50</v>
      </c>
      <c r="I4535" t="s">
        <v>24</v>
      </c>
      <c r="J4535" t="s">
        <v>43</v>
      </c>
      <c r="K4535" t="s">
        <v>36</v>
      </c>
      <c r="L4535" t="s">
        <v>44</v>
      </c>
      <c r="M4535">
        <v>11</v>
      </c>
      <c r="N4535" s="2">
        <v>54</v>
      </c>
      <c r="O4535" s="3">
        <v>8077</v>
      </c>
      <c r="P4535">
        <v>0</v>
      </c>
      <c r="Q4535">
        <v>4</v>
      </c>
      <c r="R4535" t="s">
        <v>33</v>
      </c>
      <c r="S4535">
        <v>1</v>
      </c>
    </row>
    <row r="4536" spans="1:19" ht="16.5" x14ac:dyDescent="0.3">
      <c r="A4536" t="s">
        <v>4599</v>
      </c>
      <c r="B4536" s="1">
        <v>45892</v>
      </c>
      <c r="C4536" s="1">
        <v>45898</v>
      </c>
      <c r="D4536">
        <v>2025</v>
      </c>
      <c r="E4536" t="s">
        <v>1445</v>
      </c>
      <c r="F4536" t="s">
        <v>1651</v>
      </c>
      <c r="G4536" t="s">
        <v>102</v>
      </c>
      <c r="H4536" t="s">
        <v>52</v>
      </c>
      <c r="I4536" t="s">
        <v>40</v>
      </c>
      <c r="J4536" t="s">
        <v>43</v>
      </c>
      <c r="K4536" t="s">
        <v>26</v>
      </c>
      <c r="L4536" t="s">
        <v>27</v>
      </c>
      <c r="M4536">
        <v>6</v>
      </c>
      <c r="N4536" s="2"/>
      <c r="O4536" s="3">
        <v>7389</v>
      </c>
      <c r="P4536">
        <v>0</v>
      </c>
      <c r="Q4536">
        <v>5</v>
      </c>
      <c r="R4536" t="s">
        <v>33</v>
      </c>
      <c r="S4536">
        <v>1</v>
      </c>
    </row>
    <row r="4537" spans="1:19" ht="16.5" x14ac:dyDescent="0.3">
      <c r="A4537" t="s">
        <v>4600</v>
      </c>
      <c r="B4537" s="1">
        <v>45892</v>
      </c>
      <c r="C4537" s="1">
        <v>45893</v>
      </c>
      <c r="D4537">
        <v>2025</v>
      </c>
      <c r="E4537" t="s">
        <v>1445</v>
      </c>
      <c r="F4537" t="s">
        <v>1651</v>
      </c>
      <c r="G4537" t="s">
        <v>102</v>
      </c>
      <c r="H4537" t="s">
        <v>35</v>
      </c>
      <c r="I4537" t="s">
        <v>24</v>
      </c>
      <c r="J4537" t="s">
        <v>25</v>
      </c>
      <c r="K4537" t="s">
        <v>32</v>
      </c>
      <c r="L4537" t="s">
        <v>27</v>
      </c>
      <c r="M4537">
        <v>1</v>
      </c>
      <c r="N4537" s="2">
        <v>29</v>
      </c>
      <c r="O4537" s="3">
        <v>1487</v>
      </c>
      <c r="P4537">
        <v>0</v>
      </c>
      <c r="Q4537">
        <v>5</v>
      </c>
      <c r="R4537" t="s">
        <v>33</v>
      </c>
      <c r="S4537">
        <v>1</v>
      </c>
    </row>
    <row r="4538" spans="1:19" ht="16.5" x14ac:dyDescent="0.3">
      <c r="A4538" t="s">
        <v>4601</v>
      </c>
      <c r="B4538" s="1">
        <v>45893</v>
      </c>
      <c r="C4538" s="1">
        <v>45895</v>
      </c>
      <c r="D4538">
        <v>2025</v>
      </c>
      <c r="E4538" t="s">
        <v>1445</v>
      </c>
      <c r="F4538" t="s">
        <v>1651</v>
      </c>
      <c r="G4538" t="s">
        <v>112</v>
      </c>
      <c r="H4538" t="s">
        <v>50</v>
      </c>
      <c r="I4538" t="s">
        <v>24</v>
      </c>
      <c r="J4538" t="s">
        <v>25</v>
      </c>
      <c r="K4538" t="s">
        <v>32</v>
      </c>
      <c r="L4538" t="s">
        <v>27</v>
      </c>
      <c r="M4538">
        <v>2</v>
      </c>
      <c r="N4538" s="2">
        <v>12</v>
      </c>
      <c r="O4538" s="3">
        <v>3205</v>
      </c>
      <c r="P4538">
        <v>0</v>
      </c>
      <c r="Q4538">
        <v>4</v>
      </c>
      <c r="R4538" t="s">
        <v>28</v>
      </c>
      <c r="S4538">
        <v>1</v>
      </c>
    </row>
    <row r="4539" spans="1:19" ht="16.5" x14ac:dyDescent="0.3">
      <c r="A4539" t="s">
        <v>4602</v>
      </c>
      <c r="B4539" s="1">
        <v>45893</v>
      </c>
      <c r="C4539" s="1">
        <v>45896</v>
      </c>
      <c r="D4539">
        <v>2025</v>
      </c>
      <c r="E4539" t="s">
        <v>1445</v>
      </c>
      <c r="F4539" t="s">
        <v>1651</v>
      </c>
      <c r="G4539" t="s">
        <v>112</v>
      </c>
      <c r="H4539" t="s">
        <v>39</v>
      </c>
      <c r="I4539" t="s">
        <v>24</v>
      </c>
      <c r="J4539" t="s">
        <v>43</v>
      </c>
      <c r="K4539" t="s">
        <v>41</v>
      </c>
      <c r="L4539" t="s">
        <v>44</v>
      </c>
      <c r="M4539">
        <v>3</v>
      </c>
      <c r="N4539" s="2">
        <v>59</v>
      </c>
      <c r="O4539" s="3">
        <v>2594</v>
      </c>
      <c r="P4539">
        <v>0</v>
      </c>
      <c r="Q4539">
        <v>3</v>
      </c>
      <c r="R4539" t="s">
        <v>33</v>
      </c>
      <c r="S4539">
        <v>1</v>
      </c>
    </row>
    <row r="4540" spans="1:19" ht="16.5" x14ac:dyDescent="0.3">
      <c r="A4540" t="s">
        <v>4603</v>
      </c>
      <c r="B4540" s="1">
        <v>45893</v>
      </c>
      <c r="C4540" s="1">
        <v>45897</v>
      </c>
      <c r="D4540">
        <v>2025</v>
      </c>
      <c r="E4540" t="s">
        <v>1445</v>
      </c>
      <c r="F4540" t="s">
        <v>1651</v>
      </c>
      <c r="G4540" t="s">
        <v>112</v>
      </c>
      <c r="H4540" t="s">
        <v>52</v>
      </c>
      <c r="I4540" t="s">
        <v>40</v>
      </c>
      <c r="J4540" t="s">
        <v>25</v>
      </c>
      <c r="K4540" t="s">
        <v>26</v>
      </c>
      <c r="L4540" t="s">
        <v>44</v>
      </c>
      <c r="M4540">
        <v>4</v>
      </c>
      <c r="N4540" s="2"/>
      <c r="O4540" s="3">
        <v>4050</v>
      </c>
      <c r="P4540">
        <v>0</v>
      </c>
      <c r="Q4540">
        <v>3</v>
      </c>
      <c r="R4540" t="s">
        <v>33</v>
      </c>
      <c r="S4540">
        <v>1</v>
      </c>
    </row>
    <row r="4541" spans="1:19" ht="16.5" x14ac:dyDescent="0.3">
      <c r="A4541" t="s">
        <v>4604</v>
      </c>
      <c r="B4541" s="1">
        <v>45893</v>
      </c>
      <c r="C4541" s="1">
        <v>45900</v>
      </c>
      <c r="D4541">
        <v>2025</v>
      </c>
      <c r="E4541" t="s">
        <v>1445</v>
      </c>
      <c r="F4541" t="s">
        <v>1651</v>
      </c>
      <c r="G4541" t="s">
        <v>112</v>
      </c>
      <c r="H4541" t="s">
        <v>23</v>
      </c>
      <c r="I4541" t="s">
        <v>24</v>
      </c>
      <c r="J4541" t="s">
        <v>25</v>
      </c>
      <c r="K4541" t="s">
        <v>32</v>
      </c>
      <c r="L4541" t="s">
        <v>27</v>
      </c>
      <c r="M4541">
        <v>7</v>
      </c>
      <c r="N4541" s="2">
        <v>42</v>
      </c>
      <c r="O4541" s="3">
        <v>5379</v>
      </c>
      <c r="P4541">
        <v>0</v>
      </c>
      <c r="Q4541">
        <v>4</v>
      </c>
      <c r="R4541" t="s">
        <v>33</v>
      </c>
      <c r="S4541">
        <v>1</v>
      </c>
    </row>
    <row r="4542" spans="1:19" ht="16.5" x14ac:dyDescent="0.3">
      <c r="A4542" t="s">
        <v>4605</v>
      </c>
      <c r="B4542" s="1">
        <v>45893</v>
      </c>
      <c r="C4542" s="1">
        <v>45899</v>
      </c>
      <c r="D4542">
        <v>2025</v>
      </c>
      <c r="E4542" t="s">
        <v>1445</v>
      </c>
      <c r="F4542" t="s">
        <v>1651</v>
      </c>
      <c r="G4542" t="s">
        <v>112</v>
      </c>
      <c r="H4542" t="s">
        <v>23</v>
      </c>
      <c r="I4542" t="s">
        <v>40</v>
      </c>
      <c r="J4542" t="s">
        <v>43</v>
      </c>
      <c r="K4542" t="s">
        <v>53</v>
      </c>
      <c r="L4542" t="s">
        <v>27</v>
      </c>
      <c r="M4542">
        <v>6</v>
      </c>
      <c r="N4542" s="2"/>
      <c r="O4542" s="3">
        <v>4291</v>
      </c>
      <c r="P4542">
        <v>0</v>
      </c>
      <c r="Q4542">
        <v>4</v>
      </c>
      <c r="R4542" t="s">
        <v>33</v>
      </c>
      <c r="S4542">
        <v>1</v>
      </c>
    </row>
    <row r="4543" spans="1:19" ht="16.5" x14ac:dyDescent="0.3">
      <c r="A4543" t="s">
        <v>4606</v>
      </c>
      <c r="B4543" s="1">
        <v>45893</v>
      </c>
      <c r="C4543" s="1">
        <v>45897</v>
      </c>
      <c r="D4543">
        <v>2025</v>
      </c>
      <c r="E4543" t="s">
        <v>1445</v>
      </c>
      <c r="F4543" t="s">
        <v>1651</v>
      </c>
      <c r="G4543" t="s">
        <v>112</v>
      </c>
      <c r="H4543" t="s">
        <v>52</v>
      </c>
      <c r="I4543" t="s">
        <v>40</v>
      </c>
      <c r="J4543" t="s">
        <v>43</v>
      </c>
      <c r="K4543" t="s">
        <v>26</v>
      </c>
      <c r="L4543" t="s">
        <v>44</v>
      </c>
      <c r="M4543">
        <v>4</v>
      </c>
      <c r="N4543" s="2"/>
      <c r="O4543" s="3">
        <v>4690</v>
      </c>
      <c r="P4543">
        <v>1</v>
      </c>
      <c r="Q4543">
        <v>3</v>
      </c>
      <c r="R4543" t="s">
        <v>33</v>
      </c>
      <c r="S4543">
        <v>1</v>
      </c>
    </row>
    <row r="4544" spans="1:19" ht="16.5" x14ac:dyDescent="0.3">
      <c r="A4544" t="s">
        <v>4607</v>
      </c>
      <c r="B4544" s="1">
        <v>45893</v>
      </c>
      <c r="C4544" s="1">
        <v>45903</v>
      </c>
      <c r="D4544">
        <v>2025</v>
      </c>
      <c r="E4544" t="s">
        <v>1445</v>
      </c>
      <c r="F4544" t="s">
        <v>1651</v>
      </c>
      <c r="G4544" t="s">
        <v>112</v>
      </c>
      <c r="H4544" t="s">
        <v>23</v>
      </c>
      <c r="I4544" t="s">
        <v>40</v>
      </c>
      <c r="J4544" t="s">
        <v>43</v>
      </c>
      <c r="K4544" t="s">
        <v>26</v>
      </c>
      <c r="L4544" t="s">
        <v>27</v>
      </c>
      <c r="M4544">
        <v>10</v>
      </c>
      <c r="N4544" s="2"/>
      <c r="O4544" s="3">
        <v>7590</v>
      </c>
      <c r="P4544">
        <v>0</v>
      </c>
      <c r="Q4544">
        <v>4</v>
      </c>
      <c r="R4544" t="s">
        <v>33</v>
      </c>
      <c r="S4544">
        <v>1</v>
      </c>
    </row>
    <row r="4545" spans="1:19" ht="16.5" x14ac:dyDescent="0.3">
      <c r="A4545" t="s">
        <v>4608</v>
      </c>
      <c r="B4545" s="1">
        <v>45893</v>
      </c>
      <c r="C4545" s="1">
        <v>45894</v>
      </c>
      <c r="D4545">
        <v>2025</v>
      </c>
      <c r="E4545" t="s">
        <v>1445</v>
      </c>
      <c r="F4545" t="s">
        <v>1651</v>
      </c>
      <c r="G4545" t="s">
        <v>112</v>
      </c>
      <c r="H4545" t="s">
        <v>39</v>
      </c>
      <c r="I4545" t="s">
        <v>24</v>
      </c>
      <c r="J4545" t="s">
        <v>25</v>
      </c>
      <c r="K4545" t="s">
        <v>41</v>
      </c>
      <c r="L4545" t="s">
        <v>27</v>
      </c>
      <c r="M4545">
        <v>1</v>
      </c>
      <c r="N4545" s="2">
        <v>25</v>
      </c>
      <c r="O4545" s="3">
        <v>1308</v>
      </c>
      <c r="P4545">
        <v>1</v>
      </c>
      <c r="Q4545">
        <v>3</v>
      </c>
      <c r="R4545" t="s">
        <v>33</v>
      </c>
      <c r="S4545">
        <v>1</v>
      </c>
    </row>
    <row r="4546" spans="1:19" ht="16.5" x14ac:dyDescent="0.3">
      <c r="A4546" t="s">
        <v>4609</v>
      </c>
      <c r="B4546" s="1">
        <v>45894</v>
      </c>
      <c r="C4546" s="1">
        <v>45896</v>
      </c>
      <c r="D4546">
        <v>2025</v>
      </c>
      <c r="E4546" t="s">
        <v>1445</v>
      </c>
      <c r="F4546" t="s">
        <v>1651</v>
      </c>
      <c r="G4546" t="s">
        <v>22</v>
      </c>
      <c r="H4546" t="s">
        <v>23</v>
      </c>
      <c r="I4546" t="s">
        <v>40</v>
      </c>
      <c r="J4546" t="s">
        <v>25</v>
      </c>
      <c r="K4546" t="s">
        <v>26</v>
      </c>
      <c r="L4546" t="s">
        <v>44</v>
      </c>
      <c r="M4546">
        <v>2</v>
      </c>
      <c r="N4546" s="2"/>
      <c r="O4546" s="3">
        <v>1881</v>
      </c>
      <c r="P4546">
        <v>1</v>
      </c>
      <c r="Q4546">
        <v>4</v>
      </c>
      <c r="R4546" t="s">
        <v>33</v>
      </c>
      <c r="S4546">
        <v>1</v>
      </c>
    </row>
    <row r="4547" spans="1:19" ht="16.5" x14ac:dyDescent="0.3">
      <c r="A4547" t="s">
        <v>4610</v>
      </c>
      <c r="B4547" s="1">
        <v>45894</v>
      </c>
      <c r="C4547" s="1">
        <v>45897</v>
      </c>
      <c r="D4547">
        <v>2025</v>
      </c>
      <c r="E4547" t="s">
        <v>1445</v>
      </c>
      <c r="F4547" t="s">
        <v>1651</v>
      </c>
      <c r="G4547" t="s">
        <v>22</v>
      </c>
      <c r="H4547" t="s">
        <v>30</v>
      </c>
      <c r="I4547" t="s">
        <v>40</v>
      </c>
      <c r="J4547" t="s">
        <v>25</v>
      </c>
      <c r="K4547" t="s">
        <v>26</v>
      </c>
      <c r="L4547" t="s">
        <v>44</v>
      </c>
      <c r="M4547">
        <v>3</v>
      </c>
      <c r="N4547" s="2"/>
      <c r="O4547" s="3">
        <v>3794</v>
      </c>
      <c r="P4547">
        <v>0</v>
      </c>
      <c r="Q4547">
        <v>4</v>
      </c>
      <c r="R4547" t="s">
        <v>33</v>
      </c>
      <c r="S4547">
        <v>1</v>
      </c>
    </row>
    <row r="4548" spans="1:19" ht="16.5" x14ac:dyDescent="0.3">
      <c r="A4548" t="s">
        <v>4611</v>
      </c>
      <c r="B4548" s="1">
        <v>45894</v>
      </c>
      <c r="C4548" s="1">
        <v>45896</v>
      </c>
      <c r="D4548">
        <v>2025</v>
      </c>
      <c r="E4548" t="s">
        <v>1445</v>
      </c>
      <c r="F4548" t="s">
        <v>1651</v>
      </c>
      <c r="G4548" t="s">
        <v>22</v>
      </c>
      <c r="H4548" t="s">
        <v>30</v>
      </c>
      <c r="I4548" t="s">
        <v>40</v>
      </c>
      <c r="J4548" t="s">
        <v>43</v>
      </c>
      <c r="K4548" t="s">
        <v>32</v>
      </c>
      <c r="L4548" t="s">
        <v>27</v>
      </c>
      <c r="M4548">
        <v>2</v>
      </c>
      <c r="N4548" s="2"/>
      <c r="O4548" s="3">
        <v>2895</v>
      </c>
      <c r="P4548">
        <v>0</v>
      </c>
      <c r="Q4548">
        <v>4</v>
      </c>
      <c r="R4548" t="s">
        <v>28</v>
      </c>
      <c r="S4548">
        <v>1</v>
      </c>
    </row>
    <row r="4549" spans="1:19" ht="16.5" x14ac:dyDescent="0.3">
      <c r="A4549" t="s">
        <v>4612</v>
      </c>
      <c r="B4549" s="1">
        <v>45894</v>
      </c>
      <c r="C4549" s="1">
        <v>45900</v>
      </c>
      <c r="D4549">
        <v>2025</v>
      </c>
      <c r="E4549" t="s">
        <v>1445</v>
      </c>
      <c r="F4549" t="s">
        <v>1651</v>
      </c>
      <c r="G4549" t="s">
        <v>22</v>
      </c>
      <c r="H4549" t="s">
        <v>23</v>
      </c>
      <c r="I4549" t="s">
        <v>24</v>
      </c>
      <c r="J4549" t="s">
        <v>25</v>
      </c>
      <c r="K4549" t="s">
        <v>36</v>
      </c>
      <c r="L4549" t="s">
        <v>27</v>
      </c>
      <c r="M4549">
        <v>6</v>
      </c>
      <c r="N4549" s="2">
        <v>42</v>
      </c>
      <c r="O4549" s="3">
        <v>4408</v>
      </c>
      <c r="P4549">
        <v>0</v>
      </c>
      <c r="Q4549">
        <v>4</v>
      </c>
      <c r="R4549" t="s">
        <v>33</v>
      </c>
      <c r="S4549">
        <v>1</v>
      </c>
    </row>
    <row r="4550" spans="1:19" ht="16.5" x14ac:dyDescent="0.3">
      <c r="A4550" t="s">
        <v>4613</v>
      </c>
      <c r="B4550" s="1">
        <v>45894</v>
      </c>
      <c r="C4550" s="1">
        <v>45898</v>
      </c>
      <c r="D4550">
        <v>2025</v>
      </c>
      <c r="E4550" t="s">
        <v>1445</v>
      </c>
      <c r="F4550" t="s">
        <v>1651</v>
      </c>
      <c r="G4550" t="s">
        <v>22</v>
      </c>
      <c r="H4550" t="s">
        <v>35</v>
      </c>
      <c r="I4550" t="s">
        <v>24</v>
      </c>
      <c r="J4550" t="s">
        <v>25</v>
      </c>
      <c r="K4550" t="s">
        <v>36</v>
      </c>
      <c r="L4550" t="s">
        <v>27</v>
      </c>
      <c r="M4550">
        <v>4</v>
      </c>
      <c r="N4550" s="2">
        <v>15</v>
      </c>
      <c r="O4550" s="3">
        <v>2645</v>
      </c>
      <c r="P4550">
        <v>0</v>
      </c>
      <c r="Q4550">
        <v>4</v>
      </c>
      <c r="R4550" t="s">
        <v>28</v>
      </c>
      <c r="S4550">
        <v>1</v>
      </c>
    </row>
    <row r="4551" spans="1:19" ht="16.5" x14ac:dyDescent="0.3">
      <c r="A4551" t="s">
        <v>4614</v>
      </c>
      <c r="B4551" s="1">
        <v>45894</v>
      </c>
      <c r="C4551" s="1">
        <v>45904</v>
      </c>
      <c r="D4551">
        <v>2025</v>
      </c>
      <c r="E4551" t="s">
        <v>1445</v>
      </c>
      <c r="F4551" t="s">
        <v>1651</v>
      </c>
      <c r="G4551" t="s">
        <v>22</v>
      </c>
      <c r="H4551" t="s">
        <v>39</v>
      </c>
      <c r="I4551" t="s">
        <v>24</v>
      </c>
      <c r="J4551" t="s">
        <v>43</v>
      </c>
      <c r="K4551" t="s">
        <v>41</v>
      </c>
      <c r="L4551" t="s">
        <v>27</v>
      </c>
      <c r="M4551">
        <v>10</v>
      </c>
      <c r="N4551" s="2">
        <v>61</v>
      </c>
      <c r="O4551" s="3">
        <v>5778</v>
      </c>
      <c r="P4551">
        <v>0</v>
      </c>
      <c r="Q4551">
        <v>4</v>
      </c>
      <c r="R4551" t="s">
        <v>33</v>
      </c>
      <c r="S4551">
        <v>1</v>
      </c>
    </row>
    <row r="4552" spans="1:19" ht="16.5" x14ac:dyDescent="0.3">
      <c r="A4552" t="s">
        <v>4615</v>
      </c>
      <c r="B4552" s="1">
        <v>45894</v>
      </c>
      <c r="C4552" s="1">
        <v>45903</v>
      </c>
      <c r="D4552">
        <v>2025</v>
      </c>
      <c r="E4552" t="s">
        <v>1445</v>
      </c>
      <c r="F4552" t="s">
        <v>1651</v>
      </c>
      <c r="G4552" t="s">
        <v>22</v>
      </c>
      <c r="H4552" t="s">
        <v>23</v>
      </c>
      <c r="I4552" t="s">
        <v>24</v>
      </c>
      <c r="J4552" t="s">
        <v>43</v>
      </c>
      <c r="K4552" t="s">
        <v>36</v>
      </c>
      <c r="L4552" t="s">
        <v>44</v>
      </c>
      <c r="M4552">
        <v>9</v>
      </c>
      <c r="N4552" s="2">
        <v>56</v>
      </c>
      <c r="O4552" s="3">
        <v>8119</v>
      </c>
      <c r="P4552">
        <v>0</v>
      </c>
      <c r="Q4552">
        <v>5</v>
      </c>
      <c r="R4552" t="s">
        <v>33</v>
      </c>
      <c r="S4552">
        <v>1</v>
      </c>
    </row>
    <row r="4553" spans="1:19" ht="16.5" x14ac:dyDescent="0.3">
      <c r="A4553" t="s">
        <v>4616</v>
      </c>
      <c r="B4553" s="1">
        <v>45894</v>
      </c>
      <c r="C4553" s="1">
        <v>45897</v>
      </c>
      <c r="D4553">
        <v>2025</v>
      </c>
      <c r="E4553" t="s">
        <v>1445</v>
      </c>
      <c r="F4553" t="s">
        <v>1651</v>
      </c>
      <c r="G4553" t="s">
        <v>22</v>
      </c>
      <c r="H4553" t="s">
        <v>23</v>
      </c>
      <c r="I4553" t="s">
        <v>40</v>
      </c>
      <c r="J4553" t="s">
        <v>43</v>
      </c>
      <c r="K4553" t="s">
        <v>26</v>
      </c>
      <c r="L4553" t="s">
        <v>44</v>
      </c>
      <c r="M4553">
        <v>3</v>
      </c>
      <c r="N4553" s="2"/>
      <c r="O4553" s="3">
        <v>3108</v>
      </c>
      <c r="P4553">
        <v>0</v>
      </c>
      <c r="Q4553">
        <v>5</v>
      </c>
      <c r="R4553" t="s">
        <v>33</v>
      </c>
      <c r="S4553">
        <v>1</v>
      </c>
    </row>
    <row r="4554" spans="1:19" ht="16.5" x14ac:dyDescent="0.3">
      <c r="A4554" t="s">
        <v>4617</v>
      </c>
      <c r="B4554" s="1">
        <v>45895</v>
      </c>
      <c r="C4554" s="1">
        <v>45896</v>
      </c>
      <c r="D4554">
        <v>2025</v>
      </c>
      <c r="E4554" t="s">
        <v>1445</v>
      </c>
      <c r="F4554" t="s">
        <v>1651</v>
      </c>
      <c r="G4554" t="s">
        <v>56</v>
      </c>
      <c r="H4554" t="s">
        <v>52</v>
      </c>
      <c r="I4554" t="s">
        <v>24</v>
      </c>
      <c r="J4554" t="s">
        <v>43</v>
      </c>
      <c r="K4554" t="s">
        <v>26</v>
      </c>
      <c r="L4554" t="s">
        <v>44</v>
      </c>
      <c r="M4554">
        <v>1</v>
      </c>
      <c r="N4554" s="2">
        <v>36</v>
      </c>
      <c r="O4554" s="3">
        <v>1393</v>
      </c>
      <c r="P4554">
        <v>0</v>
      </c>
      <c r="Q4554">
        <v>4</v>
      </c>
      <c r="R4554" t="s">
        <v>28</v>
      </c>
      <c r="S4554">
        <v>1</v>
      </c>
    </row>
    <row r="4555" spans="1:19" ht="16.5" x14ac:dyDescent="0.3">
      <c r="A4555" t="s">
        <v>4618</v>
      </c>
      <c r="B4555" s="1">
        <v>45895</v>
      </c>
      <c r="C4555" s="1">
        <v>45896</v>
      </c>
      <c r="D4555">
        <v>2025</v>
      </c>
      <c r="E4555" t="s">
        <v>1445</v>
      </c>
      <c r="F4555" t="s">
        <v>1651</v>
      </c>
      <c r="G4555" t="s">
        <v>56</v>
      </c>
      <c r="H4555" t="s">
        <v>39</v>
      </c>
      <c r="I4555" t="s">
        <v>40</v>
      </c>
      <c r="J4555" t="s">
        <v>43</v>
      </c>
      <c r="K4555" t="s">
        <v>41</v>
      </c>
      <c r="L4555" t="s">
        <v>27</v>
      </c>
      <c r="M4555">
        <v>1</v>
      </c>
      <c r="N4555" s="2"/>
      <c r="O4555" s="3">
        <v>1645</v>
      </c>
      <c r="P4555">
        <v>0</v>
      </c>
      <c r="Q4555">
        <v>5</v>
      </c>
      <c r="R4555" t="s">
        <v>28</v>
      </c>
      <c r="S4555">
        <v>1</v>
      </c>
    </row>
    <row r="4556" spans="1:19" ht="16.5" x14ac:dyDescent="0.3">
      <c r="A4556" t="s">
        <v>4619</v>
      </c>
      <c r="B4556" s="1">
        <v>45895</v>
      </c>
      <c r="C4556" s="1">
        <v>45901</v>
      </c>
      <c r="D4556">
        <v>2025</v>
      </c>
      <c r="E4556" t="s">
        <v>1445</v>
      </c>
      <c r="F4556" t="s">
        <v>1651</v>
      </c>
      <c r="G4556" t="s">
        <v>56</v>
      </c>
      <c r="H4556" t="s">
        <v>52</v>
      </c>
      <c r="I4556" t="s">
        <v>40</v>
      </c>
      <c r="J4556" t="s">
        <v>43</v>
      </c>
      <c r="K4556" t="s">
        <v>53</v>
      </c>
      <c r="L4556" t="s">
        <v>44</v>
      </c>
      <c r="M4556">
        <v>6</v>
      </c>
      <c r="N4556" s="2"/>
      <c r="O4556" s="3">
        <v>5759</v>
      </c>
      <c r="P4556">
        <v>0</v>
      </c>
      <c r="Q4556">
        <v>3</v>
      </c>
      <c r="R4556" t="s">
        <v>33</v>
      </c>
      <c r="S4556">
        <v>1</v>
      </c>
    </row>
    <row r="4557" spans="1:19" ht="16.5" x14ac:dyDescent="0.3">
      <c r="A4557" t="s">
        <v>4620</v>
      </c>
      <c r="B4557" s="1">
        <v>45895</v>
      </c>
      <c r="C4557" s="1">
        <v>45898</v>
      </c>
      <c r="D4557">
        <v>2025</v>
      </c>
      <c r="E4557" t="s">
        <v>1445</v>
      </c>
      <c r="F4557" t="s">
        <v>1651</v>
      </c>
      <c r="G4557" t="s">
        <v>56</v>
      </c>
      <c r="H4557" t="s">
        <v>39</v>
      </c>
      <c r="I4557" t="s">
        <v>24</v>
      </c>
      <c r="J4557" t="s">
        <v>43</v>
      </c>
      <c r="K4557" t="s">
        <v>41</v>
      </c>
      <c r="L4557" t="s">
        <v>27</v>
      </c>
      <c r="M4557">
        <v>3</v>
      </c>
      <c r="N4557" s="2">
        <v>14</v>
      </c>
      <c r="O4557" s="3">
        <v>2524</v>
      </c>
      <c r="P4557">
        <v>0</v>
      </c>
      <c r="Q4557">
        <v>4</v>
      </c>
      <c r="R4557" t="s">
        <v>33</v>
      </c>
      <c r="S4557">
        <v>1</v>
      </c>
    </row>
    <row r="4558" spans="1:19" ht="16.5" x14ac:dyDescent="0.3">
      <c r="A4558" t="s">
        <v>4621</v>
      </c>
      <c r="B4558" s="1">
        <v>45895</v>
      </c>
      <c r="C4558" s="1">
        <v>45898</v>
      </c>
      <c r="D4558">
        <v>2025</v>
      </c>
      <c r="E4558" t="s">
        <v>1445</v>
      </c>
      <c r="F4558" t="s">
        <v>1651</v>
      </c>
      <c r="G4558" t="s">
        <v>56</v>
      </c>
      <c r="H4558" t="s">
        <v>30</v>
      </c>
      <c r="I4558" t="s">
        <v>40</v>
      </c>
      <c r="J4558" t="s">
        <v>25</v>
      </c>
      <c r="K4558" t="s">
        <v>32</v>
      </c>
      <c r="L4558" t="s">
        <v>27</v>
      </c>
      <c r="M4558">
        <v>3</v>
      </c>
      <c r="N4558" s="2"/>
      <c r="O4558" s="3">
        <v>2987</v>
      </c>
      <c r="P4558">
        <v>0</v>
      </c>
      <c r="Q4558">
        <v>5</v>
      </c>
      <c r="R4558" t="s">
        <v>33</v>
      </c>
      <c r="S4558">
        <v>1</v>
      </c>
    </row>
    <row r="4559" spans="1:19" ht="16.5" x14ac:dyDescent="0.3">
      <c r="A4559" t="s">
        <v>4622</v>
      </c>
      <c r="B4559" s="1">
        <v>45895</v>
      </c>
      <c r="C4559" s="1">
        <v>45898</v>
      </c>
      <c r="D4559">
        <v>2025</v>
      </c>
      <c r="E4559" t="s">
        <v>1445</v>
      </c>
      <c r="F4559" t="s">
        <v>1651</v>
      </c>
      <c r="G4559" t="s">
        <v>56</v>
      </c>
      <c r="H4559" t="s">
        <v>30</v>
      </c>
      <c r="I4559" t="s">
        <v>40</v>
      </c>
      <c r="J4559" t="s">
        <v>43</v>
      </c>
      <c r="K4559" t="s">
        <v>26</v>
      </c>
      <c r="L4559" t="s">
        <v>44</v>
      </c>
      <c r="M4559">
        <v>3</v>
      </c>
      <c r="N4559" s="2"/>
      <c r="O4559" s="3">
        <v>4181</v>
      </c>
      <c r="P4559">
        <v>0</v>
      </c>
      <c r="Q4559">
        <v>4</v>
      </c>
      <c r="R4559" t="s">
        <v>33</v>
      </c>
      <c r="S4559">
        <v>1</v>
      </c>
    </row>
    <row r="4560" spans="1:19" ht="16.5" x14ac:dyDescent="0.3">
      <c r="A4560" t="s">
        <v>4623</v>
      </c>
      <c r="B4560" s="1">
        <v>45895</v>
      </c>
      <c r="C4560" s="1">
        <v>45898</v>
      </c>
      <c r="D4560">
        <v>2025</v>
      </c>
      <c r="E4560" t="s">
        <v>1445</v>
      </c>
      <c r="F4560" t="s">
        <v>1651</v>
      </c>
      <c r="G4560" t="s">
        <v>56</v>
      </c>
      <c r="H4560" t="s">
        <v>50</v>
      </c>
      <c r="I4560" t="s">
        <v>40</v>
      </c>
      <c r="J4560" t="s">
        <v>25</v>
      </c>
      <c r="K4560" t="s">
        <v>32</v>
      </c>
      <c r="L4560" t="s">
        <v>27</v>
      </c>
      <c r="M4560">
        <v>3</v>
      </c>
      <c r="N4560" s="2"/>
      <c r="O4560" s="3">
        <v>4890</v>
      </c>
      <c r="P4560">
        <v>0</v>
      </c>
      <c r="Q4560">
        <v>3</v>
      </c>
      <c r="R4560" t="s">
        <v>33</v>
      </c>
      <c r="S4560">
        <v>1</v>
      </c>
    </row>
    <row r="4561" spans="1:19" ht="16.5" x14ac:dyDescent="0.3">
      <c r="A4561" t="s">
        <v>4624</v>
      </c>
      <c r="B4561" s="1">
        <v>45895</v>
      </c>
      <c r="C4561" s="1">
        <v>45897</v>
      </c>
      <c r="D4561">
        <v>2025</v>
      </c>
      <c r="E4561" t="s">
        <v>1445</v>
      </c>
      <c r="F4561" t="s">
        <v>1651</v>
      </c>
      <c r="G4561" t="s">
        <v>56</v>
      </c>
      <c r="H4561" t="s">
        <v>23</v>
      </c>
      <c r="I4561" t="s">
        <v>40</v>
      </c>
      <c r="J4561" t="s">
        <v>43</v>
      </c>
      <c r="K4561" t="s">
        <v>32</v>
      </c>
      <c r="L4561" t="s">
        <v>44</v>
      </c>
      <c r="M4561">
        <v>2</v>
      </c>
      <c r="N4561" s="2"/>
      <c r="O4561" s="3">
        <v>1888</v>
      </c>
      <c r="P4561">
        <v>0</v>
      </c>
      <c r="Q4561">
        <v>4</v>
      </c>
      <c r="R4561" t="s">
        <v>33</v>
      </c>
      <c r="S4561">
        <v>1</v>
      </c>
    </row>
    <row r="4562" spans="1:19" ht="16.5" x14ac:dyDescent="0.3">
      <c r="A4562" t="s">
        <v>4625</v>
      </c>
      <c r="B4562" s="1">
        <v>45895</v>
      </c>
      <c r="C4562" s="1">
        <v>45899</v>
      </c>
      <c r="D4562">
        <v>2025</v>
      </c>
      <c r="E4562" t="s">
        <v>1445</v>
      </c>
      <c r="F4562" t="s">
        <v>1651</v>
      </c>
      <c r="G4562" t="s">
        <v>56</v>
      </c>
      <c r="H4562" t="s">
        <v>23</v>
      </c>
      <c r="I4562" t="s">
        <v>24</v>
      </c>
      <c r="J4562" t="s">
        <v>43</v>
      </c>
      <c r="K4562" t="s">
        <v>53</v>
      </c>
      <c r="L4562" t="s">
        <v>27</v>
      </c>
      <c r="M4562">
        <v>4</v>
      </c>
      <c r="N4562" s="2">
        <v>24</v>
      </c>
      <c r="O4562" s="3">
        <v>3287</v>
      </c>
      <c r="P4562">
        <v>0</v>
      </c>
      <c r="Q4562">
        <v>4</v>
      </c>
      <c r="R4562" t="s">
        <v>33</v>
      </c>
      <c r="S4562">
        <v>1</v>
      </c>
    </row>
    <row r="4563" spans="1:19" ht="16.5" x14ac:dyDescent="0.3">
      <c r="A4563" t="s">
        <v>4626</v>
      </c>
      <c r="B4563" s="1">
        <v>45896</v>
      </c>
      <c r="C4563" s="1">
        <v>45898</v>
      </c>
      <c r="D4563">
        <v>2025</v>
      </c>
      <c r="E4563" t="s">
        <v>1445</v>
      </c>
      <c r="F4563" t="s">
        <v>1651</v>
      </c>
      <c r="G4563" t="s">
        <v>70</v>
      </c>
      <c r="H4563" t="s">
        <v>50</v>
      </c>
      <c r="I4563" t="s">
        <v>40</v>
      </c>
      <c r="J4563" t="s">
        <v>25</v>
      </c>
      <c r="K4563" t="s">
        <v>53</v>
      </c>
      <c r="L4563" t="s">
        <v>27</v>
      </c>
      <c r="M4563">
        <v>2</v>
      </c>
      <c r="N4563" s="2"/>
      <c r="O4563" s="3">
        <v>3076</v>
      </c>
      <c r="P4563">
        <v>0</v>
      </c>
      <c r="Q4563">
        <v>4</v>
      </c>
      <c r="R4563" t="s">
        <v>33</v>
      </c>
      <c r="S4563">
        <v>1</v>
      </c>
    </row>
    <row r="4564" spans="1:19" ht="16.5" x14ac:dyDescent="0.3">
      <c r="A4564" t="s">
        <v>4627</v>
      </c>
      <c r="B4564" s="1">
        <v>45896</v>
      </c>
      <c r="C4564" s="1">
        <v>45901</v>
      </c>
      <c r="D4564">
        <v>2025</v>
      </c>
      <c r="E4564" t="s">
        <v>1445</v>
      </c>
      <c r="F4564" t="s">
        <v>1651</v>
      </c>
      <c r="G4564" t="s">
        <v>70</v>
      </c>
      <c r="H4564" t="s">
        <v>50</v>
      </c>
      <c r="I4564" t="s">
        <v>24</v>
      </c>
      <c r="J4564" t="s">
        <v>25</v>
      </c>
      <c r="K4564" t="s">
        <v>32</v>
      </c>
      <c r="L4564" t="s">
        <v>27</v>
      </c>
      <c r="M4564">
        <v>5</v>
      </c>
      <c r="N4564" s="2">
        <v>35</v>
      </c>
      <c r="O4564" s="3">
        <v>5594</v>
      </c>
      <c r="P4564">
        <v>0</v>
      </c>
      <c r="Q4564">
        <v>3</v>
      </c>
      <c r="R4564" t="s">
        <v>28</v>
      </c>
      <c r="S4564">
        <v>1</v>
      </c>
    </row>
    <row r="4565" spans="1:19" ht="16.5" x14ac:dyDescent="0.3">
      <c r="A4565" t="s">
        <v>4628</v>
      </c>
      <c r="B4565" s="1">
        <v>45896</v>
      </c>
      <c r="C4565" s="1">
        <v>45897</v>
      </c>
      <c r="D4565">
        <v>2025</v>
      </c>
      <c r="E4565" t="s">
        <v>1445</v>
      </c>
      <c r="F4565" t="s">
        <v>1651</v>
      </c>
      <c r="G4565" t="s">
        <v>70</v>
      </c>
      <c r="H4565" t="s">
        <v>52</v>
      </c>
      <c r="I4565" t="s">
        <v>24</v>
      </c>
      <c r="J4565" t="s">
        <v>25</v>
      </c>
      <c r="K4565" t="s">
        <v>36</v>
      </c>
      <c r="L4565" t="s">
        <v>37</v>
      </c>
      <c r="M4565">
        <v>1</v>
      </c>
      <c r="N4565" s="2">
        <v>85</v>
      </c>
      <c r="O4565" s="3">
        <v>1346</v>
      </c>
      <c r="P4565">
        <v>0</v>
      </c>
      <c r="Q4565">
        <v>5</v>
      </c>
      <c r="R4565" t="s">
        <v>28</v>
      </c>
      <c r="S4565">
        <v>1</v>
      </c>
    </row>
    <row r="4566" spans="1:19" ht="16.5" x14ac:dyDescent="0.3">
      <c r="A4566" t="s">
        <v>4629</v>
      </c>
      <c r="B4566" s="1">
        <v>45896</v>
      </c>
      <c r="C4566" s="1">
        <v>45899</v>
      </c>
      <c r="D4566">
        <v>2025</v>
      </c>
      <c r="E4566" t="s">
        <v>1445</v>
      </c>
      <c r="F4566" t="s">
        <v>1651</v>
      </c>
      <c r="G4566" t="s">
        <v>70</v>
      </c>
      <c r="H4566" t="s">
        <v>23</v>
      </c>
      <c r="I4566" t="s">
        <v>24</v>
      </c>
      <c r="J4566" t="s">
        <v>25</v>
      </c>
      <c r="K4566" t="s">
        <v>26</v>
      </c>
      <c r="L4566" t="s">
        <v>44</v>
      </c>
      <c r="M4566">
        <v>3</v>
      </c>
      <c r="N4566" s="2">
        <v>52</v>
      </c>
      <c r="O4566" s="3">
        <v>2740</v>
      </c>
      <c r="P4566">
        <v>0</v>
      </c>
      <c r="Q4566">
        <v>4</v>
      </c>
      <c r="R4566" t="s">
        <v>33</v>
      </c>
      <c r="S4566">
        <v>1</v>
      </c>
    </row>
    <row r="4567" spans="1:19" ht="16.5" x14ac:dyDescent="0.3">
      <c r="A4567" t="s">
        <v>4630</v>
      </c>
      <c r="B4567" s="1">
        <v>45896</v>
      </c>
      <c r="C4567" s="1">
        <v>45900</v>
      </c>
      <c r="D4567">
        <v>2025</v>
      </c>
      <c r="E4567" t="s">
        <v>1445</v>
      </c>
      <c r="F4567" t="s">
        <v>1651</v>
      </c>
      <c r="G4567" t="s">
        <v>70</v>
      </c>
      <c r="H4567" t="s">
        <v>35</v>
      </c>
      <c r="I4567" t="s">
        <v>24</v>
      </c>
      <c r="J4567" t="s">
        <v>25</v>
      </c>
      <c r="K4567" t="s">
        <v>32</v>
      </c>
      <c r="L4567" t="s">
        <v>27</v>
      </c>
      <c r="M4567">
        <v>4</v>
      </c>
      <c r="N4567" s="2">
        <v>60</v>
      </c>
      <c r="O4567" s="3">
        <v>3184</v>
      </c>
      <c r="P4567">
        <v>0</v>
      </c>
      <c r="Q4567">
        <v>4</v>
      </c>
      <c r="R4567" t="s">
        <v>33</v>
      </c>
      <c r="S4567">
        <v>1</v>
      </c>
    </row>
    <row r="4568" spans="1:19" ht="16.5" x14ac:dyDescent="0.3">
      <c r="A4568" t="s">
        <v>4631</v>
      </c>
      <c r="B4568" s="1">
        <v>45896</v>
      </c>
      <c r="C4568" s="1">
        <v>45899</v>
      </c>
      <c r="D4568">
        <v>2025</v>
      </c>
      <c r="E4568" t="s">
        <v>1445</v>
      </c>
      <c r="F4568" t="s">
        <v>1651</v>
      </c>
      <c r="G4568" t="s">
        <v>70</v>
      </c>
      <c r="H4568" t="s">
        <v>52</v>
      </c>
      <c r="I4568" t="s">
        <v>40</v>
      </c>
      <c r="J4568" t="s">
        <v>25</v>
      </c>
      <c r="K4568" t="s">
        <v>26</v>
      </c>
      <c r="L4568" t="s">
        <v>44</v>
      </c>
      <c r="M4568">
        <v>3</v>
      </c>
      <c r="N4568" s="2"/>
      <c r="O4568" s="3">
        <v>4560</v>
      </c>
      <c r="P4568">
        <v>0</v>
      </c>
      <c r="Q4568">
        <v>5</v>
      </c>
      <c r="R4568" t="s">
        <v>33</v>
      </c>
      <c r="S4568">
        <v>1</v>
      </c>
    </row>
    <row r="4569" spans="1:19" ht="16.5" x14ac:dyDescent="0.3">
      <c r="A4569" t="s">
        <v>4632</v>
      </c>
      <c r="B4569" s="1">
        <v>45896</v>
      </c>
      <c r="C4569" s="1">
        <v>45898</v>
      </c>
      <c r="D4569">
        <v>2025</v>
      </c>
      <c r="E4569" t="s">
        <v>1445</v>
      </c>
      <c r="F4569" t="s">
        <v>1651</v>
      </c>
      <c r="G4569" t="s">
        <v>70</v>
      </c>
      <c r="H4569" t="s">
        <v>35</v>
      </c>
      <c r="I4569" t="s">
        <v>40</v>
      </c>
      <c r="J4569" t="s">
        <v>25</v>
      </c>
      <c r="K4569" t="s">
        <v>36</v>
      </c>
      <c r="L4569" t="s">
        <v>27</v>
      </c>
      <c r="M4569">
        <v>2</v>
      </c>
      <c r="N4569" s="2"/>
      <c r="O4569" s="3">
        <v>2009</v>
      </c>
      <c r="P4569">
        <v>0</v>
      </c>
      <c r="Q4569">
        <v>4</v>
      </c>
      <c r="R4569" t="s">
        <v>33</v>
      </c>
      <c r="S4569">
        <v>1</v>
      </c>
    </row>
    <row r="4570" spans="1:19" ht="16.5" x14ac:dyDescent="0.3">
      <c r="A4570" t="s">
        <v>4633</v>
      </c>
      <c r="B4570" s="1">
        <v>45896</v>
      </c>
      <c r="C4570" s="1">
        <v>45900</v>
      </c>
      <c r="D4570">
        <v>2025</v>
      </c>
      <c r="E4570" t="s">
        <v>1445</v>
      </c>
      <c r="F4570" t="s">
        <v>1651</v>
      </c>
      <c r="G4570" t="s">
        <v>70</v>
      </c>
      <c r="H4570" t="s">
        <v>50</v>
      </c>
      <c r="I4570" t="s">
        <v>40</v>
      </c>
      <c r="J4570" t="s">
        <v>43</v>
      </c>
      <c r="K4570" t="s">
        <v>32</v>
      </c>
      <c r="L4570" t="s">
        <v>37</v>
      </c>
      <c r="M4570">
        <v>4</v>
      </c>
      <c r="N4570" s="2"/>
      <c r="O4570" s="3">
        <v>3739</v>
      </c>
      <c r="P4570">
        <v>0</v>
      </c>
      <c r="Q4570">
        <v>5</v>
      </c>
      <c r="R4570" t="s">
        <v>28</v>
      </c>
      <c r="S4570">
        <v>1</v>
      </c>
    </row>
    <row r="4571" spans="1:19" ht="16.5" x14ac:dyDescent="0.3">
      <c r="A4571" t="s">
        <v>4634</v>
      </c>
      <c r="B4571" s="1">
        <v>45896</v>
      </c>
      <c r="C4571" s="1">
        <v>45901</v>
      </c>
      <c r="D4571">
        <v>2025</v>
      </c>
      <c r="E4571" t="s">
        <v>1445</v>
      </c>
      <c r="F4571" t="s">
        <v>1651</v>
      </c>
      <c r="G4571" t="s">
        <v>70</v>
      </c>
      <c r="H4571" t="s">
        <v>23</v>
      </c>
      <c r="I4571" t="s">
        <v>24</v>
      </c>
      <c r="J4571" t="s">
        <v>25</v>
      </c>
      <c r="K4571" t="s">
        <v>36</v>
      </c>
      <c r="L4571" t="s">
        <v>27</v>
      </c>
      <c r="M4571">
        <v>5</v>
      </c>
      <c r="N4571" s="2">
        <v>51</v>
      </c>
      <c r="O4571" s="3">
        <v>3814</v>
      </c>
      <c r="P4571">
        <v>0</v>
      </c>
      <c r="Q4571">
        <v>4</v>
      </c>
      <c r="R4571" t="s">
        <v>28</v>
      </c>
      <c r="S4571">
        <v>1</v>
      </c>
    </row>
    <row r="4572" spans="1:19" ht="16.5" x14ac:dyDescent="0.3">
      <c r="A4572" t="s">
        <v>4635</v>
      </c>
      <c r="B4572" s="1">
        <v>45897</v>
      </c>
      <c r="C4572" s="1">
        <v>45907</v>
      </c>
      <c r="D4572">
        <v>2025</v>
      </c>
      <c r="E4572" t="s">
        <v>1445</v>
      </c>
      <c r="F4572" t="s">
        <v>1651</v>
      </c>
      <c r="G4572" t="s">
        <v>78</v>
      </c>
      <c r="H4572" t="s">
        <v>50</v>
      </c>
      <c r="I4572" t="s">
        <v>24</v>
      </c>
      <c r="J4572" t="s">
        <v>25</v>
      </c>
      <c r="K4572" t="s">
        <v>26</v>
      </c>
      <c r="L4572" t="s">
        <v>27</v>
      </c>
      <c r="M4572">
        <v>10</v>
      </c>
      <c r="N4572" s="2">
        <v>24</v>
      </c>
      <c r="O4572" s="3">
        <v>12957</v>
      </c>
      <c r="P4572">
        <v>1</v>
      </c>
      <c r="Q4572">
        <v>4</v>
      </c>
      <c r="R4572" t="s">
        <v>33</v>
      </c>
      <c r="S4572">
        <v>1</v>
      </c>
    </row>
    <row r="4573" spans="1:19" ht="16.5" x14ac:dyDescent="0.3">
      <c r="A4573" t="s">
        <v>4636</v>
      </c>
      <c r="B4573" s="1">
        <v>45897</v>
      </c>
      <c r="C4573" s="1">
        <v>45899</v>
      </c>
      <c r="D4573">
        <v>2025</v>
      </c>
      <c r="E4573" t="s">
        <v>1445</v>
      </c>
      <c r="F4573" t="s">
        <v>1651</v>
      </c>
      <c r="G4573" t="s">
        <v>78</v>
      </c>
      <c r="H4573" t="s">
        <v>35</v>
      </c>
      <c r="I4573" t="s">
        <v>24</v>
      </c>
      <c r="J4573" t="s">
        <v>25</v>
      </c>
      <c r="K4573" t="s">
        <v>36</v>
      </c>
      <c r="L4573" t="s">
        <v>27</v>
      </c>
      <c r="M4573">
        <v>2</v>
      </c>
      <c r="N4573" s="2">
        <v>39</v>
      </c>
      <c r="O4573" s="3">
        <v>2132</v>
      </c>
      <c r="P4573">
        <v>0</v>
      </c>
      <c r="Q4573">
        <v>4</v>
      </c>
      <c r="R4573" t="s">
        <v>33</v>
      </c>
      <c r="S4573">
        <v>1</v>
      </c>
    </row>
    <row r="4574" spans="1:19" ht="16.5" x14ac:dyDescent="0.3">
      <c r="A4574" t="s">
        <v>4637</v>
      </c>
      <c r="B4574" s="1">
        <v>45897</v>
      </c>
      <c r="C4574" s="1">
        <v>45917</v>
      </c>
      <c r="D4574">
        <v>2025</v>
      </c>
      <c r="E4574" t="s">
        <v>1445</v>
      </c>
      <c r="F4574" t="s">
        <v>1651</v>
      </c>
      <c r="G4574" t="s">
        <v>78</v>
      </c>
      <c r="H4574" t="s">
        <v>23</v>
      </c>
      <c r="I4574" t="s">
        <v>24</v>
      </c>
      <c r="J4574" t="s">
        <v>25</v>
      </c>
      <c r="K4574" t="s">
        <v>26</v>
      </c>
      <c r="L4574" t="s">
        <v>37</v>
      </c>
      <c r="M4574">
        <v>20</v>
      </c>
      <c r="N4574" s="2">
        <v>48</v>
      </c>
      <c r="O4574" s="3">
        <v>10498</v>
      </c>
      <c r="P4574">
        <v>0</v>
      </c>
      <c r="Q4574">
        <v>4</v>
      </c>
      <c r="R4574" t="s">
        <v>28</v>
      </c>
      <c r="S4574">
        <v>1</v>
      </c>
    </row>
    <row r="4575" spans="1:19" ht="16.5" x14ac:dyDescent="0.3">
      <c r="A4575" t="s">
        <v>4638</v>
      </c>
      <c r="B4575" s="1">
        <v>45897</v>
      </c>
      <c r="C4575" s="1">
        <v>45903</v>
      </c>
      <c r="D4575">
        <v>2025</v>
      </c>
      <c r="E4575" t="s">
        <v>1445</v>
      </c>
      <c r="F4575" t="s">
        <v>1651</v>
      </c>
      <c r="G4575" t="s">
        <v>78</v>
      </c>
      <c r="H4575" t="s">
        <v>50</v>
      </c>
      <c r="I4575" t="s">
        <v>24</v>
      </c>
      <c r="J4575" t="s">
        <v>43</v>
      </c>
      <c r="K4575" t="s">
        <v>53</v>
      </c>
      <c r="L4575" t="s">
        <v>27</v>
      </c>
      <c r="M4575">
        <v>6</v>
      </c>
      <c r="N4575" s="2">
        <v>25</v>
      </c>
      <c r="O4575" s="3">
        <v>8716</v>
      </c>
      <c r="P4575">
        <v>1</v>
      </c>
      <c r="Q4575">
        <v>4</v>
      </c>
      <c r="R4575" t="s">
        <v>33</v>
      </c>
      <c r="S4575">
        <v>1</v>
      </c>
    </row>
    <row r="4576" spans="1:19" ht="16.5" x14ac:dyDescent="0.3">
      <c r="A4576" t="s">
        <v>4639</v>
      </c>
      <c r="B4576" s="1">
        <v>45897</v>
      </c>
      <c r="C4576" s="1">
        <v>45902</v>
      </c>
      <c r="D4576">
        <v>2025</v>
      </c>
      <c r="E4576" t="s">
        <v>1445</v>
      </c>
      <c r="F4576" t="s">
        <v>1651</v>
      </c>
      <c r="G4576" t="s">
        <v>78</v>
      </c>
      <c r="H4576" t="s">
        <v>35</v>
      </c>
      <c r="I4576" t="s">
        <v>24</v>
      </c>
      <c r="J4576" t="s">
        <v>25</v>
      </c>
      <c r="K4576" t="s">
        <v>32</v>
      </c>
      <c r="L4576" t="s">
        <v>37</v>
      </c>
      <c r="M4576">
        <v>5</v>
      </c>
      <c r="N4576" s="2">
        <v>40</v>
      </c>
      <c r="O4576" s="3">
        <v>4858</v>
      </c>
      <c r="P4576">
        <v>0</v>
      </c>
      <c r="Q4576">
        <v>5</v>
      </c>
      <c r="R4576" t="s">
        <v>59</v>
      </c>
      <c r="S4576">
        <v>1</v>
      </c>
    </row>
    <row r="4577" spans="1:19" ht="16.5" x14ac:dyDescent="0.3">
      <c r="A4577" t="s">
        <v>4640</v>
      </c>
      <c r="B4577" s="1">
        <v>45897</v>
      </c>
      <c r="C4577" s="1">
        <v>45902</v>
      </c>
      <c r="D4577">
        <v>2025</v>
      </c>
      <c r="E4577" t="s">
        <v>1445</v>
      </c>
      <c r="F4577" t="s">
        <v>1651</v>
      </c>
      <c r="G4577" t="s">
        <v>78</v>
      </c>
      <c r="H4577" t="s">
        <v>50</v>
      </c>
      <c r="I4577" t="s">
        <v>31</v>
      </c>
      <c r="J4577" t="s">
        <v>43</v>
      </c>
      <c r="K4577" t="s">
        <v>53</v>
      </c>
      <c r="L4577" t="s">
        <v>44</v>
      </c>
      <c r="M4577">
        <v>5</v>
      </c>
      <c r="N4577" s="2"/>
      <c r="O4577" s="3">
        <v>7139</v>
      </c>
      <c r="P4577">
        <v>0</v>
      </c>
      <c r="Q4577">
        <v>5</v>
      </c>
      <c r="R4577" t="s">
        <v>33</v>
      </c>
      <c r="S4577">
        <v>1</v>
      </c>
    </row>
    <row r="4578" spans="1:19" ht="16.5" x14ac:dyDescent="0.3">
      <c r="A4578" t="s">
        <v>4641</v>
      </c>
      <c r="B4578" s="1">
        <v>45897</v>
      </c>
      <c r="C4578" s="1">
        <v>45901</v>
      </c>
      <c r="D4578">
        <v>2025</v>
      </c>
      <c r="E4578" t="s">
        <v>1445</v>
      </c>
      <c r="F4578" t="s">
        <v>1651</v>
      </c>
      <c r="G4578" t="s">
        <v>78</v>
      </c>
      <c r="H4578" t="s">
        <v>39</v>
      </c>
      <c r="I4578" t="s">
        <v>24</v>
      </c>
      <c r="J4578" t="s">
        <v>43</v>
      </c>
      <c r="K4578" t="s">
        <v>41</v>
      </c>
      <c r="L4578" t="s">
        <v>27</v>
      </c>
      <c r="M4578">
        <v>4</v>
      </c>
      <c r="N4578" s="2">
        <v>47</v>
      </c>
      <c r="O4578" s="3">
        <v>4107</v>
      </c>
      <c r="P4578">
        <v>0</v>
      </c>
      <c r="Q4578">
        <v>3</v>
      </c>
      <c r="R4578" t="s">
        <v>28</v>
      </c>
      <c r="S4578">
        <v>1</v>
      </c>
    </row>
    <row r="4579" spans="1:19" ht="16.5" x14ac:dyDescent="0.3">
      <c r="A4579" t="s">
        <v>4642</v>
      </c>
      <c r="B4579" s="1">
        <v>45897</v>
      </c>
      <c r="C4579" s="1">
        <v>45903</v>
      </c>
      <c r="D4579">
        <v>2025</v>
      </c>
      <c r="E4579" t="s">
        <v>1445</v>
      </c>
      <c r="F4579" t="s">
        <v>1651</v>
      </c>
      <c r="G4579" t="s">
        <v>78</v>
      </c>
      <c r="H4579" t="s">
        <v>39</v>
      </c>
      <c r="I4579" t="s">
        <v>40</v>
      </c>
      <c r="J4579" t="s">
        <v>43</v>
      </c>
      <c r="K4579" t="s">
        <v>41</v>
      </c>
      <c r="L4579" t="s">
        <v>27</v>
      </c>
      <c r="M4579">
        <v>6</v>
      </c>
      <c r="N4579" s="2"/>
      <c r="O4579" s="3">
        <v>3004</v>
      </c>
      <c r="P4579">
        <v>0</v>
      </c>
      <c r="Q4579">
        <v>4</v>
      </c>
      <c r="R4579" t="s">
        <v>33</v>
      </c>
      <c r="S4579">
        <v>1</v>
      </c>
    </row>
    <row r="4580" spans="1:19" ht="16.5" x14ac:dyDescent="0.3">
      <c r="A4580" t="s">
        <v>4643</v>
      </c>
      <c r="B4580" s="1">
        <v>45898</v>
      </c>
      <c r="C4580" s="1">
        <v>45903</v>
      </c>
      <c r="D4580">
        <v>2025</v>
      </c>
      <c r="E4580" t="s">
        <v>1445</v>
      </c>
      <c r="F4580" t="s">
        <v>1651</v>
      </c>
      <c r="G4580" t="s">
        <v>83</v>
      </c>
      <c r="H4580" t="s">
        <v>39</v>
      </c>
      <c r="I4580" t="s">
        <v>24</v>
      </c>
      <c r="J4580" t="s">
        <v>43</v>
      </c>
      <c r="K4580" t="s">
        <v>41</v>
      </c>
      <c r="L4580" t="s">
        <v>44</v>
      </c>
      <c r="M4580">
        <v>5</v>
      </c>
      <c r="N4580" s="2">
        <v>39</v>
      </c>
      <c r="O4580" s="3">
        <v>2755</v>
      </c>
      <c r="P4580">
        <v>0</v>
      </c>
      <c r="Q4580">
        <v>4</v>
      </c>
      <c r="R4580" t="s">
        <v>33</v>
      </c>
      <c r="S4580">
        <v>1</v>
      </c>
    </row>
    <row r="4581" spans="1:19" ht="16.5" x14ac:dyDescent="0.3">
      <c r="A4581" t="s">
        <v>4644</v>
      </c>
      <c r="B4581" s="1">
        <v>45898</v>
      </c>
      <c r="C4581" s="1">
        <v>45903</v>
      </c>
      <c r="D4581">
        <v>2025</v>
      </c>
      <c r="E4581" t="s">
        <v>1445</v>
      </c>
      <c r="F4581" t="s">
        <v>1651</v>
      </c>
      <c r="G4581" t="s">
        <v>83</v>
      </c>
      <c r="H4581" t="s">
        <v>23</v>
      </c>
      <c r="I4581" t="s">
        <v>24</v>
      </c>
      <c r="J4581" t="s">
        <v>43</v>
      </c>
      <c r="K4581" t="s">
        <v>26</v>
      </c>
      <c r="L4581" t="s">
        <v>44</v>
      </c>
      <c r="M4581">
        <v>5</v>
      </c>
      <c r="N4581" s="2">
        <v>73</v>
      </c>
      <c r="O4581" s="3">
        <v>4071</v>
      </c>
      <c r="P4581">
        <v>0</v>
      </c>
      <c r="Q4581">
        <v>5</v>
      </c>
      <c r="R4581" t="s">
        <v>28</v>
      </c>
      <c r="S4581">
        <v>1</v>
      </c>
    </row>
    <row r="4582" spans="1:19" ht="16.5" x14ac:dyDescent="0.3">
      <c r="A4582" t="s">
        <v>4645</v>
      </c>
      <c r="B4582" s="1">
        <v>45898</v>
      </c>
      <c r="C4582" s="1">
        <v>45901</v>
      </c>
      <c r="D4582">
        <v>2025</v>
      </c>
      <c r="E4582" t="s">
        <v>1445</v>
      </c>
      <c r="F4582" t="s">
        <v>1651</v>
      </c>
      <c r="G4582" t="s">
        <v>83</v>
      </c>
      <c r="H4582" t="s">
        <v>35</v>
      </c>
      <c r="I4582" t="s">
        <v>24</v>
      </c>
      <c r="J4582" t="s">
        <v>25</v>
      </c>
      <c r="K4582" t="s">
        <v>32</v>
      </c>
      <c r="L4582" t="s">
        <v>27</v>
      </c>
      <c r="M4582">
        <v>3</v>
      </c>
      <c r="N4582" s="2">
        <v>48</v>
      </c>
      <c r="O4582" s="3">
        <v>2877</v>
      </c>
      <c r="P4582">
        <v>0</v>
      </c>
      <c r="Q4582">
        <v>5</v>
      </c>
      <c r="R4582" t="s">
        <v>33</v>
      </c>
      <c r="S4582">
        <v>1</v>
      </c>
    </row>
    <row r="4583" spans="1:19" ht="16.5" x14ac:dyDescent="0.3">
      <c r="A4583" t="s">
        <v>4646</v>
      </c>
      <c r="B4583" s="1">
        <v>45898</v>
      </c>
      <c r="C4583" s="1">
        <v>45900</v>
      </c>
      <c r="D4583">
        <v>2025</v>
      </c>
      <c r="E4583" t="s">
        <v>1445</v>
      </c>
      <c r="F4583" t="s">
        <v>1651</v>
      </c>
      <c r="G4583" t="s">
        <v>83</v>
      </c>
      <c r="H4583" t="s">
        <v>50</v>
      </c>
      <c r="I4583" t="s">
        <v>40</v>
      </c>
      <c r="J4583" t="s">
        <v>43</v>
      </c>
      <c r="K4583" t="s">
        <v>53</v>
      </c>
      <c r="L4583" t="s">
        <v>44</v>
      </c>
      <c r="M4583">
        <v>2</v>
      </c>
      <c r="N4583" s="2"/>
      <c r="O4583" s="3">
        <v>2632</v>
      </c>
      <c r="P4583">
        <v>0</v>
      </c>
      <c r="Q4583">
        <v>5</v>
      </c>
      <c r="R4583" t="s">
        <v>33</v>
      </c>
      <c r="S4583">
        <v>1</v>
      </c>
    </row>
    <row r="4584" spans="1:19" ht="16.5" x14ac:dyDescent="0.3">
      <c r="A4584" t="s">
        <v>4647</v>
      </c>
      <c r="B4584" s="1">
        <v>45898</v>
      </c>
      <c r="C4584" s="1">
        <v>45901</v>
      </c>
      <c r="D4584">
        <v>2025</v>
      </c>
      <c r="E4584" t="s">
        <v>1445</v>
      </c>
      <c r="F4584" t="s">
        <v>1651</v>
      </c>
      <c r="G4584" t="s">
        <v>83</v>
      </c>
      <c r="H4584" t="s">
        <v>35</v>
      </c>
      <c r="I4584" t="s">
        <v>24</v>
      </c>
      <c r="J4584" t="s">
        <v>25</v>
      </c>
      <c r="K4584" t="s">
        <v>32</v>
      </c>
      <c r="L4584" t="s">
        <v>37</v>
      </c>
      <c r="M4584">
        <v>3</v>
      </c>
      <c r="N4584" s="2">
        <v>10</v>
      </c>
      <c r="O4584" s="3">
        <v>3165</v>
      </c>
      <c r="P4584">
        <v>0</v>
      </c>
      <c r="Q4584">
        <v>4</v>
      </c>
      <c r="R4584" t="s">
        <v>33</v>
      </c>
      <c r="S4584">
        <v>1</v>
      </c>
    </row>
    <row r="4585" spans="1:19" ht="16.5" x14ac:dyDescent="0.3">
      <c r="A4585" t="s">
        <v>4648</v>
      </c>
      <c r="B4585" s="1">
        <v>45899</v>
      </c>
      <c r="C4585" s="1">
        <v>45903</v>
      </c>
      <c r="D4585">
        <v>2025</v>
      </c>
      <c r="E4585" t="s">
        <v>1445</v>
      </c>
      <c r="F4585" t="s">
        <v>1651</v>
      </c>
      <c r="G4585" t="s">
        <v>102</v>
      </c>
      <c r="H4585" t="s">
        <v>35</v>
      </c>
      <c r="I4585" t="s">
        <v>24</v>
      </c>
      <c r="J4585" t="s">
        <v>25</v>
      </c>
      <c r="K4585" t="s">
        <v>36</v>
      </c>
      <c r="L4585" t="s">
        <v>44</v>
      </c>
      <c r="M4585">
        <v>4</v>
      </c>
      <c r="N4585" s="2">
        <v>77</v>
      </c>
      <c r="O4585" s="3">
        <v>3529</v>
      </c>
      <c r="P4585">
        <v>0</v>
      </c>
      <c r="Q4585">
        <v>4</v>
      </c>
      <c r="R4585" t="s">
        <v>28</v>
      </c>
      <c r="S4585">
        <v>1</v>
      </c>
    </row>
    <row r="4586" spans="1:19" ht="16.5" x14ac:dyDescent="0.3">
      <c r="A4586" t="s">
        <v>4649</v>
      </c>
      <c r="B4586" s="1">
        <v>45899</v>
      </c>
      <c r="C4586" s="1">
        <v>45902</v>
      </c>
      <c r="D4586">
        <v>2025</v>
      </c>
      <c r="E4586" t="s">
        <v>1445</v>
      </c>
      <c r="F4586" t="s">
        <v>1651</v>
      </c>
      <c r="G4586" t="s">
        <v>102</v>
      </c>
      <c r="H4586" t="s">
        <v>39</v>
      </c>
      <c r="I4586" t="s">
        <v>40</v>
      </c>
      <c r="J4586" t="s">
        <v>25</v>
      </c>
      <c r="K4586" t="s">
        <v>41</v>
      </c>
      <c r="L4586" t="s">
        <v>37</v>
      </c>
      <c r="M4586">
        <v>3</v>
      </c>
      <c r="N4586" s="2"/>
      <c r="O4586" s="3">
        <v>2417</v>
      </c>
      <c r="P4586">
        <v>0</v>
      </c>
      <c r="Q4586">
        <v>5</v>
      </c>
      <c r="R4586" t="s">
        <v>28</v>
      </c>
      <c r="S4586">
        <v>1</v>
      </c>
    </row>
    <row r="4587" spans="1:19" ht="16.5" x14ac:dyDescent="0.3">
      <c r="A4587" t="s">
        <v>4650</v>
      </c>
      <c r="B4587" s="1">
        <v>45899</v>
      </c>
      <c r="C4587" s="1">
        <v>45904</v>
      </c>
      <c r="D4587">
        <v>2025</v>
      </c>
      <c r="E4587" t="s">
        <v>1445</v>
      </c>
      <c r="F4587" t="s">
        <v>1651</v>
      </c>
      <c r="G4587" t="s">
        <v>102</v>
      </c>
      <c r="H4587" t="s">
        <v>50</v>
      </c>
      <c r="I4587" t="s">
        <v>24</v>
      </c>
      <c r="J4587" t="s">
        <v>25</v>
      </c>
      <c r="K4587" t="s">
        <v>26</v>
      </c>
      <c r="L4587" t="s">
        <v>44</v>
      </c>
      <c r="M4587">
        <v>5</v>
      </c>
      <c r="N4587" s="2">
        <v>62</v>
      </c>
      <c r="O4587" s="3">
        <v>3981</v>
      </c>
      <c r="P4587">
        <v>0</v>
      </c>
      <c r="Q4587">
        <v>4</v>
      </c>
      <c r="R4587" t="s">
        <v>33</v>
      </c>
      <c r="S4587">
        <v>1</v>
      </c>
    </row>
    <row r="4588" spans="1:19" ht="16.5" x14ac:dyDescent="0.3">
      <c r="A4588" t="s">
        <v>4651</v>
      </c>
      <c r="B4588" s="1">
        <v>45899</v>
      </c>
      <c r="C4588" s="1">
        <v>45902</v>
      </c>
      <c r="D4588">
        <v>2025</v>
      </c>
      <c r="E4588" t="s">
        <v>1445</v>
      </c>
      <c r="F4588" t="s">
        <v>1651</v>
      </c>
      <c r="G4588" t="s">
        <v>102</v>
      </c>
      <c r="H4588" t="s">
        <v>50</v>
      </c>
      <c r="I4588" t="s">
        <v>24</v>
      </c>
      <c r="J4588" t="s">
        <v>43</v>
      </c>
      <c r="K4588" t="s">
        <v>36</v>
      </c>
      <c r="L4588" t="s">
        <v>44</v>
      </c>
      <c r="M4588">
        <v>3</v>
      </c>
      <c r="N4588" s="2">
        <v>13</v>
      </c>
      <c r="O4588" s="3">
        <v>4686</v>
      </c>
      <c r="P4588">
        <v>0</v>
      </c>
      <c r="Q4588">
        <v>5</v>
      </c>
      <c r="R4588" t="s">
        <v>28</v>
      </c>
      <c r="S4588">
        <v>1</v>
      </c>
    </row>
    <row r="4589" spans="1:19" ht="16.5" x14ac:dyDescent="0.3">
      <c r="A4589" t="s">
        <v>4652</v>
      </c>
      <c r="B4589" s="1">
        <v>45899</v>
      </c>
      <c r="C4589" s="1">
        <v>45904</v>
      </c>
      <c r="D4589">
        <v>2025</v>
      </c>
      <c r="E4589" t="s">
        <v>1445</v>
      </c>
      <c r="F4589" t="s">
        <v>1651</v>
      </c>
      <c r="G4589" t="s">
        <v>102</v>
      </c>
      <c r="H4589" t="s">
        <v>23</v>
      </c>
      <c r="I4589" t="s">
        <v>24</v>
      </c>
      <c r="J4589" t="s">
        <v>25</v>
      </c>
      <c r="K4589" t="s">
        <v>53</v>
      </c>
      <c r="L4589" t="s">
        <v>44</v>
      </c>
      <c r="M4589">
        <v>5</v>
      </c>
      <c r="N4589" s="2">
        <v>51</v>
      </c>
      <c r="O4589" s="3">
        <v>3298</v>
      </c>
      <c r="P4589">
        <v>0</v>
      </c>
      <c r="Q4589">
        <v>4</v>
      </c>
      <c r="R4589" t="s">
        <v>33</v>
      </c>
      <c r="S4589">
        <v>1</v>
      </c>
    </row>
    <row r="4590" spans="1:19" ht="16.5" x14ac:dyDescent="0.3">
      <c r="A4590" t="s">
        <v>4653</v>
      </c>
      <c r="B4590" s="1">
        <v>45899</v>
      </c>
      <c r="C4590" s="1">
        <v>45906</v>
      </c>
      <c r="D4590">
        <v>2025</v>
      </c>
      <c r="E4590" t="s">
        <v>1445</v>
      </c>
      <c r="F4590" t="s">
        <v>1651</v>
      </c>
      <c r="G4590" t="s">
        <v>102</v>
      </c>
      <c r="H4590" t="s">
        <v>50</v>
      </c>
      <c r="I4590" t="s">
        <v>24</v>
      </c>
      <c r="J4590" t="s">
        <v>25</v>
      </c>
      <c r="K4590" t="s">
        <v>32</v>
      </c>
      <c r="L4590" t="s">
        <v>27</v>
      </c>
      <c r="M4590">
        <v>7</v>
      </c>
      <c r="N4590" s="2">
        <v>16</v>
      </c>
      <c r="O4590" s="3">
        <v>7634</v>
      </c>
      <c r="P4590">
        <v>0</v>
      </c>
      <c r="Q4590">
        <v>5</v>
      </c>
      <c r="R4590" t="s">
        <v>33</v>
      </c>
      <c r="S4590">
        <v>1</v>
      </c>
    </row>
    <row r="4591" spans="1:19" ht="16.5" x14ac:dyDescent="0.3">
      <c r="A4591" t="s">
        <v>4654</v>
      </c>
      <c r="B4591" s="1">
        <v>45899</v>
      </c>
      <c r="C4591" s="1">
        <v>45904</v>
      </c>
      <c r="D4591">
        <v>2025</v>
      </c>
      <c r="E4591" t="s">
        <v>1445</v>
      </c>
      <c r="F4591" t="s">
        <v>1651</v>
      </c>
      <c r="G4591" t="s">
        <v>102</v>
      </c>
      <c r="H4591" t="s">
        <v>50</v>
      </c>
      <c r="I4591" t="s">
        <v>24</v>
      </c>
      <c r="J4591" t="s">
        <v>43</v>
      </c>
      <c r="K4591" t="s">
        <v>53</v>
      </c>
      <c r="L4591" t="s">
        <v>37</v>
      </c>
      <c r="M4591">
        <v>5</v>
      </c>
      <c r="N4591" s="2">
        <v>54</v>
      </c>
      <c r="O4591" s="3">
        <v>7768</v>
      </c>
      <c r="P4591">
        <v>0</v>
      </c>
      <c r="Q4591">
        <v>4</v>
      </c>
      <c r="R4591" t="s">
        <v>33</v>
      </c>
      <c r="S4591">
        <v>1</v>
      </c>
    </row>
    <row r="4592" spans="1:19" ht="16.5" x14ac:dyDescent="0.3">
      <c r="A4592" t="s">
        <v>4655</v>
      </c>
      <c r="B4592" s="1">
        <v>45899</v>
      </c>
      <c r="C4592" s="1">
        <v>45902</v>
      </c>
      <c r="D4592">
        <v>2025</v>
      </c>
      <c r="E4592" t="s">
        <v>1445</v>
      </c>
      <c r="F4592" t="s">
        <v>1651</v>
      </c>
      <c r="G4592" t="s">
        <v>102</v>
      </c>
      <c r="H4592" t="s">
        <v>30</v>
      </c>
      <c r="I4592" t="s">
        <v>40</v>
      </c>
      <c r="J4592" t="s">
        <v>43</v>
      </c>
      <c r="K4592" t="s">
        <v>53</v>
      </c>
      <c r="L4592" t="s">
        <v>44</v>
      </c>
      <c r="M4592">
        <v>3</v>
      </c>
      <c r="N4592" s="2"/>
      <c r="O4592" s="3">
        <v>3365</v>
      </c>
      <c r="P4592">
        <v>0</v>
      </c>
      <c r="Q4592">
        <v>4</v>
      </c>
      <c r="R4592" t="s">
        <v>33</v>
      </c>
      <c r="S4592">
        <v>1</v>
      </c>
    </row>
    <row r="4593" spans="1:19" ht="16.5" x14ac:dyDescent="0.3">
      <c r="A4593" t="s">
        <v>4656</v>
      </c>
      <c r="B4593" s="1">
        <v>45899</v>
      </c>
      <c r="C4593" s="1">
        <v>45901</v>
      </c>
      <c r="D4593">
        <v>2025</v>
      </c>
      <c r="E4593" t="s">
        <v>1445</v>
      </c>
      <c r="F4593" t="s">
        <v>1651</v>
      </c>
      <c r="G4593" t="s">
        <v>102</v>
      </c>
      <c r="H4593" t="s">
        <v>50</v>
      </c>
      <c r="I4593" t="s">
        <v>40</v>
      </c>
      <c r="J4593" t="s">
        <v>43</v>
      </c>
      <c r="K4593" t="s">
        <v>32</v>
      </c>
      <c r="L4593" t="s">
        <v>37</v>
      </c>
      <c r="M4593">
        <v>2</v>
      </c>
      <c r="N4593" s="2"/>
      <c r="O4593" s="3">
        <v>2263</v>
      </c>
      <c r="P4593">
        <v>0</v>
      </c>
      <c r="Q4593">
        <v>4</v>
      </c>
      <c r="R4593" t="s">
        <v>33</v>
      </c>
      <c r="S4593">
        <v>1</v>
      </c>
    </row>
    <row r="4594" spans="1:19" ht="16.5" x14ac:dyDescent="0.3">
      <c r="A4594" t="s">
        <v>4657</v>
      </c>
      <c r="B4594" s="1">
        <v>45899</v>
      </c>
      <c r="C4594" s="1">
        <v>45905</v>
      </c>
      <c r="D4594">
        <v>2025</v>
      </c>
      <c r="E4594" t="s">
        <v>1445</v>
      </c>
      <c r="F4594" t="s">
        <v>1651</v>
      </c>
      <c r="G4594" t="s">
        <v>102</v>
      </c>
      <c r="H4594" t="s">
        <v>23</v>
      </c>
      <c r="I4594" t="s">
        <v>31</v>
      </c>
      <c r="J4594" t="s">
        <v>43</v>
      </c>
      <c r="K4594" t="s">
        <v>53</v>
      </c>
      <c r="L4594" t="s">
        <v>27</v>
      </c>
      <c r="M4594">
        <v>6</v>
      </c>
      <c r="N4594" s="2"/>
      <c r="O4594" s="3">
        <v>4900</v>
      </c>
      <c r="P4594">
        <v>0</v>
      </c>
      <c r="Q4594">
        <v>4</v>
      </c>
      <c r="R4594" t="s">
        <v>33</v>
      </c>
      <c r="S4594">
        <v>1</v>
      </c>
    </row>
    <row r="4595" spans="1:19" ht="16.5" x14ac:dyDescent="0.3">
      <c r="A4595" t="s">
        <v>4658</v>
      </c>
      <c r="B4595" s="1">
        <v>45900</v>
      </c>
      <c r="C4595" s="1">
        <v>45906</v>
      </c>
      <c r="D4595">
        <v>2025</v>
      </c>
      <c r="E4595" t="s">
        <v>1445</v>
      </c>
      <c r="F4595" t="s">
        <v>1651</v>
      </c>
      <c r="G4595" t="s">
        <v>112</v>
      </c>
      <c r="H4595" t="s">
        <v>52</v>
      </c>
      <c r="I4595" t="s">
        <v>40</v>
      </c>
      <c r="J4595" t="s">
        <v>25</v>
      </c>
      <c r="K4595" t="s">
        <v>26</v>
      </c>
      <c r="L4595" t="s">
        <v>44</v>
      </c>
      <c r="M4595">
        <v>6</v>
      </c>
      <c r="N4595" s="2"/>
      <c r="O4595" s="3">
        <v>7315</v>
      </c>
      <c r="P4595">
        <v>0</v>
      </c>
      <c r="Q4595">
        <v>4</v>
      </c>
      <c r="R4595" t="s">
        <v>33</v>
      </c>
      <c r="S4595">
        <v>1</v>
      </c>
    </row>
    <row r="4596" spans="1:19" ht="16.5" x14ac:dyDescent="0.3">
      <c r="A4596" t="s">
        <v>4659</v>
      </c>
      <c r="B4596" s="1">
        <v>45900</v>
      </c>
      <c r="C4596" s="1">
        <v>45901</v>
      </c>
      <c r="D4596">
        <v>2025</v>
      </c>
      <c r="E4596" t="s">
        <v>1445</v>
      </c>
      <c r="F4596" t="s">
        <v>1651</v>
      </c>
      <c r="G4596" t="s">
        <v>112</v>
      </c>
      <c r="H4596" t="s">
        <v>23</v>
      </c>
      <c r="I4596" t="s">
        <v>40</v>
      </c>
      <c r="J4596" t="s">
        <v>25</v>
      </c>
      <c r="K4596" t="s">
        <v>36</v>
      </c>
      <c r="L4596" t="s">
        <v>27</v>
      </c>
      <c r="M4596">
        <v>1</v>
      </c>
      <c r="N4596" s="2"/>
      <c r="O4596" s="3">
        <v>1398</v>
      </c>
      <c r="P4596">
        <v>0</v>
      </c>
      <c r="Q4596">
        <v>3</v>
      </c>
      <c r="R4596" t="s">
        <v>33</v>
      </c>
      <c r="S4596">
        <v>1</v>
      </c>
    </row>
    <row r="4597" spans="1:19" ht="16.5" x14ac:dyDescent="0.3">
      <c r="A4597" t="s">
        <v>4660</v>
      </c>
      <c r="B4597" s="1">
        <v>45900</v>
      </c>
      <c r="C4597" s="1">
        <v>45906</v>
      </c>
      <c r="D4597">
        <v>2025</v>
      </c>
      <c r="E4597" t="s">
        <v>1445</v>
      </c>
      <c r="F4597" t="s">
        <v>1651</v>
      </c>
      <c r="G4597" t="s">
        <v>112</v>
      </c>
      <c r="H4597" t="s">
        <v>35</v>
      </c>
      <c r="I4597" t="s">
        <v>40</v>
      </c>
      <c r="J4597" t="s">
        <v>25</v>
      </c>
      <c r="K4597" t="s">
        <v>36</v>
      </c>
      <c r="L4597" t="s">
        <v>27</v>
      </c>
      <c r="M4597">
        <v>6</v>
      </c>
      <c r="N4597" s="2"/>
      <c r="O4597" s="3">
        <v>4207</v>
      </c>
      <c r="P4597">
        <v>0</v>
      </c>
      <c r="Q4597">
        <v>3</v>
      </c>
      <c r="R4597" t="s">
        <v>33</v>
      </c>
      <c r="S4597">
        <v>1</v>
      </c>
    </row>
    <row r="4598" spans="1:19" ht="16.5" x14ac:dyDescent="0.3">
      <c r="A4598" t="s">
        <v>4661</v>
      </c>
      <c r="B4598" s="1">
        <v>45900</v>
      </c>
      <c r="C4598" s="1">
        <v>45902</v>
      </c>
      <c r="D4598">
        <v>2025</v>
      </c>
      <c r="E4598" t="s">
        <v>1445</v>
      </c>
      <c r="F4598" t="s">
        <v>1651</v>
      </c>
      <c r="G4598" t="s">
        <v>112</v>
      </c>
      <c r="H4598" t="s">
        <v>35</v>
      </c>
      <c r="I4598" t="s">
        <v>24</v>
      </c>
      <c r="J4598" t="s">
        <v>25</v>
      </c>
      <c r="K4598" t="s">
        <v>32</v>
      </c>
      <c r="L4598" t="s">
        <v>37</v>
      </c>
      <c r="M4598">
        <v>2</v>
      </c>
      <c r="N4598" s="2">
        <v>25</v>
      </c>
      <c r="O4598" s="3">
        <v>2292</v>
      </c>
      <c r="P4598">
        <v>0</v>
      </c>
      <c r="Q4598">
        <v>4</v>
      </c>
      <c r="R4598" t="s">
        <v>33</v>
      </c>
      <c r="S4598">
        <v>1</v>
      </c>
    </row>
    <row r="4599" spans="1:19" ht="16.5" x14ac:dyDescent="0.3">
      <c r="A4599" t="s">
        <v>4662</v>
      </c>
      <c r="B4599" s="1">
        <v>45901</v>
      </c>
      <c r="C4599" s="1">
        <v>45907</v>
      </c>
      <c r="D4599">
        <v>2025</v>
      </c>
      <c r="E4599" t="s">
        <v>1445</v>
      </c>
      <c r="F4599" t="s">
        <v>1821</v>
      </c>
      <c r="G4599" t="s">
        <v>22</v>
      </c>
      <c r="H4599" t="s">
        <v>50</v>
      </c>
      <c r="I4599" t="s">
        <v>40</v>
      </c>
      <c r="J4599" t="s">
        <v>25</v>
      </c>
      <c r="K4599" t="s">
        <v>36</v>
      </c>
      <c r="L4599" t="s">
        <v>27</v>
      </c>
      <c r="M4599">
        <v>6</v>
      </c>
      <c r="N4599" s="2"/>
      <c r="O4599" s="3">
        <v>7074</v>
      </c>
      <c r="P4599">
        <v>0</v>
      </c>
      <c r="Q4599">
        <v>4</v>
      </c>
      <c r="R4599" t="s">
        <v>33</v>
      </c>
      <c r="S4599">
        <v>1</v>
      </c>
    </row>
    <row r="4600" spans="1:19" ht="16.5" x14ac:dyDescent="0.3">
      <c r="A4600" t="s">
        <v>4663</v>
      </c>
      <c r="B4600" s="1">
        <v>45901</v>
      </c>
      <c r="C4600" s="1">
        <v>45913</v>
      </c>
      <c r="D4600">
        <v>2025</v>
      </c>
      <c r="E4600" t="s">
        <v>1445</v>
      </c>
      <c r="F4600" t="s">
        <v>1821</v>
      </c>
      <c r="G4600" t="s">
        <v>22</v>
      </c>
      <c r="H4600" t="s">
        <v>52</v>
      </c>
      <c r="I4600" t="s">
        <v>24</v>
      </c>
      <c r="J4600" t="s">
        <v>43</v>
      </c>
      <c r="K4600" t="s">
        <v>36</v>
      </c>
      <c r="L4600" t="s">
        <v>44</v>
      </c>
      <c r="M4600">
        <v>12</v>
      </c>
      <c r="N4600" s="2">
        <v>29</v>
      </c>
      <c r="O4600" s="3">
        <v>14225</v>
      </c>
      <c r="P4600">
        <v>0</v>
      </c>
      <c r="Q4600">
        <v>4</v>
      </c>
      <c r="R4600" t="s">
        <v>28</v>
      </c>
      <c r="S4600">
        <v>1</v>
      </c>
    </row>
    <row r="4601" spans="1:19" ht="16.5" x14ac:dyDescent="0.3">
      <c r="A4601" t="s">
        <v>4664</v>
      </c>
      <c r="B4601" s="1">
        <v>45901</v>
      </c>
      <c r="C4601" s="1">
        <v>45907</v>
      </c>
      <c r="D4601">
        <v>2025</v>
      </c>
      <c r="E4601" t="s">
        <v>1445</v>
      </c>
      <c r="F4601" t="s">
        <v>1821</v>
      </c>
      <c r="G4601" t="s">
        <v>22</v>
      </c>
      <c r="H4601" t="s">
        <v>30</v>
      </c>
      <c r="I4601" t="s">
        <v>40</v>
      </c>
      <c r="J4601" t="s">
        <v>43</v>
      </c>
      <c r="K4601" t="s">
        <v>36</v>
      </c>
      <c r="L4601" t="s">
        <v>44</v>
      </c>
      <c r="M4601">
        <v>6</v>
      </c>
      <c r="N4601" s="2"/>
      <c r="O4601" s="3">
        <v>8939</v>
      </c>
      <c r="P4601">
        <v>0</v>
      </c>
      <c r="Q4601">
        <v>4</v>
      </c>
      <c r="R4601" t="s">
        <v>28</v>
      </c>
      <c r="S4601">
        <v>1</v>
      </c>
    </row>
    <row r="4602" spans="1:19" ht="16.5" x14ac:dyDescent="0.3">
      <c r="A4602" t="s">
        <v>4665</v>
      </c>
      <c r="B4602" s="1">
        <v>45901</v>
      </c>
      <c r="C4602" s="1">
        <v>45902</v>
      </c>
      <c r="D4602">
        <v>2025</v>
      </c>
      <c r="E4602" t="s">
        <v>1445</v>
      </c>
      <c r="F4602" t="s">
        <v>1821</v>
      </c>
      <c r="G4602" t="s">
        <v>22</v>
      </c>
      <c r="H4602" t="s">
        <v>35</v>
      </c>
      <c r="I4602" t="s">
        <v>24</v>
      </c>
      <c r="J4602" t="s">
        <v>25</v>
      </c>
      <c r="K4602" t="s">
        <v>36</v>
      </c>
      <c r="L4602" t="s">
        <v>27</v>
      </c>
      <c r="M4602">
        <v>1</v>
      </c>
      <c r="N4602" s="2">
        <v>82</v>
      </c>
      <c r="O4602" s="3">
        <v>1581</v>
      </c>
      <c r="P4602">
        <v>0</v>
      </c>
      <c r="Q4602">
        <v>4</v>
      </c>
      <c r="R4602" t="s">
        <v>33</v>
      </c>
      <c r="S4602">
        <v>1</v>
      </c>
    </row>
    <row r="4603" spans="1:19" ht="16.5" x14ac:dyDescent="0.3">
      <c r="A4603" t="s">
        <v>4666</v>
      </c>
      <c r="B4603" s="1">
        <v>45901</v>
      </c>
      <c r="C4603" s="1">
        <v>45906</v>
      </c>
      <c r="D4603">
        <v>2025</v>
      </c>
      <c r="E4603" t="s">
        <v>1445</v>
      </c>
      <c r="F4603" t="s">
        <v>1821</v>
      </c>
      <c r="G4603" t="s">
        <v>22</v>
      </c>
      <c r="H4603" t="s">
        <v>23</v>
      </c>
      <c r="I4603" t="s">
        <v>31</v>
      </c>
      <c r="J4603" t="s">
        <v>25</v>
      </c>
      <c r="K4603" t="s">
        <v>32</v>
      </c>
      <c r="L4603" t="s">
        <v>27</v>
      </c>
      <c r="M4603">
        <v>5</v>
      </c>
      <c r="N4603" s="2"/>
      <c r="O4603" s="3">
        <v>4376</v>
      </c>
      <c r="P4603">
        <v>0</v>
      </c>
      <c r="Q4603">
        <v>4</v>
      </c>
      <c r="R4603" t="s">
        <v>33</v>
      </c>
      <c r="S4603">
        <v>1</v>
      </c>
    </row>
    <row r="4604" spans="1:19" ht="16.5" x14ac:dyDescent="0.3">
      <c r="A4604" t="s">
        <v>4667</v>
      </c>
      <c r="B4604" s="1">
        <v>45901</v>
      </c>
      <c r="C4604" s="1">
        <v>45902</v>
      </c>
      <c r="D4604">
        <v>2025</v>
      </c>
      <c r="E4604" t="s">
        <v>1445</v>
      </c>
      <c r="F4604" t="s">
        <v>1821</v>
      </c>
      <c r="G4604" t="s">
        <v>22</v>
      </c>
      <c r="H4604" t="s">
        <v>52</v>
      </c>
      <c r="I4604" t="s">
        <v>40</v>
      </c>
      <c r="J4604" t="s">
        <v>43</v>
      </c>
      <c r="K4604" t="s">
        <v>32</v>
      </c>
      <c r="L4604" t="s">
        <v>27</v>
      </c>
      <c r="M4604">
        <v>1</v>
      </c>
      <c r="N4604" s="2"/>
      <c r="O4604" s="3">
        <v>1959</v>
      </c>
      <c r="P4604">
        <v>0</v>
      </c>
      <c r="Q4604">
        <v>4</v>
      </c>
      <c r="R4604" t="s">
        <v>33</v>
      </c>
      <c r="S4604">
        <v>1</v>
      </c>
    </row>
    <row r="4605" spans="1:19" ht="16.5" x14ac:dyDescent="0.3">
      <c r="A4605" t="s">
        <v>4668</v>
      </c>
      <c r="B4605" s="1">
        <v>45902</v>
      </c>
      <c r="C4605" s="1">
        <v>45906</v>
      </c>
      <c r="D4605">
        <v>2025</v>
      </c>
      <c r="E4605" t="s">
        <v>1445</v>
      </c>
      <c r="F4605" t="s">
        <v>1821</v>
      </c>
      <c r="G4605" t="s">
        <v>56</v>
      </c>
      <c r="H4605" t="s">
        <v>35</v>
      </c>
      <c r="I4605" t="s">
        <v>24</v>
      </c>
      <c r="J4605" t="s">
        <v>25</v>
      </c>
      <c r="K4605" t="s">
        <v>36</v>
      </c>
      <c r="L4605" t="s">
        <v>37</v>
      </c>
      <c r="M4605">
        <v>4</v>
      </c>
      <c r="N4605" s="2">
        <v>60</v>
      </c>
      <c r="O4605" s="3">
        <v>2660</v>
      </c>
      <c r="P4605">
        <v>0</v>
      </c>
      <c r="Q4605">
        <v>3</v>
      </c>
      <c r="R4605" t="s">
        <v>33</v>
      </c>
      <c r="S4605">
        <v>1</v>
      </c>
    </row>
    <row r="4606" spans="1:19" ht="16.5" x14ac:dyDescent="0.3">
      <c r="A4606" t="s">
        <v>4669</v>
      </c>
      <c r="B4606" s="1">
        <v>45902</v>
      </c>
      <c r="C4606" s="1">
        <v>45913</v>
      </c>
      <c r="D4606">
        <v>2025</v>
      </c>
      <c r="E4606" t="s">
        <v>1445</v>
      </c>
      <c r="F4606" t="s">
        <v>1821</v>
      </c>
      <c r="G4606" t="s">
        <v>56</v>
      </c>
      <c r="H4606" t="s">
        <v>30</v>
      </c>
      <c r="I4606" t="s">
        <v>24</v>
      </c>
      <c r="J4606" t="s">
        <v>43</v>
      </c>
      <c r="K4606" t="s">
        <v>36</v>
      </c>
      <c r="L4606" t="s">
        <v>44</v>
      </c>
      <c r="M4606">
        <v>11</v>
      </c>
      <c r="N4606" s="2">
        <v>51</v>
      </c>
      <c r="O4606" s="3">
        <v>10870</v>
      </c>
      <c r="P4606">
        <v>0</v>
      </c>
      <c r="Q4606">
        <v>4</v>
      </c>
      <c r="R4606" t="s">
        <v>28</v>
      </c>
      <c r="S4606">
        <v>1</v>
      </c>
    </row>
    <row r="4607" spans="1:19" ht="16.5" x14ac:dyDescent="0.3">
      <c r="A4607" t="s">
        <v>4670</v>
      </c>
      <c r="B4607" s="1">
        <v>45902</v>
      </c>
      <c r="C4607" s="1">
        <v>45915</v>
      </c>
      <c r="D4607">
        <v>2025</v>
      </c>
      <c r="E4607" t="s">
        <v>1445</v>
      </c>
      <c r="F4607" t="s">
        <v>1821</v>
      </c>
      <c r="G4607" t="s">
        <v>56</v>
      </c>
      <c r="H4607" t="s">
        <v>23</v>
      </c>
      <c r="I4607" t="s">
        <v>24</v>
      </c>
      <c r="J4607" t="s">
        <v>43</v>
      </c>
      <c r="K4607" t="s">
        <v>26</v>
      </c>
      <c r="L4607" t="s">
        <v>44</v>
      </c>
      <c r="M4607">
        <v>13</v>
      </c>
      <c r="N4607" s="2">
        <v>46</v>
      </c>
      <c r="O4607" s="3">
        <v>8219</v>
      </c>
      <c r="P4607">
        <v>0</v>
      </c>
      <c r="Q4607">
        <v>4</v>
      </c>
      <c r="R4607" t="s">
        <v>28</v>
      </c>
      <c r="S4607">
        <v>1</v>
      </c>
    </row>
    <row r="4608" spans="1:19" ht="16.5" x14ac:dyDescent="0.3">
      <c r="A4608" t="s">
        <v>4671</v>
      </c>
      <c r="B4608" s="1">
        <v>45902</v>
      </c>
      <c r="C4608" s="1">
        <v>45905</v>
      </c>
      <c r="D4608">
        <v>2025</v>
      </c>
      <c r="E4608" t="s">
        <v>1445</v>
      </c>
      <c r="F4608" t="s">
        <v>1821</v>
      </c>
      <c r="G4608" t="s">
        <v>56</v>
      </c>
      <c r="H4608" t="s">
        <v>52</v>
      </c>
      <c r="I4608" t="s">
        <v>24</v>
      </c>
      <c r="J4608" t="s">
        <v>43</v>
      </c>
      <c r="K4608" t="s">
        <v>53</v>
      </c>
      <c r="L4608" t="s">
        <v>44</v>
      </c>
      <c r="M4608">
        <v>3</v>
      </c>
      <c r="N4608" s="2">
        <v>110</v>
      </c>
      <c r="O4608" s="3">
        <v>3424</v>
      </c>
      <c r="P4608">
        <v>0</v>
      </c>
      <c r="Q4608">
        <v>3</v>
      </c>
      <c r="R4608" t="s">
        <v>28</v>
      </c>
      <c r="S4608">
        <v>1</v>
      </c>
    </row>
    <row r="4609" spans="1:19" ht="16.5" x14ac:dyDescent="0.3">
      <c r="A4609" t="s">
        <v>4672</v>
      </c>
      <c r="B4609" s="1">
        <v>45902</v>
      </c>
      <c r="C4609" s="1">
        <v>45904</v>
      </c>
      <c r="D4609">
        <v>2025</v>
      </c>
      <c r="E4609" t="s">
        <v>1445</v>
      </c>
      <c r="F4609" t="s">
        <v>1821</v>
      </c>
      <c r="G4609" t="s">
        <v>56</v>
      </c>
      <c r="H4609" t="s">
        <v>35</v>
      </c>
      <c r="I4609" t="s">
        <v>24</v>
      </c>
      <c r="J4609" t="s">
        <v>25</v>
      </c>
      <c r="K4609" t="s">
        <v>36</v>
      </c>
      <c r="L4609" t="s">
        <v>44</v>
      </c>
      <c r="M4609">
        <v>2</v>
      </c>
      <c r="N4609" s="2">
        <v>23</v>
      </c>
      <c r="O4609" s="3">
        <v>2222</v>
      </c>
      <c r="P4609">
        <v>0</v>
      </c>
      <c r="Q4609">
        <v>4</v>
      </c>
      <c r="R4609" t="s">
        <v>33</v>
      </c>
      <c r="S4609">
        <v>1</v>
      </c>
    </row>
    <row r="4610" spans="1:19" ht="16.5" x14ac:dyDescent="0.3">
      <c r="A4610" t="s">
        <v>4673</v>
      </c>
      <c r="B4610" s="1">
        <v>45902</v>
      </c>
      <c r="C4610" s="1">
        <v>45904</v>
      </c>
      <c r="D4610">
        <v>2025</v>
      </c>
      <c r="E4610" t="s">
        <v>1445</v>
      </c>
      <c r="F4610" t="s">
        <v>1821</v>
      </c>
      <c r="G4610" t="s">
        <v>56</v>
      </c>
      <c r="H4610" t="s">
        <v>52</v>
      </c>
      <c r="I4610" t="s">
        <v>40</v>
      </c>
      <c r="J4610" t="s">
        <v>25</v>
      </c>
      <c r="K4610" t="s">
        <v>36</v>
      </c>
      <c r="L4610" t="s">
        <v>44</v>
      </c>
      <c r="M4610">
        <v>2</v>
      </c>
      <c r="N4610" s="2"/>
      <c r="O4610" s="3">
        <v>1924</v>
      </c>
      <c r="P4610">
        <v>0</v>
      </c>
      <c r="Q4610">
        <v>5</v>
      </c>
      <c r="R4610" t="s">
        <v>33</v>
      </c>
      <c r="S4610">
        <v>1</v>
      </c>
    </row>
    <row r="4611" spans="1:19" ht="16.5" x14ac:dyDescent="0.3">
      <c r="A4611" t="s">
        <v>4674</v>
      </c>
      <c r="B4611" s="1">
        <v>45902</v>
      </c>
      <c r="C4611" s="1">
        <v>45904</v>
      </c>
      <c r="D4611">
        <v>2025</v>
      </c>
      <c r="E4611" t="s">
        <v>1445</v>
      </c>
      <c r="F4611" t="s">
        <v>1821</v>
      </c>
      <c r="G4611" t="s">
        <v>56</v>
      </c>
      <c r="H4611" t="s">
        <v>52</v>
      </c>
      <c r="I4611" t="s">
        <v>40</v>
      </c>
      <c r="J4611" t="s">
        <v>43</v>
      </c>
      <c r="K4611" t="s">
        <v>26</v>
      </c>
      <c r="L4611" t="s">
        <v>44</v>
      </c>
      <c r="M4611">
        <v>2</v>
      </c>
      <c r="N4611" s="2"/>
      <c r="O4611" s="3">
        <v>2546</v>
      </c>
      <c r="P4611">
        <v>0</v>
      </c>
      <c r="Q4611">
        <v>4</v>
      </c>
      <c r="R4611" t="s">
        <v>33</v>
      </c>
      <c r="S4611">
        <v>1</v>
      </c>
    </row>
    <row r="4612" spans="1:19" ht="16.5" x14ac:dyDescent="0.3">
      <c r="A4612" t="s">
        <v>4675</v>
      </c>
      <c r="B4612" s="1">
        <v>45902</v>
      </c>
      <c r="C4612" s="1">
        <v>45903</v>
      </c>
      <c r="D4612">
        <v>2025</v>
      </c>
      <c r="E4612" t="s">
        <v>1445</v>
      </c>
      <c r="F4612" t="s">
        <v>1821</v>
      </c>
      <c r="G4612" t="s">
        <v>56</v>
      </c>
      <c r="H4612" t="s">
        <v>52</v>
      </c>
      <c r="I4612" t="s">
        <v>24</v>
      </c>
      <c r="J4612" t="s">
        <v>43</v>
      </c>
      <c r="K4612" t="s">
        <v>26</v>
      </c>
      <c r="L4612" t="s">
        <v>27</v>
      </c>
      <c r="M4612">
        <v>1</v>
      </c>
      <c r="N4612" s="2">
        <v>18</v>
      </c>
      <c r="O4612" s="3">
        <v>2065</v>
      </c>
      <c r="P4612">
        <v>0</v>
      </c>
      <c r="Q4612">
        <v>4</v>
      </c>
      <c r="R4612" t="s">
        <v>59</v>
      </c>
      <c r="S4612">
        <v>1</v>
      </c>
    </row>
    <row r="4613" spans="1:19" ht="16.5" x14ac:dyDescent="0.3">
      <c r="A4613" t="s">
        <v>4676</v>
      </c>
      <c r="B4613" s="1">
        <v>45902</v>
      </c>
      <c r="C4613" s="1">
        <v>45904</v>
      </c>
      <c r="D4613">
        <v>2025</v>
      </c>
      <c r="E4613" t="s">
        <v>1445</v>
      </c>
      <c r="F4613" t="s">
        <v>1821</v>
      </c>
      <c r="G4613" t="s">
        <v>56</v>
      </c>
      <c r="H4613" t="s">
        <v>39</v>
      </c>
      <c r="I4613" t="s">
        <v>24</v>
      </c>
      <c r="J4613" t="s">
        <v>43</v>
      </c>
      <c r="K4613" t="s">
        <v>41</v>
      </c>
      <c r="L4613" t="s">
        <v>44</v>
      </c>
      <c r="M4613">
        <v>2</v>
      </c>
      <c r="N4613" s="2">
        <v>52</v>
      </c>
      <c r="O4613" s="3">
        <v>1842</v>
      </c>
      <c r="P4613">
        <v>0</v>
      </c>
      <c r="Q4613">
        <v>5</v>
      </c>
      <c r="R4613" t="s">
        <v>33</v>
      </c>
      <c r="S4613">
        <v>1</v>
      </c>
    </row>
    <row r="4614" spans="1:19" ht="16.5" x14ac:dyDescent="0.3">
      <c r="A4614" t="s">
        <v>4677</v>
      </c>
      <c r="B4614" s="1">
        <v>45902</v>
      </c>
      <c r="C4614" s="1">
        <v>45906</v>
      </c>
      <c r="D4614">
        <v>2025</v>
      </c>
      <c r="E4614" t="s">
        <v>1445</v>
      </c>
      <c r="F4614" t="s">
        <v>1821</v>
      </c>
      <c r="G4614" t="s">
        <v>56</v>
      </c>
      <c r="H4614" t="s">
        <v>39</v>
      </c>
      <c r="I4614" t="s">
        <v>24</v>
      </c>
      <c r="J4614" t="s">
        <v>25</v>
      </c>
      <c r="K4614" t="s">
        <v>41</v>
      </c>
      <c r="L4614" t="s">
        <v>37</v>
      </c>
      <c r="M4614">
        <v>4</v>
      </c>
      <c r="N4614" s="2">
        <v>24</v>
      </c>
      <c r="O4614" s="3">
        <v>3028</v>
      </c>
      <c r="P4614">
        <v>0</v>
      </c>
      <c r="Q4614">
        <v>4</v>
      </c>
      <c r="R4614" t="s">
        <v>33</v>
      </c>
      <c r="S4614">
        <v>1</v>
      </c>
    </row>
    <row r="4615" spans="1:19" ht="16.5" x14ac:dyDescent="0.3">
      <c r="A4615" t="s">
        <v>4678</v>
      </c>
      <c r="B4615" s="1">
        <v>45902</v>
      </c>
      <c r="C4615" s="1">
        <v>45905</v>
      </c>
      <c r="D4615">
        <v>2025</v>
      </c>
      <c r="E4615" t="s">
        <v>1445</v>
      </c>
      <c r="F4615" t="s">
        <v>1821</v>
      </c>
      <c r="G4615" t="s">
        <v>56</v>
      </c>
      <c r="H4615" t="s">
        <v>50</v>
      </c>
      <c r="I4615" t="s">
        <v>24</v>
      </c>
      <c r="J4615" t="s">
        <v>25</v>
      </c>
      <c r="K4615" t="s">
        <v>32</v>
      </c>
      <c r="L4615" t="s">
        <v>27</v>
      </c>
      <c r="M4615">
        <v>3</v>
      </c>
      <c r="N4615" s="2">
        <v>82</v>
      </c>
      <c r="O4615" s="3">
        <v>3698</v>
      </c>
      <c r="P4615">
        <v>0</v>
      </c>
      <c r="Q4615">
        <v>5</v>
      </c>
      <c r="R4615" t="s">
        <v>33</v>
      </c>
      <c r="S4615">
        <v>1</v>
      </c>
    </row>
    <row r="4616" spans="1:19" ht="16.5" x14ac:dyDescent="0.3">
      <c r="A4616" t="s">
        <v>4679</v>
      </c>
      <c r="B4616" s="1">
        <v>45902</v>
      </c>
      <c r="C4616" s="1">
        <v>45903</v>
      </c>
      <c r="D4616">
        <v>2025</v>
      </c>
      <c r="E4616" t="s">
        <v>1445</v>
      </c>
      <c r="F4616" t="s">
        <v>1821</v>
      </c>
      <c r="G4616" t="s">
        <v>56</v>
      </c>
      <c r="H4616" t="s">
        <v>39</v>
      </c>
      <c r="I4616" t="s">
        <v>24</v>
      </c>
      <c r="J4616" t="s">
        <v>43</v>
      </c>
      <c r="K4616" t="s">
        <v>41</v>
      </c>
      <c r="L4616" t="s">
        <v>27</v>
      </c>
      <c r="M4616">
        <v>1</v>
      </c>
      <c r="N4616" s="2">
        <v>32</v>
      </c>
      <c r="O4616" s="3">
        <v>1157</v>
      </c>
      <c r="P4616">
        <v>0</v>
      </c>
      <c r="Q4616">
        <v>5</v>
      </c>
      <c r="R4616" t="s">
        <v>28</v>
      </c>
      <c r="S4616">
        <v>1</v>
      </c>
    </row>
    <row r="4617" spans="1:19" ht="16.5" x14ac:dyDescent="0.3">
      <c r="A4617" t="s">
        <v>4680</v>
      </c>
      <c r="B4617" s="1">
        <v>45903</v>
      </c>
      <c r="C4617" s="1">
        <v>45907</v>
      </c>
      <c r="D4617">
        <v>2025</v>
      </c>
      <c r="E4617" t="s">
        <v>1445</v>
      </c>
      <c r="F4617" t="s">
        <v>1821</v>
      </c>
      <c r="G4617" t="s">
        <v>70</v>
      </c>
      <c r="H4617" t="s">
        <v>30</v>
      </c>
      <c r="I4617" t="s">
        <v>40</v>
      </c>
      <c r="J4617" t="s">
        <v>25</v>
      </c>
      <c r="K4617" t="s">
        <v>53</v>
      </c>
      <c r="L4617" t="s">
        <v>44</v>
      </c>
      <c r="M4617">
        <v>4</v>
      </c>
      <c r="N4617" s="2"/>
      <c r="O4617" s="3">
        <v>3399</v>
      </c>
      <c r="P4617">
        <v>0</v>
      </c>
      <c r="Q4617">
        <v>5</v>
      </c>
      <c r="R4617" t="s">
        <v>28</v>
      </c>
      <c r="S4617">
        <v>1</v>
      </c>
    </row>
    <row r="4618" spans="1:19" ht="16.5" x14ac:dyDescent="0.3">
      <c r="A4618" t="s">
        <v>4681</v>
      </c>
      <c r="B4618" s="1">
        <v>45903</v>
      </c>
      <c r="C4618" s="1">
        <v>45910</v>
      </c>
      <c r="D4618">
        <v>2025</v>
      </c>
      <c r="E4618" t="s">
        <v>1445</v>
      </c>
      <c r="F4618" t="s">
        <v>1821</v>
      </c>
      <c r="G4618" t="s">
        <v>70</v>
      </c>
      <c r="H4618" t="s">
        <v>52</v>
      </c>
      <c r="I4618" t="s">
        <v>24</v>
      </c>
      <c r="J4618" t="s">
        <v>43</v>
      </c>
      <c r="K4618" t="s">
        <v>53</v>
      </c>
      <c r="L4618" t="s">
        <v>44</v>
      </c>
      <c r="M4618">
        <v>7</v>
      </c>
      <c r="N4618" s="2">
        <v>52</v>
      </c>
      <c r="O4618" s="3">
        <v>7992</v>
      </c>
      <c r="P4618">
        <v>0</v>
      </c>
      <c r="Q4618">
        <v>4</v>
      </c>
      <c r="R4618" t="s">
        <v>33</v>
      </c>
      <c r="S4618">
        <v>1</v>
      </c>
    </row>
    <row r="4619" spans="1:19" ht="16.5" x14ac:dyDescent="0.3">
      <c r="A4619" t="s">
        <v>4682</v>
      </c>
      <c r="B4619" s="1">
        <v>45903</v>
      </c>
      <c r="C4619" s="1">
        <v>45906</v>
      </c>
      <c r="D4619">
        <v>2025</v>
      </c>
      <c r="E4619" t="s">
        <v>1445</v>
      </c>
      <c r="F4619" t="s">
        <v>1821</v>
      </c>
      <c r="G4619" t="s">
        <v>70</v>
      </c>
      <c r="H4619" t="s">
        <v>35</v>
      </c>
      <c r="I4619" t="s">
        <v>24</v>
      </c>
      <c r="J4619" t="s">
        <v>25</v>
      </c>
      <c r="K4619" t="s">
        <v>36</v>
      </c>
      <c r="L4619" t="s">
        <v>44</v>
      </c>
      <c r="M4619">
        <v>3</v>
      </c>
      <c r="N4619" s="2">
        <v>13</v>
      </c>
      <c r="O4619" s="3">
        <v>2224</v>
      </c>
      <c r="P4619">
        <v>0</v>
      </c>
      <c r="Q4619">
        <v>5</v>
      </c>
      <c r="R4619" t="s">
        <v>33</v>
      </c>
      <c r="S4619">
        <v>1</v>
      </c>
    </row>
    <row r="4620" spans="1:19" ht="16.5" x14ac:dyDescent="0.3">
      <c r="A4620" t="s">
        <v>4683</v>
      </c>
      <c r="B4620" s="1">
        <v>45903</v>
      </c>
      <c r="C4620" s="1">
        <v>45907</v>
      </c>
      <c r="D4620">
        <v>2025</v>
      </c>
      <c r="E4620" t="s">
        <v>1445</v>
      </c>
      <c r="F4620" t="s">
        <v>1821</v>
      </c>
      <c r="G4620" t="s">
        <v>70</v>
      </c>
      <c r="H4620" t="s">
        <v>39</v>
      </c>
      <c r="I4620" t="s">
        <v>40</v>
      </c>
      <c r="J4620" t="s">
        <v>25</v>
      </c>
      <c r="K4620" t="s">
        <v>41</v>
      </c>
      <c r="L4620" t="s">
        <v>27</v>
      </c>
      <c r="M4620">
        <v>4</v>
      </c>
      <c r="N4620" s="2"/>
      <c r="O4620" s="3">
        <v>3501</v>
      </c>
      <c r="P4620">
        <v>0</v>
      </c>
      <c r="Q4620">
        <v>4</v>
      </c>
      <c r="R4620" t="s">
        <v>28</v>
      </c>
      <c r="S4620">
        <v>1</v>
      </c>
    </row>
    <row r="4621" spans="1:19" ht="16.5" x14ac:dyDescent="0.3">
      <c r="A4621" t="s">
        <v>4684</v>
      </c>
      <c r="B4621" s="1">
        <v>45903</v>
      </c>
      <c r="C4621" s="1">
        <v>45905</v>
      </c>
      <c r="D4621">
        <v>2025</v>
      </c>
      <c r="E4621" t="s">
        <v>1445</v>
      </c>
      <c r="F4621" t="s">
        <v>1821</v>
      </c>
      <c r="G4621" t="s">
        <v>70</v>
      </c>
      <c r="H4621" t="s">
        <v>23</v>
      </c>
      <c r="I4621" t="s">
        <v>24</v>
      </c>
      <c r="J4621" t="s">
        <v>43</v>
      </c>
      <c r="K4621" t="s">
        <v>26</v>
      </c>
      <c r="L4621" t="s">
        <v>44</v>
      </c>
      <c r="M4621">
        <v>2</v>
      </c>
      <c r="N4621" s="2">
        <v>17</v>
      </c>
      <c r="O4621" s="3">
        <v>1536</v>
      </c>
      <c r="P4621">
        <v>0</v>
      </c>
      <c r="Q4621">
        <v>4</v>
      </c>
      <c r="R4621" t="s">
        <v>33</v>
      </c>
      <c r="S4621">
        <v>1</v>
      </c>
    </row>
    <row r="4622" spans="1:19" ht="16.5" x14ac:dyDescent="0.3">
      <c r="A4622" t="s">
        <v>4685</v>
      </c>
      <c r="B4622" s="1">
        <v>45903</v>
      </c>
      <c r="C4622" s="1">
        <v>45907</v>
      </c>
      <c r="D4622">
        <v>2025</v>
      </c>
      <c r="E4622" t="s">
        <v>1445</v>
      </c>
      <c r="F4622" t="s">
        <v>1821</v>
      </c>
      <c r="G4622" t="s">
        <v>70</v>
      </c>
      <c r="H4622" t="s">
        <v>52</v>
      </c>
      <c r="I4622" t="s">
        <v>40</v>
      </c>
      <c r="J4622" t="s">
        <v>25</v>
      </c>
      <c r="K4622" t="s">
        <v>36</v>
      </c>
      <c r="L4622" t="s">
        <v>27</v>
      </c>
      <c r="M4622">
        <v>4</v>
      </c>
      <c r="N4622" s="2"/>
      <c r="O4622" s="3">
        <v>4167</v>
      </c>
      <c r="P4622">
        <v>0</v>
      </c>
      <c r="Q4622">
        <v>4</v>
      </c>
      <c r="R4622" t="s">
        <v>33</v>
      </c>
      <c r="S4622">
        <v>1</v>
      </c>
    </row>
    <row r="4623" spans="1:19" ht="16.5" x14ac:dyDescent="0.3">
      <c r="A4623" t="s">
        <v>4686</v>
      </c>
      <c r="B4623" s="1">
        <v>45904</v>
      </c>
      <c r="C4623" s="1">
        <v>45906</v>
      </c>
      <c r="D4623">
        <v>2025</v>
      </c>
      <c r="E4623" t="s">
        <v>1445</v>
      </c>
      <c r="F4623" t="s">
        <v>1821</v>
      </c>
      <c r="G4623" t="s">
        <v>78</v>
      </c>
      <c r="H4623" t="s">
        <v>52</v>
      </c>
      <c r="I4623" t="s">
        <v>40</v>
      </c>
      <c r="J4623" t="s">
        <v>25</v>
      </c>
      <c r="K4623" t="s">
        <v>36</v>
      </c>
      <c r="L4623" t="s">
        <v>37</v>
      </c>
      <c r="M4623">
        <v>2</v>
      </c>
      <c r="N4623" s="2"/>
      <c r="O4623" s="3">
        <v>2690</v>
      </c>
      <c r="P4623">
        <v>0</v>
      </c>
      <c r="Q4623">
        <v>5</v>
      </c>
      <c r="R4623" t="s">
        <v>33</v>
      </c>
      <c r="S4623">
        <v>1</v>
      </c>
    </row>
    <row r="4624" spans="1:19" ht="16.5" x14ac:dyDescent="0.3">
      <c r="A4624" t="s">
        <v>4687</v>
      </c>
      <c r="B4624" s="1">
        <v>45904</v>
      </c>
      <c r="C4624" s="1">
        <v>45906</v>
      </c>
      <c r="D4624">
        <v>2025</v>
      </c>
      <c r="E4624" t="s">
        <v>1445</v>
      </c>
      <c r="F4624" t="s">
        <v>1821</v>
      </c>
      <c r="G4624" t="s">
        <v>78</v>
      </c>
      <c r="H4624" t="s">
        <v>23</v>
      </c>
      <c r="I4624" t="s">
        <v>24</v>
      </c>
      <c r="J4624" t="s">
        <v>43</v>
      </c>
      <c r="K4624" t="s">
        <v>53</v>
      </c>
      <c r="L4624" t="s">
        <v>27</v>
      </c>
      <c r="M4624">
        <v>2</v>
      </c>
      <c r="N4624" s="2">
        <v>89</v>
      </c>
      <c r="O4624" s="3">
        <v>2127</v>
      </c>
      <c r="P4624">
        <v>0</v>
      </c>
      <c r="Q4624">
        <v>5</v>
      </c>
      <c r="R4624" t="s">
        <v>33</v>
      </c>
      <c r="S4624">
        <v>1</v>
      </c>
    </row>
    <row r="4625" spans="1:19" ht="16.5" x14ac:dyDescent="0.3">
      <c r="A4625" t="s">
        <v>4688</v>
      </c>
      <c r="B4625" s="1">
        <v>45904</v>
      </c>
      <c r="C4625" s="1">
        <v>45907</v>
      </c>
      <c r="D4625">
        <v>2025</v>
      </c>
      <c r="E4625" t="s">
        <v>1445</v>
      </c>
      <c r="F4625" t="s">
        <v>1821</v>
      </c>
      <c r="G4625" t="s">
        <v>78</v>
      </c>
      <c r="H4625" t="s">
        <v>30</v>
      </c>
      <c r="I4625" t="s">
        <v>24</v>
      </c>
      <c r="J4625" t="s">
        <v>43</v>
      </c>
      <c r="K4625" t="s">
        <v>53</v>
      </c>
      <c r="L4625" t="s">
        <v>27</v>
      </c>
      <c r="M4625">
        <v>3</v>
      </c>
      <c r="N4625" s="2">
        <v>11</v>
      </c>
      <c r="O4625" s="3">
        <v>3787</v>
      </c>
      <c r="P4625">
        <v>1</v>
      </c>
      <c r="Q4625">
        <v>4</v>
      </c>
      <c r="R4625" t="s">
        <v>165</v>
      </c>
      <c r="S4625">
        <v>1</v>
      </c>
    </row>
    <row r="4626" spans="1:19" ht="16.5" x14ac:dyDescent="0.3">
      <c r="A4626" t="s">
        <v>4689</v>
      </c>
      <c r="B4626" s="1">
        <v>45904</v>
      </c>
      <c r="C4626" s="1">
        <v>45908</v>
      </c>
      <c r="D4626">
        <v>2025</v>
      </c>
      <c r="E4626" t="s">
        <v>1445</v>
      </c>
      <c r="F4626" t="s">
        <v>1821</v>
      </c>
      <c r="G4626" t="s">
        <v>78</v>
      </c>
      <c r="H4626" t="s">
        <v>39</v>
      </c>
      <c r="I4626" t="s">
        <v>24</v>
      </c>
      <c r="J4626" t="s">
        <v>25</v>
      </c>
      <c r="K4626" t="s">
        <v>41</v>
      </c>
      <c r="L4626" t="s">
        <v>44</v>
      </c>
      <c r="M4626">
        <v>4</v>
      </c>
      <c r="N4626" s="2">
        <v>82</v>
      </c>
      <c r="O4626" s="3">
        <v>2885</v>
      </c>
      <c r="P4626">
        <v>0</v>
      </c>
      <c r="Q4626">
        <v>5</v>
      </c>
      <c r="R4626" t="s">
        <v>33</v>
      </c>
      <c r="S4626">
        <v>1</v>
      </c>
    </row>
    <row r="4627" spans="1:19" ht="16.5" x14ac:dyDescent="0.3">
      <c r="A4627" t="s">
        <v>4690</v>
      </c>
      <c r="B4627" s="1">
        <v>45905</v>
      </c>
      <c r="C4627" s="1">
        <v>45909</v>
      </c>
      <c r="D4627">
        <v>2025</v>
      </c>
      <c r="E4627" t="s">
        <v>1445</v>
      </c>
      <c r="F4627" t="s">
        <v>1821</v>
      </c>
      <c r="G4627" t="s">
        <v>83</v>
      </c>
      <c r="H4627" t="s">
        <v>39</v>
      </c>
      <c r="I4627" t="s">
        <v>40</v>
      </c>
      <c r="J4627" t="s">
        <v>25</v>
      </c>
      <c r="K4627" t="s">
        <v>41</v>
      </c>
      <c r="L4627" t="s">
        <v>27</v>
      </c>
      <c r="M4627">
        <v>4</v>
      </c>
      <c r="N4627" s="2"/>
      <c r="O4627" s="3">
        <v>3313</v>
      </c>
      <c r="P4627">
        <v>0</v>
      </c>
      <c r="Q4627">
        <v>4</v>
      </c>
      <c r="R4627" t="s">
        <v>33</v>
      </c>
      <c r="S4627">
        <v>1</v>
      </c>
    </row>
    <row r="4628" spans="1:19" ht="16.5" x14ac:dyDescent="0.3">
      <c r="A4628" t="s">
        <v>4691</v>
      </c>
      <c r="B4628" s="1">
        <v>45905</v>
      </c>
      <c r="C4628" s="1">
        <v>45907</v>
      </c>
      <c r="D4628">
        <v>2025</v>
      </c>
      <c r="E4628" t="s">
        <v>1445</v>
      </c>
      <c r="F4628" t="s">
        <v>1821</v>
      </c>
      <c r="G4628" t="s">
        <v>83</v>
      </c>
      <c r="H4628" t="s">
        <v>35</v>
      </c>
      <c r="I4628" t="s">
        <v>24</v>
      </c>
      <c r="J4628" t="s">
        <v>25</v>
      </c>
      <c r="K4628" t="s">
        <v>36</v>
      </c>
      <c r="L4628" t="s">
        <v>44</v>
      </c>
      <c r="M4628">
        <v>2</v>
      </c>
      <c r="N4628" s="2">
        <v>23</v>
      </c>
      <c r="O4628" s="3">
        <v>1891</v>
      </c>
      <c r="P4628">
        <v>0</v>
      </c>
      <c r="Q4628">
        <v>5</v>
      </c>
      <c r="R4628" t="s">
        <v>33</v>
      </c>
      <c r="S4628">
        <v>1</v>
      </c>
    </row>
    <row r="4629" spans="1:19" ht="16.5" x14ac:dyDescent="0.3">
      <c r="A4629" t="s">
        <v>4692</v>
      </c>
      <c r="B4629" s="1">
        <v>45906</v>
      </c>
      <c r="C4629" s="1">
        <v>45911</v>
      </c>
      <c r="D4629">
        <v>2025</v>
      </c>
      <c r="E4629" t="s">
        <v>1445</v>
      </c>
      <c r="F4629" t="s">
        <v>1821</v>
      </c>
      <c r="G4629" t="s">
        <v>102</v>
      </c>
      <c r="H4629" t="s">
        <v>23</v>
      </c>
      <c r="I4629" t="s">
        <v>24</v>
      </c>
      <c r="J4629" t="s">
        <v>25</v>
      </c>
      <c r="K4629" t="s">
        <v>53</v>
      </c>
      <c r="L4629" t="s">
        <v>44</v>
      </c>
      <c r="M4629">
        <v>5</v>
      </c>
      <c r="N4629" s="2">
        <v>25</v>
      </c>
      <c r="O4629" s="3">
        <v>4006</v>
      </c>
      <c r="P4629">
        <v>0</v>
      </c>
      <c r="Q4629">
        <v>4</v>
      </c>
      <c r="R4629" t="s">
        <v>33</v>
      </c>
      <c r="S4629">
        <v>1</v>
      </c>
    </row>
    <row r="4630" spans="1:19" ht="16.5" x14ac:dyDescent="0.3">
      <c r="A4630" t="s">
        <v>4693</v>
      </c>
      <c r="B4630" s="1">
        <v>45906</v>
      </c>
      <c r="C4630" s="1">
        <v>45912</v>
      </c>
      <c r="D4630">
        <v>2025</v>
      </c>
      <c r="E4630" t="s">
        <v>1445</v>
      </c>
      <c r="F4630" t="s">
        <v>1821</v>
      </c>
      <c r="G4630" t="s">
        <v>102</v>
      </c>
      <c r="H4630" t="s">
        <v>50</v>
      </c>
      <c r="I4630" t="s">
        <v>24</v>
      </c>
      <c r="J4630" t="s">
        <v>43</v>
      </c>
      <c r="K4630" t="s">
        <v>53</v>
      </c>
      <c r="L4630" t="s">
        <v>27</v>
      </c>
      <c r="M4630">
        <v>6</v>
      </c>
      <c r="N4630" s="2">
        <v>25</v>
      </c>
      <c r="O4630" s="3">
        <v>8418</v>
      </c>
      <c r="P4630">
        <v>0</v>
      </c>
      <c r="Q4630">
        <v>4</v>
      </c>
      <c r="R4630" t="s">
        <v>28</v>
      </c>
      <c r="S4630">
        <v>1</v>
      </c>
    </row>
    <row r="4631" spans="1:19" ht="16.5" x14ac:dyDescent="0.3">
      <c r="A4631" t="s">
        <v>4694</v>
      </c>
      <c r="B4631" s="1">
        <v>45906</v>
      </c>
      <c r="C4631" s="1">
        <v>45909</v>
      </c>
      <c r="D4631">
        <v>2025</v>
      </c>
      <c r="E4631" t="s">
        <v>1445</v>
      </c>
      <c r="F4631" t="s">
        <v>1821</v>
      </c>
      <c r="G4631" t="s">
        <v>102</v>
      </c>
      <c r="H4631" t="s">
        <v>52</v>
      </c>
      <c r="I4631" t="s">
        <v>40</v>
      </c>
      <c r="J4631" t="s">
        <v>25</v>
      </c>
      <c r="K4631" t="s">
        <v>53</v>
      </c>
      <c r="L4631" t="s">
        <v>27</v>
      </c>
      <c r="M4631">
        <v>3</v>
      </c>
      <c r="N4631" s="2"/>
      <c r="O4631" s="3">
        <v>3729</v>
      </c>
      <c r="P4631">
        <v>0</v>
      </c>
      <c r="Q4631">
        <v>3</v>
      </c>
      <c r="R4631" t="s">
        <v>33</v>
      </c>
      <c r="S4631">
        <v>1</v>
      </c>
    </row>
    <row r="4632" spans="1:19" ht="16.5" x14ac:dyDescent="0.3">
      <c r="A4632" t="s">
        <v>4695</v>
      </c>
      <c r="B4632" s="1">
        <v>45906</v>
      </c>
      <c r="C4632" s="1">
        <v>45908</v>
      </c>
      <c r="D4632">
        <v>2025</v>
      </c>
      <c r="E4632" t="s">
        <v>1445</v>
      </c>
      <c r="F4632" t="s">
        <v>1821</v>
      </c>
      <c r="G4632" t="s">
        <v>102</v>
      </c>
      <c r="H4632" t="s">
        <v>39</v>
      </c>
      <c r="I4632" t="s">
        <v>40</v>
      </c>
      <c r="J4632" t="s">
        <v>43</v>
      </c>
      <c r="K4632" t="s">
        <v>41</v>
      </c>
      <c r="L4632" t="s">
        <v>27</v>
      </c>
      <c r="M4632">
        <v>2</v>
      </c>
      <c r="N4632" s="2"/>
      <c r="O4632" s="3">
        <v>2566</v>
      </c>
      <c r="P4632">
        <v>0</v>
      </c>
      <c r="Q4632">
        <v>4</v>
      </c>
      <c r="R4632" t="s">
        <v>33</v>
      </c>
      <c r="S4632">
        <v>1</v>
      </c>
    </row>
    <row r="4633" spans="1:19" ht="16.5" x14ac:dyDescent="0.3">
      <c r="A4633" t="s">
        <v>4696</v>
      </c>
      <c r="B4633" s="1">
        <v>45906</v>
      </c>
      <c r="C4633" s="1">
        <v>45908</v>
      </c>
      <c r="D4633">
        <v>2025</v>
      </c>
      <c r="E4633" t="s">
        <v>1445</v>
      </c>
      <c r="F4633" t="s">
        <v>1821</v>
      </c>
      <c r="G4633" t="s">
        <v>102</v>
      </c>
      <c r="H4633" t="s">
        <v>23</v>
      </c>
      <c r="I4633" t="s">
        <v>24</v>
      </c>
      <c r="J4633" t="s">
        <v>43</v>
      </c>
      <c r="K4633" t="s">
        <v>32</v>
      </c>
      <c r="L4633" t="s">
        <v>44</v>
      </c>
      <c r="M4633">
        <v>2</v>
      </c>
      <c r="N4633" s="2">
        <v>79</v>
      </c>
      <c r="O4633" s="3">
        <v>2056</v>
      </c>
      <c r="P4633">
        <v>0</v>
      </c>
      <c r="Q4633">
        <v>4</v>
      </c>
      <c r="R4633" t="s">
        <v>165</v>
      </c>
      <c r="S4633">
        <v>1</v>
      </c>
    </row>
    <row r="4634" spans="1:19" ht="16.5" x14ac:dyDescent="0.3">
      <c r="A4634" t="s">
        <v>4697</v>
      </c>
      <c r="B4634" s="1">
        <v>45906</v>
      </c>
      <c r="C4634" s="1">
        <v>45909</v>
      </c>
      <c r="D4634">
        <v>2025</v>
      </c>
      <c r="E4634" t="s">
        <v>1445</v>
      </c>
      <c r="F4634" t="s">
        <v>1821</v>
      </c>
      <c r="G4634" t="s">
        <v>102</v>
      </c>
      <c r="H4634" t="s">
        <v>30</v>
      </c>
      <c r="I4634" t="s">
        <v>40</v>
      </c>
      <c r="J4634" t="s">
        <v>43</v>
      </c>
      <c r="K4634" t="s">
        <v>26</v>
      </c>
      <c r="L4634" t="s">
        <v>27</v>
      </c>
      <c r="M4634">
        <v>3</v>
      </c>
      <c r="N4634" s="2"/>
      <c r="O4634" s="3">
        <v>2806</v>
      </c>
      <c r="P4634">
        <v>0</v>
      </c>
      <c r="Q4634">
        <v>3</v>
      </c>
      <c r="R4634" t="s">
        <v>33</v>
      </c>
      <c r="S4634">
        <v>1</v>
      </c>
    </row>
    <row r="4635" spans="1:19" ht="16.5" x14ac:dyDescent="0.3">
      <c r="A4635" t="s">
        <v>4698</v>
      </c>
      <c r="B4635" s="1">
        <v>45906</v>
      </c>
      <c r="C4635" s="1">
        <v>45907</v>
      </c>
      <c r="D4635">
        <v>2025</v>
      </c>
      <c r="E4635" t="s">
        <v>1445</v>
      </c>
      <c r="F4635" t="s">
        <v>1821</v>
      </c>
      <c r="G4635" t="s">
        <v>102</v>
      </c>
      <c r="H4635" t="s">
        <v>30</v>
      </c>
      <c r="I4635" t="s">
        <v>40</v>
      </c>
      <c r="J4635" t="s">
        <v>43</v>
      </c>
      <c r="K4635" t="s">
        <v>26</v>
      </c>
      <c r="L4635" t="s">
        <v>44</v>
      </c>
      <c r="M4635">
        <v>1</v>
      </c>
      <c r="N4635" s="2"/>
      <c r="O4635" s="3">
        <v>1709</v>
      </c>
      <c r="P4635">
        <v>1</v>
      </c>
      <c r="Q4635">
        <v>4</v>
      </c>
      <c r="R4635" t="s">
        <v>28</v>
      </c>
      <c r="S4635">
        <v>1</v>
      </c>
    </row>
    <row r="4636" spans="1:19" ht="16.5" x14ac:dyDescent="0.3">
      <c r="A4636" t="s">
        <v>4699</v>
      </c>
      <c r="B4636" s="1">
        <v>45906</v>
      </c>
      <c r="C4636" s="1">
        <v>45908</v>
      </c>
      <c r="D4636">
        <v>2025</v>
      </c>
      <c r="E4636" t="s">
        <v>1445</v>
      </c>
      <c r="F4636" t="s">
        <v>1821</v>
      </c>
      <c r="G4636" t="s">
        <v>102</v>
      </c>
      <c r="H4636" t="s">
        <v>35</v>
      </c>
      <c r="I4636" t="s">
        <v>40</v>
      </c>
      <c r="J4636" t="s">
        <v>25</v>
      </c>
      <c r="K4636" t="s">
        <v>36</v>
      </c>
      <c r="L4636" t="s">
        <v>27</v>
      </c>
      <c r="M4636">
        <v>2</v>
      </c>
      <c r="N4636" s="2"/>
      <c r="O4636" s="3">
        <v>1842</v>
      </c>
      <c r="P4636">
        <v>0</v>
      </c>
      <c r="Q4636">
        <v>3</v>
      </c>
      <c r="R4636" t="s">
        <v>33</v>
      </c>
      <c r="S4636">
        <v>1</v>
      </c>
    </row>
    <row r="4637" spans="1:19" ht="16.5" x14ac:dyDescent="0.3">
      <c r="A4637" t="s">
        <v>4700</v>
      </c>
      <c r="B4637" s="1">
        <v>45906</v>
      </c>
      <c r="C4637" s="1">
        <v>45918</v>
      </c>
      <c r="D4637">
        <v>2025</v>
      </c>
      <c r="E4637" t="s">
        <v>1445</v>
      </c>
      <c r="F4637" t="s">
        <v>1821</v>
      </c>
      <c r="G4637" t="s">
        <v>102</v>
      </c>
      <c r="H4637" t="s">
        <v>23</v>
      </c>
      <c r="I4637" t="s">
        <v>24</v>
      </c>
      <c r="J4637" t="s">
        <v>43</v>
      </c>
      <c r="K4637" t="s">
        <v>53</v>
      </c>
      <c r="L4637" t="s">
        <v>44</v>
      </c>
      <c r="M4637">
        <v>12</v>
      </c>
      <c r="N4637" s="2">
        <v>122</v>
      </c>
      <c r="O4637" s="3">
        <v>9569</v>
      </c>
      <c r="P4637">
        <v>0</v>
      </c>
      <c r="Q4637">
        <v>3</v>
      </c>
      <c r="R4637" t="s">
        <v>28</v>
      </c>
      <c r="S4637">
        <v>1</v>
      </c>
    </row>
    <row r="4638" spans="1:19" ht="16.5" x14ac:dyDescent="0.3">
      <c r="A4638" t="s">
        <v>4701</v>
      </c>
      <c r="B4638" s="1">
        <v>45907</v>
      </c>
      <c r="C4638" s="1">
        <v>45914</v>
      </c>
      <c r="D4638">
        <v>2025</v>
      </c>
      <c r="E4638" t="s">
        <v>1445</v>
      </c>
      <c r="F4638" t="s">
        <v>1821</v>
      </c>
      <c r="G4638" t="s">
        <v>112</v>
      </c>
      <c r="H4638" t="s">
        <v>50</v>
      </c>
      <c r="I4638" t="s">
        <v>24</v>
      </c>
      <c r="J4638" t="s">
        <v>43</v>
      </c>
      <c r="K4638" t="s">
        <v>53</v>
      </c>
      <c r="L4638" t="s">
        <v>27</v>
      </c>
      <c r="M4638">
        <v>7</v>
      </c>
      <c r="N4638" s="2">
        <v>32</v>
      </c>
      <c r="O4638" s="3">
        <v>10797</v>
      </c>
      <c r="P4638">
        <v>1</v>
      </c>
      <c r="Q4638">
        <v>4</v>
      </c>
      <c r="R4638" t="s">
        <v>28</v>
      </c>
      <c r="S4638">
        <v>1</v>
      </c>
    </row>
    <row r="4639" spans="1:19" ht="16.5" x14ac:dyDescent="0.3">
      <c r="A4639" t="s">
        <v>4702</v>
      </c>
      <c r="B4639" s="1">
        <v>45907</v>
      </c>
      <c r="C4639" s="1">
        <v>45909</v>
      </c>
      <c r="D4639">
        <v>2025</v>
      </c>
      <c r="E4639" t="s">
        <v>1445</v>
      </c>
      <c r="F4639" t="s">
        <v>1821</v>
      </c>
      <c r="G4639" t="s">
        <v>112</v>
      </c>
      <c r="H4639" t="s">
        <v>35</v>
      </c>
      <c r="I4639" t="s">
        <v>40</v>
      </c>
      <c r="J4639" t="s">
        <v>25</v>
      </c>
      <c r="K4639" t="s">
        <v>32</v>
      </c>
      <c r="L4639" t="s">
        <v>44</v>
      </c>
      <c r="M4639">
        <v>2</v>
      </c>
      <c r="N4639" s="2"/>
      <c r="O4639" s="3">
        <v>1354</v>
      </c>
      <c r="P4639">
        <v>0</v>
      </c>
      <c r="Q4639">
        <v>5</v>
      </c>
      <c r="R4639" t="s">
        <v>33</v>
      </c>
      <c r="S4639">
        <v>1</v>
      </c>
    </row>
    <row r="4640" spans="1:19" ht="16.5" x14ac:dyDescent="0.3">
      <c r="A4640" t="s">
        <v>4703</v>
      </c>
      <c r="B4640" s="1">
        <v>45907</v>
      </c>
      <c r="C4640" s="1">
        <v>45909</v>
      </c>
      <c r="D4640">
        <v>2025</v>
      </c>
      <c r="E4640" t="s">
        <v>1445</v>
      </c>
      <c r="F4640" t="s">
        <v>1821</v>
      </c>
      <c r="G4640" t="s">
        <v>112</v>
      </c>
      <c r="H4640" t="s">
        <v>35</v>
      </c>
      <c r="I4640" t="s">
        <v>31</v>
      </c>
      <c r="J4640" t="s">
        <v>25</v>
      </c>
      <c r="K4640" t="s">
        <v>32</v>
      </c>
      <c r="L4640" t="s">
        <v>27</v>
      </c>
      <c r="M4640">
        <v>2</v>
      </c>
      <c r="N4640" s="2"/>
      <c r="O4640" s="3">
        <v>2467</v>
      </c>
      <c r="P4640">
        <v>0</v>
      </c>
      <c r="Q4640">
        <v>5</v>
      </c>
      <c r="R4640" t="s">
        <v>33</v>
      </c>
      <c r="S4640">
        <v>1</v>
      </c>
    </row>
    <row r="4641" spans="1:19" ht="16.5" x14ac:dyDescent="0.3">
      <c r="A4641" t="s">
        <v>4704</v>
      </c>
      <c r="B4641" s="1">
        <v>45907</v>
      </c>
      <c r="C4641" s="1">
        <v>45908</v>
      </c>
      <c r="D4641">
        <v>2025</v>
      </c>
      <c r="E4641" t="s">
        <v>1445</v>
      </c>
      <c r="F4641" t="s">
        <v>1821</v>
      </c>
      <c r="G4641" t="s">
        <v>112</v>
      </c>
      <c r="H4641" t="s">
        <v>30</v>
      </c>
      <c r="I4641" t="s">
        <v>24</v>
      </c>
      <c r="J4641" t="s">
        <v>43</v>
      </c>
      <c r="K4641" t="s">
        <v>32</v>
      </c>
      <c r="L4641" t="s">
        <v>44</v>
      </c>
      <c r="M4641">
        <v>1</v>
      </c>
      <c r="N4641" s="2">
        <v>20</v>
      </c>
      <c r="O4641" s="3">
        <v>1605</v>
      </c>
      <c r="P4641">
        <v>0</v>
      </c>
      <c r="Q4641">
        <v>4</v>
      </c>
      <c r="R4641" t="s">
        <v>28</v>
      </c>
      <c r="S4641">
        <v>1</v>
      </c>
    </row>
    <row r="4642" spans="1:19" ht="16.5" x14ac:dyDescent="0.3">
      <c r="A4642" t="s">
        <v>4705</v>
      </c>
      <c r="B4642" s="1">
        <v>45907</v>
      </c>
      <c r="C4642" s="1">
        <v>45909</v>
      </c>
      <c r="D4642">
        <v>2025</v>
      </c>
      <c r="E4642" t="s">
        <v>1445</v>
      </c>
      <c r="F4642" t="s">
        <v>1821</v>
      </c>
      <c r="G4642" t="s">
        <v>112</v>
      </c>
      <c r="H4642" t="s">
        <v>39</v>
      </c>
      <c r="I4642" t="s">
        <v>40</v>
      </c>
      <c r="J4642" t="s">
        <v>43</v>
      </c>
      <c r="K4642" t="s">
        <v>41</v>
      </c>
      <c r="L4642" t="s">
        <v>44</v>
      </c>
      <c r="M4642">
        <v>2</v>
      </c>
      <c r="N4642" s="2"/>
      <c r="O4642" s="3">
        <v>1702</v>
      </c>
      <c r="P4642">
        <v>0</v>
      </c>
      <c r="Q4642">
        <v>5</v>
      </c>
      <c r="R4642" t="s">
        <v>33</v>
      </c>
      <c r="S4642">
        <v>1</v>
      </c>
    </row>
    <row r="4643" spans="1:19" ht="16.5" x14ac:dyDescent="0.3">
      <c r="A4643" t="s">
        <v>4706</v>
      </c>
      <c r="B4643" s="1">
        <v>45908</v>
      </c>
      <c r="C4643" s="1">
        <v>45912</v>
      </c>
      <c r="D4643">
        <v>2025</v>
      </c>
      <c r="E4643" t="s">
        <v>1445</v>
      </c>
      <c r="F4643" t="s">
        <v>1821</v>
      </c>
      <c r="G4643" t="s">
        <v>22</v>
      </c>
      <c r="H4643" t="s">
        <v>50</v>
      </c>
      <c r="I4643" t="s">
        <v>40</v>
      </c>
      <c r="J4643" t="s">
        <v>25</v>
      </c>
      <c r="K4643" t="s">
        <v>26</v>
      </c>
      <c r="L4643" t="s">
        <v>44</v>
      </c>
      <c r="M4643">
        <v>4</v>
      </c>
      <c r="N4643" s="2"/>
      <c r="O4643" s="3">
        <v>6100</v>
      </c>
      <c r="P4643">
        <v>1</v>
      </c>
      <c r="Q4643">
        <v>3</v>
      </c>
      <c r="R4643" t="s">
        <v>28</v>
      </c>
      <c r="S4643">
        <v>1</v>
      </c>
    </row>
    <row r="4644" spans="1:19" ht="16.5" x14ac:dyDescent="0.3">
      <c r="A4644" t="s">
        <v>4707</v>
      </c>
      <c r="B4644" s="1">
        <v>45908</v>
      </c>
      <c r="C4644" s="1">
        <v>45912</v>
      </c>
      <c r="D4644">
        <v>2025</v>
      </c>
      <c r="E4644" t="s">
        <v>1445</v>
      </c>
      <c r="F4644" t="s">
        <v>1821</v>
      </c>
      <c r="G4644" t="s">
        <v>22</v>
      </c>
      <c r="H4644" t="s">
        <v>39</v>
      </c>
      <c r="I4644" t="s">
        <v>24</v>
      </c>
      <c r="J4644" t="s">
        <v>43</v>
      </c>
      <c r="K4644" t="s">
        <v>41</v>
      </c>
      <c r="L4644" t="s">
        <v>27</v>
      </c>
      <c r="M4644">
        <v>4</v>
      </c>
      <c r="N4644" s="2">
        <v>25</v>
      </c>
      <c r="O4644" s="3">
        <v>2628</v>
      </c>
      <c r="P4644">
        <v>0</v>
      </c>
      <c r="Q4644">
        <v>4</v>
      </c>
      <c r="R4644" t="s">
        <v>28</v>
      </c>
      <c r="S4644">
        <v>1</v>
      </c>
    </row>
    <row r="4645" spans="1:19" ht="16.5" x14ac:dyDescent="0.3">
      <c r="A4645" t="s">
        <v>4708</v>
      </c>
      <c r="B4645" s="1">
        <v>45908</v>
      </c>
      <c r="C4645" s="1">
        <v>45915</v>
      </c>
      <c r="D4645">
        <v>2025</v>
      </c>
      <c r="E4645" t="s">
        <v>1445</v>
      </c>
      <c r="F4645" t="s">
        <v>1821</v>
      </c>
      <c r="G4645" t="s">
        <v>22</v>
      </c>
      <c r="H4645" t="s">
        <v>23</v>
      </c>
      <c r="I4645" t="s">
        <v>24</v>
      </c>
      <c r="J4645" t="s">
        <v>43</v>
      </c>
      <c r="K4645" t="s">
        <v>36</v>
      </c>
      <c r="L4645" t="s">
        <v>44</v>
      </c>
      <c r="M4645">
        <v>7</v>
      </c>
      <c r="N4645" s="2">
        <v>113</v>
      </c>
      <c r="O4645" s="3">
        <v>4336</v>
      </c>
      <c r="P4645">
        <v>0</v>
      </c>
      <c r="Q4645">
        <v>4</v>
      </c>
      <c r="R4645" t="s">
        <v>33</v>
      </c>
      <c r="S4645">
        <v>1</v>
      </c>
    </row>
    <row r="4646" spans="1:19" ht="16.5" x14ac:dyDescent="0.3">
      <c r="A4646" t="s">
        <v>4709</v>
      </c>
      <c r="B4646" s="1">
        <v>45908</v>
      </c>
      <c r="C4646" s="1">
        <v>45912</v>
      </c>
      <c r="D4646">
        <v>2025</v>
      </c>
      <c r="E4646" t="s">
        <v>1445</v>
      </c>
      <c r="F4646" t="s">
        <v>1821</v>
      </c>
      <c r="G4646" t="s">
        <v>22</v>
      </c>
      <c r="H4646" t="s">
        <v>39</v>
      </c>
      <c r="I4646" t="s">
        <v>24</v>
      </c>
      <c r="J4646" t="s">
        <v>25</v>
      </c>
      <c r="K4646" t="s">
        <v>41</v>
      </c>
      <c r="L4646" t="s">
        <v>44</v>
      </c>
      <c r="M4646">
        <v>4</v>
      </c>
      <c r="N4646" s="2">
        <v>50</v>
      </c>
      <c r="O4646" s="3">
        <v>2686</v>
      </c>
      <c r="P4646">
        <v>0</v>
      </c>
      <c r="Q4646">
        <v>3</v>
      </c>
      <c r="R4646" t="s">
        <v>165</v>
      </c>
      <c r="S4646">
        <v>1</v>
      </c>
    </row>
    <row r="4647" spans="1:19" ht="16.5" x14ac:dyDescent="0.3">
      <c r="A4647" t="s">
        <v>4710</v>
      </c>
      <c r="B4647" s="1">
        <v>45908</v>
      </c>
      <c r="C4647" s="1">
        <v>45912</v>
      </c>
      <c r="D4647">
        <v>2025</v>
      </c>
      <c r="E4647" t="s">
        <v>1445</v>
      </c>
      <c r="F4647" t="s">
        <v>1821</v>
      </c>
      <c r="G4647" t="s">
        <v>22</v>
      </c>
      <c r="H4647" t="s">
        <v>39</v>
      </c>
      <c r="I4647" t="s">
        <v>24</v>
      </c>
      <c r="J4647" t="s">
        <v>43</v>
      </c>
      <c r="K4647" t="s">
        <v>41</v>
      </c>
      <c r="L4647" t="s">
        <v>27</v>
      </c>
      <c r="M4647">
        <v>4</v>
      </c>
      <c r="N4647" s="2">
        <v>72</v>
      </c>
      <c r="O4647" s="3">
        <v>3525</v>
      </c>
      <c r="P4647">
        <v>0</v>
      </c>
      <c r="Q4647">
        <v>3</v>
      </c>
      <c r="R4647" t="s">
        <v>28</v>
      </c>
      <c r="S4647">
        <v>1</v>
      </c>
    </row>
    <row r="4648" spans="1:19" ht="16.5" x14ac:dyDescent="0.3">
      <c r="A4648" t="s">
        <v>4711</v>
      </c>
      <c r="B4648" s="1">
        <v>45908</v>
      </c>
      <c r="C4648" s="1">
        <v>45912</v>
      </c>
      <c r="D4648">
        <v>2025</v>
      </c>
      <c r="E4648" t="s">
        <v>1445</v>
      </c>
      <c r="F4648" t="s">
        <v>1821</v>
      </c>
      <c r="G4648" t="s">
        <v>22</v>
      </c>
      <c r="H4648" t="s">
        <v>50</v>
      </c>
      <c r="I4648" t="s">
        <v>31</v>
      </c>
      <c r="J4648" t="s">
        <v>43</v>
      </c>
      <c r="K4648" t="s">
        <v>53</v>
      </c>
      <c r="L4648" t="s">
        <v>44</v>
      </c>
      <c r="M4648">
        <v>4</v>
      </c>
      <c r="N4648" s="2"/>
      <c r="O4648" s="3">
        <v>6396</v>
      </c>
      <c r="P4648">
        <v>0</v>
      </c>
      <c r="Q4648">
        <v>3</v>
      </c>
      <c r="R4648" t="s">
        <v>165</v>
      </c>
      <c r="S4648">
        <v>1</v>
      </c>
    </row>
    <row r="4649" spans="1:19" ht="16.5" x14ac:dyDescent="0.3">
      <c r="A4649" t="s">
        <v>4712</v>
      </c>
      <c r="B4649" s="1">
        <v>45908</v>
      </c>
      <c r="C4649" s="1">
        <v>45910</v>
      </c>
      <c r="D4649">
        <v>2025</v>
      </c>
      <c r="E4649" t="s">
        <v>1445</v>
      </c>
      <c r="F4649" t="s">
        <v>1821</v>
      </c>
      <c r="G4649" t="s">
        <v>22</v>
      </c>
      <c r="H4649" t="s">
        <v>23</v>
      </c>
      <c r="I4649" t="s">
        <v>24</v>
      </c>
      <c r="J4649" t="s">
        <v>25</v>
      </c>
      <c r="K4649" t="s">
        <v>36</v>
      </c>
      <c r="L4649" t="s">
        <v>27</v>
      </c>
      <c r="M4649">
        <v>2</v>
      </c>
      <c r="N4649" s="2">
        <v>77</v>
      </c>
      <c r="O4649" s="3">
        <v>1797</v>
      </c>
      <c r="P4649">
        <v>0</v>
      </c>
      <c r="Q4649">
        <v>5</v>
      </c>
      <c r="R4649" t="s">
        <v>33</v>
      </c>
      <c r="S4649">
        <v>1</v>
      </c>
    </row>
    <row r="4650" spans="1:19" ht="16.5" x14ac:dyDescent="0.3">
      <c r="A4650" t="s">
        <v>4713</v>
      </c>
      <c r="B4650" s="1">
        <v>45908</v>
      </c>
      <c r="C4650" s="1">
        <v>45910</v>
      </c>
      <c r="D4650">
        <v>2025</v>
      </c>
      <c r="E4650" t="s">
        <v>1445</v>
      </c>
      <c r="F4650" t="s">
        <v>1821</v>
      </c>
      <c r="G4650" t="s">
        <v>22</v>
      </c>
      <c r="H4650" t="s">
        <v>39</v>
      </c>
      <c r="I4650" t="s">
        <v>40</v>
      </c>
      <c r="J4650" t="s">
        <v>43</v>
      </c>
      <c r="K4650" t="s">
        <v>41</v>
      </c>
      <c r="L4650" t="s">
        <v>44</v>
      </c>
      <c r="M4650">
        <v>2</v>
      </c>
      <c r="N4650" s="2"/>
      <c r="O4650" s="3">
        <v>2134</v>
      </c>
      <c r="P4650">
        <v>1</v>
      </c>
      <c r="Q4650">
        <v>4</v>
      </c>
      <c r="R4650" t="s">
        <v>33</v>
      </c>
      <c r="S4650">
        <v>1</v>
      </c>
    </row>
    <row r="4651" spans="1:19" ht="16.5" x14ac:dyDescent="0.3">
      <c r="A4651" t="s">
        <v>4714</v>
      </c>
      <c r="B4651" s="1">
        <v>45908</v>
      </c>
      <c r="C4651" s="1">
        <v>45913</v>
      </c>
      <c r="D4651">
        <v>2025</v>
      </c>
      <c r="E4651" t="s">
        <v>1445</v>
      </c>
      <c r="F4651" t="s">
        <v>1821</v>
      </c>
      <c r="G4651" t="s">
        <v>22</v>
      </c>
      <c r="H4651" t="s">
        <v>23</v>
      </c>
      <c r="I4651" t="s">
        <v>40</v>
      </c>
      <c r="J4651" t="s">
        <v>43</v>
      </c>
      <c r="K4651" t="s">
        <v>32</v>
      </c>
      <c r="L4651" t="s">
        <v>27</v>
      </c>
      <c r="M4651">
        <v>5</v>
      </c>
      <c r="N4651" s="2"/>
      <c r="O4651" s="3">
        <v>3287</v>
      </c>
      <c r="P4651">
        <v>0</v>
      </c>
      <c r="Q4651">
        <v>5</v>
      </c>
      <c r="R4651" t="s">
        <v>33</v>
      </c>
      <c r="S4651">
        <v>1</v>
      </c>
    </row>
    <row r="4652" spans="1:19" ht="16.5" x14ac:dyDescent="0.3">
      <c r="A4652" t="s">
        <v>4715</v>
      </c>
      <c r="B4652" s="1">
        <v>45908</v>
      </c>
      <c r="C4652" s="1">
        <v>45912</v>
      </c>
      <c r="D4652">
        <v>2025</v>
      </c>
      <c r="E4652" t="s">
        <v>1445</v>
      </c>
      <c r="F4652" t="s">
        <v>1821</v>
      </c>
      <c r="G4652" t="s">
        <v>22</v>
      </c>
      <c r="H4652" t="s">
        <v>52</v>
      </c>
      <c r="I4652" t="s">
        <v>24</v>
      </c>
      <c r="J4652" t="s">
        <v>43</v>
      </c>
      <c r="K4652" t="s">
        <v>32</v>
      </c>
      <c r="L4652" t="s">
        <v>27</v>
      </c>
      <c r="M4652">
        <v>4</v>
      </c>
      <c r="N4652" s="2">
        <v>24</v>
      </c>
      <c r="O4652" s="3">
        <v>3723</v>
      </c>
      <c r="P4652">
        <v>0</v>
      </c>
      <c r="Q4652">
        <v>4</v>
      </c>
      <c r="R4652" t="s">
        <v>33</v>
      </c>
      <c r="S4652">
        <v>1</v>
      </c>
    </row>
    <row r="4653" spans="1:19" ht="16.5" x14ac:dyDescent="0.3">
      <c r="A4653" t="s">
        <v>4716</v>
      </c>
      <c r="B4653" s="1">
        <v>45908</v>
      </c>
      <c r="C4653" s="1">
        <v>45926</v>
      </c>
      <c r="D4653">
        <v>2025</v>
      </c>
      <c r="E4653" t="s">
        <v>1445</v>
      </c>
      <c r="F4653" t="s">
        <v>1821</v>
      </c>
      <c r="G4653" t="s">
        <v>22</v>
      </c>
      <c r="H4653" t="s">
        <v>30</v>
      </c>
      <c r="I4653" t="s">
        <v>40</v>
      </c>
      <c r="J4653" t="s">
        <v>43</v>
      </c>
      <c r="K4653" t="s">
        <v>36</v>
      </c>
      <c r="L4653" t="s">
        <v>44</v>
      </c>
      <c r="M4653">
        <v>18</v>
      </c>
      <c r="N4653" s="2"/>
      <c r="O4653" s="3">
        <v>20567</v>
      </c>
      <c r="P4653">
        <v>0</v>
      </c>
      <c r="Q4653">
        <v>3</v>
      </c>
      <c r="R4653" t="s">
        <v>33</v>
      </c>
      <c r="S4653">
        <v>1</v>
      </c>
    </row>
    <row r="4654" spans="1:19" ht="16.5" x14ac:dyDescent="0.3">
      <c r="A4654" t="s">
        <v>4717</v>
      </c>
      <c r="B4654" s="1">
        <v>45908</v>
      </c>
      <c r="C4654" s="1">
        <v>45909</v>
      </c>
      <c r="D4654">
        <v>2025</v>
      </c>
      <c r="E4654" t="s">
        <v>1445</v>
      </c>
      <c r="F4654" t="s">
        <v>1821</v>
      </c>
      <c r="G4654" t="s">
        <v>22</v>
      </c>
      <c r="H4654" t="s">
        <v>52</v>
      </c>
      <c r="I4654" t="s">
        <v>40</v>
      </c>
      <c r="J4654" t="s">
        <v>25</v>
      </c>
      <c r="K4654" t="s">
        <v>53</v>
      </c>
      <c r="L4654" t="s">
        <v>27</v>
      </c>
      <c r="M4654">
        <v>1</v>
      </c>
      <c r="N4654" s="2"/>
      <c r="O4654" s="3">
        <v>1895</v>
      </c>
      <c r="P4654">
        <v>0</v>
      </c>
      <c r="Q4654">
        <v>4</v>
      </c>
      <c r="R4654" t="s">
        <v>33</v>
      </c>
      <c r="S4654">
        <v>1</v>
      </c>
    </row>
    <row r="4655" spans="1:19" ht="16.5" x14ac:dyDescent="0.3">
      <c r="A4655" t="s">
        <v>4718</v>
      </c>
      <c r="B4655" s="1">
        <v>45908</v>
      </c>
      <c r="C4655" s="1">
        <v>45914</v>
      </c>
      <c r="D4655">
        <v>2025</v>
      </c>
      <c r="E4655" t="s">
        <v>1445</v>
      </c>
      <c r="F4655" t="s">
        <v>1821</v>
      </c>
      <c r="G4655" t="s">
        <v>22</v>
      </c>
      <c r="H4655" t="s">
        <v>50</v>
      </c>
      <c r="I4655" t="s">
        <v>31</v>
      </c>
      <c r="J4655" t="s">
        <v>43</v>
      </c>
      <c r="K4655" t="s">
        <v>26</v>
      </c>
      <c r="L4655" t="s">
        <v>27</v>
      </c>
      <c r="M4655">
        <v>6</v>
      </c>
      <c r="N4655" s="2"/>
      <c r="O4655" s="3">
        <v>7970</v>
      </c>
      <c r="P4655">
        <v>0</v>
      </c>
      <c r="Q4655">
        <v>4</v>
      </c>
      <c r="R4655" t="s">
        <v>28</v>
      </c>
      <c r="S4655">
        <v>1</v>
      </c>
    </row>
    <row r="4656" spans="1:19" ht="16.5" x14ac:dyDescent="0.3">
      <c r="A4656" t="s">
        <v>4719</v>
      </c>
      <c r="B4656" s="1">
        <v>45908</v>
      </c>
      <c r="C4656" s="1">
        <v>45913</v>
      </c>
      <c r="D4656">
        <v>2025</v>
      </c>
      <c r="E4656" t="s">
        <v>1445</v>
      </c>
      <c r="F4656" t="s">
        <v>1821</v>
      </c>
      <c r="G4656" t="s">
        <v>22</v>
      </c>
      <c r="H4656" t="s">
        <v>23</v>
      </c>
      <c r="I4656" t="s">
        <v>24</v>
      </c>
      <c r="J4656" t="s">
        <v>25</v>
      </c>
      <c r="K4656" t="s">
        <v>53</v>
      </c>
      <c r="L4656" t="s">
        <v>27</v>
      </c>
      <c r="M4656">
        <v>5</v>
      </c>
      <c r="N4656" s="2">
        <v>33</v>
      </c>
      <c r="O4656" s="3">
        <v>4491</v>
      </c>
      <c r="P4656">
        <v>1</v>
      </c>
      <c r="Q4656">
        <v>4</v>
      </c>
      <c r="R4656" t="s">
        <v>59</v>
      </c>
      <c r="S4656">
        <v>1</v>
      </c>
    </row>
    <row r="4657" spans="1:19" ht="16.5" x14ac:dyDescent="0.3">
      <c r="A4657" t="s">
        <v>4720</v>
      </c>
      <c r="B4657" s="1">
        <v>45908</v>
      </c>
      <c r="C4657" s="1">
        <v>45910</v>
      </c>
      <c r="D4657">
        <v>2025</v>
      </c>
      <c r="E4657" t="s">
        <v>1445</v>
      </c>
      <c r="F4657" t="s">
        <v>1821</v>
      </c>
      <c r="G4657" t="s">
        <v>22</v>
      </c>
      <c r="H4657" t="s">
        <v>35</v>
      </c>
      <c r="I4657" t="s">
        <v>24</v>
      </c>
      <c r="J4657" t="s">
        <v>25</v>
      </c>
      <c r="K4657" t="s">
        <v>36</v>
      </c>
      <c r="L4657" t="s">
        <v>44</v>
      </c>
      <c r="M4657">
        <v>2</v>
      </c>
      <c r="N4657" s="2">
        <v>61</v>
      </c>
      <c r="O4657" s="3">
        <v>2306</v>
      </c>
      <c r="P4657">
        <v>0</v>
      </c>
      <c r="Q4657">
        <v>5</v>
      </c>
      <c r="R4657" t="s">
        <v>28</v>
      </c>
      <c r="S4657">
        <v>1</v>
      </c>
    </row>
    <row r="4658" spans="1:19" ht="16.5" x14ac:dyDescent="0.3">
      <c r="A4658" t="s">
        <v>4721</v>
      </c>
      <c r="B4658" s="1">
        <v>45908</v>
      </c>
      <c r="C4658" s="1">
        <v>45916</v>
      </c>
      <c r="D4658">
        <v>2025</v>
      </c>
      <c r="E4658" t="s">
        <v>1445</v>
      </c>
      <c r="F4658" t="s">
        <v>1821</v>
      </c>
      <c r="G4658" t="s">
        <v>22</v>
      </c>
      <c r="H4658" t="s">
        <v>50</v>
      </c>
      <c r="I4658" t="s">
        <v>24</v>
      </c>
      <c r="J4658" t="s">
        <v>25</v>
      </c>
      <c r="K4658" t="s">
        <v>32</v>
      </c>
      <c r="L4658" t="s">
        <v>44</v>
      </c>
      <c r="M4658">
        <v>8</v>
      </c>
      <c r="N4658" s="2">
        <v>29</v>
      </c>
      <c r="O4658" s="3">
        <v>9677</v>
      </c>
      <c r="P4658">
        <v>0</v>
      </c>
      <c r="Q4658">
        <v>5</v>
      </c>
      <c r="R4658" t="s">
        <v>28</v>
      </c>
      <c r="S4658">
        <v>1</v>
      </c>
    </row>
    <row r="4659" spans="1:19" ht="16.5" x14ac:dyDescent="0.3">
      <c r="A4659" t="s">
        <v>4722</v>
      </c>
      <c r="B4659" s="1">
        <v>45909</v>
      </c>
      <c r="C4659" s="1">
        <v>45912</v>
      </c>
      <c r="D4659">
        <v>2025</v>
      </c>
      <c r="E4659" t="s">
        <v>1445</v>
      </c>
      <c r="F4659" t="s">
        <v>1821</v>
      </c>
      <c r="G4659" t="s">
        <v>56</v>
      </c>
      <c r="H4659" t="s">
        <v>50</v>
      </c>
      <c r="I4659" t="s">
        <v>24</v>
      </c>
      <c r="J4659" t="s">
        <v>25</v>
      </c>
      <c r="K4659" t="s">
        <v>26</v>
      </c>
      <c r="L4659" t="s">
        <v>27</v>
      </c>
      <c r="M4659">
        <v>3</v>
      </c>
      <c r="N4659" s="2">
        <v>43</v>
      </c>
      <c r="O4659" s="3">
        <v>3649</v>
      </c>
      <c r="P4659">
        <v>0</v>
      </c>
      <c r="Q4659">
        <v>5</v>
      </c>
      <c r="R4659" t="s">
        <v>28</v>
      </c>
      <c r="S4659">
        <v>1</v>
      </c>
    </row>
    <row r="4660" spans="1:19" ht="16.5" x14ac:dyDescent="0.3">
      <c r="A4660" t="s">
        <v>4723</v>
      </c>
      <c r="B4660" s="1">
        <v>45909</v>
      </c>
      <c r="C4660" s="1">
        <v>45913</v>
      </c>
      <c r="D4660">
        <v>2025</v>
      </c>
      <c r="E4660" t="s">
        <v>1445</v>
      </c>
      <c r="F4660" t="s">
        <v>1821</v>
      </c>
      <c r="G4660" t="s">
        <v>56</v>
      </c>
      <c r="H4660" t="s">
        <v>35</v>
      </c>
      <c r="I4660" t="s">
        <v>31</v>
      </c>
      <c r="J4660" t="s">
        <v>25</v>
      </c>
      <c r="K4660" t="s">
        <v>36</v>
      </c>
      <c r="L4660" t="s">
        <v>27</v>
      </c>
      <c r="M4660">
        <v>4</v>
      </c>
      <c r="N4660" s="2"/>
      <c r="O4660" s="3">
        <v>4005</v>
      </c>
      <c r="P4660">
        <v>0</v>
      </c>
      <c r="Q4660">
        <v>5</v>
      </c>
      <c r="R4660" t="s">
        <v>33</v>
      </c>
      <c r="S4660">
        <v>1</v>
      </c>
    </row>
    <row r="4661" spans="1:19" ht="16.5" x14ac:dyDescent="0.3">
      <c r="A4661" t="s">
        <v>4724</v>
      </c>
      <c r="B4661" s="1">
        <v>45909</v>
      </c>
      <c r="C4661" s="1">
        <v>45912</v>
      </c>
      <c r="D4661">
        <v>2025</v>
      </c>
      <c r="E4661" t="s">
        <v>1445</v>
      </c>
      <c r="F4661" t="s">
        <v>1821</v>
      </c>
      <c r="G4661" t="s">
        <v>56</v>
      </c>
      <c r="H4661" t="s">
        <v>52</v>
      </c>
      <c r="I4661" t="s">
        <v>40</v>
      </c>
      <c r="J4661" t="s">
        <v>25</v>
      </c>
      <c r="K4661" t="s">
        <v>53</v>
      </c>
      <c r="L4661" t="s">
        <v>27</v>
      </c>
      <c r="M4661">
        <v>3</v>
      </c>
      <c r="N4661" s="2"/>
      <c r="O4661" s="3">
        <v>2798</v>
      </c>
      <c r="P4661">
        <v>0</v>
      </c>
      <c r="Q4661">
        <v>5</v>
      </c>
      <c r="R4661" t="s">
        <v>33</v>
      </c>
      <c r="S4661">
        <v>1</v>
      </c>
    </row>
    <row r="4662" spans="1:19" ht="16.5" x14ac:dyDescent="0.3">
      <c r="A4662" t="s">
        <v>4725</v>
      </c>
      <c r="B4662" s="1">
        <v>45909</v>
      </c>
      <c r="C4662" s="1">
        <v>45914</v>
      </c>
      <c r="D4662">
        <v>2025</v>
      </c>
      <c r="E4662" t="s">
        <v>1445</v>
      </c>
      <c r="F4662" t="s">
        <v>1821</v>
      </c>
      <c r="G4662" t="s">
        <v>56</v>
      </c>
      <c r="H4662" t="s">
        <v>39</v>
      </c>
      <c r="I4662" t="s">
        <v>40</v>
      </c>
      <c r="J4662" t="s">
        <v>25</v>
      </c>
      <c r="K4662" t="s">
        <v>41</v>
      </c>
      <c r="L4662" t="s">
        <v>44</v>
      </c>
      <c r="M4662">
        <v>5</v>
      </c>
      <c r="N4662" s="2"/>
      <c r="O4662" s="3">
        <v>4033</v>
      </c>
      <c r="P4662">
        <v>0</v>
      </c>
      <c r="Q4662">
        <v>4</v>
      </c>
      <c r="R4662" t="s">
        <v>28</v>
      </c>
      <c r="S4662">
        <v>1</v>
      </c>
    </row>
    <row r="4663" spans="1:19" ht="16.5" x14ac:dyDescent="0.3">
      <c r="A4663" t="s">
        <v>4726</v>
      </c>
      <c r="B4663" s="1">
        <v>45909</v>
      </c>
      <c r="C4663" s="1">
        <v>45910</v>
      </c>
      <c r="D4663">
        <v>2025</v>
      </c>
      <c r="E4663" t="s">
        <v>1445</v>
      </c>
      <c r="F4663" t="s">
        <v>1821</v>
      </c>
      <c r="G4663" t="s">
        <v>56</v>
      </c>
      <c r="H4663" t="s">
        <v>52</v>
      </c>
      <c r="I4663" t="s">
        <v>40</v>
      </c>
      <c r="J4663" t="s">
        <v>25</v>
      </c>
      <c r="K4663" t="s">
        <v>53</v>
      </c>
      <c r="L4663" t="s">
        <v>37</v>
      </c>
      <c r="M4663">
        <v>1</v>
      </c>
      <c r="N4663" s="2"/>
      <c r="O4663" s="3">
        <v>1951</v>
      </c>
      <c r="P4663">
        <v>0</v>
      </c>
      <c r="Q4663">
        <v>5</v>
      </c>
      <c r="R4663" t="s">
        <v>33</v>
      </c>
      <c r="S4663">
        <v>1</v>
      </c>
    </row>
    <row r="4664" spans="1:19" ht="16.5" x14ac:dyDescent="0.3">
      <c r="A4664" t="s">
        <v>4727</v>
      </c>
      <c r="B4664" s="1">
        <v>45909</v>
      </c>
      <c r="C4664" s="1">
        <v>45921</v>
      </c>
      <c r="D4664">
        <v>2025</v>
      </c>
      <c r="E4664" t="s">
        <v>1445</v>
      </c>
      <c r="F4664" t="s">
        <v>1821</v>
      </c>
      <c r="G4664" t="s">
        <v>56</v>
      </c>
      <c r="H4664" t="s">
        <v>23</v>
      </c>
      <c r="I4664" t="s">
        <v>40</v>
      </c>
      <c r="J4664" t="s">
        <v>43</v>
      </c>
      <c r="K4664" t="s">
        <v>26</v>
      </c>
      <c r="L4664" t="s">
        <v>44</v>
      </c>
      <c r="M4664">
        <v>12</v>
      </c>
      <c r="N4664" s="2"/>
      <c r="O4664" s="3">
        <v>9139</v>
      </c>
      <c r="P4664">
        <v>0</v>
      </c>
      <c r="Q4664">
        <v>4</v>
      </c>
      <c r="R4664" t="s">
        <v>33</v>
      </c>
      <c r="S4664">
        <v>1</v>
      </c>
    </row>
    <row r="4665" spans="1:19" ht="16.5" x14ac:dyDescent="0.3">
      <c r="A4665" t="s">
        <v>4728</v>
      </c>
      <c r="B4665" s="1">
        <v>45909</v>
      </c>
      <c r="C4665" s="1">
        <v>45911</v>
      </c>
      <c r="D4665">
        <v>2025</v>
      </c>
      <c r="E4665" t="s">
        <v>1445</v>
      </c>
      <c r="F4665" t="s">
        <v>1821</v>
      </c>
      <c r="G4665" t="s">
        <v>56</v>
      </c>
      <c r="H4665" t="s">
        <v>35</v>
      </c>
      <c r="I4665" t="s">
        <v>40</v>
      </c>
      <c r="J4665" t="s">
        <v>25</v>
      </c>
      <c r="K4665" t="s">
        <v>32</v>
      </c>
      <c r="L4665" t="s">
        <v>27</v>
      </c>
      <c r="M4665">
        <v>2</v>
      </c>
      <c r="N4665" s="2"/>
      <c r="O4665" s="3">
        <v>1908</v>
      </c>
      <c r="P4665">
        <v>0</v>
      </c>
      <c r="Q4665">
        <v>4</v>
      </c>
      <c r="R4665" t="s">
        <v>28</v>
      </c>
      <c r="S4665">
        <v>1</v>
      </c>
    </row>
    <row r="4666" spans="1:19" ht="16.5" x14ac:dyDescent="0.3">
      <c r="A4666" t="s">
        <v>4729</v>
      </c>
      <c r="B4666" s="1">
        <v>45910</v>
      </c>
      <c r="C4666" s="1">
        <v>45913</v>
      </c>
      <c r="D4666">
        <v>2025</v>
      </c>
      <c r="E4666" t="s">
        <v>1445</v>
      </c>
      <c r="F4666" t="s">
        <v>1821</v>
      </c>
      <c r="G4666" t="s">
        <v>70</v>
      </c>
      <c r="H4666" t="s">
        <v>23</v>
      </c>
      <c r="I4666" t="s">
        <v>40</v>
      </c>
      <c r="J4666" t="s">
        <v>25</v>
      </c>
      <c r="K4666" t="s">
        <v>32</v>
      </c>
      <c r="L4666" t="s">
        <v>27</v>
      </c>
      <c r="M4666">
        <v>3</v>
      </c>
      <c r="N4666" s="2"/>
      <c r="O4666" s="3">
        <v>2540</v>
      </c>
      <c r="P4666">
        <v>0</v>
      </c>
      <c r="Q4666">
        <v>4</v>
      </c>
      <c r="R4666" t="s">
        <v>33</v>
      </c>
      <c r="S4666">
        <v>1</v>
      </c>
    </row>
    <row r="4667" spans="1:19" ht="16.5" x14ac:dyDescent="0.3">
      <c r="A4667" t="s">
        <v>4730</v>
      </c>
      <c r="B4667" s="1">
        <v>45910</v>
      </c>
      <c r="C4667" s="1">
        <v>45911</v>
      </c>
      <c r="D4667">
        <v>2025</v>
      </c>
      <c r="E4667" t="s">
        <v>1445</v>
      </c>
      <c r="F4667" t="s">
        <v>1821</v>
      </c>
      <c r="G4667" t="s">
        <v>70</v>
      </c>
      <c r="H4667" t="s">
        <v>39</v>
      </c>
      <c r="I4667" t="s">
        <v>24</v>
      </c>
      <c r="J4667" t="s">
        <v>43</v>
      </c>
      <c r="K4667" t="s">
        <v>41</v>
      </c>
      <c r="L4667" t="s">
        <v>27</v>
      </c>
      <c r="M4667">
        <v>1</v>
      </c>
      <c r="N4667" s="2">
        <v>88</v>
      </c>
      <c r="O4667" s="3">
        <v>1786</v>
      </c>
      <c r="P4667">
        <v>0</v>
      </c>
      <c r="Q4667">
        <v>4</v>
      </c>
      <c r="R4667" t="s">
        <v>28</v>
      </c>
      <c r="S4667">
        <v>1</v>
      </c>
    </row>
    <row r="4668" spans="1:19" ht="16.5" x14ac:dyDescent="0.3">
      <c r="A4668" t="s">
        <v>4731</v>
      </c>
      <c r="B4668" s="1">
        <v>45910</v>
      </c>
      <c r="C4668" s="1">
        <v>45925</v>
      </c>
      <c r="D4668">
        <v>2025</v>
      </c>
      <c r="E4668" t="s">
        <v>1445</v>
      </c>
      <c r="F4668" t="s">
        <v>1821</v>
      </c>
      <c r="G4668" t="s">
        <v>70</v>
      </c>
      <c r="H4668" t="s">
        <v>23</v>
      </c>
      <c r="I4668" t="s">
        <v>24</v>
      </c>
      <c r="J4668" t="s">
        <v>43</v>
      </c>
      <c r="K4668" t="s">
        <v>26</v>
      </c>
      <c r="L4668" t="s">
        <v>27</v>
      </c>
      <c r="M4668">
        <v>15</v>
      </c>
      <c r="N4668" s="2">
        <v>59</v>
      </c>
      <c r="O4668" s="3">
        <v>9582</v>
      </c>
      <c r="P4668">
        <v>0</v>
      </c>
      <c r="Q4668">
        <v>4</v>
      </c>
      <c r="R4668" t="s">
        <v>33</v>
      </c>
      <c r="S4668">
        <v>1</v>
      </c>
    </row>
    <row r="4669" spans="1:19" ht="16.5" x14ac:dyDescent="0.3">
      <c r="A4669" t="s">
        <v>4732</v>
      </c>
      <c r="B4669" s="1">
        <v>45911</v>
      </c>
      <c r="C4669" s="1">
        <v>45913</v>
      </c>
      <c r="D4669">
        <v>2025</v>
      </c>
      <c r="E4669" t="s">
        <v>1445</v>
      </c>
      <c r="F4669" t="s">
        <v>1821</v>
      </c>
      <c r="G4669" t="s">
        <v>78</v>
      </c>
      <c r="H4669" t="s">
        <v>52</v>
      </c>
      <c r="I4669" t="s">
        <v>24</v>
      </c>
      <c r="J4669" t="s">
        <v>43</v>
      </c>
      <c r="K4669" t="s">
        <v>26</v>
      </c>
      <c r="L4669" t="s">
        <v>44</v>
      </c>
      <c r="M4669">
        <v>2</v>
      </c>
      <c r="N4669" s="2">
        <v>19</v>
      </c>
      <c r="O4669" s="3">
        <v>2438</v>
      </c>
      <c r="P4669">
        <v>0</v>
      </c>
      <c r="Q4669">
        <v>5</v>
      </c>
      <c r="R4669" t="s">
        <v>33</v>
      </c>
      <c r="S4669">
        <v>1</v>
      </c>
    </row>
    <row r="4670" spans="1:19" ht="16.5" x14ac:dyDescent="0.3">
      <c r="A4670" t="s">
        <v>4733</v>
      </c>
      <c r="B4670" s="1">
        <v>45911</v>
      </c>
      <c r="C4670" s="1">
        <v>45916</v>
      </c>
      <c r="D4670">
        <v>2025</v>
      </c>
      <c r="E4670" t="s">
        <v>1445</v>
      </c>
      <c r="F4670" t="s">
        <v>1821</v>
      </c>
      <c r="G4670" t="s">
        <v>78</v>
      </c>
      <c r="H4670" t="s">
        <v>52</v>
      </c>
      <c r="I4670" t="s">
        <v>40</v>
      </c>
      <c r="J4670" t="s">
        <v>43</v>
      </c>
      <c r="K4670" t="s">
        <v>36</v>
      </c>
      <c r="L4670" t="s">
        <v>44</v>
      </c>
      <c r="M4670">
        <v>5</v>
      </c>
      <c r="N4670" s="2"/>
      <c r="O4670" s="3">
        <v>5441</v>
      </c>
      <c r="P4670">
        <v>0</v>
      </c>
      <c r="Q4670">
        <v>4</v>
      </c>
      <c r="R4670" t="s">
        <v>28</v>
      </c>
      <c r="S4670">
        <v>1</v>
      </c>
    </row>
    <row r="4671" spans="1:19" ht="16.5" x14ac:dyDescent="0.3">
      <c r="A4671" t="s">
        <v>4734</v>
      </c>
      <c r="B4671" s="1">
        <v>45911</v>
      </c>
      <c r="C4671" s="1">
        <v>45914</v>
      </c>
      <c r="D4671">
        <v>2025</v>
      </c>
      <c r="E4671" t="s">
        <v>1445</v>
      </c>
      <c r="F4671" t="s">
        <v>1821</v>
      </c>
      <c r="G4671" t="s">
        <v>78</v>
      </c>
      <c r="H4671" t="s">
        <v>52</v>
      </c>
      <c r="I4671" t="s">
        <v>40</v>
      </c>
      <c r="J4671" t="s">
        <v>43</v>
      </c>
      <c r="K4671" t="s">
        <v>53</v>
      </c>
      <c r="L4671" t="s">
        <v>44</v>
      </c>
      <c r="M4671">
        <v>3</v>
      </c>
      <c r="N4671" s="2"/>
      <c r="O4671" s="3">
        <v>3954</v>
      </c>
      <c r="P4671">
        <v>0</v>
      </c>
      <c r="Q4671">
        <v>5</v>
      </c>
      <c r="R4671" t="s">
        <v>33</v>
      </c>
      <c r="S4671">
        <v>1</v>
      </c>
    </row>
    <row r="4672" spans="1:19" ht="16.5" x14ac:dyDescent="0.3">
      <c r="A4672" t="s">
        <v>4735</v>
      </c>
      <c r="B4672" s="1">
        <v>45911</v>
      </c>
      <c r="C4672" s="1">
        <v>45944</v>
      </c>
      <c r="D4672">
        <v>2025</v>
      </c>
      <c r="E4672" t="s">
        <v>1445</v>
      </c>
      <c r="F4672" t="s">
        <v>1821</v>
      </c>
      <c r="G4672" t="s">
        <v>78</v>
      </c>
      <c r="H4672" t="s">
        <v>50</v>
      </c>
      <c r="I4672" t="s">
        <v>24</v>
      </c>
      <c r="J4672" t="s">
        <v>43</v>
      </c>
      <c r="K4672" t="s">
        <v>26</v>
      </c>
      <c r="L4672" t="s">
        <v>44</v>
      </c>
      <c r="M4672">
        <v>33</v>
      </c>
      <c r="N4672" s="2">
        <v>17</v>
      </c>
      <c r="O4672" s="3">
        <v>48234</v>
      </c>
      <c r="P4672">
        <v>1</v>
      </c>
      <c r="Q4672">
        <v>5</v>
      </c>
      <c r="R4672" t="s">
        <v>33</v>
      </c>
      <c r="S4672">
        <v>1</v>
      </c>
    </row>
    <row r="4673" spans="1:19" ht="16.5" x14ac:dyDescent="0.3">
      <c r="A4673" t="s">
        <v>4736</v>
      </c>
      <c r="B4673" s="1">
        <v>45912</v>
      </c>
      <c r="C4673" s="1">
        <v>45914</v>
      </c>
      <c r="D4673">
        <v>2025</v>
      </c>
      <c r="E4673" t="s">
        <v>1445</v>
      </c>
      <c r="F4673" t="s">
        <v>1821</v>
      </c>
      <c r="G4673" t="s">
        <v>83</v>
      </c>
      <c r="H4673" t="s">
        <v>39</v>
      </c>
      <c r="I4673" t="s">
        <v>24</v>
      </c>
      <c r="J4673" t="s">
        <v>43</v>
      </c>
      <c r="K4673" t="s">
        <v>41</v>
      </c>
      <c r="L4673" t="s">
        <v>27</v>
      </c>
      <c r="M4673">
        <v>2</v>
      </c>
      <c r="N4673" s="2">
        <v>59</v>
      </c>
      <c r="O4673" s="3">
        <v>1844</v>
      </c>
      <c r="P4673">
        <v>0</v>
      </c>
      <c r="Q4673">
        <v>3</v>
      </c>
      <c r="R4673" t="s">
        <v>33</v>
      </c>
      <c r="S4673">
        <v>1</v>
      </c>
    </row>
    <row r="4674" spans="1:19" ht="16.5" x14ac:dyDescent="0.3">
      <c r="A4674" t="s">
        <v>4737</v>
      </c>
      <c r="B4674" s="1">
        <v>45912</v>
      </c>
      <c r="C4674" s="1">
        <v>45913</v>
      </c>
      <c r="D4674">
        <v>2025</v>
      </c>
      <c r="E4674" t="s">
        <v>1445</v>
      </c>
      <c r="F4674" t="s">
        <v>1821</v>
      </c>
      <c r="G4674" t="s">
        <v>83</v>
      </c>
      <c r="H4674" t="s">
        <v>23</v>
      </c>
      <c r="I4674" t="s">
        <v>40</v>
      </c>
      <c r="J4674" t="s">
        <v>25</v>
      </c>
      <c r="K4674" t="s">
        <v>32</v>
      </c>
      <c r="L4674" t="s">
        <v>44</v>
      </c>
      <c r="M4674">
        <v>1</v>
      </c>
      <c r="N4674" s="2"/>
      <c r="O4674" s="3">
        <v>1810</v>
      </c>
      <c r="P4674">
        <v>0</v>
      </c>
      <c r="Q4674">
        <v>4</v>
      </c>
      <c r="R4674" t="s">
        <v>28</v>
      </c>
      <c r="S4674">
        <v>1</v>
      </c>
    </row>
    <row r="4675" spans="1:19" ht="16.5" x14ac:dyDescent="0.3">
      <c r="A4675" t="s">
        <v>4738</v>
      </c>
      <c r="B4675" s="1">
        <v>45912</v>
      </c>
      <c r="C4675" s="1">
        <v>45931</v>
      </c>
      <c r="D4675">
        <v>2025</v>
      </c>
      <c r="E4675" t="s">
        <v>1445</v>
      </c>
      <c r="F4675" t="s">
        <v>1821</v>
      </c>
      <c r="G4675" t="s">
        <v>83</v>
      </c>
      <c r="H4675" t="s">
        <v>23</v>
      </c>
      <c r="I4675" t="s">
        <v>24</v>
      </c>
      <c r="J4675" t="s">
        <v>25</v>
      </c>
      <c r="K4675" t="s">
        <v>26</v>
      </c>
      <c r="L4675" t="s">
        <v>27</v>
      </c>
      <c r="M4675">
        <v>19</v>
      </c>
      <c r="N4675" s="2">
        <v>92</v>
      </c>
      <c r="O4675" s="3">
        <v>9405</v>
      </c>
      <c r="P4675">
        <v>1</v>
      </c>
      <c r="Q4675">
        <v>3</v>
      </c>
      <c r="R4675" t="s">
        <v>59</v>
      </c>
      <c r="S4675">
        <v>1</v>
      </c>
    </row>
    <row r="4676" spans="1:19" ht="16.5" x14ac:dyDescent="0.3">
      <c r="A4676" t="s">
        <v>4739</v>
      </c>
      <c r="B4676" s="1">
        <v>45912</v>
      </c>
      <c r="C4676" s="1">
        <v>45916</v>
      </c>
      <c r="D4676">
        <v>2025</v>
      </c>
      <c r="E4676" t="s">
        <v>1445</v>
      </c>
      <c r="F4676" t="s">
        <v>1821</v>
      </c>
      <c r="G4676" t="s">
        <v>83</v>
      </c>
      <c r="H4676" t="s">
        <v>52</v>
      </c>
      <c r="I4676" t="s">
        <v>40</v>
      </c>
      <c r="J4676" t="s">
        <v>43</v>
      </c>
      <c r="K4676" t="s">
        <v>36</v>
      </c>
      <c r="L4676" t="s">
        <v>44</v>
      </c>
      <c r="M4676">
        <v>4</v>
      </c>
      <c r="N4676" s="2"/>
      <c r="O4676" s="3">
        <v>4430</v>
      </c>
      <c r="P4676">
        <v>0</v>
      </c>
      <c r="Q4676">
        <v>3</v>
      </c>
      <c r="R4676" t="s">
        <v>165</v>
      </c>
      <c r="S4676">
        <v>1</v>
      </c>
    </row>
    <row r="4677" spans="1:19" ht="16.5" x14ac:dyDescent="0.3">
      <c r="A4677" t="s">
        <v>4740</v>
      </c>
      <c r="B4677" s="1">
        <v>45912</v>
      </c>
      <c r="C4677" s="1">
        <v>45920</v>
      </c>
      <c r="D4677">
        <v>2025</v>
      </c>
      <c r="E4677" t="s">
        <v>1445</v>
      </c>
      <c r="F4677" t="s">
        <v>1821</v>
      </c>
      <c r="G4677" t="s">
        <v>83</v>
      </c>
      <c r="H4677" t="s">
        <v>23</v>
      </c>
      <c r="I4677" t="s">
        <v>40</v>
      </c>
      <c r="J4677" t="s">
        <v>43</v>
      </c>
      <c r="K4677" t="s">
        <v>26</v>
      </c>
      <c r="L4677" t="s">
        <v>27</v>
      </c>
      <c r="M4677">
        <v>8</v>
      </c>
      <c r="N4677" s="2"/>
      <c r="O4677" s="3">
        <v>6321</v>
      </c>
      <c r="P4677">
        <v>0</v>
      </c>
      <c r="Q4677">
        <v>5</v>
      </c>
      <c r="R4677" t="s">
        <v>33</v>
      </c>
      <c r="S4677">
        <v>1</v>
      </c>
    </row>
    <row r="4678" spans="1:19" ht="16.5" x14ac:dyDescent="0.3">
      <c r="A4678" t="s">
        <v>4741</v>
      </c>
      <c r="B4678" s="1">
        <v>45912</v>
      </c>
      <c r="C4678" s="1">
        <v>45913</v>
      </c>
      <c r="D4678">
        <v>2025</v>
      </c>
      <c r="E4678" t="s">
        <v>1445</v>
      </c>
      <c r="F4678" t="s">
        <v>1821</v>
      </c>
      <c r="G4678" t="s">
        <v>83</v>
      </c>
      <c r="H4678" t="s">
        <v>39</v>
      </c>
      <c r="I4678" t="s">
        <v>40</v>
      </c>
      <c r="J4678" t="s">
        <v>43</v>
      </c>
      <c r="K4678" t="s">
        <v>41</v>
      </c>
      <c r="L4678" t="s">
        <v>27</v>
      </c>
      <c r="M4678">
        <v>1</v>
      </c>
      <c r="N4678" s="2"/>
      <c r="O4678" s="3">
        <v>1323</v>
      </c>
      <c r="P4678">
        <v>0</v>
      </c>
      <c r="Q4678">
        <v>3</v>
      </c>
      <c r="R4678" t="s">
        <v>28</v>
      </c>
      <c r="S4678">
        <v>1</v>
      </c>
    </row>
    <row r="4679" spans="1:19" ht="16.5" x14ac:dyDescent="0.3">
      <c r="A4679" t="s">
        <v>4742</v>
      </c>
      <c r="B4679" s="1">
        <v>45913</v>
      </c>
      <c r="C4679" s="1">
        <v>45915</v>
      </c>
      <c r="D4679">
        <v>2025</v>
      </c>
      <c r="E4679" t="s">
        <v>1445</v>
      </c>
      <c r="F4679" t="s">
        <v>1821</v>
      </c>
      <c r="G4679" t="s">
        <v>102</v>
      </c>
      <c r="H4679" t="s">
        <v>50</v>
      </c>
      <c r="I4679" t="s">
        <v>24</v>
      </c>
      <c r="J4679" t="s">
        <v>25</v>
      </c>
      <c r="K4679" t="s">
        <v>26</v>
      </c>
      <c r="L4679" t="s">
        <v>44</v>
      </c>
      <c r="M4679">
        <v>2</v>
      </c>
      <c r="N4679" s="2">
        <v>144</v>
      </c>
      <c r="O4679" s="3">
        <v>3775</v>
      </c>
      <c r="P4679">
        <v>0</v>
      </c>
      <c r="Q4679">
        <v>3</v>
      </c>
      <c r="R4679" t="s">
        <v>33</v>
      </c>
      <c r="S4679">
        <v>1</v>
      </c>
    </row>
    <row r="4680" spans="1:19" ht="16.5" x14ac:dyDescent="0.3">
      <c r="A4680" t="s">
        <v>4743</v>
      </c>
      <c r="B4680" s="1">
        <v>45913</v>
      </c>
      <c r="C4680" s="1">
        <v>45925</v>
      </c>
      <c r="D4680">
        <v>2025</v>
      </c>
      <c r="E4680" t="s">
        <v>1445</v>
      </c>
      <c r="F4680" t="s">
        <v>1821</v>
      </c>
      <c r="G4680" t="s">
        <v>102</v>
      </c>
      <c r="H4680" t="s">
        <v>23</v>
      </c>
      <c r="I4680" t="s">
        <v>24</v>
      </c>
      <c r="J4680" t="s">
        <v>25</v>
      </c>
      <c r="K4680" t="s">
        <v>26</v>
      </c>
      <c r="L4680" t="s">
        <v>27</v>
      </c>
      <c r="M4680">
        <v>12</v>
      </c>
      <c r="N4680" s="2">
        <v>24</v>
      </c>
      <c r="O4680" s="3">
        <v>11027</v>
      </c>
      <c r="P4680">
        <v>1</v>
      </c>
      <c r="Q4680">
        <v>4</v>
      </c>
      <c r="R4680" t="s">
        <v>33</v>
      </c>
      <c r="S4680">
        <v>1</v>
      </c>
    </row>
    <row r="4681" spans="1:19" ht="16.5" x14ac:dyDescent="0.3">
      <c r="A4681" t="s">
        <v>4744</v>
      </c>
      <c r="B4681" s="1">
        <v>45913</v>
      </c>
      <c r="C4681" s="1">
        <v>45921</v>
      </c>
      <c r="D4681">
        <v>2025</v>
      </c>
      <c r="E4681" t="s">
        <v>1445</v>
      </c>
      <c r="F4681" t="s">
        <v>1821</v>
      </c>
      <c r="G4681" t="s">
        <v>102</v>
      </c>
      <c r="H4681" t="s">
        <v>23</v>
      </c>
      <c r="I4681" t="s">
        <v>40</v>
      </c>
      <c r="J4681" t="s">
        <v>25</v>
      </c>
      <c r="K4681" t="s">
        <v>26</v>
      </c>
      <c r="L4681" t="s">
        <v>27</v>
      </c>
      <c r="M4681">
        <v>8</v>
      </c>
      <c r="N4681" s="2"/>
      <c r="O4681" s="3">
        <v>6722</v>
      </c>
      <c r="P4681">
        <v>1</v>
      </c>
      <c r="Q4681">
        <v>4</v>
      </c>
      <c r="R4681" t="s">
        <v>33</v>
      </c>
      <c r="S4681">
        <v>1</v>
      </c>
    </row>
    <row r="4682" spans="1:19" ht="16.5" x14ac:dyDescent="0.3">
      <c r="A4682" t="s">
        <v>4745</v>
      </c>
      <c r="B4682" s="1">
        <v>45913</v>
      </c>
      <c r="C4682" s="1">
        <v>45918</v>
      </c>
      <c r="D4682">
        <v>2025</v>
      </c>
      <c r="E4682" t="s">
        <v>1445</v>
      </c>
      <c r="F4682" t="s">
        <v>1821</v>
      </c>
      <c r="G4682" t="s">
        <v>102</v>
      </c>
      <c r="H4682" t="s">
        <v>30</v>
      </c>
      <c r="I4682" t="s">
        <v>40</v>
      </c>
      <c r="J4682" t="s">
        <v>43</v>
      </c>
      <c r="K4682" t="s">
        <v>53</v>
      </c>
      <c r="L4682" t="s">
        <v>27</v>
      </c>
      <c r="M4682">
        <v>5</v>
      </c>
      <c r="N4682" s="2"/>
      <c r="O4682" s="3">
        <v>6233</v>
      </c>
      <c r="P4682">
        <v>0</v>
      </c>
      <c r="Q4682">
        <v>4</v>
      </c>
      <c r="R4682" t="s">
        <v>33</v>
      </c>
      <c r="S4682">
        <v>1</v>
      </c>
    </row>
    <row r="4683" spans="1:19" ht="16.5" x14ac:dyDescent="0.3">
      <c r="A4683" t="s">
        <v>4746</v>
      </c>
      <c r="B4683" s="1">
        <v>45913</v>
      </c>
      <c r="C4683" s="1">
        <v>45914</v>
      </c>
      <c r="D4683">
        <v>2025</v>
      </c>
      <c r="E4683" t="s">
        <v>1445</v>
      </c>
      <c r="F4683" t="s">
        <v>1821</v>
      </c>
      <c r="G4683" t="s">
        <v>102</v>
      </c>
      <c r="H4683" t="s">
        <v>50</v>
      </c>
      <c r="I4683" t="s">
        <v>24</v>
      </c>
      <c r="J4683" t="s">
        <v>25</v>
      </c>
      <c r="K4683" t="s">
        <v>32</v>
      </c>
      <c r="L4683" t="s">
        <v>27</v>
      </c>
      <c r="M4683">
        <v>1</v>
      </c>
      <c r="N4683" s="2">
        <v>47</v>
      </c>
      <c r="O4683" s="3">
        <v>2424</v>
      </c>
      <c r="P4683">
        <v>0</v>
      </c>
      <c r="Q4683">
        <v>3</v>
      </c>
      <c r="R4683" t="s">
        <v>165</v>
      </c>
      <c r="S4683">
        <v>1</v>
      </c>
    </row>
    <row r="4684" spans="1:19" ht="16.5" x14ac:dyDescent="0.3">
      <c r="A4684" t="s">
        <v>4747</v>
      </c>
      <c r="B4684" s="1">
        <v>45913</v>
      </c>
      <c r="C4684" s="1">
        <v>45922</v>
      </c>
      <c r="D4684">
        <v>2025</v>
      </c>
      <c r="E4684" t="s">
        <v>1445</v>
      </c>
      <c r="F4684" t="s">
        <v>1821</v>
      </c>
      <c r="G4684" t="s">
        <v>102</v>
      </c>
      <c r="H4684" t="s">
        <v>23</v>
      </c>
      <c r="I4684" t="s">
        <v>24</v>
      </c>
      <c r="J4684" t="s">
        <v>43</v>
      </c>
      <c r="K4684" t="s">
        <v>53</v>
      </c>
      <c r="L4684" t="s">
        <v>27</v>
      </c>
      <c r="M4684">
        <v>9</v>
      </c>
      <c r="N4684" s="2">
        <v>18</v>
      </c>
      <c r="O4684" s="3">
        <v>6099</v>
      </c>
      <c r="P4684">
        <v>0</v>
      </c>
      <c r="Q4684">
        <v>4</v>
      </c>
      <c r="R4684" t="s">
        <v>59</v>
      </c>
      <c r="S4684">
        <v>1</v>
      </c>
    </row>
    <row r="4685" spans="1:19" ht="16.5" x14ac:dyDescent="0.3">
      <c r="A4685" t="s">
        <v>4748</v>
      </c>
      <c r="B4685" s="1">
        <v>45913</v>
      </c>
      <c r="C4685" s="1">
        <v>45914</v>
      </c>
      <c r="D4685">
        <v>2025</v>
      </c>
      <c r="E4685" t="s">
        <v>1445</v>
      </c>
      <c r="F4685" t="s">
        <v>1821</v>
      </c>
      <c r="G4685" t="s">
        <v>102</v>
      </c>
      <c r="H4685" t="s">
        <v>39</v>
      </c>
      <c r="I4685" t="s">
        <v>40</v>
      </c>
      <c r="J4685" t="s">
        <v>25</v>
      </c>
      <c r="K4685" t="s">
        <v>41</v>
      </c>
      <c r="L4685" t="s">
        <v>44</v>
      </c>
      <c r="M4685">
        <v>1</v>
      </c>
      <c r="N4685" s="2"/>
      <c r="O4685" s="3">
        <v>1846</v>
      </c>
      <c r="P4685">
        <v>0</v>
      </c>
      <c r="Q4685">
        <v>5</v>
      </c>
      <c r="R4685" t="s">
        <v>33</v>
      </c>
      <c r="S4685">
        <v>1</v>
      </c>
    </row>
    <row r="4686" spans="1:19" ht="16.5" x14ac:dyDescent="0.3">
      <c r="A4686" t="s">
        <v>4749</v>
      </c>
      <c r="B4686" s="1">
        <v>45914</v>
      </c>
      <c r="C4686" s="1">
        <v>45917</v>
      </c>
      <c r="D4686">
        <v>2025</v>
      </c>
      <c r="E4686" t="s">
        <v>1445</v>
      </c>
      <c r="F4686" t="s">
        <v>1821</v>
      </c>
      <c r="G4686" t="s">
        <v>112</v>
      </c>
      <c r="H4686" t="s">
        <v>39</v>
      </c>
      <c r="I4686" t="s">
        <v>24</v>
      </c>
      <c r="J4686" t="s">
        <v>25</v>
      </c>
      <c r="K4686" t="s">
        <v>41</v>
      </c>
      <c r="L4686" t="s">
        <v>44</v>
      </c>
      <c r="M4686">
        <v>3</v>
      </c>
      <c r="N4686" s="2">
        <v>37</v>
      </c>
      <c r="O4686" s="3">
        <v>2612</v>
      </c>
      <c r="P4686">
        <v>0</v>
      </c>
      <c r="Q4686">
        <v>5</v>
      </c>
      <c r="R4686" t="s">
        <v>28</v>
      </c>
      <c r="S4686">
        <v>1</v>
      </c>
    </row>
    <row r="4687" spans="1:19" ht="16.5" x14ac:dyDescent="0.3">
      <c r="A4687" t="s">
        <v>4750</v>
      </c>
      <c r="B4687" s="1">
        <v>45914</v>
      </c>
      <c r="C4687" s="1">
        <v>45923</v>
      </c>
      <c r="D4687">
        <v>2025</v>
      </c>
      <c r="E4687" t="s">
        <v>1445</v>
      </c>
      <c r="F4687" t="s">
        <v>1821</v>
      </c>
      <c r="G4687" t="s">
        <v>112</v>
      </c>
      <c r="H4687" t="s">
        <v>23</v>
      </c>
      <c r="I4687" t="s">
        <v>24</v>
      </c>
      <c r="J4687" t="s">
        <v>43</v>
      </c>
      <c r="K4687" t="s">
        <v>26</v>
      </c>
      <c r="L4687" t="s">
        <v>44</v>
      </c>
      <c r="M4687">
        <v>9</v>
      </c>
      <c r="N4687" s="2">
        <v>39</v>
      </c>
      <c r="O4687" s="3">
        <v>7472</v>
      </c>
      <c r="P4687">
        <v>0</v>
      </c>
      <c r="Q4687">
        <v>3</v>
      </c>
      <c r="R4687" t="s">
        <v>33</v>
      </c>
      <c r="S4687">
        <v>1</v>
      </c>
    </row>
    <row r="4688" spans="1:19" ht="16.5" x14ac:dyDescent="0.3">
      <c r="A4688" t="s">
        <v>4751</v>
      </c>
      <c r="B4688" s="1">
        <v>45914</v>
      </c>
      <c r="C4688" s="1">
        <v>45916</v>
      </c>
      <c r="D4688">
        <v>2025</v>
      </c>
      <c r="E4688" t="s">
        <v>1445</v>
      </c>
      <c r="F4688" t="s">
        <v>1821</v>
      </c>
      <c r="G4688" t="s">
        <v>112</v>
      </c>
      <c r="H4688" t="s">
        <v>30</v>
      </c>
      <c r="I4688" t="s">
        <v>40</v>
      </c>
      <c r="J4688" t="s">
        <v>43</v>
      </c>
      <c r="K4688" t="s">
        <v>53</v>
      </c>
      <c r="L4688" t="s">
        <v>44</v>
      </c>
      <c r="M4688">
        <v>2</v>
      </c>
      <c r="N4688" s="2"/>
      <c r="O4688" s="3">
        <v>2697</v>
      </c>
      <c r="P4688">
        <v>0</v>
      </c>
      <c r="Q4688">
        <v>5</v>
      </c>
      <c r="R4688" t="s">
        <v>33</v>
      </c>
      <c r="S4688">
        <v>1</v>
      </c>
    </row>
    <row r="4689" spans="1:19" ht="16.5" x14ac:dyDescent="0.3">
      <c r="A4689" t="s">
        <v>4752</v>
      </c>
      <c r="B4689" s="1">
        <v>45914</v>
      </c>
      <c r="C4689" s="1">
        <v>45925</v>
      </c>
      <c r="D4689">
        <v>2025</v>
      </c>
      <c r="E4689" t="s">
        <v>1445</v>
      </c>
      <c r="F4689" t="s">
        <v>1821</v>
      </c>
      <c r="G4689" t="s">
        <v>112</v>
      </c>
      <c r="H4689" t="s">
        <v>23</v>
      </c>
      <c r="I4689" t="s">
        <v>24</v>
      </c>
      <c r="J4689" t="s">
        <v>43</v>
      </c>
      <c r="K4689" t="s">
        <v>36</v>
      </c>
      <c r="L4689" t="s">
        <v>27</v>
      </c>
      <c r="M4689">
        <v>11</v>
      </c>
      <c r="N4689" s="2">
        <v>47</v>
      </c>
      <c r="O4689" s="3">
        <v>7516</v>
      </c>
      <c r="P4689">
        <v>1</v>
      </c>
      <c r="Q4689">
        <v>4</v>
      </c>
      <c r="R4689" t="s">
        <v>33</v>
      </c>
      <c r="S4689">
        <v>1</v>
      </c>
    </row>
    <row r="4690" spans="1:19" ht="16.5" x14ac:dyDescent="0.3">
      <c r="A4690" t="s">
        <v>4753</v>
      </c>
      <c r="B4690" s="1">
        <v>45914</v>
      </c>
      <c r="C4690" s="1">
        <v>45924</v>
      </c>
      <c r="D4690">
        <v>2025</v>
      </c>
      <c r="E4690" t="s">
        <v>1445</v>
      </c>
      <c r="F4690" t="s">
        <v>1821</v>
      </c>
      <c r="G4690" t="s">
        <v>112</v>
      </c>
      <c r="H4690" t="s">
        <v>23</v>
      </c>
      <c r="I4690" t="s">
        <v>40</v>
      </c>
      <c r="J4690" t="s">
        <v>43</v>
      </c>
      <c r="K4690" t="s">
        <v>36</v>
      </c>
      <c r="L4690" t="s">
        <v>37</v>
      </c>
      <c r="M4690">
        <v>10</v>
      </c>
      <c r="N4690" s="2"/>
      <c r="O4690" s="3">
        <v>9159</v>
      </c>
      <c r="P4690">
        <v>0</v>
      </c>
      <c r="Q4690">
        <v>5</v>
      </c>
      <c r="R4690" t="s">
        <v>33</v>
      </c>
      <c r="S4690">
        <v>1</v>
      </c>
    </row>
    <row r="4691" spans="1:19" ht="16.5" x14ac:dyDescent="0.3">
      <c r="A4691" t="s">
        <v>4754</v>
      </c>
      <c r="B4691" s="1">
        <v>45914</v>
      </c>
      <c r="C4691" s="1">
        <v>45920</v>
      </c>
      <c r="D4691">
        <v>2025</v>
      </c>
      <c r="E4691" t="s">
        <v>1445</v>
      </c>
      <c r="F4691" t="s">
        <v>1821</v>
      </c>
      <c r="G4691" t="s">
        <v>112</v>
      </c>
      <c r="H4691" t="s">
        <v>52</v>
      </c>
      <c r="I4691" t="s">
        <v>40</v>
      </c>
      <c r="J4691" t="s">
        <v>25</v>
      </c>
      <c r="K4691" t="s">
        <v>32</v>
      </c>
      <c r="L4691" t="s">
        <v>27</v>
      </c>
      <c r="M4691">
        <v>6</v>
      </c>
      <c r="N4691" s="2"/>
      <c r="O4691" s="3">
        <v>6595</v>
      </c>
      <c r="P4691">
        <v>0</v>
      </c>
      <c r="Q4691">
        <v>5</v>
      </c>
      <c r="R4691" t="s">
        <v>33</v>
      </c>
      <c r="S4691">
        <v>1</v>
      </c>
    </row>
    <row r="4692" spans="1:19" ht="16.5" x14ac:dyDescent="0.3">
      <c r="A4692" t="s">
        <v>4755</v>
      </c>
      <c r="B4692" s="1">
        <v>45914</v>
      </c>
      <c r="C4692" s="1">
        <v>45921</v>
      </c>
      <c r="D4692">
        <v>2025</v>
      </c>
      <c r="E4692" t="s">
        <v>1445</v>
      </c>
      <c r="F4692" t="s">
        <v>1821</v>
      </c>
      <c r="G4692" t="s">
        <v>112</v>
      </c>
      <c r="H4692" t="s">
        <v>30</v>
      </c>
      <c r="I4692" t="s">
        <v>40</v>
      </c>
      <c r="J4692" t="s">
        <v>43</v>
      </c>
      <c r="K4692" t="s">
        <v>26</v>
      </c>
      <c r="L4692" t="s">
        <v>44</v>
      </c>
      <c r="M4692">
        <v>7</v>
      </c>
      <c r="N4692" s="2"/>
      <c r="O4692" s="3">
        <v>6368</v>
      </c>
      <c r="P4692">
        <v>0</v>
      </c>
      <c r="Q4692">
        <v>5</v>
      </c>
      <c r="R4692" t="s">
        <v>59</v>
      </c>
      <c r="S4692">
        <v>1</v>
      </c>
    </row>
    <row r="4693" spans="1:19" ht="16.5" x14ac:dyDescent="0.3">
      <c r="A4693" t="s">
        <v>4756</v>
      </c>
      <c r="B4693" s="1">
        <v>45914</v>
      </c>
      <c r="C4693" s="1">
        <v>45916</v>
      </c>
      <c r="D4693">
        <v>2025</v>
      </c>
      <c r="E4693" t="s">
        <v>1445</v>
      </c>
      <c r="F4693" t="s">
        <v>1821</v>
      </c>
      <c r="G4693" t="s">
        <v>112</v>
      </c>
      <c r="H4693" t="s">
        <v>35</v>
      </c>
      <c r="I4693" t="s">
        <v>24</v>
      </c>
      <c r="J4693" t="s">
        <v>25</v>
      </c>
      <c r="K4693" t="s">
        <v>32</v>
      </c>
      <c r="L4693" t="s">
        <v>27</v>
      </c>
      <c r="M4693">
        <v>2</v>
      </c>
      <c r="N4693" s="2">
        <v>69</v>
      </c>
      <c r="O4693" s="3">
        <v>2625</v>
      </c>
      <c r="P4693">
        <v>0</v>
      </c>
      <c r="Q4693">
        <v>4</v>
      </c>
      <c r="R4693" t="s">
        <v>33</v>
      </c>
      <c r="S4693">
        <v>1</v>
      </c>
    </row>
    <row r="4694" spans="1:19" ht="16.5" x14ac:dyDescent="0.3">
      <c r="A4694" t="s">
        <v>4757</v>
      </c>
      <c r="B4694" s="1">
        <v>45914</v>
      </c>
      <c r="C4694" s="1">
        <v>45924</v>
      </c>
      <c r="D4694">
        <v>2025</v>
      </c>
      <c r="E4694" t="s">
        <v>1445</v>
      </c>
      <c r="F4694" t="s">
        <v>1821</v>
      </c>
      <c r="G4694" t="s">
        <v>112</v>
      </c>
      <c r="H4694" t="s">
        <v>23</v>
      </c>
      <c r="I4694" t="s">
        <v>40</v>
      </c>
      <c r="J4694" t="s">
        <v>43</v>
      </c>
      <c r="K4694" t="s">
        <v>26</v>
      </c>
      <c r="L4694" t="s">
        <v>27</v>
      </c>
      <c r="M4694">
        <v>10</v>
      </c>
      <c r="N4694" s="2"/>
      <c r="O4694" s="3">
        <v>8396</v>
      </c>
      <c r="P4694">
        <v>0</v>
      </c>
      <c r="Q4694">
        <v>5</v>
      </c>
      <c r="R4694" t="s">
        <v>33</v>
      </c>
      <c r="S4694">
        <v>1</v>
      </c>
    </row>
    <row r="4695" spans="1:19" ht="16.5" x14ac:dyDescent="0.3">
      <c r="A4695" t="s">
        <v>4758</v>
      </c>
      <c r="B4695" s="1">
        <v>45915</v>
      </c>
      <c r="C4695" s="1">
        <v>45919</v>
      </c>
      <c r="D4695">
        <v>2025</v>
      </c>
      <c r="E4695" t="s">
        <v>1445</v>
      </c>
      <c r="F4695" t="s">
        <v>1821</v>
      </c>
      <c r="G4695" t="s">
        <v>22</v>
      </c>
      <c r="H4695" t="s">
        <v>23</v>
      </c>
      <c r="I4695" t="s">
        <v>40</v>
      </c>
      <c r="J4695" t="s">
        <v>43</v>
      </c>
      <c r="K4695" t="s">
        <v>53</v>
      </c>
      <c r="L4695" t="s">
        <v>44</v>
      </c>
      <c r="M4695">
        <v>4</v>
      </c>
      <c r="N4695" s="2"/>
      <c r="O4695" s="3">
        <v>3620</v>
      </c>
      <c r="P4695">
        <v>0</v>
      </c>
      <c r="Q4695">
        <v>4</v>
      </c>
      <c r="R4695" t="s">
        <v>28</v>
      </c>
      <c r="S4695">
        <v>1</v>
      </c>
    </row>
    <row r="4696" spans="1:19" ht="16.5" x14ac:dyDescent="0.3">
      <c r="A4696" t="s">
        <v>4759</v>
      </c>
      <c r="B4696" s="1">
        <v>45915</v>
      </c>
      <c r="C4696" s="1">
        <v>45920</v>
      </c>
      <c r="D4696">
        <v>2025</v>
      </c>
      <c r="E4696" t="s">
        <v>1445</v>
      </c>
      <c r="F4696" t="s">
        <v>1821</v>
      </c>
      <c r="G4696" t="s">
        <v>22</v>
      </c>
      <c r="H4696" t="s">
        <v>30</v>
      </c>
      <c r="I4696" t="s">
        <v>40</v>
      </c>
      <c r="J4696" t="s">
        <v>25</v>
      </c>
      <c r="K4696" t="s">
        <v>32</v>
      </c>
      <c r="L4696" t="s">
        <v>27</v>
      </c>
      <c r="M4696">
        <v>5</v>
      </c>
      <c r="N4696" s="2"/>
      <c r="O4696" s="3">
        <v>5536</v>
      </c>
      <c r="P4696">
        <v>0</v>
      </c>
      <c r="Q4696">
        <v>4</v>
      </c>
      <c r="R4696" t="s">
        <v>33</v>
      </c>
      <c r="S4696">
        <v>1</v>
      </c>
    </row>
    <row r="4697" spans="1:19" ht="16.5" x14ac:dyDescent="0.3">
      <c r="A4697" t="s">
        <v>4760</v>
      </c>
      <c r="B4697" s="1">
        <v>45915</v>
      </c>
      <c r="C4697" s="1">
        <v>45917</v>
      </c>
      <c r="D4697">
        <v>2025</v>
      </c>
      <c r="E4697" t="s">
        <v>1445</v>
      </c>
      <c r="F4697" t="s">
        <v>1821</v>
      </c>
      <c r="G4697" t="s">
        <v>22</v>
      </c>
      <c r="H4697" t="s">
        <v>50</v>
      </c>
      <c r="I4697" t="s">
        <v>24</v>
      </c>
      <c r="J4697" t="s">
        <v>25</v>
      </c>
      <c r="K4697" t="s">
        <v>26</v>
      </c>
      <c r="L4697" t="s">
        <v>37</v>
      </c>
      <c r="M4697">
        <v>2</v>
      </c>
      <c r="N4697" s="2">
        <v>51</v>
      </c>
      <c r="O4697" s="3">
        <v>2855</v>
      </c>
      <c r="P4697">
        <v>0</v>
      </c>
      <c r="Q4697">
        <v>5</v>
      </c>
      <c r="R4697" t="s">
        <v>165</v>
      </c>
      <c r="S4697">
        <v>1</v>
      </c>
    </row>
    <row r="4698" spans="1:19" ht="16.5" x14ac:dyDescent="0.3">
      <c r="A4698" t="s">
        <v>4761</v>
      </c>
      <c r="B4698" s="1">
        <v>45915</v>
      </c>
      <c r="C4698" s="1">
        <v>45928</v>
      </c>
      <c r="D4698">
        <v>2025</v>
      </c>
      <c r="E4698" t="s">
        <v>1445</v>
      </c>
      <c r="F4698" t="s">
        <v>1821</v>
      </c>
      <c r="G4698" t="s">
        <v>22</v>
      </c>
      <c r="H4698" t="s">
        <v>23</v>
      </c>
      <c r="I4698" t="s">
        <v>31</v>
      </c>
      <c r="J4698" t="s">
        <v>25</v>
      </c>
      <c r="K4698" t="s">
        <v>53</v>
      </c>
      <c r="L4698" t="s">
        <v>27</v>
      </c>
      <c r="M4698">
        <v>13</v>
      </c>
      <c r="N4698" s="2"/>
      <c r="O4698" s="3">
        <v>12318</v>
      </c>
      <c r="P4698">
        <v>0</v>
      </c>
      <c r="Q4698">
        <v>4</v>
      </c>
      <c r="R4698" t="s">
        <v>33</v>
      </c>
      <c r="S4698">
        <v>1</v>
      </c>
    </row>
    <row r="4699" spans="1:19" ht="16.5" x14ac:dyDescent="0.3">
      <c r="A4699" t="s">
        <v>4762</v>
      </c>
      <c r="B4699" s="1">
        <v>45915</v>
      </c>
      <c r="C4699" s="1">
        <v>45919</v>
      </c>
      <c r="D4699">
        <v>2025</v>
      </c>
      <c r="E4699" t="s">
        <v>1445</v>
      </c>
      <c r="F4699" t="s">
        <v>1821</v>
      </c>
      <c r="G4699" t="s">
        <v>22</v>
      </c>
      <c r="H4699" t="s">
        <v>30</v>
      </c>
      <c r="I4699" t="s">
        <v>40</v>
      </c>
      <c r="J4699" t="s">
        <v>43</v>
      </c>
      <c r="K4699" t="s">
        <v>53</v>
      </c>
      <c r="L4699" t="s">
        <v>44</v>
      </c>
      <c r="M4699">
        <v>4</v>
      </c>
      <c r="N4699" s="2"/>
      <c r="O4699" s="3">
        <v>5115</v>
      </c>
      <c r="P4699">
        <v>0</v>
      </c>
      <c r="Q4699">
        <v>4</v>
      </c>
      <c r="R4699" t="s">
        <v>28</v>
      </c>
      <c r="S4699">
        <v>1</v>
      </c>
    </row>
    <row r="4700" spans="1:19" ht="16.5" x14ac:dyDescent="0.3">
      <c r="A4700" t="s">
        <v>4763</v>
      </c>
      <c r="B4700" s="1">
        <v>45915</v>
      </c>
      <c r="C4700" s="1">
        <v>45918</v>
      </c>
      <c r="D4700">
        <v>2025</v>
      </c>
      <c r="E4700" t="s">
        <v>1445</v>
      </c>
      <c r="F4700" t="s">
        <v>1821</v>
      </c>
      <c r="G4700" t="s">
        <v>22</v>
      </c>
      <c r="H4700" t="s">
        <v>30</v>
      </c>
      <c r="I4700" t="s">
        <v>40</v>
      </c>
      <c r="J4700" t="s">
        <v>25</v>
      </c>
      <c r="K4700" t="s">
        <v>26</v>
      </c>
      <c r="L4700" t="s">
        <v>27</v>
      </c>
      <c r="M4700">
        <v>3</v>
      </c>
      <c r="N4700" s="2"/>
      <c r="O4700" s="3">
        <v>3698</v>
      </c>
      <c r="P4700">
        <v>0</v>
      </c>
      <c r="Q4700">
        <v>3</v>
      </c>
      <c r="R4700" t="s">
        <v>33</v>
      </c>
      <c r="S4700">
        <v>1</v>
      </c>
    </row>
    <row r="4701" spans="1:19" ht="16.5" x14ac:dyDescent="0.3">
      <c r="A4701" t="s">
        <v>4764</v>
      </c>
      <c r="B4701" s="1">
        <v>45915</v>
      </c>
      <c r="C4701" s="1">
        <v>45926</v>
      </c>
      <c r="D4701">
        <v>2025</v>
      </c>
      <c r="E4701" t="s">
        <v>1445</v>
      </c>
      <c r="F4701" t="s">
        <v>1821</v>
      </c>
      <c r="G4701" t="s">
        <v>22</v>
      </c>
      <c r="H4701" t="s">
        <v>50</v>
      </c>
      <c r="I4701" t="s">
        <v>24</v>
      </c>
      <c r="J4701" t="s">
        <v>25</v>
      </c>
      <c r="K4701" t="s">
        <v>36</v>
      </c>
      <c r="L4701" t="s">
        <v>44</v>
      </c>
      <c r="M4701">
        <v>11</v>
      </c>
      <c r="N4701" s="2">
        <v>31</v>
      </c>
      <c r="O4701" s="3">
        <v>14472</v>
      </c>
      <c r="P4701">
        <v>0</v>
      </c>
      <c r="Q4701">
        <v>4</v>
      </c>
      <c r="R4701" t="s">
        <v>33</v>
      </c>
      <c r="S4701">
        <v>1</v>
      </c>
    </row>
    <row r="4702" spans="1:19" ht="16.5" x14ac:dyDescent="0.3">
      <c r="A4702" t="s">
        <v>4765</v>
      </c>
      <c r="B4702" s="1">
        <v>45915</v>
      </c>
      <c r="C4702" s="1">
        <v>45920</v>
      </c>
      <c r="D4702">
        <v>2025</v>
      </c>
      <c r="E4702" t="s">
        <v>1445</v>
      </c>
      <c r="F4702" t="s">
        <v>1821</v>
      </c>
      <c r="G4702" t="s">
        <v>22</v>
      </c>
      <c r="H4702" t="s">
        <v>30</v>
      </c>
      <c r="I4702" t="s">
        <v>40</v>
      </c>
      <c r="J4702" t="s">
        <v>25</v>
      </c>
      <c r="K4702" t="s">
        <v>26</v>
      </c>
      <c r="L4702" t="s">
        <v>27</v>
      </c>
      <c r="M4702">
        <v>5</v>
      </c>
      <c r="N4702" s="2"/>
      <c r="O4702" s="3">
        <v>3676</v>
      </c>
      <c r="P4702">
        <v>0</v>
      </c>
      <c r="Q4702">
        <v>5</v>
      </c>
      <c r="R4702" t="s">
        <v>33</v>
      </c>
      <c r="S4702">
        <v>1</v>
      </c>
    </row>
    <row r="4703" spans="1:19" ht="16.5" x14ac:dyDescent="0.3">
      <c r="A4703" t="s">
        <v>4766</v>
      </c>
      <c r="B4703" s="1">
        <v>45916</v>
      </c>
      <c r="C4703" s="1">
        <v>45920</v>
      </c>
      <c r="D4703">
        <v>2025</v>
      </c>
      <c r="E4703" t="s">
        <v>1445</v>
      </c>
      <c r="F4703" t="s">
        <v>1821</v>
      </c>
      <c r="G4703" t="s">
        <v>56</v>
      </c>
      <c r="H4703" t="s">
        <v>50</v>
      </c>
      <c r="I4703" t="s">
        <v>31</v>
      </c>
      <c r="J4703" t="s">
        <v>43</v>
      </c>
      <c r="K4703" t="s">
        <v>26</v>
      </c>
      <c r="L4703" t="s">
        <v>44</v>
      </c>
      <c r="M4703">
        <v>4</v>
      </c>
      <c r="N4703" s="2"/>
      <c r="O4703" s="3">
        <v>5096</v>
      </c>
      <c r="P4703">
        <v>1</v>
      </c>
      <c r="Q4703">
        <v>4</v>
      </c>
      <c r="R4703" t="s">
        <v>28</v>
      </c>
      <c r="S4703">
        <v>1</v>
      </c>
    </row>
    <row r="4704" spans="1:19" ht="16.5" x14ac:dyDescent="0.3">
      <c r="A4704" t="s">
        <v>4767</v>
      </c>
      <c r="B4704" s="1">
        <v>45916</v>
      </c>
      <c r="C4704" s="1">
        <v>45926</v>
      </c>
      <c r="D4704">
        <v>2025</v>
      </c>
      <c r="E4704" t="s">
        <v>1445</v>
      </c>
      <c r="F4704" t="s">
        <v>1821</v>
      </c>
      <c r="G4704" t="s">
        <v>56</v>
      </c>
      <c r="H4704" t="s">
        <v>50</v>
      </c>
      <c r="I4704" t="s">
        <v>24</v>
      </c>
      <c r="J4704" t="s">
        <v>43</v>
      </c>
      <c r="K4704" t="s">
        <v>32</v>
      </c>
      <c r="L4704" t="s">
        <v>44</v>
      </c>
      <c r="M4704">
        <v>10</v>
      </c>
      <c r="N4704" s="2">
        <v>51</v>
      </c>
      <c r="O4704" s="3">
        <v>11264</v>
      </c>
      <c r="P4704">
        <v>1</v>
      </c>
      <c r="Q4704">
        <v>5</v>
      </c>
      <c r="R4704" t="s">
        <v>59</v>
      </c>
      <c r="S4704">
        <v>1</v>
      </c>
    </row>
    <row r="4705" spans="1:19" ht="16.5" x14ac:dyDescent="0.3">
      <c r="A4705" t="s">
        <v>4768</v>
      </c>
      <c r="B4705" s="1">
        <v>45916</v>
      </c>
      <c r="C4705" s="1">
        <v>45924</v>
      </c>
      <c r="D4705">
        <v>2025</v>
      </c>
      <c r="E4705" t="s">
        <v>1445</v>
      </c>
      <c r="F4705" t="s">
        <v>1821</v>
      </c>
      <c r="G4705" t="s">
        <v>56</v>
      </c>
      <c r="H4705" t="s">
        <v>50</v>
      </c>
      <c r="I4705" t="s">
        <v>24</v>
      </c>
      <c r="J4705" t="s">
        <v>25</v>
      </c>
      <c r="K4705" t="s">
        <v>26</v>
      </c>
      <c r="L4705" t="s">
        <v>27</v>
      </c>
      <c r="M4705">
        <v>8</v>
      </c>
      <c r="N4705" s="2">
        <v>92</v>
      </c>
      <c r="O4705" s="3">
        <v>11275</v>
      </c>
      <c r="P4705">
        <v>1</v>
      </c>
      <c r="Q4705">
        <v>2</v>
      </c>
      <c r="R4705" t="s">
        <v>33</v>
      </c>
      <c r="S4705">
        <v>1</v>
      </c>
    </row>
    <row r="4706" spans="1:19" ht="16.5" x14ac:dyDescent="0.3">
      <c r="A4706" t="s">
        <v>4769</v>
      </c>
      <c r="B4706" s="1">
        <v>45916</v>
      </c>
      <c r="C4706" s="1">
        <v>45921</v>
      </c>
      <c r="D4706">
        <v>2025</v>
      </c>
      <c r="E4706" t="s">
        <v>1445</v>
      </c>
      <c r="F4706" t="s">
        <v>1821</v>
      </c>
      <c r="G4706" t="s">
        <v>56</v>
      </c>
      <c r="H4706" t="s">
        <v>35</v>
      </c>
      <c r="I4706" t="s">
        <v>24</v>
      </c>
      <c r="J4706" t="s">
        <v>25</v>
      </c>
      <c r="K4706" t="s">
        <v>32</v>
      </c>
      <c r="L4706" t="s">
        <v>27</v>
      </c>
      <c r="M4706">
        <v>5</v>
      </c>
      <c r="N4706" s="2">
        <v>25</v>
      </c>
      <c r="O4706" s="3">
        <v>3968</v>
      </c>
      <c r="P4706">
        <v>0</v>
      </c>
      <c r="Q4706">
        <v>4</v>
      </c>
      <c r="R4706" t="s">
        <v>28</v>
      </c>
      <c r="S4706">
        <v>1</v>
      </c>
    </row>
    <row r="4707" spans="1:19" ht="16.5" x14ac:dyDescent="0.3">
      <c r="A4707" t="s">
        <v>4770</v>
      </c>
      <c r="B4707" s="1">
        <v>45916</v>
      </c>
      <c r="C4707" s="1">
        <v>45919</v>
      </c>
      <c r="D4707">
        <v>2025</v>
      </c>
      <c r="E4707" t="s">
        <v>1445</v>
      </c>
      <c r="F4707" t="s">
        <v>1821</v>
      </c>
      <c r="G4707" t="s">
        <v>56</v>
      </c>
      <c r="H4707" t="s">
        <v>30</v>
      </c>
      <c r="I4707" t="s">
        <v>40</v>
      </c>
      <c r="J4707" t="s">
        <v>25</v>
      </c>
      <c r="K4707" t="s">
        <v>36</v>
      </c>
      <c r="L4707" t="s">
        <v>27</v>
      </c>
      <c r="M4707">
        <v>3</v>
      </c>
      <c r="N4707" s="2"/>
      <c r="O4707" s="3">
        <v>2937</v>
      </c>
      <c r="P4707">
        <v>0</v>
      </c>
      <c r="Q4707">
        <v>3</v>
      </c>
      <c r="R4707" t="s">
        <v>28</v>
      </c>
      <c r="S4707">
        <v>1</v>
      </c>
    </row>
    <row r="4708" spans="1:19" ht="16.5" x14ac:dyDescent="0.3">
      <c r="A4708" t="s">
        <v>4771</v>
      </c>
      <c r="B4708" s="1">
        <v>45917</v>
      </c>
      <c r="C4708" s="1">
        <v>45919</v>
      </c>
      <c r="D4708">
        <v>2025</v>
      </c>
      <c r="E4708" t="s">
        <v>1445</v>
      </c>
      <c r="F4708" t="s">
        <v>1821</v>
      </c>
      <c r="G4708" t="s">
        <v>70</v>
      </c>
      <c r="H4708" t="s">
        <v>39</v>
      </c>
      <c r="I4708" t="s">
        <v>24</v>
      </c>
      <c r="J4708" t="s">
        <v>25</v>
      </c>
      <c r="K4708" t="s">
        <v>41</v>
      </c>
      <c r="L4708" t="s">
        <v>37</v>
      </c>
      <c r="M4708">
        <v>2</v>
      </c>
      <c r="N4708" s="2">
        <v>52</v>
      </c>
      <c r="O4708" s="3">
        <v>1359</v>
      </c>
      <c r="P4708">
        <v>0</v>
      </c>
      <c r="Q4708">
        <v>3</v>
      </c>
      <c r="R4708" t="s">
        <v>33</v>
      </c>
      <c r="S4708">
        <v>1</v>
      </c>
    </row>
    <row r="4709" spans="1:19" ht="16.5" x14ac:dyDescent="0.3">
      <c r="A4709" t="s">
        <v>4772</v>
      </c>
      <c r="B4709" s="1">
        <v>45917</v>
      </c>
      <c r="C4709" s="1">
        <v>45920</v>
      </c>
      <c r="D4709">
        <v>2025</v>
      </c>
      <c r="E4709" t="s">
        <v>1445</v>
      </c>
      <c r="F4709" t="s">
        <v>1821</v>
      </c>
      <c r="G4709" t="s">
        <v>70</v>
      </c>
      <c r="H4709" t="s">
        <v>23</v>
      </c>
      <c r="I4709" t="s">
        <v>24</v>
      </c>
      <c r="J4709" t="s">
        <v>25</v>
      </c>
      <c r="K4709" t="s">
        <v>26</v>
      </c>
      <c r="L4709" t="s">
        <v>44</v>
      </c>
      <c r="M4709">
        <v>3</v>
      </c>
      <c r="N4709" s="2">
        <v>34</v>
      </c>
      <c r="O4709" s="3">
        <v>2833</v>
      </c>
      <c r="P4709">
        <v>0</v>
      </c>
      <c r="Q4709">
        <v>4</v>
      </c>
      <c r="R4709" t="s">
        <v>28</v>
      </c>
      <c r="S4709">
        <v>1</v>
      </c>
    </row>
    <row r="4710" spans="1:19" ht="16.5" x14ac:dyDescent="0.3">
      <c r="A4710" t="s">
        <v>4773</v>
      </c>
      <c r="B4710" s="1">
        <v>45917</v>
      </c>
      <c r="C4710" s="1">
        <v>45920</v>
      </c>
      <c r="D4710">
        <v>2025</v>
      </c>
      <c r="E4710" t="s">
        <v>1445</v>
      </c>
      <c r="F4710" t="s">
        <v>1821</v>
      </c>
      <c r="G4710" t="s">
        <v>70</v>
      </c>
      <c r="H4710" t="s">
        <v>39</v>
      </c>
      <c r="I4710" t="s">
        <v>24</v>
      </c>
      <c r="J4710" t="s">
        <v>25</v>
      </c>
      <c r="K4710" t="s">
        <v>41</v>
      </c>
      <c r="L4710" t="s">
        <v>37</v>
      </c>
      <c r="M4710">
        <v>3</v>
      </c>
      <c r="N4710" s="2">
        <v>21</v>
      </c>
      <c r="O4710" s="3">
        <v>2194</v>
      </c>
      <c r="P4710">
        <v>0</v>
      </c>
      <c r="Q4710">
        <v>5</v>
      </c>
      <c r="R4710" t="s">
        <v>33</v>
      </c>
      <c r="S4710">
        <v>1</v>
      </c>
    </row>
    <row r="4711" spans="1:19" ht="16.5" x14ac:dyDescent="0.3">
      <c r="A4711" t="s">
        <v>4774</v>
      </c>
      <c r="B4711" s="1">
        <v>45917</v>
      </c>
      <c r="C4711" s="1">
        <v>45918</v>
      </c>
      <c r="D4711">
        <v>2025</v>
      </c>
      <c r="E4711" t="s">
        <v>1445</v>
      </c>
      <c r="F4711" t="s">
        <v>1821</v>
      </c>
      <c r="G4711" t="s">
        <v>70</v>
      </c>
      <c r="H4711" t="s">
        <v>23</v>
      </c>
      <c r="I4711" t="s">
        <v>40</v>
      </c>
      <c r="J4711" t="s">
        <v>25</v>
      </c>
      <c r="K4711" t="s">
        <v>36</v>
      </c>
      <c r="L4711" t="s">
        <v>27</v>
      </c>
      <c r="M4711">
        <v>1</v>
      </c>
      <c r="N4711" s="2"/>
      <c r="O4711" s="3">
        <v>1618</v>
      </c>
      <c r="P4711">
        <v>0</v>
      </c>
      <c r="Q4711">
        <v>3</v>
      </c>
      <c r="R4711" t="s">
        <v>33</v>
      </c>
      <c r="S4711">
        <v>1</v>
      </c>
    </row>
    <row r="4712" spans="1:19" ht="16.5" x14ac:dyDescent="0.3">
      <c r="A4712" t="s">
        <v>4775</v>
      </c>
      <c r="B4712" s="1">
        <v>45917</v>
      </c>
      <c r="C4712" s="1">
        <v>45919</v>
      </c>
      <c r="D4712">
        <v>2025</v>
      </c>
      <c r="E4712" t="s">
        <v>1445</v>
      </c>
      <c r="F4712" t="s">
        <v>1821</v>
      </c>
      <c r="G4712" t="s">
        <v>70</v>
      </c>
      <c r="H4712" t="s">
        <v>30</v>
      </c>
      <c r="I4712" t="s">
        <v>40</v>
      </c>
      <c r="J4712" t="s">
        <v>43</v>
      </c>
      <c r="K4712" t="s">
        <v>53</v>
      </c>
      <c r="L4712" t="s">
        <v>44</v>
      </c>
      <c r="M4712">
        <v>2</v>
      </c>
      <c r="N4712" s="2"/>
      <c r="O4712" s="3">
        <v>3290</v>
      </c>
      <c r="P4712">
        <v>0</v>
      </c>
      <c r="Q4712">
        <v>4</v>
      </c>
      <c r="R4712" t="s">
        <v>28</v>
      </c>
      <c r="S4712">
        <v>1</v>
      </c>
    </row>
    <row r="4713" spans="1:19" ht="16.5" x14ac:dyDescent="0.3">
      <c r="A4713" t="s">
        <v>4776</v>
      </c>
      <c r="B4713" s="1">
        <v>45917</v>
      </c>
      <c r="C4713" s="1">
        <v>45920</v>
      </c>
      <c r="D4713">
        <v>2025</v>
      </c>
      <c r="E4713" t="s">
        <v>1445</v>
      </c>
      <c r="F4713" t="s">
        <v>1821</v>
      </c>
      <c r="G4713" t="s">
        <v>70</v>
      </c>
      <c r="H4713" t="s">
        <v>23</v>
      </c>
      <c r="I4713" t="s">
        <v>40</v>
      </c>
      <c r="J4713" t="s">
        <v>43</v>
      </c>
      <c r="K4713" t="s">
        <v>32</v>
      </c>
      <c r="L4713" t="s">
        <v>27</v>
      </c>
      <c r="M4713">
        <v>3</v>
      </c>
      <c r="N4713" s="2"/>
      <c r="O4713" s="3">
        <v>2680</v>
      </c>
      <c r="P4713">
        <v>0</v>
      </c>
      <c r="Q4713">
        <v>4</v>
      </c>
      <c r="R4713" t="s">
        <v>33</v>
      </c>
      <c r="S4713">
        <v>1</v>
      </c>
    </row>
    <row r="4714" spans="1:19" ht="16.5" x14ac:dyDescent="0.3">
      <c r="A4714" t="s">
        <v>4777</v>
      </c>
      <c r="B4714" s="1">
        <v>45917</v>
      </c>
      <c r="C4714" s="1">
        <v>45920</v>
      </c>
      <c r="D4714">
        <v>2025</v>
      </c>
      <c r="E4714" t="s">
        <v>1445</v>
      </c>
      <c r="F4714" t="s">
        <v>1821</v>
      </c>
      <c r="G4714" t="s">
        <v>70</v>
      </c>
      <c r="H4714" t="s">
        <v>52</v>
      </c>
      <c r="I4714" t="s">
        <v>24</v>
      </c>
      <c r="J4714" t="s">
        <v>43</v>
      </c>
      <c r="K4714" t="s">
        <v>36</v>
      </c>
      <c r="L4714" t="s">
        <v>27</v>
      </c>
      <c r="M4714">
        <v>3</v>
      </c>
      <c r="N4714" s="2">
        <v>71</v>
      </c>
      <c r="O4714" s="3">
        <v>3202</v>
      </c>
      <c r="P4714">
        <v>0</v>
      </c>
      <c r="Q4714">
        <v>5</v>
      </c>
      <c r="R4714" t="s">
        <v>28</v>
      </c>
      <c r="S4714">
        <v>1</v>
      </c>
    </row>
    <row r="4715" spans="1:19" ht="16.5" x14ac:dyDescent="0.3">
      <c r="A4715" t="s">
        <v>4778</v>
      </c>
      <c r="B4715" s="1">
        <v>45917</v>
      </c>
      <c r="C4715" s="1">
        <v>45931</v>
      </c>
      <c r="D4715">
        <v>2025</v>
      </c>
      <c r="E4715" t="s">
        <v>1445</v>
      </c>
      <c r="F4715" t="s">
        <v>1821</v>
      </c>
      <c r="G4715" t="s">
        <v>70</v>
      </c>
      <c r="H4715" t="s">
        <v>23</v>
      </c>
      <c r="I4715" t="s">
        <v>24</v>
      </c>
      <c r="J4715" t="s">
        <v>43</v>
      </c>
      <c r="K4715" t="s">
        <v>32</v>
      </c>
      <c r="L4715" t="s">
        <v>44</v>
      </c>
      <c r="M4715">
        <v>14</v>
      </c>
      <c r="N4715" s="2">
        <v>108</v>
      </c>
      <c r="O4715" s="3">
        <v>10690</v>
      </c>
      <c r="P4715">
        <v>0</v>
      </c>
      <c r="Q4715">
        <v>3</v>
      </c>
      <c r="R4715" t="s">
        <v>28</v>
      </c>
      <c r="S4715">
        <v>1</v>
      </c>
    </row>
    <row r="4716" spans="1:19" ht="16.5" x14ac:dyDescent="0.3">
      <c r="A4716" t="s">
        <v>4779</v>
      </c>
      <c r="B4716" s="1">
        <v>45917</v>
      </c>
      <c r="C4716" s="1">
        <v>45924</v>
      </c>
      <c r="D4716">
        <v>2025</v>
      </c>
      <c r="E4716" t="s">
        <v>1445</v>
      </c>
      <c r="F4716" t="s">
        <v>1821</v>
      </c>
      <c r="G4716" t="s">
        <v>70</v>
      </c>
      <c r="H4716" t="s">
        <v>52</v>
      </c>
      <c r="I4716" t="s">
        <v>24</v>
      </c>
      <c r="J4716" t="s">
        <v>43</v>
      </c>
      <c r="K4716" t="s">
        <v>26</v>
      </c>
      <c r="L4716" t="s">
        <v>27</v>
      </c>
      <c r="M4716">
        <v>7</v>
      </c>
      <c r="N4716" s="2">
        <v>112</v>
      </c>
      <c r="O4716" s="3">
        <v>8130</v>
      </c>
      <c r="P4716">
        <v>0</v>
      </c>
      <c r="Q4716">
        <v>3</v>
      </c>
      <c r="R4716" t="s">
        <v>28</v>
      </c>
      <c r="S4716">
        <v>1</v>
      </c>
    </row>
    <row r="4717" spans="1:19" ht="16.5" x14ac:dyDescent="0.3">
      <c r="A4717" t="s">
        <v>4780</v>
      </c>
      <c r="B4717" s="1">
        <v>45917</v>
      </c>
      <c r="C4717" s="1">
        <v>45922</v>
      </c>
      <c r="D4717">
        <v>2025</v>
      </c>
      <c r="E4717" t="s">
        <v>1445</v>
      </c>
      <c r="F4717" t="s">
        <v>1821</v>
      </c>
      <c r="G4717" t="s">
        <v>70</v>
      </c>
      <c r="H4717" t="s">
        <v>52</v>
      </c>
      <c r="I4717" t="s">
        <v>24</v>
      </c>
      <c r="J4717" t="s">
        <v>25</v>
      </c>
      <c r="K4717" t="s">
        <v>53</v>
      </c>
      <c r="L4717" t="s">
        <v>27</v>
      </c>
      <c r="M4717">
        <v>5</v>
      </c>
      <c r="N4717" s="2">
        <v>14</v>
      </c>
      <c r="O4717" s="3">
        <v>4313</v>
      </c>
      <c r="P4717">
        <v>0</v>
      </c>
      <c r="Q4717">
        <v>4</v>
      </c>
      <c r="R4717" t="s">
        <v>33</v>
      </c>
      <c r="S4717">
        <v>1</v>
      </c>
    </row>
    <row r="4718" spans="1:19" ht="16.5" x14ac:dyDescent="0.3">
      <c r="A4718" t="s">
        <v>4781</v>
      </c>
      <c r="B4718" s="1">
        <v>45917</v>
      </c>
      <c r="C4718" s="1">
        <v>45923</v>
      </c>
      <c r="D4718">
        <v>2025</v>
      </c>
      <c r="E4718" t="s">
        <v>1445</v>
      </c>
      <c r="F4718" t="s">
        <v>1821</v>
      </c>
      <c r="G4718" t="s">
        <v>70</v>
      </c>
      <c r="H4718" t="s">
        <v>35</v>
      </c>
      <c r="I4718" t="s">
        <v>24</v>
      </c>
      <c r="J4718" t="s">
        <v>25</v>
      </c>
      <c r="K4718" t="s">
        <v>32</v>
      </c>
      <c r="L4718" t="s">
        <v>44</v>
      </c>
      <c r="M4718">
        <v>6</v>
      </c>
      <c r="N4718" s="2">
        <v>70</v>
      </c>
      <c r="O4718" s="3">
        <v>4092</v>
      </c>
      <c r="P4718">
        <v>0</v>
      </c>
      <c r="Q4718">
        <v>5</v>
      </c>
      <c r="R4718" t="s">
        <v>33</v>
      </c>
      <c r="S4718">
        <v>1</v>
      </c>
    </row>
    <row r="4719" spans="1:19" ht="16.5" x14ac:dyDescent="0.3">
      <c r="A4719" t="s">
        <v>4782</v>
      </c>
      <c r="B4719" s="1">
        <v>45917</v>
      </c>
      <c r="C4719" s="1">
        <v>45921</v>
      </c>
      <c r="D4719">
        <v>2025</v>
      </c>
      <c r="E4719" t="s">
        <v>1445</v>
      </c>
      <c r="F4719" t="s">
        <v>1821</v>
      </c>
      <c r="G4719" t="s">
        <v>70</v>
      </c>
      <c r="H4719" t="s">
        <v>23</v>
      </c>
      <c r="I4719" t="s">
        <v>24</v>
      </c>
      <c r="J4719" t="s">
        <v>25</v>
      </c>
      <c r="K4719" t="s">
        <v>53</v>
      </c>
      <c r="L4719" t="s">
        <v>44</v>
      </c>
      <c r="M4719">
        <v>4</v>
      </c>
      <c r="N4719" s="2">
        <v>24</v>
      </c>
      <c r="O4719" s="3">
        <v>3105</v>
      </c>
      <c r="P4719">
        <v>0</v>
      </c>
      <c r="Q4719">
        <v>4</v>
      </c>
      <c r="R4719" t="s">
        <v>28</v>
      </c>
      <c r="S4719">
        <v>1</v>
      </c>
    </row>
    <row r="4720" spans="1:19" ht="16.5" x14ac:dyDescent="0.3">
      <c r="A4720" t="s">
        <v>4783</v>
      </c>
      <c r="B4720" s="1">
        <v>45918</v>
      </c>
      <c r="C4720" s="1">
        <v>45922</v>
      </c>
      <c r="D4720">
        <v>2025</v>
      </c>
      <c r="E4720" t="s">
        <v>1445</v>
      </c>
      <c r="F4720" t="s">
        <v>1821</v>
      </c>
      <c r="G4720" t="s">
        <v>78</v>
      </c>
      <c r="H4720" t="s">
        <v>39</v>
      </c>
      <c r="I4720" t="s">
        <v>24</v>
      </c>
      <c r="J4720" t="s">
        <v>25</v>
      </c>
      <c r="K4720" t="s">
        <v>41</v>
      </c>
      <c r="L4720" t="s">
        <v>27</v>
      </c>
      <c r="M4720">
        <v>4</v>
      </c>
      <c r="N4720" s="2">
        <v>35</v>
      </c>
      <c r="O4720" s="3">
        <v>3211</v>
      </c>
      <c r="P4720">
        <v>0</v>
      </c>
      <c r="Q4720">
        <v>4</v>
      </c>
      <c r="R4720" t="s">
        <v>33</v>
      </c>
      <c r="S4720">
        <v>1</v>
      </c>
    </row>
    <row r="4721" spans="1:19" ht="16.5" x14ac:dyDescent="0.3">
      <c r="A4721" t="s">
        <v>4784</v>
      </c>
      <c r="B4721" s="1">
        <v>45918</v>
      </c>
      <c r="C4721" s="1">
        <v>45921</v>
      </c>
      <c r="D4721">
        <v>2025</v>
      </c>
      <c r="E4721" t="s">
        <v>1445</v>
      </c>
      <c r="F4721" t="s">
        <v>1821</v>
      </c>
      <c r="G4721" t="s">
        <v>78</v>
      </c>
      <c r="H4721" t="s">
        <v>23</v>
      </c>
      <c r="I4721" t="s">
        <v>24</v>
      </c>
      <c r="J4721" t="s">
        <v>43</v>
      </c>
      <c r="K4721" t="s">
        <v>26</v>
      </c>
      <c r="L4721" t="s">
        <v>37</v>
      </c>
      <c r="M4721">
        <v>3</v>
      </c>
      <c r="N4721" s="2">
        <v>23</v>
      </c>
      <c r="O4721" s="3">
        <v>2478</v>
      </c>
      <c r="P4721">
        <v>0</v>
      </c>
      <c r="Q4721">
        <v>4</v>
      </c>
      <c r="R4721" t="s">
        <v>33</v>
      </c>
      <c r="S4721">
        <v>1</v>
      </c>
    </row>
    <row r="4722" spans="1:19" ht="16.5" x14ac:dyDescent="0.3">
      <c r="A4722" t="s">
        <v>4785</v>
      </c>
      <c r="B4722" s="1">
        <v>45918</v>
      </c>
      <c r="C4722" s="1">
        <v>45923</v>
      </c>
      <c r="D4722">
        <v>2025</v>
      </c>
      <c r="E4722" t="s">
        <v>1445</v>
      </c>
      <c r="F4722" t="s">
        <v>1821</v>
      </c>
      <c r="G4722" t="s">
        <v>78</v>
      </c>
      <c r="H4722" t="s">
        <v>23</v>
      </c>
      <c r="I4722" t="s">
        <v>24</v>
      </c>
      <c r="J4722" t="s">
        <v>43</v>
      </c>
      <c r="K4722" t="s">
        <v>26</v>
      </c>
      <c r="L4722" t="s">
        <v>44</v>
      </c>
      <c r="M4722">
        <v>5</v>
      </c>
      <c r="N4722" s="2">
        <v>34</v>
      </c>
      <c r="O4722" s="3">
        <v>3879</v>
      </c>
      <c r="P4722">
        <v>0</v>
      </c>
      <c r="Q4722">
        <v>3</v>
      </c>
      <c r="R4722" t="s">
        <v>33</v>
      </c>
      <c r="S4722">
        <v>1</v>
      </c>
    </row>
    <row r="4723" spans="1:19" ht="16.5" x14ac:dyDescent="0.3">
      <c r="A4723" t="s">
        <v>4786</v>
      </c>
      <c r="B4723" s="1">
        <v>45919</v>
      </c>
      <c r="C4723" s="1">
        <v>45923</v>
      </c>
      <c r="D4723">
        <v>2025</v>
      </c>
      <c r="E4723" t="s">
        <v>1445</v>
      </c>
      <c r="F4723" t="s">
        <v>1821</v>
      </c>
      <c r="G4723" t="s">
        <v>83</v>
      </c>
      <c r="H4723" t="s">
        <v>30</v>
      </c>
      <c r="I4723" t="s">
        <v>40</v>
      </c>
      <c r="J4723" t="s">
        <v>25</v>
      </c>
      <c r="K4723" t="s">
        <v>26</v>
      </c>
      <c r="L4723" t="s">
        <v>27</v>
      </c>
      <c r="M4723">
        <v>4</v>
      </c>
      <c r="N4723" s="2"/>
      <c r="O4723" s="3">
        <v>4587</v>
      </c>
      <c r="P4723">
        <v>0</v>
      </c>
      <c r="Q4723">
        <v>3</v>
      </c>
      <c r="R4723" t="s">
        <v>33</v>
      </c>
      <c r="S4723">
        <v>1</v>
      </c>
    </row>
    <row r="4724" spans="1:19" ht="16.5" x14ac:dyDescent="0.3">
      <c r="A4724" t="s">
        <v>4787</v>
      </c>
      <c r="B4724" s="1">
        <v>45919</v>
      </c>
      <c r="C4724" s="1">
        <v>45924</v>
      </c>
      <c r="D4724">
        <v>2025</v>
      </c>
      <c r="E4724" t="s">
        <v>1445</v>
      </c>
      <c r="F4724" t="s">
        <v>1821</v>
      </c>
      <c r="G4724" t="s">
        <v>83</v>
      </c>
      <c r="H4724" t="s">
        <v>39</v>
      </c>
      <c r="I4724" t="s">
        <v>24</v>
      </c>
      <c r="J4724" t="s">
        <v>25</v>
      </c>
      <c r="K4724" t="s">
        <v>41</v>
      </c>
      <c r="L4724" t="s">
        <v>44</v>
      </c>
      <c r="M4724">
        <v>5</v>
      </c>
      <c r="N4724" s="2">
        <v>123</v>
      </c>
      <c r="O4724" s="3">
        <v>3610</v>
      </c>
      <c r="P4724">
        <v>0</v>
      </c>
      <c r="Q4724">
        <v>4</v>
      </c>
      <c r="R4724" t="s">
        <v>33</v>
      </c>
      <c r="S4724">
        <v>1</v>
      </c>
    </row>
    <row r="4725" spans="1:19" ht="16.5" x14ac:dyDescent="0.3">
      <c r="A4725" t="s">
        <v>4788</v>
      </c>
      <c r="B4725" s="1">
        <v>45919</v>
      </c>
      <c r="C4725" s="1">
        <v>45920</v>
      </c>
      <c r="D4725">
        <v>2025</v>
      </c>
      <c r="E4725" t="s">
        <v>1445</v>
      </c>
      <c r="F4725" t="s">
        <v>1821</v>
      </c>
      <c r="G4725" t="s">
        <v>83</v>
      </c>
      <c r="H4725" t="s">
        <v>23</v>
      </c>
      <c r="I4725" t="s">
        <v>24</v>
      </c>
      <c r="J4725" t="s">
        <v>43</v>
      </c>
      <c r="K4725" t="s">
        <v>32</v>
      </c>
      <c r="L4725" t="s">
        <v>44</v>
      </c>
      <c r="M4725">
        <v>1</v>
      </c>
      <c r="N4725" s="2">
        <v>80</v>
      </c>
      <c r="O4725" s="3">
        <v>1641</v>
      </c>
      <c r="P4725">
        <v>0</v>
      </c>
      <c r="Q4725">
        <v>4</v>
      </c>
      <c r="R4725" t="s">
        <v>33</v>
      </c>
      <c r="S4725">
        <v>1</v>
      </c>
    </row>
    <row r="4726" spans="1:19" ht="16.5" x14ac:dyDescent="0.3">
      <c r="A4726" t="s">
        <v>4789</v>
      </c>
      <c r="B4726" s="1">
        <v>45919</v>
      </c>
      <c r="C4726" s="1">
        <v>45920</v>
      </c>
      <c r="D4726">
        <v>2025</v>
      </c>
      <c r="E4726" t="s">
        <v>1445</v>
      </c>
      <c r="F4726" t="s">
        <v>1821</v>
      </c>
      <c r="G4726" t="s">
        <v>83</v>
      </c>
      <c r="H4726" t="s">
        <v>39</v>
      </c>
      <c r="I4726" t="s">
        <v>40</v>
      </c>
      <c r="J4726" t="s">
        <v>25</v>
      </c>
      <c r="K4726" t="s">
        <v>41</v>
      </c>
      <c r="L4726" t="s">
        <v>27</v>
      </c>
      <c r="M4726">
        <v>1</v>
      </c>
      <c r="N4726" s="2"/>
      <c r="O4726" s="3">
        <v>1364</v>
      </c>
      <c r="P4726">
        <v>0</v>
      </c>
      <c r="Q4726">
        <v>4</v>
      </c>
      <c r="R4726" t="s">
        <v>28</v>
      </c>
      <c r="S4726">
        <v>1</v>
      </c>
    </row>
    <row r="4727" spans="1:19" ht="16.5" x14ac:dyDescent="0.3">
      <c r="A4727" t="s">
        <v>4790</v>
      </c>
      <c r="B4727" s="1">
        <v>45919</v>
      </c>
      <c r="C4727" s="1">
        <v>45921</v>
      </c>
      <c r="D4727">
        <v>2025</v>
      </c>
      <c r="E4727" t="s">
        <v>1445</v>
      </c>
      <c r="F4727" t="s">
        <v>1821</v>
      </c>
      <c r="G4727" t="s">
        <v>83</v>
      </c>
      <c r="H4727" t="s">
        <v>52</v>
      </c>
      <c r="I4727" t="s">
        <v>24</v>
      </c>
      <c r="J4727" t="s">
        <v>25</v>
      </c>
      <c r="K4727" t="s">
        <v>32</v>
      </c>
      <c r="L4727" t="s">
        <v>44</v>
      </c>
      <c r="M4727">
        <v>2</v>
      </c>
      <c r="N4727" s="2">
        <v>25</v>
      </c>
      <c r="O4727" s="3">
        <v>2824</v>
      </c>
      <c r="P4727">
        <v>0</v>
      </c>
      <c r="Q4727">
        <v>4</v>
      </c>
      <c r="R4727" t="s">
        <v>59</v>
      </c>
      <c r="S4727">
        <v>1</v>
      </c>
    </row>
    <row r="4728" spans="1:19" ht="16.5" x14ac:dyDescent="0.3">
      <c r="A4728" t="s">
        <v>4791</v>
      </c>
      <c r="B4728" s="1">
        <v>45920</v>
      </c>
      <c r="C4728" s="1">
        <v>45921</v>
      </c>
      <c r="D4728">
        <v>2025</v>
      </c>
      <c r="E4728" t="s">
        <v>1445</v>
      </c>
      <c r="F4728" t="s">
        <v>1821</v>
      </c>
      <c r="G4728" t="s">
        <v>102</v>
      </c>
      <c r="H4728" t="s">
        <v>50</v>
      </c>
      <c r="I4728" t="s">
        <v>24</v>
      </c>
      <c r="J4728" t="s">
        <v>43</v>
      </c>
      <c r="K4728" t="s">
        <v>53</v>
      </c>
      <c r="L4728" t="s">
        <v>44</v>
      </c>
      <c r="M4728">
        <v>1</v>
      </c>
      <c r="N4728" s="2">
        <v>198</v>
      </c>
      <c r="O4728" s="3">
        <v>1652</v>
      </c>
      <c r="P4728">
        <v>1</v>
      </c>
      <c r="Q4728">
        <v>3</v>
      </c>
      <c r="R4728" t="s">
        <v>28</v>
      </c>
      <c r="S4728">
        <v>1</v>
      </c>
    </row>
    <row r="4729" spans="1:19" ht="16.5" x14ac:dyDescent="0.3">
      <c r="A4729" t="s">
        <v>4792</v>
      </c>
      <c r="B4729" s="1">
        <v>45920</v>
      </c>
      <c r="C4729" s="1">
        <v>45924</v>
      </c>
      <c r="D4729">
        <v>2025</v>
      </c>
      <c r="E4729" t="s">
        <v>1445</v>
      </c>
      <c r="F4729" t="s">
        <v>1821</v>
      </c>
      <c r="G4729" t="s">
        <v>102</v>
      </c>
      <c r="H4729" t="s">
        <v>39</v>
      </c>
      <c r="I4729" t="s">
        <v>24</v>
      </c>
      <c r="J4729" t="s">
        <v>43</v>
      </c>
      <c r="K4729" t="s">
        <v>41</v>
      </c>
      <c r="L4729" t="s">
        <v>27</v>
      </c>
      <c r="M4729">
        <v>4</v>
      </c>
      <c r="N4729" s="2">
        <v>66</v>
      </c>
      <c r="O4729" s="3">
        <v>2366</v>
      </c>
      <c r="P4729">
        <v>0</v>
      </c>
      <c r="Q4729">
        <v>4</v>
      </c>
      <c r="R4729" t="s">
        <v>33</v>
      </c>
      <c r="S4729">
        <v>1</v>
      </c>
    </row>
    <row r="4730" spans="1:19" ht="16.5" x14ac:dyDescent="0.3">
      <c r="A4730" t="s">
        <v>4793</v>
      </c>
      <c r="B4730" s="1">
        <v>45920</v>
      </c>
      <c r="C4730" s="1">
        <v>45923</v>
      </c>
      <c r="D4730">
        <v>2025</v>
      </c>
      <c r="E4730" t="s">
        <v>1445</v>
      </c>
      <c r="F4730" t="s">
        <v>1821</v>
      </c>
      <c r="G4730" t="s">
        <v>102</v>
      </c>
      <c r="H4730" t="s">
        <v>39</v>
      </c>
      <c r="I4730" t="s">
        <v>24</v>
      </c>
      <c r="J4730" t="s">
        <v>25</v>
      </c>
      <c r="K4730" t="s">
        <v>41</v>
      </c>
      <c r="L4730" t="s">
        <v>44</v>
      </c>
      <c r="M4730">
        <v>3</v>
      </c>
      <c r="N4730" s="2">
        <v>81</v>
      </c>
      <c r="O4730" s="3">
        <v>2862</v>
      </c>
      <c r="P4730">
        <v>0</v>
      </c>
      <c r="Q4730">
        <v>4</v>
      </c>
      <c r="R4730" t="s">
        <v>33</v>
      </c>
      <c r="S4730">
        <v>1</v>
      </c>
    </row>
    <row r="4731" spans="1:19" ht="16.5" x14ac:dyDescent="0.3">
      <c r="A4731" t="s">
        <v>4794</v>
      </c>
      <c r="B4731" s="1">
        <v>45920</v>
      </c>
      <c r="C4731" s="1">
        <v>45924</v>
      </c>
      <c r="D4731">
        <v>2025</v>
      </c>
      <c r="E4731" t="s">
        <v>1445</v>
      </c>
      <c r="F4731" t="s">
        <v>1821</v>
      </c>
      <c r="G4731" t="s">
        <v>102</v>
      </c>
      <c r="H4731" t="s">
        <v>30</v>
      </c>
      <c r="I4731" t="s">
        <v>40</v>
      </c>
      <c r="J4731" t="s">
        <v>43</v>
      </c>
      <c r="K4731" t="s">
        <v>32</v>
      </c>
      <c r="L4731" t="s">
        <v>27</v>
      </c>
      <c r="M4731">
        <v>4</v>
      </c>
      <c r="N4731" s="2"/>
      <c r="O4731" s="3">
        <v>5442</v>
      </c>
      <c r="P4731">
        <v>0</v>
      </c>
      <c r="Q4731">
        <v>4</v>
      </c>
      <c r="R4731" t="s">
        <v>33</v>
      </c>
      <c r="S4731">
        <v>1</v>
      </c>
    </row>
    <row r="4732" spans="1:19" ht="16.5" x14ac:dyDescent="0.3">
      <c r="A4732" t="s">
        <v>4795</v>
      </c>
      <c r="B4732" s="1">
        <v>45920</v>
      </c>
      <c r="C4732" s="1">
        <v>45924</v>
      </c>
      <c r="D4732">
        <v>2025</v>
      </c>
      <c r="E4732" t="s">
        <v>1445</v>
      </c>
      <c r="F4732" t="s">
        <v>1821</v>
      </c>
      <c r="G4732" t="s">
        <v>102</v>
      </c>
      <c r="H4732" t="s">
        <v>23</v>
      </c>
      <c r="I4732" t="s">
        <v>24</v>
      </c>
      <c r="J4732" t="s">
        <v>25</v>
      </c>
      <c r="K4732" t="s">
        <v>26</v>
      </c>
      <c r="L4732" t="s">
        <v>44</v>
      </c>
      <c r="M4732">
        <v>4</v>
      </c>
      <c r="N4732" s="2">
        <v>38</v>
      </c>
      <c r="O4732" s="3">
        <v>3412</v>
      </c>
      <c r="P4732">
        <v>1</v>
      </c>
      <c r="Q4732">
        <v>4</v>
      </c>
      <c r="R4732" t="s">
        <v>33</v>
      </c>
      <c r="S4732">
        <v>1</v>
      </c>
    </row>
    <row r="4733" spans="1:19" ht="16.5" x14ac:dyDescent="0.3">
      <c r="A4733" t="s">
        <v>4796</v>
      </c>
      <c r="B4733" s="1">
        <v>45921</v>
      </c>
      <c r="C4733" s="1">
        <v>45923</v>
      </c>
      <c r="D4733">
        <v>2025</v>
      </c>
      <c r="E4733" t="s">
        <v>1445</v>
      </c>
      <c r="F4733" t="s">
        <v>1821</v>
      </c>
      <c r="G4733" t="s">
        <v>112</v>
      </c>
      <c r="H4733" t="s">
        <v>35</v>
      </c>
      <c r="I4733" t="s">
        <v>24</v>
      </c>
      <c r="J4733" t="s">
        <v>25</v>
      </c>
      <c r="K4733" t="s">
        <v>36</v>
      </c>
      <c r="L4733" t="s">
        <v>27</v>
      </c>
      <c r="M4733">
        <v>2</v>
      </c>
      <c r="N4733" s="2">
        <v>125</v>
      </c>
      <c r="O4733" s="3">
        <v>2305</v>
      </c>
      <c r="P4733">
        <v>1</v>
      </c>
      <c r="Q4733">
        <v>2</v>
      </c>
      <c r="R4733" t="s">
        <v>33</v>
      </c>
      <c r="S4733">
        <v>1</v>
      </c>
    </row>
    <row r="4734" spans="1:19" ht="16.5" x14ac:dyDescent="0.3">
      <c r="A4734" t="s">
        <v>4797</v>
      </c>
      <c r="B4734" s="1">
        <v>45921</v>
      </c>
      <c r="C4734" s="1">
        <v>45926</v>
      </c>
      <c r="D4734">
        <v>2025</v>
      </c>
      <c r="E4734" t="s">
        <v>1445</v>
      </c>
      <c r="F4734" t="s">
        <v>1821</v>
      </c>
      <c r="G4734" t="s">
        <v>112</v>
      </c>
      <c r="H4734" t="s">
        <v>39</v>
      </c>
      <c r="I4734" t="s">
        <v>40</v>
      </c>
      <c r="J4734" t="s">
        <v>43</v>
      </c>
      <c r="K4734" t="s">
        <v>41</v>
      </c>
      <c r="L4734" t="s">
        <v>27</v>
      </c>
      <c r="M4734">
        <v>5</v>
      </c>
      <c r="N4734" s="2"/>
      <c r="O4734" s="3">
        <v>3366</v>
      </c>
      <c r="P4734">
        <v>0</v>
      </c>
      <c r="Q4734">
        <v>5</v>
      </c>
      <c r="R4734" t="s">
        <v>33</v>
      </c>
      <c r="S4734">
        <v>1</v>
      </c>
    </row>
    <row r="4735" spans="1:19" ht="16.5" x14ac:dyDescent="0.3">
      <c r="A4735" t="s">
        <v>4798</v>
      </c>
      <c r="B4735" s="1">
        <v>45922</v>
      </c>
      <c r="C4735" s="1">
        <v>45923</v>
      </c>
      <c r="D4735">
        <v>2025</v>
      </c>
      <c r="E4735" t="s">
        <v>1445</v>
      </c>
      <c r="F4735" t="s">
        <v>1821</v>
      </c>
      <c r="G4735" t="s">
        <v>22</v>
      </c>
      <c r="H4735" t="s">
        <v>52</v>
      </c>
      <c r="I4735" t="s">
        <v>40</v>
      </c>
      <c r="J4735" t="s">
        <v>25</v>
      </c>
      <c r="K4735" t="s">
        <v>26</v>
      </c>
      <c r="L4735" t="s">
        <v>27</v>
      </c>
      <c r="M4735">
        <v>1</v>
      </c>
      <c r="N4735" s="2"/>
      <c r="O4735" s="3">
        <v>2054</v>
      </c>
      <c r="P4735">
        <v>0</v>
      </c>
      <c r="Q4735">
        <v>4</v>
      </c>
      <c r="R4735" t="s">
        <v>33</v>
      </c>
      <c r="S4735">
        <v>1</v>
      </c>
    </row>
    <row r="4736" spans="1:19" ht="16.5" x14ac:dyDescent="0.3">
      <c r="A4736" t="s">
        <v>4799</v>
      </c>
      <c r="B4736" s="1">
        <v>45922</v>
      </c>
      <c r="C4736" s="1">
        <v>45924</v>
      </c>
      <c r="D4736">
        <v>2025</v>
      </c>
      <c r="E4736" t="s">
        <v>1445</v>
      </c>
      <c r="F4736" t="s">
        <v>1821</v>
      </c>
      <c r="G4736" t="s">
        <v>22</v>
      </c>
      <c r="H4736" t="s">
        <v>39</v>
      </c>
      <c r="I4736" t="s">
        <v>24</v>
      </c>
      <c r="J4736" t="s">
        <v>25</v>
      </c>
      <c r="K4736" t="s">
        <v>41</v>
      </c>
      <c r="L4736" t="s">
        <v>44</v>
      </c>
      <c r="M4736">
        <v>2</v>
      </c>
      <c r="N4736" s="2">
        <v>47</v>
      </c>
      <c r="O4736" s="3">
        <v>1694</v>
      </c>
      <c r="P4736">
        <v>0</v>
      </c>
      <c r="Q4736">
        <v>4</v>
      </c>
      <c r="R4736" t="s">
        <v>33</v>
      </c>
      <c r="S4736">
        <v>1</v>
      </c>
    </row>
    <row r="4737" spans="1:19" ht="16.5" x14ac:dyDescent="0.3">
      <c r="A4737" t="s">
        <v>4800</v>
      </c>
      <c r="B4737" s="1">
        <v>45922</v>
      </c>
      <c r="C4737" s="1">
        <v>45933</v>
      </c>
      <c r="D4737">
        <v>2025</v>
      </c>
      <c r="E4737" t="s">
        <v>1445</v>
      </c>
      <c r="F4737" t="s">
        <v>1821</v>
      </c>
      <c r="G4737" t="s">
        <v>22</v>
      </c>
      <c r="H4737" t="s">
        <v>23</v>
      </c>
      <c r="I4737" t="s">
        <v>24</v>
      </c>
      <c r="J4737" t="s">
        <v>43</v>
      </c>
      <c r="K4737" t="s">
        <v>26</v>
      </c>
      <c r="L4737" t="s">
        <v>27</v>
      </c>
      <c r="M4737">
        <v>11</v>
      </c>
      <c r="N4737" s="2">
        <v>130</v>
      </c>
      <c r="O4737" s="3">
        <v>8403</v>
      </c>
      <c r="P4737">
        <v>0</v>
      </c>
      <c r="Q4737">
        <v>4</v>
      </c>
      <c r="R4737" t="s">
        <v>33</v>
      </c>
      <c r="S4737">
        <v>1</v>
      </c>
    </row>
    <row r="4738" spans="1:19" ht="16.5" x14ac:dyDescent="0.3">
      <c r="A4738" t="s">
        <v>4801</v>
      </c>
      <c r="B4738" s="1">
        <v>45922</v>
      </c>
      <c r="C4738" s="1">
        <v>45923</v>
      </c>
      <c r="D4738">
        <v>2025</v>
      </c>
      <c r="E4738" t="s">
        <v>1445</v>
      </c>
      <c r="F4738" t="s">
        <v>1821</v>
      </c>
      <c r="G4738" t="s">
        <v>22</v>
      </c>
      <c r="H4738" t="s">
        <v>39</v>
      </c>
      <c r="I4738" t="s">
        <v>24</v>
      </c>
      <c r="J4738" t="s">
        <v>43</v>
      </c>
      <c r="K4738" t="s">
        <v>41</v>
      </c>
      <c r="L4738" t="s">
        <v>44</v>
      </c>
      <c r="M4738">
        <v>1</v>
      </c>
      <c r="N4738" s="2">
        <v>54</v>
      </c>
      <c r="O4738" s="3">
        <v>958</v>
      </c>
      <c r="P4738">
        <v>0</v>
      </c>
      <c r="Q4738">
        <v>4</v>
      </c>
      <c r="R4738" t="s">
        <v>59</v>
      </c>
      <c r="S4738">
        <v>1</v>
      </c>
    </row>
    <row r="4739" spans="1:19" ht="16.5" x14ac:dyDescent="0.3">
      <c r="A4739" t="s">
        <v>4802</v>
      </c>
      <c r="B4739" s="1">
        <v>45922</v>
      </c>
      <c r="C4739" s="1">
        <v>45926</v>
      </c>
      <c r="D4739">
        <v>2025</v>
      </c>
      <c r="E4739" t="s">
        <v>1445</v>
      </c>
      <c r="F4739" t="s">
        <v>1821</v>
      </c>
      <c r="G4739" t="s">
        <v>22</v>
      </c>
      <c r="H4739" t="s">
        <v>52</v>
      </c>
      <c r="I4739" t="s">
        <v>40</v>
      </c>
      <c r="J4739" t="s">
        <v>25</v>
      </c>
      <c r="K4739" t="s">
        <v>26</v>
      </c>
      <c r="L4739" t="s">
        <v>44</v>
      </c>
      <c r="M4739">
        <v>4</v>
      </c>
      <c r="N4739" s="2"/>
      <c r="O4739" s="3">
        <v>3001</v>
      </c>
      <c r="P4739">
        <v>0</v>
      </c>
      <c r="Q4739">
        <v>3</v>
      </c>
      <c r="R4739" t="s">
        <v>33</v>
      </c>
      <c r="S4739">
        <v>1</v>
      </c>
    </row>
    <row r="4740" spans="1:19" ht="16.5" x14ac:dyDescent="0.3">
      <c r="A4740" t="s">
        <v>4803</v>
      </c>
      <c r="B4740" s="1">
        <v>45922</v>
      </c>
      <c r="C4740" s="1">
        <v>45925</v>
      </c>
      <c r="D4740">
        <v>2025</v>
      </c>
      <c r="E4740" t="s">
        <v>1445</v>
      </c>
      <c r="F4740" t="s">
        <v>1821</v>
      </c>
      <c r="G4740" t="s">
        <v>22</v>
      </c>
      <c r="H4740" t="s">
        <v>50</v>
      </c>
      <c r="I4740" t="s">
        <v>24</v>
      </c>
      <c r="J4740" t="s">
        <v>43</v>
      </c>
      <c r="K4740" t="s">
        <v>26</v>
      </c>
      <c r="L4740" t="s">
        <v>44</v>
      </c>
      <c r="M4740">
        <v>3</v>
      </c>
      <c r="N4740" s="2">
        <v>61</v>
      </c>
      <c r="O4740" s="3">
        <v>4988</v>
      </c>
      <c r="P4740">
        <v>0</v>
      </c>
      <c r="Q4740">
        <v>4</v>
      </c>
      <c r="R4740" t="s">
        <v>33</v>
      </c>
      <c r="S4740">
        <v>1</v>
      </c>
    </row>
    <row r="4741" spans="1:19" ht="16.5" x14ac:dyDescent="0.3">
      <c r="A4741" t="s">
        <v>4804</v>
      </c>
      <c r="B4741" s="1">
        <v>45922</v>
      </c>
      <c r="C4741" s="1">
        <v>45934</v>
      </c>
      <c r="D4741">
        <v>2025</v>
      </c>
      <c r="E4741" t="s">
        <v>1445</v>
      </c>
      <c r="F4741" t="s">
        <v>1821</v>
      </c>
      <c r="G4741" t="s">
        <v>22</v>
      </c>
      <c r="H4741" t="s">
        <v>23</v>
      </c>
      <c r="I4741" t="s">
        <v>40</v>
      </c>
      <c r="J4741" t="s">
        <v>25</v>
      </c>
      <c r="K4741" t="s">
        <v>32</v>
      </c>
      <c r="L4741" t="s">
        <v>44</v>
      </c>
      <c r="M4741">
        <v>12</v>
      </c>
      <c r="N4741" s="2"/>
      <c r="O4741" s="3">
        <v>6749</v>
      </c>
      <c r="P4741">
        <v>0</v>
      </c>
      <c r="Q4741">
        <v>4</v>
      </c>
      <c r="R4741" t="s">
        <v>33</v>
      </c>
      <c r="S4741">
        <v>1</v>
      </c>
    </row>
    <row r="4742" spans="1:19" ht="16.5" x14ac:dyDescent="0.3">
      <c r="A4742" t="s">
        <v>4805</v>
      </c>
      <c r="B4742" s="1">
        <v>45922</v>
      </c>
      <c r="C4742" s="1">
        <v>45931</v>
      </c>
      <c r="D4742">
        <v>2025</v>
      </c>
      <c r="E4742" t="s">
        <v>1445</v>
      </c>
      <c r="F4742" t="s">
        <v>1821</v>
      </c>
      <c r="G4742" t="s">
        <v>22</v>
      </c>
      <c r="H4742" t="s">
        <v>50</v>
      </c>
      <c r="I4742" t="s">
        <v>24</v>
      </c>
      <c r="J4742" t="s">
        <v>43</v>
      </c>
      <c r="K4742" t="s">
        <v>53</v>
      </c>
      <c r="L4742" t="s">
        <v>27</v>
      </c>
      <c r="M4742">
        <v>9</v>
      </c>
      <c r="N4742" s="2">
        <v>14</v>
      </c>
      <c r="O4742" s="3">
        <v>14437</v>
      </c>
      <c r="P4742">
        <v>0</v>
      </c>
      <c r="Q4742">
        <v>5</v>
      </c>
      <c r="R4742" t="s">
        <v>33</v>
      </c>
      <c r="S4742">
        <v>1</v>
      </c>
    </row>
    <row r="4743" spans="1:19" ht="16.5" x14ac:dyDescent="0.3">
      <c r="A4743" t="s">
        <v>4806</v>
      </c>
      <c r="B4743" s="1">
        <v>45922</v>
      </c>
      <c r="C4743" s="1">
        <v>45925</v>
      </c>
      <c r="D4743">
        <v>2025</v>
      </c>
      <c r="E4743" t="s">
        <v>1445</v>
      </c>
      <c r="F4743" t="s">
        <v>1821</v>
      </c>
      <c r="G4743" t="s">
        <v>22</v>
      </c>
      <c r="H4743" t="s">
        <v>50</v>
      </c>
      <c r="I4743" t="s">
        <v>40</v>
      </c>
      <c r="J4743" t="s">
        <v>43</v>
      </c>
      <c r="K4743" t="s">
        <v>26</v>
      </c>
      <c r="L4743" t="s">
        <v>44</v>
      </c>
      <c r="M4743">
        <v>3</v>
      </c>
      <c r="N4743" s="2"/>
      <c r="O4743" s="3">
        <v>4140</v>
      </c>
      <c r="P4743">
        <v>1</v>
      </c>
      <c r="Q4743">
        <v>4</v>
      </c>
      <c r="R4743" t="s">
        <v>28</v>
      </c>
      <c r="S4743">
        <v>1</v>
      </c>
    </row>
    <row r="4744" spans="1:19" ht="16.5" x14ac:dyDescent="0.3">
      <c r="A4744" t="s">
        <v>4807</v>
      </c>
      <c r="B4744" s="1">
        <v>45923</v>
      </c>
      <c r="C4744" s="1">
        <v>45928</v>
      </c>
      <c r="D4744">
        <v>2025</v>
      </c>
      <c r="E4744" t="s">
        <v>1445</v>
      </c>
      <c r="F4744" t="s">
        <v>1821</v>
      </c>
      <c r="G4744" t="s">
        <v>56</v>
      </c>
      <c r="H4744" t="s">
        <v>23</v>
      </c>
      <c r="I4744" t="s">
        <v>40</v>
      </c>
      <c r="J4744" t="s">
        <v>43</v>
      </c>
      <c r="K4744" t="s">
        <v>36</v>
      </c>
      <c r="L4744" t="s">
        <v>37</v>
      </c>
      <c r="M4744">
        <v>5</v>
      </c>
      <c r="N4744" s="2"/>
      <c r="O4744" s="3">
        <v>3549</v>
      </c>
      <c r="P4744">
        <v>0</v>
      </c>
      <c r="Q4744">
        <v>4</v>
      </c>
      <c r="R4744" t="s">
        <v>33</v>
      </c>
      <c r="S4744">
        <v>1</v>
      </c>
    </row>
    <row r="4745" spans="1:19" ht="16.5" x14ac:dyDescent="0.3">
      <c r="A4745" t="s">
        <v>4808</v>
      </c>
      <c r="B4745" s="1">
        <v>45923</v>
      </c>
      <c r="C4745" s="1">
        <v>45924</v>
      </c>
      <c r="D4745">
        <v>2025</v>
      </c>
      <c r="E4745" t="s">
        <v>1445</v>
      </c>
      <c r="F4745" t="s">
        <v>1821</v>
      </c>
      <c r="G4745" t="s">
        <v>56</v>
      </c>
      <c r="H4745" t="s">
        <v>30</v>
      </c>
      <c r="I4745" t="s">
        <v>24</v>
      </c>
      <c r="J4745" t="s">
        <v>43</v>
      </c>
      <c r="K4745" t="s">
        <v>32</v>
      </c>
      <c r="L4745" t="s">
        <v>27</v>
      </c>
      <c r="M4745">
        <v>1</v>
      </c>
      <c r="N4745" s="2">
        <v>24</v>
      </c>
      <c r="O4745" s="3">
        <v>2207</v>
      </c>
      <c r="P4745">
        <v>0</v>
      </c>
      <c r="Q4745">
        <v>4</v>
      </c>
      <c r="R4745" t="s">
        <v>33</v>
      </c>
      <c r="S4745">
        <v>1</v>
      </c>
    </row>
    <row r="4746" spans="1:19" ht="16.5" x14ac:dyDescent="0.3">
      <c r="A4746" t="s">
        <v>4809</v>
      </c>
      <c r="B4746" s="1">
        <v>45923</v>
      </c>
      <c r="C4746" s="1">
        <v>45927</v>
      </c>
      <c r="D4746">
        <v>2025</v>
      </c>
      <c r="E4746" t="s">
        <v>1445</v>
      </c>
      <c r="F4746" t="s">
        <v>1821</v>
      </c>
      <c r="G4746" t="s">
        <v>56</v>
      </c>
      <c r="H4746" t="s">
        <v>39</v>
      </c>
      <c r="I4746" t="s">
        <v>24</v>
      </c>
      <c r="J4746" t="s">
        <v>43</v>
      </c>
      <c r="K4746" t="s">
        <v>41</v>
      </c>
      <c r="L4746" t="s">
        <v>27</v>
      </c>
      <c r="M4746">
        <v>4</v>
      </c>
      <c r="N4746" s="2">
        <v>68</v>
      </c>
      <c r="O4746" s="3">
        <v>3824</v>
      </c>
      <c r="P4746">
        <v>0</v>
      </c>
      <c r="Q4746">
        <v>4</v>
      </c>
      <c r="R4746" t="s">
        <v>33</v>
      </c>
      <c r="S4746">
        <v>1</v>
      </c>
    </row>
    <row r="4747" spans="1:19" ht="16.5" x14ac:dyDescent="0.3">
      <c r="A4747" t="s">
        <v>4810</v>
      </c>
      <c r="B4747" s="1">
        <v>45923</v>
      </c>
      <c r="C4747" s="1">
        <v>45924</v>
      </c>
      <c r="D4747">
        <v>2025</v>
      </c>
      <c r="E4747" t="s">
        <v>1445</v>
      </c>
      <c r="F4747" t="s">
        <v>1821</v>
      </c>
      <c r="G4747" t="s">
        <v>56</v>
      </c>
      <c r="H4747" t="s">
        <v>23</v>
      </c>
      <c r="I4747" t="s">
        <v>24</v>
      </c>
      <c r="J4747" t="s">
        <v>43</v>
      </c>
      <c r="K4747" t="s">
        <v>36</v>
      </c>
      <c r="L4747" t="s">
        <v>27</v>
      </c>
      <c r="M4747">
        <v>1</v>
      </c>
      <c r="N4747" s="2">
        <v>51</v>
      </c>
      <c r="O4747" s="3">
        <v>1674</v>
      </c>
      <c r="P4747">
        <v>0</v>
      </c>
      <c r="Q4747">
        <v>3</v>
      </c>
      <c r="R4747" t="s">
        <v>28</v>
      </c>
      <c r="S4747">
        <v>1</v>
      </c>
    </row>
    <row r="4748" spans="1:19" ht="16.5" x14ac:dyDescent="0.3">
      <c r="A4748" t="s">
        <v>4811</v>
      </c>
      <c r="B4748" s="1">
        <v>45923</v>
      </c>
      <c r="C4748" s="1">
        <v>45929</v>
      </c>
      <c r="D4748">
        <v>2025</v>
      </c>
      <c r="E4748" t="s">
        <v>1445</v>
      </c>
      <c r="F4748" t="s">
        <v>1821</v>
      </c>
      <c r="G4748" t="s">
        <v>56</v>
      </c>
      <c r="H4748" t="s">
        <v>30</v>
      </c>
      <c r="I4748" t="s">
        <v>24</v>
      </c>
      <c r="J4748" t="s">
        <v>43</v>
      </c>
      <c r="K4748" t="s">
        <v>26</v>
      </c>
      <c r="L4748" t="s">
        <v>27</v>
      </c>
      <c r="M4748">
        <v>6</v>
      </c>
      <c r="N4748" s="2">
        <v>43</v>
      </c>
      <c r="O4748" s="3">
        <v>8076</v>
      </c>
      <c r="P4748">
        <v>0</v>
      </c>
      <c r="Q4748">
        <v>3</v>
      </c>
      <c r="R4748" t="s">
        <v>33</v>
      </c>
      <c r="S4748">
        <v>1</v>
      </c>
    </row>
    <row r="4749" spans="1:19" ht="16.5" x14ac:dyDescent="0.3">
      <c r="A4749" t="s">
        <v>4812</v>
      </c>
      <c r="B4749" s="1">
        <v>45923</v>
      </c>
      <c r="C4749" s="1">
        <v>45929</v>
      </c>
      <c r="D4749">
        <v>2025</v>
      </c>
      <c r="E4749" t="s">
        <v>1445</v>
      </c>
      <c r="F4749" t="s">
        <v>1821</v>
      </c>
      <c r="G4749" t="s">
        <v>56</v>
      </c>
      <c r="H4749" t="s">
        <v>30</v>
      </c>
      <c r="I4749" t="s">
        <v>40</v>
      </c>
      <c r="J4749" t="s">
        <v>25</v>
      </c>
      <c r="K4749" t="s">
        <v>26</v>
      </c>
      <c r="L4749" t="s">
        <v>27</v>
      </c>
      <c r="M4749">
        <v>6</v>
      </c>
      <c r="N4749" s="2"/>
      <c r="O4749" s="3">
        <v>5496</v>
      </c>
      <c r="P4749">
        <v>0</v>
      </c>
      <c r="Q4749">
        <v>4</v>
      </c>
      <c r="R4749" t="s">
        <v>28</v>
      </c>
      <c r="S4749">
        <v>1</v>
      </c>
    </row>
    <row r="4750" spans="1:19" ht="16.5" x14ac:dyDescent="0.3">
      <c r="A4750" t="s">
        <v>4813</v>
      </c>
      <c r="B4750" s="1">
        <v>45923</v>
      </c>
      <c r="C4750" s="1">
        <v>45926</v>
      </c>
      <c r="D4750">
        <v>2025</v>
      </c>
      <c r="E4750" t="s">
        <v>1445</v>
      </c>
      <c r="F4750" t="s">
        <v>1821</v>
      </c>
      <c r="G4750" t="s">
        <v>56</v>
      </c>
      <c r="H4750" t="s">
        <v>30</v>
      </c>
      <c r="I4750" t="s">
        <v>40</v>
      </c>
      <c r="J4750" t="s">
        <v>25</v>
      </c>
      <c r="K4750" t="s">
        <v>32</v>
      </c>
      <c r="L4750" t="s">
        <v>44</v>
      </c>
      <c r="M4750">
        <v>3</v>
      </c>
      <c r="N4750" s="2"/>
      <c r="O4750" s="3">
        <v>3891</v>
      </c>
      <c r="P4750">
        <v>0</v>
      </c>
      <c r="Q4750">
        <v>4</v>
      </c>
      <c r="R4750" t="s">
        <v>33</v>
      </c>
      <c r="S4750">
        <v>1</v>
      </c>
    </row>
    <row r="4751" spans="1:19" ht="16.5" x14ac:dyDescent="0.3">
      <c r="A4751" t="s">
        <v>4814</v>
      </c>
      <c r="B4751" s="1">
        <v>45923</v>
      </c>
      <c r="C4751" s="1">
        <v>45926</v>
      </c>
      <c r="D4751">
        <v>2025</v>
      </c>
      <c r="E4751" t="s">
        <v>1445</v>
      </c>
      <c r="F4751" t="s">
        <v>1821</v>
      </c>
      <c r="G4751" t="s">
        <v>56</v>
      </c>
      <c r="H4751" t="s">
        <v>30</v>
      </c>
      <c r="I4751" t="s">
        <v>24</v>
      </c>
      <c r="J4751" t="s">
        <v>25</v>
      </c>
      <c r="K4751" t="s">
        <v>26</v>
      </c>
      <c r="L4751" t="s">
        <v>27</v>
      </c>
      <c r="M4751">
        <v>3</v>
      </c>
      <c r="N4751" s="2">
        <v>47</v>
      </c>
      <c r="O4751" s="3">
        <v>2206</v>
      </c>
      <c r="P4751">
        <v>0</v>
      </c>
      <c r="Q4751">
        <v>4</v>
      </c>
      <c r="R4751" t="s">
        <v>33</v>
      </c>
      <c r="S4751">
        <v>1</v>
      </c>
    </row>
    <row r="4752" spans="1:19" ht="16.5" x14ac:dyDescent="0.3">
      <c r="A4752" t="s">
        <v>4815</v>
      </c>
      <c r="B4752" s="1">
        <v>45923</v>
      </c>
      <c r="C4752" s="1">
        <v>45924</v>
      </c>
      <c r="D4752">
        <v>2025</v>
      </c>
      <c r="E4752" t="s">
        <v>1445</v>
      </c>
      <c r="F4752" t="s">
        <v>1821</v>
      </c>
      <c r="G4752" t="s">
        <v>56</v>
      </c>
      <c r="H4752" t="s">
        <v>35</v>
      </c>
      <c r="I4752" t="s">
        <v>31</v>
      </c>
      <c r="J4752" t="s">
        <v>25</v>
      </c>
      <c r="K4752" t="s">
        <v>36</v>
      </c>
      <c r="L4752" t="s">
        <v>44</v>
      </c>
      <c r="M4752">
        <v>1</v>
      </c>
      <c r="N4752" s="2"/>
      <c r="O4752" s="3">
        <v>1364</v>
      </c>
      <c r="P4752">
        <v>0</v>
      </c>
      <c r="Q4752">
        <v>5</v>
      </c>
      <c r="R4752" t="s">
        <v>33</v>
      </c>
      <c r="S4752">
        <v>1</v>
      </c>
    </row>
    <row r="4753" spans="1:19" ht="16.5" x14ac:dyDescent="0.3">
      <c r="A4753" t="s">
        <v>4816</v>
      </c>
      <c r="B4753" s="1">
        <v>45923</v>
      </c>
      <c r="C4753" s="1">
        <v>45942</v>
      </c>
      <c r="D4753">
        <v>2025</v>
      </c>
      <c r="E4753" t="s">
        <v>1445</v>
      </c>
      <c r="F4753" t="s">
        <v>1821</v>
      </c>
      <c r="G4753" t="s">
        <v>56</v>
      </c>
      <c r="H4753" t="s">
        <v>23</v>
      </c>
      <c r="I4753" t="s">
        <v>24</v>
      </c>
      <c r="J4753" t="s">
        <v>25</v>
      </c>
      <c r="K4753" t="s">
        <v>36</v>
      </c>
      <c r="L4753" t="s">
        <v>44</v>
      </c>
      <c r="M4753">
        <v>19</v>
      </c>
      <c r="N4753" s="2">
        <v>27</v>
      </c>
      <c r="O4753" s="3">
        <v>17052</v>
      </c>
      <c r="P4753">
        <v>0</v>
      </c>
      <c r="Q4753">
        <v>5</v>
      </c>
      <c r="R4753" t="s">
        <v>28</v>
      </c>
      <c r="S4753">
        <v>1</v>
      </c>
    </row>
    <row r="4754" spans="1:19" ht="16.5" x14ac:dyDescent="0.3">
      <c r="A4754" t="s">
        <v>4817</v>
      </c>
      <c r="B4754" s="1">
        <v>45924</v>
      </c>
      <c r="C4754" s="1">
        <v>45928</v>
      </c>
      <c r="D4754">
        <v>2025</v>
      </c>
      <c r="E4754" t="s">
        <v>1445</v>
      </c>
      <c r="F4754" t="s">
        <v>1821</v>
      </c>
      <c r="G4754" t="s">
        <v>70</v>
      </c>
      <c r="H4754" t="s">
        <v>50</v>
      </c>
      <c r="I4754" t="s">
        <v>40</v>
      </c>
      <c r="J4754" t="s">
        <v>43</v>
      </c>
      <c r="K4754" t="s">
        <v>26</v>
      </c>
      <c r="L4754" t="s">
        <v>44</v>
      </c>
      <c r="M4754">
        <v>4</v>
      </c>
      <c r="N4754" s="2"/>
      <c r="O4754" s="3">
        <v>6611</v>
      </c>
      <c r="P4754">
        <v>0</v>
      </c>
      <c r="Q4754">
        <v>5</v>
      </c>
      <c r="R4754" t="s">
        <v>28</v>
      </c>
      <c r="S4754">
        <v>1</v>
      </c>
    </row>
    <row r="4755" spans="1:19" ht="16.5" x14ac:dyDescent="0.3">
      <c r="A4755" t="s">
        <v>4818</v>
      </c>
      <c r="B4755" s="1">
        <v>45924</v>
      </c>
      <c r="C4755" s="1">
        <v>45930</v>
      </c>
      <c r="D4755">
        <v>2025</v>
      </c>
      <c r="E4755" t="s">
        <v>1445</v>
      </c>
      <c r="F4755" t="s">
        <v>1821</v>
      </c>
      <c r="G4755" t="s">
        <v>70</v>
      </c>
      <c r="H4755" t="s">
        <v>52</v>
      </c>
      <c r="I4755" t="s">
        <v>40</v>
      </c>
      <c r="J4755" t="s">
        <v>25</v>
      </c>
      <c r="K4755" t="s">
        <v>36</v>
      </c>
      <c r="L4755" t="s">
        <v>27</v>
      </c>
      <c r="M4755">
        <v>6</v>
      </c>
      <c r="N4755" s="2"/>
      <c r="O4755" s="3">
        <v>6341</v>
      </c>
      <c r="P4755">
        <v>0</v>
      </c>
      <c r="Q4755">
        <v>4</v>
      </c>
      <c r="R4755" t="s">
        <v>28</v>
      </c>
      <c r="S4755">
        <v>1</v>
      </c>
    </row>
    <row r="4756" spans="1:19" ht="16.5" x14ac:dyDescent="0.3">
      <c r="A4756" t="s">
        <v>4819</v>
      </c>
      <c r="B4756" s="1">
        <v>45924</v>
      </c>
      <c r="C4756" s="1">
        <v>45928</v>
      </c>
      <c r="D4756">
        <v>2025</v>
      </c>
      <c r="E4756" t="s">
        <v>1445</v>
      </c>
      <c r="F4756" t="s">
        <v>1821</v>
      </c>
      <c r="G4756" t="s">
        <v>70</v>
      </c>
      <c r="H4756" t="s">
        <v>30</v>
      </c>
      <c r="I4756" t="s">
        <v>40</v>
      </c>
      <c r="J4756" t="s">
        <v>25</v>
      </c>
      <c r="K4756" t="s">
        <v>26</v>
      </c>
      <c r="L4756" t="s">
        <v>27</v>
      </c>
      <c r="M4756">
        <v>4</v>
      </c>
      <c r="N4756" s="2"/>
      <c r="O4756" s="3">
        <v>4009</v>
      </c>
      <c r="P4756">
        <v>0</v>
      </c>
      <c r="Q4756">
        <v>5</v>
      </c>
      <c r="R4756" t="s">
        <v>33</v>
      </c>
      <c r="S4756">
        <v>1</v>
      </c>
    </row>
    <row r="4757" spans="1:19" ht="16.5" x14ac:dyDescent="0.3">
      <c r="A4757" t="s">
        <v>4820</v>
      </c>
      <c r="B4757" s="1">
        <v>45924</v>
      </c>
      <c r="C4757" s="1">
        <v>45930</v>
      </c>
      <c r="D4757">
        <v>2025</v>
      </c>
      <c r="E4757" t="s">
        <v>1445</v>
      </c>
      <c r="F4757" t="s">
        <v>1821</v>
      </c>
      <c r="G4757" t="s">
        <v>70</v>
      </c>
      <c r="H4757" t="s">
        <v>30</v>
      </c>
      <c r="I4757" t="s">
        <v>31</v>
      </c>
      <c r="J4757" t="s">
        <v>43</v>
      </c>
      <c r="K4757" t="s">
        <v>26</v>
      </c>
      <c r="L4757" t="s">
        <v>27</v>
      </c>
      <c r="M4757">
        <v>6</v>
      </c>
      <c r="N4757" s="2"/>
      <c r="O4757" s="3">
        <v>7807</v>
      </c>
      <c r="P4757">
        <v>0</v>
      </c>
      <c r="Q4757">
        <v>5</v>
      </c>
      <c r="R4757" t="s">
        <v>33</v>
      </c>
      <c r="S4757">
        <v>1</v>
      </c>
    </row>
    <row r="4758" spans="1:19" ht="16.5" x14ac:dyDescent="0.3">
      <c r="A4758" t="s">
        <v>4821</v>
      </c>
      <c r="B4758" s="1">
        <v>45924</v>
      </c>
      <c r="C4758" s="1">
        <v>45927</v>
      </c>
      <c r="D4758">
        <v>2025</v>
      </c>
      <c r="E4758" t="s">
        <v>1445</v>
      </c>
      <c r="F4758" t="s">
        <v>1821</v>
      </c>
      <c r="G4758" t="s">
        <v>70</v>
      </c>
      <c r="H4758" t="s">
        <v>23</v>
      </c>
      <c r="I4758" t="s">
        <v>24</v>
      </c>
      <c r="J4758" t="s">
        <v>25</v>
      </c>
      <c r="K4758" t="s">
        <v>53</v>
      </c>
      <c r="L4758" t="s">
        <v>27</v>
      </c>
      <c r="M4758">
        <v>3</v>
      </c>
      <c r="N4758" s="2">
        <v>37</v>
      </c>
      <c r="O4758" s="3">
        <v>2344</v>
      </c>
      <c r="P4758">
        <v>0</v>
      </c>
      <c r="Q4758">
        <v>4</v>
      </c>
      <c r="R4758" t="s">
        <v>33</v>
      </c>
      <c r="S4758">
        <v>1</v>
      </c>
    </row>
    <row r="4759" spans="1:19" ht="16.5" x14ac:dyDescent="0.3">
      <c r="A4759" t="s">
        <v>4822</v>
      </c>
      <c r="B4759" s="1">
        <v>45924</v>
      </c>
      <c r="C4759" s="1">
        <v>45930</v>
      </c>
      <c r="D4759">
        <v>2025</v>
      </c>
      <c r="E4759" t="s">
        <v>1445</v>
      </c>
      <c r="F4759" t="s">
        <v>1821</v>
      </c>
      <c r="G4759" t="s">
        <v>70</v>
      </c>
      <c r="H4759" t="s">
        <v>35</v>
      </c>
      <c r="I4759" t="s">
        <v>24</v>
      </c>
      <c r="J4759" t="s">
        <v>25</v>
      </c>
      <c r="K4759" t="s">
        <v>36</v>
      </c>
      <c r="L4759" t="s">
        <v>44</v>
      </c>
      <c r="M4759">
        <v>6</v>
      </c>
      <c r="N4759" s="2">
        <v>38</v>
      </c>
      <c r="O4759" s="3">
        <v>3476</v>
      </c>
      <c r="P4759">
        <v>0</v>
      </c>
      <c r="Q4759">
        <v>3</v>
      </c>
      <c r="R4759" t="s">
        <v>33</v>
      </c>
      <c r="S4759">
        <v>1</v>
      </c>
    </row>
    <row r="4760" spans="1:19" ht="16.5" x14ac:dyDescent="0.3">
      <c r="A4760" t="s">
        <v>4823</v>
      </c>
      <c r="B4760" s="1">
        <v>45924</v>
      </c>
      <c r="C4760" s="1">
        <v>45930</v>
      </c>
      <c r="D4760">
        <v>2025</v>
      </c>
      <c r="E4760" t="s">
        <v>1445</v>
      </c>
      <c r="F4760" t="s">
        <v>1821</v>
      </c>
      <c r="G4760" t="s">
        <v>70</v>
      </c>
      <c r="H4760" t="s">
        <v>23</v>
      </c>
      <c r="I4760" t="s">
        <v>40</v>
      </c>
      <c r="J4760" t="s">
        <v>25</v>
      </c>
      <c r="K4760" t="s">
        <v>32</v>
      </c>
      <c r="L4760" t="s">
        <v>27</v>
      </c>
      <c r="M4760">
        <v>6</v>
      </c>
      <c r="N4760" s="2"/>
      <c r="O4760" s="3">
        <v>4575</v>
      </c>
      <c r="P4760">
        <v>0</v>
      </c>
      <c r="Q4760">
        <v>5</v>
      </c>
      <c r="R4760" t="s">
        <v>33</v>
      </c>
      <c r="S4760">
        <v>1</v>
      </c>
    </row>
    <row r="4761" spans="1:19" ht="16.5" x14ac:dyDescent="0.3">
      <c r="A4761" t="s">
        <v>4824</v>
      </c>
      <c r="B4761" s="1">
        <v>45924</v>
      </c>
      <c r="C4761" s="1">
        <v>45928</v>
      </c>
      <c r="D4761">
        <v>2025</v>
      </c>
      <c r="E4761" t="s">
        <v>1445</v>
      </c>
      <c r="F4761" t="s">
        <v>1821</v>
      </c>
      <c r="G4761" t="s">
        <v>70</v>
      </c>
      <c r="H4761" t="s">
        <v>35</v>
      </c>
      <c r="I4761" t="s">
        <v>24</v>
      </c>
      <c r="J4761" t="s">
        <v>25</v>
      </c>
      <c r="K4761" t="s">
        <v>32</v>
      </c>
      <c r="L4761" t="s">
        <v>27</v>
      </c>
      <c r="M4761">
        <v>4</v>
      </c>
      <c r="N4761" s="2">
        <v>70</v>
      </c>
      <c r="O4761" s="3">
        <v>3418</v>
      </c>
      <c r="P4761">
        <v>0</v>
      </c>
      <c r="Q4761">
        <v>5</v>
      </c>
      <c r="R4761" t="s">
        <v>28</v>
      </c>
      <c r="S4761">
        <v>1</v>
      </c>
    </row>
    <row r="4762" spans="1:19" ht="16.5" x14ac:dyDescent="0.3">
      <c r="A4762" t="s">
        <v>4825</v>
      </c>
      <c r="B4762" s="1">
        <v>45925</v>
      </c>
      <c r="C4762" s="1">
        <v>45927</v>
      </c>
      <c r="D4762">
        <v>2025</v>
      </c>
      <c r="E4762" t="s">
        <v>1445</v>
      </c>
      <c r="F4762" t="s">
        <v>1821</v>
      </c>
      <c r="G4762" t="s">
        <v>78</v>
      </c>
      <c r="H4762" t="s">
        <v>52</v>
      </c>
      <c r="I4762" t="s">
        <v>24</v>
      </c>
      <c r="J4762" t="s">
        <v>25</v>
      </c>
      <c r="K4762" t="s">
        <v>32</v>
      </c>
      <c r="L4762" t="s">
        <v>37</v>
      </c>
      <c r="M4762">
        <v>2</v>
      </c>
      <c r="N4762" s="2">
        <v>13</v>
      </c>
      <c r="O4762" s="3">
        <v>2651</v>
      </c>
      <c r="P4762">
        <v>0</v>
      </c>
      <c r="Q4762">
        <v>5</v>
      </c>
      <c r="R4762" t="s">
        <v>33</v>
      </c>
      <c r="S4762">
        <v>1</v>
      </c>
    </row>
    <row r="4763" spans="1:19" ht="16.5" x14ac:dyDescent="0.3">
      <c r="A4763" t="s">
        <v>4826</v>
      </c>
      <c r="B4763" s="1">
        <v>45925</v>
      </c>
      <c r="C4763" s="1">
        <v>45926</v>
      </c>
      <c r="D4763">
        <v>2025</v>
      </c>
      <c r="E4763" t="s">
        <v>1445</v>
      </c>
      <c r="F4763" t="s">
        <v>1821</v>
      </c>
      <c r="G4763" t="s">
        <v>78</v>
      </c>
      <c r="H4763" t="s">
        <v>39</v>
      </c>
      <c r="I4763" t="s">
        <v>24</v>
      </c>
      <c r="J4763" t="s">
        <v>25</v>
      </c>
      <c r="K4763" t="s">
        <v>41</v>
      </c>
      <c r="L4763" t="s">
        <v>27</v>
      </c>
      <c r="M4763">
        <v>1</v>
      </c>
      <c r="N4763" s="2">
        <v>26</v>
      </c>
      <c r="O4763" s="3">
        <v>1283</v>
      </c>
      <c r="P4763">
        <v>0</v>
      </c>
      <c r="Q4763">
        <v>4</v>
      </c>
      <c r="R4763" t="s">
        <v>28</v>
      </c>
      <c r="S4763">
        <v>1</v>
      </c>
    </row>
    <row r="4764" spans="1:19" ht="16.5" x14ac:dyDescent="0.3">
      <c r="A4764" t="s">
        <v>4827</v>
      </c>
      <c r="B4764" s="1">
        <v>45925</v>
      </c>
      <c r="C4764" s="1">
        <v>45927</v>
      </c>
      <c r="D4764">
        <v>2025</v>
      </c>
      <c r="E4764" t="s">
        <v>1445</v>
      </c>
      <c r="F4764" t="s">
        <v>1821</v>
      </c>
      <c r="G4764" t="s">
        <v>78</v>
      </c>
      <c r="H4764" t="s">
        <v>39</v>
      </c>
      <c r="I4764" t="s">
        <v>40</v>
      </c>
      <c r="J4764" t="s">
        <v>43</v>
      </c>
      <c r="K4764" t="s">
        <v>41</v>
      </c>
      <c r="L4764" t="s">
        <v>44</v>
      </c>
      <c r="M4764">
        <v>2</v>
      </c>
      <c r="N4764" s="2"/>
      <c r="O4764" s="3">
        <v>1940</v>
      </c>
      <c r="P4764">
        <v>0</v>
      </c>
      <c r="Q4764">
        <v>4</v>
      </c>
      <c r="R4764" t="s">
        <v>28</v>
      </c>
      <c r="S4764">
        <v>1</v>
      </c>
    </row>
    <row r="4765" spans="1:19" ht="16.5" x14ac:dyDescent="0.3">
      <c r="A4765" t="s">
        <v>4828</v>
      </c>
      <c r="B4765" s="1">
        <v>45925</v>
      </c>
      <c r="C4765" s="1">
        <v>45926</v>
      </c>
      <c r="D4765">
        <v>2025</v>
      </c>
      <c r="E4765" t="s">
        <v>1445</v>
      </c>
      <c r="F4765" t="s">
        <v>1821</v>
      </c>
      <c r="G4765" t="s">
        <v>78</v>
      </c>
      <c r="H4765" t="s">
        <v>39</v>
      </c>
      <c r="I4765" t="s">
        <v>24</v>
      </c>
      <c r="J4765" t="s">
        <v>25</v>
      </c>
      <c r="K4765" t="s">
        <v>41</v>
      </c>
      <c r="L4765" t="s">
        <v>44</v>
      </c>
      <c r="M4765">
        <v>1</v>
      </c>
      <c r="N4765" s="2">
        <v>75</v>
      </c>
      <c r="O4765" s="3">
        <v>1740</v>
      </c>
      <c r="P4765">
        <v>0</v>
      </c>
      <c r="Q4765">
        <v>4</v>
      </c>
      <c r="R4765" t="s">
        <v>33</v>
      </c>
      <c r="S4765">
        <v>1</v>
      </c>
    </row>
    <row r="4766" spans="1:19" ht="16.5" x14ac:dyDescent="0.3">
      <c r="A4766" t="s">
        <v>4829</v>
      </c>
      <c r="B4766" s="1">
        <v>45925</v>
      </c>
      <c r="C4766" s="1">
        <v>45927</v>
      </c>
      <c r="D4766">
        <v>2025</v>
      </c>
      <c r="E4766" t="s">
        <v>1445</v>
      </c>
      <c r="F4766" t="s">
        <v>1821</v>
      </c>
      <c r="G4766" t="s">
        <v>78</v>
      </c>
      <c r="H4766" t="s">
        <v>35</v>
      </c>
      <c r="I4766" t="s">
        <v>24</v>
      </c>
      <c r="J4766" t="s">
        <v>25</v>
      </c>
      <c r="K4766" t="s">
        <v>32</v>
      </c>
      <c r="L4766" t="s">
        <v>27</v>
      </c>
      <c r="M4766">
        <v>2</v>
      </c>
      <c r="N4766" s="2">
        <v>111</v>
      </c>
      <c r="O4766" s="3">
        <v>1908</v>
      </c>
      <c r="P4766">
        <v>0</v>
      </c>
      <c r="Q4766">
        <v>3</v>
      </c>
      <c r="R4766" t="s">
        <v>33</v>
      </c>
      <c r="S4766">
        <v>1</v>
      </c>
    </row>
    <row r="4767" spans="1:19" ht="16.5" x14ac:dyDescent="0.3">
      <c r="A4767" t="s">
        <v>4830</v>
      </c>
      <c r="B4767" s="1">
        <v>45925</v>
      </c>
      <c r="C4767" s="1">
        <v>45939</v>
      </c>
      <c r="D4767">
        <v>2025</v>
      </c>
      <c r="E4767" t="s">
        <v>1445</v>
      </c>
      <c r="F4767" t="s">
        <v>1821</v>
      </c>
      <c r="G4767" t="s">
        <v>78</v>
      </c>
      <c r="H4767" t="s">
        <v>23</v>
      </c>
      <c r="I4767" t="s">
        <v>24</v>
      </c>
      <c r="J4767" t="s">
        <v>43</v>
      </c>
      <c r="K4767" t="s">
        <v>26</v>
      </c>
      <c r="L4767" t="s">
        <v>27</v>
      </c>
      <c r="M4767">
        <v>14</v>
      </c>
      <c r="N4767" s="2">
        <v>24</v>
      </c>
      <c r="O4767" s="3">
        <v>13248</v>
      </c>
      <c r="P4767">
        <v>1</v>
      </c>
      <c r="Q4767">
        <v>3</v>
      </c>
      <c r="R4767" t="s">
        <v>28</v>
      </c>
      <c r="S4767">
        <v>1</v>
      </c>
    </row>
    <row r="4768" spans="1:19" ht="16.5" x14ac:dyDescent="0.3">
      <c r="A4768" t="s">
        <v>4831</v>
      </c>
      <c r="B4768" s="1">
        <v>45925</v>
      </c>
      <c r="C4768" s="1">
        <v>45927</v>
      </c>
      <c r="D4768">
        <v>2025</v>
      </c>
      <c r="E4768" t="s">
        <v>1445</v>
      </c>
      <c r="F4768" t="s">
        <v>1821</v>
      </c>
      <c r="G4768" t="s">
        <v>78</v>
      </c>
      <c r="H4768" t="s">
        <v>52</v>
      </c>
      <c r="I4768" t="s">
        <v>40</v>
      </c>
      <c r="J4768" t="s">
        <v>25</v>
      </c>
      <c r="K4768" t="s">
        <v>32</v>
      </c>
      <c r="L4768" t="s">
        <v>37</v>
      </c>
      <c r="M4768">
        <v>2</v>
      </c>
      <c r="N4768" s="2"/>
      <c r="O4768" s="3">
        <v>2909</v>
      </c>
      <c r="P4768">
        <v>0</v>
      </c>
      <c r="Q4768">
        <v>5</v>
      </c>
      <c r="R4768" t="s">
        <v>28</v>
      </c>
      <c r="S4768">
        <v>1</v>
      </c>
    </row>
    <row r="4769" spans="1:19" ht="16.5" x14ac:dyDescent="0.3">
      <c r="A4769" t="s">
        <v>4832</v>
      </c>
      <c r="B4769" s="1">
        <v>45925</v>
      </c>
      <c r="C4769" s="1">
        <v>45927</v>
      </c>
      <c r="D4769">
        <v>2025</v>
      </c>
      <c r="E4769" t="s">
        <v>1445</v>
      </c>
      <c r="F4769" t="s">
        <v>1821</v>
      </c>
      <c r="G4769" t="s">
        <v>78</v>
      </c>
      <c r="H4769" t="s">
        <v>39</v>
      </c>
      <c r="I4769" t="s">
        <v>40</v>
      </c>
      <c r="J4769" t="s">
        <v>43</v>
      </c>
      <c r="K4769" t="s">
        <v>41</v>
      </c>
      <c r="L4769" t="s">
        <v>27</v>
      </c>
      <c r="M4769">
        <v>2</v>
      </c>
      <c r="N4769" s="2"/>
      <c r="O4769" s="3">
        <v>2038</v>
      </c>
      <c r="P4769">
        <v>0</v>
      </c>
      <c r="Q4769">
        <v>3</v>
      </c>
      <c r="R4769" t="s">
        <v>28</v>
      </c>
      <c r="S4769">
        <v>1</v>
      </c>
    </row>
    <row r="4770" spans="1:19" ht="16.5" x14ac:dyDescent="0.3">
      <c r="A4770" t="s">
        <v>4833</v>
      </c>
      <c r="B4770" s="1">
        <v>45925</v>
      </c>
      <c r="C4770" s="1">
        <v>45928</v>
      </c>
      <c r="D4770">
        <v>2025</v>
      </c>
      <c r="E4770" t="s">
        <v>1445</v>
      </c>
      <c r="F4770" t="s">
        <v>1821</v>
      </c>
      <c r="G4770" t="s">
        <v>78</v>
      </c>
      <c r="H4770" t="s">
        <v>23</v>
      </c>
      <c r="I4770" t="s">
        <v>31</v>
      </c>
      <c r="J4770" t="s">
        <v>43</v>
      </c>
      <c r="K4770" t="s">
        <v>53</v>
      </c>
      <c r="L4770" t="s">
        <v>44</v>
      </c>
      <c r="M4770">
        <v>3</v>
      </c>
      <c r="N4770" s="2"/>
      <c r="O4770" s="3">
        <v>2465</v>
      </c>
      <c r="P4770">
        <v>0</v>
      </c>
      <c r="Q4770">
        <v>3</v>
      </c>
      <c r="R4770" t="s">
        <v>33</v>
      </c>
      <c r="S4770">
        <v>1</v>
      </c>
    </row>
    <row r="4771" spans="1:19" ht="16.5" x14ac:dyDescent="0.3">
      <c r="A4771" t="s">
        <v>4834</v>
      </c>
      <c r="B4771" s="1">
        <v>45925</v>
      </c>
      <c r="C4771" s="1">
        <v>45928</v>
      </c>
      <c r="D4771">
        <v>2025</v>
      </c>
      <c r="E4771" t="s">
        <v>1445</v>
      </c>
      <c r="F4771" t="s">
        <v>1821</v>
      </c>
      <c r="G4771" t="s">
        <v>78</v>
      </c>
      <c r="H4771" t="s">
        <v>50</v>
      </c>
      <c r="I4771" t="s">
        <v>24</v>
      </c>
      <c r="J4771" t="s">
        <v>25</v>
      </c>
      <c r="K4771" t="s">
        <v>32</v>
      </c>
      <c r="L4771" t="s">
        <v>44</v>
      </c>
      <c r="M4771">
        <v>3</v>
      </c>
      <c r="N4771" s="2">
        <v>54</v>
      </c>
      <c r="O4771" s="3">
        <v>4097</v>
      </c>
      <c r="P4771">
        <v>1</v>
      </c>
      <c r="Q4771">
        <v>3</v>
      </c>
      <c r="R4771" t="s">
        <v>28</v>
      </c>
      <c r="S4771">
        <v>1</v>
      </c>
    </row>
    <row r="4772" spans="1:19" ht="16.5" x14ac:dyDescent="0.3">
      <c r="A4772" t="s">
        <v>4835</v>
      </c>
      <c r="B4772" s="1">
        <v>45926</v>
      </c>
      <c r="C4772" s="1">
        <v>45929</v>
      </c>
      <c r="D4772">
        <v>2025</v>
      </c>
      <c r="E4772" t="s">
        <v>1445</v>
      </c>
      <c r="F4772" t="s">
        <v>1821</v>
      </c>
      <c r="G4772" t="s">
        <v>83</v>
      </c>
      <c r="H4772" t="s">
        <v>50</v>
      </c>
      <c r="I4772" t="s">
        <v>40</v>
      </c>
      <c r="J4772" t="s">
        <v>25</v>
      </c>
      <c r="K4772" t="s">
        <v>53</v>
      </c>
      <c r="L4772" t="s">
        <v>44</v>
      </c>
      <c r="M4772">
        <v>3</v>
      </c>
      <c r="N4772" s="2"/>
      <c r="O4772" s="3">
        <v>4857</v>
      </c>
      <c r="P4772">
        <v>0</v>
      </c>
      <c r="Q4772">
        <v>5</v>
      </c>
      <c r="R4772" t="s">
        <v>28</v>
      </c>
      <c r="S4772">
        <v>1</v>
      </c>
    </row>
    <row r="4773" spans="1:19" ht="16.5" x14ac:dyDescent="0.3">
      <c r="A4773" t="s">
        <v>4836</v>
      </c>
      <c r="B4773" s="1">
        <v>45926</v>
      </c>
      <c r="C4773" s="1">
        <v>45928</v>
      </c>
      <c r="D4773">
        <v>2025</v>
      </c>
      <c r="E4773" t="s">
        <v>1445</v>
      </c>
      <c r="F4773" t="s">
        <v>1821</v>
      </c>
      <c r="G4773" t="s">
        <v>83</v>
      </c>
      <c r="H4773" t="s">
        <v>50</v>
      </c>
      <c r="I4773" t="s">
        <v>40</v>
      </c>
      <c r="J4773" t="s">
        <v>43</v>
      </c>
      <c r="K4773" t="s">
        <v>53</v>
      </c>
      <c r="L4773" t="s">
        <v>44</v>
      </c>
      <c r="M4773">
        <v>2</v>
      </c>
      <c r="N4773" s="2"/>
      <c r="O4773" s="3">
        <v>3180</v>
      </c>
      <c r="P4773">
        <v>0</v>
      </c>
      <c r="Q4773">
        <v>5</v>
      </c>
      <c r="R4773" t="s">
        <v>33</v>
      </c>
      <c r="S4773">
        <v>1</v>
      </c>
    </row>
    <row r="4774" spans="1:19" ht="16.5" x14ac:dyDescent="0.3">
      <c r="A4774" t="s">
        <v>4837</v>
      </c>
      <c r="B4774" s="1">
        <v>45926</v>
      </c>
      <c r="C4774" s="1">
        <v>45929</v>
      </c>
      <c r="D4774">
        <v>2025</v>
      </c>
      <c r="E4774" t="s">
        <v>1445</v>
      </c>
      <c r="F4774" t="s">
        <v>1821</v>
      </c>
      <c r="G4774" t="s">
        <v>83</v>
      </c>
      <c r="H4774" t="s">
        <v>35</v>
      </c>
      <c r="I4774" t="s">
        <v>24</v>
      </c>
      <c r="J4774" t="s">
        <v>25</v>
      </c>
      <c r="K4774" t="s">
        <v>32</v>
      </c>
      <c r="L4774" t="s">
        <v>44</v>
      </c>
      <c r="M4774">
        <v>3</v>
      </c>
      <c r="N4774" s="2">
        <v>64</v>
      </c>
      <c r="O4774" s="3">
        <v>3320</v>
      </c>
      <c r="P4774">
        <v>0</v>
      </c>
      <c r="Q4774">
        <v>4</v>
      </c>
      <c r="R4774" t="s">
        <v>33</v>
      </c>
      <c r="S4774">
        <v>1</v>
      </c>
    </row>
    <row r="4775" spans="1:19" ht="16.5" x14ac:dyDescent="0.3">
      <c r="A4775" t="s">
        <v>4838</v>
      </c>
      <c r="B4775" s="1">
        <v>45926</v>
      </c>
      <c r="C4775" s="1">
        <v>45927</v>
      </c>
      <c r="D4775">
        <v>2025</v>
      </c>
      <c r="E4775" t="s">
        <v>1445</v>
      </c>
      <c r="F4775" t="s">
        <v>1821</v>
      </c>
      <c r="G4775" t="s">
        <v>83</v>
      </c>
      <c r="H4775" t="s">
        <v>35</v>
      </c>
      <c r="I4775" t="s">
        <v>24</v>
      </c>
      <c r="J4775" t="s">
        <v>25</v>
      </c>
      <c r="K4775" t="s">
        <v>32</v>
      </c>
      <c r="L4775" t="s">
        <v>27</v>
      </c>
      <c r="M4775">
        <v>1</v>
      </c>
      <c r="N4775" s="2">
        <v>87</v>
      </c>
      <c r="O4775" s="3">
        <v>1468</v>
      </c>
      <c r="P4775">
        <v>0</v>
      </c>
      <c r="Q4775">
        <v>4</v>
      </c>
      <c r="R4775" t="s">
        <v>33</v>
      </c>
      <c r="S4775">
        <v>1</v>
      </c>
    </row>
    <row r="4776" spans="1:19" ht="16.5" x14ac:dyDescent="0.3">
      <c r="A4776" t="s">
        <v>4839</v>
      </c>
      <c r="B4776" s="1">
        <v>45926</v>
      </c>
      <c r="C4776" s="1">
        <v>45927</v>
      </c>
      <c r="D4776">
        <v>2025</v>
      </c>
      <c r="E4776" t="s">
        <v>1445</v>
      </c>
      <c r="F4776" t="s">
        <v>1821</v>
      </c>
      <c r="G4776" t="s">
        <v>83</v>
      </c>
      <c r="H4776" t="s">
        <v>23</v>
      </c>
      <c r="I4776" t="s">
        <v>24</v>
      </c>
      <c r="J4776" t="s">
        <v>43</v>
      </c>
      <c r="K4776" t="s">
        <v>32</v>
      </c>
      <c r="L4776" t="s">
        <v>44</v>
      </c>
      <c r="M4776">
        <v>1</v>
      </c>
      <c r="N4776" s="2">
        <v>37</v>
      </c>
      <c r="O4776" s="3">
        <v>1741</v>
      </c>
      <c r="P4776">
        <v>0</v>
      </c>
      <c r="Q4776">
        <v>4</v>
      </c>
      <c r="R4776" t="s">
        <v>33</v>
      </c>
      <c r="S4776">
        <v>1</v>
      </c>
    </row>
    <row r="4777" spans="1:19" ht="16.5" x14ac:dyDescent="0.3">
      <c r="A4777" t="s">
        <v>4840</v>
      </c>
      <c r="B4777" s="1">
        <v>45926</v>
      </c>
      <c r="C4777" s="1">
        <v>45933</v>
      </c>
      <c r="D4777">
        <v>2025</v>
      </c>
      <c r="E4777" t="s">
        <v>1445</v>
      </c>
      <c r="F4777" t="s">
        <v>1821</v>
      </c>
      <c r="G4777" t="s">
        <v>83</v>
      </c>
      <c r="H4777" t="s">
        <v>23</v>
      </c>
      <c r="I4777" t="s">
        <v>24</v>
      </c>
      <c r="J4777" t="s">
        <v>43</v>
      </c>
      <c r="K4777" t="s">
        <v>53</v>
      </c>
      <c r="L4777" t="s">
        <v>27</v>
      </c>
      <c r="M4777">
        <v>7</v>
      </c>
      <c r="N4777" s="2">
        <v>101</v>
      </c>
      <c r="O4777" s="3">
        <v>6167</v>
      </c>
      <c r="P4777">
        <v>1</v>
      </c>
      <c r="Q4777">
        <v>4</v>
      </c>
      <c r="R4777" t="s">
        <v>33</v>
      </c>
      <c r="S4777">
        <v>1</v>
      </c>
    </row>
    <row r="4778" spans="1:19" ht="16.5" x14ac:dyDescent="0.3">
      <c r="A4778" t="s">
        <v>4841</v>
      </c>
      <c r="B4778" s="1">
        <v>45927</v>
      </c>
      <c r="C4778" s="1">
        <v>45930</v>
      </c>
      <c r="D4778">
        <v>2025</v>
      </c>
      <c r="E4778" t="s">
        <v>1445</v>
      </c>
      <c r="F4778" t="s">
        <v>1821</v>
      </c>
      <c r="G4778" t="s">
        <v>102</v>
      </c>
      <c r="H4778" t="s">
        <v>30</v>
      </c>
      <c r="I4778" t="s">
        <v>40</v>
      </c>
      <c r="J4778" t="s">
        <v>43</v>
      </c>
      <c r="K4778" t="s">
        <v>32</v>
      </c>
      <c r="L4778" t="s">
        <v>27</v>
      </c>
      <c r="M4778">
        <v>3</v>
      </c>
      <c r="N4778" s="2"/>
      <c r="O4778" s="3">
        <v>3836</v>
      </c>
      <c r="P4778">
        <v>0</v>
      </c>
      <c r="Q4778">
        <v>4</v>
      </c>
      <c r="R4778" t="s">
        <v>33</v>
      </c>
      <c r="S4778">
        <v>1</v>
      </c>
    </row>
    <row r="4779" spans="1:19" ht="16.5" x14ac:dyDescent="0.3">
      <c r="A4779" t="s">
        <v>4842</v>
      </c>
      <c r="B4779" s="1">
        <v>45927</v>
      </c>
      <c r="C4779" s="1">
        <v>45930</v>
      </c>
      <c r="D4779">
        <v>2025</v>
      </c>
      <c r="E4779" t="s">
        <v>1445</v>
      </c>
      <c r="F4779" t="s">
        <v>1821</v>
      </c>
      <c r="G4779" t="s">
        <v>102</v>
      </c>
      <c r="H4779" t="s">
        <v>30</v>
      </c>
      <c r="I4779" t="s">
        <v>40</v>
      </c>
      <c r="J4779" t="s">
        <v>43</v>
      </c>
      <c r="K4779" t="s">
        <v>53</v>
      </c>
      <c r="L4779" t="s">
        <v>27</v>
      </c>
      <c r="M4779">
        <v>3</v>
      </c>
      <c r="N4779" s="2"/>
      <c r="O4779" s="3">
        <v>4265</v>
      </c>
      <c r="P4779">
        <v>0</v>
      </c>
      <c r="Q4779">
        <v>4</v>
      </c>
      <c r="R4779" t="s">
        <v>28</v>
      </c>
      <c r="S4779">
        <v>1</v>
      </c>
    </row>
    <row r="4780" spans="1:19" ht="16.5" x14ac:dyDescent="0.3">
      <c r="A4780" t="s">
        <v>4843</v>
      </c>
      <c r="B4780" s="1">
        <v>45927</v>
      </c>
      <c r="C4780" s="1">
        <v>45935</v>
      </c>
      <c r="D4780">
        <v>2025</v>
      </c>
      <c r="E4780" t="s">
        <v>1445</v>
      </c>
      <c r="F4780" t="s">
        <v>1821</v>
      </c>
      <c r="G4780" t="s">
        <v>102</v>
      </c>
      <c r="H4780" t="s">
        <v>39</v>
      </c>
      <c r="I4780" t="s">
        <v>24</v>
      </c>
      <c r="J4780" t="s">
        <v>43</v>
      </c>
      <c r="K4780" t="s">
        <v>41</v>
      </c>
      <c r="L4780" t="s">
        <v>27</v>
      </c>
      <c r="M4780">
        <v>8</v>
      </c>
      <c r="N4780" s="2">
        <v>31</v>
      </c>
      <c r="O4780" s="3">
        <v>5631</v>
      </c>
      <c r="P4780">
        <v>1</v>
      </c>
      <c r="Q4780">
        <v>3</v>
      </c>
      <c r="R4780" t="s">
        <v>33</v>
      </c>
      <c r="S4780">
        <v>1</v>
      </c>
    </row>
    <row r="4781" spans="1:19" ht="16.5" x14ac:dyDescent="0.3">
      <c r="A4781" t="s">
        <v>4844</v>
      </c>
      <c r="B4781" s="1">
        <v>45927</v>
      </c>
      <c r="C4781" s="1">
        <v>45929</v>
      </c>
      <c r="D4781">
        <v>2025</v>
      </c>
      <c r="E4781" t="s">
        <v>1445</v>
      </c>
      <c r="F4781" t="s">
        <v>1821</v>
      </c>
      <c r="G4781" t="s">
        <v>102</v>
      </c>
      <c r="H4781" t="s">
        <v>52</v>
      </c>
      <c r="I4781" t="s">
        <v>40</v>
      </c>
      <c r="J4781" t="s">
        <v>43</v>
      </c>
      <c r="K4781" t="s">
        <v>26</v>
      </c>
      <c r="L4781" t="s">
        <v>27</v>
      </c>
      <c r="M4781">
        <v>2</v>
      </c>
      <c r="N4781" s="2"/>
      <c r="O4781" s="3">
        <v>2421</v>
      </c>
      <c r="P4781">
        <v>0</v>
      </c>
      <c r="Q4781">
        <v>5</v>
      </c>
      <c r="R4781" t="s">
        <v>33</v>
      </c>
      <c r="S4781">
        <v>1</v>
      </c>
    </row>
    <row r="4782" spans="1:19" ht="16.5" x14ac:dyDescent="0.3">
      <c r="A4782" t="s">
        <v>4845</v>
      </c>
      <c r="B4782" s="1">
        <v>45927</v>
      </c>
      <c r="C4782" s="1">
        <v>45929</v>
      </c>
      <c r="D4782">
        <v>2025</v>
      </c>
      <c r="E4782" t="s">
        <v>1445</v>
      </c>
      <c r="F4782" t="s">
        <v>1821</v>
      </c>
      <c r="G4782" t="s">
        <v>102</v>
      </c>
      <c r="H4782" t="s">
        <v>52</v>
      </c>
      <c r="I4782" t="s">
        <v>40</v>
      </c>
      <c r="J4782" t="s">
        <v>43</v>
      </c>
      <c r="K4782" t="s">
        <v>32</v>
      </c>
      <c r="L4782" t="s">
        <v>44</v>
      </c>
      <c r="M4782">
        <v>2</v>
      </c>
      <c r="N4782" s="2"/>
      <c r="O4782" s="3">
        <v>2075</v>
      </c>
      <c r="P4782">
        <v>0</v>
      </c>
      <c r="Q4782">
        <v>4</v>
      </c>
      <c r="R4782" t="s">
        <v>59</v>
      </c>
      <c r="S4782">
        <v>1</v>
      </c>
    </row>
    <row r="4783" spans="1:19" ht="16.5" x14ac:dyDescent="0.3">
      <c r="A4783" t="s">
        <v>4846</v>
      </c>
      <c r="B4783" s="1">
        <v>45927</v>
      </c>
      <c r="C4783" s="1">
        <v>45929</v>
      </c>
      <c r="D4783">
        <v>2025</v>
      </c>
      <c r="E4783" t="s">
        <v>1445</v>
      </c>
      <c r="F4783" t="s">
        <v>1821</v>
      </c>
      <c r="G4783" t="s">
        <v>102</v>
      </c>
      <c r="H4783" t="s">
        <v>39</v>
      </c>
      <c r="I4783" t="s">
        <v>31</v>
      </c>
      <c r="J4783" t="s">
        <v>43</v>
      </c>
      <c r="K4783" t="s">
        <v>41</v>
      </c>
      <c r="L4783" t="s">
        <v>27</v>
      </c>
      <c r="M4783">
        <v>2</v>
      </c>
      <c r="N4783" s="2"/>
      <c r="O4783" s="3">
        <v>1792</v>
      </c>
      <c r="P4783">
        <v>0</v>
      </c>
      <c r="Q4783">
        <v>4</v>
      </c>
      <c r="R4783" t="s">
        <v>28</v>
      </c>
      <c r="S4783">
        <v>1</v>
      </c>
    </row>
    <row r="4784" spans="1:19" ht="16.5" x14ac:dyDescent="0.3">
      <c r="A4784" t="s">
        <v>4847</v>
      </c>
      <c r="B4784" s="1">
        <v>45928</v>
      </c>
      <c r="C4784" s="1">
        <v>45936</v>
      </c>
      <c r="D4784">
        <v>2025</v>
      </c>
      <c r="E4784" t="s">
        <v>1445</v>
      </c>
      <c r="F4784" t="s">
        <v>1821</v>
      </c>
      <c r="G4784" t="s">
        <v>112</v>
      </c>
      <c r="H4784" t="s">
        <v>30</v>
      </c>
      <c r="I4784" t="s">
        <v>40</v>
      </c>
      <c r="J4784" t="s">
        <v>25</v>
      </c>
      <c r="K4784" t="s">
        <v>26</v>
      </c>
      <c r="L4784" t="s">
        <v>44</v>
      </c>
      <c r="M4784">
        <v>8</v>
      </c>
      <c r="N4784" s="2"/>
      <c r="O4784" s="3">
        <v>8005</v>
      </c>
      <c r="P4784">
        <v>0</v>
      </c>
      <c r="Q4784">
        <v>4</v>
      </c>
      <c r="R4784" t="s">
        <v>33</v>
      </c>
      <c r="S4784">
        <v>1</v>
      </c>
    </row>
    <row r="4785" spans="1:19" ht="16.5" x14ac:dyDescent="0.3">
      <c r="A4785" t="s">
        <v>4848</v>
      </c>
      <c r="B4785" s="1">
        <v>45928</v>
      </c>
      <c r="C4785" s="1">
        <v>45930</v>
      </c>
      <c r="D4785">
        <v>2025</v>
      </c>
      <c r="E4785" t="s">
        <v>1445</v>
      </c>
      <c r="F4785" t="s">
        <v>1821</v>
      </c>
      <c r="G4785" t="s">
        <v>112</v>
      </c>
      <c r="H4785" t="s">
        <v>30</v>
      </c>
      <c r="I4785" t="s">
        <v>24</v>
      </c>
      <c r="J4785" t="s">
        <v>43</v>
      </c>
      <c r="K4785" t="s">
        <v>26</v>
      </c>
      <c r="L4785" t="s">
        <v>27</v>
      </c>
      <c r="M4785">
        <v>2</v>
      </c>
      <c r="N4785" s="2">
        <v>13</v>
      </c>
      <c r="O4785" s="3">
        <v>4199</v>
      </c>
      <c r="P4785">
        <v>0</v>
      </c>
      <c r="Q4785">
        <v>4</v>
      </c>
      <c r="R4785" t="s">
        <v>33</v>
      </c>
      <c r="S4785">
        <v>1</v>
      </c>
    </row>
    <row r="4786" spans="1:19" ht="16.5" x14ac:dyDescent="0.3">
      <c r="A4786" t="s">
        <v>4849</v>
      </c>
      <c r="B4786" s="1">
        <v>45928</v>
      </c>
      <c r="C4786" s="1">
        <v>45937</v>
      </c>
      <c r="D4786">
        <v>2025</v>
      </c>
      <c r="E4786" t="s">
        <v>1445</v>
      </c>
      <c r="F4786" t="s">
        <v>1821</v>
      </c>
      <c r="G4786" t="s">
        <v>112</v>
      </c>
      <c r="H4786" t="s">
        <v>30</v>
      </c>
      <c r="I4786" t="s">
        <v>40</v>
      </c>
      <c r="J4786" t="s">
        <v>25</v>
      </c>
      <c r="K4786" t="s">
        <v>53</v>
      </c>
      <c r="L4786" t="s">
        <v>37</v>
      </c>
      <c r="M4786">
        <v>9</v>
      </c>
      <c r="N4786" s="2"/>
      <c r="O4786" s="3">
        <v>8555</v>
      </c>
      <c r="P4786">
        <v>0</v>
      </c>
      <c r="Q4786">
        <v>4</v>
      </c>
      <c r="R4786" t="s">
        <v>33</v>
      </c>
      <c r="S4786">
        <v>1</v>
      </c>
    </row>
    <row r="4787" spans="1:19" ht="16.5" x14ac:dyDescent="0.3">
      <c r="A4787" t="s">
        <v>4850</v>
      </c>
      <c r="B4787" s="1">
        <v>45928</v>
      </c>
      <c r="C4787" s="1">
        <v>45935</v>
      </c>
      <c r="D4787">
        <v>2025</v>
      </c>
      <c r="E4787" t="s">
        <v>1445</v>
      </c>
      <c r="F4787" t="s">
        <v>1821</v>
      </c>
      <c r="G4787" t="s">
        <v>112</v>
      </c>
      <c r="H4787" t="s">
        <v>52</v>
      </c>
      <c r="I4787" t="s">
        <v>40</v>
      </c>
      <c r="J4787" t="s">
        <v>25</v>
      </c>
      <c r="K4787" t="s">
        <v>26</v>
      </c>
      <c r="L4787" t="s">
        <v>37</v>
      </c>
      <c r="M4787">
        <v>7</v>
      </c>
      <c r="N4787" s="2"/>
      <c r="O4787" s="3">
        <v>7258</v>
      </c>
      <c r="P4787">
        <v>0</v>
      </c>
      <c r="Q4787">
        <v>4</v>
      </c>
      <c r="R4787" t="s">
        <v>33</v>
      </c>
      <c r="S4787">
        <v>1</v>
      </c>
    </row>
    <row r="4788" spans="1:19" ht="16.5" x14ac:dyDescent="0.3">
      <c r="A4788" t="s">
        <v>4851</v>
      </c>
      <c r="B4788" s="1">
        <v>45928</v>
      </c>
      <c r="C4788" s="1">
        <v>45933</v>
      </c>
      <c r="D4788">
        <v>2025</v>
      </c>
      <c r="E4788" t="s">
        <v>1445</v>
      </c>
      <c r="F4788" t="s">
        <v>1821</v>
      </c>
      <c r="G4788" t="s">
        <v>112</v>
      </c>
      <c r="H4788" t="s">
        <v>52</v>
      </c>
      <c r="I4788" t="s">
        <v>40</v>
      </c>
      <c r="J4788" t="s">
        <v>25</v>
      </c>
      <c r="K4788" t="s">
        <v>36</v>
      </c>
      <c r="L4788" t="s">
        <v>37</v>
      </c>
      <c r="M4788">
        <v>5</v>
      </c>
      <c r="N4788" s="2"/>
      <c r="O4788" s="3">
        <v>5147</v>
      </c>
      <c r="P4788">
        <v>0</v>
      </c>
      <c r="Q4788">
        <v>4</v>
      </c>
      <c r="R4788" t="s">
        <v>33</v>
      </c>
      <c r="S4788">
        <v>1</v>
      </c>
    </row>
    <row r="4789" spans="1:19" ht="16.5" x14ac:dyDescent="0.3">
      <c r="A4789" t="s">
        <v>4852</v>
      </c>
      <c r="B4789" s="1">
        <v>45928</v>
      </c>
      <c r="C4789" s="1">
        <v>45929</v>
      </c>
      <c r="D4789">
        <v>2025</v>
      </c>
      <c r="E4789" t="s">
        <v>1445</v>
      </c>
      <c r="F4789" t="s">
        <v>1821</v>
      </c>
      <c r="G4789" t="s">
        <v>112</v>
      </c>
      <c r="H4789" t="s">
        <v>52</v>
      </c>
      <c r="I4789" t="s">
        <v>40</v>
      </c>
      <c r="J4789" t="s">
        <v>25</v>
      </c>
      <c r="K4789" t="s">
        <v>36</v>
      </c>
      <c r="L4789" t="s">
        <v>44</v>
      </c>
      <c r="M4789">
        <v>1</v>
      </c>
      <c r="N4789" s="2"/>
      <c r="O4789" s="3">
        <v>1716</v>
      </c>
      <c r="P4789">
        <v>0</v>
      </c>
      <c r="Q4789">
        <v>3</v>
      </c>
      <c r="R4789" t="s">
        <v>33</v>
      </c>
      <c r="S4789">
        <v>1</v>
      </c>
    </row>
    <row r="4790" spans="1:19" ht="16.5" x14ac:dyDescent="0.3">
      <c r="A4790" t="s">
        <v>4853</v>
      </c>
      <c r="B4790" s="1">
        <v>45929</v>
      </c>
      <c r="C4790" s="1">
        <v>45931</v>
      </c>
      <c r="D4790">
        <v>2025</v>
      </c>
      <c r="E4790" t="s">
        <v>1445</v>
      </c>
      <c r="F4790" t="s">
        <v>1821</v>
      </c>
      <c r="G4790" t="s">
        <v>22</v>
      </c>
      <c r="H4790" t="s">
        <v>30</v>
      </c>
      <c r="I4790" t="s">
        <v>40</v>
      </c>
      <c r="J4790" t="s">
        <v>43</v>
      </c>
      <c r="K4790" t="s">
        <v>26</v>
      </c>
      <c r="L4790" t="s">
        <v>27</v>
      </c>
      <c r="M4790">
        <v>2</v>
      </c>
      <c r="N4790" s="2"/>
      <c r="O4790" s="3">
        <v>2353</v>
      </c>
      <c r="P4790">
        <v>0</v>
      </c>
      <c r="Q4790">
        <v>5</v>
      </c>
      <c r="R4790" t="s">
        <v>33</v>
      </c>
      <c r="S4790">
        <v>1</v>
      </c>
    </row>
    <row r="4791" spans="1:19" ht="16.5" x14ac:dyDescent="0.3">
      <c r="A4791" t="s">
        <v>4854</v>
      </c>
      <c r="B4791" s="1">
        <v>45929</v>
      </c>
      <c r="C4791" s="1">
        <v>45932</v>
      </c>
      <c r="D4791">
        <v>2025</v>
      </c>
      <c r="E4791" t="s">
        <v>1445</v>
      </c>
      <c r="F4791" t="s">
        <v>1821</v>
      </c>
      <c r="G4791" t="s">
        <v>22</v>
      </c>
      <c r="H4791" t="s">
        <v>35</v>
      </c>
      <c r="I4791" t="s">
        <v>24</v>
      </c>
      <c r="J4791" t="s">
        <v>25</v>
      </c>
      <c r="K4791" t="s">
        <v>36</v>
      </c>
      <c r="L4791" t="s">
        <v>44</v>
      </c>
      <c r="M4791">
        <v>3</v>
      </c>
      <c r="N4791" s="2">
        <v>26</v>
      </c>
      <c r="O4791" s="3">
        <v>2356</v>
      </c>
      <c r="P4791">
        <v>0</v>
      </c>
      <c r="Q4791">
        <v>4</v>
      </c>
      <c r="R4791" t="s">
        <v>28</v>
      </c>
      <c r="S4791">
        <v>1</v>
      </c>
    </row>
    <row r="4792" spans="1:19" ht="16.5" x14ac:dyDescent="0.3">
      <c r="A4792" t="s">
        <v>4855</v>
      </c>
      <c r="B4792" s="1">
        <v>45929</v>
      </c>
      <c r="C4792" s="1">
        <v>45932</v>
      </c>
      <c r="D4792">
        <v>2025</v>
      </c>
      <c r="E4792" t="s">
        <v>1445</v>
      </c>
      <c r="F4792" t="s">
        <v>1821</v>
      </c>
      <c r="G4792" t="s">
        <v>22</v>
      </c>
      <c r="H4792" t="s">
        <v>30</v>
      </c>
      <c r="I4792" t="s">
        <v>40</v>
      </c>
      <c r="J4792" t="s">
        <v>43</v>
      </c>
      <c r="K4792" t="s">
        <v>36</v>
      </c>
      <c r="L4792" t="s">
        <v>44</v>
      </c>
      <c r="M4792">
        <v>3</v>
      </c>
      <c r="N4792" s="2"/>
      <c r="O4792" s="3">
        <v>3782</v>
      </c>
      <c r="P4792">
        <v>0</v>
      </c>
      <c r="Q4792">
        <v>5</v>
      </c>
      <c r="R4792" t="s">
        <v>28</v>
      </c>
      <c r="S4792">
        <v>1</v>
      </c>
    </row>
    <row r="4793" spans="1:19" ht="16.5" x14ac:dyDescent="0.3">
      <c r="A4793" t="s">
        <v>4856</v>
      </c>
      <c r="B4793" s="1">
        <v>45929</v>
      </c>
      <c r="C4793" s="1">
        <v>45934</v>
      </c>
      <c r="D4793">
        <v>2025</v>
      </c>
      <c r="E4793" t="s">
        <v>1445</v>
      </c>
      <c r="F4793" t="s">
        <v>1821</v>
      </c>
      <c r="G4793" t="s">
        <v>22</v>
      </c>
      <c r="H4793" t="s">
        <v>50</v>
      </c>
      <c r="I4793" t="s">
        <v>24</v>
      </c>
      <c r="J4793" t="s">
        <v>43</v>
      </c>
      <c r="K4793" t="s">
        <v>32</v>
      </c>
      <c r="L4793" t="s">
        <v>44</v>
      </c>
      <c r="M4793">
        <v>5</v>
      </c>
      <c r="N4793" s="2">
        <v>72</v>
      </c>
      <c r="O4793" s="3">
        <v>8273</v>
      </c>
      <c r="P4793">
        <v>0</v>
      </c>
      <c r="Q4793">
        <v>5</v>
      </c>
      <c r="R4793" t="s">
        <v>33</v>
      </c>
      <c r="S4793">
        <v>1</v>
      </c>
    </row>
    <row r="4794" spans="1:19" ht="16.5" x14ac:dyDescent="0.3">
      <c r="A4794" t="s">
        <v>4857</v>
      </c>
      <c r="B4794" s="1">
        <v>45929</v>
      </c>
      <c r="C4794" s="1">
        <v>45938</v>
      </c>
      <c r="D4794">
        <v>2025</v>
      </c>
      <c r="E4794" t="s">
        <v>1445</v>
      </c>
      <c r="F4794" t="s">
        <v>1821</v>
      </c>
      <c r="G4794" t="s">
        <v>22</v>
      </c>
      <c r="H4794" t="s">
        <v>52</v>
      </c>
      <c r="I4794" t="s">
        <v>40</v>
      </c>
      <c r="J4794" t="s">
        <v>25</v>
      </c>
      <c r="K4794" t="s">
        <v>26</v>
      </c>
      <c r="L4794" t="s">
        <v>27</v>
      </c>
      <c r="M4794">
        <v>9</v>
      </c>
      <c r="N4794" s="2"/>
      <c r="O4794" s="3">
        <v>8218</v>
      </c>
      <c r="P4794">
        <v>0</v>
      </c>
      <c r="Q4794">
        <v>4</v>
      </c>
      <c r="R4794" t="s">
        <v>33</v>
      </c>
      <c r="S4794">
        <v>1</v>
      </c>
    </row>
    <row r="4795" spans="1:19" ht="16.5" x14ac:dyDescent="0.3">
      <c r="A4795" t="s">
        <v>4858</v>
      </c>
      <c r="B4795" s="1">
        <v>45930</v>
      </c>
      <c r="C4795" s="1">
        <v>45935</v>
      </c>
      <c r="D4795">
        <v>2025</v>
      </c>
      <c r="E4795" t="s">
        <v>1445</v>
      </c>
      <c r="F4795" t="s">
        <v>1821</v>
      </c>
      <c r="G4795" t="s">
        <v>56</v>
      </c>
      <c r="H4795" t="s">
        <v>35</v>
      </c>
      <c r="I4795" t="s">
        <v>24</v>
      </c>
      <c r="J4795" t="s">
        <v>25</v>
      </c>
      <c r="K4795" t="s">
        <v>32</v>
      </c>
      <c r="L4795" t="s">
        <v>44</v>
      </c>
      <c r="M4795">
        <v>5</v>
      </c>
      <c r="N4795" s="2">
        <v>19</v>
      </c>
      <c r="O4795" s="3">
        <v>4057</v>
      </c>
      <c r="P4795">
        <v>0</v>
      </c>
      <c r="Q4795">
        <v>5</v>
      </c>
      <c r="R4795" t="s">
        <v>33</v>
      </c>
      <c r="S4795">
        <v>1</v>
      </c>
    </row>
    <row r="4796" spans="1:19" ht="16.5" x14ac:dyDescent="0.3">
      <c r="A4796" t="s">
        <v>4859</v>
      </c>
      <c r="B4796" s="1">
        <v>45930</v>
      </c>
      <c r="C4796" s="1">
        <v>45932</v>
      </c>
      <c r="D4796">
        <v>2025</v>
      </c>
      <c r="E4796" t="s">
        <v>1445</v>
      </c>
      <c r="F4796" t="s">
        <v>1821</v>
      </c>
      <c r="G4796" t="s">
        <v>56</v>
      </c>
      <c r="H4796" t="s">
        <v>39</v>
      </c>
      <c r="I4796" t="s">
        <v>40</v>
      </c>
      <c r="J4796" t="s">
        <v>43</v>
      </c>
      <c r="K4796" t="s">
        <v>41</v>
      </c>
      <c r="L4796" t="s">
        <v>44</v>
      </c>
      <c r="M4796">
        <v>2</v>
      </c>
      <c r="N4796" s="2"/>
      <c r="O4796" s="3">
        <v>1688</v>
      </c>
      <c r="P4796">
        <v>0</v>
      </c>
      <c r="Q4796">
        <v>5</v>
      </c>
      <c r="R4796" t="s">
        <v>28</v>
      </c>
      <c r="S4796">
        <v>1</v>
      </c>
    </row>
    <row r="4797" spans="1:19" ht="16.5" x14ac:dyDescent="0.3">
      <c r="A4797" t="s">
        <v>4860</v>
      </c>
      <c r="B4797" s="1">
        <v>45930</v>
      </c>
      <c r="C4797" s="1">
        <v>45932</v>
      </c>
      <c r="D4797">
        <v>2025</v>
      </c>
      <c r="E4797" t="s">
        <v>1445</v>
      </c>
      <c r="F4797" t="s">
        <v>1821</v>
      </c>
      <c r="G4797" t="s">
        <v>56</v>
      </c>
      <c r="H4797" t="s">
        <v>39</v>
      </c>
      <c r="I4797" t="s">
        <v>24</v>
      </c>
      <c r="J4797" t="s">
        <v>43</v>
      </c>
      <c r="K4797" t="s">
        <v>41</v>
      </c>
      <c r="L4797" t="s">
        <v>44</v>
      </c>
      <c r="M4797">
        <v>2</v>
      </c>
      <c r="N4797" s="2">
        <v>25</v>
      </c>
      <c r="O4797" s="3">
        <v>2006</v>
      </c>
      <c r="P4797">
        <v>0</v>
      </c>
      <c r="Q4797">
        <v>5</v>
      </c>
      <c r="R4797" t="s">
        <v>33</v>
      </c>
      <c r="S4797">
        <v>1</v>
      </c>
    </row>
    <row r="4798" spans="1:19" ht="16.5" x14ac:dyDescent="0.3">
      <c r="A4798" t="s">
        <v>4861</v>
      </c>
      <c r="B4798" s="1">
        <v>45930</v>
      </c>
      <c r="C4798" s="1">
        <v>45931</v>
      </c>
      <c r="D4798">
        <v>2025</v>
      </c>
      <c r="E4798" t="s">
        <v>1445</v>
      </c>
      <c r="F4798" t="s">
        <v>1821</v>
      </c>
      <c r="G4798" t="s">
        <v>56</v>
      </c>
      <c r="H4798" t="s">
        <v>35</v>
      </c>
      <c r="I4798" t="s">
        <v>24</v>
      </c>
      <c r="J4798" t="s">
        <v>25</v>
      </c>
      <c r="K4798" t="s">
        <v>32</v>
      </c>
      <c r="L4798" t="s">
        <v>27</v>
      </c>
      <c r="M4798">
        <v>1</v>
      </c>
      <c r="N4798" s="2">
        <v>17</v>
      </c>
      <c r="O4798" s="3">
        <v>1048</v>
      </c>
      <c r="P4798">
        <v>0</v>
      </c>
      <c r="Q4798">
        <v>5</v>
      </c>
      <c r="R4798" t="s">
        <v>33</v>
      </c>
      <c r="S4798">
        <v>1</v>
      </c>
    </row>
    <row r="4799" spans="1:19" ht="16.5" x14ac:dyDescent="0.3">
      <c r="A4799" t="s">
        <v>4862</v>
      </c>
      <c r="B4799" s="1">
        <v>45930</v>
      </c>
      <c r="C4799" s="1">
        <v>45941</v>
      </c>
      <c r="D4799">
        <v>2025</v>
      </c>
      <c r="E4799" t="s">
        <v>1445</v>
      </c>
      <c r="F4799" t="s">
        <v>1821</v>
      </c>
      <c r="G4799" t="s">
        <v>56</v>
      </c>
      <c r="H4799" t="s">
        <v>30</v>
      </c>
      <c r="I4799" t="s">
        <v>24</v>
      </c>
      <c r="J4799" t="s">
        <v>25</v>
      </c>
      <c r="K4799" t="s">
        <v>32</v>
      </c>
      <c r="L4799" t="s">
        <v>44</v>
      </c>
      <c r="M4799">
        <v>11</v>
      </c>
      <c r="N4799" s="2">
        <v>39</v>
      </c>
      <c r="O4799" s="3">
        <v>12229</v>
      </c>
      <c r="P4799">
        <v>0</v>
      </c>
      <c r="Q4799">
        <v>4</v>
      </c>
      <c r="R4799" t="s">
        <v>28</v>
      </c>
      <c r="S4799">
        <v>1</v>
      </c>
    </row>
    <row r="4800" spans="1:19" ht="16.5" x14ac:dyDescent="0.3">
      <c r="A4800" t="s">
        <v>4863</v>
      </c>
      <c r="B4800" s="1">
        <v>45930</v>
      </c>
      <c r="C4800" s="1">
        <v>45936</v>
      </c>
      <c r="D4800">
        <v>2025</v>
      </c>
      <c r="E4800" t="s">
        <v>1445</v>
      </c>
      <c r="F4800" t="s">
        <v>1821</v>
      </c>
      <c r="G4800" t="s">
        <v>56</v>
      </c>
      <c r="H4800" t="s">
        <v>23</v>
      </c>
      <c r="I4800" t="s">
        <v>40</v>
      </c>
      <c r="J4800" t="s">
        <v>43</v>
      </c>
      <c r="K4800" t="s">
        <v>26</v>
      </c>
      <c r="L4800" t="s">
        <v>44</v>
      </c>
      <c r="M4800">
        <v>6</v>
      </c>
      <c r="N4800" s="2"/>
      <c r="O4800" s="3">
        <v>5667</v>
      </c>
      <c r="P4800">
        <v>1</v>
      </c>
      <c r="Q4800">
        <v>3</v>
      </c>
      <c r="R4800" t="s">
        <v>28</v>
      </c>
      <c r="S4800">
        <v>1</v>
      </c>
    </row>
    <row r="4801" spans="1:19" ht="16.5" x14ac:dyDescent="0.3">
      <c r="A4801" t="s">
        <v>4864</v>
      </c>
      <c r="B4801" s="1">
        <v>45930</v>
      </c>
      <c r="C4801" s="1">
        <v>45932</v>
      </c>
      <c r="D4801">
        <v>2025</v>
      </c>
      <c r="E4801" t="s">
        <v>1445</v>
      </c>
      <c r="F4801" t="s">
        <v>1821</v>
      </c>
      <c r="G4801" t="s">
        <v>56</v>
      </c>
      <c r="H4801" t="s">
        <v>52</v>
      </c>
      <c r="I4801" t="s">
        <v>40</v>
      </c>
      <c r="J4801" t="s">
        <v>25</v>
      </c>
      <c r="K4801" t="s">
        <v>53</v>
      </c>
      <c r="L4801" t="s">
        <v>27</v>
      </c>
      <c r="M4801">
        <v>2</v>
      </c>
      <c r="N4801" s="2"/>
      <c r="O4801" s="3">
        <v>2815</v>
      </c>
      <c r="P4801">
        <v>0</v>
      </c>
      <c r="Q4801">
        <v>5</v>
      </c>
      <c r="R4801" t="s">
        <v>59</v>
      </c>
      <c r="S4801">
        <v>1</v>
      </c>
    </row>
    <row r="4802" spans="1:19" ht="16.5" x14ac:dyDescent="0.3">
      <c r="A4802" t="s">
        <v>4865</v>
      </c>
      <c r="B4802" s="1">
        <v>45930</v>
      </c>
      <c r="C4802" s="1">
        <v>45933</v>
      </c>
      <c r="D4802">
        <v>2025</v>
      </c>
      <c r="E4802" t="s">
        <v>1445</v>
      </c>
      <c r="F4802" t="s">
        <v>1821</v>
      </c>
      <c r="G4802" t="s">
        <v>56</v>
      </c>
      <c r="H4802" t="s">
        <v>30</v>
      </c>
      <c r="I4802" t="s">
        <v>24</v>
      </c>
      <c r="J4802" t="s">
        <v>43</v>
      </c>
      <c r="K4802" t="s">
        <v>26</v>
      </c>
      <c r="L4802" t="s">
        <v>44</v>
      </c>
      <c r="M4802">
        <v>3</v>
      </c>
      <c r="N4802" s="2">
        <v>28</v>
      </c>
      <c r="O4802" s="3">
        <v>3761</v>
      </c>
      <c r="P4802">
        <v>0</v>
      </c>
      <c r="Q4802">
        <v>4</v>
      </c>
      <c r="R4802" t="s">
        <v>28</v>
      </c>
      <c r="S4802">
        <v>1</v>
      </c>
    </row>
    <row r="4803" spans="1:19" ht="16.5" x14ac:dyDescent="0.3">
      <c r="A4803" t="s">
        <v>4866</v>
      </c>
      <c r="B4803" s="1">
        <v>45931</v>
      </c>
      <c r="C4803" s="1">
        <v>45932</v>
      </c>
      <c r="D4803">
        <v>2025</v>
      </c>
      <c r="E4803" t="s">
        <v>2026</v>
      </c>
      <c r="F4803" t="s">
        <v>2027</v>
      </c>
      <c r="G4803" t="s">
        <v>70</v>
      </c>
      <c r="H4803" t="s">
        <v>35</v>
      </c>
      <c r="I4803" t="s">
        <v>40</v>
      </c>
      <c r="J4803" t="s">
        <v>25</v>
      </c>
      <c r="K4803" t="s">
        <v>32</v>
      </c>
      <c r="L4803" t="s">
        <v>44</v>
      </c>
      <c r="M4803">
        <v>1</v>
      </c>
      <c r="N4803" s="2"/>
      <c r="O4803" s="3">
        <v>1253</v>
      </c>
      <c r="P4803">
        <v>0</v>
      </c>
      <c r="Q4803">
        <v>5</v>
      </c>
      <c r="R4803" t="s">
        <v>33</v>
      </c>
      <c r="S4803">
        <v>1</v>
      </c>
    </row>
    <row r="4804" spans="1:19" ht="16.5" x14ac:dyDescent="0.3">
      <c r="A4804" t="s">
        <v>4867</v>
      </c>
      <c r="B4804" s="1">
        <v>45931</v>
      </c>
      <c r="C4804" s="1">
        <v>45932</v>
      </c>
      <c r="D4804">
        <v>2025</v>
      </c>
      <c r="E4804" t="s">
        <v>2026</v>
      </c>
      <c r="F4804" t="s">
        <v>2027</v>
      </c>
      <c r="G4804" t="s">
        <v>70</v>
      </c>
      <c r="H4804" t="s">
        <v>35</v>
      </c>
      <c r="I4804" t="s">
        <v>31</v>
      </c>
      <c r="J4804" t="s">
        <v>25</v>
      </c>
      <c r="K4804" t="s">
        <v>36</v>
      </c>
      <c r="L4804" t="s">
        <v>44</v>
      </c>
      <c r="M4804">
        <v>1</v>
      </c>
      <c r="N4804" s="2"/>
      <c r="O4804" s="3">
        <v>962</v>
      </c>
      <c r="P4804">
        <v>0</v>
      </c>
      <c r="Q4804">
        <v>4</v>
      </c>
      <c r="R4804" t="s">
        <v>33</v>
      </c>
      <c r="S4804">
        <v>1</v>
      </c>
    </row>
    <row r="4805" spans="1:19" ht="16.5" x14ac:dyDescent="0.3">
      <c r="A4805" t="s">
        <v>4868</v>
      </c>
      <c r="B4805" s="1">
        <v>45931</v>
      </c>
      <c r="C4805" s="1">
        <v>45933</v>
      </c>
      <c r="D4805">
        <v>2025</v>
      </c>
      <c r="E4805" t="s">
        <v>2026</v>
      </c>
      <c r="F4805" t="s">
        <v>2027</v>
      </c>
      <c r="G4805" t="s">
        <v>70</v>
      </c>
      <c r="H4805" t="s">
        <v>39</v>
      </c>
      <c r="I4805" t="s">
        <v>24</v>
      </c>
      <c r="J4805" t="s">
        <v>43</v>
      </c>
      <c r="K4805" t="s">
        <v>41</v>
      </c>
      <c r="L4805" t="s">
        <v>44</v>
      </c>
      <c r="M4805">
        <v>2</v>
      </c>
      <c r="N4805" s="2">
        <v>15</v>
      </c>
      <c r="O4805" s="3">
        <v>2126</v>
      </c>
      <c r="P4805">
        <v>0</v>
      </c>
      <c r="Q4805">
        <v>4</v>
      </c>
      <c r="R4805" t="s">
        <v>33</v>
      </c>
      <c r="S4805">
        <v>1</v>
      </c>
    </row>
    <row r="4806" spans="1:19" ht="16.5" x14ac:dyDescent="0.3">
      <c r="A4806" t="s">
        <v>4869</v>
      </c>
      <c r="B4806" s="1">
        <v>45931</v>
      </c>
      <c r="C4806" s="1">
        <v>45936</v>
      </c>
      <c r="D4806">
        <v>2025</v>
      </c>
      <c r="E4806" t="s">
        <v>2026</v>
      </c>
      <c r="F4806" t="s">
        <v>2027</v>
      </c>
      <c r="G4806" t="s">
        <v>70</v>
      </c>
      <c r="H4806" t="s">
        <v>50</v>
      </c>
      <c r="I4806" t="s">
        <v>24</v>
      </c>
      <c r="J4806" t="s">
        <v>43</v>
      </c>
      <c r="K4806" t="s">
        <v>53</v>
      </c>
      <c r="L4806" t="s">
        <v>27</v>
      </c>
      <c r="M4806">
        <v>5</v>
      </c>
      <c r="N4806" s="2">
        <v>23</v>
      </c>
      <c r="O4806" s="3">
        <v>8561</v>
      </c>
      <c r="P4806">
        <v>1</v>
      </c>
      <c r="Q4806">
        <v>4</v>
      </c>
      <c r="R4806" t="s">
        <v>28</v>
      </c>
      <c r="S4806">
        <v>1</v>
      </c>
    </row>
    <row r="4807" spans="1:19" ht="16.5" x14ac:dyDescent="0.3">
      <c r="A4807" t="s">
        <v>4870</v>
      </c>
      <c r="B4807" s="1">
        <v>45931</v>
      </c>
      <c r="C4807" s="1">
        <v>45935</v>
      </c>
      <c r="D4807">
        <v>2025</v>
      </c>
      <c r="E4807" t="s">
        <v>2026</v>
      </c>
      <c r="F4807" t="s">
        <v>2027</v>
      </c>
      <c r="G4807" t="s">
        <v>70</v>
      </c>
      <c r="H4807" t="s">
        <v>50</v>
      </c>
      <c r="I4807" t="s">
        <v>24</v>
      </c>
      <c r="J4807" t="s">
        <v>25</v>
      </c>
      <c r="K4807" t="s">
        <v>36</v>
      </c>
      <c r="L4807" t="s">
        <v>44</v>
      </c>
      <c r="M4807">
        <v>4</v>
      </c>
      <c r="N4807" s="2">
        <v>43</v>
      </c>
      <c r="O4807" s="3">
        <v>4708</v>
      </c>
      <c r="P4807">
        <v>0</v>
      </c>
      <c r="Q4807">
        <v>4</v>
      </c>
      <c r="R4807" t="s">
        <v>33</v>
      </c>
      <c r="S4807">
        <v>1</v>
      </c>
    </row>
    <row r="4808" spans="1:19" ht="16.5" x14ac:dyDescent="0.3">
      <c r="A4808" t="s">
        <v>4871</v>
      </c>
      <c r="B4808" s="1">
        <v>45931</v>
      </c>
      <c r="C4808" s="1">
        <v>45936</v>
      </c>
      <c r="D4808">
        <v>2025</v>
      </c>
      <c r="E4808" t="s">
        <v>2026</v>
      </c>
      <c r="F4808" t="s">
        <v>2027</v>
      </c>
      <c r="G4808" t="s">
        <v>70</v>
      </c>
      <c r="H4808" t="s">
        <v>30</v>
      </c>
      <c r="I4808" t="s">
        <v>40</v>
      </c>
      <c r="J4808" t="s">
        <v>43</v>
      </c>
      <c r="K4808" t="s">
        <v>26</v>
      </c>
      <c r="L4808" t="s">
        <v>27</v>
      </c>
      <c r="M4808">
        <v>5</v>
      </c>
      <c r="N4808" s="2"/>
      <c r="O4808" s="3">
        <v>5310</v>
      </c>
      <c r="P4808">
        <v>0</v>
      </c>
      <c r="Q4808">
        <v>4</v>
      </c>
      <c r="R4808" t="s">
        <v>33</v>
      </c>
      <c r="S4808">
        <v>1</v>
      </c>
    </row>
    <row r="4809" spans="1:19" ht="16.5" x14ac:dyDescent="0.3">
      <c r="A4809" t="s">
        <v>4872</v>
      </c>
      <c r="B4809" s="1">
        <v>45931</v>
      </c>
      <c r="C4809" s="1">
        <v>45933</v>
      </c>
      <c r="D4809">
        <v>2025</v>
      </c>
      <c r="E4809" t="s">
        <v>2026</v>
      </c>
      <c r="F4809" t="s">
        <v>2027</v>
      </c>
      <c r="G4809" t="s">
        <v>70</v>
      </c>
      <c r="H4809" t="s">
        <v>23</v>
      </c>
      <c r="I4809" t="s">
        <v>24</v>
      </c>
      <c r="J4809" t="s">
        <v>25</v>
      </c>
      <c r="K4809" t="s">
        <v>36</v>
      </c>
      <c r="L4809" t="s">
        <v>27</v>
      </c>
      <c r="M4809">
        <v>2</v>
      </c>
      <c r="N4809" s="2">
        <v>75</v>
      </c>
      <c r="O4809" s="3">
        <v>1802</v>
      </c>
      <c r="P4809">
        <v>0</v>
      </c>
      <c r="Q4809">
        <v>5</v>
      </c>
      <c r="R4809" t="s">
        <v>33</v>
      </c>
      <c r="S4809">
        <v>1</v>
      </c>
    </row>
    <row r="4810" spans="1:19" ht="16.5" x14ac:dyDescent="0.3">
      <c r="A4810" t="s">
        <v>4873</v>
      </c>
      <c r="B4810" s="1">
        <v>45931</v>
      </c>
      <c r="C4810" s="1">
        <v>45936</v>
      </c>
      <c r="D4810">
        <v>2025</v>
      </c>
      <c r="E4810" t="s">
        <v>2026</v>
      </c>
      <c r="F4810" t="s">
        <v>2027</v>
      </c>
      <c r="G4810" t="s">
        <v>70</v>
      </c>
      <c r="H4810" t="s">
        <v>30</v>
      </c>
      <c r="I4810" t="s">
        <v>40</v>
      </c>
      <c r="J4810" t="s">
        <v>43</v>
      </c>
      <c r="K4810" t="s">
        <v>53</v>
      </c>
      <c r="L4810" t="s">
        <v>44</v>
      </c>
      <c r="M4810">
        <v>5</v>
      </c>
      <c r="N4810" s="2"/>
      <c r="O4810" s="3">
        <v>7201</v>
      </c>
      <c r="P4810">
        <v>0</v>
      </c>
      <c r="Q4810">
        <v>4</v>
      </c>
      <c r="R4810" t="s">
        <v>33</v>
      </c>
      <c r="S4810">
        <v>1</v>
      </c>
    </row>
    <row r="4811" spans="1:19" ht="16.5" x14ac:dyDescent="0.3">
      <c r="A4811" t="s">
        <v>4874</v>
      </c>
      <c r="B4811" s="1">
        <v>45931</v>
      </c>
      <c r="C4811" s="1">
        <v>45938</v>
      </c>
      <c r="D4811">
        <v>2025</v>
      </c>
      <c r="E4811" t="s">
        <v>2026</v>
      </c>
      <c r="F4811" t="s">
        <v>2027</v>
      </c>
      <c r="G4811" t="s">
        <v>70</v>
      </c>
      <c r="H4811" t="s">
        <v>35</v>
      </c>
      <c r="I4811" t="s">
        <v>24</v>
      </c>
      <c r="J4811" t="s">
        <v>25</v>
      </c>
      <c r="K4811" t="s">
        <v>36</v>
      </c>
      <c r="L4811" t="s">
        <v>44</v>
      </c>
      <c r="M4811">
        <v>7</v>
      </c>
      <c r="N4811" s="2">
        <v>78</v>
      </c>
      <c r="O4811" s="3">
        <v>3671</v>
      </c>
      <c r="P4811">
        <v>0</v>
      </c>
      <c r="Q4811">
        <v>5</v>
      </c>
      <c r="R4811" t="s">
        <v>28</v>
      </c>
      <c r="S4811">
        <v>1</v>
      </c>
    </row>
    <row r="4812" spans="1:19" ht="16.5" x14ac:dyDescent="0.3">
      <c r="A4812" t="s">
        <v>4875</v>
      </c>
      <c r="B4812" s="1">
        <v>45932</v>
      </c>
      <c r="C4812" s="1">
        <v>45935</v>
      </c>
      <c r="D4812">
        <v>2025</v>
      </c>
      <c r="E4812" t="s">
        <v>2026</v>
      </c>
      <c r="F4812" t="s">
        <v>2027</v>
      </c>
      <c r="G4812" t="s">
        <v>78</v>
      </c>
      <c r="H4812" t="s">
        <v>39</v>
      </c>
      <c r="I4812" t="s">
        <v>24</v>
      </c>
      <c r="J4812" t="s">
        <v>43</v>
      </c>
      <c r="K4812" t="s">
        <v>41</v>
      </c>
      <c r="L4812" t="s">
        <v>44</v>
      </c>
      <c r="M4812">
        <v>3</v>
      </c>
      <c r="N4812" s="2">
        <v>38</v>
      </c>
      <c r="O4812" s="3">
        <v>2462</v>
      </c>
      <c r="P4812">
        <v>0</v>
      </c>
      <c r="Q4812">
        <v>4</v>
      </c>
      <c r="R4812" t="s">
        <v>28</v>
      </c>
      <c r="S4812">
        <v>1</v>
      </c>
    </row>
    <row r="4813" spans="1:19" ht="16.5" x14ac:dyDescent="0.3">
      <c r="A4813" t="s">
        <v>4876</v>
      </c>
      <c r="B4813" s="1">
        <v>45932</v>
      </c>
      <c r="C4813" s="1">
        <v>45939</v>
      </c>
      <c r="D4813">
        <v>2025</v>
      </c>
      <c r="E4813" t="s">
        <v>2026</v>
      </c>
      <c r="F4813" t="s">
        <v>2027</v>
      </c>
      <c r="G4813" t="s">
        <v>78</v>
      </c>
      <c r="H4813" t="s">
        <v>30</v>
      </c>
      <c r="I4813" t="s">
        <v>24</v>
      </c>
      <c r="J4813" t="s">
        <v>25</v>
      </c>
      <c r="K4813" t="s">
        <v>53</v>
      </c>
      <c r="L4813" t="s">
        <v>27</v>
      </c>
      <c r="M4813">
        <v>7</v>
      </c>
      <c r="N4813" s="2">
        <v>24</v>
      </c>
      <c r="O4813" s="3">
        <v>8385</v>
      </c>
      <c r="P4813">
        <v>0</v>
      </c>
      <c r="Q4813">
        <v>5</v>
      </c>
      <c r="R4813" t="s">
        <v>33</v>
      </c>
      <c r="S4813">
        <v>1</v>
      </c>
    </row>
    <row r="4814" spans="1:19" ht="16.5" x14ac:dyDescent="0.3">
      <c r="A4814" t="s">
        <v>4877</v>
      </c>
      <c r="B4814" s="1">
        <v>45932</v>
      </c>
      <c r="C4814" s="1">
        <v>45934</v>
      </c>
      <c r="D4814">
        <v>2025</v>
      </c>
      <c r="E4814" t="s">
        <v>2026</v>
      </c>
      <c r="F4814" t="s">
        <v>2027</v>
      </c>
      <c r="G4814" t="s">
        <v>78</v>
      </c>
      <c r="H4814" t="s">
        <v>39</v>
      </c>
      <c r="I4814" t="s">
        <v>24</v>
      </c>
      <c r="J4814" t="s">
        <v>43</v>
      </c>
      <c r="K4814" t="s">
        <v>41</v>
      </c>
      <c r="L4814" t="s">
        <v>44</v>
      </c>
      <c r="M4814">
        <v>2</v>
      </c>
      <c r="N4814" s="2">
        <v>26</v>
      </c>
      <c r="O4814" s="3">
        <v>1118</v>
      </c>
      <c r="P4814">
        <v>0</v>
      </c>
      <c r="Q4814">
        <v>5</v>
      </c>
      <c r="R4814" t="s">
        <v>33</v>
      </c>
      <c r="S4814">
        <v>1</v>
      </c>
    </row>
    <row r="4815" spans="1:19" ht="16.5" x14ac:dyDescent="0.3">
      <c r="A4815" t="s">
        <v>4878</v>
      </c>
      <c r="B4815" s="1">
        <v>45932</v>
      </c>
      <c r="C4815" s="1">
        <v>45941</v>
      </c>
      <c r="D4815">
        <v>2025</v>
      </c>
      <c r="E4815" t="s">
        <v>2026</v>
      </c>
      <c r="F4815" t="s">
        <v>2027</v>
      </c>
      <c r="G4815" t="s">
        <v>78</v>
      </c>
      <c r="H4815" t="s">
        <v>30</v>
      </c>
      <c r="I4815" t="s">
        <v>40</v>
      </c>
      <c r="J4815" t="s">
        <v>43</v>
      </c>
      <c r="K4815" t="s">
        <v>26</v>
      </c>
      <c r="L4815" t="s">
        <v>44</v>
      </c>
      <c r="M4815">
        <v>9</v>
      </c>
      <c r="N4815" s="2"/>
      <c r="O4815" s="3">
        <v>12532</v>
      </c>
      <c r="P4815">
        <v>0</v>
      </c>
      <c r="Q4815">
        <v>5</v>
      </c>
      <c r="R4815" t="s">
        <v>33</v>
      </c>
      <c r="S4815">
        <v>1</v>
      </c>
    </row>
    <row r="4816" spans="1:19" ht="16.5" x14ac:dyDescent="0.3">
      <c r="A4816" t="s">
        <v>4879</v>
      </c>
      <c r="B4816" s="1">
        <v>45932</v>
      </c>
      <c r="C4816" s="1">
        <v>45934</v>
      </c>
      <c r="D4816">
        <v>2025</v>
      </c>
      <c r="E4816" t="s">
        <v>2026</v>
      </c>
      <c r="F4816" t="s">
        <v>2027</v>
      </c>
      <c r="G4816" t="s">
        <v>78</v>
      </c>
      <c r="H4816" t="s">
        <v>35</v>
      </c>
      <c r="I4816" t="s">
        <v>40</v>
      </c>
      <c r="J4816" t="s">
        <v>25</v>
      </c>
      <c r="K4816" t="s">
        <v>36</v>
      </c>
      <c r="L4816" t="s">
        <v>37</v>
      </c>
      <c r="M4816">
        <v>2</v>
      </c>
      <c r="N4816" s="2"/>
      <c r="O4816" s="3">
        <v>2509</v>
      </c>
      <c r="P4816">
        <v>0</v>
      </c>
      <c r="Q4816">
        <v>4</v>
      </c>
      <c r="R4816" t="s">
        <v>33</v>
      </c>
      <c r="S4816">
        <v>1</v>
      </c>
    </row>
    <row r="4817" spans="1:19" ht="16.5" x14ac:dyDescent="0.3">
      <c r="A4817" t="s">
        <v>4880</v>
      </c>
      <c r="B4817" s="1">
        <v>45932</v>
      </c>
      <c r="C4817" s="1">
        <v>45938</v>
      </c>
      <c r="D4817">
        <v>2025</v>
      </c>
      <c r="E4817" t="s">
        <v>2026</v>
      </c>
      <c r="F4817" t="s">
        <v>2027</v>
      </c>
      <c r="G4817" t="s">
        <v>78</v>
      </c>
      <c r="H4817" t="s">
        <v>23</v>
      </c>
      <c r="I4817" t="s">
        <v>24</v>
      </c>
      <c r="J4817" t="s">
        <v>25</v>
      </c>
      <c r="K4817" t="s">
        <v>36</v>
      </c>
      <c r="L4817" t="s">
        <v>27</v>
      </c>
      <c r="M4817">
        <v>6</v>
      </c>
      <c r="N4817" s="2">
        <v>44</v>
      </c>
      <c r="O4817" s="3">
        <v>5207</v>
      </c>
      <c r="P4817">
        <v>0</v>
      </c>
      <c r="Q4817">
        <v>3</v>
      </c>
      <c r="R4817" t="s">
        <v>33</v>
      </c>
      <c r="S4817">
        <v>1</v>
      </c>
    </row>
    <row r="4818" spans="1:19" ht="16.5" x14ac:dyDescent="0.3">
      <c r="A4818" t="s">
        <v>4881</v>
      </c>
      <c r="B4818" s="1">
        <v>45932</v>
      </c>
      <c r="C4818" s="1">
        <v>45938</v>
      </c>
      <c r="D4818">
        <v>2025</v>
      </c>
      <c r="E4818" t="s">
        <v>2026</v>
      </c>
      <c r="F4818" t="s">
        <v>2027</v>
      </c>
      <c r="G4818" t="s">
        <v>78</v>
      </c>
      <c r="H4818" t="s">
        <v>23</v>
      </c>
      <c r="I4818" t="s">
        <v>24</v>
      </c>
      <c r="J4818" t="s">
        <v>25</v>
      </c>
      <c r="K4818" t="s">
        <v>32</v>
      </c>
      <c r="L4818" t="s">
        <v>44</v>
      </c>
      <c r="M4818">
        <v>6</v>
      </c>
      <c r="N4818" s="2">
        <v>59</v>
      </c>
      <c r="O4818" s="3">
        <v>3776</v>
      </c>
      <c r="P4818">
        <v>0</v>
      </c>
      <c r="Q4818">
        <v>4</v>
      </c>
      <c r="R4818" t="s">
        <v>33</v>
      </c>
      <c r="S4818">
        <v>1</v>
      </c>
    </row>
    <row r="4819" spans="1:19" ht="16.5" x14ac:dyDescent="0.3">
      <c r="A4819" t="s">
        <v>4882</v>
      </c>
      <c r="B4819" s="1">
        <v>45933</v>
      </c>
      <c r="C4819" s="1">
        <v>45949</v>
      </c>
      <c r="D4819">
        <v>2025</v>
      </c>
      <c r="E4819" t="s">
        <v>2026</v>
      </c>
      <c r="F4819" t="s">
        <v>2027</v>
      </c>
      <c r="G4819" t="s">
        <v>83</v>
      </c>
      <c r="H4819" t="s">
        <v>23</v>
      </c>
      <c r="I4819" t="s">
        <v>24</v>
      </c>
      <c r="J4819" t="s">
        <v>25</v>
      </c>
      <c r="K4819" t="s">
        <v>32</v>
      </c>
      <c r="L4819" t="s">
        <v>44</v>
      </c>
      <c r="M4819">
        <v>16</v>
      </c>
      <c r="N4819" s="2">
        <v>26</v>
      </c>
      <c r="O4819" s="3">
        <v>9101</v>
      </c>
      <c r="P4819">
        <v>0</v>
      </c>
      <c r="Q4819">
        <v>4</v>
      </c>
      <c r="R4819" t="s">
        <v>33</v>
      </c>
      <c r="S4819">
        <v>1</v>
      </c>
    </row>
    <row r="4820" spans="1:19" ht="16.5" x14ac:dyDescent="0.3">
      <c r="A4820" t="s">
        <v>4883</v>
      </c>
      <c r="B4820" s="1">
        <v>45933</v>
      </c>
      <c r="C4820" s="1">
        <v>45940</v>
      </c>
      <c r="D4820">
        <v>2025</v>
      </c>
      <c r="E4820" t="s">
        <v>2026</v>
      </c>
      <c r="F4820" t="s">
        <v>2027</v>
      </c>
      <c r="G4820" t="s">
        <v>83</v>
      </c>
      <c r="H4820" t="s">
        <v>52</v>
      </c>
      <c r="I4820" t="s">
        <v>40</v>
      </c>
      <c r="J4820" t="s">
        <v>43</v>
      </c>
      <c r="K4820" t="s">
        <v>26</v>
      </c>
      <c r="L4820" t="s">
        <v>44</v>
      </c>
      <c r="M4820">
        <v>7</v>
      </c>
      <c r="N4820" s="2"/>
      <c r="O4820" s="3">
        <v>8857</v>
      </c>
      <c r="P4820">
        <v>0</v>
      </c>
      <c r="Q4820">
        <v>4</v>
      </c>
      <c r="R4820" t="s">
        <v>28</v>
      </c>
      <c r="S4820">
        <v>1</v>
      </c>
    </row>
    <row r="4821" spans="1:19" ht="16.5" x14ac:dyDescent="0.3">
      <c r="A4821" t="s">
        <v>4884</v>
      </c>
      <c r="B4821" s="1">
        <v>45933</v>
      </c>
      <c r="C4821" s="1">
        <v>45941</v>
      </c>
      <c r="D4821">
        <v>2025</v>
      </c>
      <c r="E4821" t="s">
        <v>2026</v>
      </c>
      <c r="F4821" t="s">
        <v>2027</v>
      </c>
      <c r="G4821" t="s">
        <v>83</v>
      </c>
      <c r="H4821" t="s">
        <v>39</v>
      </c>
      <c r="I4821" t="s">
        <v>24</v>
      </c>
      <c r="J4821" t="s">
        <v>25</v>
      </c>
      <c r="K4821" t="s">
        <v>41</v>
      </c>
      <c r="L4821" t="s">
        <v>27</v>
      </c>
      <c r="M4821">
        <v>8</v>
      </c>
      <c r="N4821" s="2">
        <v>77</v>
      </c>
      <c r="O4821" s="3">
        <v>5438</v>
      </c>
      <c r="P4821">
        <v>0</v>
      </c>
      <c r="Q4821">
        <v>3</v>
      </c>
      <c r="R4821" t="s">
        <v>28</v>
      </c>
      <c r="S4821">
        <v>1</v>
      </c>
    </row>
    <row r="4822" spans="1:19" ht="16.5" x14ac:dyDescent="0.3">
      <c r="A4822" t="s">
        <v>4885</v>
      </c>
      <c r="B4822" s="1">
        <v>45933</v>
      </c>
      <c r="C4822" s="1">
        <v>45936</v>
      </c>
      <c r="D4822">
        <v>2025</v>
      </c>
      <c r="E4822" t="s">
        <v>2026</v>
      </c>
      <c r="F4822" t="s">
        <v>2027</v>
      </c>
      <c r="G4822" t="s">
        <v>83</v>
      </c>
      <c r="H4822" t="s">
        <v>39</v>
      </c>
      <c r="I4822" t="s">
        <v>24</v>
      </c>
      <c r="J4822" t="s">
        <v>25</v>
      </c>
      <c r="K4822" t="s">
        <v>41</v>
      </c>
      <c r="L4822" t="s">
        <v>27</v>
      </c>
      <c r="M4822">
        <v>3</v>
      </c>
      <c r="N4822" s="2">
        <v>100</v>
      </c>
      <c r="O4822" s="3">
        <v>3197</v>
      </c>
      <c r="P4822">
        <v>0</v>
      </c>
      <c r="Q4822">
        <v>4</v>
      </c>
      <c r="R4822" t="s">
        <v>33</v>
      </c>
      <c r="S4822">
        <v>1</v>
      </c>
    </row>
    <row r="4823" spans="1:19" ht="16.5" x14ac:dyDescent="0.3">
      <c r="A4823" t="s">
        <v>4886</v>
      </c>
      <c r="B4823" s="1">
        <v>45933</v>
      </c>
      <c r="C4823" s="1">
        <v>45939</v>
      </c>
      <c r="D4823">
        <v>2025</v>
      </c>
      <c r="E4823" t="s">
        <v>2026</v>
      </c>
      <c r="F4823" t="s">
        <v>2027</v>
      </c>
      <c r="G4823" t="s">
        <v>83</v>
      </c>
      <c r="H4823" t="s">
        <v>35</v>
      </c>
      <c r="I4823" t="s">
        <v>24</v>
      </c>
      <c r="J4823" t="s">
        <v>25</v>
      </c>
      <c r="K4823" t="s">
        <v>32</v>
      </c>
      <c r="L4823" t="s">
        <v>37</v>
      </c>
      <c r="M4823">
        <v>6</v>
      </c>
      <c r="N4823" s="2">
        <v>30</v>
      </c>
      <c r="O4823" s="3">
        <v>5185</v>
      </c>
      <c r="P4823">
        <v>0</v>
      </c>
      <c r="Q4823">
        <v>4</v>
      </c>
      <c r="R4823" t="s">
        <v>33</v>
      </c>
      <c r="S4823">
        <v>1</v>
      </c>
    </row>
    <row r="4824" spans="1:19" ht="16.5" x14ac:dyDescent="0.3">
      <c r="A4824" t="s">
        <v>4887</v>
      </c>
      <c r="B4824" s="1">
        <v>45933</v>
      </c>
      <c r="C4824" s="1">
        <v>45937</v>
      </c>
      <c r="D4824">
        <v>2025</v>
      </c>
      <c r="E4824" t="s">
        <v>2026</v>
      </c>
      <c r="F4824" t="s">
        <v>2027</v>
      </c>
      <c r="G4824" t="s">
        <v>83</v>
      </c>
      <c r="H4824" t="s">
        <v>23</v>
      </c>
      <c r="I4824" t="s">
        <v>24</v>
      </c>
      <c r="J4824" t="s">
        <v>43</v>
      </c>
      <c r="K4824" t="s">
        <v>36</v>
      </c>
      <c r="L4824" t="s">
        <v>44</v>
      </c>
      <c r="M4824">
        <v>4</v>
      </c>
      <c r="N4824" s="2">
        <v>23</v>
      </c>
      <c r="O4824" s="3">
        <v>3650</v>
      </c>
      <c r="P4824">
        <v>1</v>
      </c>
      <c r="Q4824">
        <v>4</v>
      </c>
      <c r="R4824" t="s">
        <v>28</v>
      </c>
      <c r="S4824">
        <v>1</v>
      </c>
    </row>
    <row r="4825" spans="1:19" ht="16.5" x14ac:dyDescent="0.3">
      <c r="A4825" t="s">
        <v>4888</v>
      </c>
      <c r="B4825" s="1">
        <v>45933</v>
      </c>
      <c r="C4825" s="1">
        <v>45939</v>
      </c>
      <c r="D4825">
        <v>2025</v>
      </c>
      <c r="E4825" t="s">
        <v>2026</v>
      </c>
      <c r="F4825" t="s">
        <v>2027</v>
      </c>
      <c r="G4825" t="s">
        <v>83</v>
      </c>
      <c r="H4825" t="s">
        <v>50</v>
      </c>
      <c r="I4825" t="s">
        <v>24</v>
      </c>
      <c r="J4825" t="s">
        <v>25</v>
      </c>
      <c r="K4825" t="s">
        <v>26</v>
      </c>
      <c r="L4825" t="s">
        <v>44</v>
      </c>
      <c r="M4825">
        <v>6</v>
      </c>
      <c r="N4825" s="2">
        <v>58</v>
      </c>
      <c r="O4825" s="3">
        <v>7477</v>
      </c>
      <c r="P4825">
        <v>0</v>
      </c>
      <c r="Q4825">
        <v>4</v>
      </c>
      <c r="R4825" t="s">
        <v>33</v>
      </c>
      <c r="S4825">
        <v>1</v>
      </c>
    </row>
    <row r="4826" spans="1:19" ht="16.5" x14ac:dyDescent="0.3">
      <c r="A4826" t="s">
        <v>4889</v>
      </c>
      <c r="B4826" s="1">
        <v>45933</v>
      </c>
      <c r="C4826" s="1">
        <v>45934</v>
      </c>
      <c r="D4826">
        <v>2025</v>
      </c>
      <c r="E4826" t="s">
        <v>2026</v>
      </c>
      <c r="F4826" t="s">
        <v>2027</v>
      </c>
      <c r="G4826" t="s">
        <v>83</v>
      </c>
      <c r="H4826" t="s">
        <v>52</v>
      </c>
      <c r="I4826" t="s">
        <v>40</v>
      </c>
      <c r="J4826" t="s">
        <v>25</v>
      </c>
      <c r="K4826" t="s">
        <v>53</v>
      </c>
      <c r="L4826" t="s">
        <v>37</v>
      </c>
      <c r="M4826">
        <v>1</v>
      </c>
      <c r="N4826" s="2"/>
      <c r="O4826" s="3">
        <v>2014</v>
      </c>
      <c r="P4826">
        <v>0</v>
      </c>
      <c r="Q4826">
        <v>4</v>
      </c>
      <c r="R4826" t="s">
        <v>33</v>
      </c>
      <c r="S4826">
        <v>1</v>
      </c>
    </row>
    <row r="4827" spans="1:19" ht="16.5" x14ac:dyDescent="0.3">
      <c r="A4827" t="s">
        <v>4890</v>
      </c>
      <c r="B4827" s="1">
        <v>45933</v>
      </c>
      <c r="C4827" s="1">
        <v>45936</v>
      </c>
      <c r="D4827">
        <v>2025</v>
      </c>
      <c r="E4827" t="s">
        <v>2026</v>
      </c>
      <c r="F4827" t="s">
        <v>2027</v>
      </c>
      <c r="G4827" t="s">
        <v>83</v>
      </c>
      <c r="H4827" t="s">
        <v>35</v>
      </c>
      <c r="I4827" t="s">
        <v>24</v>
      </c>
      <c r="J4827" t="s">
        <v>25</v>
      </c>
      <c r="K4827" t="s">
        <v>36</v>
      </c>
      <c r="L4827" t="s">
        <v>44</v>
      </c>
      <c r="M4827">
        <v>3</v>
      </c>
      <c r="N4827" s="2">
        <v>91</v>
      </c>
      <c r="O4827" s="3">
        <v>2258</v>
      </c>
      <c r="P4827">
        <v>0</v>
      </c>
      <c r="Q4827">
        <v>3</v>
      </c>
      <c r="R4827" t="s">
        <v>33</v>
      </c>
      <c r="S4827">
        <v>1</v>
      </c>
    </row>
    <row r="4828" spans="1:19" ht="16.5" x14ac:dyDescent="0.3">
      <c r="A4828" t="s">
        <v>4891</v>
      </c>
      <c r="B4828" s="1">
        <v>45933</v>
      </c>
      <c r="C4828" s="1">
        <v>45940</v>
      </c>
      <c r="D4828">
        <v>2025</v>
      </c>
      <c r="E4828" t="s">
        <v>2026</v>
      </c>
      <c r="F4828" t="s">
        <v>2027</v>
      </c>
      <c r="G4828" t="s">
        <v>83</v>
      </c>
      <c r="H4828" t="s">
        <v>23</v>
      </c>
      <c r="I4828" t="s">
        <v>40</v>
      </c>
      <c r="J4828" t="s">
        <v>25</v>
      </c>
      <c r="K4828" t="s">
        <v>32</v>
      </c>
      <c r="L4828" t="s">
        <v>44</v>
      </c>
      <c r="M4828">
        <v>7</v>
      </c>
      <c r="N4828" s="2"/>
      <c r="O4828" s="3">
        <v>5159</v>
      </c>
      <c r="P4828">
        <v>0</v>
      </c>
      <c r="Q4828">
        <v>5</v>
      </c>
      <c r="R4828" t="s">
        <v>33</v>
      </c>
      <c r="S4828">
        <v>1</v>
      </c>
    </row>
    <row r="4829" spans="1:19" ht="16.5" x14ac:dyDescent="0.3">
      <c r="A4829" t="s">
        <v>4892</v>
      </c>
      <c r="B4829" s="1">
        <v>45933</v>
      </c>
      <c r="C4829" s="1">
        <v>45942</v>
      </c>
      <c r="D4829">
        <v>2025</v>
      </c>
      <c r="E4829" t="s">
        <v>2026</v>
      </c>
      <c r="F4829" t="s">
        <v>2027</v>
      </c>
      <c r="G4829" t="s">
        <v>83</v>
      </c>
      <c r="H4829" t="s">
        <v>23</v>
      </c>
      <c r="I4829" t="s">
        <v>24</v>
      </c>
      <c r="J4829" t="s">
        <v>25</v>
      </c>
      <c r="K4829" t="s">
        <v>26</v>
      </c>
      <c r="L4829" t="s">
        <v>44</v>
      </c>
      <c r="M4829">
        <v>9</v>
      </c>
      <c r="N4829" s="2">
        <v>35</v>
      </c>
      <c r="O4829" s="3">
        <v>5086</v>
      </c>
      <c r="P4829">
        <v>0</v>
      </c>
      <c r="Q4829">
        <v>3</v>
      </c>
      <c r="R4829" t="s">
        <v>28</v>
      </c>
      <c r="S4829">
        <v>1</v>
      </c>
    </row>
    <row r="4830" spans="1:19" ht="16.5" x14ac:dyDescent="0.3">
      <c r="A4830" t="s">
        <v>4893</v>
      </c>
      <c r="B4830" s="1">
        <v>45933</v>
      </c>
      <c r="C4830" s="1">
        <v>45941</v>
      </c>
      <c r="D4830">
        <v>2025</v>
      </c>
      <c r="E4830" t="s">
        <v>2026</v>
      </c>
      <c r="F4830" t="s">
        <v>2027</v>
      </c>
      <c r="G4830" t="s">
        <v>83</v>
      </c>
      <c r="H4830" t="s">
        <v>52</v>
      </c>
      <c r="I4830" t="s">
        <v>40</v>
      </c>
      <c r="J4830" t="s">
        <v>25</v>
      </c>
      <c r="K4830" t="s">
        <v>36</v>
      </c>
      <c r="L4830" t="s">
        <v>44</v>
      </c>
      <c r="M4830">
        <v>8</v>
      </c>
      <c r="N4830" s="2"/>
      <c r="O4830" s="3">
        <v>9874</v>
      </c>
      <c r="P4830">
        <v>0</v>
      </c>
      <c r="Q4830">
        <v>4</v>
      </c>
      <c r="R4830" t="s">
        <v>33</v>
      </c>
      <c r="S4830">
        <v>1</v>
      </c>
    </row>
    <row r="4831" spans="1:19" ht="16.5" x14ac:dyDescent="0.3">
      <c r="A4831" t="s">
        <v>4894</v>
      </c>
      <c r="B4831" s="1">
        <v>45933</v>
      </c>
      <c r="C4831" s="1">
        <v>45940</v>
      </c>
      <c r="D4831">
        <v>2025</v>
      </c>
      <c r="E4831" t="s">
        <v>2026</v>
      </c>
      <c r="F4831" t="s">
        <v>2027</v>
      </c>
      <c r="G4831" t="s">
        <v>83</v>
      </c>
      <c r="H4831" t="s">
        <v>50</v>
      </c>
      <c r="I4831" t="s">
        <v>24</v>
      </c>
      <c r="J4831" t="s">
        <v>25</v>
      </c>
      <c r="K4831" t="s">
        <v>26</v>
      </c>
      <c r="L4831" t="s">
        <v>27</v>
      </c>
      <c r="M4831">
        <v>7</v>
      </c>
      <c r="N4831" s="2">
        <v>66</v>
      </c>
      <c r="O4831" s="3">
        <v>8531</v>
      </c>
      <c r="P4831">
        <v>1</v>
      </c>
      <c r="Q4831">
        <v>5</v>
      </c>
      <c r="R4831" t="s">
        <v>28</v>
      </c>
      <c r="S4831">
        <v>1</v>
      </c>
    </row>
    <row r="4832" spans="1:19" ht="16.5" x14ac:dyDescent="0.3">
      <c r="A4832" t="s">
        <v>4895</v>
      </c>
      <c r="B4832" s="1">
        <v>45934</v>
      </c>
      <c r="C4832" s="1">
        <v>45935</v>
      </c>
      <c r="D4832">
        <v>2025</v>
      </c>
      <c r="E4832" t="s">
        <v>2026</v>
      </c>
      <c r="F4832" t="s">
        <v>2027</v>
      </c>
      <c r="G4832" t="s">
        <v>102</v>
      </c>
      <c r="H4832" t="s">
        <v>30</v>
      </c>
      <c r="I4832" t="s">
        <v>24</v>
      </c>
      <c r="J4832" t="s">
        <v>43</v>
      </c>
      <c r="K4832" t="s">
        <v>53</v>
      </c>
      <c r="L4832" t="s">
        <v>27</v>
      </c>
      <c r="M4832">
        <v>1</v>
      </c>
      <c r="N4832" s="2">
        <v>35</v>
      </c>
      <c r="O4832" s="3">
        <v>1198</v>
      </c>
      <c r="P4832">
        <v>0</v>
      </c>
      <c r="Q4832">
        <v>5</v>
      </c>
      <c r="R4832" t="s">
        <v>33</v>
      </c>
      <c r="S4832">
        <v>1</v>
      </c>
    </row>
    <row r="4833" spans="1:19" ht="16.5" x14ac:dyDescent="0.3">
      <c r="A4833" t="s">
        <v>4896</v>
      </c>
      <c r="B4833" s="1">
        <v>45934</v>
      </c>
      <c r="C4833" s="1">
        <v>45936</v>
      </c>
      <c r="D4833">
        <v>2025</v>
      </c>
      <c r="E4833" t="s">
        <v>2026</v>
      </c>
      <c r="F4833" t="s">
        <v>2027</v>
      </c>
      <c r="G4833" t="s">
        <v>102</v>
      </c>
      <c r="H4833" t="s">
        <v>35</v>
      </c>
      <c r="I4833" t="s">
        <v>24</v>
      </c>
      <c r="J4833" t="s">
        <v>25</v>
      </c>
      <c r="K4833" t="s">
        <v>32</v>
      </c>
      <c r="L4833" t="s">
        <v>44</v>
      </c>
      <c r="M4833">
        <v>2</v>
      </c>
      <c r="N4833" s="2">
        <v>41</v>
      </c>
      <c r="O4833" s="3">
        <v>2440</v>
      </c>
      <c r="P4833">
        <v>0</v>
      </c>
      <c r="Q4833">
        <v>4</v>
      </c>
      <c r="R4833" t="s">
        <v>28</v>
      </c>
      <c r="S4833">
        <v>1</v>
      </c>
    </row>
    <row r="4834" spans="1:19" ht="16.5" x14ac:dyDescent="0.3">
      <c r="A4834" t="s">
        <v>4897</v>
      </c>
      <c r="B4834" s="1">
        <v>45934</v>
      </c>
      <c r="C4834" s="1">
        <v>45941</v>
      </c>
      <c r="D4834">
        <v>2025</v>
      </c>
      <c r="E4834" t="s">
        <v>2026</v>
      </c>
      <c r="F4834" t="s">
        <v>2027</v>
      </c>
      <c r="G4834" t="s">
        <v>102</v>
      </c>
      <c r="H4834" t="s">
        <v>30</v>
      </c>
      <c r="I4834" t="s">
        <v>31</v>
      </c>
      <c r="J4834" t="s">
        <v>25</v>
      </c>
      <c r="K4834" t="s">
        <v>53</v>
      </c>
      <c r="L4834" t="s">
        <v>44</v>
      </c>
      <c r="M4834">
        <v>7</v>
      </c>
      <c r="N4834" s="2"/>
      <c r="O4834" s="3">
        <v>6087</v>
      </c>
      <c r="P4834">
        <v>0</v>
      </c>
      <c r="Q4834">
        <v>5</v>
      </c>
      <c r="R4834" t="s">
        <v>33</v>
      </c>
      <c r="S4834">
        <v>1</v>
      </c>
    </row>
    <row r="4835" spans="1:19" ht="16.5" x14ac:dyDescent="0.3">
      <c r="A4835" t="s">
        <v>4898</v>
      </c>
      <c r="B4835" s="1">
        <v>45935</v>
      </c>
      <c r="C4835" s="1">
        <v>45938</v>
      </c>
      <c r="D4835">
        <v>2025</v>
      </c>
      <c r="E4835" t="s">
        <v>2026</v>
      </c>
      <c r="F4835" t="s">
        <v>2027</v>
      </c>
      <c r="G4835" t="s">
        <v>112</v>
      </c>
      <c r="H4835" t="s">
        <v>39</v>
      </c>
      <c r="I4835" t="s">
        <v>24</v>
      </c>
      <c r="J4835" t="s">
        <v>43</v>
      </c>
      <c r="K4835" t="s">
        <v>41</v>
      </c>
      <c r="L4835" t="s">
        <v>44</v>
      </c>
      <c r="M4835">
        <v>3</v>
      </c>
      <c r="N4835" s="2">
        <v>27</v>
      </c>
      <c r="O4835" s="3">
        <v>2171</v>
      </c>
      <c r="P4835">
        <v>0</v>
      </c>
      <c r="Q4835">
        <v>4</v>
      </c>
      <c r="R4835" t="s">
        <v>33</v>
      </c>
      <c r="S4835">
        <v>1</v>
      </c>
    </row>
    <row r="4836" spans="1:19" ht="16.5" x14ac:dyDescent="0.3">
      <c r="A4836" t="s">
        <v>4899</v>
      </c>
      <c r="B4836" s="1">
        <v>45935</v>
      </c>
      <c r="C4836" s="1">
        <v>45947</v>
      </c>
      <c r="D4836">
        <v>2025</v>
      </c>
      <c r="E4836" t="s">
        <v>2026</v>
      </c>
      <c r="F4836" t="s">
        <v>2027</v>
      </c>
      <c r="G4836" t="s">
        <v>112</v>
      </c>
      <c r="H4836" t="s">
        <v>23</v>
      </c>
      <c r="I4836" t="s">
        <v>24</v>
      </c>
      <c r="J4836" t="s">
        <v>43</v>
      </c>
      <c r="K4836" t="s">
        <v>26</v>
      </c>
      <c r="L4836" t="s">
        <v>44</v>
      </c>
      <c r="M4836">
        <v>12</v>
      </c>
      <c r="N4836" s="2">
        <v>61</v>
      </c>
      <c r="O4836" s="3">
        <v>8037</v>
      </c>
      <c r="P4836">
        <v>0</v>
      </c>
      <c r="Q4836">
        <v>4</v>
      </c>
      <c r="R4836" t="s">
        <v>33</v>
      </c>
      <c r="S4836">
        <v>1</v>
      </c>
    </row>
    <row r="4837" spans="1:19" ht="16.5" x14ac:dyDescent="0.3">
      <c r="A4837" t="s">
        <v>4900</v>
      </c>
      <c r="B4837" s="1">
        <v>45935</v>
      </c>
      <c r="C4837" s="1">
        <v>45936</v>
      </c>
      <c r="D4837">
        <v>2025</v>
      </c>
      <c r="E4837" t="s">
        <v>2026</v>
      </c>
      <c r="F4837" t="s">
        <v>2027</v>
      </c>
      <c r="G4837" t="s">
        <v>112</v>
      </c>
      <c r="H4837" t="s">
        <v>30</v>
      </c>
      <c r="I4837" t="s">
        <v>40</v>
      </c>
      <c r="J4837" t="s">
        <v>25</v>
      </c>
      <c r="K4837" t="s">
        <v>53</v>
      </c>
      <c r="L4837" t="s">
        <v>37</v>
      </c>
      <c r="M4837">
        <v>1</v>
      </c>
      <c r="N4837" s="2"/>
      <c r="O4837" s="3">
        <v>2245</v>
      </c>
      <c r="P4837">
        <v>0</v>
      </c>
      <c r="Q4837">
        <v>5</v>
      </c>
      <c r="R4837" t="s">
        <v>33</v>
      </c>
      <c r="S4837">
        <v>1</v>
      </c>
    </row>
    <row r="4838" spans="1:19" ht="16.5" x14ac:dyDescent="0.3">
      <c r="A4838" t="s">
        <v>4901</v>
      </c>
      <c r="B4838" s="1">
        <v>45935</v>
      </c>
      <c r="C4838" s="1">
        <v>45937</v>
      </c>
      <c r="D4838">
        <v>2025</v>
      </c>
      <c r="E4838" t="s">
        <v>2026</v>
      </c>
      <c r="F4838" t="s">
        <v>2027</v>
      </c>
      <c r="G4838" t="s">
        <v>112</v>
      </c>
      <c r="H4838" t="s">
        <v>39</v>
      </c>
      <c r="I4838" t="s">
        <v>24</v>
      </c>
      <c r="J4838" t="s">
        <v>43</v>
      </c>
      <c r="K4838" t="s">
        <v>41</v>
      </c>
      <c r="L4838" t="s">
        <v>27</v>
      </c>
      <c r="M4838">
        <v>2</v>
      </c>
      <c r="N4838" s="2">
        <v>17</v>
      </c>
      <c r="O4838" s="3">
        <v>1261</v>
      </c>
      <c r="P4838">
        <v>0</v>
      </c>
      <c r="Q4838">
        <v>4</v>
      </c>
      <c r="R4838" t="s">
        <v>33</v>
      </c>
      <c r="S4838">
        <v>1</v>
      </c>
    </row>
    <row r="4839" spans="1:19" ht="16.5" x14ac:dyDescent="0.3">
      <c r="A4839" t="s">
        <v>4902</v>
      </c>
      <c r="B4839" s="1">
        <v>45935</v>
      </c>
      <c r="C4839" s="1">
        <v>45938</v>
      </c>
      <c r="D4839">
        <v>2025</v>
      </c>
      <c r="E4839" t="s">
        <v>2026</v>
      </c>
      <c r="F4839" t="s">
        <v>2027</v>
      </c>
      <c r="G4839" t="s">
        <v>112</v>
      </c>
      <c r="H4839" t="s">
        <v>39</v>
      </c>
      <c r="I4839" t="s">
        <v>24</v>
      </c>
      <c r="J4839" t="s">
        <v>25</v>
      </c>
      <c r="K4839" t="s">
        <v>41</v>
      </c>
      <c r="L4839" t="s">
        <v>27</v>
      </c>
      <c r="M4839">
        <v>3</v>
      </c>
      <c r="N4839" s="2">
        <v>48</v>
      </c>
      <c r="O4839" s="3">
        <v>2859</v>
      </c>
      <c r="P4839">
        <v>0</v>
      </c>
      <c r="Q4839">
        <v>4</v>
      </c>
      <c r="R4839" t="s">
        <v>28</v>
      </c>
      <c r="S4839">
        <v>1</v>
      </c>
    </row>
    <row r="4840" spans="1:19" ht="16.5" x14ac:dyDescent="0.3">
      <c r="A4840" t="s">
        <v>4903</v>
      </c>
      <c r="B4840" s="1">
        <v>45935</v>
      </c>
      <c r="C4840" s="1">
        <v>45936</v>
      </c>
      <c r="D4840">
        <v>2025</v>
      </c>
      <c r="E4840" t="s">
        <v>2026</v>
      </c>
      <c r="F4840" t="s">
        <v>2027</v>
      </c>
      <c r="G4840" t="s">
        <v>112</v>
      </c>
      <c r="H4840" t="s">
        <v>50</v>
      </c>
      <c r="I4840" t="s">
        <v>24</v>
      </c>
      <c r="J4840" t="s">
        <v>25</v>
      </c>
      <c r="K4840" t="s">
        <v>32</v>
      </c>
      <c r="L4840" t="s">
        <v>27</v>
      </c>
      <c r="M4840">
        <v>1</v>
      </c>
      <c r="N4840" s="2">
        <v>19</v>
      </c>
      <c r="O4840" s="3">
        <v>1605</v>
      </c>
      <c r="P4840">
        <v>0</v>
      </c>
      <c r="Q4840">
        <v>5</v>
      </c>
      <c r="R4840" t="s">
        <v>33</v>
      </c>
      <c r="S4840">
        <v>1</v>
      </c>
    </row>
    <row r="4841" spans="1:19" ht="16.5" x14ac:dyDescent="0.3">
      <c r="A4841" t="s">
        <v>4904</v>
      </c>
      <c r="B4841" s="1">
        <v>45935</v>
      </c>
      <c r="C4841" s="1">
        <v>45938</v>
      </c>
      <c r="D4841">
        <v>2025</v>
      </c>
      <c r="E4841" t="s">
        <v>2026</v>
      </c>
      <c r="F4841" t="s">
        <v>2027</v>
      </c>
      <c r="G4841" t="s">
        <v>112</v>
      </c>
      <c r="H4841" t="s">
        <v>39</v>
      </c>
      <c r="I4841" t="s">
        <v>40</v>
      </c>
      <c r="J4841" t="s">
        <v>43</v>
      </c>
      <c r="K4841" t="s">
        <v>41</v>
      </c>
      <c r="L4841" t="s">
        <v>44</v>
      </c>
      <c r="M4841">
        <v>3</v>
      </c>
      <c r="N4841" s="2"/>
      <c r="O4841" s="3">
        <v>2710</v>
      </c>
      <c r="P4841">
        <v>0</v>
      </c>
      <c r="Q4841">
        <v>4</v>
      </c>
      <c r="R4841" t="s">
        <v>33</v>
      </c>
      <c r="S4841">
        <v>1</v>
      </c>
    </row>
    <row r="4842" spans="1:19" ht="16.5" x14ac:dyDescent="0.3">
      <c r="A4842" t="s">
        <v>4905</v>
      </c>
      <c r="B4842" s="1">
        <v>45935</v>
      </c>
      <c r="C4842" s="1">
        <v>45937</v>
      </c>
      <c r="D4842">
        <v>2025</v>
      </c>
      <c r="E4842" t="s">
        <v>2026</v>
      </c>
      <c r="F4842" t="s">
        <v>2027</v>
      </c>
      <c r="G4842" t="s">
        <v>112</v>
      </c>
      <c r="H4842" t="s">
        <v>35</v>
      </c>
      <c r="I4842" t="s">
        <v>24</v>
      </c>
      <c r="J4842" t="s">
        <v>25</v>
      </c>
      <c r="K4842" t="s">
        <v>32</v>
      </c>
      <c r="L4842" t="s">
        <v>27</v>
      </c>
      <c r="M4842">
        <v>2</v>
      </c>
      <c r="N4842" s="2">
        <v>58</v>
      </c>
      <c r="O4842" s="3">
        <v>2236</v>
      </c>
      <c r="P4842">
        <v>0</v>
      </c>
      <c r="Q4842">
        <v>4</v>
      </c>
      <c r="R4842" t="s">
        <v>165</v>
      </c>
      <c r="S4842">
        <v>1</v>
      </c>
    </row>
    <row r="4843" spans="1:19" ht="16.5" x14ac:dyDescent="0.3">
      <c r="A4843" t="s">
        <v>4906</v>
      </c>
      <c r="B4843" s="1">
        <v>45936</v>
      </c>
      <c r="C4843" s="1">
        <v>45942</v>
      </c>
      <c r="D4843">
        <v>2025</v>
      </c>
      <c r="E4843" t="s">
        <v>2026</v>
      </c>
      <c r="F4843" t="s">
        <v>2027</v>
      </c>
      <c r="G4843" t="s">
        <v>22</v>
      </c>
      <c r="H4843" t="s">
        <v>30</v>
      </c>
      <c r="I4843" t="s">
        <v>24</v>
      </c>
      <c r="J4843" t="s">
        <v>25</v>
      </c>
      <c r="K4843" t="s">
        <v>32</v>
      </c>
      <c r="L4843" t="s">
        <v>27</v>
      </c>
      <c r="M4843">
        <v>6</v>
      </c>
      <c r="N4843" s="2">
        <v>64</v>
      </c>
      <c r="O4843" s="3">
        <v>6801</v>
      </c>
      <c r="P4843">
        <v>1</v>
      </c>
      <c r="Q4843">
        <v>4</v>
      </c>
      <c r="R4843" t="s">
        <v>33</v>
      </c>
      <c r="S4843">
        <v>1</v>
      </c>
    </row>
    <row r="4844" spans="1:19" ht="16.5" x14ac:dyDescent="0.3">
      <c r="A4844" t="s">
        <v>4907</v>
      </c>
      <c r="B4844" s="1">
        <v>45936</v>
      </c>
      <c r="C4844" s="1">
        <v>45938</v>
      </c>
      <c r="D4844">
        <v>2025</v>
      </c>
      <c r="E4844" t="s">
        <v>2026</v>
      </c>
      <c r="F4844" t="s">
        <v>2027</v>
      </c>
      <c r="G4844" t="s">
        <v>22</v>
      </c>
      <c r="H4844" t="s">
        <v>35</v>
      </c>
      <c r="I4844" t="s">
        <v>24</v>
      </c>
      <c r="J4844" t="s">
        <v>25</v>
      </c>
      <c r="K4844" t="s">
        <v>36</v>
      </c>
      <c r="L4844" t="s">
        <v>44</v>
      </c>
      <c r="M4844">
        <v>2</v>
      </c>
      <c r="N4844" s="2">
        <v>30</v>
      </c>
      <c r="O4844" s="3">
        <v>1680</v>
      </c>
      <c r="P4844">
        <v>0</v>
      </c>
      <c r="Q4844">
        <v>5</v>
      </c>
      <c r="R4844" t="s">
        <v>165</v>
      </c>
      <c r="S4844">
        <v>1</v>
      </c>
    </row>
    <row r="4845" spans="1:19" ht="16.5" x14ac:dyDescent="0.3">
      <c r="A4845" t="s">
        <v>4908</v>
      </c>
      <c r="B4845" s="1">
        <v>45936</v>
      </c>
      <c r="C4845" s="1">
        <v>45938</v>
      </c>
      <c r="D4845">
        <v>2025</v>
      </c>
      <c r="E4845" t="s">
        <v>2026</v>
      </c>
      <c r="F4845" t="s">
        <v>2027</v>
      </c>
      <c r="G4845" t="s">
        <v>22</v>
      </c>
      <c r="H4845" t="s">
        <v>35</v>
      </c>
      <c r="I4845" t="s">
        <v>40</v>
      </c>
      <c r="J4845" t="s">
        <v>25</v>
      </c>
      <c r="K4845" t="s">
        <v>32</v>
      </c>
      <c r="L4845" t="s">
        <v>27</v>
      </c>
      <c r="M4845">
        <v>2</v>
      </c>
      <c r="N4845" s="2"/>
      <c r="O4845" s="3">
        <v>2183</v>
      </c>
      <c r="P4845">
        <v>0</v>
      </c>
      <c r="Q4845">
        <v>4</v>
      </c>
      <c r="R4845" t="s">
        <v>33</v>
      </c>
      <c r="S4845">
        <v>1</v>
      </c>
    </row>
    <row r="4846" spans="1:19" ht="16.5" x14ac:dyDescent="0.3">
      <c r="A4846" t="s">
        <v>4909</v>
      </c>
      <c r="B4846" s="1">
        <v>45936</v>
      </c>
      <c r="C4846" s="1">
        <v>45937</v>
      </c>
      <c r="D4846">
        <v>2025</v>
      </c>
      <c r="E4846" t="s">
        <v>2026</v>
      </c>
      <c r="F4846" t="s">
        <v>2027</v>
      </c>
      <c r="G4846" t="s">
        <v>22</v>
      </c>
      <c r="H4846" t="s">
        <v>30</v>
      </c>
      <c r="I4846" t="s">
        <v>40</v>
      </c>
      <c r="J4846" t="s">
        <v>25</v>
      </c>
      <c r="K4846" t="s">
        <v>36</v>
      </c>
      <c r="L4846" t="s">
        <v>44</v>
      </c>
      <c r="M4846">
        <v>1</v>
      </c>
      <c r="N4846" s="2"/>
      <c r="O4846" s="3">
        <v>2208</v>
      </c>
      <c r="P4846">
        <v>0</v>
      </c>
      <c r="Q4846">
        <v>5</v>
      </c>
      <c r="R4846" t="s">
        <v>28</v>
      </c>
      <c r="S4846">
        <v>1</v>
      </c>
    </row>
    <row r="4847" spans="1:19" ht="16.5" x14ac:dyDescent="0.3">
      <c r="A4847" t="s">
        <v>4910</v>
      </c>
      <c r="B4847" s="1">
        <v>45936</v>
      </c>
      <c r="C4847" s="1">
        <v>45938</v>
      </c>
      <c r="D4847">
        <v>2025</v>
      </c>
      <c r="E4847" t="s">
        <v>2026</v>
      </c>
      <c r="F4847" t="s">
        <v>2027</v>
      </c>
      <c r="G4847" t="s">
        <v>22</v>
      </c>
      <c r="H4847" t="s">
        <v>52</v>
      </c>
      <c r="I4847" t="s">
        <v>31</v>
      </c>
      <c r="J4847" t="s">
        <v>43</v>
      </c>
      <c r="K4847" t="s">
        <v>32</v>
      </c>
      <c r="L4847" t="s">
        <v>27</v>
      </c>
      <c r="M4847">
        <v>2</v>
      </c>
      <c r="N4847" s="2"/>
      <c r="O4847" s="3">
        <v>2732</v>
      </c>
      <c r="P4847">
        <v>0</v>
      </c>
      <c r="Q4847">
        <v>5</v>
      </c>
      <c r="R4847" t="s">
        <v>28</v>
      </c>
      <c r="S4847">
        <v>1</v>
      </c>
    </row>
    <row r="4848" spans="1:19" ht="16.5" x14ac:dyDescent="0.3">
      <c r="A4848" t="s">
        <v>4911</v>
      </c>
      <c r="B4848" s="1">
        <v>45937</v>
      </c>
      <c r="C4848" s="1">
        <v>45940</v>
      </c>
      <c r="D4848">
        <v>2025</v>
      </c>
      <c r="E4848" t="s">
        <v>2026</v>
      </c>
      <c r="F4848" t="s">
        <v>2027</v>
      </c>
      <c r="G4848" t="s">
        <v>56</v>
      </c>
      <c r="H4848" t="s">
        <v>30</v>
      </c>
      <c r="I4848" t="s">
        <v>40</v>
      </c>
      <c r="J4848" t="s">
        <v>25</v>
      </c>
      <c r="K4848" t="s">
        <v>53</v>
      </c>
      <c r="L4848" t="s">
        <v>44</v>
      </c>
      <c r="M4848">
        <v>3</v>
      </c>
      <c r="N4848" s="2"/>
      <c r="O4848" s="3">
        <v>3875</v>
      </c>
      <c r="P4848">
        <v>0</v>
      </c>
      <c r="Q4848">
        <v>4</v>
      </c>
      <c r="R4848" t="s">
        <v>28</v>
      </c>
      <c r="S4848">
        <v>1</v>
      </c>
    </row>
    <row r="4849" spans="1:19" ht="16.5" x14ac:dyDescent="0.3">
      <c r="A4849" t="s">
        <v>4912</v>
      </c>
      <c r="B4849" s="1">
        <v>45937</v>
      </c>
      <c r="C4849" s="1">
        <v>45938</v>
      </c>
      <c r="D4849">
        <v>2025</v>
      </c>
      <c r="E4849" t="s">
        <v>2026</v>
      </c>
      <c r="F4849" t="s">
        <v>2027</v>
      </c>
      <c r="G4849" t="s">
        <v>56</v>
      </c>
      <c r="H4849" t="s">
        <v>35</v>
      </c>
      <c r="I4849" t="s">
        <v>40</v>
      </c>
      <c r="J4849" t="s">
        <v>25</v>
      </c>
      <c r="K4849" t="s">
        <v>32</v>
      </c>
      <c r="L4849" t="s">
        <v>37</v>
      </c>
      <c r="M4849">
        <v>1</v>
      </c>
      <c r="N4849" s="2"/>
      <c r="O4849" s="3">
        <v>1590</v>
      </c>
      <c r="P4849">
        <v>0</v>
      </c>
      <c r="Q4849">
        <v>5</v>
      </c>
      <c r="R4849" t="s">
        <v>28</v>
      </c>
      <c r="S4849">
        <v>1</v>
      </c>
    </row>
    <row r="4850" spans="1:19" ht="16.5" x14ac:dyDescent="0.3">
      <c r="A4850" t="s">
        <v>4913</v>
      </c>
      <c r="B4850" s="1">
        <v>45937</v>
      </c>
      <c r="C4850" s="1">
        <v>45938</v>
      </c>
      <c r="D4850">
        <v>2025</v>
      </c>
      <c r="E4850" t="s">
        <v>2026</v>
      </c>
      <c r="F4850" t="s">
        <v>2027</v>
      </c>
      <c r="G4850" t="s">
        <v>56</v>
      </c>
      <c r="H4850" t="s">
        <v>35</v>
      </c>
      <c r="I4850" t="s">
        <v>31</v>
      </c>
      <c r="J4850" t="s">
        <v>25</v>
      </c>
      <c r="K4850" t="s">
        <v>32</v>
      </c>
      <c r="L4850" t="s">
        <v>44</v>
      </c>
      <c r="M4850">
        <v>1</v>
      </c>
      <c r="N4850" s="2"/>
      <c r="O4850" s="3">
        <v>2160</v>
      </c>
      <c r="P4850">
        <v>0</v>
      </c>
      <c r="Q4850">
        <v>4</v>
      </c>
      <c r="R4850" t="s">
        <v>33</v>
      </c>
      <c r="S4850">
        <v>1</v>
      </c>
    </row>
    <row r="4851" spans="1:19" ht="16.5" x14ac:dyDescent="0.3">
      <c r="A4851" t="s">
        <v>4914</v>
      </c>
      <c r="B4851" s="1">
        <v>45937</v>
      </c>
      <c r="C4851" s="1">
        <v>45953</v>
      </c>
      <c r="D4851">
        <v>2025</v>
      </c>
      <c r="E4851" t="s">
        <v>2026</v>
      </c>
      <c r="F4851" t="s">
        <v>2027</v>
      </c>
      <c r="G4851" t="s">
        <v>56</v>
      </c>
      <c r="H4851" t="s">
        <v>23</v>
      </c>
      <c r="I4851" t="s">
        <v>24</v>
      </c>
      <c r="J4851" t="s">
        <v>25</v>
      </c>
      <c r="K4851" t="s">
        <v>36</v>
      </c>
      <c r="L4851" t="s">
        <v>37</v>
      </c>
      <c r="M4851">
        <v>16</v>
      </c>
      <c r="N4851" s="2">
        <v>27</v>
      </c>
      <c r="O4851" s="3">
        <v>10867</v>
      </c>
      <c r="P4851">
        <v>0</v>
      </c>
      <c r="Q4851">
        <v>4</v>
      </c>
      <c r="R4851" t="s">
        <v>33</v>
      </c>
      <c r="S4851">
        <v>1</v>
      </c>
    </row>
    <row r="4852" spans="1:19" ht="16.5" x14ac:dyDescent="0.3">
      <c r="A4852" t="s">
        <v>4915</v>
      </c>
      <c r="B4852" s="1">
        <v>45937</v>
      </c>
      <c r="C4852" s="1">
        <v>45955</v>
      </c>
      <c r="D4852">
        <v>2025</v>
      </c>
      <c r="E4852" t="s">
        <v>2026</v>
      </c>
      <c r="F4852" t="s">
        <v>2027</v>
      </c>
      <c r="G4852" t="s">
        <v>56</v>
      </c>
      <c r="H4852" t="s">
        <v>23</v>
      </c>
      <c r="I4852" t="s">
        <v>24</v>
      </c>
      <c r="J4852" t="s">
        <v>43</v>
      </c>
      <c r="K4852" t="s">
        <v>26</v>
      </c>
      <c r="L4852" t="s">
        <v>27</v>
      </c>
      <c r="M4852">
        <v>18</v>
      </c>
      <c r="N4852" s="2">
        <v>56</v>
      </c>
      <c r="O4852" s="3">
        <v>12725</v>
      </c>
      <c r="P4852">
        <v>0</v>
      </c>
      <c r="Q4852">
        <v>4</v>
      </c>
      <c r="R4852" t="s">
        <v>28</v>
      </c>
      <c r="S4852">
        <v>1</v>
      </c>
    </row>
    <row r="4853" spans="1:19" ht="16.5" x14ac:dyDescent="0.3">
      <c r="A4853" t="s">
        <v>4916</v>
      </c>
      <c r="B4853" s="1">
        <v>45937</v>
      </c>
      <c r="C4853" s="1">
        <v>45940</v>
      </c>
      <c r="D4853">
        <v>2025</v>
      </c>
      <c r="E4853" t="s">
        <v>2026</v>
      </c>
      <c r="F4853" t="s">
        <v>2027</v>
      </c>
      <c r="G4853" t="s">
        <v>56</v>
      </c>
      <c r="H4853" t="s">
        <v>52</v>
      </c>
      <c r="I4853" t="s">
        <v>40</v>
      </c>
      <c r="J4853" t="s">
        <v>43</v>
      </c>
      <c r="K4853" t="s">
        <v>36</v>
      </c>
      <c r="L4853" t="s">
        <v>27</v>
      </c>
      <c r="M4853">
        <v>3</v>
      </c>
      <c r="N4853" s="2"/>
      <c r="O4853" s="3">
        <v>3473</v>
      </c>
      <c r="P4853">
        <v>0</v>
      </c>
      <c r="Q4853">
        <v>4</v>
      </c>
      <c r="R4853" t="s">
        <v>33</v>
      </c>
      <c r="S4853">
        <v>1</v>
      </c>
    </row>
    <row r="4854" spans="1:19" ht="16.5" x14ac:dyDescent="0.3">
      <c r="A4854" t="s">
        <v>4917</v>
      </c>
      <c r="B4854" s="1">
        <v>45937</v>
      </c>
      <c r="C4854" s="1">
        <v>45940</v>
      </c>
      <c r="D4854">
        <v>2025</v>
      </c>
      <c r="E4854" t="s">
        <v>2026</v>
      </c>
      <c r="F4854" t="s">
        <v>2027</v>
      </c>
      <c r="G4854" t="s">
        <v>56</v>
      </c>
      <c r="H4854" t="s">
        <v>39</v>
      </c>
      <c r="I4854" t="s">
        <v>40</v>
      </c>
      <c r="J4854" t="s">
        <v>25</v>
      </c>
      <c r="K4854" t="s">
        <v>41</v>
      </c>
      <c r="L4854" t="s">
        <v>27</v>
      </c>
      <c r="M4854">
        <v>3</v>
      </c>
      <c r="N4854" s="2"/>
      <c r="O4854" s="3">
        <v>2207</v>
      </c>
      <c r="P4854">
        <v>0</v>
      </c>
      <c r="Q4854">
        <v>4</v>
      </c>
      <c r="R4854" t="s">
        <v>33</v>
      </c>
      <c r="S4854">
        <v>1</v>
      </c>
    </row>
    <row r="4855" spans="1:19" ht="16.5" x14ac:dyDescent="0.3">
      <c r="A4855" t="s">
        <v>4918</v>
      </c>
      <c r="B4855" s="1">
        <v>45938</v>
      </c>
      <c r="C4855" s="1">
        <v>45939</v>
      </c>
      <c r="D4855">
        <v>2025</v>
      </c>
      <c r="E4855" t="s">
        <v>2026</v>
      </c>
      <c r="F4855" t="s">
        <v>2027</v>
      </c>
      <c r="G4855" t="s">
        <v>70</v>
      </c>
      <c r="H4855" t="s">
        <v>50</v>
      </c>
      <c r="I4855" t="s">
        <v>40</v>
      </c>
      <c r="J4855" t="s">
        <v>43</v>
      </c>
      <c r="K4855" t="s">
        <v>36</v>
      </c>
      <c r="L4855" t="s">
        <v>44</v>
      </c>
      <c r="M4855">
        <v>1</v>
      </c>
      <c r="N4855" s="2"/>
      <c r="O4855" s="3">
        <v>2122</v>
      </c>
      <c r="P4855">
        <v>0</v>
      </c>
      <c r="Q4855">
        <v>4</v>
      </c>
      <c r="R4855" t="s">
        <v>33</v>
      </c>
      <c r="S4855">
        <v>1</v>
      </c>
    </row>
    <row r="4856" spans="1:19" ht="16.5" x14ac:dyDescent="0.3">
      <c r="A4856" t="s">
        <v>4919</v>
      </c>
      <c r="B4856" s="1">
        <v>45938</v>
      </c>
      <c r="C4856" s="1">
        <v>45951</v>
      </c>
      <c r="D4856">
        <v>2025</v>
      </c>
      <c r="E4856" t="s">
        <v>2026</v>
      </c>
      <c r="F4856" t="s">
        <v>2027</v>
      </c>
      <c r="G4856" t="s">
        <v>70</v>
      </c>
      <c r="H4856" t="s">
        <v>50</v>
      </c>
      <c r="I4856" t="s">
        <v>24</v>
      </c>
      <c r="J4856" t="s">
        <v>25</v>
      </c>
      <c r="K4856" t="s">
        <v>53</v>
      </c>
      <c r="L4856" t="s">
        <v>44</v>
      </c>
      <c r="M4856">
        <v>13</v>
      </c>
      <c r="N4856" s="2">
        <v>12</v>
      </c>
      <c r="O4856" s="3">
        <v>13452</v>
      </c>
      <c r="P4856">
        <v>1</v>
      </c>
      <c r="Q4856">
        <v>3</v>
      </c>
      <c r="R4856" t="s">
        <v>33</v>
      </c>
      <c r="S4856">
        <v>1</v>
      </c>
    </row>
    <row r="4857" spans="1:19" ht="16.5" x14ac:dyDescent="0.3">
      <c r="A4857" t="s">
        <v>4920</v>
      </c>
      <c r="B4857" s="1">
        <v>45938</v>
      </c>
      <c r="C4857" s="1">
        <v>45945</v>
      </c>
      <c r="D4857">
        <v>2025</v>
      </c>
      <c r="E4857" t="s">
        <v>2026</v>
      </c>
      <c r="F4857" t="s">
        <v>2027</v>
      </c>
      <c r="G4857" t="s">
        <v>70</v>
      </c>
      <c r="H4857" t="s">
        <v>39</v>
      </c>
      <c r="I4857" t="s">
        <v>24</v>
      </c>
      <c r="J4857" t="s">
        <v>43</v>
      </c>
      <c r="K4857" t="s">
        <v>41</v>
      </c>
      <c r="L4857" t="s">
        <v>27</v>
      </c>
      <c r="M4857">
        <v>7</v>
      </c>
      <c r="N4857" s="2">
        <v>32</v>
      </c>
      <c r="O4857" s="3">
        <v>5379</v>
      </c>
      <c r="P4857">
        <v>0</v>
      </c>
      <c r="Q4857">
        <v>4</v>
      </c>
      <c r="R4857" t="s">
        <v>33</v>
      </c>
      <c r="S4857">
        <v>1</v>
      </c>
    </row>
    <row r="4858" spans="1:19" ht="16.5" x14ac:dyDescent="0.3">
      <c r="A4858" t="s">
        <v>4921</v>
      </c>
      <c r="B4858" s="1">
        <v>45938</v>
      </c>
      <c r="C4858" s="1">
        <v>45943</v>
      </c>
      <c r="D4858">
        <v>2025</v>
      </c>
      <c r="E4858" t="s">
        <v>2026</v>
      </c>
      <c r="F4858" t="s">
        <v>2027</v>
      </c>
      <c r="G4858" t="s">
        <v>70</v>
      </c>
      <c r="H4858" t="s">
        <v>23</v>
      </c>
      <c r="I4858" t="s">
        <v>24</v>
      </c>
      <c r="J4858" t="s">
        <v>25</v>
      </c>
      <c r="K4858" t="s">
        <v>36</v>
      </c>
      <c r="L4858" t="s">
        <v>27</v>
      </c>
      <c r="M4858">
        <v>5</v>
      </c>
      <c r="N4858" s="2">
        <v>39</v>
      </c>
      <c r="O4858" s="3">
        <v>4051</v>
      </c>
      <c r="P4858">
        <v>0</v>
      </c>
      <c r="Q4858">
        <v>3</v>
      </c>
      <c r="R4858" t="s">
        <v>33</v>
      </c>
      <c r="S4858">
        <v>1</v>
      </c>
    </row>
    <row r="4859" spans="1:19" ht="16.5" x14ac:dyDescent="0.3">
      <c r="A4859" t="s">
        <v>4922</v>
      </c>
      <c r="B4859" s="1">
        <v>45938</v>
      </c>
      <c r="C4859" s="1">
        <v>45939</v>
      </c>
      <c r="D4859">
        <v>2025</v>
      </c>
      <c r="E4859" t="s">
        <v>2026</v>
      </c>
      <c r="F4859" t="s">
        <v>2027</v>
      </c>
      <c r="G4859" t="s">
        <v>70</v>
      </c>
      <c r="H4859" t="s">
        <v>50</v>
      </c>
      <c r="I4859" t="s">
        <v>24</v>
      </c>
      <c r="J4859" t="s">
        <v>43</v>
      </c>
      <c r="K4859" t="s">
        <v>26</v>
      </c>
      <c r="L4859" t="s">
        <v>37</v>
      </c>
      <c r="M4859">
        <v>1</v>
      </c>
      <c r="N4859" s="2">
        <v>30</v>
      </c>
      <c r="O4859" s="3">
        <v>1420</v>
      </c>
      <c r="P4859">
        <v>1</v>
      </c>
      <c r="Q4859">
        <v>4</v>
      </c>
      <c r="R4859" t="s">
        <v>33</v>
      </c>
      <c r="S4859">
        <v>1</v>
      </c>
    </row>
    <row r="4860" spans="1:19" ht="16.5" x14ac:dyDescent="0.3">
      <c r="A4860" t="s">
        <v>4923</v>
      </c>
      <c r="B4860" s="1">
        <v>45939</v>
      </c>
      <c r="C4860" s="1">
        <v>45960</v>
      </c>
      <c r="D4860">
        <v>2025</v>
      </c>
      <c r="E4860" t="s">
        <v>2026</v>
      </c>
      <c r="F4860" t="s">
        <v>2027</v>
      </c>
      <c r="G4860" t="s">
        <v>78</v>
      </c>
      <c r="H4860" t="s">
        <v>23</v>
      </c>
      <c r="I4860" t="s">
        <v>24</v>
      </c>
      <c r="J4860" t="s">
        <v>43</v>
      </c>
      <c r="K4860" t="s">
        <v>26</v>
      </c>
      <c r="L4860" t="s">
        <v>44</v>
      </c>
      <c r="M4860">
        <v>21</v>
      </c>
      <c r="N4860" s="2">
        <v>12</v>
      </c>
      <c r="O4860" s="3">
        <v>12810</v>
      </c>
      <c r="P4860">
        <v>0</v>
      </c>
      <c r="Q4860">
        <v>4</v>
      </c>
      <c r="R4860" t="s">
        <v>33</v>
      </c>
      <c r="S4860">
        <v>1</v>
      </c>
    </row>
    <row r="4861" spans="1:19" ht="16.5" x14ac:dyDescent="0.3">
      <c r="A4861" t="s">
        <v>4924</v>
      </c>
      <c r="B4861" s="1">
        <v>45939</v>
      </c>
      <c r="C4861" s="1">
        <v>45941</v>
      </c>
      <c r="D4861">
        <v>2025</v>
      </c>
      <c r="E4861" t="s">
        <v>2026</v>
      </c>
      <c r="F4861" t="s">
        <v>2027</v>
      </c>
      <c r="G4861" t="s">
        <v>78</v>
      </c>
      <c r="H4861" t="s">
        <v>52</v>
      </c>
      <c r="I4861" t="s">
        <v>40</v>
      </c>
      <c r="J4861" t="s">
        <v>25</v>
      </c>
      <c r="K4861" t="s">
        <v>36</v>
      </c>
      <c r="L4861" t="s">
        <v>27</v>
      </c>
      <c r="M4861">
        <v>2</v>
      </c>
      <c r="N4861" s="2"/>
      <c r="O4861" s="3">
        <v>3803</v>
      </c>
      <c r="P4861">
        <v>1</v>
      </c>
      <c r="Q4861">
        <v>4</v>
      </c>
      <c r="R4861" t="s">
        <v>33</v>
      </c>
      <c r="S4861">
        <v>1</v>
      </c>
    </row>
    <row r="4862" spans="1:19" ht="16.5" x14ac:dyDescent="0.3">
      <c r="A4862" t="s">
        <v>4925</v>
      </c>
      <c r="B4862" s="1">
        <v>45939</v>
      </c>
      <c r="C4862" s="1">
        <v>45943</v>
      </c>
      <c r="D4862">
        <v>2025</v>
      </c>
      <c r="E4862" t="s">
        <v>2026</v>
      </c>
      <c r="F4862" t="s">
        <v>2027</v>
      </c>
      <c r="G4862" t="s">
        <v>78</v>
      </c>
      <c r="H4862" t="s">
        <v>30</v>
      </c>
      <c r="I4862" t="s">
        <v>40</v>
      </c>
      <c r="J4862" t="s">
        <v>25</v>
      </c>
      <c r="K4862" t="s">
        <v>26</v>
      </c>
      <c r="L4862" t="s">
        <v>44</v>
      </c>
      <c r="M4862">
        <v>4</v>
      </c>
      <c r="N4862" s="2"/>
      <c r="O4862" s="3">
        <v>3216</v>
      </c>
      <c r="P4862">
        <v>0</v>
      </c>
      <c r="Q4862">
        <v>4</v>
      </c>
      <c r="R4862" t="s">
        <v>33</v>
      </c>
      <c r="S4862">
        <v>1</v>
      </c>
    </row>
    <row r="4863" spans="1:19" ht="16.5" x14ac:dyDescent="0.3">
      <c r="A4863" t="s">
        <v>4926</v>
      </c>
      <c r="B4863" s="1">
        <v>45939</v>
      </c>
      <c r="C4863" s="1">
        <v>45941</v>
      </c>
      <c r="D4863">
        <v>2025</v>
      </c>
      <c r="E4863" t="s">
        <v>2026</v>
      </c>
      <c r="F4863" t="s">
        <v>2027</v>
      </c>
      <c r="G4863" t="s">
        <v>78</v>
      </c>
      <c r="H4863" t="s">
        <v>35</v>
      </c>
      <c r="I4863" t="s">
        <v>24</v>
      </c>
      <c r="J4863" t="s">
        <v>25</v>
      </c>
      <c r="K4863" t="s">
        <v>32</v>
      </c>
      <c r="L4863" t="s">
        <v>27</v>
      </c>
      <c r="M4863">
        <v>2</v>
      </c>
      <c r="N4863" s="2">
        <v>73</v>
      </c>
      <c r="O4863" s="3">
        <v>2271</v>
      </c>
      <c r="P4863">
        <v>0</v>
      </c>
      <c r="Q4863">
        <v>4</v>
      </c>
      <c r="R4863" t="s">
        <v>28</v>
      </c>
      <c r="S4863">
        <v>1</v>
      </c>
    </row>
    <row r="4864" spans="1:19" ht="16.5" x14ac:dyDescent="0.3">
      <c r="A4864" t="s">
        <v>4927</v>
      </c>
      <c r="B4864" s="1">
        <v>45939</v>
      </c>
      <c r="C4864" s="1">
        <v>45950</v>
      </c>
      <c r="D4864">
        <v>2025</v>
      </c>
      <c r="E4864" t="s">
        <v>2026</v>
      </c>
      <c r="F4864" t="s">
        <v>2027</v>
      </c>
      <c r="G4864" t="s">
        <v>78</v>
      </c>
      <c r="H4864" t="s">
        <v>23</v>
      </c>
      <c r="I4864" t="s">
        <v>24</v>
      </c>
      <c r="J4864" t="s">
        <v>43</v>
      </c>
      <c r="K4864" t="s">
        <v>26</v>
      </c>
      <c r="L4864" t="s">
        <v>27</v>
      </c>
      <c r="M4864">
        <v>11</v>
      </c>
      <c r="N4864" s="2">
        <v>25</v>
      </c>
      <c r="O4864" s="3">
        <v>9142</v>
      </c>
      <c r="P4864">
        <v>0</v>
      </c>
      <c r="Q4864">
        <v>4</v>
      </c>
      <c r="R4864" t="s">
        <v>59</v>
      </c>
      <c r="S4864">
        <v>1</v>
      </c>
    </row>
    <row r="4865" spans="1:19" ht="16.5" x14ac:dyDescent="0.3">
      <c r="A4865" t="s">
        <v>4928</v>
      </c>
      <c r="B4865" s="1">
        <v>45939</v>
      </c>
      <c r="C4865" s="1">
        <v>45941</v>
      </c>
      <c r="D4865">
        <v>2025</v>
      </c>
      <c r="E4865" t="s">
        <v>2026</v>
      </c>
      <c r="F4865" t="s">
        <v>2027</v>
      </c>
      <c r="G4865" t="s">
        <v>78</v>
      </c>
      <c r="H4865" t="s">
        <v>23</v>
      </c>
      <c r="I4865" t="s">
        <v>24</v>
      </c>
      <c r="J4865" t="s">
        <v>43</v>
      </c>
      <c r="K4865" t="s">
        <v>32</v>
      </c>
      <c r="L4865" t="s">
        <v>44</v>
      </c>
      <c r="M4865">
        <v>2</v>
      </c>
      <c r="N4865" s="2">
        <v>50</v>
      </c>
      <c r="O4865" s="3">
        <v>2010</v>
      </c>
      <c r="P4865">
        <v>0</v>
      </c>
      <c r="Q4865">
        <v>4</v>
      </c>
      <c r="R4865" t="s">
        <v>28</v>
      </c>
      <c r="S4865">
        <v>1</v>
      </c>
    </row>
    <row r="4866" spans="1:19" ht="16.5" x14ac:dyDescent="0.3">
      <c r="A4866" t="s">
        <v>4929</v>
      </c>
      <c r="B4866" s="1">
        <v>45939</v>
      </c>
      <c r="C4866" s="1">
        <v>45944</v>
      </c>
      <c r="D4866">
        <v>2025</v>
      </c>
      <c r="E4866" t="s">
        <v>2026</v>
      </c>
      <c r="F4866" t="s">
        <v>2027</v>
      </c>
      <c r="G4866" t="s">
        <v>78</v>
      </c>
      <c r="H4866" t="s">
        <v>30</v>
      </c>
      <c r="I4866" t="s">
        <v>24</v>
      </c>
      <c r="J4866" t="s">
        <v>43</v>
      </c>
      <c r="K4866" t="s">
        <v>32</v>
      </c>
      <c r="L4866" t="s">
        <v>27</v>
      </c>
      <c r="M4866">
        <v>5</v>
      </c>
      <c r="N4866" s="2">
        <v>30</v>
      </c>
      <c r="O4866" s="3">
        <v>7225</v>
      </c>
      <c r="P4866">
        <v>0</v>
      </c>
      <c r="Q4866">
        <v>5</v>
      </c>
      <c r="R4866" t="s">
        <v>33</v>
      </c>
      <c r="S4866">
        <v>1</v>
      </c>
    </row>
    <row r="4867" spans="1:19" ht="16.5" x14ac:dyDescent="0.3">
      <c r="A4867" t="s">
        <v>4930</v>
      </c>
      <c r="B4867" s="1">
        <v>45939</v>
      </c>
      <c r="C4867" s="1">
        <v>45945</v>
      </c>
      <c r="D4867">
        <v>2025</v>
      </c>
      <c r="E4867" t="s">
        <v>2026</v>
      </c>
      <c r="F4867" t="s">
        <v>2027</v>
      </c>
      <c r="G4867" t="s">
        <v>78</v>
      </c>
      <c r="H4867" t="s">
        <v>35</v>
      </c>
      <c r="I4867" t="s">
        <v>24</v>
      </c>
      <c r="J4867" t="s">
        <v>25</v>
      </c>
      <c r="K4867" t="s">
        <v>32</v>
      </c>
      <c r="L4867" t="s">
        <v>44</v>
      </c>
      <c r="M4867">
        <v>6</v>
      </c>
      <c r="N4867" s="2">
        <v>39</v>
      </c>
      <c r="O4867" s="3">
        <v>4565</v>
      </c>
      <c r="P4867">
        <v>0</v>
      </c>
      <c r="Q4867">
        <v>4</v>
      </c>
      <c r="R4867" t="s">
        <v>33</v>
      </c>
      <c r="S4867">
        <v>1</v>
      </c>
    </row>
    <row r="4868" spans="1:19" ht="16.5" x14ac:dyDescent="0.3">
      <c r="A4868" t="s">
        <v>4931</v>
      </c>
      <c r="B4868" s="1">
        <v>45939</v>
      </c>
      <c r="C4868" s="1">
        <v>45940</v>
      </c>
      <c r="D4868">
        <v>2025</v>
      </c>
      <c r="E4868" t="s">
        <v>2026</v>
      </c>
      <c r="F4868" t="s">
        <v>2027</v>
      </c>
      <c r="G4868" t="s">
        <v>78</v>
      </c>
      <c r="H4868" t="s">
        <v>50</v>
      </c>
      <c r="I4868" t="s">
        <v>40</v>
      </c>
      <c r="J4868" t="s">
        <v>25</v>
      </c>
      <c r="K4868" t="s">
        <v>53</v>
      </c>
      <c r="L4868" t="s">
        <v>37</v>
      </c>
      <c r="M4868">
        <v>1</v>
      </c>
      <c r="N4868" s="2"/>
      <c r="O4868" s="3">
        <v>2066</v>
      </c>
      <c r="P4868">
        <v>0</v>
      </c>
      <c r="Q4868">
        <v>5</v>
      </c>
      <c r="R4868" t="s">
        <v>33</v>
      </c>
      <c r="S4868">
        <v>1</v>
      </c>
    </row>
    <row r="4869" spans="1:19" ht="16.5" x14ac:dyDescent="0.3">
      <c r="A4869" t="s">
        <v>4932</v>
      </c>
      <c r="B4869" s="1">
        <v>45939</v>
      </c>
      <c r="C4869" s="1">
        <v>45942</v>
      </c>
      <c r="D4869">
        <v>2025</v>
      </c>
      <c r="E4869" t="s">
        <v>2026</v>
      </c>
      <c r="F4869" t="s">
        <v>2027</v>
      </c>
      <c r="G4869" t="s">
        <v>78</v>
      </c>
      <c r="H4869" t="s">
        <v>23</v>
      </c>
      <c r="I4869" t="s">
        <v>40</v>
      </c>
      <c r="J4869" t="s">
        <v>25</v>
      </c>
      <c r="K4869" t="s">
        <v>53</v>
      </c>
      <c r="L4869" t="s">
        <v>27</v>
      </c>
      <c r="M4869">
        <v>3</v>
      </c>
      <c r="N4869" s="2"/>
      <c r="O4869" s="3">
        <v>2619</v>
      </c>
      <c r="P4869">
        <v>0</v>
      </c>
      <c r="Q4869">
        <v>4</v>
      </c>
      <c r="R4869" t="s">
        <v>33</v>
      </c>
      <c r="S4869">
        <v>1</v>
      </c>
    </row>
    <row r="4870" spans="1:19" ht="16.5" x14ac:dyDescent="0.3">
      <c r="A4870" t="s">
        <v>4933</v>
      </c>
      <c r="B4870" s="1">
        <v>45940</v>
      </c>
      <c r="C4870" s="1">
        <v>45941</v>
      </c>
      <c r="D4870">
        <v>2025</v>
      </c>
      <c r="E4870" t="s">
        <v>2026</v>
      </c>
      <c r="F4870" t="s">
        <v>2027</v>
      </c>
      <c r="G4870" t="s">
        <v>83</v>
      </c>
      <c r="H4870" t="s">
        <v>39</v>
      </c>
      <c r="I4870" t="s">
        <v>24</v>
      </c>
      <c r="J4870" t="s">
        <v>43</v>
      </c>
      <c r="K4870" t="s">
        <v>41</v>
      </c>
      <c r="L4870" t="s">
        <v>27</v>
      </c>
      <c r="M4870">
        <v>1</v>
      </c>
      <c r="N4870" s="2">
        <v>68</v>
      </c>
      <c r="O4870" s="3">
        <v>1373</v>
      </c>
      <c r="P4870">
        <v>0</v>
      </c>
      <c r="Q4870">
        <v>4</v>
      </c>
      <c r="R4870" t="s">
        <v>33</v>
      </c>
      <c r="S4870">
        <v>1</v>
      </c>
    </row>
    <row r="4871" spans="1:19" ht="16.5" x14ac:dyDescent="0.3">
      <c r="A4871" t="s">
        <v>4934</v>
      </c>
      <c r="B4871" s="1">
        <v>45940</v>
      </c>
      <c r="C4871" s="1">
        <v>45960</v>
      </c>
      <c r="D4871">
        <v>2025</v>
      </c>
      <c r="E4871" t="s">
        <v>2026</v>
      </c>
      <c r="F4871" t="s">
        <v>2027</v>
      </c>
      <c r="G4871" t="s">
        <v>83</v>
      </c>
      <c r="H4871" t="s">
        <v>30</v>
      </c>
      <c r="I4871" t="s">
        <v>24</v>
      </c>
      <c r="J4871" t="s">
        <v>25</v>
      </c>
      <c r="K4871" t="s">
        <v>26</v>
      </c>
      <c r="L4871" t="s">
        <v>27</v>
      </c>
      <c r="M4871">
        <v>20</v>
      </c>
      <c r="N4871" s="2">
        <v>43</v>
      </c>
      <c r="O4871" s="3">
        <v>22084</v>
      </c>
      <c r="P4871">
        <v>0</v>
      </c>
      <c r="Q4871">
        <v>3</v>
      </c>
      <c r="R4871" t="s">
        <v>33</v>
      </c>
      <c r="S4871">
        <v>1</v>
      </c>
    </row>
    <row r="4872" spans="1:19" ht="16.5" x14ac:dyDescent="0.3">
      <c r="A4872" t="s">
        <v>4935</v>
      </c>
      <c r="B4872" s="1">
        <v>45940</v>
      </c>
      <c r="C4872" s="1">
        <v>45951</v>
      </c>
      <c r="D4872">
        <v>2025</v>
      </c>
      <c r="E4872" t="s">
        <v>2026</v>
      </c>
      <c r="F4872" t="s">
        <v>2027</v>
      </c>
      <c r="G4872" t="s">
        <v>83</v>
      </c>
      <c r="H4872" t="s">
        <v>23</v>
      </c>
      <c r="I4872" t="s">
        <v>24</v>
      </c>
      <c r="J4872" t="s">
        <v>43</v>
      </c>
      <c r="K4872" t="s">
        <v>36</v>
      </c>
      <c r="L4872" t="s">
        <v>27</v>
      </c>
      <c r="M4872">
        <v>11</v>
      </c>
      <c r="N4872" s="2">
        <v>13</v>
      </c>
      <c r="O4872" s="3">
        <v>6736</v>
      </c>
      <c r="P4872">
        <v>0</v>
      </c>
      <c r="Q4872">
        <v>5</v>
      </c>
      <c r="R4872" t="s">
        <v>33</v>
      </c>
      <c r="S4872">
        <v>1</v>
      </c>
    </row>
    <row r="4873" spans="1:19" ht="16.5" x14ac:dyDescent="0.3">
      <c r="A4873" t="s">
        <v>4936</v>
      </c>
      <c r="B4873" s="1">
        <v>45940</v>
      </c>
      <c r="C4873" s="1">
        <v>45944</v>
      </c>
      <c r="D4873">
        <v>2025</v>
      </c>
      <c r="E4873" t="s">
        <v>2026</v>
      </c>
      <c r="F4873" t="s">
        <v>2027</v>
      </c>
      <c r="G4873" t="s">
        <v>83</v>
      </c>
      <c r="H4873" t="s">
        <v>52</v>
      </c>
      <c r="I4873" t="s">
        <v>40</v>
      </c>
      <c r="J4873" t="s">
        <v>43</v>
      </c>
      <c r="K4873" t="s">
        <v>26</v>
      </c>
      <c r="L4873" t="s">
        <v>44</v>
      </c>
      <c r="M4873">
        <v>4</v>
      </c>
      <c r="N4873" s="2"/>
      <c r="O4873" s="3">
        <v>4342</v>
      </c>
      <c r="P4873">
        <v>0</v>
      </c>
      <c r="Q4873">
        <v>4</v>
      </c>
      <c r="R4873" t="s">
        <v>33</v>
      </c>
      <c r="S4873">
        <v>1</v>
      </c>
    </row>
    <row r="4874" spans="1:19" ht="16.5" x14ac:dyDescent="0.3">
      <c r="A4874" t="s">
        <v>4937</v>
      </c>
      <c r="B4874" s="1">
        <v>45940</v>
      </c>
      <c r="C4874" s="1">
        <v>45943</v>
      </c>
      <c r="D4874">
        <v>2025</v>
      </c>
      <c r="E4874" t="s">
        <v>2026</v>
      </c>
      <c r="F4874" t="s">
        <v>2027</v>
      </c>
      <c r="G4874" t="s">
        <v>83</v>
      </c>
      <c r="H4874" t="s">
        <v>23</v>
      </c>
      <c r="I4874" t="s">
        <v>24</v>
      </c>
      <c r="J4874" t="s">
        <v>25</v>
      </c>
      <c r="K4874" t="s">
        <v>53</v>
      </c>
      <c r="L4874" t="s">
        <v>27</v>
      </c>
      <c r="M4874">
        <v>3</v>
      </c>
      <c r="N4874" s="2">
        <v>85</v>
      </c>
      <c r="O4874" s="3">
        <v>3201</v>
      </c>
      <c r="P4874">
        <v>0</v>
      </c>
      <c r="Q4874">
        <v>3</v>
      </c>
      <c r="R4874" t="s">
        <v>33</v>
      </c>
      <c r="S4874">
        <v>1</v>
      </c>
    </row>
    <row r="4875" spans="1:19" ht="16.5" x14ac:dyDescent="0.3">
      <c r="A4875" t="s">
        <v>4938</v>
      </c>
      <c r="B4875" s="1">
        <v>45940</v>
      </c>
      <c r="C4875" s="1">
        <v>45945</v>
      </c>
      <c r="D4875">
        <v>2025</v>
      </c>
      <c r="E4875" t="s">
        <v>2026</v>
      </c>
      <c r="F4875" t="s">
        <v>2027</v>
      </c>
      <c r="G4875" t="s">
        <v>83</v>
      </c>
      <c r="H4875" t="s">
        <v>52</v>
      </c>
      <c r="I4875" t="s">
        <v>40</v>
      </c>
      <c r="J4875" t="s">
        <v>25</v>
      </c>
      <c r="K4875" t="s">
        <v>36</v>
      </c>
      <c r="L4875" t="s">
        <v>37</v>
      </c>
      <c r="M4875">
        <v>5</v>
      </c>
      <c r="N4875" s="2"/>
      <c r="O4875" s="3">
        <v>4861</v>
      </c>
      <c r="P4875">
        <v>0</v>
      </c>
      <c r="Q4875">
        <v>4</v>
      </c>
      <c r="R4875" t="s">
        <v>165</v>
      </c>
      <c r="S4875">
        <v>1</v>
      </c>
    </row>
    <row r="4876" spans="1:19" ht="16.5" x14ac:dyDescent="0.3">
      <c r="A4876" t="s">
        <v>4939</v>
      </c>
      <c r="B4876" s="1">
        <v>45941</v>
      </c>
      <c r="C4876" s="1">
        <v>45949</v>
      </c>
      <c r="D4876">
        <v>2025</v>
      </c>
      <c r="E4876" t="s">
        <v>2026</v>
      </c>
      <c r="F4876" t="s">
        <v>2027</v>
      </c>
      <c r="G4876" t="s">
        <v>102</v>
      </c>
      <c r="H4876" t="s">
        <v>23</v>
      </c>
      <c r="I4876" t="s">
        <v>24</v>
      </c>
      <c r="J4876" t="s">
        <v>43</v>
      </c>
      <c r="K4876" t="s">
        <v>26</v>
      </c>
      <c r="L4876" t="s">
        <v>37</v>
      </c>
      <c r="M4876">
        <v>8</v>
      </c>
      <c r="N4876" s="2">
        <v>83</v>
      </c>
      <c r="O4876" s="3">
        <v>6009</v>
      </c>
      <c r="P4876">
        <v>0</v>
      </c>
      <c r="Q4876">
        <v>4</v>
      </c>
      <c r="R4876" t="s">
        <v>59</v>
      </c>
      <c r="S4876">
        <v>1</v>
      </c>
    </row>
    <row r="4877" spans="1:19" ht="16.5" x14ac:dyDescent="0.3">
      <c r="A4877" t="s">
        <v>4940</v>
      </c>
      <c r="B4877" s="1">
        <v>45941</v>
      </c>
      <c r="C4877" s="1">
        <v>45945</v>
      </c>
      <c r="D4877">
        <v>2025</v>
      </c>
      <c r="E4877" t="s">
        <v>2026</v>
      </c>
      <c r="F4877" t="s">
        <v>2027</v>
      </c>
      <c r="G4877" t="s">
        <v>102</v>
      </c>
      <c r="H4877" t="s">
        <v>35</v>
      </c>
      <c r="I4877" t="s">
        <v>31</v>
      </c>
      <c r="J4877" t="s">
        <v>25</v>
      </c>
      <c r="K4877" t="s">
        <v>36</v>
      </c>
      <c r="L4877" t="s">
        <v>27</v>
      </c>
      <c r="M4877">
        <v>4</v>
      </c>
      <c r="N4877" s="2"/>
      <c r="O4877" s="3">
        <v>4062</v>
      </c>
      <c r="P4877">
        <v>0</v>
      </c>
      <c r="Q4877">
        <v>4</v>
      </c>
      <c r="R4877" t="s">
        <v>28</v>
      </c>
      <c r="S4877">
        <v>1</v>
      </c>
    </row>
    <row r="4878" spans="1:19" ht="16.5" x14ac:dyDescent="0.3">
      <c r="A4878" t="s">
        <v>4941</v>
      </c>
      <c r="B4878" s="1">
        <v>45941</v>
      </c>
      <c r="C4878" s="1">
        <v>45944</v>
      </c>
      <c r="D4878">
        <v>2025</v>
      </c>
      <c r="E4878" t="s">
        <v>2026</v>
      </c>
      <c r="F4878" t="s">
        <v>2027</v>
      </c>
      <c r="G4878" t="s">
        <v>102</v>
      </c>
      <c r="H4878" t="s">
        <v>50</v>
      </c>
      <c r="I4878" t="s">
        <v>24</v>
      </c>
      <c r="J4878" t="s">
        <v>43</v>
      </c>
      <c r="K4878" t="s">
        <v>32</v>
      </c>
      <c r="L4878" t="s">
        <v>44</v>
      </c>
      <c r="M4878">
        <v>3</v>
      </c>
      <c r="N4878" s="2">
        <v>69</v>
      </c>
      <c r="O4878" s="3">
        <v>3888</v>
      </c>
      <c r="P4878">
        <v>0</v>
      </c>
      <c r="Q4878">
        <v>5</v>
      </c>
      <c r="R4878" t="s">
        <v>28</v>
      </c>
      <c r="S4878">
        <v>1</v>
      </c>
    </row>
    <row r="4879" spans="1:19" ht="16.5" x14ac:dyDescent="0.3">
      <c r="A4879" t="s">
        <v>4942</v>
      </c>
      <c r="B4879" s="1">
        <v>45941</v>
      </c>
      <c r="C4879" s="1">
        <v>45948</v>
      </c>
      <c r="D4879">
        <v>2025</v>
      </c>
      <c r="E4879" t="s">
        <v>2026</v>
      </c>
      <c r="F4879" t="s">
        <v>2027</v>
      </c>
      <c r="G4879" t="s">
        <v>102</v>
      </c>
      <c r="H4879" t="s">
        <v>39</v>
      </c>
      <c r="I4879" t="s">
        <v>24</v>
      </c>
      <c r="J4879" t="s">
        <v>25</v>
      </c>
      <c r="K4879" t="s">
        <v>41</v>
      </c>
      <c r="L4879" t="s">
        <v>44</v>
      </c>
      <c r="M4879">
        <v>7</v>
      </c>
      <c r="N4879" s="2">
        <v>99</v>
      </c>
      <c r="O4879" s="3">
        <v>3557</v>
      </c>
      <c r="P4879">
        <v>0</v>
      </c>
      <c r="Q4879">
        <v>4</v>
      </c>
      <c r="R4879" t="s">
        <v>33</v>
      </c>
      <c r="S4879">
        <v>1</v>
      </c>
    </row>
    <row r="4880" spans="1:19" ht="16.5" x14ac:dyDescent="0.3">
      <c r="A4880" t="s">
        <v>4943</v>
      </c>
      <c r="B4880" s="1">
        <v>45941</v>
      </c>
      <c r="C4880" s="1">
        <v>45944</v>
      </c>
      <c r="D4880">
        <v>2025</v>
      </c>
      <c r="E4880" t="s">
        <v>2026</v>
      </c>
      <c r="F4880" t="s">
        <v>2027</v>
      </c>
      <c r="G4880" t="s">
        <v>102</v>
      </c>
      <c r="H4880" t="s">
        <v>30</v>
      </c>
      <c r="I4880" t="s">
        <v>40</v>
      </c>
      <c r="J4880" t="s">
        <v>25</v>
      </c>
      <c r="K4880" t="s">
        <v>32</v>
      </c>
      <c r="L4880" t="s">
        <v>44</v>
      </c>
      <c r="M4880">
        <v>3</v>
      </c>
      <c r="N4880" s="2"/>
      <c r="O4880" s="3">
        <v>3570</v>
      </c>
      <c r="P4880">
        <v>0</v>
      </c>
      <c r="Q4880">
        <v>4</v>
      </c>
      <c r="R4880" t="s">
        <v>33</v>
      </c>
      <c r="S4880">
        <v>1</v>
      </c>
    </row>
    <row r="4881" spans="1:19" ht="16.5" x14ac:dyDescent="0.3">
      <c r="A4881" t="s">
        <v>4944</v>
      </c>
      <c r="B4881" s="1">
        <v>45942</v>
      </c>
      <c r="C4881" s="1">
        <v>45946</v>
      </c>
      <c r="D4881">
        <v>2025</v>
      </c>
      <c r="E4881" t="s">
        <v>2026</v>
      </c>
      <c r="F4881" t="s">
        <v>2027</v>
      </c>
      <c r="G4881" t="s">
        <v>112</v>
      </c>
      <c r="H4881" t="s">
        <v>30</v>
      </c>
      <c r="I4881" t="s">
        <v>40</v>
      </c>
      <c r="J4881" t="s">
        <v>25</v>
      </c>
      <c r="K4881" t="s">
        <v>32</v>
      </c>
      <c r="L4881" t="s">
        <v>27</v>
      </c>
      <c r="M4881">
        <v>4</v>
      </c>
      <c r="N4881" s="2"/>
      <c r="O4881" s="3">
        <v>4176</v>
      </c>
      <c r="P4881">
        <v>0</v>
      </c>
      <c r="Q4881">
        <v>4</v>
      </c>
      <c r="R4881" t="s">
        <v>59</v>
      </c>
      <c r="S4881">
        <v>1</v>
      </c>
    </row>
    <row r="4882" spans="1:19" ht="16.5" x14ac:dyDescent="0.3">
      <c r="A4882" t="s">
        <v>4945</v>
      </c>
      <c r="B4882" s="1">
        <v>45942</v>
      </c>
      <c r="C4882" s="1">
        <v>45943</v>
      </c>
      <c r="D4882">
        <v>2025</v>
      </c>
      <c r="E4882" t="s">
        <v>2026</v>
      </c>
      <c r="F4882" t="s">
        <v>2027</v>
      </c>
      <c r="G4882" t="s">
        <v>112</v>
      </c>
      <c r="H4882" t="s">
        <v>35</v>
      </c>
      <c r="I4882" t="s">
        <v>24</v>
      </c>
      <c r="J4882" t="s">
        <v>25</v>
      </c>
      <c r="K4882" t="s">
        <v>32</v>
      </c>
      <c r="L4882" t="s">
        <v>44</v>
      </c>
      <c r="M4882">
        <v>1</v>
      </c>
      <c r="N4882" s="2">
        <v>50</v>
      </c>
      <c r="O4882" s="3">
        <v>1615</v>
      </c>
      <c r="P4882">
        <v>0</v>
      </c>
      <c r="Q4882">
        <v>4</v>
      </c>
      <c r="R4882" t="s">
        <v>33</v>
      </c>
      <c r="S4882">
        <v>1</v>
      </c>
    </row>
    <row r="4883" spans="1:19" ht="16.5" x14ac:dyDescent="0.3">
      <c r="A4883" t="s">
        <v>4946</v>
      </c>
      <c r="B4883" s="1">
        <v>45942</v>
      </c>
      <c r="C4883" s="1">
        <v>45946</v>
      </c>
      <c r="D4883">
        <v>2025</v>
      </c>
      <c r="E4883" t="s">
        <v>2026</v>
      </c>
      <c r="F4883" t="s">
        <v>2027</v>
      </c>
      <c r="G4883" t="s">
        <v>112</v>
      </c>
      <c r="H4883" t="s">
        <v>39</v>
      </c>
      <c r="I4883" t="s">
        <v>24</v>
      </c>
      <c r="J4883" t="s">
        <v>25</v>
      </c>
      <c r="K4883" t="s">
        <v>41</v>
      </c>
      <c r="L4883" t="s">
        <v>44</v>
      </c>
      <c r="M4883">
        <v>4</v>
      </c>
      <c r="N4883" s="2">
        <v>56</v>
      </c>
      <c r="O4883" s="3">
        <v>2268</v>
      </c>
      <c r="P4883">
        <v>0</v>
      </c>
      <c r="Q4883">
        <v>4</v>
      </c>
      <c r="R4883" t="s">
        <v>33</v>
      </c>
      <c r="S4883">
        <v>1</v>
      </c>
    </row>
    <row r="4884" spans="1:19" ht="16.5" x14ac:dyDescent="0.3">
      <c r="A4884" t="s">
        <v>4947</v>
      </c>
      <c r="B4884" s="1">
        <v>45942</v>
      </c>
      <c r="C4884" s="1">
        <v>45950</v>
      </c>
      <c r="D4884">
        <v>2025</v>
      </c>
      <c r="E4884" t="s">
        <v>2026</v>
      </c>
      <c r="F4884" t="s">
        <v>2027</v>
      </c>
      <c r="G4884" t="s">
        <v>112</v>
      </c>
      <c r="H4884" t="s">
        <v>35</v>
      </c>
      <c r="I4884" t="s">
        <v>24</v>
      </c>
      <c r="J4884" t="s">
        <v>25</v>
      </c>
      <c r="K4884" t="s">
        <v>36</v>
      </c>
      <c r="L4884" t="s">
        <v>44</v>
      </c>
      <c r="M4884">
        <v>8</v>
      </c>
      <c r="N4884" s="2">
        <v>34</v>
      </c>
      <c r="O4884" s="3">
        <v>7029</v>
      </c>
      <c r="P4884">
        <v>1</v>
      </c>
      <c r="Q4884">
        <v>4</v>
      </c>
      <c r="R4884" t="s">
        <v>28</v>
      </c>
      <c r="S4884">
        <v>1</v>
      </c>
    </row>
    <row r="4885" spans="1:19" ht="16.5" x14ac:dyDescent="0.3">
      <c r="A4885" t="s">
        <v>4948</v>
      </c>
      <c r="B4885" s="1">
        <v>45942</v>
      </c>
      <c r="C4885" s="1">
        <v>45943</v>
      </c>
      <c r="D4885">
        <v>2025</v>
      </c>
      <c r="E4885" t="s">
        <v>2026</v>
      </c>
      <c r="F4885" t="s">
        <v>2027</v>
      </c>
      <c r="G4885" t="s">
        <v>112</v>
      </c>
      <c r="H4885" t="s">
        <v>35</v>
      </c>
      <c r="I4885" t="s">
        <v>40</v>
      </c>
      <c r="J4885" t="s">
        <v>25</v>
      </c>
      <c r="K4885" t="s">
        <v>36</v>
      </c>
      <c r="L4885" t="s">
        <v>37</v>
      </c>
      <c r="M4885">
        <v>1</v>
      </c>
      <c r="N4885" s="2"/>
      <c r="O4885" s="3">
        <v>1502</v>
      </c>
      <c r="P4885">
        <v>0</v>
      </c>
      <c r="Q4885">
        <v>5</v>
      </c>
      <c r="R4885" t="s">
        <v>33</v>
      </c>
      <c r="S4885">
        <v>1</v>
      </c>
    </row>
    <row r="4886" spans="1:19" ht="16.5" x14ac:dyDescent="0.3">
      <c r="A4886" t="s">
        <v>4949</v>
      </c>
      <c r="B4886" s="1">
        <v>45943</v>
      </c>
      <c r="C4886" s="1">
        <v>45947</v>
      </c>
      <c r="D4886">
        <v>2025</v>
      </c>
      <c r="E4886" t="s">
        <v>2026</v>
      </c>
      <c r="F4886" t="s">
        <v>2027</v>
      </c>
      <c r="G4886" t="s">
        <v>22</v>
      </c>
      <c r="H4886" t="s">
        <v>50</v>
      </c>
      <c r="I4886" t="s">
        <v>24</v>
      </c>
      <c r="J4886" t="s">
        <v>43</v>
      </c>
      <c r="K4886" t="s">
        <v>26</v>
      </c>
      <c r="L4886" t="s">
        <v>44</v>
      </c>
      <c r="M4886">
        <v>4</v>
      </c>
      <c r="N4886" s="2">
        <v>32</v>
      </c>
      <c r="O4886" s="3">
        <v>4917</v>
      </c>
      <c r="P4886">
        <v>0</v>
      </c>
      <c r="Q4886">
        <v>4</v>
      </c>
      <c r="R4886" t="s">
        <v>28</v>
      </c>
      <c r="S4886">
        <v>1</v>
      </c>
    </row>
    <row r="4887" spans="1:19" ht="16.5" x14ac:dyDescent="0.3">
      <c r="A4887" t="s">
        <v>4950</v>
      </c>
      <c r="B4887" s="1">
        <v>45943</v>
      </c>
      <c r="C4887" s="1">
        <v>45948</v>
      </c>
      <c r="D4887">
        <v>2025</v>
      </c>
      <c r="E4887" t="s">
        <v>2026</v>
      </c>
      <c r="F4887" t="s">
        <v>2027</v>
      </c>
      <c r="G4887" t="s">
        <v>22</v>
      </c>
      <c r="H4887" t="s">
        <v>30</v>
      </c>
      <c r="I4887" t="s">
        <v>40</v>
      </c>
      <c r="J4887" t="s">
        <v>25</v>
      </c>
      <c r="K4887" t="s">
        <v>26</v>
      </c>
      <c r="L4887" t="s">
        <v>37</v>
      </c>
      <c r="M4887">
        <v>5</v>
      </c>
      <c r="N4887" s="2"/>
      <c r="O4887" s="3">
        <v>5193</v>
      </c>
      <c r="P4887">
        <v>1</v>
      </c>
      <c r="Q4887">
        <v>4</v>
      </c>
      <c r="R4887" t="s">
        <v>33</v>
      </c>
      <c r="S4887">
        <v>1</v>
      </c>
    </row>
    <row r="4888" spans="1:19" ht="16.5" x14ac:dyDescent="0.3">
      <c r="A4888" t="s">
        <v>4951</v>
      </c>
      <c r="B4888" s="1">
        <v>45943</v>
      </c>
      <c r="C4888" s="1">
        <v>45948</v>
      </c>
      <c r="D4888">
        <v>2025</v>
      </c>
      <c r="E4888" t="s">
        <v>2026</v>
      </c>
      <c r="F4888" t="s">
        <v>2027</v>
      </c>
      <c r="G4888" t="s">
        <v>22</v>
      </c>
      <c r="H4888" t="s">
        <v>50</v>
      </c>
      <c r="I4888" t="s">
        <v>24</v>
      </c>
      <c r="J4888" t="s">
        <v>25</v>
      </c>
      <c r="K4888" t="s">
        <v>53</v>
      </c>
      <c r="L4888" t="s">
        <v>27</v>
      </c>
      <c r="M4888">
        <v>5</v>
      </c>
      <c r="N4888" s="2">
        <v>28</v>
      </c>
      <c r="O4888" s="3">
        <v>6584</v>
      </c>
      <c r="P4888">
        <v>1</v>
      </c>
      <c r="Q4888">
        <v>4</v>
      </c>
      <c r="R4888" t="s">
        <v>33</v>
      </c>
      <c r="S4888">
        <v>1</v>
      </c>
    </row>
    <row r="4889" spans="1:19" ht="16.5" x14ac:dyDescent="0.3">
      <c r="A4889" t="s">
        <v>4952</v>
      </c>
      <c r="B4889" s="1">
        <v>45943</v>
      </c>
      <c r="C4889" s="1">
        <v>45944</v>
      </c>
      <c r="D4889">
        <v>2025</v>
      </c>
      <c r="E4889" t="s">
        <v>2026</v>
      </c>
      <c r="F4889" t="s">
        <v>2027</v>
      </c>
      <c r="G4889" t="s">
        <v>22</v>
      </c>
      <c r="H4889" t="s">
        <v>52</v>
      </c>
      <c r="I4889" t="s">
        <v>40</v>
      </c>
      <c r="J4889" t="s">
        <v>43</v>
      </c>
      <c r="K4889" t="s">
        <v>26</v>
      </c>
      <c r="L4889" t="s">
        <v>44</v>
      </c>
      <c r="M4889">
        <v>1</v>
      </c>
      <c r="N4889" s="2"/>
      <c r="O4889" s="3">
        <v>2098</v>
      </c>
      <c r="P4889">
        <v>0</v>
      </c>
      <c r="Q4889">
        <v>5</v>
      </c>
      <c r="R4889" t="s">
        <v>28</v>
      </c>
      <c r="S4889">
        <v>1</v>
      </c>
    </row>
    <row r="4890" spans="1:19" ht="16.5" x14ac:dyDescent="0.3">
      <c r="A4890" t="s">
        <v>4953</v>
      </c>
      <c r="B4890" s="1">
        <v>45943</v>
      </c>
      <c r="C4890" s="1">
        <v>45945</v>
      </c>
      <c r="D4890">
        <v>2025</v>
      </c>
      <c r="E4890" t="s">
        <v>2026</v>
      </c>
      <c r="F4890" t="s">
        <v>2027</v>
      </c>
      <c r="G4890" t="s">
        <v>22</v>
      </c>
      <c r="H4890" t="s">
        <v>23</v>
      </c>
      <c r="I4890" t="s">
        <v>31</v>
      </c>
      <c r="J4890" t="s">
        <v>43</v>
      </c>
      <c r="K4890" t="s">
        <v>36</v>
      </c>
      <c r="L4890" t="s">
        <v>37</v>
      </c>
      <c r="M4890">
        <v>2</v>
      </c>
      <c r="N4890" s="2"/>
      <c r="O4890" s="3">
        <v>2097</v>
      </c>
      <c r="P4890">
        <v>1</v>
      </c>
      <c r="Q4890">
        <v>3</v>
      </c>
      <c r="R4890" t="s">
        <v>33</v>
      </c>
      <c r="S4890">
        <v>1</v>
      </c>
    </row>
    <row r="4891" spans="1:19" ht="16.5" x14ac:dyDescent="0.3">
      <c r="A4891" t="s">
        <v>4954</v>
      </c>
      <c r="B4891" s="1">
        <v>45943</v>
      </c>
      <c r="C4891" s="1">
        <v>45947</v>
      </c>
      <c r="D4891">
        <v>2025</v>
      </c>
      <c r="E4891" t="s">
        <v>2026</v>
      </c>
      <c r="F4891" t="s">
        <v>2027</v>
      </c>
      <c r="G4891" t="s">
        <v>22</v>
      </c>
      <c r="H4891" t="s">
        <v>39</v>
      </c>
      <c r="I4891" t="s">
        <v>24</v>
      </c>
      <c r="J4891" t="s">
        <v>43</v>
      </c>
      <c r="K4891" t="s">
        <v>41</v>
      </c>
      <c r="L4891" t="s">
        <v>27</v>
      </c>
      <c r="M4891">
        <v>4</v>
      </c>
      <c r="N4891" s="2">
        <v>53</v>
      </c>
      <c r="O4891" s="3">
        <v>3755</v>
      </c>
      <c r="P4891">
        <v>0</v>
      </c>
      <c r="Q4891">
        <v>4</v>
      </c>
      <c r="R4891" t="s">
        <v>33</v>
      </c>
      <c r="S4891">
        <v>1</v>
      </c>
    </row>
    <row r="4892" spans="1:19" ht="16.5" x14ac:dyDescent="0.3">
      <c r="A4892" t="s">
        <v>4955</v>
      </c>
      <c r="B4892" s="1">
        <v>45943</v>
      </c>
      <c r="C4892" s="1">
        <v>45951</v>
      </c>
      <c r="D4892">
        <v>2025</v>
      </c>
      <c r="E4892" t="s">
        <v>2026</v>
      </c>
      <c r="F4892" t="s">
        <v>2027</v>
      </c>
      <c r="G4892" t="s">
        <v>22</v>
      </c>
      <c r="H4892" t="s">
        <v>52</v>
      </c>
      <c r="I4892" t="s">
        <v>40</v>
      </c>
      <c r="J4892" t="s">
        <v>43</v>
      </c>
      <c r="K4892" t="s">
        <v>26</v>
      </c>
      <c r="L4892" t="s">
        <v>44</v>
      </c>
      <c r="M4892">
        <v>8</v>
      </c>
      <c r="N4892" s="2"/>
      <c r="O4892" s="3">
        <v>7533</v>
      </c>
      <c r="P4892">
        <v>0</v>
      </c>
      <c r="Q4892">
        <v>4</v>
      </c>
      <c r="R4892" t="s">
        <v>33</v>
      </c>
      <c r="S4892">
        <v>1</v>
      </c>
    </row>
    <row r="4893" spans="1:19" ht="16.5" x14ac:dyDescent="0.3">
      <c r="A4893" t="s">
        <v>4956</v>
      </c>
      <c r="B4893" s="1">
        <v>45944</v>
      </c>
      <c r="C4893" s="1">
        <v>45946</v>
      </c>
      <c r="D4893">
        <v>2025</v>
      </c>
      <c r="E4893" t="s">
        <v>2026</v>
      </c>
      <c r="F4893" t="s">
        <v>2027</v>
      </c>
      <c r="G4893" t="s">
        <v>56</v>
      </c>
      <c r="H4893" t="s">
        <v>23</v>
      </c>
      <c r="I4893" t="s">
        <v>31</v>
      </c>
      <c r="J4893" t="s">
        <v>25</v>
      </c>
      <c r="K4893" t="s">
        <v>53</v>
      </c>
      <c r="L4893" t="s">
        <v>27</v>
      </c>
      <c r="M4893">
        <v>2</v>
      </c>
      <c r="N4893" s="2"/>
      <c r="O4893" s="3">
        <v>2357</v>
      </c>
      <c r="P4893">
        <v>1</v>
      </c>
      <c r="Q4893">
        <v>3</v>
      </c>
      <c r="R4893" t="s">
        <v>28</v>
      </c>
      <c r="S4893">
        <v>1</v>
      </c>
    </row>
    <row r="4894" spans="1:19" ht="16.5" x14ac:dyDescent="0.3">
      <c r="A4894" t="s">
        <v>4957</v>
      </c>
      <c r="B4894" s="1">
        <v>45944</v>
      </c>
      <c r="C4894" s="1">
        <v>45947</v>
      </c>
      <c r="D4894">
        <v>2025</v>
      </c>
      <c r="E4894" t="s">
        <v>2026</v>
      </c>
      <c r="F4894" t="s">
        <v>2027</v>
      </c>
      <c r="G4894" t="s">
        <v>56</v>
      </c>
      <c r="H4894" t="s">
        <v>30</v>
      </c>
      <c r="I4894" t="s">
        <v>40</v>
      </c>
      <c r="J4894" t="s">
        <v>43</v>
      </c>
      <c r="K4894" t="s">
        <v>53</v>
      </c>
      <c r="L4894" t="s">
        <v>44</v>
      </c>
      <c r="M4894">
        <v>3</v>
      </c>
      <c r="N4894" s="2"/>
      <c r="O4894" s="3">
        <v>3312</v>
      </c>
      <c r="P4894">
        <v>0</v>
      </c>
      <c r="Q4894">
        <v>5</v>
      </c>
      <c r="R4894" t="s">
        <v>33</v>
      </c>
      <c r="S4894">
        <v>1</v>
      </c>
    </row>
    <row r="4895" spans="1:19" ht="16.5" x14ac:dyDescent="0.3">
      <c r="A4895" t="s">
        <v>4958</v>
      </c>
      <c r="B4895" s="1">
        <v>45944</v>
      </c>
      <c r="C4895" s="1">
        <v>45951</v>
      </c>
      <c r="D4895">
        <v>2025</v>
      </c>
      <c r="E4895" t="s">
        <v>2026</v>
      </c>
      <c r="F4895" t="s">
        <v>2027</v>
      </c>
      <c r="G4895" t="s">
        <v>56</v>
      </c>
      <c r="H4895" t="s">
        <v>50</v>
      </c>
      <c r="I4895" t="s">
        <v>24</v>
      </c>
      <c r="J4895" t="s">
        <v>25</v>
      </c>
      <c r="K4895" t="s">
        <v>26</v>
      </c>
      <c r="L4895" t="s">
        <v>27</v>
      </c>
      <c r="M4895">
        <v>7</v>
      </c>
      <c r="N4895" s="2">
        <v>53</v>
      </c>
      <c r="O4895" s="3">
        <v>8819</v>
      </c>
      <c r="P4895">
        <v>0</v>
      </c>
      <c r="Q4895">
        <v>3</v>
      </c>
      <c r="R4895" t="s">
        <v>33</v>
      </c>
      <c r="S4895">
        <v>1</v>
      </c>
    </row>
    <row r="4896" spans="1:19" ht="16.5" x14ac:dyDescent="0.3">
      <c r="A4896" t="s">
        <v>4959</v>
      </c>
      <c r="B4896" s="1">
        <v>45944</v>
      </c>
      <c r="C4896" s="1">
        <v>45955</v>
      </c>
      <c r="D4896">
        <v>2025</v>
      </c>
      <c r="E4896" t="s">
        <v>2026</v>
      </c>
      <c r="F4896" t="s">
        <v>2027</v>
      </c>
      <c r="G4896" t="s">
        <v>56</v>
      </c>
      <c r="H4896" t="s">
        <v>23</v>
      </c>
      <c r="I4896" t="s">
        <v>24</v>
      </c>
      <c r="J4896" t="s">
        <v>25</v>
      </c>
      <c r="K4896" t="s">
        <v>53</v>
      </c>
      <c r="L4896" t="s">
        <v>44</v>
      </c>
      <c r="M4896">
        <v>11</v>
      </c>
      <c r="N4896" s="2">
        <v>50</v>
      </c>
      <c r="O4896" s="3">
        <v>7903</v>
      </c>
      <c r="P4896">
        <v>0</v>
      </c>
      <c r="Q4896">
        <v>5</v>
      </c>
      <c r="R4896" t="s">
        <v>28</v>
      </c>
      <c r="S4896">
        <v>1</v>
      </c>
    </row>
    <row r="4897" spans="1:19" ht="16.5" x14ac:dyDescent="0.3">
      <c r="A4897" t="s">
        <v>4960</v>
      </c>
      <c r="B4897" s="1">
        <v>45944</v>
      </c>
      <c r="C4897" s="1">
        <v>45946</v>
      </c>
      <c r="D4897">
        <v>2025</v>
      </c>
      <c r="E4897" t="s">
        <v>2026</v>
      </c>
      <c r="F4897" t="s">
        <v>2027</v>
      </c>
      <c r="G4897" t="s">
        <v>56</v>
      </c>
      <c r="H4897" t="s">
        <v>52</v>
      </c>
      <c r="I4897" t="s">
        <v>40</v>
      </c>
      <c r="J4897" t="s">
        <v>25</v>
      </c>
      <c r="K4897" t="s">
        <v>26</v>
      </c>
      <c r="L4897" t="s">
        <v>27</v>
      </c>
      <c r="M4897">
        <v>2</v>
      </c>
      <c r="N4897" s="2"/>
      <c r="O4897" s="3">
        <v>2682</v>
      </c>
      <c r="P4897">
        <v>0</v>
      </c>
      <c r="Q4897">
        <v>4</v>
      </c>
      <c r="R4897" t="s">
        <v>59</v>
      </c>
      <c r="S4897">
        <v>1</v>
      </c>
    </row>
    <row r="4898" spans="1:19" ht="16.5" x14ac:dyDescent="0.3">
      <c r="A4898" t="s">
        <v>4961</v>
      </c>
      <c r="B4898" s="1">
        <v>45944</v>
      </c>
      <c r="C4898" s="1">
        <v>45945</v>
      </c>
      <c r="D4898">
        <v>2025</v>
      </c>
      <c r="E4898" t="s">
        <v>2026</v>
      </c>
      <c r="F4898" t="s">
        <v>2027</v>
      </c>
      <c r="G4898" t="s">
        <v>56</v>
      </c>
      <c r="H4898" t="s">
        <v>39</v>
      </c>
      <c r="I4898" t="s">
        <v>40</v>
      </c>
      <c r="J4898" t="s">
        <v>25</v>
      </c>
      <c r="K4898" t="s">
        <v>41</v>
      </c>
      <c r="L4898" t="s">
        <v>44</v>
      </c>
      <c r="M4898">
        <v>1</v>
      </c>
      <c r="N4898" s="2"/>
      <c r="O4898" s="3">
        <v>1233</v>
      </c>
      <c r="P4898">
        <v>0</v>
      </c>
      <c r="Q4898">
        <v>4</v>
      </c>
      <c r="R4898" t="s">
        <v>33</v>
      </c>
      <c r="S4898">
        <v>1</v>
      </c>
    </row>
    <row r="4899" spans="1:19" ht="16.5" x14ac:dyDescent="0.3">
      <c r="A4899" t="s">
        <v>4962</v>
      </c>
      <c r="B4899" s="1">
        <v>45944</v>
      </c>
      <c r="C4899" s="1">
        <v>45945</v>
      </c>
      <c r="D4899">
        <v>2025</v>
      </c>
      <c r="E4899" t="s">
        <v>2026</v>
      </c>
      <c r="F4899" t="s">
        <v>2027</v>
      </c>
      <c r="G4899" t="s">
        <v>56</v>
      </c>
      <c r="H4899" t="s">
        <v>35</v>
      </c>
      <c r="I4899" t="s">
        <v>24</v>
      </c>
      <c r="J4899" t="s">
        <v>25</v>
      </c>
      <c r="K4899" t="s">
        <v>36</v>
      </c>
      <c r="L4899" t="s">
        <v>27</v>
      </c>
      <c r="M4899">
        <v>1</v>
      </c>
      <c r="N4899" s="2">
        <v>25</v>
      </c>
      <c r="O4899" s="3">
        <v>1189</v>
      </c>
      <c r="P4899">
        <v>0</v>
      </c>
      <c r="Q4899">
        <v>4</v>
      </c>
      <c r="R4899" t="s">
        <v>33</v>
      </c>
      <c r="S4899">
        <v>1</v>
      </c>
    </row>
    <row r="4900" spans="1:19" ht="16.5" x14ac:dyDescent="0.3">
      <c r="A4900" t="s">
        <v>4963</v>
      </c>
      <c r="B4900" s="1">
        <v>45944</v>
      </c>
      <c r="C4900" s="1">
        <v>45947</v>
      </c>
      <c r="D4900">
        <v>2025</v>
      </c>
      <c r="E4900" t="s">
        <v>2026</v>
      </c>
      <c r="F4900" t="s">
        <v>2027</v>
      </c>
      <c r="G4900" t="s">
        <v>56</v>
      </c>
      <c r="H4900" t="s">
        <v>39</v>
      </c>
      <c r="I4900" t="s">
        <v>24</v>
      </c>
      <c r="J4900" t="s">
        <v>25</v>
      </c>
      <c r="K4900" t="s">
        <v>41</v>
      </c>
      <c r="L4900" t="s">
        <v>27</v>
      </c>
      <c r="M4900">
        <v>3</v>
      </c>
      <c r="N4900" s="2">
        <v>86</v>
      </c>
      <c r="O4900" s="3">
        <v>2769</v>
      </c>
      <c r="P4900">
        <v>0</v>
      </c>
      <c r="Q4900">
        <v>4</v>
      </c>
      <c r="R4900" t="s">
        <v>59</v>
      </c>
      <c r="S4900">
        <v>1</v>
      </c>
    </row>
    <row r="4901" spans="1:19" ht="16.5" x14ac:dyDescent="0.3">
      <c r="A4901" t="s">
        <v>4964</v>
      </c>
      <c r="B4901" s="1">
        <v>45944</v>
      </c>
      <c r="C4901" s="1">
        <v>45946</v>
      </c>
      <c r="D4901">
        <v>2025</v>
      </c>
      <c r="E4901" t="s">
        <v>2026</v>
      </c>
      <c r="F4901" t="s">
        <v>2027</v>
      </c>
      <c r="G4901" t="s">
        <v>56</v>
      </c>
      <c r="H4901" t="s">
        <v>52</v>
      </c>
      <c r="I4901" t="s">
        <v>40</v>
      </c>
      <c r="J4901" t="s">
        <v>25</v>
      </c>
      <c r="K4901" t="s">
        <v>26</v>
      </c>
      <c r="L4901" t="s">
        <v>44</v>
      </c>
      <c r="M4901">
        <v>2</v>
      </c>
      <c r="N4901" s="2"/>
      <c r="O4901" s="3">
        <v>3145</v>
      </c>
      <c r="P4901">
        <v>0</v>
      </c>
      <c r="Q4901">
        <v>5</v>
      </c>
      <c r="R4901" t="s">
        <v>33</v>
      </c>
      <c r="S4901">
        <v>1</v>
      </c>
    </row>
    <row r="4902" spans="1:19" ht="16.5" x14ac:dyDescent="0.3">
      <c r="A4902" t="s">
        <v>4965</v>
      </c>
      <c r="B4902" s="1">
        <v>45944</v>
      </c>
      <c r="C4902" s="1">
        <v>45958</v>
      </c>
      <c r="D4902">
        <v>2025</v>
      </c>
      <c r="E4902" t="s">
        <v>2026</v>
      </c>
      <c r="F4902" t="s">
        <v>2027</v>
      </c>
      <c r="G4902" t="s">
        <v>56</v>
      </c>
      <c r="H4902" t="s">
        <v>23</v>
      </c>
      <c r="I4902" t="s">
        <v>24</v>
      </c>
      <c r="J4902" t="s">
        <v>43</v>
      </c>
      <c r="K4902" t="s">
        <v>53</v>
      </c>
      <c r="L4902" t="s">
        <v>44</v>
      </c>
      <c r="M4902">
        <v>14</v>
      </c>
      <c r="N4902" s="2">
        <v>74</v>
      </c>
      <c r="O4902" s="3">
        <v>11368</v>
      </c>
      <c r="P4902">
        <v>0</v>
      </c>
      <c r="Q4902">
        <v>4</v>
      </c>
      <c r="R4902" t="s">
        <v>165</v>
      </c>
      <c r="S4902">
        <v>1</v>
      </c>
    </row>
    <row r="4903" spans="1:19" ht="16.5" x14ac:dyDescent="0.3">
      <c r="A4903" t="s">
        <v>4966</v>
      </c>
      <c r="B4903" s="1">
        <v>45945</v>
      </c>
      <c r="C4903" s="1">
        <v>45949</v>
      </c>
      <c r="D4903">
        <v>2025</v>
      </c>
      <c r="E4903" t="s">
        <v>2026</v>
      </c>
      <c r="F4903" t="s">
        <v>2027</v>
      </c>
      <c r="G4903" t="s">
        <v>70</v>
      </c>
      <c r="H4903" t="s">
        <v>39</v>
      </c>
      <c r="I4903" t="s">
        <v>31</v>
      </c>
      <c r="J4903" t="s">
        <v>43</v>
      </c>
      <c r="K4903" t="s">
        <v>41</v>
      </c>
      <c r="L4903" t="s">
        <v>37</v>
      </c>
      <c r="M4903">
        <v>4</v>
      </c>
      <c r="N4903" s="2"/>
      <c r="O4903" s="3">
        <v>3341</v>
      </c>
      <c r="P4903">
        <v>0</v>
      </c>
      <c r="Q4903">
        <v>4</v>
      </c>
      <c r="R4903" t="s">
        <v>33</v>
      </c>
      <c r="S4903">
        <v>1</v>
      </c>
    </row>
    <row r="4904" spans="1:19" ht="16.5" x14ac:dyDescent="0.3">
      <c r="A4904" t="s">
        <v>4967</v>
      </c>
      <c r="B4904" s="1">
        <v>45945</v>
      </c>
      <c r="C4904" s="1">
        <v>45947</v>
      </c>
      <c r="D4904">
        <v>2025</v>
      </c>
      <c r="E4904" t="s">
        <v>2026</v>
      </c>
      <c r="F4904" t="s">
        <v>2027</v>
      </c>
      <c r="G4904" t="s">
        <v>70</v>
      </c>
      <c r="H4904" t="s">
        <v>50</v>
      </c>
      <c r="I4904" t="s">
        <v>31</v>
      </c>
      <c r="J4904" t="s">
        <v>25</v>
      </c>
      <c r="K4904" t="s">
        <v>26</v>
      </c>
      <c r="L4904" t="s">
        <v>27</v>
      </c>
      <c r="M4904">
        <v>2</v>
      </c>
      <c r="N4904" s="2"/>
      <c r="O4904" s="3">
        <v>2169</v>
      </c>
      <c r="P4904">
        <v>0</v>
      </c>
      <c r="Q4904">
        <v>4</v>
      </c>
      <c r="R4904" t="s">
        <v>33</v>
      </c>
      <c r="S4904">
        <v>1</v>
      </c>
    </row>
    <row r="4905" spans="1:19" ht="16.5" x14ac:dyDescent="0.3">
      <c r="A4905" t="s">
        <v>4968</v>
      </c>
      <c r="B4905" s="1">
        <v>45945</v>
      </c>
      <c r="C4905" s="1">
        <v>45946</v>
      </c>
      <c r="D4905">
        <v>2025</v>
      </c>
      <c r="E4905" t="s">
        <v>2026</v>
      </c>
      <c r="F4905" t="s">
        <v>2027</v>
      </c>
      <c r="G4905" t="s">
        <v>70</v>
      </c>
      <c r="H4905" t="s">
        <v>30</v>
      </c>
      <c r="I4905" t="s">
        <v>24</v>
      </c>
      <c r="J4905" t="s">
        <v>25</v>
      </c>
      <c r="K4905" t="s">
        <v>32</v>
      </c>
      <c r="L4905" t="s">
        <v>27</v>
      </c>
      <c r="M4905">
        <v>1</v>
      </c>
      <c r="N4905" s="2">
        <v>52</v>
      </c>
      <c r="O4905" s="3">
        <v>1553</v>
      </c>
      <c r="P4905">
        <v>0</v>
      </c>
      <c r="Q4905">
        <v>5</v>
      </c>
      <c r="R4905" t="s">
        <v>59</v>
      </c>
      <c r="S4905">
        <v>1</v>
      </c>
    </row>
    <row r="4906" spans="1:19" ht="16.5" x14ac:dyDescent="0.3">
      <c r="A4906" t="s">
        <v>4969</v>
      </c>
      <c r="B4906" s="1">
        <v>45945</v>
      </c>
      <c r="C4906" s="1">
        <v>45954</v>
      </c>
      <c r="D4906">
        <v>2025</v>
      </c>
      <c r="E4906" t="s">
        <v>2026</v>
      </c>
      <c r="F4906" t="s">
        <v>2027</v>
      </c>
      <c r="G4906" t="s">
        <v>70</v>
      </c>
      <c r="H4906" t="s">
        <v>23</v>
      </c>
      <c r="I4906" t="s">
        <v>31</v>
      </c>
      <c r="J4906" t="s">
        <v>25</v>
      </c>
      <c r="K4906" t="s">
        <v>26</v>
      </c>
      <c r="L4906" t="s">
        <v>37</v>
      </c>
      <c r="M4906">
        <v>9</v>
      </c>
      <c r="N4906" s="2"/>
      <c r="O4906" s="3">
        <v>4292</v>
      </c>
      <c r="P4906">
        <v>0</v>
      </c>
      <c r="Q4906">
        <v>5</v>
      </c>
      <c r="R4906" t="s">
        <v>33</v>
      </c>
      <c r="S4906">
        <v>1</v>
      </c>
    </row>
    <row r="4907" spans="1:19" ht="16.5" x14ac:dyDescent="0.3">
      <c r="A4907" t="s">
        <v>4970</v>
      </c>
      <c r="B4907" s="1">
        <v>45945</v>
      </c>
      <c r="C4907" s="1">
        <v>45948</v>
      </c>
      <c r="D4907">
        <v>2025</v>
      </c>
      <c r="E4907" t="s">
        <v>2026</v>
      </c>
      <c r="F4907" t="s">
        <v>2027</v>
      </c>
      <c r="G4907" t="s">
        <v>70</v>
      </c>
      <c r="H4907" t="s">
        <v>30</v>
      </c>
      <c r="I4907" t="s">
        <v>40</v>
      </c>
      <c r="J4907" t="s">
        <v>43</v>
      </c>
      <c r="K4907" t="s">
        <v>53</v>
      </c>
      <c r="L4907" t="s">
        <v>44</v>
      </c>
      <c r="M4907">
        <v>3</v>
      </c>
      <c r="N4907" s="2"/>
      <c r="O4907" s="3">
        <v>3564</v>
      </c>
      <c r="P4907">
        <v>0</v>
      </c>
      <c r="Q4907">
        <v>4</v>
      </c>
      <c r="R4907" t="s">
        <v>28</v>
      </c>
      <c r="S4907">
        <v>1</v>
      </c>
    </row>
    <row r="4908" spans="1:19" ht="16.5" x14ac:dyDescent="0.3">
      <c r="A4908" t="s">
        <v>4971</v>
      </c>
      <c r="B4908" s="1">
        <v>45945</v>
      </c>
      <c r="C4908" s="1">
        <v>45948</v>
      </c>
      <c r="D4908">
        <v>2025</v>
      </c>
      <c r="E4908" t="s">
        <v>2026</v>
      </c>
      <c r="F4908" t="s">
        <v>2027</v>
      </c>
      <c r="G4908" t="s">
        <v>70</v>
      </c>
      <c r="H4908" t="s">
        <v>23</v>
      </c>
      <c r="I4908" t="s">
        <v>24</v>
      </c>
      <c r="J4908" t="s">
        <v>25</v>
      </c>
      <c r="K4908" t="s">
        <v>53</v>
      </c>
      <c r="L4908" t="s">
        <v>27</v>
      </c>
      <c r="M4908">
        <v>3</v>
      </c>
      <c r="N4908" s="2">
        <v>50</v>
      </c>
      <c r="O4908" s="3">
        <v>2304</v>
      </c>
      <c r="P4908">
        <v>0</v>
      </c>
      <c r="Q4908">
        <v>4</v>
      </c>
      <c r="R4908" t="s">
        <v>28</v>
      </c>
      <c r="S4908">
        <v>1</v>
      </c>
    </row>
    <row r="4909" spans="1:19" ht="16.5" x14ac:dyDescent="0.3">
      <c r="A4909" t="s">
        <v>4972</v>
      </c>
      <c r="B4909" s="1">
        <v>45945</v>
      </c>
      <c r="C4909" s="1">
        <v>45958</v>
      </c>
      <c r="D4909">
        <v>2025</v>
      </c>
      <c r="E4909" t="s">
        <v>2026</v>
      </c>
      <c r="F4909" t="s">
        <v>2027</v>
      </c>
      <c r="G4909" t="s">
        <v>70</v>
      </c>
      <c r="H4909" t="s">
        <v>50</v>
      </c>
      <c r="I4909" t="s">
        <v>24</v>
      </c>
      <c r="J4909" t="s">
        <v>25</v>
      </c>
      <c r="K4909" t="s">
        <v>26</v>
      </c>
      <c r="L4909" t="s">
        <v>44</v>
      </c>
      <c r="M4909">
        <v>13</v>
      </c>
      <c r="N4909" s="2">
        <v>42</v>
      </c>
      <c r="O4909" s="3">
        <v>13154</v>
      </c>
      <c r="P4909">
        <v>0</v>
      </c>
      <c r="Q4909">
        <v>4</v>
      </c>
      <c r="R4909" t="s">
        <v>33</v>
      </c>
      <c r="S4909">
        <v>1</v>
      </c>
    </row>
    <row r="4910" spans="1:19" ht="16.5" x14ac:dyDescent="0.3">
      <c r="A4910" t="s">
        <v>4973</v>
      </c>
      <c r="B4910" s="1">
        <v>45946</v>
      </c>
      <c r="C4910" s="1">
        <v>45947</v>
      </c>
      <c r="D4910">
        <v>2025</v>
      </c>
      <c r="E4910" t="s">
        <v>2026</v>
      </c>
      <c r="F4910" t="s">
        <v>2027</v>
      </c>
      <c r="G4910" t="s">
        <v>78</v>
      </c>
      <c r="H4910" t="s">
        <v>39</v>
      </c>
      <c r="I4910" t="s">
        <v>24</v>
      </c>
      <c r="J4910" t="s">
        <v>25</v>
      </c>
      <c r="K4910" t="s">
        <v>41</v>
      </c>
      <c r="L4910" t="s">
        <v>44</v>
      </c>
      <c r="M4910">
        <v>1</v>
      </c>
      <c r="N4910" s="2">
        <v>24</v>
      </c>
      <c r="O4910" s="3">
        <v>1523</v>
      </c>
      <c r="P4910">
        <v>0</v>
      </c>
      <c r="Q4910">
        <v>5</v>
      </c>
      <c r="R4910" t="s">
        <v>33</v>
      </c>
      <c r="S4910">
        <v>1</v>
      </c>
    </row>
    <row r="4911" spans="1:19" ht="16.5" x14ac:dyDescent="0.3">
      <c r="A4911" t="s">
        <v>4974</v>
      </c>
      <c r="B4911" s="1">
        <v>45946</v>
      </c>
      <c r="C4911" s="1">
        <v>45949</v>
      </c>
      <c r="D4911">
        <v>2025</v>
      </c>
      <c r="E4911" t="s">
        <v>2026</v>
      </c>
      <c r="F4911" t="s">
        <v>2027</v>
      </c>
      <c r="G4911" t="s">
        <v>78</v>
      </c>
      <c r="H4911" t="s">
        <v>35</v>
      </c>
      <c r="I4911" t="s">
        <v>40</v>
      </c>
      <c r="J4911" t="s">
        <v>25</v>
      </c>
      <c r="K4911" t="s">
        <v>32</v>
      </c>
      <c r="L4911" t="s">
        <v>27</v>
      </c>
      <c r="M4911">
        <v>3</v>
      </c>
      <c r="N4911" s="2"/>
      <c r="O4911" s="3">
        <v>3102</v>
      </c>
      <c r="P4911">
        <v>0</v>
      </c>
      <c r="Q4911">
        <v>5</v>
      </c>
      <c r="R4911" t="s">
        <v>28</v>
      </c>
      <c r="S4911">
        <v>1</v>
      </c>
    </row>
    <row r="4912" spans="1:19" ht="16.5" x14ac:dyDescent="0.3">
      <c r="A4912" t="s">
        <v>4975</v>
      </c>
      <c r="B4912" s="1">
        <v>45946</v>
      </c>
      <c r="C4912" s="1">
        <v>45947</v>
      </c>
      <c r="D4912">
        <v>2025</v>
      </c>
      <c r="E4912" t="s">
        <v>2026</v>
      </c>
      <c r="F4912" t="s">
        <v>2027</v>
      </c>
      <c r="G4912" t="s">
        <v>78</v>
      </c>
      <c r="H4912" t="s">
        <v>35</v>
      </c>
      <c r="I4912" t="s">
        <v>24</v>
      </c>
      <c r="J4912" t="s">
        <v>25</v>
      </c>
      <c r="K4912" t="s">
        <v>32</v>
      </c>
      <c r="L4912" t="s">
        <v>27</v>
      </c>
      <c r="M4912">
        <v>1</v>
      </c>
      <c r="N4912" s="2">
        <v>68</v>
      </c>
      <c r="O4912" s="3">
        <v>1065</v>
      </c>
      <c r="P4912">
        <v>0</v>
      </c>
      <c r="Q4912">
        <v>3</v>
      </c>
      <c r="R4912" t="s">
        <v>28</v>
      </c>
      <c r="S4912">
        <v>1</v>
      </c>
    </row>
    <row r="4913" spans="1:19" ht="16.5" x14ac:dyDescent="0.3">
      <c r="A4913" t="s">
        <v>4976</v>
      </c>
      <c r="B4913" s="1">
        <v>45946</v>
      </c>
      <c r="C4913" s="1">
        <v>45949</v>
      </c>
      <c r="D4913">
        <v>2025</v>
      </c>
      <c r="E4913" t="s">
        <v>2026</v>
      </c>
      <c r="F4913" t="s">
        <v>2027</v>
      </c>
      <c r="G4913" t="s">
        <v>78</v>
      </c>
      <c r="H4913" t="s">
        <v>23</v>
      </c>
      <c r="I4913" t="s">
        <v>40</v>
      </c>
      <c r="J4913" t="s">
        <v>25</v>
      </c>
      <c r="K4913" t="s">
        <v>53</v>
      </c>
      <c r="L4913" t="s">
        <v>44</v>
      </c>
      <c r="M4913">
        <v>3</v>
      </c>
      <c r="N4913" s="2"/>
      <c r="O4913" s="3">
        <v>3080</v>
      </c>
      <c r="P4913">
        <v>1</v>
      </c>
      <c r="Q4913">
        <v>3</v>
      </c>
      <c r="R4913" t="s">
        <v>33</v>
      </c>
      <c r="S4913">
        <v>1</v>
      </c>
    </row>
    <row r="4914" spans="1:19" ht="16.5" x14ac:dyDescent="0.3">
      <c r="A4914" t="s">
        <v>4977</v>
      </c>
      <c r="B4914" s="1">
        <v>45946</v>
      </c>
      <c r="C4914" s="1">
        <v>45948</v>
      </c>
      <c r="D4914">
        <v>2025</v>
      </c>
      <c r="E4914" t="s">
        <v>2026</v>
      </c>
      <c r="F4914" t="s">
        <v>2027</v>
      </c>
      <c r="G4914" t="s">
        <v>78</v>
      </c>
      <c r="H4914" t="s">
        <v>39</v>
      </c>
      <c r="I4914" t="s">
        <v>24</v>
      </c>
      <c r="J4914" t="s">
        <v>25</v>
      </c>
      <c r="K4914" t="s">
        <v>41</v>
      </c>
      <c r="L4914" t="s">
        <v>44</v>
      </c>
      <c r="M4914">
        <v>2</v>
      </c>
      <c r="N4914" s="2">
        <v>35</v>
      </c>
      <c r="O4914" s="3">
        <v>2040</v>
      </c>
      <c r="P4914">
        <v>0</v>
      </c>
      <c r="Q4914">
        <v>4</v>
      </c>
      <c r="R4914" t="s">
        <v>28</v>
      </c>
      <c r="S4914">
        <v>1</v>
      </c>
    </row>
    <row r="4915" spans="1:19" ht="16.5" x14ac:dyDescent="0.3">
      <c r="A4915" t="s">
        <v>4978</v>
      </c>
      <c r="B4915" s="1">
        <v>45946</v>
      </c>
      <c r="C4915" s="1">
        <v>45949</v>
      </c>
      <c r="D4915">
        <v>2025</v>
      </c>
      <c r="E4915" t="s">
        <v>2026</v>
      </c>
      <c r="F4915" t="s">
        <v>2027</v>
      </c>
      <c r="G4915" t="s">
        <v>78</v>
      </c>
      <c r="H4915" t="s">
        <v>50</v>
      </c>
      <c r="I4915" t="s">
        <v>24</v>
      </c>
      <c r="J4915" t="s">
        <v>25</v>
      </c>
      <c r="K4915" t="s">
        <v>26</v>
      </c>
      <c r="L4915" t="s">
        <v>27</v>
      </c>
      <c r="M4915">
        <v>3</v>
      </c>
      <c r="N4915" s="2">
        <v>17</v>
      </c>
      <c r="O4915" s="3">
        <v>5622</v>
      </c>
      <c r="P4915">
        <v>0</v>
      </c>
      <c r="Q4915">
        <v>5</v>
      </c>
      <c r="R4915" t="s">
        <v>165</v>
      </c>
      <c r="S4915">
        <v>1</v>
      </c>
    </row>
    <row r="4916" spans="1:19" ht="16.5" x14ac:dyDescent="0.3">
      <c r="A4916" t="s">
        <v>4979</v>
      </c>
      <c r="B4916" s="1">
        <v>45946</v>
      </c>
      <c r="C4916" s="1">
        <v>45952</v>
      </c>
      <c r="D4916">
        <v>2025</v>
      </c>
      <c r="E4916" t="s">
        <v>2026</v>
      </c>
      <c r="F4916" t="s">
        <v>2027</v>
      </c>
      <c r="G4916" t="s">
        <v>78</v>
      </c>
      <c r="H4916" t="s">
        <v>23</v>
      </c>
      <c r="I4916" t="s">
        <v>24</v>
      </c>
      <c r="J4916" t="s">
        <v>25</v>
      </c>
      <c r="K4916" t="s">
        <v>26</v>
      </c>
      <c r="L4916" t="s">
        <v>44</v>
      </c>
      <c r="M4916">
        <v>6</v>
      </c>
      <c r="N4916" s="2">
        <v>43</v>
      </c>
      <c r="O4916" s="3">
        <v>3608</v>
      </c>
      <c r="P4916">
        <v>1</v>
      </c>
      <c r="Q4916">
        <v>5</v>
      </c>
      <c r="R4916" t="s">
        <v>28</v>
      </c>
      <c r="S4916">
        <v>1</v>
      </c>
    </row>
    <row r="4917" spans="1:19" ht="16.5" x14ac:dyDescent="0.3">
      <c r="A4917" t="s">
        <v>4980</v>
      </c>
      <c r="B4917" s="1">
        <v>45947</v>
      </c>
      <c r="C4917" s="1">
        <v>45952</v>
      </c>
      <c r="D4917">
        <v>2025</v>
      </c>
      <c r="E4917" t="s">
        <v>2026</v>
      </c>
      <c r="F4917" t="s">
        <v>2027</v>
      </c>
      <c r="G4917" t="s">
        <v>83</v>
      </c>
      <c r="H4917" t="s">
        <v>23</v>
      </c>
      <c r="I4917" t="s">
        <v>24</v>
      </c>
      <c r="J4917" t="s">
        <v>43</v>
      </c>
      <c r="K4917" t="s">
        <v>53</v>
      </c>
      <c r="L4917" t="s">
        <v>44</v>
      </c>
      <c r="M4917">
        <v>5</v>
      </c>
      <c r="N4917" s="2">
        <v>23</v>
      </c>
      <c r="O4917" s="3">
        <v>3173</v>
      </c>
      <c r="P4917">
        <v>0</v>
      </c>
      <c r="Q4917">
        <v>4</v>
      </c>
      <c r="R4917" t="s">
        <v>28</v>
      </c>
      <c r="S4917">
        <v>1</v>
      </c>
    </row>
    <row r="4918" spans="1:19" ht="16.5" x14ac:dyDescent="0.3">
      <c r="A4918" t="s">
        <v>4981</v>
      </c>
      <c r="B4918" s="1">
        <v>45947</v>
      </c>
      <c r="C4918" s="1">
        <v>45957</v>
      </c>
      <c r="D4918">
        <v>2025</v>
      </c>
      <c r="E4918" t="s">
        <v>2026</v>
      </c>
      <c r="F4918" t="s">
        <v>2027</v>
      </c>
      <c r="G4918" t="s">
        <v>83</v>
      </c>
      <c r="H4918" t="s">
        <v>23</v>
      </c>
      <c r="I4918" t="s">
        <v>24</v>
      </c>
      <c r="J4918" t="s">
        <v>25</v>
      </c>
      <c r="K4918" t="s">
        <v>53</v>
      </c>
      <c r="L4918" t="s">
        <v>27</v>
      </c>
      <c r="M4918">
        <v>10</v>
      </c>
      <c r="N4918" s="2">
        <v>53</v>
      </c>
      <c r="O4918" s="3">
        <v>7070</v>
      </c>
      <c r="P4918">
        <v>0</v>
      </c>
      <c r="Q4918">
        <v>4</v>
      </c>
      <c r="R4918" t="s">
        <v>28</v>
      </c>
      <c r="S4918">
        <v>1</v>
      </c>
    </row>
    <row r="4919" spans="1:19" ht="16.5" x14ac:dyDescent="0.3">
      <c r="A4919" t="s">
        <v>4982</v>
      </c>
      <c r="B4919" s="1">
        <v>45947</v>
      </c>
      <c r="C4919" s="1">
        <v>45948</v>
      </c>
      <c r="D4919">
        <v>2025</v>
      </c>
      <c r="E4919" t="s">
        <v>2026</v>
      </c>
      <c r="F4919" t="s">
        <v>2027</v>
      </c>
      <c r="G4919" t="s">
        <v>83</v>
      </c>
      <c r="H4919" t="s">
        <v>52</v>
      </c>
      <c r="I4919" t="s">
        <v>40</v>
      </c>
      <c r="J4919" t="s">
        <v>25</v>
      </c>
      <c r="K4919" t="s">
        <v>36</v>
      </c>
      <c r="L4919" t="s">
        <v>27</v>
      </c>
      <c r="M4919">
        <v>1</v>
      </c>
      <c r="N4919" s="2"/>
      <c r="O4919" s="3">
        <v>2098</v>
      </c>
      <c r="P4919">
        <v>0</v>
      </c>
      <c r="Q4919">
        <v>5</v>
      </c>
      <c r="R4919" t="s">
        <v>28</v>
      </c>
      <c r="S4919">
        <v>1</v>
      </c>
    </row>
    <row r="4920" spans="1:19" ht="16.5" x14ac:dyDescent="0.3">
      <c r="A4920" t="s">
        <v>4983</v>
      </c>
      <c r="B4920" s="1">
        <v>45947</v>
      </c>
      <c r="C4920" s="1">
        <v>45949</v>
      </c>
      <c r="D4920">
        <v>2025</v>
      </c>
      <c r="E4920" t="s">
        <v>2026</v>
      </c>
      <c r="F4920" t="s">
        <v>2027</v>
      </c>
      <c r="G4920" t="s">
        <v>83</v>
      </c>
      <c r="H4920" t="s">
        <v>35</v>
      </c>
      <c r="I4920" t="s">
        <v>24</v>
      </c>
      <c r="J4920" t="s">
        <v>25</v>
      </c>
      <c r="K4920" t="s">
        <v>32</v>
      </c>
      <c r="L4920" t="s">
        <v>37</v>
      </c>
      <c r="M4920">
        <v>2</v>
      </c>
      <c r="N4920" s="2">
        <v>55</v>
      </c>
      <c r="O4920" s="3">
        <v>2229</v>
      </c>
      <c r="P4920">
        <v>0</v>
      </c>
      <c r="Q4920">
        <v>4</v>
      </c>
      <c r="R4920" t="s">
        <v>28</v>
      </c>
      <c r="S4920">
        <v>1</v>
      </c>
    </row>
    <row r="4921" spans="1:19" ht="16.5" x14ac:dyDescent="0.3">
      <c r="A4921" t="s">
        <v>4984</v>
      </c>
      <c r="B4921" s="1">
        <v>45947</v>
      </c>
      <c r="C4921" s="1">
        <v>45956</v>
      </c>
      <c r="D4921">
        <v>2025</v>
      </c>
      <c r="E4921" t="s">
        <v>2026</v>
      </c>
      <c r="F4921" t="s">
        <v>2027</v>
      </c>
      <c r="G4921" t="s">
        <v>83</v>
      </c>
      <c r="H4921" t="s">
        <v>35</v>
      </c>
      <c r="I4921" t="s">
        <v>24</v>
      </c>
      <c r="J4921" t="s">
        <v>25</v>
      </c>
      <c r="K4921" t="s">
        <v>36</v>
      </c>
      <c r="L4921" t="s">
        <v>27</v>
      </c>
      <c r="M4921">
        <v>9</v>
      </c>
      <c r="N4921" s="2">
        <v>83</v>
      </c>
      <c r="O4921" s="3">
        <v>7292</v>
      </c>
      <c r="P4921">
        <v>0</v>
      </c>
      <c r="Q4921">
        <v>4</v>
      </c>
      <c r="R4921" t="s">
        <v>28</v>
      </c>
      <c r="S4921">
        <v>1</v>
      </c>
    </row>
    <row r="4922" spans="1:19" ht="16.5" x14ac:dyDescent="0.3">
      <c r="A4922" t="s">
        <v>4985</v>
      </c>
      <c r="B4922" s="1">
        <v>45947</v>
      </c>
      <c r="C4922" s="1">
        <v>45952</v>
      </c>
      <c r="D4922">
        <v>2025</v>
      </c>
      <c r="E4922" t="s">
        <v>2026</v>
      </c>
      <c r="F4922" t="s">
        <v>2027</v>
      </c>
      <c r="G4922" t="s">
        <v>83</v>
      </c>
      <c r="H4922" t="s">
        <v>50</v>
      </c>
      <c r="I4922" t="s">
        <v>24</v>
      </c>
      <c r="J4922" t="s">
        <v>43</v>
      </c>
      <c r="K4922" t="s">
        <v>32</v>
      </c>
      <c r="L4922" t="s">
        <v>27</v>
      </c>
      <c r="M4922">
        <v>5</v>
      </c>
      <c r="N4922" s="2">
        <v>211</v>
      </c>
      <c r="O4922" s="3">
        <v>8029</v>
      </c>
      <c r="P4922">
        <v>0</v>
      </c>
      <c r="Q4922">
        <v>3</v>
      </c>
      <c r="R4922" t="s">
        <v>33</v>
      </c>
      <c r="S4922">
        <v>1</v>
      </c>
    </row>
    <row r="4923" spans="1:19" ht="16.5" x14ac:dyDescent="0.3">
      <c r="A4923" t="s">
        <v>4986</v>
      </c>
      <c r="B4923" s="1">
        <v>45947</v>
      </c>
      <c r="C4923" s="1">
        <v>45952</v>
      </c>
      <c r="D4923">
        <v>2025</v>
      </c>
      <c r="E4923" t="s">
        <v>2026</v>
      </c>
      <c r="F4923" t="s">
        <v>2027</v>
      </c>
      <c r="G4923" t="s">
        <v>83</v>
      </c>
      <c r="H4923" t="s">
        <v>50</v>
      </c>
      <c r="I4923" t="s">
        <v>24</v>
      </c>
      <c r="J4923" t="s">
        <v>43</v>
      </c>
      <c r="K4923" t="s">
        <v>32</v>
      </c>
      <c r="L4923" t="s">
        <v>44</v>
      </c>
      <c r="M4923">
        <v>5</v>
      </c>
      <c r="N4923" s="2">
        <v>115</v>
      </c>
      <c r="O4923" s="3">
        <v>6151</v>
      </c>
      <c r="P4923">
        <v>0</v>
      </c>
      <c r="Q4923">
        <v>3</v>
      </c>
      <c r="R4923" t="s">
        <v>28</v>
      </c>
      <c r="S4923">
        <v>1</v>
      </c>
    </row>
    <row r="4924" spans="1:19" ht="16.5" x14ac:dyDescent="0.3">
      <c r="A4924" t="s">
        <v>4987</v>
      </c>
      <c r="B4924" s="1">
        <v>45947</v>
      </c>
      <c r="C4924" s="1">
        <v>45950</v>
      </c>
      <c r="D4924">
        <v>2025</v>
      </c>
      <c r="E4924" t="s">
        <v>2026</v>
      </c>
      <c r="F4924" t="s">
        <v>2027</v>
      </c>
      <c r="G4924" t="s">
        <v>83</v>
      </c>
      <c r="H4924" t="s">
        <v>39</v>
      </c>
      <c r="I4924" t="s">
        <v>24</v>
      </c>
      <c r="J4924" t="s">
        <v>43</v>
      </c>
      <c r="K4924" t="s">
        <v>41</v>
      </c>
      <c r="L4924" t="s">
        <v>44</v>
      </c>
      <c r="M4924">
        <v>3</v>
      </c>
      <c r="N4924" s="2">
        <v>25</v>
      </c>
      <c r="O4924" s="3">
        <v>2442</v>
      </c>
      <c r="P4924">
        <v>0</v>
      </c>
      <c r="Q4924">
        <v>3</v>
      </c>
      <c r="R4924" t="s">
        <v>33</v>
      </c>
      <c r="S4924">
        <v>1</v>
      </c>
    </row>
    <row r="4925" spans="1:19" ht="16.5" x14ac:dyDescent="0.3">
      <c r="A4925" t="s">
        <v>4988</v>
      </c>
      <c r="B4925" s="1">
        <v>45948</v>
      </c>
      <c r="C4925" s="1">
        <v>45950</v>
      </c>
      <c r="D4925">
        <v>2025</v>
      </c>
      <c r="E4925" t="s">
        <v>2026</v>
      </c>
      <c r="F4925" t="s">
        <v>2027</v>
      </c>
      <c r="G4925" t="s">
        <v>102</v>
      </c>
      <c r="H4925" t="s">
        <v>23</v>
      </c>
      <c r="I4925" t="s">
        <v>24</v>
      </c>
      <c r="J4925" t="s">
        <v>43</v>
      </c>
      <c r="K4925" t="s">
        <v>26</v>
      </c>
      <c r="L4925" t="s">
        <v>44</v>
      </c>
      <c r="M4925">
        <v>2</v>
      </c>
      <c r="N4925" s="2">
        <v>36</v>
      </c>
      <c r="O4925" s="3">
        <v>2179</v>
      </c>
      <c r="P4925">
        <v>1</v>
      </c>
      <c r="Q4925">
        <v>4</v>
      </c>
      <c r="R4925" t="s">
        <v>33</v>
      </c>
      <c r="S4925">
        <v>1</v>
      </c>
    </row>
    <row r="4926" spans="1:19" ht="16.5" x14ac:dyDescent="0.3">
      <c r="A4926" t="s">
        <v>4989</v>
      </c>
      <c r="B4926" s="1">
        <v>45948</v>
      </c>
      <c r="C4926" s="1">
        <v>45952</v>
      </c>
      <c r="D4926">
        <v>2025</v>
      </c>
      <c r="E4926" t="s">
        <v>2026</v>
      </c>
      <c r="F4926" t="s">
        <v>2027</v>
      </c>
      <c r="G4926" t="s">
        <v>102</v>
      </c>
      <c r="H4926" t="s">
        <v>52</v>
      </c>
      <c r="I4926" t="s">
        <v>24</v>
      </c>
      <c r="J4926" t="s">
        <v>25</v>
      </c>
      <c r="K4926" t="s">
        <v>32</v>
      </c>
      <c r="L4926" t="s">
        <v>27</v>
      </c>
      <c r="M4926">
        <v>4</v>
      </c>
      <c r="N4926" s="2">
        <v>116</v>
      </c>
      <c r="O4926" s="3">
        <v>3266</v>
      </c>
      <c r="P4926">
        <v>0</v>
      </c>
      <c r="Q4926">
        <v>3</v>
      </c>
      <c r="R4926" t="s">
        <v>33</v>
      </c>
      <c r="S4926">
        <v>1</v>
      </c>
    </row>
    <row r="4927" spans="1:19" ht="16.5" x14ac:dyDescent="0.3">
      <c r="A4927" t="s">
        <v>4990</v>
      </c>
      <c r="B4927" s="1">
        <v>45948</v>
      </c>
      <c r="C4927" s="1">
        <v>45951</v>
      </c>
      <c r="D4927">
        <v>2025</v>
      </c>
      <c r="E4927" t="s">
        <v>2026</v>
      </c>
      <c r="F4927" t="s">
        <v>2027</v>
      </c>
      <c r="G4927" t="s">
        <v>102</v>
      </c>
      <c r="H4927" t="s">
        <v>39</v>
      </c>
      <c r="I4927" t="s">
        <v>40</v>
      </c>
      <c r="J4927" t="s">
        <v>25</v>
      </c>
      <c r="K4927" t="s">
        <v>41</v>
      </c>
      <c r="L4927" t="s">
        <v>44</v>
      </c>
      <c r="M4927">
        <v>3</v>
      </c>
      <c r="N4927" s="2"/>
      <c r="O4927" s="3">
        <v>1697</v>
      </c>
      <c r="P4927">
        <v>0</v>
      </c>
      <c r="Q4927">
        <v>4</v>
      </c>
      <c r="R4927" t="s">
        <v>33</v>
      </c>
      <c r="S4927">
        <v>1</v>
      </c>
    </row>
    <row r="4928" spans="1:19" ht="16.5" x14ac:dyDescent="0.3">
      <c r="A4928" t="s">
        <v>4991</v>
      </c>
      <c r="B4928" s="1">
        <v>45948</v>
      </c>
      <c r="C4928" s="1">
        <v>45950</v>
      </c>
      <c r="D4928">
        <v>2025</v>
      </c>
      <c r="E4928" t="s">
        <v>2026</v>
      </c>
      <c r="F4928" t="s">
        <v>2027</v>
      </c>
      <c r="G4928" t="s">
        <v>102</v>
      </c>
      <c r="H4928" t="s">
        <v>52</v>
      </c>
      <c r="I4928" t="s">
        <v>40</v>
      </c>
      <c r="J4928" t="s">
        <v>25</v>
      </c>
      <c r="K4928" t="s">
        <v>26</v>
      </c>
      <c r="L4928" t="s">
        <v>27</v>
      </c>
      <c r="M4928">
        <v>2</v>
      </c>
      <c r="N4928" s="2"/>
      <c r="O4928" s="3">
        <v>2678</v>
      </c>
      <c r="P4928">
        <v>0</v>
      </c>
      <c r="Q4928">
        <v>5</v>
      </c>
      <c r="R4928" t="s">
        <v>33</v>
      </c>
      <c r="S4928">
        <v>1</v>
      </c>
    </row>
    <row r="4929" spans="1:19" ht="16.5" x14ac:dyDescent="0.3">
      <c r="A4929" t="s">
        <v>4992</v>
      </c>
      <c r="B4929" s="1">
        <v>45948</v>
      </c>
      <c r="C4929" s="1">
        <v>45949</v>
      </c>
      <c r="D4929">
        <v>2025</v>
      </c>
      <c r="E4929" t="s">
        <v>2026</v>
      </c>
      <c r="F4929" t="s">
        <v>2027</v>
      </c>
      <c r="G4929" t="s">
        <v>102</v>
      </c>
      <c r="H4929" t="s">
        <v>35</v>
      </c>
      <c r="I4929" t="s">
        <v>40</v>
      </c>
      <c r="J4929" t="s">
        <v>25</v>
      </c>
      <c r="K4929" t="s">
        <v>36</v>
      </c>
      <c r="L4929" t="s">
        <v>27</v>
      </c>
      <c r="M4929">
        <v>1</v>
      </c>
      <c r="N4929" s="2"/>
      <c r="O4929" s="3">
        <v>1697</v>
      </c>
      <c r="P4929">
        <v>0</v>
      </c>
      <c r="Q4929">
        <v>5</v>
      </c>
      <c r="R4929" t="s">
        <v>28</v>
      </c>
      <c r="S4929">
        <v>1</v>
      </c>
    </row>
    <row r="4930" spans="1:19" ht="16.5" x14ac:dyDescent="0.3">
      <c r="A4930" t="s">
        <v>4993</v>
      </c>
      <c r="B4930" s="1">
        <v>45948</v>
      </c>
      <c r="C4930" s="1">
        <v>45950</v>
      </c>
      <c r="D4930">
        <v>2025</v>
      </c>
      <c r="E4930" t="s">
        <v>2026</v>
      </c>
      <c r="F4930" t="s">
        <v>2027</v>
      </c>
      <c r="G4930" t="s">
        <v>102</v>
      </c>
      <c r="H4930" t="s">
        <v>39</v>
      </c>
      <c r="I4930" t="s">
        <v>24</v>
      </c>
      <c r="J4930" t="s">
        <v>25</v>
      </c>
      <c r="K4930" t="s">
        <v>41</v>
      </c>
      <c r="L4930" t="s">
        <v>44</v>
      </c>
      <c r="M4930">
        <v>2</v>
      </c>
      <c r="N4930" s="2">
        <v>62</v>
      </c>
      <c r="O4930" s="3">
        <v>1963</v>
      </c>
      <c r="P4930">
        <v>0</v>
      </c>
      <c r="Q4930">
        <v>4</v>
      </c>
      <c r="R4930" t="s">
        <v>28</v>
      </c>
      <c r="S4930">
        <v>1</v>
      </c>
    </row>
    <row r="4931" spans="1:19" ht="16.5" x14ac:dyDescent="0.3">
      <c r="A4931" t="s">
        <v>4994</v>
      </c>
      <c r="B4931" s="1">
        <v>45948</v>
      </c>
      <c r="C4931" s="1">
        <v>45954</v>
      </c>
      <c r="D4931">
        <v>2025</v>
      </c>
      <c r="E4931" t="s">
        <v>2026</v>
      </c>
      <c r="F4931" t="s">
        <v>2027</v>
      </c>
      <c r="G4931" t="s">
        <v>102</v>
      </c>
      <c r="H4931" t="s">
        <v>50</v>
      </c>
      <c r="I4931" t="s">
        <v>31</v>
      </c>
      <c r="J4931" t="s">
        <v>25</v>
      </c>
      <c r="K4931" t="s">
        <v>26</v>
      </c>
      <c r="L4931" t="s">
        <v>27</v>
      </c>
      <c r="M4931">
        <v>6</v>
      </c>
      <c r="N4931" s="2"/>
      <c r="O4931" s="3">
        <v>8278</v>
      </c>
      <c r="P4931">
        <v>0</v>
      </c>
      <c r="Q4931">
        <v>5</v>
      </c>
      <c r="R4931" t="s">
        <v>33</v>
      </c>
      <c r="S4931">
        <v>1</v>
      </c>
    </row>
    <row r="4932" spans="1:19" ht="16.5" x14ac:dyDescent="0.3">
      <c r="A4932" t="s">
        <v>4995</v>
      </c>
      <c r="B4932" s="1">
        <v>45948</v>
      </c>
      <c r="C4932" s="1">
        <v>45949</v>
      </c>
      <c r="D4932">
        <v>2025</v>
      </c>
      <c r="E4932" t="s">
        <v>2026</v>
      </c>
      <c r="F4932" t="s">
        <v>2027</v>
      </c>
      <c r="G4932" t="s">
        <v>102</v>
      </c>
      <c r="H4932" t="s">
        <v>39</v>
      </c>
      <c r="I4932" t="s">
        <v>24</v>
      </c>
      <c r="J4932" t="s">
        <v>43</v>
      </c>
      <c r="K4932" t="s">
        <v>41</v>
      </c>
      <c r="L4932" t="s">
        <v>37</v>
      </c>
      <c r="M4932">
        <v>1</v>
      </c>
      <c r="N4932" s="2">
        <v>40</v>
      </c>
      <c r="O4932" s="3">
        <v>1482</v>
      </c>
      <c r="P4932">
        <v>0</v>
      </c>
      <c r="Q4932">
        <v>5</v>
      </c>
      <c r="R4932" t="s">
        <v>33</v>
      </c>
      <c r="S4932">
        <v>1</v>
      </c>
    </row>
    <row r="4933" spans="1:19" ht="16.5" x14ac:dyDescent="0.3">
      <c r="A4933" t="s">
        <v>4996</v>
      </c>
      <c r="B4933" s="1">
        <v>45949</v>
      </c>
      <c r="C4933" s="1">
        <v>45958</v>
      </c>
      <c r="D4933">
        <v>2025</v>
      </c>
      <c r="E4933" t="s">
        <v>2026</v>
      </c>
      <c r="F4933" t="s">
        <v>2027</v>
      </c>
      <c r="G4933" t="s">
        <v>112</v>
      </c>
      <c r="H4933" t="s">
        <v>23</v>
      </c>
      <c r="I4933" t="s">
        <v>24</v>
      </c>
      <c r="J4933" t="s">
        <v>25</v>
      </c>
      <c r="K4933" t="s">
        <v>53</v>
      </c>
      <c r="L4933" t="s">
        <v>27</v>
      </c>
      <c r="M4933">
        <v>9</v>
      </c>
      <c r="N4933" s="2">
        <v>23</v>
      </c>
      <c r="O4933" s="3">
        <v>6729</v>
      </c>
      <c r="P4933">
        <v>0</v>
      </c>
      <c r="Q4933">
        <v>4</v>
      </c>
      <c r="R4933" t="s">
        <v>33</v>
      </c>
      <c r="S4933">
        <v>1</v>
      </c>
    </row>
    <row r="4934" spans="1:19" ht="16.5" x14ac:dyDescent="0.3">
      <c r="A4934" t="s">
        <v>4997</v>
      </c>
      <c r="B4934" s="1">
        <v>45949</v>
      </c>
      <c r="C4934" s="1">
        <v>45950</v>
      </c>
      <c r="D4934">
        <v>2025</v>
      </c>
      <c r="E4934" t="s">
        <v>2026</v>
      </c>
      <c r="F4934" t="s">
        <v>2027</v>
      </c>
      <c r="G4934" t="s">
        <v>112</v>
      </c>
      <c r="H4934" t="s">
        <v>35</v>
      </c>
      <c r="I4934" t="s">
        <v>24</v>
      </c>
      <c r="J4934" t="s">
        <v>25</v>
      </c>
      <c r="K4934" t="s">
        <v>32</v>
      </c>
      <c r="L4934" t="s">
        <v>44</v>
      </c>
      <c r="M4934">
        <v>1</v>
      </c>
      <c r="N4934" s="2">
        <v>32</v>
      </c>
      <c r="O4934" s="3">
        <v>1585</v>
      </c>
      <c r="P4934">
        <v>0</v>
      </c>
      <c r="Q4934">
        <v>5</v>
      </c>
      <c r="R4934" t="s">
        <v>33</v>
      </c>
      <c r="S4934">
        <v>1</v>
      </c>
    </row>
    <row r="4935" spans="1:19" ht="16.5" x14ac:dyDescent="0.3">
      <c r="A4935" t="s">
        <v>4998</v>
      </c>
      <c r="B4935" s="1">
        <v>45949</v>
      </c>
      <c r="C4935" s="1">
        <v>45952</v>
      </c>
      <c r="D4935">
        <v>2025</v>
      </c>
      <c r="E4935" t="s">
        <v>2026</v>
      </c>
      <c r="F4935" t="s">
        <v>2027</v>
      </c>
      <c r="G4935" t="s">
        <v>112</v>
      </c>
      <c r="H4935" t="s">
        <v>23</v>
      </c>
      <c r="I4935" t="s">
        <v>24</v>
      </c>
      <c r="J4935" t="s">
        <v>25</v>
      </c>
      <c r="K4935" t="s">
        <v>26</v>
      </c>
      <c r="L4935" t="s">
        <v>44</v>
      </c>
      <c r="M4935">
        <v>3</v>
      </c>
      <c r="N4935" s="2">
        <v>42</v>
      </c>
      <c r="O4935" s="3">
        <v>2653</v>
      </c>
      <c r="P4935">
        <v>1</v>
      </c>
      <c r="Q4935">
        <v>4</v>
      </c>
      <c r="R4935" t="s">
        <v>28</v>
      </c>
      <c r="S4935">
        <v>1</v>
      </c>
    </row>
    <row r="4936" spans="1:19" ht="16.5" x14ac:dyDescent="0.3">
      <c r="A4936" t="s">
        <v>4999</v>
      </c>
      <c r="B4936" s="1">
        <v>45949</v>
      </c>
      <c r="C4936" s="1">
        <v>45953</v>
      </c>
      <c r="D4936">
        <v>2025</v>
      </c>
      <c r="E4936" t="s">
        <v>2026</v>
      </c>
      <c r="F4936" t="s">
        <v>2027</v>
      </c>
      <c r="G4936" t="s">
        <v>112</v>
      </c>
      <c r="H4936" t="s">
        <v>39</v>
      </c>
      <c r="I4936" t="s">
        <v>40</v>
      </c>
      <c r="J4936" t="s">
        <v>43</v>
      </c>
      <c r="K4936" t="s">
        <v>41</v>
      </c>
      <c r="L4936" t="s">
        <v>44</v>
      </c>
      <c r="M4936">
        <v>4</v>
      </c>
      <c r="N4936" s="2"/>
      <c r="O4936" s="3">
        <v>2517</v>
      </c>
      <c r="P4936">
        <v>0</v>
      </c>
      <c r="Q4936">
        <v>4</v>
      </c>
      <c r="R4936" t="s">
        <v>28</v>
      </c>
      <c r="S4936">
        <v>1</v>
      </c>
    </row>
    <row r="4937" spans="1:19" ht="16.5" x14ac:dyDescent="0.3">
      <c r="A4937" t="s">
        <v>5000</v>
      </c>
      <c r="B4937" s="1">
        <v>45949</v>
      </c>
      <c r="C4937" s="1">
        <v>45951</v>
      </c>
      <c r="D4937">
        <v>2025</v>
      </c>
      <c r="E4937" t="s">
        <v>2026</v>
      </c>
      <c r="F4937" t="s">
        <v>2027</v>
      </c>
      <c r="G4937" t="s">
        <v>112</v>
      </c>
      <c r="H4937" t="s">
        <v>39</v>
      </c>
      <c r="I4937" t="s">
        <v>24</v>
      </c>
      <c r="J4937" t="s">
        <v>25</v>
      </c>
      <c r="K4937" t="s">
        <v>41</v>
      </c>
      <c r="L4937" t="s">
        <v>27</v>
      </c>
      <c r="M4937">
        <v>2</v>
      </c>
      <c r="N4937" s="2">
        <v>44</v>
      </c>
      <c r="O4937" s="3">
        <v>1623</v>
      </c>
      <c r="P4937">
        <v>0</v>
      </c>
      <c r="Q4937">
        <v>3</v>
      </c>
      <c r="R4937" t="s">
        <v>28</v>
      </c>
      <c r="S4937">
        <v>1</v>
      </c>
    </row>
    <row r="4938" spans="1:19" ht="16.5" x14ac:dyDescent="0.3">
      <c r="A4938" t="s">
        <v>5001</v>
      </c>
      <c r="B4938" s="1">
        <v>45949</v>
      </c>
      <c r="C4938" s="1">
        <v>45950</v>
      </c>
      <c r="D4938">
        <v>2025</v>
      </c>
      <c r="E4938" t="s">
        <v>2026</v>
      </c>
      <c r="F4938" t="s">
        <v>2027</v>
      </c>
      <c r="G4938" t="s">
        <v>112</v>
      </c>
      <c r="H4938" t="s">
        <v>50</v>
      </c>
      <c r="I4938" t="s">
        <v>40</v>
      </c>
      <c r="J4938" t="s">
        <v>43</v>
      </c>
      <c r="K4938" t="s">
        <v>32</v>
      </c>
      <c r="L4938" t="s">
        <v>27</v>
      </c>
      <c r="M4938">
        <v>1</v>
      </c>
      <c r="N4938" s="2"/>
      <c r="O4938" s="3">
        <v>2442</v>
      </c>
      <c r="P4938">
        <v>0</v>
      </c>
      <c r="Q4938">
        <v>5</v>
      </c>
      <c r="R4938" t="s">
        <v>33</v>
      </c>
      <c r="S4938">
        <v>1</v>
      </c>
    </row>
    <row r="4939" spans="1:19" ht="16.5" x14ac:dyDescent="0.3">
      <c r="A4939" t="s">
        <v>5002</v>
      </c>
      <c r="B4939" s="1">
        <v>45949</v>
      </c>
      <c r="C4939" s="1">
        <v>45953</v>
      </c>
      <c r="D4939">
        <v>2025</v>
      </c>
      <c r="E4939" t="s">
        <v>2026</v>
      </c>
      <c r="F4939" t="s">
        <v>2027</v>
      </c>
      <c r="G4939" t="s">
        <v>112</v>
      </c>
      <c r="H4939" t="s">
        <v>30</v>
      </c>
      <c r="I4939" t="s">
        <v>40</v>
      </c>
      <c r="J4939" t="s">
        <v>25</v>
      </c>
      <c r="K4939" t="s">
        <v>53</v>
      </c>
      <c r="L4939" t="s">
        <v>44</v>
      </c>
      <c r="M4939">
        <v>4</v>
      </c>
      <c r="N4939" s="2"/>
      <c r="O4939" s="3">
        <v>4852</v>
      </c>
      <c r="P4939">
        <v>1</v>
      </c>
      <c r="Q4939">
        <v>4</v>
      </c>
      <c r="R4939" t="s">
        <v>28</v>
      </c>
      <c r="S4939">
        <v>1</v>
      </c>
    </row>
    <row r="4940" spans="1:19" ht="16.5" x14ac:dyDescent="0.3">
      <c r="A4940" t="s">
        <v>5003</v>
      </c>
      <c r="B4940" s="1">
        <v>45949</v>
      </c>
      <c r="C4940" s="1">
        <v>45951</v>
      </c>
      <c r="D4940">
        <v>2025</v>
      </c>
      <c r="E4940" t="s">
        <v>2026</v>
      </c>
      <c r="F4940" t="s">
        <v>2027</v>
      </c>
      <c r="G4940" t="s">
        <v>112</v>
      </c>
      <c r="H4940" t="s">
        <v>35</v>
      </c>
      <c r="I4940" t="s">
        <v>24</v>
      </c>
      <c r="J4940" t="s">
        <v>25</v>
      </c>
      <c r="K4940" t="s">
        <v>32</v>
      </c>
      <c r="L4940" t="s">
        <v>27</v>
      </c>
      <c r="M4940">
        <v>2</v>
      </c>
      <c r="N4940" s="2">
        <v>41</v>
      </c>
      <c r="O4940" s="3">
        <v>1755</v>
      </c>
      <c r="P4940">
        <v>0</v>
      </c>
      <c r="Q4940">
        <v>3</v>
      </c>
      <c r="R4940" t="s">
        <v>28</v>
      </c>
      <c r="S4940">
        <v>1</v>
      </c>
    </row>
    <row r="4941" spans="1:19" ht="16.5" x14ac:dyDescent="0.3">
      <c r="A4941" t="s">
        <v>5004</v>
      </c>
      <c r="B4941" s="1">
        <v>45949</v>
      </c>
      <c r="C4941" s="1">
        <v>45951</v>
      </c>
      <c r="D4941">
        <v>2025</v>
      </c>
      <c r="E4941" t="s">
        <v>2026</v>
      </c>
      <c r="F4941" t="s">
        <v>2027</v>
      </c>
      <c r="G4941" t="s">
        <v>112</v>
      </c>
      <c r="H4941" t="s">
        <v>23</v>
      </c>
      <c r="I4941" t="s">
        <v>40</v>
      </c>
      <c r="J4941" t="s">
        <v>25</v>
      </c>
      <c r="K4941" t="s">
        <v>53</v>
      </c>
      <c r="L4941" t="s">
        <v>27</v>
      </c>
      <c r="M4941">
        <v>2</v>
      </c>
      <c r="N4941" s="2"/>
      <c r="O4941" s="3">
        <v>2269</v>
      </c>
      <c r="P4941">
        <v>0</v>
      </c>
      <c r="Q4941">
        <v>5</v>
      </c>
      <c r="R4941" t="s">
        <v>33</v>
      </c>
      <c r="S4941">
        <v>1</v>
      </c>
    </row>
    <row r="4942" spans="1:19" ht="16.5" x14ac:dyDescent="0.3">
      <c r="A4942" t="s">
        <v>5005</v>
      </c>
      <c r="B4942" s="1">
        <v>45949</v>
      </c>
      <c r="C4942" s="1">
        <v>45952</v>
      </c>
      <c r="D4942">
        <v>2025</v>
      </c>
      <c r="E4942" t="s">
        <v>2026</v>
      </c>
      <c r="F4942" t="s">
        <v>2027</v>
      </c>
      <c r="G4942" t="s">
        <v>112</v>
      </c>
      <c r="H4942" t="s">
        <v>35</v>
      </c>
      <c r="I4942" t="s">
        <v>24</v>
      </c>
      <c r="J4942" t="s">
        <v>25</v>
      </c>
      <c r="K4942" t="s">
        <v>36</v>
      </c>
      <c r="L4942" t="s">
        <v>27</v>
      </c>
      <c r="M4942">
        <v>3</v>
      </c>
      <c r="N4942" s="2">
        <v>39</v>
      </c>
      <c r="O4942" s="3">
        <v>2645</v>
      </c>
      <c r="P4942">
        <v>0</v>
      </c>
      <c r="Q4942">
        <v>3</v>
      </c>
      <c r="R4942" t="s">
        <v>59</v>
      </c>
      <c r="S4942">
        <v>1</v>
      </c>
    </row>
    <row r="4943" spans="1:19" ht="16.5" x14ac:dyDescent="0.3">
      <c r="A4943" t="s">
        <v>5006</v>
      </c>
      <c r="B4943" s="1">
        <v>45949</v>
      </c>
      <c r="C4943" s="1">
        <v>45951</v>
      </c>
      <c r="D4943">
        <v>2025</v>
      </c>
      <c r="E4943" t="s">
        <v>2026</v>
      </c>
      <c r="F4943" t="s">
        <v>2027</v>
      </c>
      <c r="G4943" t="s">
        <v>112</v>
      </c>
      <c r="H4943" t="s">
        <v>50</v>
      </c>
      <c r="I4943" t="s">
        <v>40</v>
      </c>
      <c r="J4943" t="s">
        <v>43</v>
      </c>
      <c r="K4943" t="s">
        <v>53</v>
      </c>
      <c r="L4943" t="s">
        <v>44</v>
      </c>
      <c r="M4943">
        <v>2</v>
      </c>
      <c r="N4943" s="2"/>
      <c r="O4943" s="3">
        <v>2636</v>
      </c>
      <c r="P4943">
        <v>0</v>
      </c>
      <c r="Q4943">
        <v>5</v>
      </c>
      <c r="R4943" t="s">
        <v>33</v>
      </c>
      <c r="S4943">
        <v>1</v>
      </c>
    </row>
    <row r="4944" spans="1:19" ht="16.5" x14ac:dyDescent="0.3">
      <c r="A4944" t="s">
        <v>5007</v>
      </c>
      <c r="B4944" s="1">
        <v>45949</v>
      </c>
      <c r="C4944" s="1">
        <v>45955</v>
      </c>
      <c r="D4944">
        <v>2025</v>
      </c>
      <c r="E4944" t="s">
        <v>2026</v>
      </c>
      <c r="F4944" t="s">
        <v>2027</v>
      </c>
      <c r="G4944" t="s">
        <v>112</v>
      </c>
      <c r="H4944" t="s">
        <v>50</v>
      </c>
      <c r="I4944" t="s">
        <v>24</v>
      </c>
      <c r="J4944" t="s">
        <v>43</v>
      </c>
      <c r="K4944" t="s">
        <v>53</v>
      </c>
      <c r="L4944" t="s">
        <v>44</v>
      </c>
      <c r="M4944">
        <v>6</v>
      </c>
      <c r="N4944" s="2">
        <v>24</v>
      </c>
      <c r="O4944" s="3">
        <v>8102</v>
      </c>
      <c r="P4944">
        <v>0</v>
      </c>
      <c r="Q4944">
        <v>5</v>
      </c>
      <c r="R4944" t="s">
        <v>33</v>
      </c>
      <c r="S4944">
        <v>1</v>
      </c>
    </row>
    <row r="4945" spans="1:19" ht="16.5" x14ac:dyDescent="0.3">
      <c r="A4945" t="s">
        <v>5008</v>
      </c>
      <c r="B4945" s="1">
        <v>45949</v>
      </c>
      <c r="C4945" s="1">
        <v>45956</v>
      </c>
      <c r="D4945">
        <v>2025</v>
      </c>
      <c r="E4945" t="s">
        <v>2026</v>
      </c>
      <c r="F4945" t="s">
        <v>2027</v>
      </c>
      <c r="G4945" t="s">
        <v>112</v>
      </c>
      <c r="H4945" t="s">
        <v>50</v>
      </c>
      <c r="I4945" t="s">
        <v>24</v>
      </c>
      <c r="J4945" t="s">
        <v>25</v>
      </c>
      <c r="K4945" t="s">
        <v>26</v>
      </c>
      <c r="L4945" t="s">
        <v>44</v>
      </c>
      <c r="M4945">
        <v>7</v>
      </c>
      <c r="N4945" s="2">
        <v>56</v>
      </c>
      <c r="O4945" s="3">
        <v>10153</v>
      </c>
      <c r="P4945">
        <v>0</v>
      </c>
      <c r="Q4945">
        <v>5</v>
      </c>
      <c r="R4945" t="s">
        <v>33</v>
      </c>
      <c r="S4945">
        <v>1</v>
      </c>
    </row>
    <row r="4946" spans="1:19" ht="16.5" x14ac:dyDescent="0.3">
      <c r="A4946" t="s">
        <v>5009</v>
      </c>
      <c r="B4946" s="1">
        <v>45949</v>
      </c>
      <c r="C4946" s="1">
        <v>45968</v>
      </c>
      <c r="D4946">
        <v>2025</v>
      </c>
      <c r="E4946" t="s">
        <v>2026</v>
      </c>
      <c r="F4946" t="s">
        <v>2027</v>
      </c>
      <c r="G4946" t="s">
        <v>112</v>
      </c>
      <c r="H4946" t="s">
        <v>23</v>
      </c>
      <c r="I4946" t="s">
        <v>24</v>
      </c>
      <c r="J4946" t="s">
        <v>43</v>
      </c>
      <c r="K4946" t="s">
        <v>26</v>
      </c>
      <c r="L4946" t="s">
        <v>44</v>
      </c>
      <c r="M4946">
        <v>19</v>
      </c>
      <c r="N4946" s="2">
        <v>20</v>
      </c>
      <c r="O4946" s="3">
        <v>14023</v>
      </c>
      <c r="P4946">
        <v>0</v>
      </c>
      <c r="Q4946">
        <v>5</v>
      </c>
      <c r="R4946" t="s">
        <v>33</v>
      </c>
      <c r="S4946">
        <v>1</v>
      </c>
    </row>
    <row r="4947" spans="1:19" ht="16.5" x14ac:dyDescent="0.3">
      <c r="A4947" t="s">
        <v>5010</v>
      </c>
      <c r="B4947" s="1">
        <v>45949</v>
      </c>
      <c r="C4947" s="1">
        <v>45963</v>
      </c>
      <c r="D4947">
        <v>2025</v>
      </c>
      <c r="E4947" t="s">
        <v>2026</v>
      </c>
      <c r="F4947" t="s">
        <v>2027</v>
      </c>
      <c r="G4947" t="s">
        <v>112</v>
      </c>
      <c r="H4947" t="s">
        <v>23</v>
      </c>
      <c r="I4947" t="s">
        <v>40</v>
      </c>
      <c r="J4947" t="s">
        <v>43</v>
      </c>
      <c r="K4947" t="s">
        <v>26</v>
      </c>
      <c r="L4947" t="s">
        <v>27</v>
      </c>
      <c r="M4947">
        <v>14</v>
      </c>
      <c r="N4947" s="2"/>
      <c r="O4947" s="3">
        <v>6894</v>
      </c>
      <c r="P4947">
        <v>0</v>
      </c>
      <c r="Q4947">
        <v>5</v>
      </c>
      <c r="R4947" t="s">
        <v>28</v>
      </c>
      <c r="S4947">
        <v>1</v>
      </c>
    </row>
    <row r="4948" spans="1:19" ht="16.5" x14ac:dyDescent="0.3">
      <c r="A4948" t="s">
        <v>5011</v>
      </c>
      <c r="B4948" s="1">
        <v>45949</v>
      </c>
      <c r="C4948" s="1">
        <v>45960</v>
      </c>
      <c r="D4948">
        <v>2025</v>
      </c>
      <c r="E4948" t="s">
        <v>2026</v>
      </c>
      <c r="F4948" t="s">
        <v>2027</v>
      </c>
      <c r="G4948" t="s">
        <v>112</v>
      </c>
      <c r="H4948" t="s">
        <v>23</v>
      </c>
      <c r="I4948" t="s">
        <v>24</v>
      </c>
      <c r="J4948" t="s">
        <v>43</v>
      </c>
      <c r="K4948" t="s">
        <v>36</v>
      </c>
      <c r="L4948" t="s">
        <v>27</v>
      </c>
      <c r="M4948">
        <v>11</v>
      </c>
      <c r="N4948" s="2">
        <v>90</v>
      </c>
      <c r="O4948" s="3">
        <v>7090</v>
      </c>
      <c r="P4948">
        <v>0</v>
      </c>
      <c r="Q4948">
        <v>4</v>
      </c>
      <c r="R4948" t="s">
        <v>33</v>
      </c>
      <c r="S4948">
        <v>1</v>
      </c>
    </row>
    <row r="4949" spans="1:19" ht="16.5" x14ac:dyDescent="0.3">
      <c r="A4949" t="s">
        <v>5012</v>
      </c>
      <c r="B4949" s="1">
        <v>45950</v>
      </c>
      <c r="C4949" s="1">
        <v>45956</v>
      </c>
      <c r="D4949">
        <v>2025</v>
      </c>
      <c r="E4949" t="s">
        <v>2026</v>
      </c>
      <c r="F4949" t="s">
        <v>2027</v>
      </c>
      <c r="G4949" t="s">
        <v>22</v>
      </c>
      <c r="H4949" t="s">
        <v>30</v>
      </c>
      <c r="I4949" t="s">
        <v>24</v>
      </c>
      <c r="J4949" t="s">
        <v>25</v>
      </c>
      <c r="K4949" t="s">
        <v>53</v>
      </c>
      <c r="L4949" t="s">
        <v>37</v>
      </c>
      <c r="M4949">
        <v>6</v>
      </c>
      <c r="N4949" s="2">
        <v>16</v>
      </c>
      <c r="O4949" s="3">
        <v>4249</v>
      </c>
      <c r="P4949">
        <v>0</v>
      </c>
      <c r="Q4949">
        <v>4</v>
      </c>
      <c r="R4949" t="s">
        <v>33</v>
      </c>
      <c r="S4949">
        <v>1</v>
      </c>
    </row>
    <row r="4950" spans="1:19" ht="16.5" x14ac:dyDescent="0.3">
      <c r="A4950" t="s">
        <v>5013</v>
      </c>
      <c r="B4950" s="1">
        <v>45950</v>
      </c>
      <c r="C4950" s="1">
        <v>45975</v>
      </c>
      <c r="D4950">
        <v>2025</v>
      </c>
      <c r="E4950" t="s">
        <v>2026</v>
      </c>
      <c r="F4950" t="s">
        <v>2027</v>
      </c>
      <c r="G4950" t="s">
        <v>22</v>
      </c>
      <c r="H4950" t="s">
        <v>23</v>
      </c>
      <c r="I4950" t="s">
        <v>24</v>
      </c>
      <c r="J4950" t="s">
        <v>25</v>
      </c>
      <c r="K4950" t="s">
        <v>36</v>
      </c>
      <c r="L4950" t="s">
        <v>44</v>
      </c>
      <c r="M4950">
        <v>25</v>
      </c>
      <c r="N4950" s="2">
        <v>36</v>
      </c>
      <c r="O4950" s="3">
        <v>18803</v>
      </c>
      <c r="P4950">
        <v>0</v>
      </c>
      <c r="Q4950">
        <v>4</v>
      </c>
      <c r="R4950" t="s">
        <v>28</v>
      </c>
      <c r="S4950">
        <v>1</v>
      </c>
    </row>
    <row r="4951" spans="1:19" ht="16.5" x14ac:dyDescent="0.3">
      <c r="A4951" t="s">
        <v>5014</v>
      </c>
      <c r="B4951" s="1">
        <v>45950</v>
      </c>
      <c r="C4951" s="1">
        <v>45956</v>
      </c>
      <c r="D4951">
        <v>2025</v>
      </c>
      <c r="E4951" t="s">
        <v>2026</v>
      </c>
      <c r="F4951" t="s">
        <v>2027</v>
      </c>
      <c r="G4951" t="s">
        <v>22</v>
      </c>
      <c r="H4951" t="s">
        <v>23</v>
      </c>
      <c r="I4951" t="s">
        <v>24</v>
      </c>
      <c r="J4951" t="s">
        <v>25</v>
      </c>
      <c r="K4951" t="s">
        <v>26</v>
      </c>
      <c r="L4951" t="s">
        <v>27</v>
      </c>
      <c r="M4951">
        <v>6</v>
      </c>
      <c r="N4951" s="2">
        <v>69</v>
      </c>
      <c r="O4951" s="3">
        <v>5317</v>
      </c>
      <c r="P4951">
        <v>1</v>
      </c>
      <c r="Q4951">
        <v>4</v>
      </c>
      <c r="R4951" t="s">
        <v>33</v>
      </c>
      <c r="S4951">
        <v>1</v>
      </c>
    </row>
    <row r="4952" spans="1:19" ht="16.5" x14ac:dyDescent="0.3">
      <c r="A4952" t="s">
        <v>5015</v>
      </c>
      <c r="B4952" s="1">
        <v>45950</v>
      </c>
      <c r="C4952" s="1">
        <v>45951</v>
      </c>
      <c r="D4952">
        <v>2025</v>
      </c>
      <c r="E4952" t="s">
        <v>2026</v>
      </c>
      <c r="F4952" t="s">
        <v>2027</v>
      </c>
      <c r="G4952" t="s">
        <v>22</v>
      </c>
      <c r="H4952" t="s">
        <v>39</v>
      </c>
      <c r="I4952" t="s">
        <v>31</v>
      </c>
      <c r="J4952" t="s">
        <v>43</v>
      </c>
      <c r="K4952" t="s">
        <v>41</v>
      </c>
      <c r="L4952" t="s">
        <v>44</v>
      </c>
      <c r="M4952">
        <v>1</v>
      </c>
      <c r="N4952" s="2"/>
      <c r="O4952" s="3">
        <v>1682</v>
      </c>
      <c r="P4952">
        <v>0</v>
      </c>
      <c r="Q4952">
        <v>4</v>
      </c>
      <c r="R4952" t="s">
        <v>33</v>
      </c>
      <c r="S4952">
        <v>1</v>
      </c>
    </row>
    <row r="4953" spans="1:19" ht="16.5" x14ac:dyDescent="0.3">
      <c r="A4953" t="s">
        <v>5016</v>
      </c>
      <c r="B4953" s="1">
        <v>45950</v>
      </c>
      <c r="C4953" s="1">
        <v>45954</v>
      </c>
      <c r="D4953">
        <v>2025</v>
      </c>
      <c r="E4953" t="s">
        <v>2026</v>
      </c>
      <c r="F4953" t="s">
        <v>2027</v>
      </c>
      <c r="G4953" t="s">
        <v>22</v>
      </c>
      <c r="H4953" t="s">
        <v>35</v>
      </c>
      <c r="I4953" t="s">
        <v>24</v>
      </c>
      <c r="J4953" t="s">
        <v>25</v>
      </c>
      <c r="K4953" t="s">
        <v>36</v>
      </c>
      <c r="L4953" t="s">
        <v>27</v>
      </c>
      <c r="M4953">
        <v>4</v>
      </c>
      <c r="N4953" s="2">
        <v>51</v>
      </c>
      <c r="O4953" s="3">
        <v>2851</v>
      </c>
      <c r="P4953">
        <v>0</v>
      </c>
      <c r="Q4953">
        <v>4</v>
      </c>
      <c r="R4953" t="s">
        <v>33</v>
      </c>
      <c r="S4953">
        <v>1</v>
      </c>
    </row>
    <row r="4954" spans="1:19" ht="16.5" x14ac:dyDescent="0.3">
      <c r="A4954" t="s">
        <v>5017</v>
      </c>
      <c r="B4954" s="1">
        <v>45950</v>
      </c>
      <c r="C4954" s="1">
        <v>45954</v>
      </c>
      <c r="D4954">
        <v>2025</v>
      </c>
      <c r="E4954" t="s">
        <v>2026</v>
      </c>
      <c r="F4954" t="s">
        <v>2027</v>
      </c>
      <c r="G4954" t="s">
        <v>22</v>
      </c>
      <c r="H4954" t="s">
        <v>35</v>
      </c>
      <c r="I4954" t="s">
        <v>24</v>
      </c>
      <c r="J4954" t="s">
        <v>25</v>
      </c>
      <c r="K4954" t="s">
        <v>32</v>
      </c>
      <c r="L4954" t="s">
        <v>44</v>
      </c>
      <c r="M4954">
        <v>4</v>
      </c>
      <c r="N4954" s="2">
        <v>29</v>
      </c>
      <c r="O4954" s="3">
        <v>4264</v>
      </c>
      <c r="P4954">
        <v>0</v>
      </c>
      <c r="Q4954">
        <v>5</v>
      </c>
      <c r="R4954" t="s">
        <v>33</v>
      </c>
      <c r="S4954">
        <v>1</v>
      </c>
    </row>
    <row r="4955" spans="1:19" ht="16.5" x14ac:dyDescent="0.3">
      <c r="A4955" t="s">
        <v>5018</v>
      </c>
      <c r="B4955" s="1">
        <v>45950</v>
      </c>
      <c r="C4955" s="1">
        <v>45953</v>
      </c>
      <c r="D4955">
        <v>2025</v>
      </c>
      <c r="E4955" t="s">
        <v>2026</v>
      </c>
      <c r="F4955" t="s">
        <v>2027</v>
      </c>
      <c r="G4955" t="s">
        <v>22</v>
      </c>
      <c r="H4955" t="s">
        <v>52</v>
      </c>
      <c r="I4955" t="s">
        <v>40</v>
      </c>
      <c r="J4955" t="s">
        <v>25</v>
      </c>
      <c r="K4955" t="s">
        <v>53</v>
      </c>
      <c r="L4955" t="s">
        <v>27</v>
      </c>
      <c r="M4955">
        <v>3</v>
      </c>
      <c r="N4955" s="2"/>
      <c r="O4955" s="3">
        <v>4170</v>
      </c>
      <c r="P4955">
        <v>0</v>
      </c>
      <c r="Q4955">
        <v>5</v>
      </c>
      <c r="R4955" t="s">
        <v>33</v>
      </c>
      <c r="S4955">
        <v>1</v>
      </c>
    </row>
    <row r="4956" spans="1:19" ht="16.5" x14ac:dyDescent="0.3">
      <c r="A4956" t="s">
        <v>5019</v>
      </c>
      <c r="B4956" s="1">
        <v>45950</v>
      </c>
      <c r="C4956" s="1">
        <v>45955</v>
      </c>
      <c r="D4956">
        <v>2025</v>
      </c>
      <c r="E4956" t="s">
        <v>2026</v>
      </c>
      <c r="F4956" t="s">
        <v>2027</v>
      </c>
      <c r="G4956" t="s">
        <v>22</v>
      </c>
      <c r="H4956" t="s">
        <v>39</v>
      </c>
      <c r="I4956" t="s">
        <v>24</v>
      </c>
      <c r="J4956" t="s">
        <v>25</v>
      </c>
      <c r="K4956" t="s">
        <v>41</v>
      </c>
      <c r="L4956" t="s">
        <v>44</v>
      </c>
      <c r="M4956">
        <v>5</v>
      </c>
      <c r="N4956" s="2">
        <v>12</v>
      </c>
      <c r="O4956" s="3">
        <v>3489</v>
      </c>
      <c r="P4956">
        <v>0</v>
      </c>
      <c r="Q4956">
        <v>3</v>
      </c>
      <c r="R4956" t="s">
        <v>28</v>
      </c>
      <c r="S4956">
        <v>1</v>
      </c>
    </row>
    <row r="4957" spans="1:19" ht="16.5" x14ac:dyDescent="0.3">
      <c r="A4957" t="s">
        <v>5020</v>
      </c>
      <c r="B4957" s="1">
        <v>45951</v>
      </c>
      <c r="C4957" s="1">
        <v>45956</v>
      </c>
      <c r="D4957">
        <v>2025</v>
      </c>
      <c r="E4957" t="s">
        <v>2026</v>
      </c>
      <c r="F4957" t="s">
        <v>2027</v>
      </c>
      <c r="G4957" t="s">
        <v>56</v>
      </c>
      <c r="H4957" t="s">
        <v>30</v>
      </c>
      <c r="I4957" t="s">
        <v>40</v>
      </c>
      <c r="J4957" t="s">
        <v>25</v>
      </c>
      <c r="K4957" t="s">
        <v>26</v>
      </c>
      <c r="L4957" t="s">
        <v>27</v>
      </c>
      <c r="M4957">
        <v>5</v>
      </c>
      <c r="N4957" s="2"/>
      <c r="O4957" s="3">
        <v>4925</v>
      </c>
      <c r="P4957">
        <v>1</v>
      </c>
      <c r="Q4957">
        <v>5</v>
      </c>
      <c r="R4957" t="s">
        <v>28</v>
      </c>
      <c r="S4957">
        <v>1</v>
      </c>
    </row>
    <row r="4958" spans="1:19" ht="16.5" x14ac:dyDescent="0.3">
      <c r="A4958" t="s">
        <v>5021</v>
      </c>
      <c r="B4958" s="1">
        <v>45951</v>
      </c>
      <c r="C4958" s="1">
        <v>45952</v>
      </c>
      <c r="D4958">
        <v>2025</v>
      </c>
      <c r="E4958" t="s">
        <v>2026</v>
      </c>
      <c r="F4958" t="s">
        <v>2027</v>
      </c>
      <c r="G4958" t="s">
        <v>56</v>
      </c>
      <c r="H4958" t="s">
        <v>30</v>
      </c>
      <c r="I4958" t="s">
        <v>40</v>
      </c>
      <c r="J4958" t="s">
        <v>25</v>
      </c>
      <c r="K4958" t="s">
        <v>26</v>
      </c>
      <c r="L4958" t="s">
        <v>27</v>
      </c>
      <c r="M4958">
        <v>1</v>
      </c>
      <c r="N4958" s="2"/>
      <c r="O4958" s="3">
        <v>2009</v>
      </c>
      <c r="P4958">
        <v>0</v>
      </c>
      <c r="Q4958">
        <v>4</v>
      </c>
      <c r="R4958" t="s">
        <v>33</v>
      </c>
      <c r="S4958">
        <v>1</v>
      </c>
    </row>
    <row r="4959" spans="1:19" ht="16.5" x14ac:dyDescent="0.3">
      <c r="A4959" t="s">
        <v>5022</v>
      </c>
      <c r="B4959" s="1">
        <v>45951</v>
      </c>
      <c r="C4959" s="1">
        <v>45954</v>
      </c>
      <c r="D4959">
        <v>2025</v>
      </c>
      <c r="E4959" t="s">
        <v>2026</v>
      </c>
      <c r="F4959" t="s">
        <v>2027</v>
      </c>
      <c r="G4959" t="s">
        <v>56</v>
      </c>
      <c r="H4959" t="s">
        <v>39</v>
      </c>
      <c r="I4959" t="s">
        <v>40</v>
      </c>
      <c r="J4959" t="s">
        <v>25</v>
      </c>
      <c r="K4959" t="s">
        <v>41</v>
      </c>
      <c r="L4959" t="s">
        <v>27</v>
      </c>
      <c r="M4959">
        <v>3</v>
      </c>
      <c r="N4959" s="2"/>
      <c r="O4959" s="3">
        <v>2467</v>
      </c>
      <c r="P4959">
        <v>0</v>
      </c>
      <c r="Q4959">
        <v>4</v>
      </c>
      <c r="R4959" t="s">
        <v>28</v>
      </c>
      <c r="S4959">
        <v>1</v>
      </c>
    </row>
    <row r="4960" spans="1:19" ht="16.5" x14ac:dyDescent="0.3">
      <c r="A4960" t="s">
        <v>5023</v>
      </c>
      <c r="B4960" s="1">
        <v>45951</v>
      </c>
      <c r="C4960" s="1">
        <v>45952</v>
      </c>
      <c r="D4960">
        <v>2025</v>
      </c>
      <c r="E4960" t="s">
        <v>2026</v>
      </c>
      <c r="F4960" t="s">
        <v>2027</v>
      </c>
      <c r="G4960" t="s">
        <v>56</v>
      </c>
      <c r="H4960" t="s">
        <v>30</v>
      </c>
      <c r="I4960" t="s">
        <v>40</v>
      </c>
      <c r="J4960" t="s">
        <v>43</v>
      </c>
      <c r="K4960" t="s">
        <v>32</v>
      </c>
      <c r="L4960" t="s">
        <v>37</v>
      </c>
      <c r="M4960">
        <v>1</v>
      </c>
      <c r="N4960" s="2"/>
      <c r="O4960" s="3">
        <v>1651</v>
      </c>
      <c r="P4960">
        <v>0</v>
      </c>
      <c r="Q4960">
        <v>4</v>
      </c>
      <c r="R4960" t="s">
        <v>28</v>
      </c>
      <c r="S4960">
        <v>1</v>
      </c>
    </row>
    <row r="4961" spans="1:19" ht="16.5" x14ac:dyDescent="0.3">
      <c r="A4961" t="s">
        <v>5024</v>
      </c>
      <c r="B4961" s="1">
        <v>45951</v>
      </c>
      <c r="C4961" s="1">
        <v>45953</v>
      </c>
      <c r="D4961">
        <v>2025</v>
      </c>
      <c r="E4961" t="s">
        <v>2026</v>
      </c>
      <c r="F4961" t="s">
        <v>2027</v>
      </c>
      <c r="G4961" t="s">
        <v>56</v>
      </c>
      <c r="H4961" t="s">
        <v>52</v>
      </c>
      <c r="I4961" t="s">
        <v>40</v>
      </c>
      <c r="J4961" t="s">
        <v>25</v>
      </c>
      <c r="K4961" t="s">
        <v>53</v>
      </c>
      <c r="L4961" t="s">
        <v>44</v>
      </c>
      <c r="M4961">
        <v>2</v>
      </c>
      <c r="N4961" s="2"/>
      <c r="O4961" s="3">
        <v>3343</v>
      </c>
      <c r="P4961">
        <v>0</v>
      </c>
      <c r="Q4961">
        <v>2</v>
      </c>
      <c r="R4961" t="s">
        <v>33</v>
      </c>
      <c r="S4961">
        <v>1</v>
      </c>
    </row>
    <row r="4962" spans="1:19" ht="16.5" x14ac:dyDescent="0.3">
      <c r="A4962" t="s">
        <v>5025</v>
      </c>
      <c r="B4962" s="1">
        <v>45951</v>
      </c>
      <c r="C4962" s="1">
        <v>45955</v>
      </c>
      <c r="D4962">
        <v>2025</v>
      </c>
      <c r="E4962" t="s">
        <v>2026</v>
      </c>
      <c r="F4962" t="s">
        <v>2027</v>
      </c>
      <c r="G4962" t="s">
        <v>56</v>
      </c>
      <c r="H4962" t="s">
        <v>35</v>
      </c>
      <c r="I4962" t="s">
        <v>24</v>
      </c>
      <c r="J4962" t="s">
        <v>25</v>
      </c>
      <c r="K4962" t="s">
        <v>32</v>
      </c>
      <c r="L4962" t="s">
        <v>27</v>
      </c>
      <c r="M4962">
        <v>4</v>
      </c>
      <c r="N4962" s="2">
        <v>36</v>
      </c>
      <c r="O4962" s="3">
        <v>3474</v>
      </c>
      <c r="P4962">
        <v>0</v>
      </c>
      <c r="Q4962">
        <v>4</v>
      </c>
      <c r="R4962" t="s">
        <v>33</v>
      </c>
      <c r="S4962">
        <v>1</v>
      </c>
    </row>
    <row r="4963" spans="1:19" ht="16.5" x14ac:dyDescent="0.3">
      <c r="A4963" t="s">
        <v>5026</v>
      </c>
      <c r="B4963" s="1">
        <v>45951</v>
      </c>
      <c r="C4963" s="1">
        <v>45967</v>
      </c>
      <c r="D4963">
        <v>2025</v>
      </c>
      <c r="E4963" t="s">
        <v>2026</v>
      </c>
      <c r="F4963" t="s">
        <v>2027</v>
      </c>
      <c r="G4963" t="s">
        <v>56</v>
      </c>
      <c r="H4963" t="s">
        <v>23</v>
      </c>
      <c r="I4963" t="s">
        <v>24</v>
      </c>
      <c r="J4963" t="s">
        <v>25</v>
      </c>
      <c r="K4963" t="s">
        <v>26</v>
      </c>
      <c r="L4963" t="s">
        <v>27</v>
      </c>
      <c r="M4963">
        <v>16</v>
      </c>
      <c r="N4963" s="2">
        <v>26</v>
      </c>
      <c r="O4963" s="3">
        <v>9899</v>
      </c>
      <c r="P4963">
        <v>0</v>
      </c>
      <c r="Q4963">
        <v>5</v>
      </c>
      <c r="R4963" t="s">
        <v>33</v>
      </c>
      <c r="S4963">
        <v>1</v>
      </c>
    </row>
    <row r="4964" spans="1:19" ht="16.5" x14ac:dyDescent="0.3">
      <c r="A4964" t="s">
        <v>5027</v>
      </c>
      <c r="B4964" s="1">
        <v>45951</v>
      </c>
      <c r="C4964" s="1">
        <v>45952</v>
      </c>
      <c r="D4964">
        <v>2025</v>
      </c>
      <c r="E4964" t="s">
        <v>2026</v>
      </c>
      <c r="F4964" t="s">
        <v>2027</v>
      </c>
      <c r="G4964" t="s">
        <v>56</v>
      </c>
      <c r="H4964" t="s">
        <v>35</v>
      </c>
      <c r="I4964" t="s">
        <v>40</v>
      </c>
      <c r="J4964" t="s">
        <v>25</v>
      </c>
      <c r="K4964" t="s">
        <v>36</v>
      </c>
      <c r="L4964" t="s">
        <v>27</v>
      </c>
      <c r="M4964">
        <v>1</v>
      </c>
      <c r="N4964" s="2"/>
      <c r="O4964" s="3">
        <v>1410</v>
      </c>
      <c r="P4964">
        <v>0</v>
      </c>
      <c r="Q4964">
        <v>4</v>
      </c>
      <c r="R4964" t="s">
        <v>33</v>
      </c>
      <c r="S4964">
        <v>1</v>
      </c>
    </row>
    <row r="4965" spans="1:19" ht="16.5" x14ac:dyDescent="0.3">
      <c r="A4965" t="s">
        <v>5028</v>
      </c>
      <c r="B4965" s="1">
        <v>45951</v>
      </c>
      <c r="C4965" s="1">
        <v>45958</v>
      </c>
      <c r="D4965">
        <v>2025</v>
      </c>
      <c r="E4965" t="s">
        <v>2026</v>
      </c>
      <c r="F4965" t="s">
        <v>2027</v>
      </c>
      <c r="G4965" t="s">
        <v>56</v>
      </c>
      <c r="H4965" t="s">
        <v>23</v>
      </c>
      <c r="I4965" t="s">
        <v>24</v>
      </c>
      <c r="J4965" t="s">
        <v>43</v>
      </c>
      <c r="K4965" t="s">
        <v>26</v>
      </c>
      <c r="L4965" t="s">
        <v>27</v>
      </c>
      <c r="M4965">
        <v>7</v>
      </c>
      <c r="N4965" s="2">
        <v>108</v>
      </c>
      <c r="O4965" s="3">
        <v>6168</v>
      </c>
      <c r="P4965">
        <v>1</v>
      </c>
      <c r="Q4965">
        <v>3</v>
      </c>
      <c r="R4965" t="s">
        <v>33</v>
      </c>
      <c r="S4965">
        <v>1</v>
      </c>
    </row>
    <row r="4966" spans="1:19" ht="16.5" x14ac:dyDescent="0.3">
      <c r="A4966" t="s">
        <v>5029</v>
      </c>
      <c r="B4966" s="1">
        <v>45951</v>
      </c>
      <c r="C4966" s="1">
        <v>45953</v>
      </c>
      <c r="D4966">
        <v>2025</v>
      </c>
      <c r="E4966" t="s">
        <v>2026</v>
      </c>
      <c r="F4966" t="s">
        <v>2027</v>
      </c>
      <c r="G4966" t="s">
        <v>56</v>
      </c>
      <c r="H4966" t="s">
        <v>39</v>
      </c>
      <c r="I4966" t="s">
        <v>24</v>
      </c>
      <c r="J4966" t="s">
        <v>43</v>
      </c>
      <c r="K4966" t="s">
        <v>41</v>
      </c>
      <c r="L4966" t="s">
        <v>37</v>
      </c>
      <c r="M4966">
        <v>2</v>
      </c>
      <c r="N4966" s="2">
        <v>44</v>
      </c>
      <c r="O4966" s="3">
        <v>2150</v>
      </c>
      <c r="P4966">
        <v>1</v>
      </c>
      <c r="Q4966">
        <v>4</v>
      </c>
      <c r="R4966" t="s">
        <v>28</v>
      </c>
      <c r="S4966">
        <v>1</v>
      </c>
    </row>
    <row r="4967" spans="1:19" ht="16.5" x14ac:dyDescent="0.3">
      <c r="A4967" t="s">
        <v>5030</v>
      </c>
      <c r="B4967" s="1">
        <v>45951</v>
      </c>
      <c r="C4967" s="1">
        <v>45956</v>
      </c>
      <c r="D4967">
        <v>2025</v>
      </c>
      <c r="E4967" t="s">
        <v>2026</v>
      </c>
      <c r="F4967" t="s">
        <v>2027</v>
      </c>
      <c r="G4967" t="s">
        <v>56</v>
      </c>
      <c r="H4967" t="s">
        <v>50</v>
      </c>
      <c r="I4967" t="s">
        <v>24</v>
      </c>
      <c r="J4967" t="s">
        <v>25</v>
      </c>
      <c r="K4967" t="s">
        <v>26</v>
      </c>
      <c r="L4967" t="s">
        <v>44</v>
      </c>
      <c r="M4967">
        <v>5</v>
      </c>
      <c r="N4967" s="2">
        <v>47</v>
      </c>
      <c r="O4967" s="3">
        <v>5930</v>
      </c>
      <c r="P4967">
        <v>0</v>
      </c>
      <c r="Q4967">
        <v>5</v>
      </c>
      <c r="R4967" t="s">
        <v>33</v>
      </c>
      <c r="S4967">
        <v>1</v>
      </c>
    </row>
    <row r="4968" spans="1:19" ht="16.5" x14ac:dyDescent="0.3">
      <c r="A4968" t="s">
        <v>5031</v>
      </c>
      <c r="B4968" s="1">
        <v>45952</v>
      </c>
      <c r="C4968" s="1">
        <v>45953</v>
      </c>
      <c r="D4968">
        <v>2025</v>
      </c>
      <c r="E4968" t="s">
        <v>2026</v>
      </c>
      <c r="F4968" t="s">
        <v>2027</v>
      </c>
      <c r="G4968" t="s">
        <v>70</v>
      </c>
      <c r="H4968" t="s">
        <v>35</v>
      </c>
      <c r="I4968" t="s">
        <v>31</v>
      </c>
      <c r="J4968" t="s">
        <v>25</v>
      </c>
      <c r="K4968" t="s">
        <v>32</v>
      </c>
      <c r="L4968" t="s">
        <v>27</v>
      </c>
      <c r="M4968">
        <v>1</v>
      </c>
      <c r="N4968" s="2"/>
      <c r="O4968" s="3">
        <v>1831</v>
      </c>
      <c r="P4968">
        <v>0</v>
      </c>
      <c r="Q4968">
        <v>4</v>
      </c>
      <c r="R4968" t="s">
        <v>33</v>
      </c>
      <c r="S4968">
        <v>1</v>
      </c>
    </row>
    <row r="4969" spans="1:19" ht="16.5" x14ac:dyDescent="0.3">
      <c r="A4969" t="s">
        <v>5032</v>
      </c>
      <c r="B4969" s="1">
        <v>45952</v>
      </c>
      <c r="C4969" s="1">
        <v>45954</v>
      </c>
      <c r="D4969">
        <v>2025</v>
      </c>
      <c r="E4969" t="s">
        <v>2026</v>
      </c>
      <c r="F4969" t="s">
        <v>2027</v>
      </c>
      <c r="G4969" t="s">
        <v>70</v>
      </c>
      <c r="H4969" t="s">
        <v>35</v>
      </c>
      <c r="I4969" t="s">
        <v>24</v>
      </c>
      <c r="J4969" t="s">
        <v>25</v>
      </c>
      <c r="K4969" t="s">
        <v>32</v>
      </c>
      <c r="L4969" t="s">
        <v>27</v>
      </c>
      <c r="M4969">
        <v>2</v>
      </c>
      <c r="N4969" s="2">
        <v>70</v>
      </c>
      <c r="O4969" s="3">
        <v>1841</v>
      </c>
      <c r="P4969">
        <v>0</v>
      </c>
      <c r="Q4969">
        <v>4</v>
      </c>
      <c r="R4969" t="s">
        <v>33</v>
      </c>
      <c r="S4969">
        <v>1</v>
      </c>
    </row>
    <row r="4970" spans="1:19" ht="16.5" x14ac:dyDescent="0.3">
      <c r="A4970" t="s">
        <v>5033</v>
      </c>
      <c r="B4970" s="1">
        <v>45952</v>
      </c>
      <c r="C4970" s="1">
        <v>45958</v>
      </c>
      <c r="D4970">
        <v>2025</v>
      </c>
      <c r="E4970" t="s">
        <v>2026</v>
      </c>
      <c r="F4970" t="s">
        <v>2027</v>
      </c>
      <c r="G4970" t="s">
        <v>70</v>
      </c>
      <c r="H4970" t="s">
        <v>23</v>
      </c>
      <c r="I4970" t="s">
        <v>24</v>
      </c>
      <c r="J4970" t="s">
        <v>25</v>
      </c>
      <c r="K4970" t="s">
        <v>26</v>
      </c>
      <c r="L4970" t="s">
        <v>44</v>
      </c>
      <c r="M4970">
        <v>6</v>
      </c>
      <c r="N4970" s="2">
        <v>10</v>
      </c>
      <c r="O4970" s="3">
        <v>3699</v>
      </c>
      <c r="P4970">
        <v>0</v>
      </c>
      <c r="Q4970">
        <v>5</v>
      </c>
      <c r="R4970" t="s">
        <v>33</v>
      </c>
      <c r="S4970">
        <v>1</v>
      </c>
    </row>
    <row r="4971" spans="1:19" ht="16.5" x14ac:dyDescent="0.3">
      <c r="A4971" t="s">
        <v>5034</v>
      </c>
      <c r="B4971" s="1">
        <v>45952</v>
      </c>
      <c r="C4971" s="1">
        <v>45955</v>
      </c>
      <c r="D4971">
        <v>2025</v>
      </c>
      <c r="E4971" t="s">
        <v>2026</v>
      </c>
      <c r="F4971" t="s">
        <v>2027</v>
      </c>
      <c r="G4971" t="s">
        <v>70</v>
      </c>
      <c r="H4971" t="s">
        <v>50</v>
      </c>
      <c r="I4971" t="s">
        <v>24</v>
      </c>
      <c r="J4971" t="s">
        <v>25</v>
      </c>
      <c r="K4971" t="s">
        <v>26</v>
      </c>
      <c r="L4971" t="s">
        <v>44</v>
      </c>
      <c r="M4971">
        <v>3</v>
      </c>
      <c r="N4971" s="2">
        <v>41</v>
      </c>
      <c r="O4971" s="3">
        <v>5030</v>
      </c>
      <c r="P4971">
        <v>0</v>
      </c>
      <c r="Q4971">
        <v>4</v>
      </c>
      <c r="R4971" t="s">
        <v>28</v>
      </c>
      <c r="S4971">
        <v>1</v>
      </c>
    </row>
    <row r="4972" spans="1:19" ht="16.5" x14ac:dyDescent="0.3">
      <c r="A4972" t="s">
        <v>5035</v>
      </c>
      <c r="B4972" s="1">
        <v>45952</v>
      </c>
      <c r="C4972" s="1">
        <v>45955</v>
      </c>
      <c r="D4972">
        <v>2025</v>
      </c>
      <c r="E4972" t="s">
        <v>2026</v>
      </c>
      <c r="F4972" t="s">
        <v>2027</v>
      </c>
      <c r="G4972" t="s">
        <v>70</v>
      </c>
      <c r="H4972" t="s">
        <v>52</v>
      </c>
      <c r="I4972" t="s">
        <v>40</v>
      </c>
      <c r="J4972" t="s">
        <v>43</v>
      </c>
      <c r="K4972" t="s">
        <v>26</v>
      </c>
      <c r="L4972" t="s">
        <v>27</v>
      </c>
      <c r="M4972">
        <v>3</v>
      </c>
      <c r="N4972" s="2"/>
      <c r="O4972" s="3">
        <v>3575</v>
      </c>
      <c r="P4972">
        <v>0</v>
      </c>
      <c r="Q4972">
        <v>4</v>
      </c>
      <c r="R4972" t="s">
        <v>33</v>
      </c>
      <c r="S4972">
        <v>1</v>
      </c>
    </row>
    <row r="4973" spans="1:19" ht="16.5" x14ac:dyDescent="0.3">
      <c r="A4973" t="s">
        <v>5036</v>
      </c>
      <c r="B4973" s="1">
        <v>45952</v>
      </c>
      <c r="C4973" s="1">
        <v>45956</v>
      </c>
      <c r="D4973">
        <v>2025</v>
      </c>
      <c r="E4973" t="s">
        <v>2026</v>
      </c>
      <c r="F4973" t="s">
        <v>2027</v>
      </c>
      <c r="G4973" t="s">
        <v>70</v>
      </c>
      <c r="H4973" t="s">
        <v>50</v>
      </c>
      <c r="I4973" t="s">
        <v>40</v>
      </c>
      <c r="J4973" t="s">
        <v>43</v>
      </c>
      <c r="K4973" t="s">
        <v>53</v>
      </c>
      <c r="L4973" t="s">
        <v>27</v>
      </c>
      <c r="M4973">
        <v>4</v>
      </c>
      <c r="N4973" s="2"/>
      <c r="O4973" s="3">
        <v>7471</v>
      </c>
      <c r="P4973">
        <v>0</v>
      </c>
      <c r="Q4973">
        <v>3</v>
      </c>
      <c r="R4973" t="s">
        <v>33</v>
      </c>
      <c r="S4973">
        <v>1</v>
      </c>
    </row>
    <row r="4974" spans="1:19" ht="16.5" x14ac:dyDescent="0.3">
      <c r="A4974" t="s">
        <v>5037</v>
      </c>
      <c r="B4974" s="1">
        <v>45952</v>
      </c>
      <c r="C4974" s="1">
        <v>45954</v>
      </c>
      <c r="D4974">
        <v>2025</v>
      </c>
      <c r="E4974" t="s">
        <v>2026</v>
      </c>
      <c r="F4974" t="s">
        <v>2027</v>
      </c>
      <c r="G4974" t="s">
        <v>70</v>
      </c>
      <c r="H4974" t="s">
        <v>30</v>
      </c>
      <c r="I4974" t="s">
        <v>24</v>
      </c>
      <c r="J4974" t="s">
        <v>25</v>
      </c>
      <c r="K4974" t="s">
        <v>36</v>
      </c>
      <c r="L4974" t="s">
        <v>27</v>
      </c>
      <c r="M4974">
        <v>2</v>
      </c>
      <c r="N4974" s="2">
        <v>20</v>
      </c>
      <c r="O4974" s="3">
        <v>2874</v>
      </c>
      <c r="P4974">
        <v>0</v>
      </c>
      <c r="Q4974">
        <v>4</v>
      </c>
      <c r="R4974" t="s">
        <v>33</v>
      </c>
      <c r="S4974">
        <v>1</v>
      </c>
    </row>
    <row r="4975" spans="1:19" ht="16.5" x14ac:dyDescent="0.3">
      <c r="A4975" t="s">
        <v>5038</v>
      </c>
      <c r="B4975" s="1">
        <v>45952</v>
      </c>
      <c r="C4975" s="1">
        <v>45956</v>
      </c>
      <c r="D4975">
        <v>2025</v>
      </c>
      <c r="E4975" t="s">
        <v>2026</v>
      </c>
      <c r="F4975" t="s">
        <v>2027</v>
      </c>
      <c r="G4975" t="s">
        <v>70</v>
      </c>
      <c r="H4975" t="s">
        <v>23</v>
      </c>
      <c r="I4975" t="s">
        <v>31</v>
      </c>
      <c r="J4975" t="s">
        <v>25</v>
      </c>
      <c r="K4975" t="s">
        <v>32</v>
      </c>
      <c r="L4975" t="s">
        <v>44</v>
      </c>
      <c r="M4975">
        <v>4</v>
      </c>
      <c r="N4975" s="2"/>
      <c r="O4975" s="3">
        <v>4129</v>
      </c>
      <c r="P4975">
        <v>1</v>
      </c>
      <c r="Q4975">
        <v>5</v>
      </c>
      <c r="R4975" t="s">
        <v>28</v>
      </c>
      <c r="S4975">
        <v>1</v>
      </c>
    </row>
    <row r="4976" spans="1:19" ht="16.5" x14ac:dyDescent="0.3">
      <c r="A4976" t="s">
        <v>5039</v>
      </c>
      <c r="B4976" s="1">
        <v>45953</v>
      </c>
      <c r="C4976" s="1">
        <v>45955</v>
      </c>
      <c r="D4976">
        <v>2025</v>
      </c>
      <c r="E4976" t="s">
        <v>2026</v>
      </c>
      <c r="F4976" t="s">
        <v>2027</v>
      </c>
      <c r="G4976" t="s">
        <v>78</v>
      </c>
      <c r="H4976" t="s">
        <v>35</v>
      </c>
      <c r="I4976" t="s">
        <v>24</v>
      </c>
      <c r="J4976" t="s">
        <v>25</v>
      </c>
      <c r="K4976" t="s">
        <v>36</v>
      </c>
      <c r="L4976" t="s">
        <v>27</v>
      </c>
      <c r="M4976">
        <v>2</v>
      </c>
      <c r="N4976" s="2">
        <v>29</v>
      </c>
      <c r="O4976" s="3">
        <v>2530</v>
      </c>
      <c r="P4976">
        <v>0</v>
      </c>
      <c r="Q4976">
        <v>4</v>
      </c>
      <c r="R4976" t="s">
        <v>59</v>
      </c>
      <c r="S4976">
        <v>1</v>
      </c>
    </row>
    <row r="4977" spans="1:19" ht="16.5" x14ac:dyDescent="0.3">
      <c r="A4977" t="s">
        <v>5040</v>
      </c>
      <c r="B4977" s="1">
        <v>45953</v>
      </c>
      <c r="C4977" s="1">
        <v>45957</v>
      </c>
      <c r="D4977">
        <v>2025</v>
      </c>
      <c r="E4977" t="s">
        <v>2026</v>
      </c>
      <c r="F4977" t="s">
        <v>2027</v>
      </c>
      <c r="G4977" t="s">
        <v>78</v>
      </c>
      <c r="H4977" t="s">
        <v>30</v>
      </c>
      <c r="I4977" t="s">
        <v>40</v>
      </c>
      <c r="J4977" t="s">
        <v>25</v>
      </c>
      <c r="K4977" t="s">
        <v>36</v>
      </c>
      <c r="L4977" t="s">
        <v>27</v>
      </c>
      <c r="M4977">
        <v>4</v>
      </c>
      <c r="N4977" s="2"/>
      <c r="O4977" s="3">
        <v>3011</v>
      </c>
      <c r="P4977">
        <v>0</v>
      </c>
      <c r="Q4977">
        <v>4</v>
      </c>
      <c r="R4977" t="s">
        <v>28</v>
      </c>
      <c r="S4977">
        <v>1</v>
      </c>
    </row>
    <row r="4978" spans="1:19" ht="16.5" x14ac:dyDescent="0.3">
      <c r="A4978" t="s">
        <v>5041</v>
      </c>
      <c r="B4978" s="1">
        <v>45953</v>
      </c>
      <c r="C4978" s="1">
        <v>45955</v>
      </c>
      <c r="D4978">
        <v>2025</v>
      </c>
      <c r="E4978" t="s">
        <v>2026</v>
      </c>
      <c r="F4978" t="s">
        <v>2027</v>
      </c>
      <c r="G4978" t="s">
        <v>78</v>
      </c>
      <c r="H4978" t="s">
        <v>23</v>
      </c>
      <c r="I4978" t="s">
        <v>31</v>
      </c>
      <c r="J4978" t="s">
        <v>43</v>
      </c>
      <c r="K4978" t="s">
        <v>36</v>
      </c>
      <c r="L4978" t="s">
        <v>27</v>
      </c>
      <c r="M4978">
        <v>2</v>
      </c>
      <c r="N4978" s="2"/>
      <c r="O4978" s="3">
        <v>1914</v>
      </c>
      <c r="P4978">
        <v>0</v>
      </c>
      <c r="Q4978">
        <v>4</v>
      </c>
      <c r="R4978" t="s">
        <v>33</v>
      </c>
      <c r="S4978">
        <v>1</v>
      </c>
    </row>
    <row r="4979" spans="1:19" ht="16.5" x14ac:dyDescent="0.3">
      <c r="A4979" t="s">
        <v>5042</v>
      </c>
      <c r="B4979" s="1">
        <v>45953</v>
      </c>
      <c r="C4979" s="1">
        <v>45954</v>
      </c>
      <c r="D4979">
        <v>2025</v>
      </c>
      <c r="E4979" t="s">
        <v>2026</v>
      </c>
      <c r="F4979" t="s">
        <v>2027</v>
      </c>
      <c r="G4979" t="s">
        <v>78</v>
      </c>
      <c r="H4979" t="s">
        <v>50</v>
      </c>
      <c r="I4979" t="s">
        <v>24</v>
      </c>
      <c r="J4979" t="s">
        <v>25</v>
      </c>
      <c r="K4979" t="s">
        <v>32</v>
      </c>
      <c r="L4979" t="s">
        <v>27</v>
      </c>
      <c r="M4979">
        <v>1</v>
      </c>
      <c r="N4979" s="2">
        <v>37</v>
      </c>
      <c r="O4979" s="3">
        <v>1793</v>
      </c>
      <c r="P4979">
        <v>0</v>
      </c>
      <c r="Q4979">
        <v>4</v>
      </c>
      <c r="R4979" t="s">
        <v>33</v>
      </c>
      <c r="S4979">
        <v>1</v>
      </c>
    </row>
    <row r="4980" spans="1:19" ht="16.5" x14ac:dyDescent="0.3">
      <c r="A4980" t="s">
        <v>5043</v>
      </c>
      <c r="B4980" s="1">
        <v>45953</v>
      </c>
      <c r="C4980" s="1">
        <v>45959</v>
      </c>
      <c r="D4980">
        <v>2025</v>
      </c>
      <c r="E4980" t="s">
        <v>2026</v>
      </c>
      <c r="F4980" t="s">
        <v>2027</v>
      </c>
      <c r="G4980" t="s">
        <v>78</v>
      </c>
      <c r="H4980" t="s">
        <v>30</v>
      </c>
      <c r="I4980" t="s">
        <v>24</v>
      </c>
      <c r="J4980" t="s">
        <v>43</v>
      </c>
      <c r="K4980" t="s">
        <v>36</v>
      </c>
      <c r="L4980" t="s">
        <v>27</v>
      </c>
      <c r="M4980">
        <v>6</v>
      </c>
      <c r="N4980" s="2">
        <v>29</v>
      </c>
      <c r="O4980" s="3">
        <v>6573</v>
      </c>
      <c r="P4980">
        <v>0</v>
      </c>
      <c r="Q4980">
        <v>4</v>
      </c>
      <c r="R4980" t="s">
        <v>33</v>
      </c>
      <c r="S4980">
        <v>1</v>
      </c>
    </row>
    <row r="4981" spans="1:19" ht="16.5" x14ac:dyDescent="0.3">
      <c r="A4981" t="s">
        <v>5044</v>
      </c>
      <c r="B4981" s="1">
        <v>45953</v>
      </c>
      <c r="C4981" s="1">
        <v>45954</v>
      </c>
      <c r="D4981">
        <v>2025</v>
      </c>
      <c r="E4981" t="s">
        <v>2026</v>
      </c>
      <c r="F4981" t="s">
        <v>2027</v>
      </c>
      <c r="G4981" t="s">
        <v>78</v>
      </c>
      <c r="H4981" t="s">
        <v>30</v>
      </c>
      <c r="I4981" t="s">
        <v>24</v>
      </c>
      <c r="J4981" t="s">
        <v>43</v>
      </c>
      <c r="K4981" t="s">
        <v>32</v>
      </c>
      <c r="L4981" t="s">
        <v>37</v>
      </c>
      <c r="M4981">
        <v>1</v>
      </c>
      <c r="N4981" s="2">
        <v>55</v>
      </c>
      <c r="O4981" s="3">
        <v>1519</v>
      </c>
      <c r="P4981">
        <v>0</v>
      </c>
      <c r="Q4981">
        <v>4</v>
      </c>
      <c r="R4981" t="s">
        <v>28</v>
      </c>
      <c r="S4981">
        <v>1</v>
      </c>
    </row>
    <row r="4982" spans="1:19" ht="16.5" x14ac:dyDescent="0.3">
      <c r="A4982" t="s">
        <v>5045</v>
      </c>
      <c r="B4982" s="1">
        <v>45953</v>
      </c>
      <c r="C4982" s="1">
        <v>45956</v>
      </c>
      <c r="D4982">
        <v>2025</v>
      </c>
      <c r="E4982" t="s">
        <v>2026</v>
      </c>
      <c r="F4982" t="s">
        <v>2027</v>
      </c>
      <c r="G4982" t="s">
        <v>78</v>
      </c>
      <c r="H4982" t="s">
        <v>35</v>
      </c>
      <c r="I4982" t="s">
        <v>24</v>
      </c>
      <c r="J4982" t="s">
        <v>25</v>
      </c>
      <c r="K4982" t="s">
        <v>32</v>
      </c>
      <c r="L4982" t="s">
        <v>27</v>
      </c>
      <c r="M4982">
        <v>3</v>
      </c>
      <c r="N4982" s="2">
        <v>34</v>
      </c>
      <c r="O4982" s="3">
        <v>2303</v>
      </c>
      <c r="P4982">
        <v>0</v>
      </c>
      <c r="Q4982">
        <v>4</v>
      </c>
      <c r="R4982" t="s">
        <v>33</v>
      </c>
      <c r="S4982">
        <v>1</v>
      </c>
    </row>
    <row r="4983" spans="1:19" ht="16.5" x14ac:dyDescent="0.3">
      <c r="A4983" t="s">
        <v>5046</v>
      </c>
      <c r="B4983" s="1">
        <v>45953</v>
      </c>
      <c r="C4983" s="1">
        <v>45961</v>
      </c>
      <c r="D4983">
        <v>2025</v>
      </c>
      <c r="E4983" t="s">
        <v>2026</v>
      </c>
      <c r="F4983" t="s">
        <v>2027</v>
      </c>
      <c r="G4983" t="s">
        <v>78</v>
      </c>
      <c r="H4983" t="s">
        <v>30</v>
      </c>
      <c r="I4983" t="s">
        <v>40</v>
      </c>
      <c r="J4983" t="s">
        <v>43</v>
      </c>
      <c r="K4983" t="s">
        <v>53</v>
      </c>
      <c r="L4983" t="s">
        <v>44</v>
      </c>
      <c r="M4983">
        <v>8</v>
      </c>
      <c r="N4983" s="2"/>
      <c r="O4983" s="3">
        <v>10233</v>
      </c>
      <c r="P4983">
        <v>0</v>
      </c>
      <c r="Q4983">
        <v>3</v>
      </c>
      <c r="R4983" t="s">
        <v>33</v>
      </c>
      <c r="S4983">
        <v>1</v>
      </c>
    </row>
    <row r="4984" spans="1:19" ht="16.5" x14ac:dyDescent="0.3">
      <c r="A4984" t="s">
        <v>5047</v>
      </c>
      <c r="B4984" s="1">
        <v>45953</v>
      </c>
      <c r="C4984" s="1">
        <v>45957</v>
      </c>
      <c r="D4984">
        <v>2025</v>
      </c>
      <c r="E4984" t="s">
        <v>2026</v>
      </c>
      <c r="F4984" t="s">
        <v>2027</v>
      </c>
      <c r="G4984" t="s">
        <v>78</v>
      </c>
      <c r="H4984" t="s">
        <v>30</v>
      </c>
      <c r="I4984" t="s">
        <v>40</v>
      </c>
      <c r="J4984" t="s">
        <v>43</v>
      </c>
      <c r="K4984" t="s">
        <v>36</v>
      </c>
      <c r="L4984" t="s">
        <v>44</v>
      </c>
      <c r="M4984">
        <v>4</v>
      </c>
      <c r="N4984" s="2"/>
      <c r="O4984" s="3">
        <v>5276</v>
      </c>
      <c r="P4984">
        <v>0</v>
      </c>
      <c r="Q4984">
        <v>4</v>
      </c>
      <c r="R4984" t="s">
        <v>33</v>
      </c>
      <c r="S4984">
        <v>1</v>
      </c>
    </row>
    <row r="4985" spans="1:19" ht="16.5" x14ac:dyDescent="0.3">
      <c r="A4985" t="s">
        <v>5048</v>
      </c>
      <c r="B4985" s="1">
        <v>45953</v>
      </c>
      <c r="C4985" s="1">
        <v>45955</v>
      </c>
      <c r="D4985">
        <v>2025</v>
      </c>
      <c r="E4985" t="s">
        <v>2026</v>
      </c>
      <c r="F4985" t="s">
        <v>2027</v>
      </c>
      <c r="G4985" t="s">
        <v>78</v>
      </c>
      <c r="H4985" t="s">
        <v>39</v>
      </c>
      <c r="I4985" t="s">
        <v>24</v>
      </c>
      <c r="J4985" t="s">
        <v>25</v>
      </c>
      <c r="K4985" t="s">
        <v>41</v>
      </c>
      <c r="L4985" t="s">
        <v>27</v>
      </c>
      <c r="M4985">
        <v>2</v>
      </c>
      <c r="N4985" s="2">
        <v>31</v>
      </c>
      <c r="O4985" s="3">
        <v>1855</v>
      </c>
      <c r="P4985">
        <v>0</v>
      </c>
      <c r="Q4985">
        <v>4</v>
      </c>
      <c r="R4985" t="s">
        <v>59</v>
      </c>
      <c r="S4985">
        <v>1</v>
      </c>
    </row>
    <row r="4986" spans="1:19" ht="16.5" x14ac:dyDescent="0.3">
      <c r="A4986" t="s">
        <v>5049</v>
      </c>
      <c r="B4986" s="1">
        <v>45953</v>
      </c>
      <c r="C4986" s="1">
        <v>45957</v>
      </c>
      <c r="D4986">
        <v>2025</v>
      </c>
      <c r="E4986" t="s">
        <v>2026</v>
      </c>
      <c r="F4986" t="s">
        <v>2027</v>
      </c>
      <c r="G4986" t="s">
        <v>78</v>
      </c>
      <c r="H4986" t="s">
        <v>50</v>
      </c>
      <c r="I4986" t="s">
        <v>24</v>
      </c>
      <c r="J4986" t="s">
        <v>43</v>
      </c>
      <c r="K4986" t="s">
        <v>36</v>
      </c>
      <c r="L4986" t="s">
        <v>27</v>
      </c>
      <c r="M4986">
        <v>4</v>
      </c>
      <c r="N4986" s="2">
        <v>100</v>
      </c>
      <c r="O4986" s="3">
        <v>6214</v>
      </c>
      <c r="P4986">
        <v>0</v>
      </c>
      <c r="Q4986">
        <v>2</v>
      </c>
      <c r="R4986" t="s">
        <v>59</v>
      </c>
      <c r="S4986">
        <v>1</v>
      </c>
    </row>
    <row r="4987" spans="1:19" ht="16.5" x14ac:dyDescent="0.3">
      <c r="A4987" t="s">
        <v>5050</v>
      </c>
      <c r="B4987" s="1">
        <v>45953</v>
      </c>
      <c r="C4987" s="1">
        <v>45958</v>
      </c>
      <c r="D4987">
        <v>2025</v>
      </c>
      <c r="E4987" t="s">
        <v>2026</v>
      </c>
      <c r="F4987" t="s">
        <v>2027</v>
      </c>
      <c r="G4987" t="s">
        <v>78</v>
      </c>
      <c r="H4987" t="s">
        <v>52</v>
      </c>
      <c r="I4987" t="s">
        <v>40</v>
      </c>
      <c r="J4987" t="s">
        <v>43</v>
      </c>
      <c r="K4987" t="s">
        <v>32</v>
      </c>
      <c r="L4987" t="s">
        <v>44</v>
      </c>
      <c r="M4987">
        <v>5</v>
      </c>
      <c r="N4987" s="2"/>
      <c r="O4987" s="3">
        <v>5793</v>
      </c>
      <c r="P4987">
        <v>0</v>
      </c>
      <c r="Q4987">
        <v>4</v>
      </c>
      <c r="R4987" t="s">
        <v>165</v>
      </c>
      <c r="S4987">
        <v>1</v>
      </c>
    </row>
    <row r="4988" spans="1:19" ht="16.5" x14ac:dyDescent="0.3">
      <c r="A4988" t="s">
        <v>5051</v>
      </c>
      <c r="B4988" s="1">
        <v>45953</v>
      </c>
      <c r="C4988" s="1">
        <v>45955</v>
      </c>
      <c r="D4988">
        <v>2025</v>
      </c>
      <c r="E4988" t="s">
        <v>2026</v>
      </c>
      <c r="F4988" t="s">
        <v>2027</v>
      </c>
      <c r="G4988" t="s">
        <v>78</v>
      </c>
      <c r="H4988" t="s">
        <v>52</v>
      </c>
      <c r="I4988" t="s">
        <v>40</v>
      </c>
      <c r="J4988" t="s">
        <v>43</v>
      </c>
      <c r="K4988" t="s">
        <v>32</v>
      </c>
      <c r="L4988" t="s">
        <v>27</v>
      </c>
      <c r="M4988">
        <v>2</v>
      </c>
      <c r="N4988" s="2"/>
      <c r="O4988" s="3">
        <v>2354</v>
      </c>
      <c r="P4988">
        <v>0</v>
      </c>
      <c r="Q4988">
        <v>5</v>
      </c>
      <c r="R4988" t="s">
        <v>28</v>
      </c>
      <c r="S4988">
        <v>1</v>
      </c>
    </row>
    <row r="4989" spans="1:19" ht="16.5" x14ac:dyDescent="0.3">
      <c r="A4989" t="s">
        <v>5052</v>
      </c>
      <c r="B4989" s="1">
        <v>45954</v>
      </c>
      <c r="C4989" s="1">
        <v>45961</v>
      </c>
      <c r="D4989">
        <v>2025</v>
      </c>
      <c r="E4989" t="s">
        <v>2026</v>
      </c>
      <c r="F4989" t="s">
        <v>2027</v>
      </c>
      <c r="G4989" t="s">
        <v>83</v>
      </c>
      <c r="H4989" t="s">
        <v>50</v>
      </c>
      <c r="I4989" t="s">
        <v>24</v>
      </c>
      <c r="J4989" t="s">
        <v>25</v>
      </c>
      <c r="K4989" t="s">
        <v>26</v>
      </c>
      <c r="L4989" t="s">
        <v>27</v>
      </c>
      <c r="M4989">
        <v>7</v>
      </c>
      <c r="N4989" s="2">
        <v>53</v>
      </c>
      <c r="O4989" s="3">
        <v>7839</v>
      </c>
      <c r="P4989">
        <v>0</v>
      </c>
      <c r="Q4989">
        <v>5</v>
      </c>
      <c r="R4989" t="s">
        <v>28</v>
      </c>
      <c r="S4989">
        <v>1</v>
      </c>
    </row>
    <row r="4990" spans="1:19" ht="16.5" x14ac:dyDescent="0.3">
      <c r="A4990" t="s">
        <v>5053</v>
      </c>
      <c r="B4990" s="1">
        <v>45954</v>
      </c>
      <c r="C4990" s="1">
        <v>45955</v>
      </c>
      <c r="D4990">
        <v>2025</v>
      </c>
      <c r="E4990" t="s">
        <v>2026</v>
      </c>
      <c r="F4990" t="s">
        <v>2027</v>
      </c>
      <c r="G4990" t="s">
        <v>83</v>
      </c>
      <c r="H4990" t="s">
        <v>50</v>
      </c>
      <c r="I4990" t="s">
        <v>40</v>
      </c>
      <c r="J4990" t="s">
        <v>43</v>
      </c>
      <c r="K4990" t="s">
        <v>53</v>
      </c>
      <c r="L4990" t="s">
        <v>27</v>
      </c>
      <c r="M4990">
        <v>1</v>
      </c>
      <c r="N4990" s="2"/>
      <c r="O4990" s="3">
        <v>2151</v>
      </c>
      <c r="P4990">
        <v>1</v>
      </c>
      <c r="Q4990">
        <v>3</v>
      </c>
      <c r="R4990" t="s">
        <v>33</v>
      </c>
      <c r="S4990">
        <v>1</v>
      </c>
    </row>
    <row r="4991" spans="1:19" ht="16.5" x14ac:dyDescent="0.3">
      <c r="A4991" t="s">
        <v>5054</v>
      </c>
      <c r="B4991" s="1">
        <v>45954</v>
      </c>
      <c r="C4991" s="1">
        <v>45955</v>
      </c>
      <c r="D4991">
        <v>2025</v>
      </c>
      <c r="E4991" t="s">
        <v>2026</v>
      </c>
      <c r="F4991" t="s">
        <v>2027</v>
      </c>
      <c r="G4991" t="s">
        <v>83</v>
      </c>
      <c r="H4991" t="s">
        <v>35</v>
      </c>
      <c r="I4991" t="s">
        <v>24</v>
      </c>
      <c r="J4991" t="s">
        <v>25</v>
      </c>
      <c r="K4991" t="s">
        <v>36</v>
      </c>
      <c r="L4991" t="s">
        <v>27</v>
      </c>
      <c r="M4991">
        <v>1</v>
      </c>
      <c r="N4991" s="2">
        <v>54</v>
      </c>
      <c r="O4991" s="3">
        <v>1597</v>
      </c>
      <c r="P4991">
        <v>0</v>
      </c>
      <c r="Q4991">
        <v>4</v>
      </c>
      <c r="R4991" t="s">
        <v>28</v>
      </c>
      <c r="S4991">
        <v>1</v>
      </c>
    </row>
    <row r="4992" spans="1:19" ht="16.5" x14ac:dyDescent="0.3">
      <c r="A4992" t="s">
        <v>5055</v>
      </c>
      <c r="B4992" s="1">
        <v>45954</v>
      </c>
      <c r="C4992" s="1">
        <v>45955</v>
      </c>
      <c r="D4992">
        <v>2025</v>
      </c>
      <c r="E4992" t="s">
        <v>2026</v>
      </c>
      <c r="F4992" t="s">
        <v>2027</v>
      </c>
      <c r="G4992" t="s">
        <v>83</v>
      </c>
      <c r="H4992" t="s">
        <v>52</v>
      </c>
      <c r="I4992" t="s">
        <v>40</v>
      </c>
      <c r="J4992" t="s">
        <v>25</v>
      </c>
      <c r="K4992" t="s">
        <v>26</v>
      </c>
      <c r="L4992" t="s">
        <v>37</v>
      </c>
      <c r="M4992">
        <v>1</v>
      </c>
      <c r="N4992" s="2"/>
      <c r="O4992" s="3">
        <v>1815</v>
      </c>
      <c r="P4992">
        <v>1</v>
      </c>
      <c r="Q4992">
        <v>4</v>
      </c>
      <c r="R4992" t="s">
        <v>28</v>
      </c>
      <c r="S4992">
        <v>1</v>
      </c>
    </row>
    <row r="4993" spans="1:19" ht="16.5" x14ac:dyDescent="0.3">
      <c r="A4993" t="s">
        <v>5056</v>
      </c>
      <c r="B4993" s="1">
        <v>45954</v>
      </c>
      <c r="C4993" s="1">
        <v>45957</v>
      </c>
      <c r="D4993">
        <v>2025</v>
      </c>
      <c r="E4993" t="s">
        <v>2026</v>
      </c>
      <c r="F4993" t="s">
        <v>2027</v>
      </c>
      <c r="G4993" t="s">
        <v>83</v>
      </c>
      <c r="H4993" t="s">
        <v>50</v>
      </c>
      <c r="I4993" t="s">
        <v>31</v>
      </c>
      <c r="J4993" t="s">
        <v>43</v>
      </c>
      <c r="K4993" t="s">
        <v>26</v>
      </c>
      <c r="L4993" t="s">
        <v>44</v>
      </c>
      <c r="M4993">
        <v>3</v>
      </c>
      <c r="N4993" s="2"/>
      <c r="O4993" s="3">
        <v>3122</v>
      </c>
      <c r="P4993">
        <v>0</v>
      </c>
      <c r="Q4993">
        <v>5</v>
      </c>
      <c r="R4993" t="s">
        <v>28</v>
      </c>
      <c r="S4993">
        <v>1</v>
      </c>
    </row>
    <row r="4994" spans="1:19" ht="16.5" x14ac:dyDescent="0.3">
      <c r="A4994" t="s">
        <v>5057</v>
      </c>
      <c r="B4994" s="1">
        <v>45954</v>
      </c>
      <c r="C4994" s="1">
        <v>45957</v>
      </c>
      <c r="D4994">
        <v>2025</v>
      </c>
      <c r="E4994" t="s">
        <v>2026</v>
      </c>
      <c r="F4994" t="s">
        <v>2027</v>
      </c>
      <c r="G4994" t="s">
        <v>83</v>
      </c>
      <c r="H4994" t="s">
        <v>39</v>
      </c>
      <c r="I4994" t="s">
        <v>40</v>
      </c>
      <c r="J4994" t="s">
        <v>43</v>
      </c>
      <c r="K4994" t="s">
        <v>41</v>
      </c>
      <c r="L4994" t="s">
        <v>44</v>
      </c>
      <c r="M4994">
        <v>3</v>
      </c>
      <c r="N4994" s="2"/>
      <c r="O4994" s="3">
        <v>2196</v>
      </c>
      <c r="P4994">
        <v>0</v>
      </c>
      <c r="Q4994">
        <v>4</v>
      </c>
      <c r="R4994" t="s">
        <v>33</v>
      </c>
      <c r="S4994">
        <v>1</v>
      </c>
    </row>
    <row r="4995" spans="1:19" ht="16.5" x14ac:dyDescent="0.3">
      <c r="A4995" t="s">
        <v>5058</v>
      </c>
      <c r="B4995" s="1">
        <v>45954</v>
      </c>
      <c r="C4995" s="1">
        <v>45955</v>
      </c>
      <c r="D4995">
        <v>2025</v>
      </c>
      <c r="E4995" t="s">
        <v>2026</v>
      </c>
      <c r="F4995" t="s">
        <v>2027</v>
      </c>
      <c r="G4995" t="s">
        <v>83</v>
      </c>
      <c r="H4995" t="s">
        <v>39</v>
      </c>
      <c r="I4995" t="s">
        <v>24</v>
      </c>
      <c r="J4995" t="s">
        <v>43</v>
      </c>
      <c r="K4995" t="s">
        <v>41</v>
      </c>
      <c r="L4995" t="s">
        <v>27</v>
      </c>
      <c r="M4995">
        <v>1</v>
      </c>
      <c r="N4995" s="2">
        <v>39</v>
      </c>
      <c r="O4995" s="3">
        <v>1146</v>
      </c>
      <c r="P4995">
        <v>0</v>
      </c>
      <c r="Q4995">
        <v>4</v>
      </c>
      <c r="R4995" t="s">
        <v>33</v>
      </c>
      <c r="S4995">
        <v>1</v>
      </c>
    </row>
    <row r="4996" spans="1:19" ht="16.5" x14ac:dyDescent="0.3">
      <c r="A4996" t="s">
        <v>5059</v>
      </c>
      <c r="B4996" s="1">
        <v>45955</v>
      </c>
      <c r="C4996" s="1">
        <v>45962</v>
      </c>
      <c r="D4996">
        <v>2025</v>
      </c>
      <c r="E4996" t="s">
        <v>2026</v>
      </c>
      <c r="F4996" t="s">
        <v>2027</v>
      </c>
      <c r="G4996" t="s">
        <v>102</v>
      </c>
      <c r="H4996" t="s">
        <v>30</v>
      </c>
      <c r="I4996" t="s">
        <v>24</v>
      </c>
      <c r="J4996" t="s">
        <v>43</v>
      </c>
      <c r="K4996" t="s">
        <v>26</v>
      </c>
      <c r="L4996" t="s">
        <v>44</v>
      </c>
      <c r="M4996">
        <v>7</v>
      </c>
      <c r="N4996" s="2">
        <v>44</v>
      </c>
      <c r="O4996" s="3">
        <v>8660</v>
      </c>
      <c r="P4996">
        <v>1</v>
      </c>
      <c r="Q4996">
        <v>5</v>
      </c>
      <c r="R4996" t="s">
        <v>33</v>
      </c>
      <c r="S4996">
        <v>1</v>
      </c>
    </row>
    <row r="4997" spans="1:19" ht="16.5" x14ac:dyDescent="0.3">
      <c r="A4997" t="s">
        <v>5060</v>
      </c>
      <c r="B4997" s="1">
        <v>45955</v>
      </c>
      <c r="C4997" s="1">
        <v>45960</v>
      </c>
      <c r="D4997">
        <v>2025</v>
      </c>
      <c r="E4997" t="s">
        <v>2026</v>
      </c>
      <c r="F4997" t="s">
        <v>2027</v>
      </c>
      <c r="G4997" t="s">
        <v>102</v>
      </c>
      <c r="H4997" t="s">
        <v>35</v>
      </c>
      <c r="I4997" t="s">
        <v>24</v>
      </c>
      <c r="J4997" t="s">
        <v>25</v>
      </c>
      <c r="K4997" t="s">
        <v>32</v>
      </c>
      <c r="L4997" t="s">
        <v>44</v>
      </c>
      <c r="M4997">
        <v>5</v>
      </c>
      <c r="N4997" s="2">
        <v>30</v>
      </c>
      <c r="O4997" s="3">
        <v>3110</v>
      </c>
      <c r="P4997">
        <v>0</v>
      </c>
      <c r="Q4997">
        <v>4</v>
      </c>
      <c r="R4997" t="s">
        <v>33</v>
      </c>
      <c r="S4997">
        <v>1</v>
      </c>
    </row>
    <row r="4998" spans="1:19" ht="16.5" x14ac:dyDescent="0.3">
      <c r="A4998" t="s">
        <v>5061</v>
      </c>
      <c r="B4998" s="1">
        <v>45955</v>
      </c>
      <c r="C4998" s="1">
        <v>45959</v>
      </c>
      <c r="D4998">
        <v>2025</v>
      </c>
      <c r="E4998" t="s">
        <v>2026</v>
      </c>
      <c r="F4998" t="s">
        <v>2027</v>
      </c>
      <c r="G4998" t="s">
        <v>102</v>
      </c>
      <c r="H4998" t="s">
        <v>23</v>
      </c>
      <c r="I4998" t="s">
        <v>24</v>
      </c>
      <c r="J4998" t="s">
        <v>43</v>
      </c>
      <c r="K4998" t="s">
        <v>36</v>
      </c>
      <c r="L4998" t="s">
        <v>44</v>
      </c>
      <c r="M4998">
        <v>4</v>
      </c>
      <c r="N4998" s="2">
        <v>133</v>
      </c>
      <c r="O4998" s="3">
        <v>3272</v>
      </c>
      <c r="P4998">
        <v>0</v>
      </c>
      <c r="Q4998">
        <v>4</v>
      </c>
      <c r="R4998" t="s">
        <v>33</v>
      </c>
      <c r="S4998">
        <v>1</v>
      </c>
    </row>
    <row r="4999" spans="1:19" ht="16.5" x14ac:dyDescent="0.3">
      <c r="A4999" t="s">
        <v>5062</v>
      </c>
      <c r="B4999" s="1">
        <v>45955</v>
      </c>
      <c r="C4999" s="1">
        <v>45963</v>
      </c>
      <c r="D4999">
        <v>2025</v>
      </c>
      <c r="E4999" t="s">
        <v>2026</v>
      </c>
      <c r="F4999" t="s">
        <v>2027</v>
      </c>
      <c r="G4999" t="s">
        <v>102</v>
      </c>
      <c r="H4999" t="s">
        <v>30</v>
      </c>
      <c r="I4999" t="s">
        <v>40</v>
      </c>
      <c r="J4999" t="s">
        <v>43</v>
      </c>
      <c r="K4999" t="s">
        <v>26</v>
      </c>
      <c r="L4999" t="s">
        <v>37</v>
      </c>
      <c r="M4999">
        <v>8</v>
      </c>
      <c r="N4999" s="2"/>
      <c r="O4999" s="3">
        <v>8238</v>
      </c>
      <c r="P4999">
        <v>0</v>
      </c>
      <c r="Q4999">
        <v>5</v>
      </c>
      <c r="R4999" t="s">
        <v>28</v>
      </c>
      <c r="S4999">
        <v>1</v>
      </c>
    </row>
    <row r="5000" spans="1:19" ht="16.5" x14ac:dyDescent="0.3">
      <c r="A5000" t="s">
        <v>5063</v>
      </c>
      <c r="B5000" s="1">
        <v>45955</v>
      </c>
      <c r="C5000" s="1">
        <v>45957</v>
      </c>
      <c r="D5000">
        <v>2025</v>
      </c>
      <c r="E5000" t="s">
        <v>2026</v>
      </c>
      <c r="F5000" t="s">
        <v>2027</v>
      </c>
      <c r="G5000" t="s">
        <v>102</v>
      </c>
      <c r="H5000" t="s">
        <v>30</v>
      </c>
      <c r="I5000" t="s">
        <v>31</v>
      </c>
      <c r="J5000" t="s">
        <v>25</v>
      </c>
      <c r="K5000" t="s">
        <v>26</v>
      </c>
      <c r="L5000" t="s">
        <v>27</v>
      </c>
      <c r="M5000">
        <v>2</v>
      </c>
      <c r="N5000" s="2"/>
      <c r="O5000" s="3">
        <v>2683</v>
      </c>
      <c r="P5000">
        <v>0</v>
      </c>
      <c r="Q5000">
        <v>4</v>
      </c>
      <c r="R5000" t="s">
        <v>28</v>
      </c>
      <c r="S5000">
        <v>1</v>
      </c>
    </row>
    <row r="5001" spans="1:19" ht="16.5" x14ac:dyDescent="0.3">
      <c r="A5001" t="s">
        <v>5064</v>
      </c>
      <c r="B5001" s="1">
        <v>45955</v>
      </c>
      <c r="C5001" s="1">
        <v>45971</v>
      </c>
      <c r="D5001">
        <v>2025</v>
      </c>
      <c r="E5001" t="s">
        <v>2026</v>
      </c>
      <c r="F5001" t="s">
        <v>2027</v>
      </c>
      <c r="G5001" t="s">
        <v>102</v>
      </c>
      <c r="H5001" t="s">
        <v>23</v>
      </c>
      <c r="I5001" t="s">
        <v>24</v>
      </c>
      <c r="J5001" t="s">
        <v>43</v>
      </c>
      <c r="K5001" t="s">
        <v>32</v>
      </c>
      <c r="L5001" t="s">
        <v>44</v>
      </c>
      <c r="M5001">
        <v>16</v>
      </c>
      <c r="N5001" s="2">
        <v>32</v>
      </c>
      <c r="O5001" s="3">
        <v>13684</v>
      </c>
      <c r="P5001">
        <v>0</v>
      </c>
      <c r="Q5001">
        <v>5</v>
      </c>
      <c r="R5001" t="s">
        <v>28</v>
      </c>
      <c r="S5001">
        <v>1</v>
      </c>
    </row>
    <row r="5002" spans="1:19" ht="16.5" x14ac:dyDescent="0.3">
      <c r="A5002" t="s">
        <v>5065</v>
      </c>
      <c r="B5002" s="1">
        <v>45955</v>
      </c>
      <c r="C5002" s="1">
        <v>45967</v>
      </c>
      <c r="D5002">
        <v>2025</v>
      </c>
      <c r="E5002" t="s">
        <v>2026</v>
      </c>
      <c r="F5002" t="s">
        <v>2027</v>
      </c>
      <c r="G5002" t="s">
        <v>102</v>
      </c>
      <c r="H5002" t="s">
        <v>50</v>
      </c>
      <c r="I5002" t="s">
        <v>24</v>
      </c>
      <c r="J5002" t="s">
        <v>43</v>
      </c>
      <c r="K5002" t="s">
        <v>26</v>
      </c>
      <c r="L5002" t="s">
        <v>37</v>
      </c>
      <c r="M5002">
        <v>12</v>
      </c>
      <c r="N5002" s="2">
        <v>47</v>
      </c>
      <c r="O5002" s="3">
        <v>16839</v>
      </c>
      <c r="P5002">
        <v>0</v>
      </c>
      <c r="Q5002">
        <v>4</v>
      </c>
      <c r="R5002" t="s">
        <v>33</v>
      </c>
      <c r="S5002">
        <v>1</v>
      </c>
    </row>
    <row r="5003" spans="1:19" ht="16.5" x14ac:dyDescent="0.3">
      <c r="A5003" t="s">
        <v>5066</v>
      </c>
      <c r="B5003" s="1">
        <v>45956</v>
      </c>
      <c r="C5003" s="1">
        <v>45960</v>
      </c>
      <c r="D5003">
        <v>2025</v>
      </c>
      <c r="E5003" t="s">
        <v>2026</v>
      </c>
      <c r="F5003" t="s">
        <v>2027</v>
      </c>
      <c r="G5003" t="s">
        <v>112</v>
      </c>
      <c r="H5003" t="s">
        <v>39</v>
      </c>
      <c r="I5003" t="s">
        <v>24</v>
      </c>
      <c r="J5003" t="s">
        <v>25</v>
      </c>
      <c r="K5003" t="s">
        <v>41</v>
      </c>
      <c r="L5003" t="s">
        <v>44</v>
      </c>
      <c r="M5003">
        <v>4</v>
      </c>
      <c r="N5003" s="2">
        <v>48</v>
      </c>
      <c r="O5003" s="3">
        <v>3026</v>
      </c>
      <c r="P5003">
        <v>1</v>
      </c>
      <c r="Q5003">
        <v>3</v>
      </c>
      <c r="R5003" t="s">
        <v>33</v>
      </c>
      <c r="S5003">
        <v>1</v>
      </c>
    </row>
    <row r="5004" spans="1:19" ht="16.5" x14ac:dyDescent="0.3">
      <c r="A5004" t="s">
        <v>5067</v>
      </c>
      <c r="B5004" s="1">
        <v>45956</v>
      </c>
      <c r="C5004" s="1">
        <v>45961</v>
      </c>
      <c r="D5004">
        <v>2025</v>
      </c>
      <c r="E5004" t="s">
        <v>2026</v>
      </c>
      <c r="F5004" t="s">
        <v>2027</v>
      </c>
      <c r="G5004" t="s">
        <v>112</v>
      </c>
      <c r="H5004" t="s">
        <v>23</v>
      </c>
      <c r="I5004" t="s">
        <v>24</v>
      </c>
      <c r="J5004" t="s">
        <v>43</v>
      </c>
      <c r="K5004" t="s">
        <v>36</v>
      </c>
      <c r="L5004" t="s">
        <v>27</v>
      </c>
      <c r="M5004">
        <v>5</v>
      </c>
      <c r="N5004" s="2">
        <v>17</v>
      </c>
      <c r="O5004" s="3">
        <v>3691</v>
      </c>
      <c r="P5004">
        <v>0</v>
      </c>
      <c r="Q5004">
        <v>4</v>
      </c>
      <c r="R5004" t="s">
        <v>28</v>
      </c>
      <c r="S5004">
        <v>1</v>
      </c>
    </row>
    <row r="5005" spans="1:19" ht="16.5" x14ac:dyDescent="0.3">
      <c r="A5005" t="s">
        <v>5068</v>
      </c>
      <c r="B5005" s="1">
        <v>45956</v>
      </c>
      <c r="C5005" s="1">
        <v>45963</v>
      </c>
      <c r="D5005">
        <v>2025</v>
      </c>
      <c r="E5005" t="s">
        <v>2026</v>
      </c>
      <c r="F5005" t="s">
        <v>2027</v>
      </c>
      <c r="G5005" t="s">
        <v>112</v>
      </c>
      <c r="H5005" t="s">
        <v>30</v>
      </c>
      <c r="I5005" t="s">
        <v>40</v>
      </c>
      <c r="J5005" t="s">
        <v>25</v>
      </c>
      <c r="K5005" t="s">
        <v>26</v>
      </c>
      <c r="L5005" t="s">
        <v>44</v>
      </c>
      <c r="M5005">
        <v>7</v>
      </c>
      <c r="N5005" s="2"/>
      <c r="O5005" s="3">
        <v>8726</v>
      </c>
      <c r="P5005">
        <v>0</v>
      </c>
      <c r="Q5005">
        <v>5</v>
      </c>
      <c r="R5005" t="s">
        <v>33</v>
      </c>
      <c r="S5005">
        <v>1</v>
      </c>
    </row>
    <row r="5006" spans="1:19" ht="16.5" x14ac:dyDescent="0.3">
      <c r="A5006" t="s">
        <v>5069</v>
      </c>
      <c r="B5006" s="1">
        <v>45956</v>
      </c>
      <c r="C5006" s="1">
        <v>45959</v>
      </c>
      <c r="D5006">
        <v>2025</v>
      </c>
      <c r="E5006" t="s">
        <v>2026</v>
      </c>
      <c r="F5006" t="s">
        <v>2027</v>
      </c>
      <c r="G5006" t="s">
        <v>112</v>
      </c>
      <c r="H5006" t="s">
        <v>35</v>
      </c>
      <c r="I5006" t="s">
        <v>24</v>
      </c>
      <c r="J5006" t="s">
        <v>25</v>
      </c>
      <c r="K5006" t="s">
        <v>36</v>
      </c>
      <c r="L5006" t="s">
        <v>27</v>
      </c>
      <c r="M5006">
        <v>3</v>
      </c>
      <c r="N5006" s="2">
        <v>86</v>
      </c>
      <c r="O5006" s="3">
        <v>3584</v>
      </c>
      <c r="P5006">
        <v>0</v>
      </c>
      <c r="Q5006">
        <v>4</v>
      </c>
      <c r="R5006" t="s">
        <v>33</v>
      </c>
      <c r="S5006">
        <v>1</v>
      </c>
    </row>
    <row r="5007" spans="1:19" ht="16.5" x14ac:dyDescent="0.3">
      <c r="A5007" t="s">
        <v>5070</v>
      </c>
      <c r="B5007" s="1">
        <v>45956</v>
      </c>
      <c r="C5007" s="1">
        <v>45961</v>
      </c>
      <c r="D5007">
        <v>2025</v>
      </c>
      <c r="E5007" t="s">
        <v>2026</v>
      </c>
      <c r="F5007" t="s">
        <v>2027</v>
      </c>
      <c r="G5007" t="s">
        <v>112</v>
      </c>
      <c r="H5007" t="s">
        <v>50</v>
      </c>
      <c r="I5007" t="s">
        <v>40</v>
      </c>
      <c r="J5007" t="s">
        <v>25</v>
      </c>
      <c r="K5007" t="s">
        <v>36</v>
      </c>
      <c r="L5007" t="s">
        <v>27</v>
      </c>
      <c r="M5007">
        <v>5</v>
      </c>
      <c r="N5007" s="2"/>
      <c r="O5007" s="3">
        <v>7357</v>
      </c>
      <c r="P5007">
        <v>0</v>
      </c>
      <c r="Q5007">
        <v>4</v>
      </c>
      <c r="R5007" t="s">
        <v>33</v>
      </c>
      <c r="S5007">
        <v>1</v>
      </c>
    </row>
    <row r="5008" spans="1:19" ht="16.5" x14ac:dyDescent="0.3">
      <c r="A5008" t="s">
        <v>5071</v>
      </c>
      <c r="B5008" s="1">
        <v>45956</v>
      </c>
      <c r="C5008" s="1">
        <v>45958</v>
      </c>
      <c r="D5008">
        <v>2025</v>
      </c>
      <c r="E5008" t="s">
        <v>2026</v>
      </c>
      <c r="F5008" t="s">
        <v>2027</v>
      </c>
      <c r="G5008" t="s">
        <v>112</v>
      </c>
      <c r="H5008" t="s">
        <v>35</v>
      </c>
      <c r="I5008" t="s">
        <v>40</v>
      </c>
      <c r="J5008" t="s">
        <v>25</v>
      </c>
      <c r="K5008" t="s">
        <v>36</v>
      </c>
      <c r="L5008" t="s">
        <v>44</v>
      </c>
      <c r="M5008">
        <v>2</v>
      </c>
      <c r="N5008" s="2"/>
      <c r="O5008" s="3">
        <v>1689</v>
      </c>
      <c r="P5008">
        <v>0</v>
      </c>
      <c r="Q5008">
        <v>4</v>
      </c>
      <c r="R5008" t="s">
        <v>28</v>
      </c>
      <c r="S5008">
        <v>1</v>
      </c>
    </row>
    <row r="5009" spans="1:19" ht="16.5" x14ac:dyDescent="0.3">
      <c r="A5009" t="s">
        <v>5072</v>
      </c>
      <c r="B5009" s="1">
        <v>45957</v>
      </c>
      <c r="C5009" s="1">
        <v>45969</v>
      </c>
      <c r="D5009">
        <v>2025</v>
      </c>
      <c r="E5009" t="s">
        <v>2026</v>
      </c>
      <c r="F5009" t="s">
        <v>2027</v>
      </c>
      <c r="G5009" t="s">
        <v>22</v>
      </c>
      <c r="H5009" t="s">
        <v>50</v>
      </c>
      <c r="I5009" t="s">
        <v>31</v>
      </c>
      <c r="J5009" t="s">
        <v>43</v>
      </c>
      <c r="K5009" t="s">
        <v>36</v>
      </c>
      <c r="L5009" t="s">
        <v>44</v>
      </c>
      <c r="M5009">
        <v>12</v>
      </c>
      <c r="N5009" s="2"/>
      <c r="O5009" s="3">
        <v>15034</v>
      </c>
      <c r="P5009">
        <v>0</v>
      </c>
      <c r="Q5009">
        <v>5</v>
      </c>
      <c r="R5009" t="s">
        <v>28</v>
      </c>
      <c r="S5009">
        <v>1</v>
      </c>
    </row>
    <row r="5010" spans="1:19" ht="16.5" x14ac:dyDescent="0.3">
      <c r="A5010" t="s">
        <v>5073</v>
      </c>
      <c r="B5010" s="1">
        <v>45957</v>
      </c>
      <c r="C5010" s="1">
        <v>45964</v>
      </c>
      <c r="D5010">
        <v>2025</v>
      </c>
      <c r="E5010" t="s">
        <v>2026</v>
      </c>
      <c r="F5010" t="s">
        <v>2027</v>
      </c>
      <c r="G5010" t="s">
        <v>22</v>
      </c>
      <c r="H5010" t="s">
        <v>52</v>
      </c>
      <c r="I5010" t="s">
        <v>24</v>
      </c>
      <c r="J5010" t="s">
        <v>25</v>
      </c>
      <c r="K5010" t="s">
        <v>26</v>
      </c>
      <c r="L5010" t="s">
        <v>44</v>
      </c>
      <c r="M5010">
        <v>7</v>
      </c>
      <c r="N5010" s="2">
        <v>59</v>
      </c>
      <c r="O5010" s="3">
        <v>7082</v>
      </c>
      <c r="P5010">
        <v>0</v>
      </c>
      <c r="Q5010">
        <v>2</v>
      </c>
      <c r="R5010" t="s">
        <v>33</v>
      </c>
      <c r="S5010">
        <v>1</v>
      </c>
    </row>
    <row r="5011" spans="1:19" ht="16.5" x14ac:dyDescent="0.3">
      <c r="A5011" t="s">
        <v>5074</v>
      </c>
      <c r="B5011" s="1">
        <v>45957</v>
      </c>
      <c r="C5011" s="1">
        <v>45962</v>
      </c>
      <c r="D5011">
        <v>2025</v>
      </c>
      <c r="E5011" t="s">
        <v>2026</v>
      </c>
      <c r="F5011" t="s">
        <v>2027</v>
      </c>
      <c r="G5011" t="s">
        <v>22</v>
      </c>
      <c r="H5011" t="s">
        <v>30</v>
      </c>
      <c r="I5011" t="s">
        <v>40</v>
      </c>
      <c r="J5011" t="s">
        <v>25</v>
      </c>
      <c r="K5011" t="s">
        <v>32</v>
      </c>
      <c r="L5011" t="s">
        <v>27</v>
      </c>
      <c r="M5011">
        <v>5</v>
      </c>
      <c r="N5011" s="2"/>
      <c r="O5011" s="3">
        <v>4972</v>
      </c>
      <c r="P5011">
        <v>0</v>
      </c>
      <c r="Q5011">
        <v>4</v>
      </c>
      <c r="R5011" t="s">
        <v>28</v>
      </c>
      <c r="S5011">
        <v>1</v>
      </c>
    </row>
    <row r="5012" spans="1:19" ht="16.5" x14ac:dyDescent="0.3">
      <c r="A5012" t="s">
        <v>5075</v>
      </c>
      <c r="B5012" s="1">
        <v>45957</v>
      </c>
      <c r="C5012" s="1">
        <v>45964</v>
      </c>
      <c r="D5012">
        <v>2025</v>
      </c>
      <c r="E5012" t="s">
        <v>2026</v>
      </c>
      <c r="F5012" t="s">
        <v>2027</v>
      </c>
      <c r="G5012" t="s">
        <v>22</v>
      </c>
      <c r="H5012" t="s">
        <v>23</v>
      </c>
      <c r="I5012" t="s">
        <v>24</v>
      </c>
      <c r="J5012" t="s">
        <v>43</v>
      </c>
      <c r="K5012" t="s">
        <v>26</v>
      </c>
      <c r="L5012" t="s">
        <v>44</v>
      </c>
      <c r="M5012">
        <v>7</v>
      </c>
      <c r="N5012" s="2">
        <v>26</v>
      </c>
      <c r="O5012" s="3">
        <v>4590</v>
      </c>
      <c r="P5012">
        <v>0</v>
      </c>
      <c r="Q5012">
        <v>5</v>
      </c>
      <c r="R5012" t="s">
        <v>33</v>
      </c>
      <c r="S5012">
        <v>1</v>
      </c>
    </row>
    <row r="5013" spans="1:19" ht="16.5" x14ac:dyDescent="0.3">
      <c r="A5013" t="s">
        <v>5076</v>
      </c>
      <c r="B5013" s="1">
        <v>45957</v>
      </c>
      <c r="C5013" s="1">
        <v>45961</v>
      </c>
      <c r="D5013">
        <v>2025</v>
      </c>
      <c r="E5013" t="s">
        <v>2026</v>
      </c>
      <c r="F5013" t="s">
        <v>2027</v>
      </c>
      <c r="G5013" t="s">
        <v>22</v>
      </c>
      <c r="H5013" t="s">
        <v>35</v>
      </c>
      <c r="I5013" t="s">
        <v>31</v>
      </c>
      <c r="J5013" t="s">
        <v>25</v>
      </c>
      <c r="K5013" t="s">
        <v>32</v>
      </c>
      <c r="L5013" t="s">
        <v>44</v>
      </c>
      <c r="M5013">
        <v>4</v>
      </c>
      <c r="N5013" s="2"/>
      <c r="O5013" s="3">
        <v>3850</v>
      </c>
      <c r="P5013">
        <v>0</v>
      </c>
      <c r="Q5013">
        <v>4</v>
      </c>
      <c r="R5013" t="s">
        <v>33</v>
      </c>
      <c r="S5013">
        <v>1</v>
      </c>
    </row>
    <row r="5014" spans="1:19" ht="16.5" x14ac:dyDescent="0.3">
      <c r="A5014" t="s">
        <v>5077</v>
      </c>
      <c r="B5014" s="1">
        <v>45957</v>
      </c>
      <c r="C5014" s="1">
        <v>45964</v>
      </c>
      <c r="D5014">
        <v>2025</v>
      </c>
      <c r="E5014" t="s">
        <v>2026</v>
      </c>
      <c r="F5014" t="s">
        <v>2027</v>
      </c>
      <c r="G5014" t="s">
        <v>22</v>
      </c>
      <c r="H5014" t="s">
        <v>39</v>
      </c>
      <c r="I5014" t="s">
        <v>40</v>
      </c>
      <c r="J5014" t="s">
        <v>25</v>
      </c>
      <c r="K5014" t="s">
        <v>41</v>
      </c>
      <c r="L5014" t="s">
        <v>37</v>
      </c>
      <c r="M5014">
        <v>7</v>
      </c>
      <c r="N5014" s="2"/>
      <c r="O5014" s="3">
        <v>4445</v>
      </c>
      <c r="P5014">
        <v>0</v>
      </c>
      <c r="Q5014">
        <v>4</v>
      </c>
      <c r="R5014" t="s">
        <v>33</v>
      </c>
      <c r="S5014">
        <v>1</v>
      </c>
    </row>
    <row r="5015" spans="1:19" ht="16.5" x14ac:dyDescent="0.3">
      <c r="A5015" t="s">
        <v>5078</v>
      </c>
      <c r="B5015" s="1">
        <v>45957</v>
      </c>
      <c r="C5015" s="1">
        <v>45960</v>
      </c>
      <c r="D5015">
        <v>2025</v>
      </c>
      <c r="E5015" t="s">
        <v>2026</v>
      </c>
      <c r="F5015" t="s">
        <v>2027</v>
      </c>
      <c r="G5015" t="s">
        <v>22</v>
      </c>
      <c r="H5015" t="s">
        <v>39</v>
      </c>
      <c r="I5015" t="s">
        <v>24</v>
      </c>
      <c r="J5015" t="s">
        <v>43</v>
      </c>
      <c r="K5015" t="s">
        <v>41</v>
      </c>
      <c r="L5015" t="s">
        <v>44</v>
      </c>
      <c r="M5015">
        <v>3</v>
      </c>
      <c r="N5015" s="2">
        <v>28</v>
      </c>
      <c r="O5015" s="3">
        <v>2838</v>
      </c>
      <c r="P5015">
        <v>0</v>
      </c>
      <c r="Q5015">
        <v>4</v>
      </c>
      <c r="R5015" t="s">
        <v>33</v>
      </c>
      <c r="S5015">
        <v>1</v>
      </c>
    </row>
    <row r="5016" spans="1:19" ht="16.5" x14ac:dyDescent="0.3">
      <c r="A5016" t="s">
        <v>5079</v>
      </c>
      <c r="B5016" s="1">
        <v>45957</v>
      </c>
      <c r="C5016" s="1">
        <v>45963</v>
      </c>
      <c r="D5016">
        <v>2025</v>
      </c>
      <c r="E5016" t="s">
        <v>2026</v>
      </c>
      <c r="F5016" t="s">
        <v>2027</v>
      </c>
      <c r="G5016" t="s">
        <v>22</v>
      </c>
      <c r="H5016" t="s">
        <v>39</v>
      </c>
      <c r="I5016" t="s">
        <v>24</v>
      </c>
      <c r="J5016" t="s">
        <v>43</v>
      </c>
      <c r="K5016" t="s">
        <v>41</v>
      </c>
      <c r="L5016" t="s">
        <v>44</v>
      </c>
      <c r="M5016">
        <v>6</v>
      </c>
      <c r="N5016" s="2">
        <v>55</v>
      </c>
      <c r="O5016" s="3">
        <v>3984</v>
      </c>
      <c r="P5016">
        <v>0</v>
      </c>
      <c r="Q5016">
        <v>4</v>
      </c>
      <c r="R5016" t="s">
        <v>33</v>
      </c>
      <c r="S5016">
        <v>1</v>
      </c>
    </row>
    <row r="5017" spans="1:19" ht="16.5" x14ac:dyDescent="0.3">
      <c r="A5017" t="s">
        <v>5080</v>
      </c>
      <c r="B5017" s="1">
        <v>45958</v>
      </c>
      <c r="C5017" s="1">
        <v>45961</v>
      </c>
      <c r="D5017">
        <v>2025</v>
      </c>
      <c r="E5017" t="s">
        <v>2026</v>
      </c>
      <c r="F5017" t="s">
        <v>2027</v>
      </c>
      <c r="G5017" t="s">
        <v>56</v>
      </c>
      <c r="H5017" t="s">
        <v>39</v>
      </c>
      <c r="I5017" t="s">
        <v>24</v>
      </c>
      <c r="J5017" t="s">
        <v>43</v>
      </c>
      <c r="K5017" t="s">
        <v>41</v>
      </c>
      <c r="L5017" t="s">
        <v>44</v>
      </c>
      <c r="M5017">
        <v>3</v>
      </c>
      <c r="N5017" s="2">
        <v>41</v>
      </c>
      <c r="O5017" s="3">
        <v>2137</v>
      </c>
      <c r="P5017">
        <v>0</v>
      </c>
      <c r="Q5017">
        <v>4</v>
      </c>
      <c r="R5017" t="s">
        <v>33</v>
      </c>
      <c r="S5017">
        <v>1</v>
      </c>
    </row>
    <row r="5018" spans="1:19" ht="16.5" x14ac:dyDescent="0.3">
      <c r="A5018" t="s">
        <v>5081</v>
      </c>
      <c r="B5018" s="1">
        <v>45958</v>
      </c>
      <c r="C5018" s="1">
        <v>45960</v>
      </c>
      <c r="D5018">
        <v>2025</v>
      </c>
      <c r="E5018" t="s">
        <v>2026</v>
      </c>
      <c r="F5018" t="s">
        <v>2027</v>
      </c>
      <c r="G5018" t="s">
        <v>56</v>
      </c>
      <c r="H5018" t="s">
        <v>39</v>
      </c>
      <c r="I5018" t="s">
        <v>24</v>
      </c>
      <c r="J5018" t="s">
        <v>43</v>
      </c>
      <c r="K5018" t="s">
        <v>41</v>
      </c>
      <c r="L5018" t="s">
        <v>27</v>
      </c>
      <c r="M5018">
        <v>2</v>
      </c>
      <c r="N5018" s="2">
        <v>56</v>
      </c>
      <c r="O5018" s="3">
        <v>2082</v>
      </c>
      <c r="P5018">
        <v>0</v>
      </c>
      <c r="Q5018">
        <v>4</v>
      </c>
      <c r="R5018" t="s">
        <v>33</v>
      </c>
      <c r="S5018">
        <v>1</v>
      </c>
    </row>
    <row r="5019" spans="1:19" ht="16.5" x14ac:dyDescent="0.3">
      <c r="A5019" t="s">
        <v>5082</v>
      </c>
      <c r="B5019" s="1">
        <v>45958</v>
      </c>
      <c r="C5019" s="1">
        <v>45966</v>
      </c>
      <c r="D5019">
        <v>2025</v>
      </c>
      <c r="E5019" t="s">
        <v>2026</v>
      </c>
      <c r="F5019" t="s">
        <v>2027</v>
      </c>
      <c r="G5019" t="s">
        <v>56</v>
      </c>
      <c r="H5019" t="s">
        <v>39</v>
      </c>
      <c r="I5019" t="s">
        <v>24</v>
      </c>
      <c r="J5019" t="s">
        <v>43</v>
      </c>
      <c r="K5019" t="s">
        <v>41</v>
      </c>
      <c r="L5019" t="s">
        <v>44</v>
      </c>
      <c r="M5019">
        <v>8</v>
      </c>
      <c r="N5019" s="2">
        <v>28</v>
      </c>
      <c r="O5019" s="3">
        <v>6556</v>
      </c>
      <c r="P5019">
        <v>0</v>
      </c>
      <c r="Q5019">
        <v>3</v>
      </c>
      <c r="R5019" t="s">
        <v>28</v>
      </c>
      <c r="S5019">
        <v>1</v>
      </c>
    </row>
    <row r="5020" spans="1:19" ht="16.5" x14ac:dyDescent="0.3">
      <c r="A5020" t="s">
        <v>5083</v>
      </c>
      <c r="B5020" s="1">
        <v>45958</v>
      </c>
      <c r="C5020" s="1">
        <v>45966</v>
      </c>
      <c r="D5020">
        <v>2025</v>
      </c>
      <c r="E5020" t="s">
        <v>2026</v>
      </c>
      <c r="F5020" t="s">
        <v>2027</v>
      </c>
      <c r="G5020" t="s">
        <v>56</v>
      </c>
      <c r="H5020" t="s">
        <v>30</v>
      </c>
      <c r="I5020" t="s">
        <v>40</v>
      </c>
      <c r="J5020" t="s">
        <v>25</v>
      </c>
      <c r="K5020" t="s">
        <v>26</v>
      </c>
      <c r="L5020" t="s">
        <v>37</v>
      </c>
      <c r="M5020">
        <v>8</v>
      </c>
      <c r="N5020" s="2"/>
      <c r="O5020" s="3">
        <v>7721</v>
      </c>
      <c r="P5020">
        <v>0</v>
      </c>
      <c r="Q5020">
        <v>4</v>
      </c>
      <c r="R5020" t="s">
        <v>28</v>
      </c>
      <c r="S5020">
        <v>1</v>
      </c>
    </row>
    <row r="5021" spans="1:19" ht="16.5" x14ac:dyDescent="0.3">
      <c r="A5021" t="s">
        <v>5084</v>
      </c>
      <c r="B5021" s="1">
        <v>45958</v>
      </c>
      <c r="C5021" s="1">
        <v>45968</v>
      </c>
      <c r="D5021">
        <v>2025</v>
      </c>
      <c r="E5021" t="s">
        <v>2026</v>
      </c>
      <c r="F5021" t="s">
        <v>2027</v>
      </c>
      <c r="G5021" t="s">
        <v>56</v>
      </c>
      <c r="H5021" t="s">
        <v>39</v>
      </c>
      <c r="I5021" t="s">
        <v>24</v>
      </c>
      <c r="J5021" t="s">
        <v>25</v>
      </c>
      <c r="K5021" t="s">
        <v>41</v>
      </c>
      <c r="L5021" t="s">
        <v>44</v>
      </c>
      <c r="M5021">
        <v>10</v>
      </c>
      <c r="N5021" s="2">
        <v>57</v>
      </c>
      <c r="O5021" s="3">
        <v>5166</v>
      </c>
      <c r="P5021">
        <v>0</v>
      </c>
      <c r="Q5021">
        <v>4</v>
      </c>
      <c r="R5021" t="s">
        <v>33</v>
      </c>
      <c r="S5021">
        <v>1</v>
      </c>
    </row>
    <row r="5022" spans="1:19" ht="16.5" x14ac:dyDescent="0.3">
      <c r="A5022" t="s">
        <v>5085</v>
      </c>
      <c r="B5022" s="1">
        <v>45958</v>
      </c>
      <c r="C5022" s="1">
        <v>45967</v>
      </c>
      <c r="D5022">
        <v>2025</v>
      </c>
      <c r="E5022" t="s">
        <v>2026</v>
      </c>
      <c r="F5022" t="s">
        <v>2027</v>
      </c>
      <c r="G5022" t="s">
        <v>56</v>
      </c>
      <c r="H5022" t="s">
        <v>39</v>
      </c>
      <c r="I5022" t="s">
        <v>24</v>
      </c>
      <c r="J5022" t="s">
        <v>43</v>
      </c>
      <c r="K5022" t="s">
        <v>41</v>
      </c>
      <c r="L5022" t="s">
        <v>44</v>
      </c>
      <c r="M5022">
        <v>9</v>
      </c>
      <c r="N5022" s="2">
        <v>66</v>
      </c>
      <c r="O5022" s="3">
        <v>4939</v>
      </c>
      <c r="P5022">
        <v>0</v>
      </c>
      <c r="Q5022">
        <v>5</v>
      </c>
      <c r="R5022" t="s">
        <v>33</v>
      </c>
      <c r="S5022">
        <v>1</v>
      </c>
    </row>
    <row r="5023" spans="1:19" ht="16.5" x14ac:dyDescent="0.3">
      <c r="A5023" t="s">
        <v>5086</v>
      </c>
      <c r="B5023" s="1">
        <v>45958</v>
      </c>
      <c r="C5023" s="1">
        <v>45961</v>
      </c>
      <c r="D5023">
        <v>2025</v>
      </c>
      <c r="E5023" t="s">
        <v>2026</v>
      </c>
      <c r="F5023" t="s">
        <v>2027</v>
      </c>
      <c r="G5023" t="s">
        <v>56</v>
      </c>
      <c r="H5023" t="s">
        <v>35</v>
      </c>
      <c r="I5023" t="s">
        <v>24</v>
      </c>
      <c r="J5023" t="s">
        <v>25</v>
      </c>
      <c r="K5023" t="s">
        <v>36</v>
      </c>
      <c r="L5023" t="s">
        <v>44</v>
      </c>
      <c r="M5023">
        <v>3</v>
      </c>
      <c r="N5023" s="2">
        <v>43</v>
      </c>
      <c r="O5023" s="3">
        <v>2535</v>
      </c>
      <c r="P5023">
        <v>0</v>
      </c>
      <c r="Q5023">
        <v>4</v>
      </c>
      <c r="R5023" t="s">
        <v>28</v>
      </c>
      <c r="S5023">
        <v>1</v>
      </c>
    </row>
    <row r="5024" spans="1:19" ht="16.5" x14ac:dyDescent="0.3">
      <c r="A5024" t="s">
        <v>5087</v>
      </c>
      <c r="B5024" s="1">
        <v>45958</v>
      </c>
      <c r="C5024" s="1">
        <v>45969</v>
      </c>
      <c r="D5024">
        <v>2025</v>
      </c>
      <c r="E5024" t="s">
        <v>2026</v>
      </c>
      <c r="F5024" t="s">
        <v>2027</v>
      </c>
      <c r="G5024" t="s">
        <v>56</v>
      </c>
      <c r="H5024" t="s">
        <v>23</v>
      </c>
      <c r="I5024" t="s">
        <v>24</v>
      </c>
      <c r="J5024" t="s">
        <v>25</v>
      </c>
      <c r="K5024" t="s">
        <v>32</v>
      </c>
      <c r="L5024" t="s">
        <v>44</v>
      </c>
      <c r="M5024">
        <v>11</v>
      </c>
      <c r="N5024" s="2">
        <v>35</v>
      </c>
      <c r="O5024" s="3">
        <v>7935</v>
      </c>
      <c r="P5024">
        <v>1</v>
      </c>
      <c r="Q5024">
        <v>5</v>
      </c>
      <c r="R5024" t="s">
        <v>28</v>
      </c>
      <c r="S5024">
        <v>1</v>
      </c>
    </row>
    <row r="5025" spans="1:19" ht="16.5" x14ac:dyDescent="0.3">
      <c r="A5025" t="s">
        <v>5088</v>
      </c>
      <c r="B5025" s="1">
        <v>45959</v>
      </c>
      <c r="C5025" s="1">
        <v>45960</v>
      </c>
      <c r="D5025">
        <v>2025</v>
      </c>
      <c r="E5025" t="s">
        <v>2026</v>
      </c>
      <c r="F5025" t="s">
        <v>2027</v>
      </c>
      <c r="G5025" t="s">
        <v>70</v>
      </c>
      <c r="H5025" t="s">
        <v>35</v>
      </c>
      <c r="I5025" t="s">
        <v>40</v>
      </c>
      <c r="J5025" t="s">
        <v>25</v>
      </c>
      <c r="K5025" t="s">
        <v>32</v>
      </c>
      <c r="L5025" t="s">
        <v>44</v>
      </c>
      <c r="M5025">
        <v>1</v>
      </c>
      <c r="N5025" s="2"/>
      <c r="O5025" s="3">
        <v>1407</v>
      </c>
      <c r="P5025">
        <v>0</v>
      </c>
      <c r="Q5025">
        <v>5</v>
      </c>
      <c r="R5025" t="s">
        <v>33</v>
      </c>
      <c r="S5025">
        <v>1</v>
      </c>
    </row>
    <row r="5026" spans="1:19" ht="16.5" x14ac:dyDescent="0.3">
      <c r="A5026" t="s">
        <v>5089</v>
      </c>
      <c r="B5026" s="1">
        <v>45959</v>
      </c>
      <c r="C5026" s="1">
        <v>45967</v>
      </c>
      <c r="D5026">
        <v>2025</v>
      </c>
      <c r="E5026" t="s">
        <v>2026</v>
      </c>
      <c r="F5026" t="s">
        <v>2027</v>
      </c>
      <c r="G5026" t="s">
        <v>70</v>
      </c>
      <c r="H5026" t="s">
        <v>35</v>
      </c>
      <c r="I5026" t="s">
        <v>24</v>
      </c>
      <c r="J5026" t="s">
        <v>25</v>
      </c>
      <c r="K5026" t="s">
        <v>36</v>
      </c>
      <c r="L5026" t="s">
        <v>27</v>
      </c>
      <c r="M5026">
        <v>8</v>
      </c>
      <c r="N5026" s="2">
        <v>89</v>
      </c>
      <c r="O5026" s="3">
        <v>6522</v>
      </c>
      <c r="P5026">
        <v>0</v>
      </c>
      <c r="Q5026">
        <v>4</v>
      </c>
      <c r="R5026" t="s">
        <v>28</v>
      </c>
      <c r="S5026">
        <v>1</v>
      </c>
    </row>
    <row r="5027" spans="1:19" ht="16.5" x14ac:dyDescent="0.3">
      <c r="A5027" t="s">
        <v>5090</v>
      </c>
      <c r="B5027" s="1">
        <v>45959</v>
      </c>
      <c r="C5027" s="1">
        <v>45962</v>
      </c>
      <c r="D5027">
        <v>2025</v>
      </c>
      <c r="E5027" t="s">
        <v>2026</v>
      </c>
      <c r="F5027" t="s">
        <v>2027</v>
      </c>
      <c r="G5027" t="s">
        <v>70</v>
      </c>
      <c r="H5027" t="s">
        <v>23</v>
      </c>
      <c r="I5027" t="s">
        <v>40</v>
      </c>
      <c r="J5027" t="s">
        <v>43</v>
      </c>
      <c r="K5027" t="s">
        <v>26</v>
      </c>
      <c r="L5027" t="s">
        <v>44</v>
      </c>
      <c r="M5027">
        <v>3</v>
      </c>
      <c r="N5027" s="2"/>
      <c r="O5027" s="3">
        <v>2406</v>
      </c>
      <c r="P5027">
        <v>0</v>
      </c>
      <c r="Q5027">
        <v>5</v>
      </c>
      <c r="R5027" t="s">
        <v>28</v>
      </c>
      <c r="S5027">
        <v>1</v>
      </c>
    </row>
    <row r="5028" spans="1:19" ht="16.5" x14ac:dyDescent="0.3">
      <c r="A5028" t="s">
        <v>5091</v>
      </c>
      <c r="B5028" s="1">
        <v>45959</v>
      </c>
      <c r="C5028" s="1">
        <v>45967</v>
      </c>
      <c r="D5028">
        <v>2025</v>
      </c>
      <c r="E5028" t="s">
        <v>2026</v>
      </c>
      <c r="F5028" t="s">
        <v>2027</v>
      </c>
      <c r="G5028" t="s">
        <v>70</v>
      </c>
      <c r="H5028" t="s">
        <v>23</v>
      </c>
      <c r="I5028" t="s">
        <v>24</v>
      </c>
      <c r="J5028" t="s">
        <v>43</v>
      </c>
      <c r="K5028" t="s">
        <v>26</v>
      </c>
      <c r="L5028" t="s">
        <v>27</v>
      </c>
      <c r="M5028">
        <v>8</v>
      </c>
      <c r="N5028" s="2">
        <v>47</v>
      </c>
      <c r="O5028" s="3">
        <v>4068</v>
      </c>
      <c r="P5028">
        <v>1</v>
      </c>
      <c r="Q5028">
        <v>3</v>
      </c>
      <c r="R5028" t="s">
        <v>33</v>
      </c>
      <c r="S5028">
        <v>1</v>
      </c>
    </row>
    <row r="5029" spans="1:19" ht="16.5" x14ac:dyDescent="0.3">
      <c r="A5029" t="s">
        <v>5092</v>
      </c>
      <c r="B5029" s="1">
        <v>45959</v>
      </c>
      <c r="C5029" s="1">
        <v>45970</v>
      </c>
      <c r="D5029">
        <v>2025</v>
      </c>
      <c r="E5029" t="s">
        <v>2026</v>
      </c>
      <c r="F5029" t="s">
        <v>2027</v>
      </c>
      <c r="G5029" t="s">
        <v>70</v>
      </c>
      <c r="H5029" t="s">
        <v>30</v>
      </c>
      <c r="I5029" t="s">
        <v>40</v>
      </c>
      <c r="J5029" t="s">
        <v>25</v>
      </c>
      <c r="K5029" t="s">
        <v>26</v>
      </c>
      <c r="L5029" t="s">
        <v>27</v>
      </c>
      <c r="M5029">
        <v>11</v>
      </c>
      <c r="N5029" s="2"/>
      <c r="O5029" s="3">
        <v>14865</v>
      </c>
      <c r="P5029">
        <v>0</v>
      </c>
      <c r="Q5029">
        <v>5</v>
      </c>
      <c r="R5029" t="s">
        <v>33</v>
      </c>
      <c r="S5029">
        <v>1</v>
      </c>
    </row>
    <row r="5030" spans="1:19" ht="16.5" x14ac:dyDescent="0.3">
      <c r="A5030" t="s">
        <v>5093</v>
      </c>
      <c r="B5030" s="1">
        <v>45959</v>
      </c>
      <c r="C5030" s="1">
        <v>45960</v>
      </c>
      <c r="D5030">
        <v>2025</v>
      </c>
      <c r="E5030" t="s">
        <v>2026</v>
      </c>
      <c r="F5030" t="s">
        <v>2027</v>
      </c>
      <c r="G5030" t="s">
        <v>70</v>
      </c>
      <c r="H5030" t="s">
        <v>35</v>
      </c>
      <c r="I5030" t="s">
        <v>40</v>
      </c>
      <c r="J5030" t="s">
        <v>25</v>
      </c>
      <c r="K5030" t="s">
        <v>36</v>
      </c>
      <c r="L5030" t="s">
        <v>37</v>
      </c>
      <c r="M5030">
        <v>1</v>
      </c>
      <c r="N5030" s="2"/>
      <c r="O5030" s="3">
        <v>861</v>
      </c>
      <c r="P5030">
        <v>0</v>
      </c>
      <c r="Q5030">
        <v>4</v>
      </c>
      <c r="R5030" t="s">
        <v>28</v>
      </c>
      <c r="S5030">
        <v>1</v>
      </c>
    </row>
    <row r="5031" spans="1:19" ht="16.5" x14ac:dyDescent="0.3">
      <c r="A5031" t="s">
        <v>5094</v>
      </c>
      <c r="B5031" s="1">
        <v>45959</v>
      </c>
      <c r="C5031" s="1">
        <v>45970</v>
      </c>
      <c r="D5031">
        <v>2025</v>
      </c>
      <c r="E5031" t="s">
        <v>2026</v>
      </c>
      <c r="F5031" t="s">
        <v>2027</v>
      </c>
      <c r="G5031" t="s">
        <v>70</v>
      </c>
      <c r="H5031" t="s">
        <v>30</v>
      </c>
      <c r="I5031" t="s">
        <v>40</v>
      </c>
      <c r="J5031" t="s">
        <v>25</v>
      </c>
      <c r="K5031" t="s">
        <v>26</v>
      </c>
      <c r="L5031" t="s">
        <v>27</v>
      </c>
      <c r="M5031">
        <v>11</v>
      </c>
      <c r="N5031" s="2"/>
      <c r="O5031" s="3">
        <v>7044</v>
      </c>
      <c r="P5031">
        <v>0</v>
      </c>
      <c r="Q5031">
        <v>4</v>
      </c>
      <c r="R5031" t="s">
        <v>165</v>
      </c>
      <c r="S5031">
        <v>1</v>
      </c>
    </row>
    <row r="5032" spans="1:19" ht="16.5" x14ac:dyDescent="0.3">
      <c r="A5032" t="s">
        <v>5095</v>
      </c>
      <c r="B5032" s="1">
        <v>45959</v>
      </c>
      <c r="C5032" s="1">
        <v>45961</v>
      </c>
      <c r="D5032">
        <v>2025</v>
      </c>
      <c r="E5032" t="s">
        <v>2026</v>
      </c>
      <c r="F5032" t="s">
        <v>2027</v>
      </c>
      <c r="G5032" t="s">
        <v>70</v>
      </c>
      <c r="H5032" t="s">
        <v>30</v>
      </c>
      <c r="I5032" t="s">
        <v>40</v>
      </c>
      <c r="J5032" t="s">
        <v>43</v>
      </c>
      <c r="K5032" t="s">
        <v>36</v>
      </c>
      <c r="L5032" t="s">
        <v>44</v>
      </c>
      <c r="M5032">
        <v>2</v>
      </c>
      <c r="N5032" s="2"/>
      <c r="O5032" s="3">
        <v>2174</v>
      </c>
      <c r="P5032">
        <v>0</v>
      </c>
      <c r="Q5032">
        <v>5</v>
      </c>
      <c r="R5032" t="s">
        <v>28</v>
      </c>
      <c r="S5032">
        <v>1</v>
      </c>
    </row>
    <row r="5033" spans="1:19" ht="16.5" x14ac:dyDescent="0.3">
      <c r="A5033" t="s">
        <v>5096</v>
      </c>
      <c r="B5033" s="1">
        <v>45959</v>
      </c>
      <c r="C5033" s="1">
        <v>45967</v>
      </c>
      <c r="D5033">
        <v>2025</v>
      </c>
      <c r="E5033" t="s">
        <v>2026</v>
      </c>
      <c r="F5033" t="s">
        <v>2027</v>
      </c>
      <c r="G5033" t="s">
        <v>70</v>
      </c>
      <c r="H5033" t="s">
        <v>30</v>
      </c>
      <c r="I5033" t="s">
        <v>40</v>
      </c>
      <c r="J5033" t="s">
        <v>25</v>
      </c>
      <c r="K5033" t="s">
        <v>26</v>
      </c>
      <c r="L5033" t="s">
        <v>44</v>
      </c>
      <c r="M5033">
        <v>8</v>
      </c>
      <c r="N5033" s="2"/>
      <c r="O5033" s="3">
        <v>8943</v>
      </c>
      <c r="P5033">
        <v>0</v>
      </c>
      <c r="Q5033">
        <v>5</v>
      </c>
      <c r="R5033" t="s">
        <v>33</v>
      </c>
      <c r="S5033">
        <v>1</v>
      </c>
    </row>
    <row r="5034" spans="1:19" ht="16.5" x14ac:dyDescent="0.3">
      <c r="A5034" t="s">
        <v>5097</v>
      </c>
      <c r="B5034" s="1">
        <v>45960</v>
      </c>
      <c r="C5034" s="1">
        <v>45964</v>
      </c>
      <c r="D5034">
        <v>2025</v>
      </c>
      <c r="E5034" t="s">
        <v>2026</v>
      </c>
      <c r="F5034" t="s">
        <v>2027</v>
      </c>
      <c r="G5034" t="s">
        <v>78</v>
      </c>
      <c r="H5034" t="s">
        <v>39</v>
      </c>
      <c r="I5034" t="s">
        <v>24</v>
      </c>
      <c r="J5034" t="s">
        <v>43</v>
      </c>
      <c r="K5034" t="s">
        <v>41</v>
      </c>
      <c r="L5034" t="s">
        <v>44</v>
      </c>
      <c r="M5034">
        <v>4</v>
      </c>
      <c r="N5034" s="2">
        <v>20</v>
      </c>
      <c r="O5034" s="3">
        <v>2794</v>
      </c>
      <c r="P5034">
        <v>0</v>
      </c>
      <c r="Q5034">
        <v>5</v>
      </c>
      <c r="R5034" t="s">
        <v>59</v>
      </c>
      <c r="S5034">
        <v>1</v>
      </c>
    </row>
    <row r="5035" spans="1:19" ht="16.5" x14ac:dyDescent="0.3">
      <c r="A5035" t="s">
        <v>5098</v>
      </c>
      <c r="B5035" s="1">
        <v>45960</v>
      </c>
      <c r="C5035" s="1">
        <v>45962</v>
      </c>
      <c r="D5035">
        <v>2025</v>
      </c>
      <c r="E5035" t="s">
        <v>2026</v>
      </c>
      <c r="F5035" t="s">
        <v>2027</v>
      </c>
      <c r="G5035" t="s">
        <v>78</v>
      </c>
      <c r="H5035" t="s">
        <v>39</v>
      </c>
      <c r="I5035" t="s">
        <v>40</v>
      </c>
      <c r="J5035" t="s">
        <v>25</v>
      </c>
      <c r="K5035" t="s">
        <v>41</v>
      </c>
      <c r="L5035" t="s">
        <v>27</v>
      </c>
      <c r="M5035">
        <v>2</v>
      </c>
      <c r="N5035" s="2"/>
      <c r="O5035" s="3">
        <v>2085</v>
      </c>
      <c r="P5035">
        <v>0</v>
      </c>
      <c r="Q5035">
        <v>4</v>
      </c>
      <c r="R5035" t="s">
        <v>59</v>
      </c>
      <c r="S5035">
        <v>1</v>
      </c>
    </row>
    <row r="5036" spans="1:19" ht="16.5" x14ac:dyDescent="0.3">
      <c r="A5036" t="s">
        <v>5099</v>
      </c>
      <c r="B5036" s="1">
        <v>45960</v>
      </c>
      <c r="C5036" s="1">
        <v>45963</v>
      </c>
      <c r="D5036">
        <v>2025</v>
      </c>
      <c r="E5036" t="s">
        <v>2026</v>
      </c>
      <c r="F5036" t="s">
        <v>2027</v>
      </c>
      <c r="G5036" t="s">
        <v>78</v>
      </c>
      <c r="H5036" t="s">
        <v>30</v>
      </c>
      <c r="I5036" t="s">
        <v>40</v>
      </c>
      <c r="J5036" t="s">
        <v>43</v>
      </c>
      <c r="K5036" t="s">
        <v>53</v>
      </c>
      <c r="L5036" t="s">
        <v>27</v>
      </c>
      <c r="M5036">
        <v>3</v>
      </c>
      <c r="N5036" s="2"/>
      <c r="O5036" s="3">
        <v>3065</v>
      </c>
      <c r="P5036">
        <v>0</v>
      </c>
      <c r="Q5036">
        <v>4</v>
      </c>
      <c r="R5036" t="s">
        <v>28</v>
      </c>
      <c r="S5036">
        <v>1</v>
      </c>
    </row>
    <row r="5037" spans="1:19" ht="16.5" x14ac:dyDescent="0.3">
      <c r="A5037" t="s">
        <v>5100</v>
      </c>
      <c r="B5037" s="1">
        <v>45960</v>
      </c>
      <c r="C5037" s="1">
        <v>45962</v>
      </c>
      <c r="D5037">
        <v>2025</v>
      </c>
      <c r="E5037" t="s">
        <v>2026</v>
      </c>
      <c r="F5037" t="s">
        <v>2027</v>
      </c>
      <c r="G5037" t="s">
        <v>78</v>
      </c>
      <c r="H5037" t="s">
        <v>35</v>
      </c>
      <c r="I5037" t="s">
        <v>24</v>
      </c>
      <c r="J5037" t="s">
        <v>25</v>
      </c>
      <c r="K5037" t="s">
        <v>32</v>
      </c>
      <c r="L5037" t="s">
        <v>27</v>
      </c>
      <c r="M5037">
        <v>2</v>
      </c>
      <c r="N5037" s="2">
        <v>98</v>
      </c>
      <c r="O5037" s="3">
        <v>2309</v>
      </c>
      <c r="P5037">
        <v>0</v>
      </c>
      <c r="Q5037">
        <v>3</v>
      </c>
      <c r="R5037" t="s">
        <v>59</v>
      </c>
      <c r="S5037">
        <v>1</v>
      </c>
    </row>
    <row r="5038" spans="1:19" ht="16.5" x14ac:dyDescent="0.3">
      <c r="A5038" t="s">
        <v>5101</v>
      </c>
      <c r="B5038" s="1">
        <v>45960</v>
      </c>
      <c r="C5038" s="1">
        <v>45965</v>
      </c>
      <c r="D5038">
        <v>2025</v>
      </c>
      <c r="E5038" t="s">
        <v>2026</v>
      </c>
      <c r="F5038" t="s">
        <v>2027</v>
      </c>
      <c r="G5038" t="s">
        <v>78</v>
      </c>
      <c r="H5038" t="s">
        <v>52</v>
      </c>
      <c r="I5038" t="s">
        <v>40</v>
      </c>
      <c r="J5038" t="s">
        <v>25</v>
      </c>
      <c r="K5038" t="s">
        <v>53</v>
      </c>
      <c r="L5038" t="s">
        <v>44</v>
      </c>
      <c r="M5038">
        <v>5</v>
      </c>
      <c r="N5038" s="2"/>
      <c r="O5038" s="3">
        <v>5252</v>
      </c>
      <c r="P5038">
        <v>0</v>
      </c>
      <c r="Q5038">
        <v>5</v>
      </c>
      <c r="R5038" t="s">
        <v>33</v>
      </c>
      <c r="S5038">
        <v>1</v>
      </c>
    </row>
    <row r="5039" spans="1:19" ht="16.5" x14ac:dyDescent="0.3">
      <c r="A5039" t="s">
        <v>5102</v>
      </c>
      <c r="B5039" s="1">
        <v>45960</v>
      </c>
      <c r="C5039" s="1">
        <v>45964</v>
      </c>
      <c r="D5039">
        <v>2025</v>
      </c>
      <c r="E5039" t="s">
        <v>2026</v>
      </c>
      <c r="F5039" t="s">
        <v>2027</v>
      </c>
      <c r="G5039" t="s">
        <v>78</v>
      </c>
      <c r="H5039" t="s">
        <v>39</v>
      </c>
      <c r="I5039" t="s">
        <v>24</v>
      </c>
      <c r="J5039" t="s">
        <v>43</v>
      </c>
      <c r="K5039" t="s">
        <v>41</v>
      </c>
      <c r="L5039" t="s">
        <v>27</v>
      </c>
      <c r="M5039">
        <v>4</v>
      </c>
      <c r="N5039" s="2">
        <v>42</v>
      </c>
      <c r="O5039" s="3">
        <v>2970</v>
      </c>
      <c r="P5039">
        <v>0</v>
      </c>
      <c r="Q5039">
        <v>4</v>
      </c>
      <c r="R5039" t="s">
        <v>33</v>
      </c>
      <c r="S5039">
        <v>1</v>
      </c>
    </row>
    <row r="5040" spans="1:19" ht="16.5" x14ac:dyDescent="0.3">
      <c r="A5040" t="s">
        <v>5103</v>
      </c>
      <c r="B5040" s="1">
        <v>45961</v>
      </c>
      <c r="C5040" s="1">
        <v>45964</v>
      </c>
      <c r="D5040">
        <v>2025</v>
      </c>
      <c r="E5040" t="s">
        <v>2026</v>
      </c>
      <c r="F5040" t="s">
        <v>2027</v>
      </c>
      <c r="G5040" t="s">
        <v>83</v>
      </c>
      <c r="H5040" t="s">
        <v>23</v>
      </c>
      <c r="I5040" t="s">
        <v>24</v>
      </c>
      <c r="J5040" t="s">
        <v>25</v>
      </c>
      <c r="K5040" t="s">
        <v>32</v>
      </c>
      <c r="L5040" t="s">
        <v>44</v>
      </c>
      <c r="M5040">
        <v>3</v>
      </c>
      <c r="N5040" s="2">
        <v>68</v>
      </c>
      <c r="O5040" s="3">
        <v>3231</v>
      </c>
      <c r="P5040">
        <v>0</v>
      </c>
      <c r="Q5040">
        <v>5</v>
      </c>
      <c r="R5040" t="s">
        <v>33</v>
      </c>
      <c r="S5040">
        <v>1</v>
      </c>
    </row>
    <row r="5041" spans="1:19" ht="16.5" x14ac:dyDescent="0.3">
      <c r="A5041" t="s">
        <v>5104</v>
      </c>
      <c r="B5041" s="1">
        <v>45961</v>
      </c>
      <c r="C5041" s="1">
        <v>45966</v>
      </c>
      <c r="D5041">
        <v>2025</v>
      </c>
      <c r="E5041" t="s">
        <v>2026</v>
      </c>
      <c r="F5041" t="s">
        <v>2027</v>
      </c>
      <c r="G5041" t="s">
        <v>83</v>
      </c>
      <c r="H5041" t="s">
        <v>23</v>
      </c>
      <c r="I5041" t="s">
        <v>40</v>
      </c>
      <c r="J5041" t="s">
        <v>25</v>
      </c>
      <c r="K5041" t="s">
        <v>26</v>
      </c>
      <c r="L5041" t="s">
        <v>27</v>
      </c>
      <c r="M5041">
        <v>5</v>
      </c>
      <c r="N5041" s="2"/>
      <c r="O5041" s="3">
        <v>2901</v>
      </c>
      <c r="P5041">
        <v>0</v>
      </c>
      <c r="Q5041">
        <v>5</v>
      </c>
      <c r="R5041" t="s">
        <v>28</v>
      </c>
      <c r="S5041">
        <v>1</v>
      </c>
    </row>
    <row r="5042" spans="1:19" ht="16.5" x14ac:dyDescent="0.3">
      <c r="A5042" t="s">
        <v>5105</v>
      </c>
      <c r="B5042" s="1">
        <v>45961</v>
      </c>
      <c r="C5042" s="1">
        <v>45968</v>
      </c>
      <c r="D5042">
        <v>2025</v>
      </c>
      <c r="E5042" t="s">
        <v>2026</v>
      </c>
      <c r="F5042" t="s">
        <v>2027</v>
      </c>
      <c r="G5042" t="s">
        <v>83</v>
      </c>
      <c r="H5042" t="s">
        <v>23</v>
      </c>
      <c r="I5042" t="s">
        <v>24</v>
      </c>
      <c r="J5042" t="s">
        <v>43</v>
      </c>
      <c r="K5042" t="s">
        <v>26</v>
      </c>
      <c r="L5042" t="s">
        <v>27</v>
      </c>
      <c r="M5042">
        <v>7</v>
      </c>
      <c r="N5042" s="2">
        <v>31</v>
      </c>
      <c r="O5042" s="3">
        <v>4137</v>
      </c>
      <c r="P5042">
        <v>0</v>
      </c>
      <c r="Q5042">
        <v>5</v>
      </c>
      <c r="R5042" t="s">
        <v>33</v>
      </c>
      <c r="S5042">
        <v>1</v>
      </c>
    </row>
    <row r="5043" spans="1:19" ht="16.5" x14ac:dyDescent="0.3">
      <c r="A5043" t="s">
        <v>5106</v>
      </c>
      <c r="B5043" s="1">
        <v>45961</v>
      </c>
      <c r="C5043" s="1">
        <v>45967</v>
      </c>
      <c r="D5043">
        <v>2025</v>
      </c>
      <c r="E5043" t="s">
        <v>2026</v>
      </c>
      <c r="F5043" t="s">
        <v>2027</v>
      </c>
      <c r="G5043" t="s">
        <v>83</v>
      </c>
      <c r="H5043" t="s">
        <v>23</v>
      </c>
      <c r="I5043" t="s">
        <v>40</v>
      </c>
      <c r="J5043" t="s">
        <v>25</v>
      </c>
      <c r="K5043" t="s">
        <v>53</v>
      </c>
      <c r="L5043" t="s">
        <v>27</v>
      </c>
      <c r="M5043">
        <v>6</v>
      </c>
      <c r="N5043" s="2"/>
      <c r="O5043" s="3">
        <v>4740</v>
      </c>
      <c r="P5043">
        <v>0</v>
      </c>
      <c r="Q5043">
        <v>4</v>
      </c>
      <c r="R5043" t="s">
        <v>28</v>
      </c>
      <c r="S5043">
        <v>1</v>
      </c>
    </row>
    <row r="5044" spans="1:19" ht="16.5" x14ac:dyDescent="0.3">
      <c r="A5044" t="s">
        <v>5107</v>
      </c>
      <c r="B5044" s="1">
        <v>45961</v>
      </c>
      <c r="C5044" s="1">
        <v>45963</v>
      </c>
      <c r="D5044">
        <v>2025</v>
      </c>
      <c r="E5044" t="s">
        <v>2026</v>
      </c>
      <c r="F5044" t="s">
        <v>2027</v>
      </c>
      <c r="G5044" t="s">
        <v>83</v>
      </c>
      <c r="H5044" t="s">
        <v>23</v>
      </c>
      <c r="I5044" t="s">
        <v>40</v>
      </c>
      <c r="J5044" t="s">
        <v>25</v>
      </c>
      <c r="K5044" t="s">
        <v>53</v>
      </c>
      <c r="L5044" t="s">
        <v>44</v>
      </c>
      <c r="M5044">
        <v>2</v>
      </c>
      <c r="N5044" s="2"/>
      <c r="O5044" s="3">
        <v>2810</v>
      </c>
      <c r="P5044">
        <v>0</v>
      </c>
      <c r="Q5044">
        <v>5</v>
      </c>
      <c r="R5044" t="s">
        <v>33</v>
      </c>
      <c r="S5044">
        <v>1</v>
      </c>
    </row>
    <row r="5045" spans="1:19" ht="16.5" x14ac:dyDescent="0.3">
      <c r="A5045" t="s">
        <v>5108</v>
      </c>
      <c r="B5045" s="1">
        <v>45961</v>
      </c>
      <c r="C5045" s="1">
        <v>45967</v>
      </c>
      <c r="D5045">
        <v>2025</v>
      </c>
      <c r="E5045" t="s">
        <v>2026</v>
      </c>
      <c r="F5045" t="s">
        <v>2027</v>
      </c>
      <c r="G5045" t="s">
        <v>83</v>
      </c>
      <c r="H5045" t="s">
        <v>23</v>
      </c>
      <c r="I5045" t="s">
        <v>24</v>
      </c>
      <c r="J5045" t="s">
        <v>25</v>
      </c>
      <c r="K5045" t="s">
        <v>36</v>
      </c>
      <c r="L5045" t="s">
        <v>44</v>
      </c>
      <c r="M5045">
        <v>6</v>
      </c>
      <c r="N5045" s="2">
        <v>30</v>
      </c>
      <c r="O5045" s="3">
        <v>4877</v>
      </c>
      <c r="P5045">
        <v>0</v>
      </c>
      <c r="Q5045">
        <v>5</v>
      </c>
      <c r="R5045" t="s">
        <v>33</v>
      </c>
      <c r="S5045">
        <v>1</v>
      </c>
    </row>
    <row r="5046" spans="1:19" ht="16.5" x14ac:dyDescent="0.3">
      <c r="A5046" t="s">
        <v>5109</v>
      </c>
      <c r="B5046" s="1">
        <v>45961</v>
      </c>
      <c r="C5046" s="1">
        <v>45968</v>
      </c>
      <c r="D5046">
        <v>2025</v>
      </c>
      <c r="E5046" t="s">
        <v>2026</v>
      </c>
      <c r="F5046" t="s">
        <v>2027</v>
      </c>
      <c r="G5046" t="s">
        <v>83</v>
      </c>
      <c r="H5046" t="s">
        <v>50</v>
      </c>
      <c r="I5046" t="s">
        <v>24</v>
      </c>
      <c r="J5046" t="s">
        <v>43</v>
      </c>
      <c r="K5046" t="s">
        <v>32</v>
      </c>
      <c r="L5046" t="s">
        <v>44</v>
      </c>
      <c r="M5046">
        <v>7</v>
      </c>
      <c r="N5046" s="2">
        <v>45</v>
      </c>
      <c r="O5046" s="3">
        <v>9039</v>
      </c>
      <c r="P5046">
        <v>1</v>
      </c>
      <c r="Q5046">
        <v>4</v>
      </c>
      <c r="R5046" t="s">
        <v>33</v>
      </c>
      <c r="S5046">
        <v>1</v>
      </c>
    </row>
    <row r="5047" spans="1:19" ht="16.5" x14ac:dyDescent="0.3">
      <c r="A5047" t="s">
        <v>5110</v>
      </c>
      <c r="B5047" s="1">
        <v>45961</v>
      </c>
      <c r="C5047" s="1">
        <v>45969</v>
      </c>
      <c r="D5047">
        <v>2025</v>
      </c>
      <c r="E5047" t="s">
        <v>2026</v>
      </c>
      <c r="F5047" t="s">
        <v>2027</v>
      </c>
      <c r="G5047" t="s">
        <v>83</v>
      </c>
      <c r="H5047" t="s">
        <v>23</v>
      </c>
      <c r="I5047" t="s">
        <v>24</v>
      </c>
      <c r="J5047" t="s">
        <v>25</v>
      </c>
      <c r="K5047" t="s">
        <v>26</v>
      </c>
      <c r="L5047" t="s">
        <v>44</v>
      </c>
      <c r="M5047">
        <v>8</v>
      </c>
      <c r="N5047" s="2">
        <v>95</v>
      </c>
      <c r="O5047" s="3">
        <v>5173</v>
      </c>
      <c r="P5047">
        <v>0</v>
      </c>
      <c r="Q5047">
        <v>3</v>
      </c>
      <c r="R5047" t="s">
        <v>33</v>
      </c>
      <c r="S5047">
        <v>1</v>
      </c>
    </row>
    <row r="5048" spans="1:19" ht="16.5" x14ac:dyDescent="0.3">
      <c r="A5048" t="s">
        <v>5111</v>
      </c>
      <c r="B5048" s="1">
        <v>45962</v>
      </c>
      <c r="C5048" s="1">
        <v>45964</v>
      </c>
      <c r="D5048">
        <v>2025</v>
      </c>
      <c r="E5048" t="s">
        <v>2026</v>
      </c>
      <c r="F5048" t="s">
        <v>2260</v>
      </c>
      <c r="G5048" t="s">
        <v>102</v>
      </c>
      <c r="H5048" t="s">
        <v>23</v>
      </c>
      <c r="I5048" t="s">
        <v>40</v>
      </c>
      <c r="J5048" t="s">
        <v>25</v>
      </c>
      <c r="K5048" t="s">
        <v>26</v>
      </c>
      <c r="L5048" t="s">
        <v>44</v>
      </c>
      <c r="M5048">
        <v>2</v>
      </c>
      <c r="N5048" s="2"/>
      <c r="O5048" s="3">
        <v>2573</v>
      </c>
      <c r="P5048">
        <v>0</v>
      </c>
      <c r="Q5048">
        <v>5</v>
      </c>
      <c r="R5048" t="s">
        <v>33</v>
      </c>
      <c r="S5048">
        <v>1</v>
      </c>
    </row>
    <row r="5049" spans="1:19" ht="16.5" x14ac:dyDescent="0.3">
      <c r="A5049" t="s">
        <v>5112</v>
      </c>
      <c r="B5049" s="1">
        <v>45962</v>
      </c>
      <c r="C5049" s="1">
        <v>45963</v>
      </c>
      <c r="D5049">
        <v>2025</v>
      </c>
      <c r="E5049" t="s">
        <v>2026</v>
      </c>
      <c r="F5049" t="s">
        <v>2260</v>
      </c>
      <c r="G5049" t="s">
        <v>102</v>
      </c>
      <c r="H5049" t="s">
        <v>30</v>
      </c>
      <c r="I5049" t="s">
        <v>24</v>
      </c>
      <c r="J5049" t="s">
        <v>25</v>
      </c>
      <c r="K5049" t="s">
        <v>26</v>
      </c>
      <c r="L5049" t="s">
        <v>44</v>
      </c>
      <c r="M5049">
        <v>1</v>
      </c>
      <c r="N5049" s="2">
        <v>101</v>
      </c>
      <c r="O5049" s="3">
        <v>2568</v>
      </c>
      <c r="P5049">
        <v>0</v>
      </c>
      <c r="Q5049">
        <v>2</v>
      </c>
      <c r="R5049" t="s">
        <v>33</v>
      </c>
      <c r="S5049">
        <v>1</v>
      </c>
    </row>
    <row r="5050" spans="1:19" ht="16.5" x14ac:dyDescent="0.3">
      <c r="A5050" t="s">
        <v>5113</v>
      </c>
      <c r="B5050" s="1">
        <v>45962</v>
      </c>
      <c r="C5050" s="1">
        <v>45964</v>
      </c>
      <c r="D5050">
        <v>2025</v>
      </c>
      <c r="E5050" t="s">
        <v>2026</v>
      </c>
      <c r="F5050" t="s">
        <v>2260</v>
      </c>
      <c r="G5050" t="s">
        <v>102</v>
      </c>
      <c r="H5050" t="s">
        <v>39</v>
      </c>
      <c r="I5050" t="s">
        <v>24</v>
      </c>
      <c r="J5050" t="s">
        <v>43</v>
      </c>
      <c r="K5050" t="s">
        <v>41</v>
      </c>
      <c r="L5050" t="s">
        <v>44</v>
      </c>
      <c r="M5050">
        <v>2</v>
      </c>
      <c r="N5050" s="2">
        <v>41</v>
      </c>
      <c r="O5050" s="3">
        <v>2396</v>
      </c>
      <c r="P5050">
        <v>0</v>
      </c>
      <c r="Q5050">
        <v>3</v>
      </c>
      <c r="R5050" t="s">
        <v>28</v>
      </c>
      <c r="S5050">
        <v>1</v>
      </c>
    </row>
    <row r="5051" spans="1:19" ht="16.5" x14ac:dyDescent="0.3">
      <c r="A5051" t="s">
        <v>5114</v>
      </c>
      <c r="B5051" s="1">
        <v>45962</v>
      </c>
      <c r="C5051" s="1">
        <v>45965</v>
      </c>
      <c r="D5051">
        <v>2025</v>
      </c>
      <c r="E5051" t="s">
        <v>2026</v>
      </c>
      <c r="F5051" t="s">
        <v>2260</v>
      </c>
      <c r="G5051" t="s">
        <v>102</v>
      </c>
      <c r="H5051" t="s">
        <v>39</v>
      </c>
      <c r="I5051" t="s">
        <v>24</v>
      </c>
      <c r="J5051" t="s">
        <v>43</v>
      </c>
      <c r="K5051" t="s">
        <v>41</v>
      </c>
      <c r="L5051" t="s">
        <v>37</v>
      </c>
      <c r="M5051">
        <v>3</v>
      </c>
      <c r="N5051" s="2">
        <v>24</v>
      </c>
      <c r="O5051" s="3">
        <v>2485</v>
      </c>
      <c r="P5051">
        <v>0</v>
      </c>
      <c r="Q5051">
        <v>4</v>
      </c>
      <c r="R5051" t="s">
        <v>33</v>
      </c>
      <c r="S5051">
        <v>1</v>
      </c>
    </row>
    <row r="5052" spans="1:19" ht="16.5" x14ac:dyDescent="0.3">
      <c r="A5052" t="s">
        <v>5115</v>
      </c>
      <c r="B5052" s="1">
        <v>45962</v>
      </c>
      <c r="C5052" s="1">
        <v>45974</v>
      </c>
      <c r="D5052">
        <v>2025</v>
      </c>
      <c r="E5052" t="s">
        <v>2026</v>
      </c>
      <c r="F5052" t="s">
        <v>2260</v>
      </c>
      <c r="G5052" t="s">
        <v>102</v>
      </c>
      <c r="H5052" t="s">
        <v>23</v>
      </c>
      <c r="I5052" t="s">
        <v>24</v>
      </c>
      <c r="J5052" t="s">
        <v>25</v>
      </c>
      <c r="K5052" t="s">
        <v>32</v>
      </c>
      <c r="L5052" t="s">
        <v>44</v>
      </c>
      <c r="M5052">
        <v>12</v>
      </c>
      <c r="N5052" s="2">
        <v>51</v>
      </c>
      <c r="O5052" s="3">
        <v>11520</v>
      </c>
      <c r="P5052">
        <v>0</v>
      </c>
      <c r="Q5052">
        <v>5</v>
      </c>
      <c r="R5052" t="s">
        <v>33</v>
      </c>
      <c r="S5052">
        <v>1</v>
      </c>
    </row>
    <row r="5053" spans="1:19" ht="16.5" x14ac:dyDescent="0.3">
      <c r="A5053" t="s">
        <v>5116</v>
      </c>
      <c r="B5053" s="1">
        <v>45962</v>
      </c>
      <c r="C5053" s="1">
        <v>45963</v>
      </c>
      <c r="D5053">
        <v>2025</v>
      </c>
      <c r="E5053" t="s">
        <v>2026</v>
      </c>
      <c r="F5053" t="s">
        <v>2260</v>
      </c>
      <c r="G5053" t="s">
        <v>102</v>
      </c>
      <c r="H5053" t="s">
        <v>35</v>
      </c>
      <c r="I5053" t="s">
        <v>24</v>
      </c>
      <c r="J5053" t="s">
        <v>25</v>
      </c>
      <c r="K5053" t="s">
        <v>36</v>
      </c>
      <c r="L5053" t="s">
        <v>44</v>
      </c>
      <c r="M5053">
        <v>1</v>
      </c>
      <c r="N5053" s="2">
        <v>43</v>
      </c>
      <c r="O5053" s="3">
        <v>1877</v>
      </c>
      <c r="P5053">
        <v>0</v>
      </c>
      <c r="Q5053">
        <v>3</v>
      </c>
      <c r="R5053" t="s">
        <v>28</v>
      </c>
      <c r="S5053">
        <v>1</v>
      </c>
    </row>
    <row r="5054" spans="1:19" ht="16.5" x14ac:dyDescent="0.3">
      <c r="A5054" t="s">
        <v>5117</v>
      </c>
      <c r="B5054" s="1">
        <v>45962</v>
      </c>
      <c r="C5054" s="1">
        <v>45969</v>
      </c>
      <c r="D5054">
        <v>2025</v>
      </c>
      <c r="E5054" t="s">
        <v>2026</v>
      </c>
      <c r="F5054" t="s">
        <v>2260</v>
      </c>
      <c r="G5054" t="s">
        <v>102</v>
      </c>
      <c r="H5054" t="s">
        <v>50</v>
      </c>
      <c r="I5054" t="s">
        <v>24</v>
      </c>
      <c r="J5054" t="s">
        <v>25</v>
      </c>
      <c r="K5054" t="s">
        <v>32</v>
      </c>
      <c r="L5054" t="s">
        <v>44</v>
      </c>
      <c r="M5054">
        <v>7</v>
      </c>
      <c r="N5054" s="2">
        <v>59</v>
      </c>
      <c r="O5054" s="3">
        <v>6527</v>
      </c>
      <c r="P5054">
        <v>0</v>
      </c>
      <c r="Q5054">
        <v>5</v>
      </c>
      <c r="R5054" t="s">
        <v>33</v>
      </c>
      <c r="S5054">
        <v>1</v>
      </c>
    </row>
    <row r="5055" spans="1:19" ht="16.5" x14ac:dyDescent="0.3">
      <c r="A5055" t="s">
        <v>5118</v>
      </c>
      <c r="B5055" s="1">
        <v>45962</v>
      </c>
      <c r="C5055" s="1">
        <v>45964</v>
      </c>
      <c r="D5055">
        <v>2025</v>
      </c>
      <c r="E5055" t="s">
        <v>2026</v>
      </c>
      <c r="F5055" t="s">
        <v>2260</v>
      </c>
      <c r="G5055" t="s">
        <v>102</v>
      </c>
      <c r="H5055" t="s">
        <v>39</v>
      </c>
      <c r="I5055" t="s">
        <v>40</v>
      </c>
      <c r="J5055" t="s">
        <v>25</v>
      </c>
      <c r="K5055" t="s">
        <v>41</v>
      </c>
      <c r="L5055" t="s">
        <v>44</v>
      </c>
      <c r="M5055">
        <v>2</v>
      </c>
      <c r="N5055" s="2"/>
      <c r="O5055" s="3">
        <v>2122</v>
      </c>
      <c r="P5055">
        <v>0</v>
      </c>
      <c r="Q5055">
        <v>4</v>
      </c>
      <c r="R5055" t="s">
        <v>33</v>
      </c>
      <c r="S5055">
        <v>1</v>
      </c>
    </row>
    <row r="5056" spans="1:19" ht="16.5" x14ac:dyDescent="0.3">
      <c r="A5056" t="s">
        <v>5119</v>
      </c>
      <c r="B5056" s="1">
        <v>45962</v>
      </c>
      <c r="C5056" s="1">
        <v>45965</v>
      </c>
      <c r="D5056">
        <v>2025</v>
      </c>
      <c r="E5056" t="s">
        <v>2026</v>
      </c>
      <c r="F5056" t="s">
        <v>2260</v>
      </c>
      <c r="G5056" t="s">
        <v>102</v>
      </c>
      <c r="H5056" t="s">
        <v>52</v>
      </c>
      <c r="I5056" t="s">
        <v>40</v>
      </c>
      <c r="J5056" t="s">
        <v>25</v>
      </c>
      <c r="K5056" t="s">
        <v>32</v>
      </c>
      <c r="L5056" t="s">
        <v>44</v>
      </c>
      <c r="M5056">
        <v>3</v>
      </c>
      <c r="N5056" s="2"/>
      <c r="O5056" s="3">
        <v>3362</v>
      </c>
      <c r="P5056">
        <v>0</v>
      </c>
      <c r="Q5056">
        <v>3</v>
      </c>
      <c r="R5056" t="s">
        <v>28</v>
      </c>
      <c r="S5056">
        <v>1</v>
      </c>
    </row>
    <row r="5057" spans="1:19" ht="16.5" x14ac:dyDescent="0.3">
      <c r="A5057" t="s">
        <v>5120</v>
      </c>
      <c r="B5057" s="1">
        <v>45962</v>
      </c>
      <c r="C5057" s="1">
        <v>45964</v>
      </c>
      <c r="D5057">
        <v>2025</v>
      </c>
      <c r="E5057" t="s">
        <v>2026</v>
      </c>
      <c r="F5057" t="s">
        <v>2260</v>
      </c>
      <c r="G5057" t="s">
        <v>102</v>
      </c>
      <c r="H5057" t="s">
        <v>39</v>
      </c>
      <c r="I5057" t="s">
        <v>24</v>
      </c>
      <c r="J5057" t="s">
        <v>43</v>
      </c>
      <c r="K5057" t="s">
        <v>41</v>
      </c>
      <c r="L5057" t="s">
        <v>27</v>
      </c>
      <c r="M5057">
        <v>2</v>
      </c>
      <c r="N5057" s="2">
        <v>95</v>
      </c>
      <c r="O5057" s="3">
        <v>1950</v>
      </c>
      <c r="P5057">
        <v>0</v>
      </c>
      <c r="Q5057">
        <v>3</v>
      </c>
      <c r="R5057" t="s">
        <v>33</v>
      </c>
      <c r="S5057">
        <v>1</v>
      </c>
    </row>
    <row r="5058" spans="1:19" ht="16.5" x14ac:dyDescent="0.3">
      <c r="A5058" t="s">
        <v>5121</v>
      </c>
      <c r="B5058" s="1">
        <v>45962</v>
      </c>
      <c r="C5058" s="1">
        <v>45966</v>
      </c>
      <c r="D5058">
        <v>2025</v>
      </c>
      <c r="E5058" t="s">
        <v>2026</v>
      </c>
      <c r="F5058" t="s">
        <v>2260</v>
      </c>
      <c r="G5058" t="s">
        <v>102</v>
      </c>
      <c r="H5058" t="s">
        <v>35</v>
      </c>
      <c r="I5058" t="s">
        <v>40</v>
      </c>
      <c r="J5058" t="s">
        <v>25</v>
      </c>
      <c r="K5058" t="s">
        <v>36</v>
      </c>
      <c r="L5058" t="s">
        <v>27</v>
      </c>
      <c r="M5058">
        <v>4</v>
      </c>
      <c r="N5058" s="2"/>
      <c r="O5058" s="3">
        <v>3268</v>
      </c>
      <c r="P5058">
        <v>0</v>
      </c>
      <c r="Q5058">
        <v>5</v>
      </c>
      <c r="R5058" t="s">
        <v>33</v>
      </c>
      <c r="S5058">
        <v>1</v>
      </c>
    </row>
    <row r="5059" spans="1:19" ht="16.5" x14ac:dyDescent="0.3">
      <c r="A5059" t="s">
        <v>5122</v>
      </c>
      <c r="B5059" s="1">
        <v>45962</v>
      </c>
      <c r="C5059" s="1">
        <v>45967</v>
      </c>
      <c r="D5059">
        <v>2025</v>
      </c>
      <c r="E5059" t="s">
        <v>2026</v>
      </c>
      <c r="F5059" t="s">
        <v>2260</v>
      </c>
      <c r="G5059" t="s">
        <v>102</v>
      </c>
      <c r="H5059" t="s">
        <v>23</v>
      </c>
      <c r="I5059" t="s">
        <v>24</v>
      </c>
      <c r="J5059" t="s">
        <v>25</v>
      </c>
      <c r="K5059" t="s">
        <v>26</v>
      </c>
      <c r="L5059" t="s">
        <v>27</v>
      </c>
      <c r="M5059">
        <v>5</v>
      </c>
      <c r="N5059" s="2">
        <v>18</v>
      </c>
      <c r="O5059" s="3">
        <v>4614</v>
      </c>
      <c r="P5059">
        <v>0</v>
      </c>
      <c r="Q5059">
        <v>4</v>
      </c>
      <c r="R5059" t="s">
        <v>59</v>
      </c>
      <c r="S5059">
        <v>1</v>
      </c>
    </row>
    <row r="5060" spans="1:19" ht="16.5" x14ac:dyDescent="0.3">
      <c r="A5060" t="s">
        <v>5123</v>
      </c>
      <c r="B5060" s="1">
        <v>45962</v>
      </c>
      <c r="C5060" s="1">
        <v>45966</v>
      </c>
      <c r="D5060">
        <v>2025</v>
      </c>
      <c r="E5060" t="s">
        <v>2026</v>
      </c>
      <c r="F5060" t="s">
        <v>2260</v>
      </c>
      <c r="G5060" t="s">
        <v>102</v>
      </c>
      <c r="H5060" t="s">
        <v>52</v>
      </c>
      <c r="I5060" t="s">
        <v>40</v>
      </c>
      <c r="J5060" t="s">
        <v>25</v>
      </c>
      <c r="K5060" t="s">
        <v>36</v>
      </c>
      <c r="L5060" t="s">
        <v>44</v>
      </c>
      <c r="M5060">
        <v>4</v>
      </c>
      <c r="N5060" s="2"/>
      <c r="O5060" s="3">
        <v>4821</v>
      </c>
      <c r="P5060">
        <v>0</v>
      </c>
      <c r="Q5060">
        <v>4</v>
      </c>
      <c r="R5060" t="s">
        <v>33</v>
      </c>
      <c r="S5060">
        <v>1</v>
      </c>
    </row>
    <row r="5061" spans="1:19" ht="16.5" x14ac:dyDescent="0.3">
      <c r="A5061" t="s">
        <v>5124</v>
      </c>
      <c r="B5061" s="1">
        <v>45962</v>
      </c>
      <c r="C5061" s="1">
        <v>45965</v>
      </c>
      <c r="D5061">
        <v>2025</v>
      </c>
      <c r="E5061" t="s">
        <v>2026</v>
      </c>
      <c r="F5061" t="s">
        <v>2260</v>
      </c>
      <c r="G5061" t="s">
        <v>102</v>
      </c>
      <c r="H5061" t="s">
        <v>50</v>
      </c>
      <c r="I5061" t="s">
        <v>40</v>
      </c>
      <c r="J5061" t="s">
        <v>25</v>
      </c>
      <c r="K5061" t="s">
        <v>26</v>
      </c>
      <c r="L5061" t="s">
        <v>27</v>
      </c>
      <c r="M5061">
        <v>3</v>
      </c>
      <c r="N5061" s="2"/>
      <c r="O5061" s="3">
        <v>4052</v>
      </c>
      <c r="P5061">
        <v>1</v>
      </c>
      <c r="Q5061">
        <v>4</v>
      </c>
      <c r="R5061" t="s">
        <v>33</v>
      </c>
      <c r="S5061">
        <v>1</v>
      </c>
    </row>
    <row r="5062" spans="1:19" ht="16.5" x14ac:dyDescent="0.3">
      <c r="A5062" t="s">
        <v>5125</v>
      </c>
      <c r="B5062" s="1">
        <v>45963</v>
      </c>
      <c r="C5062" s="1">
        <v>45967</v>
      </c>
      <c r="D5062">
        <v>2025</v>
      </c>
      <c r="E5062" t="s">
        <v>2026</v>
      </c>
      <c r="F5062" t="s">
        <v>2260</v>
      </c>
      <c r="G5062" t="s">
        <v>112</v>
      </c>
      <c r="H5062" t="s">
        <v>30</v>
      </c>
      <c r="I5062" t="s">
        <v>40</v>
      </c>
      <c r="J5062" t="s">
        <v>43</v>
      </c>
      <c r="K5062" t="s">
        <v>26</v>
      </c>
      <c r="L5062" t="s">
        <v>44</v>
      </c>
      <c r="M5062">
        <v>4</v>
      </c>
      <c r="N5062" s="2"/>
      <c r="O5062" s="3">
        <v>4252</v>
      </c>
      <c r="P5062">
        <v>0</v>
      </c>
      <c r="Q5062">
        <v>5</v>
      </c>
      <c r="R5062" t="s">
        <v>33</v>
      </c>
      <c r="S5062">
        <v>1</v>
      </c>
    </row>
    <row r="5063" spans="1:19" ht="16.5" x14ac:dyDescent="0.3">
      <c r="A5063" t="s">
        <v>5126</v>
      </c>
      <c r="B5063" s="1">
        <v>45963</v>
      </c>
      <c r="C5063" s="1">
        <v>45967</v>
      </c>
      <c r="D5063">
        <v>2025</v>
      </c>
      <c r="E5063" t="s">
        <v>2026</v>
      </c>
      <c r="F5063" t="s">
        <v>2260</v>
      </c>
      <c r="G5063" t="s">
        <v>112</v>
      </c>
      <c r="H5063" t="s">
        <v>30</v>
      </c>
      <c r="I5063" t="s">
        <v>24</v>
      </c>
      <c r="J5063" t="s">
        <v>43</v>
      </c>
      <c r="K5063" t="s">
        <v>26</v>
      </c>
      <c r="L5063" t="s">
        <v>44</v>
      </c>
      <c r="M5063">
        <v>4</v>
      </c>
      <c r="N5063" s="2">
        <v>15</v>
      </c>
      <c r="O5063" s="3">
        <v>5682</v>
      </c>
      <c r="P5063">
        <v>0</v>
      </c>
      <c r="Q5063">
        <v>4</v>
      </c>
      <c r="R5063" t="s">
        <v>33</v>
      </c>
      <c r="S5063">
        <v>1</v>
      </c>
    </row>
    <row r="5064" spans="1:19" ht="16.5" x14ac:dyDescent="0.3">
      <c r="A5064" t="s">
        <v>5127</v>
      </c>
      <c r="B5064" s="1">
        <v>45963</v>
      </c>
      <c r="C5064" s="1">
        <v>45965</v>
      </c>
      <c r="D5064">
        <v>2025</v>
      </c>
      <c r="E5064" t="s">
        <v>2026</v>
      </c>
      <c r="F5064" t="s">
        <v>2260</v>
      </c>
      <c r="G5064" t="s">
        <v>112</v>
      </c>
      <c r="H5064" t="s">
        <v>52</v>
      </c>
      <c r="I5064" t="s">
        <v>40</v>
      </c>
      <c r="J5064" t="s">
        <v>43</v>
      </c>
      <c r="K5064" t="s">
        <v>26</v>
      </c>
      <c r="L5064" t="s">
        <v>44</v>
      </c>
      <c r="M5064">
        <v>2</v>
      </c>
      <c r="N5064" s="2"/>
      <c r="O5064" s="3">
        <v>2265</v>
      </c>
      <c r="P5064">
        <v>1</v>
      </c>
      <c r="Q5064">
        <v>4</v>
      </c>
      <c r="R5064" t="s">
        <v>28</v>
      </c>
      <c r="S5064">
        <v>1</v>
      </c>
    </row>
    <row r="5065" spans="1:19" ht="16.5" x14ac:dyDescent="0.3">
      <c r="A5065" t="s">
        <v>5128</v>
      </c>
      <c r="B5065" s="1">
        <v>45963</v>
      </c>
      <c r="C5065" s="1">
        <v>45967</v>
      </c>
      <c r="D5065">
        <v>2025</v>
      </c>
      <c r="E5065" t="s">
        <v>2026</v>
      </c>
      <c r="F5065" t="s">
        <v>2260</v>
      </c>
      <c r="G5065" t="s">
        <v>112</v>
      </c>
      <c r="H5065" t="s">
        <v>50</v>
      </c>
      <c r="I5065" t="s">
        <v>40</v>
      </c>
      <c r="J5065" t="s">
        <v>43</v>
      </c>
      <c r="K5065" t="s">
        <v>53</v>
      </c>
      <c r="L5065" t="s">
        <v>27</v>
      </c>
      <c r="M5065">
        <v>4</v>
      </c>
      <c r="N5065" s="2"/>
      <c r="O5065" s="3">
        <v>5281</v>
      </c>
      <c r="P5065">
        <v>0</v>
      </c>
      <c r="Q5065">
        <v>4</v>
      </c>
      <c r="R5065" t="s">
        <v>33</v>
      </c>
      <c r="S5065">
        <v>1</v>
      </c>
    </row>
    <row r="5066" spans="1:19" ht="16.5" x14ac:dyDescent="0.3">
      <c r="A5066" t="s">
        <v>5129</v>
      </c>
      <c r="B5066" s="1">
        <v>45963</v>
      </c>
      <c r="C5066" s="1">
        <v>45964</v>
      </c>
      <c r="D5066">
        <v>2025</v>
      </c>
      <c r="E5066" t="s">
        <v>2026</v>
      </c>
      <c r="F5066" t="s">
        <v>2260</v>
      </c>
      <c r="G5066" t="s">
        <v>112</v>
      </c>
      <c r="H5066" t="s">
        <v>30</v>
      </c>
      <c r="I5066" t="s">
        <v>40</v>
      </c>
      <c r="J5066" t="s">
        <v>25</v>
      </c>
      <c r="K5066" t="s">
        <v>36</v>
      </c>
      <c r="L5066" t="s">
        <v>27</v>
      </c>
      <c r="M5066">
        <v>1</v>
      </c>
      <c r="N5066" s="2"/>
      <c r="O5066" s="3">
        <v>1461</v>
      </c>
      <c r="P5066">
        <v>0</v>
      </c>
      <c r="Q5066">
        <v>5</v>
      </c>
      <c r="R5066" t="s">
        <v>33</v>
      </c>
      <c r="S5066">
        <v>1</v>
      </c>
    </row>
    <row r="5067" spans="1:19" ht="16.5" x14ac:dyDescent="0.3">
      <c r="A5067" t="s">
        <v>5130</v>
      </c>
      <c r="B5067" s="1">
        <v>45963</v>
      </c>
      <c r="C5067" s="1">
        <v>45968</v>
      </c>
      <c r="D5067">
        <v>2025</v>
      </c>
      <c r="E5067" t="s">
        <v>2026</v>
      </c>
      <c r="F5067" t="s">
        <v>2260</v>
      </c>
      <c r="G5067" t="s">
        <v>112</v>
      </c>
      <c r="H5067" t="s">
        <v>35</v>
      </c>
      <c r="I5067" t="s">
        <v>24</v>
      </c>
      <c r="J5067" t="s">
        <v>25</v>
      </c>
      <c r="K5067" t="s">
        <v>36</v>
      </c>
      <c r="L5067" t="s">
        <v>37</v>
      </c>
      <c r="M5067">
        <v>5</v>
      </c>
      <c r="N5067" s="2">
        <v>57</v>
      </c>
      <c r="O5067" s="3">
        <v>3320</v>
      </c>
      <c r="P5067">
        <v>0</v>
      </c>
      <c r="Q5067">
        <v>3</v>
      </c>
      <c r="R5067" t="s">
        <v>33</v>
      </c>
      <c r="S5067">
        <v>1</v>
      </c>
    </row>
    <row r="5068" spans="1:19" ht="16.5" x14ac:dyDescent="0.3">
      <c r="A5068" t="s">
        <v>5131</v>
      </c>
      <c r="B5068" s="1">
        <v>45963</v>
      </c>
      <c r="C5068" s="1">
        <v>45968</v>
      </c>
      <c r="D5068">
        <v>2025</v>
      </c>
      <c r="E5068" t="s">
        <v>2026</v>
      </c>
      <c r="F5068" t="s">
        <v>2260</v>
      </c>
      <c r="G5068" t="s">
        <v>112</v>
      </c>
      <c r="H5068" t="s">
        <v>39</v>
      </c>
      <c r="I5068" t="s">
        <v>24</v>
      </c>
      <c r="J5068" t="s">
        <v>43</v>
      </c>
      <c r="K5068" t="s">
        <v>41</v>
      </c>
      <c r="L5068" t="s">
        <v>44</v>
      </c>
      <c r="M5068">
        <v>5</v>
      </c>
      <c r="N5068" s="2">
        <v>28</v>
      </c>
      <c r="O5068" s="3">
        <v>3083</v>
      </c>
      <c r="P5068">
        <v>0</v>
      </c>
      <c r="Q5068">
        <v>4</v>
      </c>
      <c r="R5068" t="s">
        <v>28</v>
      </c>
      <c r="S5068">
        <v>1</v>
      </c>
    </row>
    <row r="5069" spans="1:19" ht="16.5" x14ac:dyDescent="0.3">
      <c r="A5069" t="s">
        <v>5132</v>
      </c>
      <c r="B5069" s="1">
        <v>45963</v>
      </c>
      <c r="C5069" s="1">
        <v>45964</v>
      </c>
      <c r="D5069">
        <v>2025</v>
      </c>
      <c r="E5069" t="s">
        <v>2026</v>
      </c>
      <c r="F5069" t="s">
        <v>2260</v>
      </c>
      <c r="G5069" t="s">
        <v>112</v>
      </c>
      <c r="H5069" t="s">
        <v>39</v>
      </c>
      <c r="I5069" t="s">
        <v>24</v>
      </c>
      <c r="J5069" t="s">
        <v>25</v>
      </c>
      <c r="K5069" t="s">
        <v>41</v>
      </c>
      <c r="L5069" t="s">
        <v>44</v>
      </c>
      <c r="M5069">
        <v>1</v>
      </c>
      <c r="N5069" s="2">
        <v>69</v>
      </c>
      <c r="O5069" s="3">
        <v>1504</v>
      </c>
      <c r="P5069">
        <v>0</v>
      </c>
      <c r="Q5069">
        <v>4</v>
      </c>
      <c r="R5069" t="s">
        <v>33</v>
      </c>
      <c r="S5069">
        <v>1</v>
      </c>
    </row>
    <row r="5070" spans="1:19" ht="16.5" x14ac:dyDescent="0.3">
      <c r="A5070" t="s">
        <v>5133</v>
      </c>
      <c r="B5070" s="1">
        <v>45963</v>
      </c>
      <c r="C5070" s="1">
        <v>45964</v>
      </c>
      <c r="D5070">
        <v>2025</v>
      </c>
      <c r="E5070" t="s">
        <v>2026</v>
      </c>
      <c r="F5070" t="s">
        <v>2260</v>
      </c>
      <c r="G5070" t="s">
        <v>112</v>
      </c>
      <c r="H5070" t="s">
        <v>35</v>
      </c>
      <c r="I5070" t="s">
        <v>40</v>
      </c>
      <c r="J5070" t="s">
        <v>25</v>
      </c>
      <c r="K5070" t="s">
        <v>32</v>
      </c>
      <c r="L5070" t="s">
        <v>27</v>
      </c>
      <c r="M5070">
        <v>1</v>
      </c>
      <c r="N5070" s="2"/>
      <c r="O5070" s="3">
        <v>1044</v>
      </c>
      <c r="P5070">
        <v>0</v>
      </c>
      <c r="Q5070">
        <v>4</v>
      </c>
      <c r="R5070" t="s">
        <v>33</v>
      </c>
      <c r="S5070">
        <v>1</v>
      </c>
    </row>
    <row r="5071" spans="1:19" ht="16.5" x14ac:dyDescent="0.3">
      <c r="A5071" t="s">
        <v>5134</v>
      </c>
      <c r="B5071" s="1">
        <v>45964</v>
      </c>
      <c r="C5071" s="1">
        <v>45966</v>
      </c>
      <c r="D5071">
        <v>2025</v>
      </c>
      <c r="E5071" t="s">
        <v>2026</v>
      </c>
      <c r="F5071" t="s">
        <v>2260</v>
      </c>
      <c r="G5071" t="s">
        <v>22</v>
      </c>
      <c r="H5071" t="s">
        <v>35</v>
      </c>
      <c r="I5071" t="s">
        <v>24</v>
      </c>
      <c r="J5071" t="s">
        <v>25</v>
      </c>
      <c r="K5071" t="s">
        <v>32</v>
      </c>
      <c r="L5071" t="s">
        <v>27</v>
      </c>
      <c r="M5071">
        <v>2</v>
      </c>
      <c r="N5071" s="2">
        <v>56</v>
      </c>
      <c r="O5071" s="3">
        <v>2541</v>
      </c>
      <c r="P5071">
        <v>0</v>
      </c>
      <c r="Q5071">
        <v>4</v>
      </c>
      <c r="R5071" t="s">
        <v>28</v>
      </c>
      <c r="S5071">
        <v>1</v>
      </c>
    </row>
    <row r="5072" spans="1:19" ht="16.5" x14ac:dyDescent="0.3">
      <c r="A5072" t="s">
        <v>5135</v>
      </c>
      <c r="B5072" s="1">
        <v>45964</v>
      </c>
      <c r="C5072" s="1">
        <v>45970</v>
      </c>
      <c r="D5072">
        <v>2025</v>
      </c>
      <c r="E5072" t="s">
        <v>2026</v>
      </c>
      <c r="F5072" t="s">
        <v>2260</v>
      </c>
      <c r="G5072" t="s">
        <v>22</v>
      </c>
      <c r="H5072" t="s">
        <v>30</v>
      </c>
      <c r="I5072" t="s">
        <v>40</v>
      </c>
      <c r="J5072" t="s">
        <v>25</v>
      </c>
      <c r="K5072" t="s">
        <v>53</v>
      </c>
      <c r="L5072" t="s">
        <v>27</v>
      </c>
      <c r="M5072">
        <v>6</v>
      </c>
      <c r="N5072" s="2"/>
      <c r="O5072" s="3">
        <v>5426</v>
      </c>
      <c r="P5072">
        <v>1</v>
      </c>
      <c r="Q5072">
        <v>4</v>
      </c>
      <c r="R5072" t="s">
        <v>33</v>
      </c>
      <c r="S5072">
        <v>1</v>
      </c>
    </row>
    <row r="5073" spans="1:19" ht="16.5" x14ac:dyDescent="0.3">
      <c r="A5073" t="s">
        <v>5136</v>
      </c>
      <c r="B5073" s="1">
        <v>45964</v>
      </c>
      <c r="C5073" s="1">
        <v>45969</v>
      </c>
      <c r="D5073">
        <v>2025</v>
      </c>
      <c r="E5073" t="s">
        <v>2026</v>
      </c>
      <c r="F5073" t="s">
        <v>2260</v>
      </c>
      <c r="G5073" t="s">
        <v>22</v>
      </c>
      <c r="H5073" t="s">
        <v>23</v>
      </c>
      <c r="I5073" t="s">
        <v>40</v>
      </c>
      <c r="J5073" t="s">
        <v>25</v>
      </c>
      <c r="K5073" t="s">
        <v>32</v>
      </c>
      <c r="L5073" t="s">
        <v>44</v>
      </c>
      <c r="M5073">
        <v>5</v>
      </c>
      <c r="N5073" s="2"/>
      <c r="O5073" s="3">
        <v>3728</v>
      </c>
      <c r="P5073">
        <v>0</v>
      </c>
      <c r="Q5073">
        <v>5</v>
      </c>
      <c r="R5073" t="s">
        <v>28</v>
      </c>
      <c r="S5073">
        <v>1</v>
      </c>
    </row>
    <row r="5074" spans="1:19" ht="16.5" x14ac:dyDescent="0.3">
      <c r="A5074" t="s">
        <v>5137</v>
      </c>
      <c r="B5074" s="1">
        <v>45965</v>
      </c>
      <c r="C5074" s="1">
        <v>45968</v>
      </c>
      <c r="D5074">
        <v>2025</v>
      </c>
      <c r="E5074" t="s">
        <v>2026</v>
      </c>
      <c r="F5074" t="s">
        <v>2260</v>
      </c>
      <c r="G5074" t="s">
        <v>56</v>
      </c>
      <c r="H5074" t="s">
        <v>52</v>
      </c>
      <c r="I5074" t="s">
        <v>40</v>
      </c>
      <c r="J5074" t="s">
        <v>43</v>
      </c>
      <c r="K5074" t="s">
        <v>32</v>
      </c>
      <c r="L5074" t="s">
        <v>44</v>
      </c>
      <c r="M5074">
        <v>3</v>
      </c>
      <c r="N5074" s="2"/>
      <c r="O5074" s="3">
        <v>3739</v>
      </c>
      <c r="P5074">
        <v>0</v>
      </c>
      <c r="Q5074">
        <v>4</v>
      </c>
      <c r="R5074" t="s">
        <v>33</v>
      </c>
      <c r="S5074">
        <v>1</v>
      </c>
    </row>
    <row r="5075" spans="1:19" ht="16.5" x14ac:dyDescent="0.3">
      <c r="A5075" t="s">
        <v>5138</v>
      </c>
      <c r="B5075" s="1">
        <v>45965</v>
      </c>
      <c r="C5075" s="1">
        <v>45966</v>
      </c>
      <c r="D5075">
        <v>2025</v>
      </c>
      <c r="E5075" t="s">
        <v>2026</v>
      </c>
      <c r="F5075" t="s">
        <v>2260</v>
      </c>
      <c r="G5075" t="s">
        <v>56</v>
      </c>
      <c r="H5075" t="s">
        <v>35</v>
      </c>
      <c r="I5075" t="s">
        <v>24</v>
      </c>
      <c r="J5075" t="s">
        <v>25</v>
      </c>
      <c r="K5075" t="s">
        <v>32</v>
      </c>
      <c r="L5075" t="s">
        <v>44</v>
      </c>
      <c r="M5075">
        <v>1</v>
      </c>
      <c r="N5075" s="2">
        <v>21</v>
      </c>
      <c r="O5075" s="3">
        <v>1448</v>
      </c>
      <c r="P5075">
        <v>0</v>
      </c>
      <c r="Q5075">
        <v>4</v>
      </c>
      <c r="R5075" t="s">
        <v>33</v>
      </c>
      <c r="S5075">
        <v>1</v>
      </c>
    </row>
    <row r="5076" spans="1:19" ht="16.5" x14ac:dyDescent="0.3">
      <c r="A5076" t="s">
        <v>5139</v>
      </c>
      <c r="B5076" s="1">
        <v>45965</v>
      </c>
      <c r="C5076" s="1">
        <v>45977</v>
      </c>
      <c r="D5076">
        <v>2025</v>
      </c>
      <c r="E5076" t="s">
        <v>2026</v>
      </c>
      <c r="F5076" t="s">
        <v>2260</v>
      </c>
      <c r="G5076" t="s">
        <v>56</v>
      </c>
      <c r="H5076" t="s">
        <v>23</v>
      </c>
      <c r="I5076" t="s">
        <v>24</v>
      </c>
      <c r="J5076" t="s">
        <v>25</v>
      </c>
      <c r="K5076" t="s">
        <v>32</v>
      </c>
      <c r="L5076" t="s">
        <v>44</v>
      </c>
      <c r="M5076">
        <v>12</v>
      </c>
      <c r="N5076" s="2">
        <v>18</v>
      </c>
      <c r="O5076" s="3">
        <v>7670</v>
      </c>
      <c r="P5076">
        <v>0</v>
      </c>
      <c r="Q5076">
        <v>4</v>
      </c>
      <c r="R5076" t="s">
        <v>33</v>
      </c>
      <c r="S5076">
        <v>1</v>
      </c>
    </row>
    <row r="5077" spans="1:19" ht="16.5" x14ac:dyDescent="0.3">
      <c r="A5077" t="s">
        <v>5140</v>
      </c>
      <c r="B5077" s="1">
        <v>45965</v>
      </c>
      <c r="C5077" s="1">
        <v>45967</v>
      </c>
      <c r="D5077">
        <v>2025</v>
      </c>
      <c r="E5077" t="s">
        <v>2026</v>
      </c>
      <c r="F5077" t="s">
        <v>2260</v>
      </c>
      <c r="G5077" t="s">
        <v>56</v>
      </c>
      <c r="H5077" t="s">
        <v>23</v>
      </c>
      <c r="I5077" t="s">
        <v>24</v>
      </c>
      <c r="J5077" t="s">
        <v>25</v>
      </c>
      <c r="K5077" t="s">
        <v>53</v>
      </c>
      <c r="L5077" t="s">
        <v>44</v>
      </c>
      <c r="M5077">
        <v>2</v>
      </c>
      <c r="N5077" s="2">
        <v>37</v>
      </c>
      <c r="O5077" s="3">
        <v>2402</v>
      </c>
      <c r="P5077">
        <v>0</v>
      </c>
      <c r="Q5077">
        <v>4</v>
      </c>
      <c r="R5077" t="s">
        <v>33</v>
      </c>
      <c r="S5077">
        <v>1</v>
      </c>
    </row>
    <row r="5078" spans="1:19" ht="16.5" x14ac:dyDescent="0.3">
      <c r="A5078" t="s">
        <v>5141</v>
      </c>
      <c r="B5078" s="1">
        <v>45965</v>
      </c>
      <c r="C5078" s="1">
        <v>45975</v>
      </c>
      <c r="D5078">
        <v>2025</v>
      </c>
      <c r="E5078" t="s">
        <v>2026</v>
      </c>
      <c r="F5078" t="s">
        <v>2260</v>
      </c>
      <c r="G5078" t="s">
        <v>56</v>
      </c>
      <c r="H5078" t="s">
        <v>23</v>
      </c>
      <c r="I5078" t="s">
        <v>24</v>
      </c>
      <c r="J5078" t="s">
        <v>25</v>
      </c>
      <c r="K5078" t="s">
        <v>26</v>
      </c>
      <c r="L5078" t="s">
        <v>44</v>
      </c>
      <c r="M5078">
        <v>10</v>
      </c>
      <c r="N5078" s="2">
        <v>34</v>
      </c>
      <c r="O5078" s="3">
        <v>6712</v>
      </c>
      <c r="P5078">
        <v>0</v>
      </c>
      <c r="Q5078">
        <v>4</v>
      </c>
      <c r="R5078" t="s">
        <v>33</v>
      </c>
      <c r="S5078">
        <v>1</v>
      </c>
    </row>
    <row r="5079" spans="1:19" ht="16.5" x14ac:dyDescent="0.3">
      <c r="A5079" t="s">
        <v>5142</v>
      </c>
      <c r="B5079" s="1">
        <v>45965</v>
      </c>
      <c r="C5079" s="1">
        <v>45966</v>
      </c>
      <c r="D5079">
        <v>2025</v>
      </c>
      <c r="E5079" t="s">
        <v>2026</v>
      </c>
      <c r="F5079" t="s">
        <v>2260</v>
      </c>
      <c r="G5079" t="s">
        <v>56</v>
      </c>
      <c r="H5079" t="s">
        <v>23</v>
      </c>
      <c r="I5079" t="s">
        <v>31</v>
      </c>
      <c r="J5079" t="s">
        <v>25</v>
      </c>
      <c r="K5079" t="s">
        <v>26</v>
      </c>
      <c r="L5079" t="s">
        <v>44</v>
      </c>
      <c r="M5079">
        <v>1</v>
      </c>
      <c r="N5079" s="2"/>
      <c r="O5079" s="3">
        <v>1429</v>
      </c>
      <c r="P5079">
        <v>0</v>
      </c>
      <c r="Q5079">
        <v>5</v>
      </c>
      <c r="R5079" t="s">
        <v>33</v>
      </c>
      <c r="S5079">
        <v>1</v>
      </c>
    </row>
    <row r="5080" spans="1:19" ht="16.5" x14ac:dyDescent="0.3">
      <c r="A5080" t="s">
        <v>5143</v>
      </c>
      <c r="B5080" s="1">
        <v>45965</v>
      </c>
      <c r="C5080" s="1">
        <v>45970</v>
      </c>
      <c r="D5080">
        <v>2025</v>
      </c>
      <c r="E5080" t="s">
        <v>2026</v>
      </c>
      <c r="F5080" t="s">
        <v>2260</v>
      </c>
      <c r="G5080" t="s">
        <v>56</v>
      </c>
      <c r="H5080" t="s">
        <v>50</v>
      </c>
      <c r="I5080" t="s">
        <v>24</v>
      </c>
      <c r="J5080" t="s">
        <v>25</v>
      </c>
      <c r="K5080" t="s">
        <v>36</v>
      </c>
      <c r="L5080" t="s">
        <v>37</v>
      </c>
      <c r="M5080">
        <v>5</v>
      </c>
      <c r="N5080" s="2">
        <v>33</v>
      </c>
      <c r="O5080" s="3">
        <v>6253</v>
      </c>
      <c r="P5080">
        <v>0</v>
      </c>
      <c r="Q5080">
        <v>5</v>
      </c>
      <c r="R5080" t="s">
        <v>33</v>
      </c>
      <c r="S5080">
        <v>1</v>
      </c>
    </row>
    <row r="5081" spans="1:19" ht="16.5" x14ac:dyDescent="0.3">
      <c r="A5081" t="s">
        <v>5144</v>
      </c>
      <c r="B5081" s="1">
        <v>45966</v>
      </c>
      <c r="C5081" s="1">
        <v>45968</v>
      </c>
      <c r="D5081">
        <v>2025</v>
      </c>
      <c r="E5081" t="s">
        <v>2026</v>
      </c>
      <c r="F5081" t="s">
        <v>2260</v>
      </c>
      <c r="G5081" t="s">
        <v>70</v>
      </c>
      <c r="H5081" t="s">
        <v>39</v>
      </c>
      <c r="I5081" t="s">
        <v>24</v>
      </c>
      <c r="J5081" t="s">
        <v>25</v>
      </c>
      <c r="K5081" t="s">
        <v>41</v>
      </c>
      <c r="L5081" t="s">
        <v>27</v>
      </c>
      <c r="M5081">
        <v>2</v>
      </c>
      <c r="N5081" s="2">
        <v>36</v>
      </c>
      <c r="O5081" s="3">
        <v>1789</v>
      </c>
      <c r="P5081">
        <v>0</v>
      </c>
      <c r="Q5081">
        <v>4</v>
      </c>
      <c r="R5081" t="s">
        <v>33</v>
      </c>
      <c r="S5081">
        <v>1</v>
      </c>
    </row>
    <row r="5082" spans="1:19" ht="16.5" x14ac:dyDescent="0.3">
      <c r="A5082" t="s">
        <v>5145</v>
      </c>
      <c r="B5082" s="1">
        <v>45966</v>
      </c>
      <c r="C5082" s="1">
        <v>45969</v>
      </c>
      <c r="D5082">
        <v>2025</v>
      </c>
      <c r="E5082" t="s">
        <v>2026</v>
      </c>
      <c r="F5082" t="s">
        <v>2260</v>
      </c>
      <c r="G5082" t="s">
        <v>70</v>
      </c>
      <c r="H5082" t="s">
        <v>39</v>
      </c>
      <c r="I5082" t="s">
        <v>40</v>
      </c>
      <c r="J5082" t="s">
        <v>43</v>
      </c>
      <c r="K5082" t="s">
        <v>41</v>
      </c>
      <c r="L5082" t="s">
        <v>44</v>
      </c>
      <c r="M5082">
        <v>3</v>
      </c>
      <c r="N5082" s="2"/>
      <c r="O5082" s="3">
        <v>2986</v>
      </c>
      <c r="P5082">
        <v>0</v>
      </c>
      <c r="Q5082">
        <v>5</v>
      </c>
      <c r="R5082" t="s">
        <v>33</v>
      </c>
      <c r="S5082">
        <v>1</v>
      </c>
    </row>
    <row r="5083" spans="1:19" ht="16.5" x14ac:dyDescent="0.3">
      <c r="A5083" t="s">
        <v>5146</v>
      </c>
      <c r="B5083" s="1">
        <v>45966</v>
      </c>
      <c r="C5083" s="1">
        <v>45975</v>
      </c>
      <c r="D5083">
        <v>2025</v>
      </c>
      <c r="E5083" t="s">
        <v>2026</v>
      </c>
      <c r="F5083" t="s">
        <v>2260</v>
      </c>
      <c r="G5083" t="s">
        <v>70</v>
      </c>
      <c r="H5083" t="s">
        <v>52</v>
      </c>
      <c r="I5083" t="s">
        <v>40</v>
      </c>
      <c r="J5083" t="s">
        <v>25</v>
      </c>
      <c r="K5083" t="s">
        <v>53</v>
      </c>
      <c r="L5083" t="s">
        <v>27</v>
      </c>
      <c r="M5083">
        <v>9</v>
      </c>
      <c r="N5083" s="2"/>
      <c r="O5083" s="3">
        <v>4434</v>
      </c>
      <c r="P5083">
        <v>0</v>
      </c>
      <c r="Q5083">
        <v>4</v>
      </c>
      <c r="R5083" t="s">
        <v>33</v>
      </c>
      <c r="S5083">
        <v>1</v>
      </c>
    </row>
    <row r="5084" spans="1:19" ht="16.5" x14ac:dyDescent="0.3">
      <c r="A5084" t="s">
        <v>5147</v>
      </c>
      <c r="B5084" s="1">
        <v>45966</v>
      </c>
      <c r="C5084" s="1">
        <v>45969</v>
      </c>
      <c r="D5084">
        <v>2025</v>
      </c>
      <c r="E5084" t="s">
        <v>2026</v>
      </c>
      <c r="F5084" t="s">
        <v>2260</v>
      </c>
      <c r="G5084" t="s">
        <v>70</v>
      </c>
      <c r="H5084" t="s">
        <v>39</v>
      </c>
      <c r="I5084" t="s">
        <v>24</v>
      </c>
      <c r="J5084" t="s">
        <v>25</v>
      </c>
      <c r="K5084" t="s">
        <v>41</v>
      </c>
      <c r="L5084" t="s">
        <v>44</v>
      </c>
      <c r="M5084">
        <v>3</v>
      </c>
      <c r="N5084" s="2">
        <v>15</v>
      </c>
      <c r="O5084" s="3">
        <v>2938</v>
      </c>
      <c r="P5084">
        <v>0</v>
      </c>
      <c r="Q5084">
        <v>5</v>
      </c>
      <c r="R5084" t="s">
        <v>33</v>
      </c>
      <c r="S5084">
        <v>1</v>
      </c>
    </row>
    <row r="5085" spans="1:19" ht="16.5" x14ac:dyDescent="0.3">
      <c r="A5085" t="s">
        <v>5148</v>
      </c>
      <c r="B5085" s="1">
        <v>45966</v>
      </c>
      <c r="C5085" s="1">
        <v>45970</v>
      </c>
      <c r="D5085">
        <v>2025</v>
      </c>
      <c r="E5085" t="s">
        <v>2026</v>
      </c>
      <c r="F5085" t="s">
        <v>2260</v>
      </c>
      <c r="G5085" t="s">
        <v>70</v>
      </c>
      <c r="H5085" t="s">
        <v>30</v>
      </c>
      <c r="I5085" t="s">
        <v>24</v>
      </c>
      <c r="J5085" t="s">
        <v>43</v>
      </c>
      <c r="K5085" t="s">
        <v>26</v>
      </c>
      <c r="L5085" t="s">
        <v>44</v>
      </c>
      <c r="M5085">
        <v>4</v>
      </c>
      <c r="N5085" s="2">
        <v>24</v>
      </c>
      <c r="O5085" s="3">
        <v>4754</v>
      </c>
      <c r="P5085">
        <v>0</v>
      </c>
      <c r="Q5085">
        <v>4</v>
      </c>
      <c r="R5085" t="s">
        <v>33</v>
      </c>
      <c r="S5085">
        <v>1</v>
      </c>
    </row>
    <row r="5086" spans="1:19" ht="16.5" x14ac:dyDescent="0.3">
      <c r="A5086" t="s">
        <v>5149</v>
      </c>
      <c r="B5086" s="1">
        <v>45966</v>
      </c>
      <c r="C5086" s="1">
        <v>45972</v>
      </c>
      <c r="D5086">
        <v>2025</v>
      </c>
      <c r="E5086" t="s">
        <v>2026</v>
      </c>
      <c r="F5086" t="s">
        <v>2260</v>
      </c>
      <c r="G5086" t="s">
        <v>70</v>
      </c>
      <c r="H5086" t="s">
        <v>30</v>
      </c>
      <c r="I5086" t="s">
        <v>40</v>
      </c>
      <c r="J5086" t="s">
        <v>25</v>
      </c>
      <c r="K5086" t="s">
        <v>36</v>
      </c>
      <c r="L5086" t="s">
        <v>37</v>
      </c>
      <c r="M5086">
        <v>6</v>
      </c>
      <c r="N5086" s="2"/>
      <c r="O5086" s="3">
        <v>6256</v>
      </c>
      <c r="P5086">
        <v>0</v>
      </c>
      <c r="Q5086">
        <v>4</v>
      </c>
      <c r="R5086" t="s">
        <v>33</v>
      </c>
      <c r="S5086">
        <v>1</v>
      </c>
    </row>
    <row r="5087" spans="1:19" ht="16.5" x14ac:dyDescent="0.3">
      <c r="A5087" t="s">
        <v>5150</v>
      </c>
      <c r="B5087" s="1">
        <v>45966</v>
      </c>
      <c r="C5087" s="1">
        <v>45968</v>
      </c>
      <c r="D5087">
        <v>2025</v>
      </c>
      <c r="E5087" t="s">
        <v>2026</v>
      </c>
      <c r="F5087" t="s">
        <v>2260</v>
      </c>
      <c r="G5087" t="s">
        <v>70</v>
      </c>
      <c r="H5087" t="s">
        <v>30</v>
      </c>
      <c r="I5087" t="s">
        <v>31</v>
      </c>
      <c r="J5087" t="s">
        <v>43</v>
      </c>
      <c r="K5087" t="s">
        <v>26</v>
      </c>
      <c r="L5087" t="s">
        <v>44</v>
      </c>
      <c r="M5087">
        <v>2</v>
      </c>
      <c r="N5087" s="2"/>
      <c r="O5087" s="3">
        <v>3206</v>
      </c>
      <c r="P5087">
        <v>0</v>
      </c>
      <c r="Q5087">
        <v>5</v>
      </c>
      <c r="R5087" t="s">
        <v>28</v>
      </c>
      <c r="S5087">
        <v>1</v>
      </c>
    </row>
    <row r="5088" spans="1:19" ht="16.5" x14ac:dyDescent="0.3">
      <c r="A5088" t="s">
        <v>5151</v>
      </c>
      <c r="B5088" s="1">
        <v>45966</v>
      </c>
      <c r="C5088" s="1">
        <v>45967</v>
      </c>
      <c r="D5088">
        <v>2025</v>
      </c>
      <c r="E5088" t="s">
        <v>2026</v>
      </c>
      <c r="F5088" t="s">
        <v>2260</v>
      </c>
      <c r="G5088" t="s">
        <v>70</v>
      </c>
      <c r="H5088" t="s">
        <v>39</v>
      </c>
      <c r="I5088" t="s">
        <v>24</v>
      </c>
      <c r="J5088" t="s">
        <v>43</v>
      </c>
      <c r="K5088" t="s">
        <v>41</v>
      </c>
      <c r="L5088" t="s">
        <v>27</v>
      </c>
      <c r="M5088">
        <v>1</v>
      </c>
      <c r="N5088" s="2">
        <v>36</v>
      </c>
      <c r="O5088" s="3">
        <v>1752</v>
      </c>
      <c r="P5088">
        <v>0</v>
      </c>
      <c r="Q5088">
        <v>4</v>
      </c>
      <c r="R5088" t="s">
        <v>33</v>
      </c>
      <c r="S5088">
        <v>1</v>
      </c>
    </row>
    <row r="5089" spans="1:19" ht="16.5" x14ac:dyDescent="0.3">
      <c r="A5089" t="s">
        <v>5152</v>
      </c>
      <c r="B5089" s="1">
        <v>45966</v>
      </c>
      <c r="C5089" s="1">
        <v>45968</v>
      </c>
      <c r="D5089">
        <v>2025</v>
      </c>
      <c r="E5089" t="s">
        <v>2026</v>
      </c>
      <c r="F5089" t="s">
        <v>2260</v>
      </c>
      <c r="G5089" t="s">
        <v>70</v>
      </c>
      <c r="H5089" t="s">
        <v>50</v>
      </c>
      <c r="I5089" t="s">
        <v>24</v>
      </c>
      <c r="J5089" t="s">
        <v>25</v>
      </c>
      <c r="K5089" t="s">
        <v>26</v>
      </c>
      <c r="L5089" t="s">
        <v>27</v>
      </c>
      <c r="M5089">
        <v>2</v>
      </c>
      <c r="N5089" s="2">
        <v>76</v>
      </c>
      <c r="O5089" s="3">
        <v>3513</v>
      </c>
      <c r="P5089">
        <v>0</v>
      </c>
      <c r="Q5089">
        <v>5</v>
      </c>
      <c r="R5089" t="s">
        <v>28</v>
      </c>
      <c r="S5089">
        <v>1</v>
      </c>
    </row>
    <row r="5090" spans="1:19" ht="16.5" x14ac:dyDescent="0.3">
      <c r="A5090" t="s">
        <v>5153</v>
      </c>
      <c r="B5090" s="1">
        <v>45966</v>
      </c>
      <c r="C5090" s="1">
        <v>45971</v>
      </c>
      <c r="D5090">
        <v>2025</v>
      </c>
      <c r="E5090" t="s">
        <v>2026</v>
      </c>
      <c r="F5090" t="s">
        <v>2260</v>
      </c>
      <c r="G5090" t="s">
        <v>70</v>
      </c>
      <c r="H5090" t="s">
        <v>50</v>
      </c>
      <c r="I5090" t="s">
        <v>24</v>
      </c>
      <c r="J5090" t="s">
        <v>25</v>
      </c>
      <c r="K5090" t="s">
        <v>53</v>
      </c>
      <c r="L5090" t="s">
        <v>44</v>
      </c>
      <c r="M5090">
        <v>5</v>
      </c>
      <c r="N5090" s="2">
        <v>23</v>
      </c>
      <c r="O5090" s="3">
        <v>7005</v>
      </c>
      <c r="P5090">
        <v>0</v>
      </c>
      <c r="Q5090">
        <v>4</v>
      </c>
      <c r="R5090" t="s">
        <v>28</v>
      </c>
      <c r="S5090">
        <v>1</v>
      </c>
    </row>
    <row r="5091" spans="1:19" ht="16.5" x14ac:dyDescent="0.3">
      <c r="A5091" t="s">
        <v>5154</v>
      </c>
      <c r="B5091" s="1">
        <v>45967</v>
      </c>
      <c r="C5091" s="1">
        <v>45974</v>
      </c>
      <c r="D5091">
        <v>2025</v>
      </c>
      <c r="E5091" t="s">
        <v>2026</v>
      </c>
      <c r="F5091" t="s">
        <v>2260</v>
      </c>
      <c r="G5091" t="s">
        <v>78</v>
      </c>
      <c r="H5091" t="s">
        <v>23</v>
      </c>
      <c r="I5091" t="s">
        <v>24</v>
      </c>
      <c r="J5091" t="s">
        <v>43</v>
      </c>
      <c r="K5091" t="s">
        <v>36</v>
      </c>
      <c r="L5091" t="s">
        <v>27</v>
      </c>
      <c r="M5091">
        <v>7</v>
      </c>
      <c r="N5091" s="2">
        <v>40</v>
      </c>
      <c r="O5091" s="3">
        <v>5498</v>
      </c>
      <c r="P5091">
        <v>0</v>
      </c>
      <c r="Q5091">
        <v>3</v>
      </c>
      <c r="R5091" t="s">
        <v>28</v>
      </c>
      <c r="S5091">
        <v>1</v>
      </c>
    </row>
    <row r="5092" spans="1:19" ht="16.5" x14ac:dyDescent="0.3">
      <c r="A5092" t="s">
        <v>5155</v>
      </c>
      <c r="B5092" s="1">
        <v>45967</v>
      </c>
      <c r="C5092" s="1">
        <v>45969</v>
      </c>
      <c r="D5092">
        <v>2025</v>
      </c>
      <c r="E5092" t="s">
        <v>2026</v>
      </c>
      <c r="F5092" t="s">
        <v>2260</v>
      </c>
      <c r="G5092" t="s">
        <v>78</v>
      </c>
      <c r="H5092" t="s">
        <v>35</v>
      </c>
      <c r="I5092" t="s">
        <v>24</v>
      </c>
      <c r="J5092" t="s">
        <v>25</v>
      </c>
      <c r="K5092" t="s">
        <v>36</v>
      </c>
      <c r="L5092" t="s">
        <v>27</v>
      </c>
      <c r="M5092">
        <v>2</v>
      </c>
      <c r="N5092" s="2">
        <v>72</v>
      </c>
      <c r="O5092" s="3">
        <v>1778</v>
      </c>
      <c r="P5092">
        <v>0</v>
      </c>
      <c r="Q5092">
        <v>4</v>
      </c>
      <c r="R5092" t="s">
        <v>28</v>
      </c>
      <c r="S5092">
        <v>1</v>
      </c>
    </row>
    <row r="5093" spans="1:19" ht="16.5" x14ac:dyDescent="0.3">
      <c r="A5093" t="s">
        <v>5156</v>
      </c>
      <c r="B5093" s="1">
        <v>45967</v>
      </c>
      <c r="C5093" s="1">
        <v>45976</v>
      </c>
      <c r="D5093">
        <v>2025</v>
      </c>
      <c r="E5093" t="s">
        <v>2026</v>
      </c>
      <c r="F5093" t="s">
        <v>2260</v>
      </c>
      <c r="G5093" t="s">
        <v>78</v>
      </c>
      <c r="H5093" t="s">
        <v>30</v>
      </c>
      <c r="I5093" t="s">
        <v>40</v>
      </c>
      <c r="J5093" t="s">
        <v>25</v>
      </c>
      <c r="K5093" t="s">
        <v>26</v>
      </c>
      <c r="L5093" t="s">
        <v>27</v>
      </c>
      <c r="M5093">
        <v>9</v>
      </c>
      <c r="N5093" s="2"/>
      <c r="O5093" s="3">
        <v>7296</v>
      </c>
      <c r="P5093">
        <v>0</v>
      </c>
      <c r="Q5093">
        <v>5</v>
      </c>
      <c r="R5093" t="s">
        <v>33</v>
      </c>
      <c r="S5093">
        <v>1</v>
      </c>
    </row>
    <row r="5094" spans="1:19" ht="16.5" x14ac:dyDescent="0.3">
      <c r="A5094" t="s">
        <v>5157</v>
      </c>
      <c r="B5094" s="1">
        <v>45967</v>
      </c>
      <c r="C5094" s="1">
        <v>45971</v>
      </c>
      <c r="D5094">
        <v>2025</v>
      </c>
      <c r="E5094" t="s">
        <v>2026</v>
      </c>
      <c r="F5094" t="s">
        <v>2260</v>
      </c>
      <c r="G5094" t="s">
        <v>78</v>
      </c>
      <c r="H5094" t="s">
        <v>52</v>
      </c>
      <c r="I5094" t="s">
        <v>40</v>
      </c>
      <c r="J5094" t="s">
        <v>25</v>
      </c>
      <c r="K5094" t="s">
        <v>53</v>
      </c>
      <c r="L5094" t="s">
        <v>27</v>
      </c>
      <c r="M5094">
        <v>4</v>
      </c>
      <c r="N5094" s="2"/>
      <c r="O5094" s="3">
        <v>4285</v>
      </c>
      <c r="P5094">
        <v>1</v>
      </c>
      <c r="Q5094">
        <v>4</v>
      </c>
      <c r="R5094" t="s">
        <v>33</v>
      </c>
      <c r="S5094">
        <v>1</v>
      </c>
    </row>
    <row r="5095" spans="1:19" ht="16.5" x14ac:dyDescent="0.3">
      <c r="A5095" t="s">
        <v>5158</v>
      </c>
      <c r="B5095" s="1">
        <v>45967</v>
      </c>
      <c r="C5095" s="1">
        <v>45971</v>
      </c>
      <c r="D5095">
        <v>2025</v>
      </c>
      <c r="E5095" t="s">
        <v>2026</v>
      </c>
      <c r="F5095" t="s">
        <v>2260</v>
      </c>
      <c r="G5095" t="s">
        <v>78</v>
      </c>
      <c r="H5095" t="s">
        <v>23</v>
      </c>
      <c r="I5095" t="s">
        <v>24</v>
      </c>
      <c r="J5095" t="s">
        <v>25</v>
      </c>
      <c r="K5095" t="s">
        <v>26</v>
      </c>
      <c r="L5095" t="s">
        <v>44</v>
      </c>
      <c r="M5095">
        <v>4</v>
      </c>
      <c r="N5095" s="2">
        <v>24</v>
      </c>
      <c r="O5095" s="3">
        <v>3615</v>
      </c>
      <c r="P5095">
        <v>0</v>
      </c>
      <c r="Q5095">
        <v>5</v>
      </c>
      <c r="R5095" t="s">
        <v>33</v>
      </c>
      <c r="S5095">
        <v>1</v>
      </c>
    </row>
    <row r="5096" spans="1:19" ht="16.5" x14ac:dyDescent="0.3">
      <c r="A5096" t="s">
        <v>5159</v>
      </c>
      <c r="B5096" s="1">
        <v>45967</v>
      </c>
      <c r="C5096" s="1">
        <v>45968</v>
      </c>
      <c r="D5096">
        <v>2025</v>
      </c>
      <c r="E5096" t="s">
        <v>2026</v>
      </c>
      <c r="F5096" t="s">
        <v>2260</v>
      </c>
      <c r="G5096" t="s">
        <v>78</v>
      </c>
      <c r="H5096" t="s">
        <v>30</v>
      </c>
      <c r="I5096" t="s">
        <v>24</v>
      </c>
      <c r="J5096" t="s">
        <v>25</v>
      </c>
      <c r="K5096" t="s">
        <v>32</v>
      </c>
      <c r="L5096" t="s">
        <v>44</v>
      </c>
      <c r="M5096">
        <v>1</v>
      </c>
      <c r="N5096" s="2">
        <v>70</v>
      </c>
      <c r="O5096" s="3">
        <v>2066</v>
      </c>
      <c r="P5096">
        <v>0</v>
      </c>
      <c r="Q5096">
        <v>4</v>
      </c>
      <c r="R5096" t="s">
        <v>165</v>
      </c>
      <c r="S5096">
        <v>1</v>
      </c>
    </row>
    <row r="5097" spans="1:19" ht="16.5" x14ac:dyDescent="0.3">
      <c r="A5097" t="s">
        <v>5160</v>
      </c>
      <c r="B5097" s="1">
        <v>45967</v>
      </c>
      <c r="C5097" s="1">
        <v>45973</v>
      </c>
      <c r="D5097">
        <v>2025</v>
      </c>
      <c r="E5097" t="s">
        <v>2026</v>
      </c>
      <c r="F5097" t="s">
        <v>2260</v>
      </c>
      <c r="G5097" t="s">
        <v>78</v>
      </c>
      <c r="H5097" t="s">
        <v>23</v>
      </c>
      <c r="I5097" t="s">
        <v>40</v>
      </c>
      <c r="J5097" t="s">
        <v>25</v>
      </c>
      <c r="K5097" t="s">
        <v>32</v>
      </c>
      <c r="L5097" t="s">
        <v>44</v>
      </c>
      <c r="M5097">
        <v>6</v>
      </c>
      <c r="N5097" s="2"/>
      <c r="O5097" s="3">
        <v>5085</v>
      </c>
      <c r="P5097">
        <v>0</v>
      </c>
      <c r="Q5097">
        <v>4</v>
      </c>
      <c r="R5097" t="s">
        <v>33</v>
      </c>
      <c r="S5097">
        <v>1</v>
      </c>
    </row>
    <row r="5098" spans="1:19" ht="16.5" x14ac:dyDescent="0.3">
      <c r="A5098" t="s">
        <v>5161</v>
      </c>
      <c r="B5098" s="1">
        <v>45967</v>
      </c>
      <c r="C5098" s="1">
        <v>45969</v>
      </c>
      <c r="D5098">
        <v>2025</v>
      </c>
      <c r="E5098" t="s">
        <v>2026</v>
      </c>
      <c r="F5098" t="s">
        <v>2260</v>
      </c>
      <c r="G5098" t="s">
        <v>78</v>
      </c>
      <c r="H5098" t="s">
        <v>23</v>
      </c>
      <c r="I5098" t="s">
        <v>24</v>
      </c>
      <c r="J5098" t="s">
        <v>25</v>
      </c>
      <c r="K5098" t="s">
        <v>26</v>
      </c>
      <c r="L5098" t="s">
        <v>44</v>
      </c>
      <c r="M5098">
        <v>2</v>
      </c>
      <c r="N5098" s="2">
        <v>36</v>
      </c>
      <c r="O5098" s="3">
        <v>2214</v>
      </c>
      <c r="P5098">
        <v>0</v>
      </c>
      <c r="Q5098">
        <v>5</v>
      </c>
      <c r="R5098" t="s">
        <v>28</v>
      </c>
      <c r="S5098">
        <v>1</v>
      </c>
    </row>
    <row r="5099" spans="1:19" ht="16.5" x14ac:dyDescent="0.3">
      <c r="A5099" t="s">
        <v>5162</v>
      </c>
      <c r="B5099" s="1">
        <v>45967</v>
      </c>
      <c r="C5099" s="1">
        <v>45976</v>
      </c>
      <c r="D5099">
        <v>2025</v>
      </c>
      <c r="E5099" t="s">
        <v>2026</v>
      </c>
      <c r="F5099" t="s">
        <v>2260</v>
      </c>
      <c r="G5099" t="s">
        <v>78</v>
      </c>
      <c r="H5099" t="s">
        <v>50</v>
      </c>
      <c r="I5099" t="s">
        <v>31</v>
      </c>
      <c r="J5099" t="s">
        <v>25</v>
      </c>
      <c r="K5099" t="s">
        <v>26</v>
      </c>
      <c r="L5099" t="s">
        <v>37</v>
      </c>
      <c r="M5099">
        <v>9</v>
      </c>
      <c r="N5099" s="2"/>
      <c r="O5099" s="3">
        <v>14687</v>
      </c>
      <c r="P5099">
        <v>0</v>
      </c>
      <c r="Q5099">
        <v>5</v>
      </c>
      <c r="R5099" t="s">
        <v>59</v>
      </c>
      <c r="S5099">
        <v>1</v>
      </c>
    </row>
    <row r="5100" spans="1:19" ht="16.5" x14ac:dyDescent="0.3">
      <c r="A5100" t="s">
        <v>5163</v>
      </c>
      <c r="B5100" s="1">
        <v>45967</v>
      </c>
      <c r="C5100" s="1">
        <v>45968</v>
      </c>
      <c r="D5100">
        <v>2025</v>
      </c>
      <c r="E5100" t="s">
        <v>2026</v>
      </c>
      <c r="F5100" t="s">
        <v>2260</v>
      </c>
      <c r="G5100" t="s">
        <v>78</v>
      </c>
      <c r="H5100" t="s">
        <v>52</v>
      </c>
      <c r="I5100" t="s">
        <v>40</v>
      </c>
      <c r="J5100" t="s">
        <v>43</v>
      </c>
      <c r="K5100" t="s">
        <v>32</v>
      </c>
      <c r="L5100" t="s">
        <v>44</v>
      </c>
      <c r="M5100">
        <v>1</v>
      </c>
      <c r="N5100" s="2"/>
      <c r="O5100" s="3">
        <v>1693</v>
      </c>
      <c r="P5100">
        <v>0</v>
      </c>
      <c r="Q5100">
        <v>3</v>
      </c>
      <c r="R5100" t="s">
        <v>28</v>
      </c>
      <c r="S5100">
        <v>1</v>
      </c>
    </row>
    <row r="5101" spans="1:19" ht="16.5" x14ac:dyDescent="0.3">
      <c r="A5101" t="s">
        <v>5164</v>
      </c>
      <c r="B5101" s="1">
        <v>45967</v>
      </c>
      <c r="C5101" s="1">
        <v>45970</v>
      </c>
      <c r="D5101">
        <v>2025</v>
      </c>
      <c r="E5101" t="s">
        <v>2026</v>
      </c>
      <c r="F5101" t="s">
        <v>2260</v>
      </c>
      <c r="G5101" t="s">
        <v>78</v>
      </c>
      <c r="H5101" t="s">
        <v>30</v>
      </c>
      <c r="I5101" t="s">
        <v>24</v>
      </c>
      <c r="J5101" t="s">
        <v>25</v>
      </c>
      <c r="K5101" t="s">
        <v>32</v>
      </c>
      <c r="L5101" t="s">
        <v>44</v>
      </c>
      <c r="M5101">
        <v>3</v>
      </c>
      <c r="N5101" s="2">
        <v>86</v>
      </c>
      <c r="O5101" s="3">
        <v>3176</v>
      </c>
      <c r="P5101">
        <v>0</v>
      </c>
      <c r="Q5101">
        <v>4</v>
      </c>
      <c r="R5101" t="s">
        <v>33</v>
      </c>
      <c r="S5101">
        <v>1</v>
      </c>
    </row>
    <row r="5102" spans="1:19" ht="16.5" x14ac:dyDescent="0.3">
      <c r="A5102" t="s">
        <v>5165</v>
      </c>
      <c r="B5102" s="1">
        <v>45968</v>
      </c>
      <c r="C5102" s="1">
        <v>45971</v>
      </c>
      <c r="D5102">
        <v>2025</v>
      </c>
      <c r="E5102" t="s">
        <v>2026</v>
      </c>
      <c r="F5102" t="s">
        <v>2260</v>
      </c>
      <c r="G5102" t="s">
        <v>83</v>
      </c>
      <c r="H5102" t="s">
        <v>52</v>
      </c>
      <c r="I5102" t="s">
        <v>40</v>
      </c>
      <c r="J5102" t="s">
        <v>25</v>
      </c>
      <c r="K5102" t="s">
        <v>53</v>
      </c>
      <c r="L5102" t="s">
        <v>44</v>
      </c>
      <c r="M5102">
        <v>3</v>
      </c>
      <c r="N5102" s="2"/>
      <c r="O5102" s="3">
        <v>3468</v>
      </c>
      <c r="P5102">
        <v>0</v>
      </c>
      <c r="Q5102">
        <v>4</v>
      </c>
      <c r="R5102" t="s">
        <v>33</v>
      </c>
      <c r="S5102">
        <v>1</v>
      </c>
    </row>
    <row r="5103" spans="1:19" ht="16.5" x14ac:dyDescent="0.3">
      <c r="A5103" t="s">
        <v>5166</v>
      </c>
      <c r="B5103" s="1">
        <v>45968</v>
      </c>
      <c r="C5103" s="1">
        <v>45971</v>
      </c>
      <c r="D5103">
        <v>2025</v>
      </c>
      <c r="E5103" t="s">
        <v>2026</v>
      </c>
      <c r="F5103" t="s">
        <v>2260</v>
      </c>
      <c r="G5103" t="s">
        <v>83</v>
      </c>
      <c r="H5103" t="s">
        <v>50</v>
      </c>
      <c r="I5103" t="s">
        <v>24</v>
      </c>
      <c r="J5103" t="s">
        <v>43</v>
      </c>
      <c r="K5103" t="s">
        <v>53</v>
      </c>
      <c r="L5103" t="s">
        <v>44</v>
      </c>
      <c r="M5103">
        <v>3</v>
      </c>
      <c r="N5103" s="2">
        <v>24</v>
      </c>
      <c r="O5103" s="3">
        <v>4694</v>
      </c>
      <c r="P5103">
        <v>0</v>
      </c>
      <c r="Q5103">
        <v>5</v>
      </c>
      <c r="R5103" t="s">
        <v>33</v>
      </c>
      <c r="S5103">
        <v>1</v>
      </c>
    </row>
    <row r="5104" spans="1:19" ht="16.5" x14ac:dyDescent="0.3">
      <c r="A5104" t="s">
        <v>5167</v>
      </c>
      <c r="B5104" s="1">
        <v>45968</v>
      </c>
      <c r="C5104" s="1">
        <v>45969</v>
      </c>
      <c r="D5104">
        <v>2025</v>
      </c>
      <c r="E5104" t="s">
        <v>2026</v>
      </c>
      <c r="F5104" t="s">
        <v>2260</v>
      </c>
      <c r="G5104" t="s">
        <v>83</v>
      </c>
      <c r="H5104" t="s">
        <v>50</v>
      </c>
      <c r="I5104" t="s">
        <v>24</v>
      </c>
      <c r="J5104" t="s">
        <v>25</v>
      </c>
      <c r="K5104" t="s">
        <v>53</v>
      </c>
      <c r="L5104" t="s">
        <v>27</v>
      </c>
      <c r="M5104">
        <v>1</v>
      </c>
      <c r="N5104" s="2">
        <v>57</v>
      </c>
      <c r="O5104" s="3">
        <v>1841</v>
      </c>
      <c r="P5104">
        <v>0</v>
      </c>
      <c r="Q5104">
        <v>4</v>
      </c>
      <c r="R5104" t="s">
        <v>33</v>
      </c>
      <c r="S5104">
        <v>1</v>
      </c>
    </row>
    <row r="5105" spans="1:19" ht="16.5" x14ac:dyDescent="0.3">
      <c r="A5105" t="s">
        <v>5168</v>
      </c>
      <c r="B5105" s="1">
        <v>45968</v>
      </c>
      <c r="C5105" s="1">
        <v>45974</v>
      </c>
      <c r="D5105">
        <v>2025</v>
      </c>
      <c r="E5105" t="s">
        <v>2026</v>
      </c>
      <c r="F5105" t="s">
        <v>2260</v>
      </c>
      <c r="G5105" t="s">
        <v>83</v>
      </c>
      <c r="H5105" t="s">
        <v>30</v>
      </c>
      <c r="I5105" t="s">
        <v>40</v>
      </c>
      <c r="J5105" t="s">
        <v>25</v>
      </c>
      <c r="K5105" t="s">
        <v>36</v>
      </c>
      <c r="L5105" t="s">
        <v>37</v>
      </c>
      <c r="M5105">
        <v>6</v>
      </c>
      <c r="N5105" s="2"/>
      <c r="O5105" s="3">
        <v>5841</v>
      </c>
      <c r="P5105">
        <v>0</v>
      </c>
      <c r="Q5105">
        <v>5</v>
      </c>
      <c r="R5105" t="s">
        <v>28</v>
      </c>
      <c r="S5105">
        <v>1</v>
      </c>
    </row>
    <row r="5106" spans="1:19" ht="16.5" x14ac:dyDescent="0.3">
      <c r="A5106" t="s">
        <v>5169</v>
      </c>
      <c r="B5106" s="1">
        <v>45968</v>
      </c>
      <c r="C5106" s="1">
        <v>45975</v>
      </c>
      <c r="D5106">
        <v>2025</v>
      </c>
      <c r="E5106" t="s">
        <v>2026</v>
      </c>
      <c r="F5106" t="s">
        <v>2260</v>
      </c>
      <c r="G5106" t="s">
        <v>83</v>
      </c>
      <c r="H5106" t="s">
        <v>52</v>
      </c>
      <c r="I5106" t="s">
        <v>31</v>
      </c>
      <c r="J5106" t="s">
        <v>43</v>
      </c>
      <c r="K5106" t="s">
        <v>36</v>
      </c>
      <c r="L5106" t="s">
        <v>44</v>
      </c>
      <c r="M5106">
        <v>7</v>
      </c>
      <c r="N5106" s="2"/>
      <c r="O5106" s="3">
        <v>7601</v>
      </c>
      <c r="P5106">
        <v>0</v>
      </c>
      <c r="Q5106">
        <v>5</v>
      </c>
      <c r="R5106" t="s">
        <v>33</v>
      </c>
      <c r="S5106">
        <v>1</v>
      </c>
    </row>
    <row r="5107" spans="1:19" ht="16.5" x14ac:dyDescent="0.3">
      <c r="A5107" t="s">
        <v>5170</v>
      </c>
      <c r="B5107" s="1">
        <v>45968</v>
      </c>
      <c r="C5107" s="1">
        <v>45969</v>
      </c>
      <c r="D5107">
        <v>2025</v>
      </c>
      <c r="E5107" t="s">
        <v>2026</v>
      </c>
      <c r="F5107" t="s">
        <v>2260</v>
      </c>
      <c r="G5107" t="s">
        <v>83</v>
      </c>
      <c r="H5107" t="s">
        <v>39</v>
      </c>
      <c r="I5107" t="s">
        <v>24</v>
      </c>
      <c r="J5107" t="s">
        <v>43</v>
      </c>
      <c r="K5107" t="s">
        <v>41</v>
      </c>
      <c r="L5107" t="s">
        <v>44</v>
      </c>
      <c r="M5107">
        <v>1</v>
      </c>
      <c r="N5107" s="2">
        <v>35</v>
      </c>
      <c r="O5107" s="3">
        <v>1359</v>
      </c>
      <c r="P5107">
        <v>0</v>
      </c>
      <c r="Q5107">
        <v>5</v>
      </c>
      <c r="R5107" t="s">
        <v>33</v>
      </c>
      <c r="S5107">
        <v>1</v>
      </c>
    </row>
    <row r="5108" spans="1:19" ht="16.5" x14ac:dyDescent="0.3">
      <c r="A5108" t="s">
        <v>5171</v>
      </c>
      <c r="B5108" s="1">
        <v>45968</v>
      </c>
      <c r="C5108" s="1">
        <v>45970</v>
      </c>
      <c r="D5108">
        <v>2025</v>
      </c>
      <c r="E5108" t="s">
        <v>2026</v>
      </c>
      <c r="F5108" t="s">
        <v>2260</v>
      </c>
      <c r="G5108" t="s">
        <v>83</v>
      </c>
      <c r="H5108" t="s">
        <v>50</v>
      </c>
      <c r="I5108" t="s">
        <v>24</v>
      </c>
      <c r="J5108" t="s">
        <v>25</v>
      </c>
      <c r="K5108" t="s">
        <v>36</v>
      </c>
      <c r="L5108" t="s">
        <v>27</v>
      </c>
      <c r="M5108">
        <v>2</v>
      </c>
      <c r="N5108" s="2">
        <v>19</v>
      </c>
      <c r="O5108" s="3">
        <v>3279</v>
      </c>
      <c r="P5108">
        <v>0</v>
      </c>
      <c r="Q5108">
        <v>5</v>
      </c>
      <c r="R5108" t="s">
        <v>33</v>
      </c>
      <c r="S5108">
        <v>1</v>
      </c>
    </row>
    <row r="5109" spans="1:19" ht="16.5" x14ac:dyDescent="0.3">
      <c r="A5109" t="s">
        <v>5172</v>
      </c>
      <c r="B5109" s="1">
        <v>45969</v>
      </c>
      <c r="C5109" s="1">
        <v>45974</v>
      </c>
      <c r="D5109">
        <v>2025</v>
      </c>
      <c r="E5109" t="s">
        <v>2026</v>
      </c>
      <c r="F5109" t="s">
        <v>2260</v>
      </c>
      <c r="G5109" t="s">
        <v>102</v>
      </c>
      <c r="H5109" t="s">
        <v>23</v>
      </c>
      <c r="I5109" t="s">
        <v>31</v>
      </c>
      <c r="J5109" t="s">
        <v>25</v>
      </c>
      <c r="K5109" t="s">
        <v>32</v>
      </c>
      <c r="L5109" t="s">
        <v>27</v>
      </c>
      <c r="M5109">
        <v>5</v>
      </c>
      <c r="N5109" s="2"/>
      <c r="O5109" s="3">
        <v>4392</v>
      </c>
      <c r="P5109">
        <v>0</v>
      </c>
      <c r="Q5109">
        <v>5</v>
      </c>
      <c r="R5109" t="s">
        <v>33</v>
      </c>
      <c r="S5109">
        <v>1</v>
      </c>
    </row>
    <row r="5110" spans="1:19" ht="16.5" x14ac:dyDescent="0.3">
      <c r="A5110" t="s">
        <v>5173</v>
      </c>
      <c r="B5110" s="1">
        <v>45969</v>
      </c>
      <c r="C5110" s="1">
        <v>45972</v>
      </c>
      <c r="D5110">
        <v>2025</v>
      </c>
      <c r="E5110" t="s">
        <v>2026</v>
      </c>
      <c r="F5110" t="s">
        <v>2260</v>
      </c>
      <c r="G5110" t="s">
        <v>102</v>
      </c>
      <c r="H5110" t="s">
        <v>35</v>
      </c>
      <c r="I5110" t="s">
        <v>24</v>
      </c>
      <c r="J5110" t="s">
        <v>25</v>
      </c>
      <c r="K5110" t="s">
        <v>36</v>
      </c>
      <c r="L5110" t="s">
        <v>44</v>
      </c>
      <c r="M5110">
        <v>3</v>
      </c>
      <c r="N5110" s="2">
        <v>32</v>
      </c>
      <c r="O5110" s="3">
        <v>1775</v>
      </c>
      <c r="P5110">
        <v>0</v>
      </c>
      <c r="Q5110">
        <v>4</v>
      </c>
      <c r="R5110" t="s">
        <v>33</v>
      </c>
      <c r="S5110">
        <v>1</v>
      </c>
    </row>
    <row r="5111" spans="1:19" ht="16.5" x14ac:dyDescent="0.3">
      <c r="A5111" t="s">
        <v>5174</v>
      </c>
      <c r="B5111" s="1">
        <v>45969</v>
      </c>
      <c r="C5111" s="1">
        <v>45971</v>
      </c>
      <c r="D5111">
        <v>2025</v>
      </c>
      <c r="E5111" t="s">
        <v>2026</v>
      </c>
      <c r="F5111" t="s">
        <v>2260</v>
      </c>
      <c r="G5111" t="s">
        <v>102</v>
      </c>
      <c r="H5111" t="s">
        <v>30</v>
      </c>
      <c r="I5111" t="s">
        <v>40</v>
      </c>
      <c r="J5111" t="s">
        <v>43</v>
      </c>
      <c r="K5111" t="s">
        <v>26</v>
      </c>
      <c r="L5111" t="s">
        <v>27</v>
      </c>
      <c r="M5111">
        <v>2</v>
      </c>
      <c r="N5111" s="2"/>
      <c r="O5111" s="3">
        <v>2686</v>
      </c>
      <c r="P5111">
        <v>0</v>
      </c>
      <c r="Q5111">
        <v>5</v>
      </c>
      <c r="R5111" t="s">
        <v>33</v>
      </c>
      <c r="S5111">
        <v>1</v>
      </c>
    </row>
    <row r="5112" spans="1:19" ht="16.5" x14ac:dyDescent="0.3">
      <c r="A5112" t="s">
        <v>5175</v>
      </c>
      <c r="B5112" s="1">
        <v>45969</v>
      </c>
      <c r="C5112" s="1">
        <v>45973</v>
      </c>
      <c r="D5112">
        <v>2025</v>
      </c>
      <c r="E5112" t="s">
        <v>2026</v>
      </c>
      <c r="F5112" t="s">
        <v>2260</v>
      </c>
      <c r="G5112" t="s">
        <v>102</v>
      </c>
      <c r="H5112" t="s">
        <v>35</v>
      </c>
      <c r="I5112" t="s">
        <v>24</v>
      </c>
      <c r="J5112" t="s">
        <v>25</v>
      </c>
      <c r="K5112" t="s">
        <v>32</v>
      </c>
      <c r="L5112" t="s">
        <v>44</v>
      </c>
      <c r="M5112">
        <v>4</v>
      </c>
      <c r="N5112" s="2">
        <v>60</v>
      </c>
      <c r="O5112" s="3">
        <v>3471</v>
      </c>
      <c r="P5112">
        <v>0</v>
      </c>
      <c r="Q5112">
        <v>5</v>
      </c>
      <c r="R5112" t="s">
        <v>28</v>
      </c>
      <c r="S5112">
        <v>1</v>
      </c>
    </row>
    <row r="5113" spans="1:19" ht="16.5" x14ac:dyDescent="0.3">
      <c r="A5113" t="s">
        <v>5176</v>
      </c>
      <c r="B5113" s="1">
        <v>45969</v>
      </c>
      <c r="C5113" s="1">
        <v>45975</v>
      </c>
      <c r="D5113">
        <v>2025</v>
      </c>
      <c r="E5113" t="s">
        <v>2026</v>
      </c>
      <c r="F5113" t="s">
        <v>2260</v>
      </c>
      <c r="G5113" t="s">
        <v>102</v>
      </c>
      <c r="H5113" t="s">
        <v>50</v>
      </c>
      <c r="I5113" t="s">
        <v>24</v>
      </c>
      <c r="J5113" t="s">
        <v>43</v>
      </c>
      <c r="K5113" t="s">
        <v>26</v>
      </c>
      <c r="L5113" t="s">
        <v>44</v>
      </c>
      <c r="M5113">
        <v>6</v>
      </c>
      <c r="N5113" s="2">
        <v>35</v>
      </c>
      <c r="O5113" s="3">
        <v>8434</v>
      </c>
      <c r="P5113">
        <v>0</v>
      </c>
      <c r="Q5113">
        <v>5</v>
      </c>
      <c r="R5113" t="s">
        <v>59</v>
      </c>
      <c r="S5113">
        <v>1</v>
      </c>
    </row>
    <row r="5114" spans="1:19" ht="16.5" x14ac:dyDescent="0.3">
      <c r="A5114" t="s">
        <v>5177</v>
      </c>
      <c r="B5114" s="1">
        <v>45970</v>
      </c>
      <c r="C5114" s="1">
        <v>45972</v>
      </c>
      <c r="D5114">
        <v>2025</v>
      </c>
      <c r="E5114" t="s">
        <v>2026</v>
      </c>
      <c r="F5114" t="s">
        <v>2260</v>
      </c>
      <c r="G5114" t="s">
        <v>112</v>
      </c>
      <c r="H5114" t="s">
        <v>30</v>
      </c>
      <c r="I5114" t="s">
        <v>24</v>
      </c>
      <c r="J5114" t="s">
        <v>43</v>
      </c>
      <c r="K5114" t="s">
        <v>26</v>
      </c>
      <c r="L5114" t="s">
        <v>27</v>
      </c>
      <c r="M5114">
        <v>2</v>
      </c>
      <c r="N5114" s="2">
        <v>55</v>
      </c>
      <c r="O5114" s="3">
        <v>2655</v>
      </c>
      <c r="P5114">
        <v>1</v>
      </c>
      <c r="Q5114">
        <v>4</v>
      </c>
      <c r="R5114" t="s">
        <v>33</v>
      </c>
      <c r="S5114">
        <v>1</v>
      </c>
    </row>
    <row r="5115" spans="1:19" ht="16.5" x14ac:dyDescent="0.3">
      <c r="A5115" t="s">
        <v>5178</v>
      </c>
      <c r="B5115" s="1">
        <v>45970</v>
      </c>
      <c r="C5115" s="1">
        <v>45972</v>
      </c>
      <c r="D5115">
        <v>2025</v>
      </c>
      <c r="E5115" t="s">
        <v>2026</v>
      </c>
      <c r="F5115" t="s">
        <v>2260</v>
      </c>
      <c r="G5115" t="s">
        <v>112</v>
      </c>
      <c r="H5115" t="s">
        <v>52</v>
      </c>
      <c r="I5115" t="s">
        <v>40</v>
      </c>
      <c r="J5115" t="s">
        <v>43</v>
      </c>
      <c r="K5115" t="s">
        <v>53</v>
      </c>
      <c r="L5115" t="s">
        <v>44</v>
      </c>
      <c r="M5115">
        <v>2</v>
      </c>
      <c r="N5115" s="2"/>
      <c r="O5115" s="3">
        <v>2762</v>
      </c>
      <c r="P5115">
        <v>0</v>
      </c>
      <c r="Q5115">
        <v>4</v>
      </c>
      <c r="R5115" t="s">
        <v>28</v>
      </c>
      <c r="S5115">
        <v>1</v>
      </c>
    </row>
    <row r="5116" spans="1:19" ht="16.5" x14ac:dyDescent="0.3">
      <c r="A5116" t="s">
        <v>5179</v>
      </c>
      <c r="B5116" s="1">
        <v>45970</v>
      </c>
      <c r="C5116" s="1">
        <v>45971</v>
      </c>
      <c r="D5116">
        <v>2025</v>
      </c>
      <c r="E5116" t="s">
        <v>2026</v>
      </c>
      <c r="F5116" t="s">
        <v>2260</v>
      </c>
      <c r="G5116" t="s">
        <v>112</v>
      </c>
      <c r="H5116" t="s">
        <v>52</v>
      </c>
      <c r="I5116" t="s">
        <v>40</v>
      </c>
      <c r="J5116" t="s">
        <v>25</v>
      </c>
      <c r="K5116" t="s">
        <v>53</v>
      </c>
      <c r="L5116" t="s">
        <v>44</v>
      </c>
      <c r="M5116">
        <v>1</v>
      </c>
      <c r="N5116" s="2"/>
      <c r="O5116" s="3">
        <v>1680</v>
      </c>
      <c r="P5116">
        <v>0</v>
      </c>
      <c r="Q5116">
        <v>5</v>
      </c>
      <c r="R5116" t="s">
        <v>33</v>
      </c>
      <c r="S5116">
        <v>1</v>
      </c>
    </row>
    <row r="5117" spans="1:19" ht="16.5" x14ac:dyDescent="0.3">
      <c r="A5117" t="s">
        <v>5180</v>
      </c>
      <c r="B5117" s="1">
        <v>45970</v>
      </c>
      <c r="C5117" s="1">
        <v>45971</v>
      </c>
      <c r="D5117">
        <v>2025</v>
      </c>
      <c r="E5117" t="s">
        <v>2026</v>
      </c>
      <c r="F5117" t="s">
        <v>2260</v>
      </c>
      <c r="G5117" t="s">
        <v>112</v>
      </c>
      <c r="H5117" t="s">
        <v>52</v>
      </c>
      <c r="I5117" t="s">
        <v>24</v>
      </c>
      <c r="J5117" t="s">
        <v>43</v>
      </c>
      <c r="K5117" t="s">
        <v>26</v>
      </c>
      <c r="L5117" t="s">
        <v>27</v>
      </c>
      <c r="M5117">
        <v>1</v>
      </c>
      <c r="N5117" s="2">
        <v>72</v>
      </c>
      <c r="O5117" s="3">
        <v>1784</v>
      </c>
      <c r="P5117">
        <v>0</v>
      </c>
      <c r="Q5117">
        <v>5</v>
      </c>
      <c r="R5117" t="s">
        <v>33</v>
      </c>
      <c r="S5117">
        <v>1</v>
      </c>
    </row>
    <row r="5118" spans="1:19" ht="16.5" x14ac:dyDescent="0.3">
      <c r="A5118" t="s">
        <v>5181</v>
      </c>
      <c r="B5118" s="1">
        <v>45970</v>
      </c>
      <c r="C5118" s="1">
        <v>45974</v>
      </c>
      <c r="D5118">
        <v>2025</v>
      </c>
      <c r="E5118" t="s">
        <v>2026</v>
      </c>
      <c r="F5118" t="s">
        <v>2260</v>
      </c>
      <c r="G5118" t="s">
        <v>112</v>
      </c>
      <c r="H5118" t="s">
        <v>30</v>
      </c>
      <c r="I5118" t="s">
        <v>24</v>
      </c>
      <c r="J5118" t="s">
        <v>25</v>
      </c>
      <c r="K5118" t="s">
        <v>32</v>
      </c>
      <c r="L5118" t="s">
        <v>27</v>
      </c>
      <c r="M5118">
        <v>4</v>
      </c>
      <c r="N5118" s="2">
        <v>77</v>
      </c>
      <c r="O5118" s="3">
        <v>4809</v>
      </c>
      <c r="P5118">
        <v>0</v>
      </c>
      <c r="Q5118">
        <v>4</v>
      </c>
      <c r="R5118" t="s">
        <v>33</v>
      </c>
      <c r="S5118">
        <v>1</v>
      </c>
    </row>
    <row r="5119" spans="1:19" ht="16.5" x14ac:dyDescent="0.3">
      <c r="A5119" t="s">
        <v>5182</v>
      </c>
      <c r="B5119" s="1">
        <v>45970</v>
      </c>
      <c r="C5119" s="1">
        <v>45972</v>
      </c>
      <c r="D5119">
        <v>2025</v>
      </c>
      <c r="E5119" t="s">
        <v>2026</v>
      </c>
      <c r="F5119" t="s">
        <v>2260</v>
      </c>
      <c r="G5119" t="s">
        <v>112</v>
      </c>
      <c r="H5119" t="s">
        <v>52</v>
      </c>
      <c r="I5119" t="s">
        <v>40</v>
      </c>
      <c r="J5119" t="s">
        <v>25</v>
      </c>
      <c r="K5119" t="s">
        <v>53</v>
      </c>
      <c r="L5119" t="s">
        <v>37</v>
      </c>
      <c r="M5119">
        <v>2</v>
      </c>
      <c r="N5119" s="2"/>
      <c r="O5119" s="3">
        <v>2810</v>
      </c>
      <c r="P5119">
        <v>1</v>
      </c>
      <c r="Q5119">
        <v>3</v>
      </c>
      <c r="R5119" t="s">
        <v>33</v>
      </c>
      <c r="S5119">
        <v>1</v>
      </c>
    </row>
    <row r="5120" spans="1:19" ht="16.5" x14ac:dyDescent="0.3">
      <c r="A5120" t="s">
        <v>5183</v>
      </c>
      <c r="B5120" s="1">
        <v>45970</v>
      </c>
      <c r="C5120" s="1">
        <v>45972</v>
      </c>
      <c r="D5120">
        <v>2025</v>
      </c>
      <c r="E5120" t="s">
        <v>2026</v>
      </c>
      <c r="F5120" t="s">
        <v>2260</v>
      </c>
      <c r="G5120" t="s">
        <v>112</v>
      </c>
      <c r="H5120" t="s">
        <v>39</v>
      </c>
      <c r="I5120" t="s">
        <v>24</v>
      </c>
      <c r="J5120" t="s">
        <v>43</v>
      </c>
      <c r="K5120" t="s">
        <v>41</v>
      </c>
      <c r="L5120" t="s">
        <v>44</v>
      </c>
      <c r="M5120">
        <v>2</v>
      </c>
      <c r="N5120" s="2">
        <v>36</v>
      </c>
      <c r="O5120" s="3">
        <v>2027</v>
      </c>
      <c r="P5120">
        <v>0</v>
      </c>
      <c r="Q5120">
        <v>4</v>
      </c>
      <c r="R5120" t="s">
        <v>28</v>
      </c>
      <c r="S5120">
        <v>1</v>
      </c>
    </row>
    <row r="5121" spans="1:19" ht="16.5" x14ac:dyDescent="0.3">
      <c r="A5121" t="s">
        <v>5184</v>
      </c>
      <c r="B5121" s="1">
        <v>45970</v>
      </c>
      <c r="C5121" s="1">
        <v>45974</v>
      </c>
      <c r="D5121">
        <v>2025</v>
      </c>
      <c r="E5121" t="s">
        <v>2026</v>
      </c>
      <c r="F5121" t="s">
        <v>2260</v>
      </c>
      <c r="G5121" t="s">
        <v>112</v>
      </c>
      <c r="H5121" t="s">
        <v>35</v>
      </c>
      <c r="I5121" t="s">
        <v>24</v>
      </c>
      <c r="J5121" t="s">
        <v>25</v>
      </c>
      <c r="K5121" t="s">
        <v>36</v>
      </c>
      <c r="L5121" t="s">
        <v>27</v>
      </c>
      <c r="M5121">
        <v>4</v>
      </c>
      <c r="N5121" s="2">
        <v>31</v>
      </c>
      <c r="O5121" s="3">
        <v>3489</v>
      </c>
      <c r="P5121">
        <v>0</v>
      </c>
      <c r="Q5121">
        <v>5</v>
      </c>
      <c r="R5121" t="s">
        <v>28</v>
      </c>
      <c r="S5121">
        <v>1</v>
      </c>
    </row>
    <row r="5122" spans="1:19" ht="16.5" x14ac:dyDescent="0.3">
      <c r="A5122" t="s">
        <v>5185</v>
      </c>
      <c r="B5122" s="1">
        <v>45970</v>
      </c>
      <c r="C5122" s="1">
        <v>45972</v>
      </c>
      <c r="D5122">
        <v>2025</v>
      </c>
      <c r="E5122" t="s">
        <v>2026</v>
      </c>
      <c r="F5122" t="s">
        <v>2260</v>
      </c>
      <c r="G5122" t="s">
        <v>112</v>
      </c>
      <c r="H5122" t="s">
        <v>30</v>
      </c>
      <c r="I5122" t="s">
        <v>40</v>
      </c>
      <c r="J5122" t="s">
        <v>25</v>
      </c>
      <c r="K5122" t="s">
        <v>32</v>
      </c>
      <c r="L5122" t="s">
        <v>27</v>
      </c>
      <c r="M5122">
        <v>2</v>
      </c>
      <c r="N5122" s="2"/>
      <c r="O5122" s="3">
        <v>2726</v>
      </c>
      <c r="P5122">
        <v>0</v>
      </c>
      <c r="Q5122">
        <v>4</v>
      </c>
      <c r="R5122" t="s">
        <v>28</v>
      </c>
      <c r="S5122">
        <v>1</v>
      </c>
    </row>
    <row r="5123" spans="1:19" ht="16.5" x14ac:dyDescent="0.3">
      <c r="A5123" t="s">
        <v>5186</v>
      </c>
      <c r="B5123" s="1">
        <v>45971</v>
      </c>
      <c r="C5123" s="1">
        <v>45972</v>
      </c>
      <c r="D5123">
        <v>2025</v>
      </c>
      <c r="E5123" t="s">
        <v>2026</v>
      </c>
      <c r="F5123" t="s">
        <v>2260</v>
      </c>
      <c r="G5123" t="s">
        <v>22</v>
      </c>
      <c r="H5123" t="s">
        <v>30</v>
      </c>
      <c r="I5123" t="s">
        <v>40</v>
      </c>
      <c r="J5123" t="s">
        <v>25</v>
      </c>
      <c r="K5123" t="s">
        <v>26</v>
      </c>
      <c r="L5123" t="s">
        <v>27</v>
      </c>
      <c r="M5123">
        <v>1</v>
      </c>
      <c r="N5123" s="2"/>
      <c r="O5123" s="3">
        <v>1937</v>
      </c>
      <c r="P5123">
        <v>0</v>
      </c>
      <c r="Q5123">
        <v>5</v>
      </c>
      <c r="R5123" t="s">
        <v>33</v>
      </c>
      <c r="S5123">
        <v>1</v>
      </c>
    </row>
    <row r="5124" spans="1:19" ht="16.5" x14ac:dyDescent="0.3">
      <c r="A5124" t="s">
        <v>5187</v>
      </c>
      <c r="B5124" s="1">
        <v>45971</v>
      </c>
      <c r="C5124" s="1">
        <v>45977</v>
      </c>
      <c r="D5124">
        <v>2025</v>
      </c>
      <c r="E5124" t="s">
        <v>2026</v>
      </c>
      <c r="F5124" t="s">
        <v>2260</v>
      </c>
      <c r="G5124" t="s">
        <v>22</v>
      </c>
      <c r="H5124" t="s">
        <v>50</v>
      </c>
      <c r="I5124" t="s">
        <v>24</v>
      </c>
      <c r="J5124" t="s">
        <v>43</v>
      </c>
      <c r="K5124" t="s">
        <v>53</v>
      </c>
      <c r="L5124" t="s">
        <v>44</v>
      </c>
      <c r="M5124">
        <v>6</v>
      </c>
      <c r="N5124" s="2">
        <v>70</v>
      </c>
      <c r="O5124" s="3">
        <v>5603</v>
      </c>
      <c r="P5124">
        <v>0</v>
      </c>
      <c r="Q5124">
        <v>5</v>
      </c>
      <c r="R5124" t="s">
        <v>28</v>
      </c>
      <c r="S5124">
        <v>1</v>
      </c>
    </row>
    <row r="5125" spans="1:19" ht="16.5" x14ac:dyDescent="0.3">
      <c r="A5125" t="s">
        <v>5188</v>
      </c>
      <c r="B5125" s="1">
        <v>45971</v>
      </c>
      <c r="C5125" s="1">
        <v>45974</v>
      </c>
      <c r="D5125">
        <v>2025</v>
      </c>
      <c r="E5125" t="s">
        <v>2026</v>
      </c>
      <c r="F5125" t="s">
        <v>2260</v>
      </c>
      <c r="G5125" t="s">
        <v>22</v>
      </c>
      <c r="H5125" t="s">
        <v>23</v>
      </c>
      <c r="I5125" t="s">
        <v>24</v>
      </c>
      <c r="J5125" t="s">
        <v>43</v>
      </c>
      <c r="K5125" t="s">
        <v>53</v>
      </c>
      <c r="L5125" t="s">
        <v>44</v>
      </c>
      <c r="M5125">
        <v>3</v>
      </c>
      <c r="N5125" s="2">
        <v>103</v>
      </c>
      <c r="O5125" s="3">
        <v>2985</v>
      </c>
      <c r="P5125">
        <v>0</v>
      </c>
      <c r="Q5125">
        <v>3</v>
      </c>
      <c r="R5125" t="s">
        <v>28</v>
      </c>
      <c r="S5125">
        <v>1</v>
      </c>
    </row>
    <row r="5126" spans="1:19" ht="16.5" x14ac:dyDescent="0.3">
      <c r="A5126" t="s">
        <v>5189</v>
      </c>
      <c r="B5126" s="1">
        <v>45971</v>
      </c>
      <c r="C5126" s="1">
        <v>45977</v>
      </c>
      <c r="D5126">
        <v>2025</v>
      </c>
      <c r="E5126" t="s">
        <v>2026</v>
      </c>
      <c r="F5126" t="s">
        <v>2260</v>
      </c>
      <c r="G5126" t="s">
        <v>22</v>
      </c>
      <c r="H5126" t="s">
        <v>23</v>
      </c>
      <c r="I5126" t="s">
        <v>24</v>
      </c>
      <c r="J5126" t="s">
        <v>25</v>
      </c>
      <c r="K5126" t="s">
        <v>26</v>
      </c>
      <c r="L5126" t="s">
        <v>44</v>
      </c>
      <c r="M5126">
        <v>6</v>
      </c>
      <c r="N5126" s="2">
        <v>17</v>
      </c>
      <c r="O5126" s="3">
        <v>5089</v>
      </c>
      <c r="P5126">
        <v>0</v>
      </c>
      <c r="Q5126">
        <v>4</v>
      </c>
      <c r="R5126" t="s">
        <v>33</v>
      </c>
      <c r="S5126">
        <v>1</v>
      </c>
    </row>
    <row r="5127" spans="1:19" ht="16.5" x14ac:dyDescent="0.3">
      <c r="A5127" t="s">
        <v>5190</v>
      </c>
      <c r="B5127" s="1">
        <v>45971</v>
      </c>
      <c r="C5127" s="1">
        <v>45974</v>
      </c>
      <c r="D5127">
        <v>2025</v>
      </c>
      <c r="E5127" t="s">
        <v>2026</v>
      </c>
      <c r="F5127" t="s">
        <v>2260</v>
      </c>
      <c r="G5127" t="s">
        <v>22</v>
      </c>
      <c r="H5127" t="s">
        <v>30</v>
      </c>
      <c r="I5127" t="s">
        <v>40</v>
      </c>
      <c r="J5127" t="s">
        <v>25</v>
      </c>
      <c r="K5127" t="s">
        <v>26</v>
      </c>
      <c r="L5127" t="s">
        <v>27</v>
      </c>
      <c r="M5127">
        <v>3</v>
      </c>
      <c r="N5127" s="2"/>
      <c r="O5127" s="3">
        <v>3924</v>
      </c>
      <c r="P5127">
        <v>0</v>
      </c>
      <c r="Q5127">
        <v>4</v>
      </c>
      <c r="R5127" t="s">
        <v>59</v>
      </c>
      <c r="S5127">
        <v>1</v>
      </c>
    </row>
    <row r="5128" spans="1:19" ht="16.5" x14ac:dyDescent="0.3">
      <c r="A5128" t="s">
        <v>5191</v>
      </c>
      <c r="B5128" s="1">
        <v>45971</v>
      </c>
      <c r="C5128" s="1">
        <v>45979</v>
      </c>
      <c r="D5128">
        <v>2025</v>
      </c>
      <c r="E5128" t="s">
        <v>2026</v>
      </c>
      <c r="F5128" t="s">
        <v>2260</v>
      </c>
      <c r="G5128" t="s">
        <v>22</v>
      </c>
      <c r="H5128" t="s">
        <v>52</v>
      </c>
      <c r="I5128" t="s">
        <v>24</v>
      </c>
      <c r="J5128" t="s">
        <v>43</v>
      </c>
      <c r="K5128" t="s">
        <v>32</v>
      </c>
      <c r="L5128" t="s">
        <v>44</v>
      </c>
      <c r="M5128">
        <v>8</v>
      </c>
      <c r="N5128" s="2">
        <v>69</v>
      </c>
      <c r="O5128" s="3">
        <v>7177</v>
      </c>
      <c r="P5128">
        <v>0</v>
      </c>
      <c r="Q5128">
        <v>5</v>
      </c>
      <c r="R5128" t="s">
        <v>33</v>
      </c>
      <c r="S5128">
        <v>1</v>
      </c>
    </row>
    <row r="5129" spans="1:19" ht="16.5" x14ac:dyDescent="0.3">
      <c r="A5129" t="s">
        <v>5192</v>
      </c>
      <c r="B5129" s="1">
        <v>45972</v>
      </c>
      <c r="C5129" s="1">
        <v>45976</v>
      </c>
      <c r="D5129">
        <v>2025</v>
      </c>
      <c r="E5129" t="s">
        <v>2026</v>
      </c>
      <c r="F5129" t="s">
        <v>2260</v>
      </c>
      <c r="G5129" t="s">
        <v>56</v>
      </c>
      <c r="H5129" t="s">
        <v>23</v>
      </c>
      <c r="I5129" t="s">
        <v>40</v>
      </c>
      <c r="J5129" t="s">
        <v>25</v>
      </c>
      <c r="K5129" t="s">
        <v>26</v>
      </c>
      <c r="L5129" t="s">
        <v>44</v>
      </c>
      <c r="M5129">
        <v>4</v>
      </c>
      <c r="N5129" s="2"/>
      <c r="O5129" s="3">
        <v>3097</v>
      </c>
      <c r="P5129">
        <v>0</v>
      </c>
      <c r="Q5129">
        <v>3</v>
      </c>
      <c r="R5129" t="s">
        <v>33</v>
      </c>
      <c r="S5129">
        <v>1</v>
      </c>
    </row>
    <row r="5130" spans="1:19" ht="16.5" x14ac:dyDescent="0.3">
      <c r="A5130" t="s">
        <v>5193</v>
      </c>
      <c r="B5130" s="1">
        <v>45972</v>
      </c>
      <c r="C5130" s="1">
        <v>45989</v>
      </c>
      <c r="D5130">
        <v>2025</v>
      </c>
      <c r="E5130" t="s">
        <v>2026</v>
      </c>
      <c r="F5130" t="s">
        <v>2260</v>
      </c>
      <c r="G5130" t="s">
        <v>56</v>
      </c>
      <c r="H5130" t="s">
        <v>50</v>
      </c>
      <c r="I5130" t="s">
        <v>24</v>
      </c>
      <c r="J5130" t="s">
        <v>43</v>
      </c>
      <c r="K5130" t="s">
        <v>26</v>
      </c>
      <c r="L5130" t="s">
        <v>27</v>
      </c>
      <c r="M5130">
        <v>17</v>
      </c>
      <c r="N5130" s="2">
        <v>77</v>
      </c>
      <c r="O5130" s="3">
        <v>16029</v>
      </c>
      <c r="P5130">
        <v>0</v>
      </c>
      <c r="Q5130">
        <v>5</v>
      </c>
      <c r="R5130" t="s">
        <v>33</v>
      </c>
      <c r="S5130">
        <v>1</v>
      </c>
    </row>
    <row r="5131" spans="1:19" ht="16.5" x14ac:dyDescent="0.3">
      <c r="A5131" t="s">
        <v>5194</v>
      </c>
      <c r="B5131" s="1">
        <v>45972</v>
      </c>
      <c r="C5131" s="1">
        <v>45980</v>
      </c>
      <c r="D5131">
        <v>2025</v>
      </c>
      <c r="E5131" t="s">
        <v>2026</v>
      </c>
      <c r="F5131" t="s">
        <v>2260</v>
      </c>
      <c r="G5131" t="s">
        <v>56</v>
      </c>
      <c r="H5131" t="s">
        <v>23</v>
      </c>
      <c r="I5131" t="s">
        <v>24</v>
      </c>
      <c r="J5131" t="s">
        <v>43</v>
      </c>
      <c r="K5131" t="s">
        <v>53</v>
      </c>
      <c r="L5131" t="s">
        <v>27</v>
      </c>
      <c r="M5131">
        <v>8</v>
      </c>
      <c r="N5131" s="2">
        <v>36</v>
      </c>
      <c r="O5131" s="3">
        <v>6212</v>
      </c>
      <c r="P5131">
        <v>0</v>
      </c>
      <c r="Q5131">
        <v>4</v>
      </c>
      <c r="R5131" t="s">
        <v>28</v>
      </c>
      <c r="S5131">
        <v>1</v>
      </c>
    </row>
    <row r="5132" spans="1:19" ht="16.5" x14ac:dyDescent="0.3">
      <c r="A5132" t="s">
        <v>5195</v>
      </c>
      <c r="B5132" s="1">
        <v>45972</v>
      </c>
      <c r="C5132" s="1">
        <v>45974</v>
      </c>
      <c r="D5132">
        <v>2025</v>
      </c>
      <c r="E5132" t="s">
        <v>2026</v>
      </c>
      <c r="F5132" t="s">
        <v>2260</v>
      </c>
      <c r="G5132" t="s">
        <v>56</v>
      </c>
      <c r="H5132" t="s">
        <v>52</v>
      </c>
      <c r="I5132" t="s">
        <v>40</v>
      </c>
      <c r="J5132" t="s">
        <v>25</v>
      </c>
      <c r="K5132" t="s">
        <v>32</v>
      </c>
      <c r="L5132" t="s">
        <v>44</v>
      </c>
      <c r="M5132">
        <v>2</v>
      </c>
      <c r="N5132" s="2"/>
      <c r="O5132" s="3">
        <v>2626</v>
      </c>
      <c r="P5132">
        <v>0</v>
      </c>
      <c r="Q5132">
        <v>4</v>
      </c>
      <c r="R5132" t="s">
        <v>28</v>
      </c>
      <c r="S5132">
        <v>1</v>
      </c>
    </row>
    <row r="5133" spans="1:19" ht="16.5" x14ac:dyDescent="0.3">
      <c r="A5133" t="s">
        <v>5196</v>
      </c>
      <c r="B5133" s="1">
        <v>45972</v>
      </c>
      <c r="C5133" s="1">
        <v>45973</v>
      </c>
      <c r="D5133">
        <v>2025</v>
      </c>
      <c r="E5133" t="s">
        <v>2026</v>
      </c>
      <c r="F5133" t="s">
        <v>2260</v>
      </c>
      <c r="G5133" t="s">
        <v>56</v>
      </c>
      <c r="H5133" t="s">
        <v>35</v>
      </c>
      <c r="I5133" t="s">
        <v>31</v>
      </c>
      <c r="J5133" t="s">
        <v>25</v>
      </c>
      <c r="K5133" t="s">
        <v>36</v>
      </c>
      <c r="L5133" t="s">
        <v>44</v>
      </c>
      <c r="M5133">
        <v>1</v>
      </c>
      <c r="N5133" s="2"/>
      <c r="O5133" s="3">
        <v>1738</v>
      </c>
      <c r="P5133">
        <v>0</v>
      </c>
      <c r="Q5133">
        <v>4</v>
      </c>
      <c r="R5133" t="s">
        <v>28</v>
      </c>
      <c r="S5133">
        <v>1</v>
      </c>
    </row>
    <row r="5134" spans="1:19" ht="16.5" x14ac:dyDescent="0.3">
      <c r="A5134" t="s">
        <v>5197</v>
      </c>
      <c r="B5134" s="1">
        <v>45972</v>
      </c>
      <c r="C5134" s="1">
        <v>45975</v>
      </c>
      <c r="D5134">
        <v>2025</v>
      </c>
      <c r="E5134" t="s">
        <v>2026</v>
      </c>
      <c r="F5134" t="s">
        <v>2260</v>
      </c>
      <c r="G5134" t="s">
        <v>56</v>
      </c>
      <c r="H5134" t="s">
        <v>23</v>
      </c>
      <c r="I5134" t="s">
        <v>24</v>
      </c>
      <c r="J5134" t="s">
        <v>43</v>
      </c>
      <c r="K5134" t="s">
        <v>36</v>
      </c>
      <c r="L5134" t="s">
        <v>44</v>
      </c>
      <c r="M5134">
        <v>3</v>
      </c>
      <c r="N5134" s="2">
        <v>37</v>
      </c>
      <c r="O5134" s="3">
        <v>2852</v>
      </c>
      <c r="P5134">
        <v>0</v>
      </c>
      <c r="Q5134">
        <v>4</v>
      </c>
      <c r="R5134" t="s">
        <v>33</v>
      </c>
      <c r="S5134">
        <v>1</v>
      </c>
    </row>
    <row r="5135" spans="1:19" ht="16.5" x14ac:dyDescent="0.3">
      <c r="A5135" t="s">
        <v>5198</v>
      </c>
      <c r="B5135" s="1">
        <v>45972</v>
      </c>
      <c r="C5135" s="1">
        <v>45974</v>
      </c>
      <c r="D5135">
        <v>2025</v>
      </c>
      <c r="E5135" t="s">
        <v>2026</v>
      </c>
      <c r="F5135" t="s">
        <v>2260</v>
      </c>
      <c r="G5135" t="s">
        <v>56</v>
      </c>
      <c r="H5135" t="s">
        <v>30</v>
      </c>
      <c r="I5135" t="s">
        <v>40</v>
      </c>
      <c r="J5135" t="s">
        <v>25</v>
      </c>
      <c r="K5135" t="s">
        <v>32</v>
      </c>
      <c r="L5135" t="s">
        <v>44</v>
      </c>
      <c r="M5135">
        <v>2</v>
      </c>
      <c r="N5135" s="2"/>
      <c r="O5135" s="3">
        <v>2497</v>
      </c>
      <c r="P5135">
        <v>0</v>
      </c>
      <c r="Q5135">
        <v>4</v>
      </c>
      <c r="R5135" t="s">
        <v>28</v>
      </c>
      <c r="S5135">
        <v>1</v>
      </c>
    </row>
    <row r="5136" spans="1:19" ht="16.5" x14ac:dyDescent="0.3">
      <c r="A5136" t="s">
        <v>5199</v>
      </c>
      <c r="B5136" s="1">
        <v>45972</v>
      </c>
      <c r="C5136" s="1">
        <v>45979</v>
      </c>
      <c r="D5136">
        <v>2025</v>
      </c>
      <c r="E5136" t="s">
        <v>2026</v>
      </c>
      <c r="F5136" t="s">
        <v>2260</v>
      </c>
      <c r="G5136" t="s">
        <v>56</v>
      </c>
      <c r="H5136" t="s">
        <v>23</v>
      </c>
      <c r="I5136" t="s">
        <v>31</v>
      </c>
      <c r="J5136" t="s">
        <v>25</v>
      </c>
      <c r="K5136" t="s">
        <v>26</v>
      </c>
      <c r="L5136" t="s">
        <v>37</v>
      </c>
      <c r="M5136">
        <v>7</v>
      </c>
      <c r="N5136" s="2"/>
      <c r="O5136" s="3">
        <v>4098</v>
      </c>
      <c r="P5136">
        <v>1</v>
      </c>
      <c r="Q5136">
        <v>4</v>
      </c>
      <c r="R5136" t="s">
        <v>28</v>
      </c>
      <c r="S5136">
        <v>1</v>
      </c>
    </row>
    <row r="5137" spans="1:19" ht="16.5" x14ac:dyDescent="0.3">
      <c r="A5137" t="s">
        <v>5200</v>
      </c>
      <c r="B5137" s="1">
        <v>45972</v>
      </c>
      <c r="C5137" s="1">
        <v>45981</v>
      </c>
      <c r="D5137">
        <v>2025</v>
      </c>
      <c r="E5137" t="s">
        <v>2026</v>
      </c>
      <c r="F5137" t="s">
        <v>2260</v>
      </c>
      <c r="G5137" t="s">
        <v>56</v>
      </c>
      <c r="H5137" t="s">
        <v>23</v>
      </c>
      <c r="I5137" t="s">
        <v>24</v>
      </c>
      <c r="J5137" t="s">
        <v>25</v>
      </c>
      <c r="K5137" t="s">
        <v>53</v>
      </c>
      <c r="L5137" t="s">
        <v>37</v>
      </c>
      <c r="M5137">
        <v>9</v>
      </c>
      <c r="N5137" s="2">
        <v>56</v>
      </c>
      <c r="O5137" s="3">
        <v>7739</v>
      </c>
      <c r="P5137">
        <v>0</v>
      </c>
      <c r="Q5137">
        <v>5</v>
      </c>
      <c r="R5137" t="s">
        <v>33</v>
      </c>
      <c r="S5137">
        <v>1</v>
      </c>
    </row>
    <row r="5138" spans="1:19" ht="16.5" x14ac:dyDescent="0.3">
      <c r="A5138" t="s">
        <v>5201</v>
      </c>
      <c r="B5138" s="1">
        <v>45973</v>
      </c>
      <c r="C5138" s="1">
        <v>45975</v>
      </c>
      <c r="D5138">
        <v>2025</v>
      </c>
      <c r="E5138" t="s">
        <v>2026</v>
      </c>
      <c r="F5138" t="s">
        <v>2260</v>
      </c>
      <c r="G5138" t="s">
        <v>70</v>
      </c>
      <c r="H5138" t="s">
        <v>52</v>
      </c>
      <c r="I5138" t="s">
        <v>40</v>
      </c>
      <c r="J5138" t="s">
        <v>43</v>
      </c>
      <c r="K5138" t="s">
        <v>36</v>
      </c>
      <c r="L5138" t="s">
        <v>27</v>
      </c>
      <c r="M5138">
        <v>2</v>
      </c>
      <c r="N5138" s="2"/>
      <c r="O5138" s="3">
        <v>3011</v>
      </c>
      <c r="P5138">
        <v>1</v>
      </c>
      <c r="Q5138">
        <v>3</v>
      </c>
      <c r="R5138" t="s">
        <v>28</v>
      </c>
      <c r="S5138">
        <v>1</v>
      </c>
    </row>
    <row r="5139" spans="1:19" ht="16.5" x14ac:dyDescent="0.3">
      <c r="A5139" t="s">
        <v>5202</v>
      </c>
      <c r="B5139" s="1">
        <v>45973</v>
      </c>
      <c r="C5139" s="1">
        <v>45975</v>
      </c>
      <c r="D5139">
        <v>2025</v>
      </c>
      <c r="E5139" t="s">
        <v>2026</v>
      </c>
      <c r="F5139" t="s">
        <v>2260</v>
      </c>
      <c r="G5139" t="s">
        <v>70</v>
      </c>
      <c r="H5139" t="s">
        <v>35</v>
      </c>
      <c r="I5139" t="s">
        <v>24</v>
      </c>
      <c r="J5139" t="s">
        <v>25</v>
      </c>
      <c r="K5139" t="s">
        <v>32</v>
      </c>
      <c r="L5139" t="s">
        <v>27</v>
      </c>
      <c r="M5139">
        <v>2</v>
      </c>
      <c r="N5139" s="2">
        <v>28</v>
      </c>
      <c r="O5139" s="3">
        <v>2506</v>
      </c>
      <c r="P5139">
        <v>0</v>
      </c>
      <c r="Q5139">
        <v>5</v>
      </c>
      <c r="R5139" t="s">
        <v>33</v>
      </c>
      <c r="S5139">
        <v>1</v>
      </c>
    </row>
    <row r="5140" spans="1:19" ht="16.5" x14ac:dyDescent="0.3">
      <c r="A5140" t="s">
        <v>5203</v>
      </c>
      <c r="B5140" s="1">
        <v>45973</v>
      </c>
      <c r="C5140" s="1">
        <v>45978</v>
      </c>
      <c r="D5140">
        <v>2025</v>
      </c>
      <c r="E5140" t="s">
        <v>2026</v>
      </c>
      <c r="F5140" t="s">
        <v>2260</v>
      </c>
      <c r="G5140" t="s">
        <v>70</v>
      </c>
      <c r="H5140" t="s">
        <v>35</v>
      </c>
      <c r="I5140" t="s">
        <v>24</v>
      </c>
      <c r="J5140" t="s">
        <v>25</v>
      </c>
      <c r="K5140" t="s">
        <v>32</v>
      </c>
      <c r="L5140" t="s">
        <v>44</v>
      </c>
      <c r="M5140">
        <v>5</v>
      </c>
      <c r="N5140" s="2">
        <v>22</v>
      </c>
      <c r="O5140" s="3">
        <v>3885</v>
      </c>
      <c r="P5140">
        <v>0</v>
      </c>
      <c r="Q5140">
        <v>5</v>
      </c>
      <c r="R5140" t="s">
        <v>33</v>
      </c>
      <c r="S5140">
        <v>1</v>
      </c>
    </row>
    <row r="5141" spans="1:19" ht="16.5" x14ac:dyDescent="0.3">
      <c r="A5141" t="s">
        <v>5204</v>
      </c>
      <c r="B5141" s="1">
        <v>45973</v>
      </c>
      <c r="C5141" s="1">
        <v>45974</v>
      </c>
      <c r="D5141">
        <v>2025</v>
      </c>
      <c r="E5141" t="s">
        <v>2026</v>
      </c>
      <c r="F5141" t="s">
        <v>2260</v>
      </c>
      <c r="G5141" t="s">
        <v>70</v>
      </c>
      <c r="H5141" t="s">
        <v>35</v>
      </c>
      <c r="I5141" t="s">
        <v>24</v>
      </c>
      <c r="J5141" t="s">
        <v>25</v>
      </c>
      <c r="K5141" t="s">
        <v>36</v>
      </c>
      <c r="L5141" t="s">
        <v>27</v>
      </c>
      <c r="M5141">
        <v>1</v>
      </c>
      <c r="N5141" s="2">
        <v>49</v>
      </c>
      <c r="O5141" s="3">
        <v>1306</v>
      </c>
      <c r="P5141">
        <v>0</v>
      </c>
      <c r="Q5141">
        <v>4</v>
      </c>
      <c r="R5141" t="s">
        <v>33</v>
      </c>
      <c r="S5141">
        <v>1</v>
      </c>
    </row>
    <row r="5142" spans="1:19" ht="16.5" x14ac:dyDescent="0.3">
      <c r="A5142" t="s">
        <v>5205</v>
      </c>
      <c r="B5142" s="1">
        <v>45973</v>
      </c>
      <c r="C5142" s="1">
        <v>45974</v>
      </c>
      <c r="D5142">
        <v>2025</v>
      </c>
      <c r="E5142" t="s">
        <v>2026</v>
      </c>
      <c r="F5142" t="s">
        <v>2260</v>
      </c>
      <c r="G5142" t="s">
        <v>70</v>
      </c>
      <c r="H5142" t="s">
        <v>39</v>
      </c>
      <c r="I5142" t="s">
        <v>40</v>
      </c>
      <c r="J5142" t="s">
        <v>43</v>
      </c>
      <c r="K5142" t="s">
        <v>41</v>
      </c>
      <c r="L5142" t="s">
        <v>27</v>
      </c>
      <c r="M5142">
        <v>1</v>
      </c>
      <c r="N5142" s="2"/>
      <c r="O5142" s="3">
        <v>1663</v>
      </c>
      <c r="P5142">
        <v>0</v>
      </c>
      <c r="Q5142">
        <v>4</v>
      </c>
      <c r="R5142" t="s">
        <v>33</v>
      </c>
      <c r="S5142">
        <v>1</v>
      </c>
    </row>
    <row r="5143" spans="1:19" ht="16.5" x14ac:dyDescent="0.3">
      <c r="A5143" t="s">
        <v>5206</v>
      </c>
      <c r="B5143" s="1">
        <v>45973</v>
      </c>
      <c r="C5143" s="1">
        <v>45982</v>
      </c>
      <c r="D5143">
        <v>2025</v>
      </c>
      <c r="E5143" t="s">
        <v>2026</v>
      </c>
      <c r="F5143" t="s">
        <v>2260</v>
      </c>
      <c r="G5143" t="s">
        <v>70</v>
      </c>
      <c r="H5143" t="s">
        <v>52</v>
      </c>
      <c r="I5143" t="s">
        <v>40</v>
      </c>
      <c r="J5143" t="s">
        <v>43</v>
      </c>
      <c r="K5143" t="s">
        <v>36</v>
      </c>
      <c r="L5143" t="s">
        <v>44</v>
      </c>
      <c r="M5143">
        <v>9</v>
      </c>
      <c r="N5143" s="2"/>
      <c r="O5143" s="3">
        <v>9444</v>
      </c>
      <c r="P5143">
        <v>0</v>
      </c>
      <c r="Q5143">
        <v>4</v>
      </c>
      <c r="R5143" t="s">
        <v>33</v>
      </c>
      <c r="S5143">
        <v>1</v>
      </c>
    </row>
    <row r="5144" spans="1:19" ht="16.5" x14ac:dyDescent="0.3">
      <c r="A5144" t="s">
        <v>5207</v>
      </c>
      <c r="B5144" s="1">
        <v>45973</v>
      </c>
      <c r="C5144" s="1">
        <v>45974</v>
      </c>
      <c r="D5144">
        <v>2025</v>
      </c>
      <c r="E5144" t="s">
        <v>2026</v>
      </c>
      <c r="F5144" t="s">
        <v>2260</v>
      </c>
      <c r="G5144" t="s">
        <v>70</v>
      </c>
      <c r="H5144" t="s">
        <v>39</v>
      </c>
      <c r="I5144" t="s">
        <v>24</v>
      </c>
      <c r="J5144" t="s">
        <v>43</v>
      </c>
      <c r="K5144" t="s">
        <v>41</v>
      </c>
      <c r="L5144" t="s">
        <v>27</v>
      </c>
      <c r="M5144">
        <v>1</v>
      </c>
      <c r="N5144" s="2">
        <v>38</v>
      </c>
      <c r="O5144" s="3">
        <v>1137</v>
      </c>
      <c r="P5144">
        <v>0</v>
      </c>
      <c r="Q5144">
        <v>4</v>
      </c>
      <c r="R5144" t="s">
        <v>33</v>
      </c>
      <c r="S5144">
        <v>1</v>
      </c>
    </row>
    <row r="5145" spans="1:19" ht="16.5" x14ac:dyDescent="0.3">
      <c r="A5145" t="s">
        <v>5208</v>
      </c>
      <c r="B5145" s="1">
        <v>45974</v>
      </c>
      <c r="C5145" s="1">
        <v>45979</v>
      </c>
      <c r="D5145">
        <v>2025</v>
      </c>
      <c r="E5145" t="s">
        <v>2026</v>
      </c>
      <c r="F5145" t="s">
        <v>2260</v>
      </c>
      <c r="G5145" t="s">
        <v>78</v>
      </c>
      <c r="H5145" t="s">
        <v>23</v>
      </c>
      <c r="I5145" t="s">
        <v>24</v>
      </c>
      <c r="J5145" t="s">
        <v>25</v>
      </c>
      <c r="K5145" t="s">
        <v>26</v>
      </c>
      <c r="L5145" t="s">
        <v>27</v>
      </c>
      <c r="M5145">
        <v>5</v>
      </c>
      <c r="N5145" s="2">
        <v>68</v>
      </c>
      <c r="O5145" s="3">
        <v>4060</v>
      </c>
      <c r="P5145">
        <v>0</v>
      </c>
      <c r="Q5145">
        <v>5</v>
      </c>
      <c r="R5145" t="s">
        <v>33</v>
      </c>
      <c r="S5145">
        <v>1</v>
      </c>
    </row>
    <row r="5146" spans="1:19" ht="16.5" x14ac:dyDescent="0.3">
      <c r="A5146" t="s">
        <v>5209</v>
      </c>
      <c r="B5146" s="1">
        <v>45974</v>
      </c>
      <c r="C5146" s="1">
        <v>45976</v>
      </c>
      <c r="D5146">
        <v>2025</v>
      </c>
      <c r="E5146" t="s">
        <v>2026</v>
      </c>
      <c r="F5146" t="s">
        <v>2260</v>
      </c>
      <c r="G5146" t="s">
        <v>78</v>
      </c>
      <c r="H5146" t="s">
        <v>39</v>
      </c>
      <c r="I5146" t="s">
        <v>24</v>
      </c>
      <c r="J5146" t="s">
        <v>25</v>
      </c>
      <c r="K5146" t="s">
        <v>41</v>
      </c>
      <c r="L5146" t="s">
        <v>44</v>
      </c>
      <c r="M5146">
        <v>2</v>
      </c>
      <c r="N5146" s="2">
        <v>57</v>
      </c>
      <c r="O5146" s="3">
        <v>2167</v>
      </c>
      <c r="P5146">
        <v>0</v>
      </c>
      <c r="Q5146">
        <v>3</v>
      </c>
      <c r="R5146" t="s">
        <v>33</v>
      </c>
      <c r="S5146">
        <v>1</v>
      </c>
    </row>
    <row r="5147" spans="1:19" ht="16.5" x14ac:dyDescent="0.3">
      <c r="A5147" t="s">
        <v>5210</v>
      </c>
      <c r="B5147" s="1">
        <v>45974</v>
      </c>
      <c r="C5147" s="1">
        <v>45975</v>
      </c>
      <c r="D5147">
        <v>2025</v>
      </c>
      <c r="E5147" t="s">
        <v>2026</v>
      </c>
      <c r="F5147" t="s">
        <v>2260</v>
      </c>
      <c r="G5147" t="s">
        <v>78</v>
      </c>
      <c r="H5147" t="s">
        <v>23</v>
      </c>
      <c r="I5147" t="s">
        <v>40</v>
      </c>
      <c r="J5147" t="s">
        <v>43</v>
      </c>
      <c r="K5147" t="s">
        <v>53</v>
      </c>
      <c r="L5147" t="s">
        <v>44</v>
      </c>
      <c r="M5147">
        <v>1</v>
      </c>
      <c r="N5147" s="2"/>
      <c r="O5147" s="3">
        <v>1775</v>
      </c>
      <c r="P5147">
        <v>0</v>
      </c>
      <c r="Q5147">
        <v>4</v>
      </c>
      <c r="R5147" t="s">
        <v>33</v>
      </c>
      <c r="S5147">
        <v>1</v>
      </c>
    </row>
    <row r="5148" spans="1:19" ht="16.5" x14ac:dyDescent="0.3">
      <c r="A5148" t="s">
        <v>5211</v>
      </c>
      <c r="B5148" s="1">
        <v>45974</v>
      </c>
      <c r="C5148" s="1">
        <v>45975</v>
      </c>
      <c r="D5148">
        <v>2025</v>
      </c>
      <c r="E5148" t="s">
        <v>2026</v>
      </c>
      <c r="F5148" t="s">
        <v>2260</v>
      </c>
      <c r="G5148" t="s">
        <v>78</v>
      </c>
      <c r="H5148" t="s">
        <v>30</v>
      </c>
      <c r="I5148" t="s">
        <v>24</v>
      </c>
      <c r="J5148" t="s">
        <v>43</v>
      </c>
      <c r="K5148" t="s">
        <v>36</v>
      </c>
      <c r="L5148" t="s">
        <v>44</v>
      </c>
      <c r="M5148">
        <v>1</v>
      </c>
      <c r="N5148" s="2">
        <v>19</v>
      </c>
      <c r="O5148" s="3">
        <v>1978</v>
      </c>
      <c r="P5148">
        <v>0</v>
      </c>
      <c r="Q5148">
        <v>4</v>
      </c>
      <c r="R5148" t="s">
        <v>33</v>
      </c>
      <c r="S5148">
        <v>1</v>
      </c>
    </row>
    <row r="5149" spans="1:19" ht="16.5" x14ac:dyDescent="0.3">
      <c r="A5149" t="s">
        <v>5212</v>
      </c>
      <c r="B5149" s="1">
        <v>45974</v>
      </c>
      <c r="C5149" s="1">
        <v>45985</v>
      </c>
      <c r="D5149">
        <v>2025</v>
      </c>
      <c r="E5149" t="s">
        <v>2026</v>
      </c>
      <c r="F5149" t="s">
        <v>2260</v>
      </c>
      <c r="G5149" t="s">
        <v>78</v>
      </c>
      <c r="H5149" t="s">
        <v>50</v>
      </c>
      <c r="I5149" t="s">
        <v>24</v>
      </c>
      <c r="J5149" t="s">
        <v>43</v>
      </c>
      <c r="K5149" t="s">
        <v>26</v>
      </c>
      <c r="L5149" t="s">
        <v>44</v>
      </c>
      <c r="M5149">
        <v>11</v>
      </c>
      <c r="N5149" s="2">
        <v>50</v>
      </c>
      <c r="O5149" s="3">
        <v>16481</v>
      </c>
      <c r="P5149">
        <v>0</v>
      </c>
      <c r="Q5149">
        <v>4</v>
      </c>
      <c r="R5149" t="s">
        <v>28</v>
      </c>
      <c r="S5149">
        <v>1</v>
      </c>
    </row>
    <row r="5150" spans="1:19" ht="16.5" x14ac:dyDescent="0.3">
      <c r="A5150" t="s">
        <v>5213</v>
      </c>
      <c r="B5150" s="1">
        <v>45974</v>
      </c>
      <c r="C5150" s="1">
        <v>45975</v>
      </c>
      <c r="D5150">
        <v>2025</v>
      </c>
      <c r="E5150" t="s">
        <v>2026</v>
      </c>
      <c r="F5150" t="s">
        <v>2260</v>
      </c>
      <c r="G5150" t="s">
        <v>78</v>
      </c>
      <c r="H5150" t="s">
        <v>35</v>
      </c>
      <c r="I5150" t="s">
        <v>24</v>
      </c>
      <c r="J5150" t="s">
        <v>25</v>
      </c>
      <c r="K5150" t="s">
        <v>36</v>
      </c>
      <c r="L5150" t="s">
        <v>37</v>
      </c>
      <c r="M5150">
        <v>1</v>
      </c>
      <c r="N5150" s="2">
        <v>21</v>
      </c>
      <c r="O5150" s="3">
        <v>1620</v>
      </c>
      <c r="P5150">
        <v>0</v>
      </c>
      <c r="Q5150">
        <v>5</v>
      </c>
      <c r="R5150" t="s">
        <v>33</v>
      </c>
      <c r="S5150">
        <v>1</v>
      </c>
    </row>
    <row r="5151" spans="1:19" ht="16.5" x14ac:dyDescent="0.3">
      <c r="A5151" t="s">
        <v>5214</v>
      </c>
      <c r="B5151" s="1">
        <v>45975</v>
      </c>
      <c r="C5151" s="1">
        <v>45978</v>
      </c>
      <c r="D5151">
        <v>2025</v>
      </c>
      <c r="E5151" t="s">
        <v>2026</v>
      </c>
      <c r="F5151" t="s">
        <v>2260</v>
      </c>
      <c r="G5151" t="s">
        <v>83</v>
      </c>
      <c r="H5151" t="s">
        <v>52</v>
      </c>
      <c r="I5151" t="s">
        <v>40</v>
      </c>
      <c r="J5151" t="s">
        <v>25</v>
      </c>
      <c r="K5151" t="s">
        <v>53</v>
      </c>
      <c r="L5151" t="s">
        <v>27</v>
      </c>
      <c r="M5151">
        <v>3</v>
      </c>
      <c r="N5151" s="2"/>
      <c r="O5151" s="3">
        <v>3206</v>
      </c>
      <c r="P5151">
        <v>0</v>
      </c>
      <c r="Q5151">
        <v>4</v>
      </c>
      <c r="R5151" t="s">
        <v>33</v>
      </c>
      <c r="S5151">
        <v>1</v>
      </c>
    </row>
    <row r="5152" spans="1:19" ht="16.5" x14ac:dyDescent="0.3">
      <c r="A5152" t="s">
        <v>5215</v>
      </c>
      <c r="B5152" s="1">
        <v>45975</v>
      </c>
      <c r="C5152" s="1">
        <v>45980</v>
      </c>
      <c r="D5152">
        <v>2025</v>
      </c>
      <c r="E5152" t="s">
        <v>2026</v>
      </c>
      <c r="F5152" t="s">
        <v>2260</v>
      </c>
      <c r="G5152" t="s">
        <v>83</v>
      </c>
      <c r="H5152" t="s">
        <v>50</v>
      </c>
      <c r="I5152" t="s">
        <v>31</v>
      </c>
      <c r="J5152" t="s">
        <v>25</v>
      </c>
      <c r="K5152" t="s">
        <v>26</v>
      </c>
      <c r="L5152" t="s">
        <v>27</v>
      </c>
      <c r="M5152">
        <v>5</v>
      </c>
      <c r="N5152" s="2"/>
      <c r="O5152" s="3">
        <v>6207</v>
      </c>
      <c r="P5152">
        <v>0</v>
      </c>
      <c r="Q5152">
        <v>4</v>
      </c>
      <c r="R5152" t="s">
        <v>33</v>
      </c>
      <c r="S5152">
        <v>1</v>
      </c>
    </row>
    <row r="5153" spans="1:19" ht="16.5" x14ac:dyDescent="0.3">
      <c r="A5153" t="s">
        <v>5216</v>
      </c>
      <c r="B5153" s="1">
        <v>45975</v>
      </c>
      <c r="C5153" s="1">
        <v>45976</v>
      </c>
      <c r="D5153">
        <v>2025</v>
      </c>
      <c r="E5153" t="s">
        <v>2026</v>
      </c>
      <c r="F5153" t="s">
        <v>2260</v>
      </c>
      <c r="G5153" t="s">
        <v>83</v>
      </c>
      <c r="H5153" t="s">
        <v>30</v>
      </c>
      <c r="I5153" t="s">
        <v>24</v>
      </c>
      <c r="J5153" t="s">
        <v>25</v>
      </c>
      <c r="K5153" t="s">
        <v>32</v>
      </c>
      <c r="L5153" t="s">
        <v>27</v>
      </c>
      <c r="M5153">
        <v>1</v>
      </c>
      <c r="N5153" s="2">
        <v>31</v>
      </c>
      <c r="O5153" s="3">
        <v>1878</v>
      </c>
      <c r="P5153">
        <v>0</v>
      </c>
      <c r="Q5153">
        <v>5</v>
      </c>
      <c r="R5153" t="s">
        <v>33</v>
      </c>
      <c r="S5153">
        <v>1</v>
      </c>
    </row>
    <row r="5154" spans="1:19" ht="16.5" x14ac:dyDescent="0.3">
      <c r="A5154" t="s">
        <v>5217</v>
      </c>
      <c r="B5154" s="1">
        <v>45975</v>
      </c>
      <c r="C5154" s="1">
        <v>45977</v>
      </c>
      <c r="D5154">
        <v>2025</v>
      </c>
      <c r="E5154" t="s">
        <v>2026</v>
      </c>
      <c r="F5154" t="s">
        <v>2260</v>
      </c>
      <c r="G5154" t="s">
        <v>83</v>
      </c>
      <c r="H5154" t="s">
        <v>35</v>
      </c>
      <c r="I5154" t="s">
        <v>40</v>
      </c>
      <c r="J5154" t="s">
        <v>25</v>
      </c>
      <c r="K5154" t="s">
        <v>32</v>
      </c>
      <c r="L5154" t="s">
        <v>27</v>
      </c>
      <c r="M5154">
        <v>2</v>
      </c>
      <c r="N5154" s="2"/>
      <c r="O5154" s="3">
        <v>1581</v>
      </c>
      <c r="P5154">
        <v>0</v>
      </c>
      <c r="Q5154">
        <v>4</v>
      </c>
      <c r="R5154" t="s">
        <v>33</v>
      </c>
      <c r="S5154">
        <v>1</v>
      </c>
    </row>
    <row r="5155" spans="1:19" ht="16.5" x14ac:dyDescent="0.3">
      <c r="A5155" t="s">
        <v>5218</v>
      </c>
      <c r="B5155" s="1">
        <v>45975</v>
      </c>
      <c r="C5155" s="1">
        <v>45976</v>
      </c>
      <c r="D5155">
        <v>2025</v>
      </c>
      <c r="E5155" t="s">
        <v>2026</v>
      </c>
      <c r="F5155" t="s">
        <v>2260</v>
      </c>
      <c r="G5155" t="s">
        <v>83</v>
      </c>
      <c r="H5155" t="s">
        <v>35</v>
      </c>
      <c r="I5155" t="s">
        <v>40</v>
      </c>
      <c r="J5155" t="s">
        <v>25</v>
      </c>
      <c r="K5155" t="s">
        <v>32</v>
      </c>
      <c r="L5155" t="s">
        <v>44</v>
      </c>
      <c r="M5155">
        <v>1</v>
      </c>
      <c r="N5155" s="2"/>
      <c r="O5155" s="3">
        <v>1420</v>
      </c>
      <c r="P5155">
        <v>0</v>
      </c>
      <c r="Q5155">
        <v>4</v>
      </c>
      <c r="R5155" t="s">
        <v>28</v>
      </c>
      <c r="S5155">
        <v>1</v>
      </c>
    </row>
    <row r="5156" spans="1:19" ht="16.5" x14ac:dyDescent="0.3">
      <c r="A5156" t="s">
        <v>5219</v>
      </c>
      <c r="B5156" s="1">
        <v>45975</v>
      </c>
      <c r="C5156" s="1">
        <v>45977</v>
      </c>
      <c r="D5156">
        <v>2025</v>
      </c>
      <c r="E5156" t="s">
        <v>2026</v>
      </c>
      <c r="F5156" t="s">
        <v>2260</v>
      </c>
      <c r="G5156" t="s">
        <v>83</v>
      </c>
      <c r="H5156" t="s">
        <v>35</v>
      </c>
      <c r="I5156" t="s">
        <v>40</v>
      </c>
      <c r="J5156" t="s">
        <v>25</v>
      </c>
      <c r="K5156" t="s">
        <v>32</v>
      </c>
      <c r="L5156" t="s">
        <v>44</v>
      </c>
      <c r="M5156">
        <v>2</v>
      </c>
      <c r="N5156" s="2"/>
      <c r="O5156" s="3">
        <v>2106</v>
      </c>
      <c r="P5156">
        <v>0</v>
      </c>
      <c r="Q5156">
        <v>4</v>
      </c>
      <c r="R5156" t="s">
        <v>33</v>
      </c>
      <c r="S5156">
        <v>1</v>
      </c>
    </row>
    <row r="5157" spans="1:19" ht="16.5" x14ac:dyDescent="0.3">
      <c r="A5157" t="s">
        <v>5220</v>
      </c>
      <c r="B5157" s="1">
        <v>45975</v>
      </c>
      <c r="C5157" s="1">
        <v>45977</v>
      </c>
      <c r="D5157">
        <v>2025</v>
      </c>
      <c r="E5157" t="s">
        <v>2026</v>
      </c>
      <c r="F5157" t="s">
        <v>2260</v>
      </c>
      <c r="G5157" t="s">
        <v>83</v>
      </c>
      <c r="H5157" t="s">
        <v>35</v>
      </c>
      <c r="I5157" t="s">
        <v>24</v>
      </c>
      <c r="J5157" t="s">
        <v>25</v>
      </c>
      <c r="K5157" t="s">
        <v>36</v>
      </c>
      <c r="L5157" t="s">
        <v>37</v>
      </c>
      <c r="M5157">
        <v>2</v>
      </c>
      <c r="N5157" s="2">
        <v>47</v>
      </c>
      <c r="O5157" s="3">
        <v>1833</v>
      </c>
      <c r="P5157">
        <v>0</v>
      </c>
      <c r="Q5157">
        <v>5</v>
      </c>
      <c r="R5157" t="s">
        <v>28</v>
      </c>
      <c r="S5157">
        <v>1</v>
      </c>
    </row>
    <row r="5158" spans="1:19" ht="16.5" x14ac:dyDescent="0.3">
      <c r="A5158" t="s">
        <v>5221</v>
      </c>
      <c r="B5158" s="1">
        <v>45975</v>
      </c>
      <c r="C5158" s="1">
        <v>45984</v>
      </c>
      <c r="D5158">
        <v>2025</v>
      </c>
      <c r="E5158" t="s">
        <v>2026</v>
      </c>
      <c r="F5158" t="s">
        <v>2260</v>
      </c>
      <c r="G5158" t="s">
        <v>83</v>
      </c>
      <c r="H5158" t="s">
        <v>30</v>
      </c>
      <c r="I5158" t="s">
        <v>40</v>
      </c>
      <c r="J5158" t="s">
        <v>43</v>
      </c>
      <c r="K5158" t="s">
        <v>53</v>
      </c>
      <c r="L5158" t="s">
        <v>27</v>
      </c>
      <c r="M5158">
        <v>9</v>
      </c>
      <c r="N5158" s="2"/>
      <c r="O5158" s="3">
        <v>9032</v>
      </c>
      <c r="P5158">
        <v>0</v>
      </c>
      <c r="Q5158">
        <v>4</v>
      </c>
      <c r="R5158" t="s">
        <v>33</v>
      </c>
      <c r="S5158">
        <v>1</v>
      </c>
    </row>
    <row r="5159" spans="1:19" ht="16.5" x14ac:dyDescent="0.3">
      <c r="A5159" t="s">
        <v>5222</v>
      </c>
      <c r="B5159" s="1">
        <v>45975</v>
      </c>
      <c r="C5159" s="1">
        <v>45985</v>
      </c>
      <c r="D5159">
        <v>2025</v>
      </c>
      <c r="E5159" t="s">
        <v>2026</v>
      </c>
      <c r="F5159" t="s">
        <v>2260</v>
      </c>
      <c r="G5159" t="s">
        <v>83</v>
      </c>
      <c r="H5159" t="s">
        <v>23</v>
      </c>
      <c r="I5159" t="s">
        <v>40</v>
      </c>
      <c r="J5159" t="s">
        <v>25</v>
      </c>
      <c r="K5159" t="s">
        <v>53</v>
      </c>
      <c r="L5159" t="s">
        <v>27</v>
      </c>
      <c r="M5159">
        <v>10</v>
      </c>
      <c r="N5159" s="2"/>
      <c r="O5159" s="3">
        <v>7495</v>
      </c>
      <c r="P5159">
        <v>0</v>
      </c>
      <c r="Q5159">
        <v>4</v>
      </c>
      <c r="R5159" t="s">
        <v>33</v>
      </c>
      <c r="S5159">
        <v>1</v>
      </c>
    </row>
    <row r="5160" spans="1:19" ht="16.5" x14ac:dyDescent="0.3">
      <c r="A5160" t="s">
        <v>5223</v>
      </c>
      <c r="B5160" s="1">
        <v>45975</v>
      </c>
      <c r="C5160" s="1">
        <v>45979</v>
      </c>
      <c r="D5160">
        <v>2025</v>
      </c>
      <c r="E5160" t="s">
        <v>2026</v>
      </c>
      <c r="F5160" t="s">
        <v>2260</v>
      </c>
      <c r="G5160" t="s">
        <v>83</v>
      </c>
      <c r="H5160" t="s">
        <v>30</v>
      </c>
      <c r="I5160" t="s">
        <v>40</v>
      </c>
      <c r="J5160" t="s">
        <v>43</v>
      </c>
      <c r="K5160" t="s">
        <v>53</v>
      </c>
      <c r="L5160" t="s">
        <v>27</v>
      </c>
      <c r="M5160">
        <v>4</v>
      </c>
      <c r="N5160" s="2"/>
      <c r="O5160" s="3">
        <v>4949</v>
      </c>
      <c r="P5160">
        <v>0</v>
      </c>
      <c r="Q5160">
        <v>5</v>
      </c>
      <c r="R5160" t="s">
        <v>33</v>
      </c>
      <c r="S5160">
        <v>1</v>
      </c>
    </row>
    <row r="5161" spans="1:19" ht="16.5" x14ac:dyDescent="0.3">
      <c r="A5161" t="s">
        <v>5224</v>
      </c>
      <c r="B5161" s="1">
        <v>45975</v>
      </c>
      <c r="C5161" s="1">
        <v>45980</v>
      </c>
      <c r="D5161">
        <v>2025</v>
      </c>
      <c r="E5161" t="s">
        <v>2026</v>
      </c>
      <c r="F5161" t="s">
        <v>2260</v>
      </c>
      <c r="G5161" t="s">
        <v>83</v>
      </c>
      <c r="H5161" t="s">
        <v>23</v>
      </c>
      <c r="I5161" t="s">
        <v>24</v>
      </c>
      <c r="J5161" t="s">
        <v>25</v>
      </c>
      <c r="K5161" t="s">
        <v>26</v>
      </c>
      <c r="L5161" t="s">
        <v>44</v>
      </c>
      <c r="M5161">
        <v>5</v>
      </c>
      <c r="N5161" s="2">
        <v>50</v>
      </c>
      <c r="O5161" s="3">
        <v>4445</v>
      </c>
      <c r="P5161">
        <v>0</v>
      </c>
      <c r="Q5161">
        <v>5</v>
      </c>
      <c r="R5161" t="s">
        <v>33</v>
      </c>
      <c r="S5161">
        <v>1</v>
      </c>
    </row>
    <row r="5162" spans="1:19" ht="16.5" x14ac:dyDescent="0.3">
      <c r="A5162" t="s">
        <v>5225</v>
      </c>
      <c r="B5162" s="1">
        <v>45975</v>
      </c>
      <c r="C5162" s="1">
        <v>45977</v>
      </c>
      <c r="D5162">
        <v>2025</v>
      </c>
      <c r="E5162" t="s">
        <v>2026</v>
      </c>
      <c r="F5162" t="s">
        <v>2260</v>
      </c>
      <c r="G5162" t="s">
        <v>83</v>
      </c>
      <c r="H5162" t="s">
        <v>50</v>
      </c>
      <c r="I5162" t="s">
        <v>24</v>
      </c>
      <c r="J5162" t="s">
        <v>43</v>
      </c>
      <c r="K5162" t="s">
        <v>36</v>
      </c>
      <c r="L5162" t="s">
        <v>27</v>
      </c>
      <c r="M5162">
        <v>2</v>
      </c>
      <c r="N5162" s="2">
        <v>54</v>
      </c>
      <c r="O5162" s="3">
        <v>3963</v>
      </c>
      <c r="P5162">
        <v>0</v>
      </c>
      <c r="Q5162">
        <v>4</v>
      </c>
      <c r="R5162" t="s">
        <v>59</v>
      </c>
      <c r="S5162">
        <v>1</v>
      </c>
    </row>
    <row r="5163" spans="1:19" ht="16.5" x14ac:dyDescent="0.3">
      <c r="A5163" t="s">
        <v>5226</v>
      </c>
      <c r="B5163" s="1">
        <v>45975</v>
      </c>
      <c r="C5163" s="1">
        <v>45979</v>
      </c>
      <c r="D5163">
        <v>2025</v>
      </c>
      <c r="E5163" t="s">
        <v>2026</v>
      </c>
      <c r="F5163" t="s">
        <v>2260</v>
      </c>
      <c r="G5163" t="s">
        <v>83</v>
      </c>
      <c r="H5163" t="s">
        <v>30</v>
      </c>
      <c r="I5163" t="s">
        <v>40</v>
      </c>
      <c r="J5163" t="s">
        <v>25</v>
      </c>
      <c r="K5163" t="s">
        <v>53</v>
      </c>
      <c r="L5163" t="s">
        <v>27</v>
      </c>
      <c r="M5163">
        <v>4</v>
      </c>
      <c r="N5163" s="2"/>
      <c r="O5163" s="3">
        <v>5008</v>
      </c>
      <c r="P5163">
        <v>0</v>
      </c>
      <c r="Q5163">
        <v>5</v>
      </c>
      <c r="R5163" t="s">
        <v>33</v>
      </c>
      <c r="S5163">
        <v>1</v>
      </c>
    </row>
    <row r="5164" spans="1:19" ht="16.5" x14ac:dyDescent="0.3">
      <c r="A5164" t="s">
        <v>5227</v>
      </c>
      <c r="B5164" s="1">
        <v>45975</v>
      </c>
      <c r="C5164" s="1">
        <v>45977</v>
      </c>
      <c r="D5164">
        <v>2025</v>
      </c>
      <c r="E5164" t="s">
        <v>2026</v>
      </c>
      <c r="F5164" t="s">
        <v>2260</v>
      </c>
      <c r="G5164" t="s">
        <v>83</v>
      </c>
      <c r="H5164" t="s">
        <v>35</v>
      </c>
      <c r="I5164" t="s">
        <v>31</v>
      </c>
      <c r="J5164" t="s">
        <v>25</v>
      </c>
      <c r="K5164" t="s">
        <v>36</v>
      </c>
      <c r="L5164" t="s">
        <v>44</v>
      </c>
      <c r="M5164">
        <v>2</v>
      </c>
      <c r="N5164" s="2"/>
      <c r="O5164" s="3">
        <v>1910</v>
      </c>
      <c r="P5164">
        <v>0</v>
      </c>
      <c r="Q5164">
        <v>5</v>
      </c>
      <c r="R5164" t="s">
        <v>33</v>
      </c>
      <c r="S5164">
        <v>1</v>
      </c>
    </row>
    <row r="5165" spans="1:19" ht="16.5" x14ac:dyDescent="0.3">
      <c r="A5165" t="s">
        <v>5228</v>
      </c>
      <c r="B5165" s="1">
        <v>45976</v>
      </c>
      <c r="C5165" s="1">
        <v>45977</v>
      </c>
      <c r="D5165">
        <v>2025</v>
      </c>
      <c r="E5165" t="s">
        <v>2026</v>
      </c>
      <c r="F5165" t="s">
        <v>2260</v>
      </c>
      <c r="G5165" t="s">
        <v>102</v>
      </c>
      <c r="H5165" t="s">
        <v>35</v>
      </c>
      <c r="I5165" t="s">
        <v>40</v>
      </c>
      <c r="J5165" t="s">
        <v>25</v>
      </c>
      <c r="K5165" t="s">
        <v>32</v>
      </c>
      <c r="L5165" t="s">
        <v>44</v>
      </c>
      <c r="M5165">
        <v>1</v>
      </c>
      <c r="N5165" s="2"/>
      <c r="O5165" s="3">
        <v>1903</v>
      </c>
      <c r="P5165">
        <v>0</v>
      </c>
      <c r="Q5165">
        <v>4</v>
      </c>
      <c r="R5165" t="s">
        <v>33</v>
      </c>
      <c r="S5165">
        <v>1</v>
      </c>
    </row>
    <row r="5166" spans="1:19" ht="16.5" x14ac:dyDescent="0.3">
      <c r="A5166" t="s">
        <v>5229</v>
      </c>
      <c r="B5166" s="1">
        <v>45976</v>
      </c>
      <c r="C5166" s="1">
        <v>45979</v>
      </c>
      <c r="D5166">
        <v>2025</v>
      </c>
      <c r="E5166" t="s">
        <v>2026</v>
      </c>
      <c r="F5166" t="s">
        <v>2260</v>
      </c>
      <c r="G5166" t="s">
        <v>102</v>
      </c>
      <c r="H5166" t="s">
        <v>50</v>
      </c>
      <c r="I5166" t="s">
        <v>24</v>
      </c>
      <c r="J5166" t="s">
        <v>25</v>
      </c>
      <c r="K5166" t="s">
        <v>26</v>
      </c>
      <c r="L5166" t="s">
        <v>27</v>
      </c>
      <c r="M5166">
        <v>3</v>
      </c>
      <c r="N5166" s="2">
        <v>143</v>
      </c>
      <c r="O5166" s="3">
        <v>3762</v>
      </c>
      <c r="P5166">
        <v>1</v>
      </c>
      <c r="Q5166">
        <v>3</v>
      </c>
      <c r="R5166" t="s">
        <v>165</v>
      </c>
      <c r="S5166">
        <v>1</v>
      </c>
    </row>
    <row r="5167" spans="1:19" ht="16.5" x14ac:dyDescent="0.3">
      <c r="A5167" t="s">
        <v>5230</v>
      </c>
      <c r="B5167" s="1">
        <v>45976</v>
      </c>
      <c r="C5167" s="1">
        <v>45977</v>
      </c>
      <c r="D5167">
        <v>2025</v>
      </c>
      <c r="E5167" t="s">
        <v>2026</v>
      </c>
      <c r="F5167" t="s">
        <v>2260</v>
      </c>
      <c r="G5167" t="s">
        <v>102</v>
      </c>
      <c r="H5167" t="s">
        <v>30</v>
      </c>
      <c r="I5167" t="s">
        <v>40</v>
      </c>
      <c r="J5167" t="s">
        <v>25</v>
      </c>
      <c r="K5167" t="s">
        <v>32</v>
      </c>
      <c r="L5167" t="s">
        <v>44</v>
      </c>
      <c r="M5167">
        <v>1</v>
      </c>
      <c r="N5167" s="2"/>
      <c r="O5167" s="3">
        <v>2268</v>
      </c>
      <c r="P5167">
        <v>0</v>
      </c>
      <c r="Q5167">
        <v>5</v>
      </c>
      <c r="R5167" t="s">
        <v>33</v>
      </c>
      <c r="S5167">
        <v>1</v>
      </c>
    </row>
    <row r="5168" spans="1:19" ht="16.5" x14ac:dyDescent="0.3">
      <c r="A5168" t="s">
        <v>5231</v>
      </c>
      <c r="B5168" s="1">
        <v>45976</v>
      </c>
      <c r="C5168" s="1">
        <v>45986</v>
      </c>
      <c r="D5168">
        <v>2025</v>
      </c>
      <c r="E5168" t="s">
        <v>2026</v>
      </c>
      <c r="F5168" t="s">
        <v>2260</v>
      </c>
      <c r="G5168" t="s">
        <v>102</v>
      </c>
      <c r="H5168" t="s">
        <v>35</v>
      </c>
      <c r="I5168" t="s">
        <v>24</v>
      </c>
      <c r="J5168" t="s">
        <v>25</v>
      </c>
      <c r="K5168" t="s">
        <v>32</v>
      </c>
      <c r="L5168" t="s">
        <v>27</v>
      </c>
      <c r="M5168">
        <v>10</v>
      </c>
      <c r="N5168" s="2">
        <v>75</v>
      </c>
      <c r="O5168" s="3">
        <v>7112</v>
      </c>
      <c r="P5168">
        <v>0</v>
      </c>
      <c r="Q5168">
        <v>4</v>
      </c>
      <c r="R5168" t="s">
        <v>33</v>
      </c>
      <c r="S5168">
        <v>1</v>
      </c>
    </row>
    <row r="5169" spans="1:19" ht="16.5" x14ac:dyDescent="0.3">
      <c r="A5169" t="s">
        <v>5232</v>
      </c>
      <c r="B5169" s="1">
        <v>45976</v>
      </c>
      <c r="C5169" s="1">
        <v>45979</v>
      </c>
      <c r="D5169">
        <v>2025</v>
      </c>
      <c r="E5169" t="s">
        <v>2026</v>
      </c>
      <c r="F5169" t="s">
        <v>2260</v>
      </c>
      <c r="G5169" t="s">
        <v>102</v>
      </c>
      <c r="H5169" t="s">
        <v>52</v>
      </c>
      <c r="I5169" t="s">
        <v>40</v>
      </c>
      <c r="J5169" t="s">
        <v>43</v>
      </c>
      <c r="K5169" t="s">
        <v>36</v>
      </c>
      <c r="L5169" t="s">
        <v>27</v>
      </c>
      <c r="M5169">
        <v>3</v>
      </c>
      <c r="N5169" s="2"/>
      <c r="O5169" s="3">
        <v>4123</v>
      </c>
      <c r="P5169">
        <v>0</v>
      </c>
      <c r="Q5169">
        <v>5</v>
      </c>
      <c r="R5169" t="s">
        <v>33</v>
      </c>
      <c r="S5169">
        <v>1</v>
      </c>
    </row>
    <row r="5170" spans="1:19" ht="16.5" x14ac:dyDescent="0.3">
      <c r="A5170" t="s">
        <v>5233</v>
      </c>
      <c r="B5170" s="1">
        <v>45976</v>
      </c>
      <c r="C5170" s="1">
        <v>45977</v>
      </c>
      <c r="D5170">
        <v>2025</v>
      </c>
      <c r="E5170" t="s">
        <v>2026</v>
      </c>
      <c r="F5170" t="s">
        <v>2260</v>
      </c>
      <c r="G5170" t="s">
        <v>102</v>
      </c>
      <c r="H5170" t="s">
        <v>35</v>
      </c>
      <c r="I5170" t="s">
        <v>24</v>
      </c>
      <c r="J5170" t="s">
        <v>25</v>
      </c>
      <c r="K5170" t="s">
        <v>36</v>
      </c>
      <c r="L5170" t="s">
        <v>27</v>
      </c>
      <c r="M5170">
        <v>1</v>
      </c>
      <c r="N5170" s="2">
        <v>50</v>
      </c>
      <c r="O5170" s="3">
        <v>1409</v>
      </c>
      <c r="P5170">
        <v>0</v>
      </c>
      <c r="Q5170">
        <v>4</v>
      </c>
      <c r="R5170" t="s">
        <v>33</v>
      </c>
      <c r="S5170">
        <v>1</v>
      </c>
    </row>
    <row r="5171" spans="1:19" ht="16.5" x14ac:dyDescent="0.3">
      <c r="A5171" t="s">
        <v>5234</v>
      </c>
      <c r="B5171" s="1">
        <v>45976</v>
      </c>
      <c r="C5171" s="1">
        <v>45989</v>
      </c>
      <c r="D5171">
        <v>2025</v>
      </c>
      <c r="E5171" t="s">
        <v>2026</v>
      </c>
      <c r="F5171" t="s">
        <v>2260</v>
      </c>
      <c r="G5171" t="s">
        <v>102</v>
      </c>
      <c r="H5171" t="s">
        <v>30</v>
      </c>
      <c r="I5171" t="s">
        <v>40</v>
      </c>
      <c r="J5171" t="s">
        <v>43</v>
      </c>
      <c r="K5171" t="s">
        <v>26</v>
      </c>
      <c r="L5171" t="s">
        <v>44</v>
      </c>
      <c r="M5171">
        <v>13</v>
      </c>
      <c r="N5171" s="2"/>
      <c r="O5171" s="3">
        <v>13689</v>
      </c>
      <c r="P5171">
        <v>0</v>
      </c>
      <c r="Q5171">
        <v>4</v>
      </c>
      <c r="R5171" t="s">
        <v>33</v>
      </c>
      <c r="S5171">
        <v>1</v>
      </c>
    </row>
    <row r="5172" spans="1:19" ht="16.5" x14ac:dyDescent="0.3">
      <c r="A5172" t="s">
        <v>5235</v>
      </c>
      <c r="B5172" s="1">
        <v>45977</v>
      </c>
      <c r="C5172" s="1">
        <v>45978</v>
      </c>
      <c r="D5172">
        <v>2025</v>
      </c>
      <c r="E5172" t="s">
        <v>2026</v>
      </c>
      <c r="F5172" t="s">
        <v>2260</v>
      </c>
      <c r="G5172" t="s">
        <v>112</v>
      </c>
      <c r="H5172" t="s">
        <v>50</v>
      </c>
      <c r="I5172" t="s">
        <v>24</v>
      </c>
      <c r="J5172" t="s">
        <v>25</v>
      </c>
      <c r="K5172" t="s">
        <v>36</v>
      </c>
      <c r="L5172" t="s">
        <v>27</v>
      </c>
      <c r="M5172">
        <v>1</v>
      </c>
      <c r="N5172" s="2">
        <v>35</v>
      </c>
      <c r="O5172" s="3">
        <v>2273</v>
      </c>
      <c r="P5172">
        <v>0</v>
      </c>
      <c r="Q5172">
        <v>4</v>
      </c>
      <c r="R5172" t="s">
        <v>28</v>
      </c>
      <c r="S5172">
        <v>1</v>
      </c>
    </row>
    <row r="5173" spans="1:19" ht="16.5" x14ac:dyDescent="0.3">
      <c r="A5173" t="s">
        <v>5236</v>
      </c>
      <c r="B5173" s="1">
        <v>45977</v>
      </c>
      <c r="C5173" s="1">
        <v>45983</v>
      </c>
      <c r="D5173">
        <v>2025</v>
      </c>
      <c r="E5173" t="s">
        <v>2026</v>
      </c>
      <c r="F5173" t="s">
        <v>2260</v>
      </c>
      <c r="G5173" t="s">
        <v>112</v>
      </c>
      <c r="H5173" t="s">
        <v>50</v>
      </c>
      <c r="I5173" t="s">
        <v>40</v>
      </c>
      <c r="J5173" t="s">
        <v>43</v>
      </c>
      <c r="K5173" t="s">
        <v>26</v>
      </c>
      <c r="L5173" t="s">
        <v>27</v>
      </c>
      <c r="M5173">
        <v>6</v>
      </c>
      <c r="N5173" s="2"/>
      <c r="O5173" s="3">
        <v>5390</v>
      </c>
      <c r="P5173">
        <v>0</v>
      </c>
      <c r="Q5173">
        <v>4</v>
      </c>
      <c r="R5173" t="s">
        <v>33</v>
      </c>
      <c r="S5173">
        <v>1</v>
      </c>
    </row>
    <row r="5174" spans="1:19" ht="16.5" x14ac:dyDescent="0.3">
      <c r="A5174" t="s">
        <v>5237</v>
      </c>
      <c r="B5174" s="1">
        <v>45977</v>
      </c>
      <c r="C5174" s="1">
        <v>45979</v>
      </c>
      <c r="D5174">
        <v>2025</v>
      </c>
      <c r="E5174" t="s">
        <v>2026</v>
      </c>
      <c r="F5174" t="s">
        <v>2260</v>
      </c>
      <c r="G5174" t="s">
        <v>112</v>
      </c>
      <c r="H5174" t="s">
        <v>35</v>
      </c>
      <c r="I5174" t="s">
        <v>40</v>
      </c>
      <c r="J5174" t="s">
        <v>25</v>
      </c>
      <c r="K5174" t="s">
        <v>36</v>
      </c>
      <c r="L5174" t="s">
        <v>27</v>
      </c>
      <c r="M5174">
        <v>2</v>
      </c>
      <c r="N5174" s="2"/>
      <c r="O5174" s="3">
        <v>1845</v>
      </c>
      <c r="P5174">
        <v>0</v>
      </c>
      <c r="Q5174">
        <v>3</v>
      </c>
      <c r="R5174" t="s">
        <v>33</v>
      </c>
      <c r="S5174">
        <v>1</v>
      </c>
    </row>
    <row r="5175" spans="1:19" ht="16.5" x14ac:dyDescent="0.3">
      <c r="A5175" t="s">
        <v>5238</v>
      </c>
      <c r="B5175" s="1">
        <v>45977</v>
      </c>
      <c r="C5175" s="1">
        <v>45981</v>
      </c>
      <c r="D5175">
        <v>2025</v>
      </c>
      <c r="E5175" t="s">
        <v>2026</v>
      </c>
      <c r="F5175" t="s">
        <v>2260</v>
      </c>
      <c r="G5175" t="s">
        <v>112</v>
      </c>
      <c r="H5175" t="s">
        <v>35</v>
      </c>
      <c r="I5175" t="s">
        <v>40</v>
      </c>
      <c r="J5175" t="s">
        <v>25</v>
      </c>
      <c r="K5175" t="s">
        <v>36</v>
      </c>
      <c r="L5175" t="s">
        <v>44</v>
      </c>
      <c r="M5175">
        <v>4</v>
      </c>
      <c r="N5175" s="2"/>
      <c r="O5175" s="3">
        <v>4116</v>
      </c>
      <c r="P5175">
        <v>0</v>
      </c>
      <c r="Q5175">
        <v>4</v>
      </c>
      <c r="R5175" t="s">
        <v>59</v>
      </c>
      <c r="S5175">
        <v>1</v>
      </c>
    </row>
    <row r="5176" spans="1:19" ht="16.5" x14ac:dyDescent="0.3">
      <c r="A5176" t="s">
        <v>5239</v>
      </c>
      <c r="B5176" s="1">
        <v>45977</v>
      </c>
      <c r="C5176" s="1">
        <v>45984</v>
      </c>
      <c r="D5176">
        <v>2025</v>
      </c>
      <c r="E5176" t="s">
        <v>2026</v>
      </c>
      <c r="F5176" t="s">
        <v>2260</v>
      </c>
      <c r="G5176" t="s">
        <v>112</v>
      </c>
      <c r="H5176" t="s">
        <v>50</v>
      </c>
      <c r="I5176" t="s">
        <v>24</v>
      </c>
      <c r="J5176" t="s">
        <v>25</v>
      </c>
      <c r="K5176" t="s">
        <v>53</v>
      </c>
      <c r="L5176" t="s">
        <v>44</v>
      </c>
      <c r="M5176">
        <v>7</v>
      </c>
      <c r="N5176" s="2">
        <v>25</v>
      </c>
      <c r="O5176" s="3">
        <v>12480</v>
      </c>
      <c r="P5176">
        <v>0</v>
      </c>
      <c r="Q5176">
        <v>4</v>
      </c>
      <c r="R5176" t="s">
        <v>28</v>
      </c>
      <c r="S5176">
        <v>1</v>
      </c>
    </row>
    <row r="5177" spans="1:19" ht="16.5" x14ac:dyDescent="0.3">
      <c r="A5177" t="s">
        <v>5240</v>
      </c>
      <c r="B5177" s="1">
        <v>45978</v>
      </c>
      <c r="C5177" s="1">
        <v>45982</v>
      </c>
      <c r="D5177">
        <v>2025</v>
      </c>
      <c r="E5177" t="s">
        <v>2026</v>
      </c>
      <c r="F5177" t="s">
        <v>2260</v>
      </c>
      <c r="G5177" t="s">
        <v>22</v>
      </c>
      <c r="H5177" t="s">
        <v>35</v>
      </c>
      <c r="I5177" t="s">
        <v>24</v>
      </c>
      <c r="J5177" t="s">
        <v>25</v>
      </c>
      <c r="K5177" t="s">
        <v>32</v>
      </c>
      <c r="L5177" t="s">
        <v>44</v>
      </c>
      <c r="M5177">
        <v>4</v>
      </c>
      <c r="N5177" s="2">
        <v>19</v>
      </c>
      <c r="O5177" s="3">
        <v>4506</v>
      </c>
      <c r="P5177">
        <v>0</v>
      </c>
      <c r="Q5177">
        <v>5</v>
      </c>
      <c r="R5177" t="s">
        <v>28</v>
      </c>
      <c r="S5177">
        <v>1</v>
      </c>
    </row>
    <row r="5178" spans="1:19" ht="16.5" x14ac:dyDescent="0.3">
      <c r="A5178" t="s">
        <v>5241</v>
      </c>
      <c r="B5178" s="1">
        <v>45978</v>
      </c>
      <c r="C5178" s="1">
        <v>45979</v>
      </c>
      <c r="D5178">
        <v>2025</v>
      </c>
      <c r="E5178" t="s">
        <v>2026</v>
      </c>
      <c r="F5178" t="s">
        <v>2260</v>
      </c>
      <c r="G5178" t="s">
        <v>22</v>
      </c>
      <c r="H5178" t="s">
        <v>52</v>
      </c>
      <c r="I5178" t="s">
        <v>40</v>
      </c>
      <c r="J5178" t="s">
        <v>43</v>
      </c>
      <c r="K5178" t="s">
        <v>53</v>
      </c>
      <c r="L5178" t="s">
        <v>44</v>
      </c>
      <c r="M5178">
        <v>1</v>
      </c>
      <c r="N5178" s="2"/>
      <c r="O5178" s="3">
        <v>2176</v>
      </c>
      <c r="P5178">
        <v>1</v>
      </c>
      <c r="Q5178">
        <v>4</v>
      </c>
      <c r="R5178" t="s">
        <v>33</v>
      </c>
      <c r="S5178">
        <v>1</v>
      </c>
    </row>
    <row r="5179" spans="1:19" ht="16.5" x14ac:dyDescent="0.3">
      <c r="A5179" t="s">
        <v>5242</v>
      </c>
      <c r="B5179" s="1">
        <v>45978</v>
      </c>
      <c r="C5179" s="1">
        <v>45984</v>
      </c>
      <c r="D5179">
        <v>2025</v>
      </c>
      <c r="E5179" t="s">
        <v>2026</v>
      </c>
      <c r="F5179" t="s">
        <v>2260</v>
      </c>
      <c r="G5179" t="s">
        <v>22</v>
      </c>
      <c r="H5179" t="s">
        <v>39</v>
      </c>
      <c r="I5179" t="s">
        <v>24</v>
      </c>
      <c r="J5179" t="s">
        <v>43</v>
      </c>
      <c r="K5179" t="s">
        <v>41</v>
      </c>
      <c r="L5179" t="s">
        <v>27</v>
      </c>
      <c r="M5179">
        <v>6</v>
      </c>
      <c r="N5179" s="2">
        <v>53</v>
      </c>
      <c r="O5179" s="3">
        <v>4467</v>
      </c>
      <c r="P5179">
        <v>0</v>
      </c>
      <c r="Q5179">
        <v>3</v>
      </c>
      <c r="R5179" t="s">
        <v>33</v>
      </c>
      <c r="S5179">
        <v>1</v>
      </c>
    </row>
    <row r="5180" spans="1:19" ht="16.5" x14ac:dyDescent="0.3">
      <c r="A5180" t="s">
        <v>5243</v>
      </c>
      <c r="B5180" s="1">
        <v>45978</v>
      </c>
      <c r="C5180" s="1">
        <v>45979</v>
      </c>
      <c r="D5180">
        <v>2025</v>
      </c>
      <c r="E5180" t="s">
        <v>2026</v>
      </c>
      <c r="F5180" t="s">
        <v>2260</v>
      </c>
      <c r="G5180" t="s">
        <v>22</v>
      </c>
      <c r="H5180" t="s">
        <v>30</v>
      </c>
      <c r="I5180" t="s">
        <v>24</v>
      </c>
      <c r="J5180" t="s">
        <v>43</v>
      </c>
      <c r="K5180" t="s">
        <v>53</v>
      </c>
      <c r="L5180" t="s">
        <v>44</v>
      </c>
      <c r="M5180">
        <v>1</v>
      </c>
      <c r="N5180" s="2">
        <v>18</v>
      </c>
      <c r="O5180" s="3">
        <v>1534</v>
      </c>
      <c r="P5180">
        <v>0</v>
      </c>
      <c r="Q5180">
        <v>3</v>
      </c>
      <c r="R5180" t="s">
        <v>33</v>
      </c>
      <c r="S5180">
        <v>1</v>
      </c>
    </row>
    <row r="5181" spans="1:19" ht="16.5" x14ac:dyDescent="0.3">
      <c r="A5181" t="s">
        <v>5244</v>
      </c>
      <c r="B5181" s="1">
        <v>45978</v>
      </c>
      <c r="C5181" s="1">
        <v>45981</v>
      </c>
      <c r="D5181">
        <v>2025</v>
      </c>
      <c r="E5181" t="s">
        <v>2026</v>
      </c>
      <c r="F5181" t="s">
        <v>2260</v>
      </c>
      <c r="G5181" t="s">
        <v>22</v>
      </c>
      <c r="H5181" t="s">
        <v>35</v>
      </c>
      <c r="I5181" t="s">
        <v>31</v>
      </c>
      <c r="J5181" t="s">
        <v>25</v>
      </c>
      <c r="K5181" t="s">
        <v>32</v>
      </c>
      <c r="L5181" t="s">
        <v>27</v>
      </c>
      <c r="M5181">
        <v>3</v>
      </c>
      <c r="N5181" s="2"/>
      <c r="O5181" s="3">
        <v>2799</v>
      </c>
      <c r="P5181">
        <v>0</v>
      </c>
      <c r="Q5181">
        <v>4</v>
      </c>
      <c r="R5181" t="s">
        <v>59</v>
      </c>
      <c r="S5181">
        <v>1</v>
      </c>
    </row>
    <row r="5182" spans="1:19" ht="16.5" x14ac:dyDescent="0.3">
      <c r="A5182" t="s">
        <v>5245</v>
      </c>
      <c r="B5182" s="1">
        <v>45978</v>
      </c>
      <c r="C5182" s="1">
        <v>45979</v>
      </c>
      <c r="D5182">
        <v>2025</v>
      </c>
      <c r="E5182" t="s">
        <v>2026</v>
      </c>
      <c r="F5182" t="s">
        <v>2260</v>
      </c>
      <c r="G5182" t="s">
        <v>22</v>
      </c>
      <c r="H5182" t="s">
        <v>52</v>
      </c>
      <c r="I5182" t="s">
        <v>40</v>
      </c>
      <c r="J5182" t="s">
        <v>25</v>
      </c>
      <c r="K5182" t="s">
        <v>32</v>
      </c>
      <c r="L5182" t="s">
        <v>27</v>
      </c>
      <c r="M5182">
        <v>1</v>
      </c>
      <c r="N5182" s="2"/>
      <c r="O5182" s="3">
        <v>1807</v>
      </c>
      <c r="P5182">
        <v>0</v>
      </c>
      <c r="Q5182">
        <v>4</v>
      </c>
      <c r="R5182" t="s">
        <v>33</v>
      </c>
      <c r="S5182">
        <v>1</v>
      </c>
    </row>
    <row r="5183" spans="1:19" ht="16.5" x14ac:dyDescent="0.3">
      <c r="A5183" t="s">
        <v>5246</v>
      </c>
      <c r="B5183" s="1">
        <v>45978</v>
      </c>
      <c r="C5183" s="1">
        <v>45984</v>
      </c>
      <c r="D5183">
        <v>2025</v>
      </c>
      <c r="E5183" t="s">
        <v>2026</v>
      </c>
      <c r="F5183" t="s">
        <v>2260</v>
      </c>
      <c r="G5183" t="s">
        <v>22</v>
      </c>
      <c r="H5183" t="s">
        <v>35</v>
      </c>
      <c r="I5183" t="s">
        <v>24</v>
      </c>
      <c r="J5183" t="s">
        <v>25</v>
      </c>
      <c r="K5183" t="s">
        <v>36</v>
      </c>
      <c r="L5183" t="s">
        <v>44</v>
      </c>
      <c r="M5183">
        <v>6</v>
      </c>
      <c r="N5183" s="2">
        <v>60</v>
      </c>
      <c r="O5183" s="3">
        <v>4246</v>
      </c>
      <c r="P5183">
        <v>0</v>
      </c>
      <c r="Q5183">
        <v>3</v>
      </c>
      <c r="R5183" t="s">
        <v>33</v>
      </c>
      <c r="S5183">
        <v>1</v>
      </c>
    </row>
    <row r="5184" spans="1:19" ht="16.5" x14ac:dyDescent="0.3">
      <c r="A5184" t="s">
        <v>5247</v>
      </c>
      <c r="B5184" s="1">
        <v>45978</v>
      </c>
      <c r="C5184" s="1">
        <v>45985</v>
      </c>
      <c r="D5184">
        <v>2025</v>
      </c>
      <c r="E5184" t="s">
        <v>2026</v>
      </c>
      <c r="F5184" t="s">
        <v>2260</v>
      </c>
      <c r="G5184" t="s">
        <v>22</v>
      </c>
      <c r="H5184" t="s">
        <v>50</v>
      </c>
      <c r="I5184" t="s">
        <v>24</v>
      </c>
      <c r="J5184" t="s">
        <v>25</v>
      </c>
      <c r="K5184" t="s">
        <v>32</v>
      </c>
      <c r="L5184" t="s">
        <v>44</v>
      </c>
      <c r="M5184">
        <v>7</v>
      </c>
      <c r="N5184" s="2">
        <v>111</v>
      </c>
      <c r="O5184" s="3">
        <v>6973</v>
      </c>
      <c r="P5184">
        <v>0</v>
      </c>
      <c r="Q5184">
        <v>4</v>
      </c>
      <c r="R5184" t="s">
        <v>28</v>
      </c>
      <c r="S5184">
        <v>1</v>
      </c>
    </row>
    <row r="5185" spans="1:19" ht="16.5" x14ac:dyDescent="0.3">
      <c r="A5185" t="s">
        <v>5248</v>
      </c>
      <c r="B5185" s="1">
        <v>45978</v>
      </c>
      <c r="C5185" s="1">
        <v>45980</v>
      </c>
      <c r="D5185">
        <v>2025</v>
      </c>
      <c r="E5185" t="s">
        <v>2026</v>
      </c>
      <c r="F5185" t="s">
        <v>2260</v>
      </c>
      <c r="G5185" t="s">
        <v>22</v>
      </c>
      <c r="H5185" t="s">
        <v>39</v>
      </c>
      <c r="I5185" t="s">
        <v>40</v>
      </c>
      <c r="J5185" t="s">
        <v>43</v>
      </c>
      <c r="K5185" t="s">
        <v>41</v>
      </c>
      <c r="L5185" t="s">
        <v>37</v>
      </c>
      <c r="M5185">
        <v>2</v>
      </c>
      <c r="N5185" s="2"/>
      <c r="O5185" s="3">
        <v>2081</v>
      </c>
      <c r="P5185">
        <v>0</v>
      </c>
      <c r="Q5185">
        <v>5</v>
      </c>
      <c r="R5185" t="s">
        <v>33</v>
      </c>
      <c r="S5185">
        <v>1</v>
      </c>
    </row>
    <row r="5186" spans="1:19" ht="16.5" x14ac:dyDescent="0.3">
      <c r="A5186" t="s">
        <v>5249</v>
      </c>
      <c r="B5186" s="1">
        <v>45978</v>
      </c>
      <c r="C5186" s="1">
        <v>45983</v>
      </c>
      <c r="D5186">
        <v>2025</v>
      </c>
      <c r="E5186" t="s">
        <v>2026</v>
      </c>
      <c r="F5186" t="s">
        <v>2260</v>
      </c>
      <c r="G5186" t="s">
        <v>22</v>
      </c>
      <c r="H5186" t="s">
        <v>23</v>
      </c>
      <c r="I5186" t="s">
        <v>24</v>
      </c>
      <c r="J5186" t="s">
        <v>25</v>
      </c>
      <c r="K5186" t="s">
        <v>26</v>
      </c>
      <c r="L5186" t="s">
        <v>44</v>
      </c>
      <c r="M5186">
        <v>5</v>
      </c>
      <c r="N5186" s="2">
        <v>72</v>
      </c>
      <c r="O5186" s="3">
        <v>4934</v>
      </c>
      <c r="P5186">
        <v>0</v>
      </c>
      <c r="Q5186">
        <v>5</v>
      </c>
      <c r="R5186" t="s">
        <v>59</v>
      </c>
      <c r="S5186">
        <v>1</v>
      </c>
    </row>
    <row r="5187" spans="1:19" ht="16.5" x14ac:dyDescent="0.3">
      <c r="A5187" t="s">
        <v>5250</v>
      </c>
      <c r="B5187" s="1">
        <v>45978</v>
      </c>
      <c r="C5187" s="1">
        <v>45980</v>
      </c>
      <c r="D5187">
        <v>2025</v>
      </c>
      <c r="E5187" t="s">
        <v>2026</v>
      </c>
      <c r="F5187" t="s">
        <v>2260</v>
      </c>
      <c r="G5187" t="s">
        <v>22</v>
      </c>
      <c r="H5187" t="s">
        <v>35</v>
      </c>
      <c r="I5187" t="s">
        <v>24</v>
      </c>
      <c r="J5187" t="s">
        <v>25</v>
      </c>
      <c r="K5187" t="s">
        <v>36</v>
      </c>
      <c r="L5187" t="s">
        <v>44</v>
      </c>
      <c r="M5187">
        <v>2</v>
      </c>
      <c r="N5187" s="2">
        <v>58</v>
      </c>
      <c r="O5187" s="3">
        <v>1956</v>
      </c>
      <c r="P5187">
        <v>0</v>
      </c>
      <c r="Q5187">
        <v>4</v>
      </c>
      <c r="R5187" t="s">
        <v>33</v>
      </c>
      <c r="S5187">
        <v>1</v>
      </c>
    </row>
    <row r="5188" spans="1:19" ht="16.5" x14ac:dyDescent="0.3">
      <c r="A5188" t="s">
        <v>5251</v>
      </c>
      <c r="B5188" s="1">
        <v>45978</v>
      </c>
      <c r="C5188" s="1">
        <v>45983</v>
      </c>
      <c r="D5188">
        <v>2025</v>
      </c>
      <c r="E5188" t="s">
        <v>2026</v>
      </c>
      <c r="F5188" t="s">
        <v>2260</v>
      </c>
      <c r="G5188" t="s">
        <v>22</v>
      </c>
      <c r="H5188" t="s">
        <v>23</v>
      </c>
      <c r="I5188" t="s">
        <v>31</v>
      </c>
      <c r="J5188" t="s">
        <v>25</v>
      </c>
      <c r="K5188" t="s">
        <v>32</v>
      </c>
      <c r="L5188" t="s">
        <v>44</v>
      </c>
      <c r="M5188">
        <v>5</v>
      </c>
      <c r="N5188" s="2"/>
      <c r="O5188" s="3">
        <v>3830</v>
      </c>
      <c r="P5188">
        <v>0</v>
      </c>
      <c r="Q5188">
        <v>5</v>
      </c>
      <c r="R5188" t="s">
        <v>33</v>
      </c>
      <c r="S5188">
        <v>1</v>
      </c>
    </row>
    <row r="5189" spans="1:19" ht="16.5" x14ac:dyDescent="0.3">
      <c r="A5189" t="s">
        <v>5252</v>
      </c>
      <c r="B5189" s="1">
        <v>45978</v>
      </c>
      <c r="C5189" s="1">
        <v>45979</v>
      </c>
      <c r="D5189">
        <v>2025</v>
      </c>
      <c r="E5189" t="s">
        <v>2026</v>
      </c>
      <c r="F5189" t="s">
        <v>2260</v>
      </c>
      <c r="G5189" t="s">
        <v>22</v>
      </c>
      <c r="H5189" t="s">
        <v>50</v>
      </c>
      <c r="I5189" t="s">
        <v>24</v>
      </c>
      <c r="J5189" t="s">
        <v>43</v>
      </c>
      <c r="K5189" t="s">
        <v>26</v>
      </c>
      <c r="L5189" t="s">
        <v>27</v>
      </c>
      <c r="M5189">
        <v>1</v>
      </c>
      <c r="N5189" s="2">
        <v>18</v>
      </c>
      <c r="O5189" s="3">
        <v>2121</v>
      </c>
      <c r="P5189">
        <v>0</v>
      </c>
      <c r="Q5189">
        <v>5</v>
      </c>
      <c r="R5189" t="s">
        <v>28</v>
      </c>
      <c r="S5189">
        <v>1</v>
      </c>
    </row>
    <row r="5190" spans="1:19" ht="16.5" x14ac:dyDescent="0.3">
      <c r="A5190" t="s">
        <v>5253</v>
      </c>
      <c r="B5190" s="1">
        <v>45979</v>
      </c>
      <c r="C5190" s="1">
        <v>45986</v>
      </c>
      <c r="D5190">
        <v>2025</v>
      </c>
      <c r="E5190" t="s">
        <v>2026</v>
      </c>
      <c r="F5190" t="s">
        <v>2260</v>
      </c>
      <c r="G5190" t="s">
        <v>56</v>
      </c>
      <c r="H5190" t="s">
        <v>23</v>
      </c>
      <c r="I5190" t="s">
        <v>40</v>
      </c>
      <c r="J5190" t="s">
        <v>25</v>
      </c>
      <c r="K5190" t="s">
        <v>53</v>
      </c>
      <c r="L5190" t="s">
        <v>27</v>
      </c>
      <c r="M5190">
        <v>7</v>
      </c>
      <c r="N5190" s="2"/>
      <c r="O5190" s="3">
        <v>5200</v>
      </c>
      <c r="P5190">
        <v>0</v>
      </c>
      <c r="Q5190">
        <v>4</v>
      </c>
      <c r="R5190" t="s">
        <v>28</v>
      </c>
      <c r="S5190">
        <v>1</v>
      </c>
    </row>
    <row r="5191" spans="1:19" ht="16.5" x14ac:dyDescent="0.3">
      <c r="A5191" t="s">
        <v>5254</v>
      </c>
      <c r="B5191" s="1">
        <v>45979</v>
      </c>
      <c r="C5191" s="1">
        <v>45988</v>
      </c>
      <c r="D5191">
        <v>2025</v>
      </c>
      <c r="E5191" t="s">
        <v>2026</v>
      </c>
      <c r="F5191" t="s">
        <v>2260</v>
      </c>
      <c r="G5191" t="s">
        <v>56</v>
      </c>
      <c r="H5191" t="s">
        <v>52</v>
      </c>
      <c r="I5191" t="s">
        <v>40</v>
      </c>
      <c r="J5191" t="s">
        <v>43</v>
      </c>
      <c r="K5191" t="s">
        <v>26</v>
      </c>
      <c r="L5191" t="s">
        <v>27</v>
      </c>
      <c r="M5191">
        <v>9</v>
      </c>
      <c r="N5191" s="2"/>
      <c r="O5191" s="3">
        <v>7828</v>
      </c>
      <c r="P5191">
        <v>0</v>
      </c>
      <c r="Q5191">
        <v>4</v>
      </c>
      <c r="R5191" t="s">
        <v>33</v>
      </c>
      <c r="S5191">
        <v>1</v>
      </c>
    </row>
    <row r="5192" spans="1:19" ht="16.5" x14ac:dyDescent="0.3">
      <c r="A5192" t="s">
        <v>5255</v>
      </c>
      <c r="B5192" s="1">
        <v>45979</v>
      </c>
      <c r="C5192" s="1">
        <v>45982</v>
      </c>
      <c r="D5192">
        <v>2025</v>
      </c>
      <c r="E5192" t="s">
        <v>2026</v>
      </c>
      <c r="F5192" t="s">
        <v>2260</v>
      </c>
      <c r="G5192" t="s">
        <v>56</v>
      </c>
      <c r="H5192" t="s">
        <v>52</v>
      </c>
      <c r="I5192" t="s">
        <v>40</v>
      </c>
      <c r="J5192" t="s">
        <v>25</v>
      </c>
      <c r="K5192" t="s">
        <v>36</v>
      </c>
      <c r="L5192" t="s">
        <v>37</v>
      </c>
      <c r="M5192">
        <v>3</v>
      </c>
      <c r="N5192" s="2"/>
      <c r="O5192" s="3">
        <v>2831</v>
      </c>
      <c r="P5192">
        <v>0</v>
      </c>
      <c r="Q5192">
        <v>5</v>
      </c>
      <c r="R5192" t="s">
        <v>33</v>
      </c>
      <c r="S5192">
        <v>1</v>
      </c>
    </row>
    <row r="5193" spans="1:19" ht="16.5" x14ac:dyDescent="0.3">
      <c r="A5193" t="s">
        <v>5256</v>
      </c>
      <c r="B5193" s="1">
        <v>45979</v>
      </c>
      <c r="C5193" s="1">
        <v>45980</v>
      </c>
      <c r="D5193">
        <v>2025</v>
      </c>
      <c r="E5193" t="s">
        <v>2026</v>
      </c>
      <c r="F5193" t="s">
        <v>2260</v>
      </c>
      <c r="G5193" t="s">
        <v>56</v>
      </c>
      <c r="H5193" t="s">
        <v>35</v>
      </c>
      <c r="I5193" t="s">
        <v>24</v>
      </c>
      <c r="J5193" t="s">
        <v>25</v>
      </c>
      <c r="K5193" t="s">
        <v>36</v>
      </c>
      <c r="L5193" t="s">
        <v>44</v>
      </c>
      <c r="M5193">
        <v>1</v>
      </c>
      <c r="N5193" s="2">
        <v>41</v>
      </c>
      <c r="O5193" s="3">
        <v>1672</v>
      </c>
      <c r="P5193">
        <v>0</v>
      </c>
      <c r="Q5193">
        <v>4</v>
      </c>
      <c r="R5193" t="s">
        <v>28</v>
      </c>
      <c r="S5193">
        <v>1</v>
      </c>
    </row>
    <row r="5194" spans="1:19" ht="16.5" x14ac:dyDescent="0.3">
      <c r="A5194" t="s">
        <v>5257</v>
      </c>
      <c r="B5194" s="1">
        <v>45979</v>
      </c>
      <c r="C5194" s="1">
        <v>45981</v>
      </c>
      <c r="D5194">
        <v>2025</v>
      </c>
      <c r="E5194" t="s">
        <v>2026</v>
      </c>
      <c r="F5194" t="s">
        <v>2260</v>
      </c>
      <c r="G5194" t="s">
        <v>56</v>
      </c>
      <c r="H5194" t="s">
        <v>35</v>
      </c>
      <c r="I5194" t="s">
        <v>40</v>
      </c>
      <c r="J5194" t="s">
        <v>25</v>
      </c>
      <c r="K5194" t="s">
        <v>32</v>
      </c>
      <c r="L5194" t="s">
        <v>27</v>
      </c>
      <c r="M5194">
        <v>2</v>
      </c>
      <c r="N5194" s="2"/>
      <c r="O5194" s="3">
        <v>1661</v>
      </c>
      <c r="P5194">
        <v>0</v>
      </c>
      <c r="Q5194">
        <v>4</v>
      </c>
      <c r="R5194" t="s">
        <v>33</v>
      </c>
      <c r="S5194">
        <v>1</v>
      </c>
    </row>
    <row r="5195" spans="1:19" ht="16.5" x14ac:dyDescent="0.3">
      <c r="A5195" t="s">
        <v>5258</v>
      </c>
      <c r="B5195" s="1">
        <v>45980</v>
      </c>
      <c r="C5195" s="1">
        <v>45985</v>
      </c>
      <c r="D5195">
        <v>2025</v>
      </c>
      <c r="E5195" t="s">
        <v>2026</v>
      </c>
      <c r="F5195" t="s">
        <v>2260</v>
      </c>
      <c r="G5195" t="s">
        <v>70</v>
      </c>
      <c r="H5195" t="s">
        <v>30</v>
      </c>
      <c r="I5195" t="s">
        <v>40</v>
      </c>
      <c r="J5195" t="s">
        <v>43</v>
      </c>
      <c r="K5195" t="s">
        <v>53</v>
      </c>
      <c r="L5195" t="s">
        <v>44</v>
      </c>
      <c r="M5195">
        <v>5</v>
      </c>
      <c r="N5195" s="2"/>
      <c r="O5195" s="3">
        <v>4657</v>
      </c>
      <c r="P5195">
        <v>0</v>
      </c>
      <c r="Q5195">
        <v>4</v>
      </c>
      <c r="R5195" t="s">
        <v>33</v>
      </c>
      <c r="S5195">
        <v>1</v>
      </c>
    </row>
    <row r="5196" spans="1:19" ht="16.5" x14ac:dyDescent="0.3">
      <c r="A5196" t="s">
        <v>5259</v>
      </c>
      <c r="B5196" s="1">
        <v>45980</v>
      </c>
      <c r="C5196" s="1">
        <v>45982</v>
      </c>
      <c r="D5196">
        <v>2025</v>
      </c>
      <c r="E5196" t="s">
        <v>2026</v>
      </c>
      <c r="F5196" t="s">
        <v>2260</v>
      </c>
      <c r="G5196" t="s">
        <v>70</v>
      </c>
      <c r="H5196" t="s">
        <v>35</v>
      </c>
      <c r="I5196" t="s">
        <v>24</v>
      </c>
      <c r="J5196" t="s">
        <v>25</v>
      </c>
      <c r="K5196" t="s">
        <v>36</v>
      </c>
      <c r="L5196" t="s">
        <v>27</v>
      </c>
      <c r="M5196">
        <v>2</v>
      </c>
      <c r="N5196" s="2">
        <v>52</v>
      </c>
      <c r="O5196" s="3">
        <v>1769</v>
      </c>
      <c r="P5196">
        <v>0</v>
      </c>
      <c r="Q5196">
        <v>4</v>
      </c>
      <c r="R5196" t="s">
        <v>28</v>
      </c>
      <c r="S5196">
        <v>1</v>
      </c>
    </row>
    <row r="5197" spans="1:19" ht="16.5" x14ac:dyDescent="0.3">
      <c r="A5197" t="s">
        <v>5260</v>
      </c>
      <c r="B5197" s="1">
        <v>45980</v>
      </c>
      <c r="C5197" s="1">
        <v>45984</v>
      </c>
      <c r="D5197">
        <v>2025</v>
      </c>
      <c r="E5197" t="s">
        <v>2026</v>
      </c>
      <c r="F5197" t="s">
        <v>2260</v>
      </c>
      <c r="G5197" t="s">
        <v>70</v>
      </c>
      <c r="H5197" t="s">
        <v>50</v>
      </c>
      <c r="I5197" t="s">
        <v>24</v>
      </c>
      <c r="J5197" t="s">
        <v>25</v>
      </c>
      <c r="K5197" t="s">
        <v>53</v>
      </c>
      <c r="L5197" t="s">
        <v>44</v>
      </c>
      <c r="M5197">
        <v>4</v>
      </c>
      <c r="N5197" s="2">
        <v>37</v>
      </c>
      <c r="O5197" s="3">
        <v>5384</v>
      </c>
      <c r="P5197">
        <v>0</v>
      </c>
      <c r="Q5197">
        <v>3</v>
      </c>
      <c r="R5197" t="s">
        <v>28</v>
      </c>
      <c r="S5197">
        <v>1</v>
      </c>
    </row>
    <row r="5198" spans="1:19" ht="16.5" x14ac:dyDescent="0.3">
      <c r="A5198" t="s">
        <v>5261</v>
      </c>
      <c r="B5198" s="1">
        <v>45980</v>
      </c>
      <c r="C5198" s="1">
        <v>45997</v>
      </c>
      <c r="D5198">
        <v>2025</v>
      </c>
      <c r="E5198" t="s">
        <v>2026</v>
      </c>
      <c r="F5198" t="s">
        <v>2260</v>
      </c>
      <c r="G5198" t="s">
        <v>70</v>
      </c>
      <c r="H5198" t="s">
        <v>52</v>
      </c>
      <c r="I5198" t="s">
        <v>40</v>
      </c>
      <c r="J5198" t="s">
        <v>25</v>
      </c>
      <c r="K5198" t="s">
        <v>26</v>
      </c>
      <c r="L5198" t="s">
        <v>44</v>
      </c>
      <c r="M5198">
        <v>17</v>
      </c>
      <c r="N5198" s="2"/>
      <c r="O5198" s="3">
        <v>19984</v>
      </c>
      <c r="P5198">
        <v>0</v>
      </c>
      <c r="Q5198">
        <v>5</v>
      </c>
      <c r="R5198" t="s">
        <v>33</v>
      </c>
      <c r="S5198">
        <v>1</v>
      </c>
    </row>
    <row r="5199" spans="1:19" ht="16.5" x14ac:dyDescent="0.3">
      <c r="A5199" t="s">
        <v>5262</v>
      </c>
      <c r="B5199" s="1">
        <v>45980</v>
      </c>
      <c r="C5199" s="1">
        <v>45984</v>
      </c>
      <c r="D5199">
        <v>2025</v>
      </c>
      <c r="E5199" t="s">
        <v>2026</v>
      </c>
      <c r="F5199" t="s">
        <v>2260</v>
      </c>
      <c r="G5199" t="s">
        <v>70</v>
      </c>
      <c r="H5199" t="s">
        <v>52</v>
      </c>
      <c r="I5199" t="s">
        <v>40</v>
      </c>
      <c r="J5199" t="s">
        <v>25</v>
      </c>
      <c r="K5199" t="s">
        <v>53</v>
      </c>
      <c r="L5199" t="s">
        <v>44</v>
      </c>
      <c r="M5199">
        <v>4</v>
      </c>
      <c r="N5199" s="2"/>
      <c r="O5199" s="3">
        <v>5088</v>
      </c>
      <c r="P5199">
        <v>0</v>
      </c>
      <c r="Q5199">
        <v>4</v>
      </c>
      <c r="R5199" t="s">
        <v>33</v>
      </c>
      <c r="S5199">
        <v>1</v>
      </c>
    </row>
    <row r="5200" spans="1:19" ht="16.5" x14ac:dyDescent="0.3">
      <c r="A5200" t="s">
        <v>5263</v>
      </c>
      <c r="B5200" s="1">
        <v>45980</v>
      </c>
      <c r="C5200" s="1">
        <v>45981</v>
      </c>
      <c r="D5200">
        <v>2025</v>
      </c>
      <c r="E5200" t="s">
        <v>2026</v>
      </c>
      <c r="F5200" t="s">
        <v>2260</v>
      </c>
      <c r="G5200" t="s">
        <v>70</v>
      </c>
      <c r="H5200" t="s">
        <v>39</v>
      </c>
      <c r="I5200" t="s">
        <v>40</v>
      </c>
      <c r="J5200" t="s">
        <v>43</v>
      </c>
      <c r="K5200" t="s">
        <v>41</v>
      </c>
      <c r="L5200" t="s">
        <v>44</v>
      </c>
      <c r="M5200">
        <v>1</v>
      </c>
      <c r="N5200" s="2"/>
      <c r="O5200" s="3">
        <v>1438</v>
      </c>
      <c r="P5200">
        <v>0</v>
      </c>
      <c r="Q5200">
        <v>4</v>
      </c>
      <c r="R5200" t="s">
        <v>28</v>
      </c>
      <c r="S5200">
        <v>1</v>
      </c>
    </row>
    <row r="5201" spans="1:19" ht="16.5" x14ac:dyDescent="0.3">
      <c r="A5201" t="s">
        <v>5264</v>
      </c>
      <c r="B5201" s="1">
        <v>45980</v>
      </c>
      <c r="C5201" s="1">
        <v>45983</v>
      </c>
      <c r="D5201">
        <v>2025</v>
      </c>
      <c r="E5201" t="s">
        <v>2026</v>
      </c>
      <c r="F5201" t="s">
        <v>2260</v>
      </c>
      <c r="G5201" t="s">
        <v>70</v>
      </c>
      <c r="H5201" t="s">
        <v>50</v>
      </c>
      <c r="I5201" t="s">
        <v>31</v>
      </c>
      <c r="J5201" t="s">
        <v>43</v>
      </c>
      <c r="K5201" t="s">
        <v>53</v>
      </c>
      <c r="L5201" t="s">
        <v>44</v>
      </c>
      <c r="M5201">
        <v>3</v>
      </c>
      <c r="N5201" s="2"/>
      <c r="O5201" s="3">
        <v>4810</v>
      </c>
      <c r="P5201">
        <v>0</v>
      </c>
      <c r="Q5201">
        <v>5</v>
      </c>
      <c r="R5201" t="s">
        <v>33</v>
      </c>
      <c r="S5201">
        <v>1</v>
      </c>
    </row>
    <row r="5202" spans="1:19" ht="16.5" x14ac:dyDescent="0.3">
      <c r="A5202" t="s">
        <v>5265</v>
      </c>
      <c r="B5202" s="1">
        <v>45980</v>
      </c>
      <c r="C5202" s="1">
        <v>45983</v>
      </c>
      <c r="D5202">
        <v>2025</v>
      </c>
      <c r="E5202" t="s">
        <v>2026</v>
      </c>
      <c r="F5202" t="s">
        <v>2260</v>
      </c>
      <c r="G5202" t="s">
        <v>70</v>
      </c>
      <c r="H5202" t="s">
        <v>50</v>
      </c>
      <c r="I5202" t="s">
        <v>31</v>
      </c>
      <c r="J5202" t="s">
        <v>43</v>
      </c>
      <c r="K5202" t="s">
        <v>26</v>
      </c>
      <c r="L5202" t="s">
        <v>27</v>
      </c>
      <c r="M5202">
        <v>3</v>
      </c>
      <c r="N5202" s="2"/>
      <c r="O5202" s="3">
        <v>4737</v>
      </c>
      <c r="P5202">
        <v>0</v>
      </c>
      <c r="Q5202">
        <v>3</v>
      </c>
      <c r="R5202" t="s">
        <v>33</v>
      </c>
      <c r="S5202">
        <v>1</v>
      </c>
    </row>
    <row r="5203" spans="1:19" ht="16.5" x14ac:dyDescent="0.3">
      <c r="A5203" t="s">
        <v>5266</v>
      </c>
      <c r="B5203" s="1">
        <v>45980</v>
      </c>
      <c r="C5203" s="1">
        <v>45981</v>
      </c>
      <c r="D5203">
        <v>2025</v>
      </c>
      <c r="E5203" t="s">
        <v>2026</v>
      </c>
      <c r="F5203" t="s">
        <v>2260</v>
      </c>
      <c r="G5203" t="s">
        <v>70</v>
      </c>
      <c r="H5203" t="s">
        <v>30</v>
      </c>
      <c r="I5203" t="s">
        <v>40</v>
      </c>
      <c r="J5203" t="s">
        <v>25</v>
      </c>
      <c r="K5203" t="s">
        <v>32</v>
      </c>
      <c r="L5203" t="s">
        <v>27</v>
      </c>
      <c r="M5203">
        <v>1</v>
      </c>
      <c r="N5203" s="2"/>
      <c r="O5203" s="3">
        <v>2133</v>
      </c>
      <c r="P5203">
        <v>0</v>
      </c>
      <c r="Q5203">
        <v>3</v>
      </c>
      <c r="R5203" t="s">
        <v>33</v>
      </c>
      <c r="S5203">
        <v>1</v>
      </c>
    </row>
    <row r="5204" spans="1:19" ht="16.5" x14ac:dyDescent="0.3">
      <c r="A5204" t="s">
        <v>5267</v>
      </c>
      <c r="B5204" s="1">
        <v>45980</v>
      </c>
      <c r="C5204" s="1">
        <v>45984</v>
      </c>
      <c r="D5204">
        <v>2025</v>
      </c>
      <c r="E5204" t="s">
        <v>2026</v>
      </c>
      <c r="F5204" t="s">
        <v>2260</v>
      </c>
      <c r="G5204" t="s">
        <v>70</v>
      </c>
      <c r="H5204" t="s">
        <v>50</v>
      </c>
      <c r="I5204" t="s">
        <v>24</v>
      </c>
      <c r="J5204" t="s">
        <v>43</v>
      </c>
      <c r="K5204" t="s">
        <v>36</v>
      </c>
      <c r="L5204" t="s">
        <v>27</v>
      </c>
      <c r="M5204">
        <v>4</v>
      </c>
      <c r="N5204" s="2">
        <v>59</v>
      </c>
      <c r="O5204" s="3">
        <v>6415</v>
      </c>
      <c r="P5204">
        <v>0</v>
      </c>
      <c r="Q5204">
        <v>4</v>
      </c>
      <c r="R5204" t="s">
        <v>33</v>
      </c>
      <c r="S5204">
        <v>1</v>
      </c>
    </row>
    <row r="5205" spans="1:19" ht="16.5" x14ac:dyDescent="0.3">
      <c r="A5205" t="s">
        <v>5268</v>
      </c>
      <c r="B5205" s="1">
        <v>45980</v>
      </c>
      <c r="C5205" s="1">
        <v>45984</v>
      </c>
      <c r="D5205">
        <v>2025</v>
      </c>
      <c r="E5205" t="s">
        <v>2026</v>
      </c>
      <c r="F5205" t="s">
        <v>2260</v>
      </c>
      <c r="G5205" t="s">
        <v>70</v>
      </c>
      <c r="H5205" t="s">
        <v>52</v>
      </c>
      <c r="I5205" t="s">
        <v>24</v>
      </c>
      <c r="J5205" t="s">
        <v>25</v>
      </c>
      <c r="K5205" t="s">
        <v>32</v>
      </c>
      <c r="L5205" t="s">
        <v>27</v>
      </c>
      <c r="M5205">
        <v>4</v>
      </c>
      <c r="N5205" s="2">
        <v>55</v>
      </c>
      <c r="O5205" s="3">
        <v>5118</v>
      </c>
      <c r="P5205">
        <v>0</v>
      </c>
      <c r="Q5205">
        <v>3</v>
      </c>
      <c r="R5205" t="s">
        <v>28</v>
      </c>
      <c r="S5205">
        <v>1</v>
      </c>
    </row>
    <row r="5206" spans="1:19" ht="16.5" x14ac:dyDescent="0.3">
      <c r="A5206" t="s">
        <v>5269</v>
      </c>
      <c r="B5206" s="1">
        <v>45980</v>
      </c>
      <c r="C5206" s="1">
        <v>45982</v>
      </c>
      <c r="D5206">
        <v>2025</v>
      </c>
      <c r="E5206" t="s">
        <v>2026</v>
      </c>
      <c r="F5206" t="s">
        <v>2260</v>
      </c>
      <c r="G5206" t="s">
        <v>70</v>
      </c>
      <c r="H5206" t="s">
        <v>39</v>
      </c>
      <c r="I5206" t="s">
        <v>24</v>
      </c>
      <c r="J5206" t="s">
        <v>25</v>
      </c>
      <c r="K5206" t="s">
        <v>41</v>
      </c>
      <c r="L5206" t="s">
        <v>27</v>
      </c>
      <c r="M5206">
        <v>2</v>
      </c>
      <c r="N5206" s="2">
        <v>135</v>
      </c>
      <c r="O5206" s="3">
        <v>1274</v>
      </c>
      <c r="P5206">
        <v>0</v>
      </c>
      <c r="Q5206">
        <v>3</v>
      </c>
      <c r="R5206" t="s">
        <v>33</v>
      </c>
      <c r="S5206">
        <v>1</v>
      </c>
    </row>
    <row r="5207" spans="1:19" ht="16.5" x14ac:dyDescent="0.3">
      <c r="A5207" t="s">
        <v>5270</v>
      </c>
      <c r="B5207" s="1">
        <v>45981</v>
      </c>
      <c r="C5207" s="1">
        <v>45986</v>
      </c>
      <c r="D5207">
        <v>2025</v>
      </c>
      <c r="E5207" t="s">
        <v>2026</v>
      </c>
      <c r="F5207" t="s">
        <v>2260</v>
      </c>
      <c r="G5207" t="s">
        <v>78</v>
      </c>
      <c r="H5207" t="s">
        <v>52</v>
      </c>
      <c r="I5207" t="s">
        <v>31</v>
      </c>
      <c r="J5207" t="s">
        <v>25</v>
      </c>
      <c r="K5207" t="s">
        <v>26</v>
      </c>
      <c r="L5207" t="s">
        <v>44</v>
      </c>
      <c r="M5207">
        <v>5</v>
      </c>
      <c r="N5207" s="2"/>
      <c r="O5207" s="3">
        <v>5051</v>
      </c>
      <c r="P5207">
        <v>0</v>
      </c>
      <c r="Q5207">
        <v>5</v>
      </c>
      <c r="R5207" t="s">
        <v>28</v>
      </c>
      <c r="S5207">
        <v>1</v>
      </c>
    </row>
    <row r="5208" spans="1:19" ht="16.5" x14ac:dyDescent="0.3">
      <c r="A5208" t="s">
        <v>5271</v>
      </c>
      <c r="B5208" s="1">
        <v>45981</v>
      </c>
      <c r="C5208" s="1">
        <v>45988</v>
      </c>
      <c r="D5208">
        <v>2025</v>
      </c>
      <c r="E5208" t="s">
        <v>2026</v>
      </c>
      <c r="F5208" t="s">
        <v>2260</v>
      </c>
      <c r="G5208" t="s">
        <v>78</v>
      </c>
      <c r="H5208" t="s">
        <v>30</v>
      </c>
      <c r="I5208" t="s">
        <v>40</v>
      </c>
      <c r="J5208" t="s">
        <v>25</v>
      </c>
      <c r="K5208" t="s">
        <v>53</v>
      </c>
      <c r="L5208" t="s">
        <v>44</v>
      </c>
      <c r="M5208">
        <v>7</v>
      </c>
      <c r="N5208" s="2"/>
      <c r="O5208" s="3">
        <v>8321</v>
      </c>
      <c r="P5208">
        <v>0</v>
      </c>
      <c r="Q5208">
        <v>5</v>
      </c>
      <c r="R5208" t="s">
        <v>33</v>
      </c>
      <c r="S5208">
        <v>1</v>
      </c>
    </row>
    <row r="5209" spans="1:19" ht="16.5" x14ac:dyDescent="0.3">
      <c r="A5209" t="s">
        <v>5272</v>
      </c>
      <c r="B5209" s="1">
        <v>45981</v>
      </c>
      <c r="C5209" s="1">
        <v>45984</v>
      </c>
      <c r="D5209">
        <v>2025</v>
      </c>
      <c r="E5209" t="s">
        <v>2026</v>
      </c>
      <c r="F5209" t="s">
        <v>2260</v>
      </c>
      <c r="G5209" t="s">
        <v>78</v>
      </c>
      <c r="H5209" t="s">
        <v>52</v>
      </c>
      <c r="I5209" t="s">
        <v>40</v>
      </c>
      <c r="J5209" t="s">
        <v>43</v>
      </c>
      <c r="K5209" t="s">
        <v>36</v>
      </c>
      <c r="L5209" t="s">
        <v>44</v>
      </c>
      <c r="M5209">
        <v>3</v>
      </c>
      <c r="N5209" s="2"/>
      <c r="O5209" s="3">
        <v>3746</v>
      </c>
      <c r="P5209">
        <v>0</v>
      </c>
      <c r="Q5209">
        <v>4</v>
      </c>
      <c r="R5209" t="s">
        <v>33</v>
      </c>
      <c r="S5209">
        <v>1</v>
      </c>
    </row>
    <row r="5210" spans="1:19" ht="16.5" x14ac:dyDescent="0.3">
      <c r="A5210" t="s">
        <v>5273</v>
      </c>
      <c r="B5210" s="1">
        <v>45981</v>
      </c>
      <c r="C5210" s="1">
        <v>45985</v>
      </c>
      <c r="D5210">
        <v>2025</v>
      </c>
      <c r="E5210" t="s">
        <v>2026</v>
      </c>
      <c r="F5210" t="s">
        <v>2260</v>
      </c>
      <c r="G5210" t="s">
        <v>78</v>
      </c>
      <c r="H5210" t="s">
        <v>35</v>
      </c>
      <c r="I5210" t="s">
        <v>24</v>
      </c>
      <c r="J5210" t="s">
        <v>25</v>
      </c>
      <c r="K5210" t="s">
        <v>36</v>
      </c>
      <c r="L5210" t="s">
        <v>27</v>
      </c>
      <c r="M5210">
        <v>4</v>
      </c>
      <c r="N5210" s="2">
        <v>50</v>
      </c>
      <c r="O5210" s="3">
        <v>3150</v>
      </c>
      <c r="P5210">
        <v>0</v>
      </c>
      <c r="Q5210">
        <v>5</v>
      </c>
      <c r="R5210" t="s">
        <v>33</v>
      </c>
      <c r="S5210">
        <v>1</v>
      </c>
    </row>
    <row r="5211" spans="1:19" ht="16.5" x14ac:dyDescent="0.3">
      <c r="A5211" t="s">
        <v>5274</v>
      </c>
      <c r="B5211" s="1">
        <v>45981</v>
      </c>
      <c r="C5211" s="1">
        <v>45982</v>
      </c>
      <c r="D5211">
        <v>2025</v>
      </c>
      <c r="E5211" t="s">
        <v>2026</v>
      </c>
      <c r="F5211" t="s">
        <v>2260</v>
      </c>
      <c r="G5211" t="s">
        <v>78</v>
      </c>
      <c r="H5211" t="s">
        <v>35</v>
      </c>
      <c r="I5211" t="s">
        <v>31</v>
      </c>
      <c r="J5211" t="s">
        <v>25</v>
      </c>
      <c r="K5211" t="s">
        <v>36</v>
      </c>
      <c r="L5211" t="s">
        <v>44</v>
      </c>
      <c r="M5211">
        <v>1</v>
      </c>
      <c r="N5211" s="2"/>
      <c r="O5211" s="3">
        <v>1401</v>
      </c>
      <c r="P5211">
        <v>0</v>
      </c>
      <c r="Q5211">
        <v>5</v>
      </c>
      <c r="R5211" t="s">
        <v>28</v>
      </c>
      <c r="S5211">
        <v>1</v>
      </c>
    </row>
    <row r="5212" spans="1:19" ht="16.5" x14ac:dyDescent="0.3">
      <c r="A5212" t="s">
        <v>5275</v>
      </c>
      <c r="B5212" s="1">
        <v>45981</v>
      </c>
      <c r="C5212" s="1">
        <v>45987</v>
      </c>
      <c r="D5212">
        <v>2025</v>
      </c>
      <c r="E5212" t="s">
        <v>2026</v>
      </c>
      <c r="F5212" t="s">
        <v>2260</v>
      </c>
      <c r="G5212" t="s">
        <v>78</v>
      </c>
      <c r="H5212" t="s">
        <v>52</v>
      </c>
      <c r="I5212" t="s">
        <v>40</v>
      </c>
      <c r="J5212" t="s">
        <v>43</v>
      </c>
      <c r="K5212" t="s">
        <v>26</v>
      </c>
      <c r="L5212" t="s">
        <v>27</v>
      </c>
      <c r="M5212">
        <v>6</v>
      </c>
      <c r="N5212" s="2"/>
      <c r="O5212" s="3">
        <v>7068</v>
      </c>
      <c r="P5212">
        <v>0</v>
      </c>
      <c r="Q5212">
        <v>4</v>
      </c>
      <c r="R5212" t="s">
        <v>33</v>
      </c>
      <c r="S5212">
        <v>1</v>
      </c>
    </row>
    <row r="5213" spans="1:19" ht="16.5" x14ac:dyDescent="0.3">
      <c r="A5213" t="s">
        <v>5276</v>
      </c>
      <c r="B5213" s="1">
        <v>45981</v>
      </c>
      <c r="C5213" s="1">
        <v>45988</v>
      </c>
      <c r="D5213">
        <v>2025</v>
      </c>
      <c r="E5213" t="s">
        <v>2026</v>
      </c>
      <c r="F5213" t="s">
        <v>2260</v>
      </c>
      <c r="G5213" t="s">
        <v>78</v>
      </c>
      <c r="H5213" t="s">
        <v>23</v>
      </c>
      <c r="I5213" t="s">
        <v>24</v>
      </c>
      <c r="J5213" t="s">
        <v>25</v>
      </c>
      <c r="K5213" t="s">
        <v>36</v>
      </c>
      <c r="L5213" t="s">
        <v>44</v>
      </c>
      <c r="M5213">
        <v>7</v>
      </c>
      <c r="N5213" s="2">
        <v>29</v>
      </c>
      <c r="O5213" s="3">
        <v>6278</v>
      </c>
      <c r="P5213">
        <v>0</v>
      </c>
      <c r="Q5213">
        <v>4</v>
      </c>
      <c r="R5213" t="s">
        <v>33</v>
      </c>
      <c r="S5213">
        <v>1</v>
      </c>
    </row>
    <row r="5214" spans="1:19" ht="16.5" x14ac:dyDescent="0.3">
      <c r="A5214" t="s">
        <v>5277</v>
      </c>
      <c r="B5214" s="1">
        <v>45981</v>
      </c>
      <c r="C5214" s="1">
        <v>45985</v>
      </c>
      <c r="D5214">
        <v>2025</v>
      </c>
      <c r="E5214" t="s">
        <v>2026</v>
      </c>
      <c r="F5214" t="s">
        <v>2260</v>
      </c>
      <c r="G5214" t="s">
        <v>78</v>
      </c>
      <c r="H5214" t="s">
        <v>35</v>
      </c>
      <c r="I5214" t="s">
        <v>24</v>
      </c>
      <c r="J5214" t="s">
        <v>25</v>
      </c>
      <c r="K5214" t="s">
        <v>36</v>
      </c>
      <c r="L5214" t="s">
        <v>44</v>
      </c>
      <c r="M5214">
        <v>4</v>
      </c>
      <c r="N5214" s="2">
        <v>41</v>
      </c>
      <c r="O5214" s="3">
        <v>3612</v>
      </c>
      <c r="P5214">
        <v>0</v>
      </c>
      <c r="Q5214">
        <v>4</v>
      </c>
      <c r="R5214" t="s">
        <v>33</v>
      </c>
      <c r="S5214">
        <v>1</v>
      </c>
    </row>
    <row r="5215" spans="1:19" ht="16.5" x14ac:dyDescent="0.3">
      <c r="A5215" t="s">
        <v>5278</v>
      </c>
      <c r="B5215" s="1">
        <v>45981</v>
      </c>
      <c r="C5215" s="1">
        <v>45985</v>
      </c>
      <c r="D5215">
        <v>2025</v>
      </c>
      <c r="E5215" t="s">
        <v>2026</v>
      </c>
      <c r="F5215" t="s">
        <v>2260</v>
      </c>
      <c r="G5215" t="s">
        <v>78</v>
      </c>
      <c r="H5215" t="s">
        <v>23</v>
      </c>
      <c r="I5215" t="s">
        <v>24</v>
      </c>
      <c r="J5215" t="s">
        <v>25</v>
      </c>
      <c r="K5215" t="s">
        <v>36</v>
      </c>
      <c r="L5215" t="s">
        <v>37</v>
      </c>
      <c r="M5215">
        <v>4</v>
      </c>
      <c r="N5215" s="2">
        <v>65</v>
      </c>
      <c r="O5215" s="3">
        <v>2950</v>
      </c>
      <c r="P5215">
        <v>0</v>
      </c>
      <c r="Q5215">
        <v>5</v>
      </c>
      <c r="R5215" t="s">
        <v>33</v>
      </c>
      <c r="S5215">
        <v>1</v>
      </c>
    </row>
    <row r="5216" spans="1:19" ht="16.5" x14ac:dyDescent="0.3">
      <c r="A5216" t="s">
        <v>5279</v>
      </c>
      <c r="B5216" s="1">
        <v>45982</v>
      </c>
      <c r="C5216" s="1">
        <v>45990</v>
      </c>
      <c r="D5216">
        <v>2025</v>
      </c>
      <c r="E5216" t="s">
        <v>2026</v>
      </c>
      <c r="F5216" t="s">
        <v>2260</v>
      </c>
      <c r="G5216" t="s">
        <v>83</v>
      </c>
      <c r="H5216" t="s">
        <v>30</v>
      </c>
      <c r="I5216" t="s">
        <v>40</v>
      </c>
      <c r="J5216" t="s">
        <v>25</v>
      </c>
      <c r="K5216" t="s">
        <v>26</v>
      </c>
      <c r="L5216" t="s">
        <v>44</v>
      </c>
      <c r="M5216">
        <v>8</v>
      </c>
      <c r="N5216" s="2"/>
      <c r="O5216" s="3">
        <v>8538</v>
      </c>
      <c r="P5216">
        <v>0</v>
      </c>
      <c r="Q5216">
        <v>4</v>
      </c>
      <c r="R5216" t="s">
        <v>33</v>
      </c>
      <c r="S5216">
        <v>1</v>
      </c>
    </row>
    <row r="5217" spans="1:19" ht="16.5" x14ac:dyDescent="0.3">
      <c r="A5217" t="s">
        <v>5280</v>
      </c>
      <c r="B5217" s="1">
        <v>45982</v>
      </c>
      <c r="C5217" s="1">
        <v>45986</v>
      </c>
      <c r="D5217">
        <v>2025</v>
      </c>
      <c r="E5217" t="s">
        <v>2026</v>
      </c>
      <c r="F5217" t="s">
        <v>2260</v>
      </c>
      <c r="G5217" t="s">
        <v>83</v>
      </c>
      <c r="H5217" t="s">
        <v>30</v>
      </c>
      <c r="I5217" t="s">
        <v>24</v>
      </c>
      <c r="J5217" t="s">
        <v>25</v>
      </c>
      <c r="K5217" t="s">
        <v>53</v>
      </c>
      <c r="L5217" t="s">
        <v>27</v>
      </c>
      <c r="M5217">
        <v>4</v>
      </c>
      <c r="N5217" s="2">
        <v>89</v>
      </c>
      <c r="O5217" s="3">
        <v>6124</v>
      </c>
      <c r="P5217">
        <v>0</v>
      </c>
      <c r="Q5217">
        <v>4</v>
      </c>
      <c r="R5217" t="s">
        <v>28</v>
      </c>
      <c r="S5217">
        <v>1</v>
      </c>
    </row>
    <row r="5218" spans="1:19" ht="16.5" x14ac:dyDescent="0.3">
      <c r="A5218" t="s">
        <v>5281</v>
      </c>
      <c r="B5218" s="1">
        <v>45982</v>
      </c>
      <c r="C5218" s="1">
        <v>45983</v>
      </c>
      <c r="D5218">
        <v>2025</v>
      </c>
      <c r="E5218" t="s">
        <v>2026</v>
      </c>
      <c r="F5218" t="s">
        <v>2260</v>
      </c>
      <c r="G5218" t="s">
        <v>83</v>
      </c>
      <c r="H5218" t="s">
        <v>39</v>
      </c>
      <c r="I5218" t="s">
        <v>24</v>
      </c>
      <c r="J5218" t="s">
        <v>25</v>
      </c>
      <c r="K5218" t="s">
        <v>41</v>
      </c>
      <c r="L5218" t="s">
        <v>27</v>
      </c>
      <c r="M5218">
        <v>1</v>
      </c>
      <c r="N5218" s="2">
        <v>45</v>
      </c>
      <c r="O5218" s="3">
        <v>1120</v>
      </c>
      <c r="P5218">
        <v>0</v>
      </c>
      <c r="Q5218">
        <v>5</v>
      </c>
      <c r="R5218" t="s">
        <v>33</v>
      </c>
      <c r="S5218">
        <v>1</v>
      </c>
    </row>
    <row r="5219" spans="1:19" ht="16.5" x14ac:dyDescent="0.3">
      <c r="A5219" t="s">
        <v>5282</v>
      </c>
      <c r="B5219" s="1">
        <v>45982</v>
      </c>
      <c r="C5219" s="1">
        <v>45983</v>
      </c>
      <c r="D5219">
        <v>2025</v>
      </c>
      <c r="E5219" t="s">
        <v>2026</v>
      </c>
      <c r="F5219" t="s">
        <v>2260</v>
      </c>
      <c r="G5219" t="s">
        <v>83</v>
      </c>
      <c r="H5219" t="s">
        <v>35</v>
      </c>
      <c r="I5219" t="s">
        <v>40</v>
      </c>
      <c r="J5219" t="s">
        <v>25</v>
      </c>
      <c r="K5219" t="s">
        <v>32</v>
      </c>
      <c r="L5219" t="s">
        <v>27</v>
      </c>
      <c r="M5219">
        <v>1</v>
      </c>
      <c r="N5219" s="2"/>
      <c r="O5219" s="3">
        <v>1801</v>
      </c>
      <c r="P5219">
        <v>0</v>
      </c>
      <c r="Q5219">
        <v>4</v>
      </c>
      <c r="R5219" t="s">
        <v>28</v>
      </c>
      <c r="S5219">
        <v>1</v>
      </c>
    </row>
    <row r="5220" spans="1:19" ht="16.5" x14ac:dyDescent="0.3">
      <c r="A5220" t="s">
        <v>5283</v>
      </c>
      <c r="B5220" s="1">
        <v>45982</v>
      </c>
      <c r="C5220" s="1">
        <v>45986</v>
      </c>
      <c r="D5220">
        <v>2025</v>
      </c>
      <c r="E5220" t="s">
        <v>2026</v>
      </c>
      <c r="F5220" t="s">
        <v>2260</v>
      </c>
      <c r="G5220" t="s">
        <v>83</v>
      </c>
      <c r="H5220" t="s">
        <v>50</v>
      </c>
      <c r="I5220" t="s">
        <v>24</v>
      </c>
      <c r="J5220" t="s">
        <v>43</v>
      </c>
      <c r="K5220" t="s">
        <v>26</v>
      </c>
      <c r="L5220" t="s">
        <v>44</v>
      </c>
      <c r="M5220">
        <v>4</v>
      </c>
      <c r="N5220" s="2">
        <v>43</v>
      </c>
      <c r="O5220" s="3">
        <v>6503</v>
      </c>
      <c r="P5220">
        <v>0</v>
      </c>
      <c r="Q5220">
        <v>4</v>
      </c>
      <c r="R5220" t="s">
        <v>33</v>
      </c>
      <c r="S5220">
        <v>1</v>
      </c>
    </row>
    <row r="5221" spans="1:19" ht="16.5" x14ac:dyDescent="0.3">
      <c r="A5221" t="s">
        <v>5284</v>
      </c>
      <c r="B5221" s="1">
        <v>45982</v>
      </c>
      <c r="C5221" s="1">
        <v>46005</v>
      </c>
      <c r="D5221">
        <v>2025</v>
      </c>
      <c r="E5221" t="s">
        <v>2026</v>
      </c>
      <c r="F5221" t="s">
        <v>2260</v>
      </c>
      <c r="G5221" t="s">
        <v>83</v>
      </c>
      <c r="H5221" t="s">
        <v>23</v>
      </c>
      <c r="I5221" t="s">
        <v>24</v>
      </c>
      <c r="J5221" t="s">
        <v>43</v>
      </c>
      <c r="K5221" t="s">
        <v>26</v>
      </c>
      <c r="L5221" t="s">
        <v>27</v>
      </c>
      <c r="M5221">
        <v>23</v>
      </c>
      <c r="N5221" s="2">
        <v>53</v>
      </c>
      <c r="O5221" s="3">
        <v>15177</v>
      </c>
      <c r="P5221">
        <v>0</v>
      </c>
      <c r="Q5221">
        <v>3</v>
      </c>
      <c r="R5221" t="s">
        <v>33</v>
      </c>
      <c r="S5221">
        <v>1</v>
      </c>
    </row>
    <row r="5222" spans="1:19" ht="16.5" x14ac:dyDescent="0.3">
      <c r="A5222" t="s">
        <v>5285</v>
      </c>
      <c r="B5222" s="1">
        <v>45982</v>
      </c>
      <c r="C5222" s="1">
        <v>45983</v>
      </c>
      <c r="D5222">
        <v>2025</v>
      </c>
      <c r="E5222" t="s">
        <v>2026</v>
      </c>
      <c r="F5222" t="s">
        <v>2260</v>
      </c>
      <c r="G5222" t="s">
        <v>83</v>
      </c>
      <c r="H5222" t="s">
        <v>50</v>
      </c>
      <c r="I5222" t="s">
        <v>24</v>
      </c>
      <c r="J5222" t="s">
        <v>43</v>
      </c>
      <c r="K5222" t="s">
        <v>53</v>
      </c>
      <c r="L5222" t="s">
        <v>27</v>
      </c>
      <c r="M5222">
        <v>1</v>
      </c>
      <c r="N5222" s="2">
        <v>52</v>
      </c>
      <c r="O5222" s="3">
        <v>1562</v>
      </c>
      <c r="P5222">
        <v>0</v>
      </c>
      <c r="Q5222">
        <v>4</v>
      </c>
      <c r="R5222" t="s">
        <v>33</v>
      </c>
      <c r="S5222">
        <v>1</v>
      </c>
    </row>
    <row r="5223" spans="1:19" ht="16.5" x14ac:dyDescent="0.3">
      <c r="A5223" t="s">
        <v>5286</v>
      </c>
      <c r="B5223" s="1">
        <v>45982</v>
      </c>
      <c r="C5223" s="1">
        <v>45992</v>
      </c>
      <c r="D5223">
        <v>2025</v>
      </c>
      <c r="E5223" t="s">
        <v>2026</v>
      </c>
      <c r="F5223" t="s">
        <v>2260</v>
      </c>
      <c r="G5223" t="s">
        <v>83</v>
      </c>
      <c r="H5223" t="s">
        <v>23</v>
      </c>
      <c r="I5223" t="s">
        <v>24</v>
      </c>
      <c r="J5223" t="s">
        <v>25</v>
      </c>
      <c r="K5223" t="s">
        <v>26</v>
      </c>
      <c r="L5223" t="s">
        <v>44</v>
      </c>
      <c r="M5223">
        <v>10</v>
      </c>
      <c r="N5223" s="2">
        <v>19</v>
      </c>
      <c r="O5223" s="3">
        <v>6505</v>
      </c>
      <c r="P5223">
        <v>0</v>
      </c>
      <c r="Q5223">
        <v>3</v>
      </c>
      <c r="R5223" t="s">
        <v>33</v>
      </c>
      <c r="S5223">
        <v>1</v>
      </c>
    </row>
    <row r="5224" spans="1:19" ht="16.5" x14ac:dyDescent="0.3">
      <c r="A5224" t="s">
        <v>5287</v>
      </c>
      <c r="B5224" s="1">
        <v>45982</v>
      </c>
      <c r="C5224" s="1">
        <v>45984</v>
      </c>
      <c r="D5224">
        <v>2025</v>
      </c>
      <c r="E5224" t="s">
        <v>2026</v>
      </c>
      <c r="F5224" t="s">
        <v>2260</v>
      </c>
      <c r="G5224" t="s">
        <v>83</v>
      </c>
      <c r="H5224" t="s">
        <v>30</v>
      </c>
      <c r="I5224" t="s">
        <v>40</v>
      </c>
      <c r="J5224" t="s">
        <v>43</v>
      </c>
      <c r="K5224" t="s">
        <v>53</v>
      </c>
      <c r="L5224" t="s">
        <v>44</v>
      </c>
      <c r="M5224">
        <v>2</v>
      </c>
      <c r="N5224" s="2"/>
      <c r="O5224" s="3">
        <v>2010</v>
      </c>
      <c r="P5224">
        <v>0</v>
      </c>
      <c r="Q5224">
        <v>3</v>
      </c>
      <c r="R5224" t="s">
        <v>33</v>
      </c>
      <c r="S5224">
        <v>1</v>
      </c>
    </row>
    <row r="5225" spans="1:19" ht="16.5" x14ac:dyDescent="0.3">
      <c r="A5225" t="s">
        <v>5288</v>
      </c>
      <c r="B5225" s="1">
        <v>45982</v>
      </c>
      <c r="C5225" s="1">
        <v>45986</v>
      </c>
      <c r="D5225">
        <v>2025</v>
      </c>
      <c r="E5225" t="s">
        <v>2026</v>
      </c>
      <c r="F5225" t="s">
        <v>2260</v>
      </c>
      <c r="G5225" t="s">
        <v>83</v>
      </c>
      <c r="H5225" t="s">
        <v>35</v>
      </c>
      <c r="I5225" t="s">
        <v>31</v>
      </c>
      <c r="J5225" t="s">
        <v>25</v>
      </c>
      <c r="K5225" t="s">
        <v>36</v>
      </c>
      <c r="L5225" t="s">
        <v>44</v>
      </c>
      <c r="M5225">
        <v>4</v>
      </c>
      <c r="N5225" s="2"/>
      <c r="O5225" s="3">
        <v>2677</v>
      </c>
      <c r="P5225">
        <v>0</v>
      </c>
      <c r="Q5225">
        <v>5</v>
      </c>
      <c r="R5225" t="s">
        <v>59</v>
      </c>
      <c r="S5225">
        <v>1</v>
      </c>
    </row>
    <row r="5226" spans="1:19" ht="16.5" x14ac:dyDescent="0.3">
      <c r="A5226" t="s">
        <v>5289</v>
      </c>
      <c r="B5226" s="1">
        <v>45982</v>
      </c>
      <c r="C5226" s="1">
        <v>45986</v>
      </c>
      <c r="D5226">
        <v>2025</v>
      </c>
      <c r="E5226" t="s">
        <v>2026</v>
      </c>
      <c r="F5226" t="s">
        <v>2260</v>
      </c>
      <c r="G5226" t="s">
        <v>83</v>
      </c>
      <c r="H5226" t="s">
        <v>30</v>
      </c>
      <c r="I5226" t="s">
        <v>24</v>
      </c>
      <c r="J5226" t="s">
        <v>25</v>
      </c>
      <c r="K5226" t="s">
        <v>53</v>
      </c>
      <c r="L5226" t="s">
        <v>44</v>
      </c>
      <c r="M5226">
        <v>4</v>
      </c>
      <c r="N5226" s="2">
        <v>25</v>
      </c>
      <c r="O5226" s="3">
        <v>4099</v>
      </c>
      <c r="P5226">
        <v>0</v>
      </c>
      <c r="Q5226">
        <v>5</v>
      </c>
      <c r="R5226" t="s">
        <v>33</v>
      </c>
      <c r="S5226">
        <v>1</v>
      </c>
    </row>
    <row r="5227" spans="1:19" ht="16.5" x14ac:dyDescent="0.3">
      <c r="A5227" t="s">
        <v>5290</v>
      </c>
      <c r="B5227" s="1">
        <v>45982</v>
      </c>
      <c r="C5227" s="1">
        <v>45990</v>
      </c>
      <c r="D5227">
        <v>2025</v>
      </c>
      <c r="E5227" t="s">
        <v>2026</v>
      </c>
      <c r="F5227" t="s">
        <v>2260</v>
      </c>
      <c r="G5227" t="s">
        <v>83</v>
      </c>
      <c r="H5227" t="s">
        <v>23</v>
      </c>
      <c r="I5227" t="s">
        <v>24</v>
      </c>
      <c r="J5227" t="s">
        <v>25</v>
      </c>
      <c r="K5227" t="s">
        <v>26</v>
      </c>
      <c r="L5227" t="s">
        <v>44</v>
      </c>
      <c r="M5227">
        <v>8</v>
      </c>
      <c r="N5227" s="2">
        <v>118</v>
      </c>
      <c r="O5227" s="3">
        <v>6950</v>
      </c>
      <c r="P5227">
        <v>0</v>
      </c>
      <c r="Q5227">
        <v>3</v>
      </c>
      <c r="R5227" t="s">
        <v>33</v>
      </c>
      <c r="S5227">
        <v>1</v>
      </c>
    </row>
    <row r="5228" spans="1:19" ht="16.5" x14ac:dyDescent="0.3">
      <c r="A5228" t="s">
        <v>5291</v>
      </c>
      <c r="B5228" s="1">
        <v>45983</v>
      </c>
      <c r="C5228" s="1">
        <v>45986</v>
      </c>
      <c r="D5228">
        <v>2025</v>
      </c>
      <c r="E5228" t="s">
        <v>2026</v>
      </c>
      <c r="F5228" t="s">
        <v>2260</v>
      </c>
      <c r="G5228" t="s">
        <v>102</v>
      </c>
      <c r="H5228" t="s">
        <v>23</v>
      </c>
      <c r="I5228" t="s">
        <v>24</v>
      </c>
      <c r="J5228" t="s">
        <v>43</v>
      </c>
      <c r="K5228" t="s">
        <v>36</v>
      </c>
      <c r="L5228" t="s">
        <v>37</v>
      </c>
      <c r="M5228">
        <v>3</v>
      </c>
      <c r="N5228" s="2">
        <v>72</v>
      </c>
      <c r="O5228" s="3">
        <v>2748</v>
      </c>
      <c r="P5228">
        <v>0</v>
      </c>
      <c r="Q5228">
        <v>4</v>
      </c>
      <c r="R5228" t="s">
        <v>33</v>
      </c>
      <c r="S5228">
        <v>1</v>
      </c>
    </row>
    <row r="5229" spans="1:19" ht="16.5" x14ac:dyDescent="0.3">
      <c r="A5229" t="s">
        <v>5292</v>
      </c>
      <c r="B5229" s="1">
        <v>45983</v>
      </c>
      <c r="C5229" s="1">
        <v>45984</v>
      </c>
      <c r="D5229">
        <v>2025</v>
      </c>
      <c r="E5229" t="s">
        <v>2026</v>
      </c>
      <c r="F5229" t="s">
        <v>2260</v>
      </c>
      <c r="G5229" t="s">
        <v>102</v>
      </c>
      <c r="H5229" t="s">
        <v>30</v>
      </c>
      <c r="I5229" t="s">
        <v>40</v>
      </c>
      <c r="J5229" t="s">
        <v>43</v>
      </c>
      <c r="K5229" t="s">
        <v>53</v>
      </c>
      <c r="L5229" t="s">
        <v>44</v>
      </c>
      <c r="M5229">
        <v>1</v>
      </c>
      <c r="N5229" s="2"/>
      <c r="O5229" s="3">
        <v>1640</v>
      </c>
      <c r="P5229">
        <v>1</v>
      </c>
      <c r="Q5229">
        <v>3</v>
      </c>
      <c r="R5229" t="s">
        <v>33</v>
      </c>
      <c r="S5229">
        <v>1</v>
      </c>
    </row>
    <row r="5230" spans="1:19" ht="16.5" x14ac:dyDescent="0.3">
      <c r="A5230" t="s">
        <v>5293</v>
      </c>
      <c r="B5230" s="1">
        <v>45983</v>
      </c>
      <c r="C5230" s="1">
        <v>45985</v>
      </c>
      <c r="D5230">
        <v>2025</v>
      </c>
      <c r="E5230" t="s">
        <v>2026</v>
      </c>
      <c r="F5230" t="s">
        <v>2260</v>
      </c>
      <c r="G5230" t="s">
        <v>102</v>
      </c>
      <c r="H5230" t="s">
        <v>35</v>
      </c>
      <c r="I5230" t="s">
        <v>24</v>
      </c>
      <c r="J5230" t="s">
        <v>25</v>
      </c>
      <c r="K5230" t="s">
        <v>36</v>
      </c>
      <c r="L5230" t="s">
        <v>44</v>
      </c>
      <c r="M5230">
        <v>2</v>
      </c>
      <c r="N5230" s="2">
        <v>41</v>
      </c>
      <c r="O5230" s="3">
        <v>2028</v>
      </c>
      <c r="P5230">
        <v>0</v>
      </c>
      <c r="Q5230">
        <v>4</v>
      </c>
      <c r="R5230" t="s">
        <v>33</v>
      </c>
      <c r="S5230">
        <v>1</v>
      </c>
    </row>
    <row r="5231" spans="1:19" ht="16.5" x14ac:dyDescent="0.3">
      <c r="A5231" t="s">
        <v>5294</v>
      </c>
      <c r="B5231" s="1">
        <v>45983</v>
      </c>
      <c r="C5231" s="1">
        <v>45986</v>
      </c>
      <c r="D5231">
        <v>2025</v>
      </c>
      <c r="E5231" t="s">
        <v>2026</v>
      </c>
      <c r="F5231" t="s">
        <v>2260</v>
      </c>
      <c r="G5231" t="s">
        <v>102</v>
      </c>
      <c r="H5231" t="s">
        <v>23</v>
      </c>
      <c r="I5231" t="s">
        <v>40</v>
      </c>
      <c r="J5231" t="s">
        <v>25</v>
      </c>
      <c r="K5231" t="s">
        <v>26</v>
      </c>
      <c r="L5231" t="s">
        <v>44</v>
      </c>
      <c r="M5231">
        <v>3</v>
      </c>
      <c r="N5231" s="2"/>
      <c r="O5231" s="3">
        <v>2271</v>
      </c>
      <c r="P5231">
        <v>1</v>
      </c>
      <c r="Q5231">
        <v>5</v>
      </c>
      <c r="R5231" t="s">
        <v>28</v>
      </c>
      <c r="S5231">
        <v>1</v>
      </c>
    </row>
    <row r="5232" spans="1:19" ht="16.5" x14ac:dyDescent="0.3">
      <c r="A5232" t="s">
        <v>5295</v>
      </c>
      <c r="B5232" s="1">
        <v>45983</v>
      </c>
      <c r="C5232" s="1">
        <v>45990</v>
      </c>
      <c r="D5232">
        <v>2025</v>
      </c>
      <c r="E5232" t="s">
        <v>2026</v>
      </c>
      <c r="F5232" t="s">
        <v>2260</v>
      </c>
      <c r="G5232" t="s">
        <v>102</v>
      </c>
      <c r="H5232" t="s">
        <v>35</v>
      </c>
      <c r="I5232" t="s">
        <v>24</v>
      </c>
      <c r="J5232" t="s">
        <v>25</v>
      </c>
      <c r="K5232" t="s">
        <v>32</v>
      </c>
      <c r="L5232" t="s">
        <v>27</v>
      </c>
      <c r="M5232">
        <v>7</v>
      </c>
      <c r="N5232" s="2">
        <v>30</v>
      </c>
      <c r="O5232" s="3">
        <v>5593</v>
      </c>
      <c r="P5232">
        <v>0</v>
      </c>
      <c r="Q5232">
        <v>3</v>
      </c>
      <c r="R5232" t="s">
        <v>33</v>
      </c>
      <c r="S5232">
        <v>1</v>
      </c>
    </row>
    <row r="5233" spans="1:19" ht="16.5" x14ac:dyDescent="0.3">
      <c r="A5233" t="s">
        <v>5296</v>
      </c>
      <c r="B5233" s="1">
        <v>45983</v>
      </c>
      <c r="C5233" s="1">
        <v>45986</v>
      </c>
      <c r="D5233">
        <v>2025</v>
      </c>
      <c r="E5233" t="s">
        <v>2026</v>
      </c>
      <c r="F5233" t="s">
        <v>2260</v>
      </c>
      <c r="G5233" t="s">
        <v>102</v>
      </c>
      <c r="H5233" t="s">
        <v>30</v>
      </c>
      <c r="I5233" t="s">
        <v>24</v>
      </c>
      <c r="J5233" t="s">
        <v>43</v>
      </c>
      <c r="K5233" t="s">
        <v>32</v>
      </c>
      <c r="L5233" t="s">
        <v>37</v>
      </c>
      <c r="M5233">
        <v>3</v>
      </c>
      <c r="N5233" s="2">
        <v>54</v>
      </c>
      <c r="O5233" s="3">
        <v>4483</v>
      </c>
      <c r="P5233">
        <v>1</v>
      </c>
      <c r="Q5233">
        <v>3</v>
      </c>
      <c r="R5233" t="s">
        <v>59</v>
      </c>
      <c r="S5233">
        <v>1</v>
      </c>
    </row>
    <row r="5234" spans="1:19" ht="16.5" x14ac:dyDescent="0.3">
      <c r="A5234" t="s">
        <v>5297</v>
      </c>
      <c r="B5234" s="1">
        <v>45983</v>
      </c>
      <c r="C5234" s="1">
        <v>45990</v>
      </c>
      <c r="D5234">
        <v>2025</v>
      </c>
      <c r="E5234" t="s">
        <v>2026</v>
      </c>
      <c r="F5234" t="s">
        <v>2260</v>
      </c>
      <c r="G5234" t="s">
        <v>102</v>
      </c>
      <c r="H5234" t="s">
        <v>52</v>
      </c>
      <c r="I5234" t="s">
        <v>40</v>
      </c>
      <c r="J5234" t="s">
        <v>43</v>
      </c>
      <c r="K5234" t="s">
        <v>26</v>
      </c>
      <c r="L5234" t="s">
        <v>44</v>
      </c>
      <c r="M5234">
        <v>7</v>
      </c>
      <c r="N5234" s="2"/>
      <c r="O5234" s="3">
        <v>8220</v>
      </c>
      <c r="P5234">
        <v>0</v>
      </c>
      <c r="Q5234">
        <v>5</v>
      </c>
      <c r="R5234" t="s">
        <v>33</v>
      </c>
      <c r="S5234">
        <v>1</v>
      </c>
    </row>
    <row r="5235" spans="1:19" ht="16.5" x14ac:dyDescent="0.3">
      <c r="A5235" t="s">
        <v>5298</v>
      </c>
      <c r="B5235" s="1">
        <v>45983</v>
      </c>
      <c r="C5235" s="1">
        <v>45989</v>
      </c>
      <c r="D5235">
        <v>2025</v>
      </c>
      <c r="E5235" t="s">
        <v>2026</v>
      </c>
      <c r="F5235" t="s">
        <v>2260</v>
      </c>
      <c r="G5235" t="s">
        <v>102</v>
      </c>
      <c r="H5235" t="s">
        <v>30</v>
      </c>
      <c r="I5235" t="s">
        <v>24</v>
      </c>
      <c r="J5235" t="s">
        <v>43</v>
      </c>
      <c r="K5235" t="s">
        <v>32</v>
      </c>
      <c r="L5235" t="s">
        <v>27</v>
      </c>
      <c r="M5235">
        <v>6</v>
      </c>
      <c r="N5235" s="2">
        <v>103</v>
      </c>
      <c r="O5235" s="3">
        <v>7441</v>
      </c>
      <c r="P5235">
        <v>1</v>
      </c>
      <c r="Q5235">
        <v>3</v>
      </c>
      <c r="R5235" t="s">
        <v>165</v>
      </c>
      <c r="S5235">
        <v>1</v>
      </c>
    </row>
    <row r="5236" spans="1:19" ht="16.5" x14ac:dyDescent="0.3">
      <c r="A5236" t="s">
        <v>5299</v>
      </c>
      <c r="B5236" s="1">
        <v>45983</v>
      </c>
      <c r="C5236" s="1">
        <v>45985</v>
      </c>
      <c r="D5236">
        <v>2025</v>
      </c>
      <c r="E5236" t="s">
        <v>2026</v>
      </c>
      <c r="F5236" t="s">
        <v>2260</v>
      </c>
      <c r="G5236" t="s">
        <v>102</v>
      </c>
      <c r="H5236" t="s">
        <v>23</v>
      </c>
      <c r="I5236" t="s">
        <v>31</v>
      </c>
      <c r="J5236" t="s">
        <v>43</v>
      </c>
      <c r="K5236" t="s">
        <v>26</v>
      </c>
      <c r="L5236" t="s">
        <v>44</v>
      </c>
      <c r="M5236">
        <v>2</v>
      </c>
      <c r="N5236" s="2"/>
      <c r="O5236" s="3">
        <v>1579</v>
      </c>
      <c r="P5236">
        <v>0</v>
      </c>
      <c r="Q5236">
        <v>5</v>
      </c>
      <c r="R5236" t="s">
        <v>59</v>
      </c>
      <c r="S5236">
        <v>1</v>
      </c>
    </row>
    <row r="5237" spans="1:19" ht="16.5" x14ac:dyDescent="0.3">
      <c r="A5237" t="s">
        <v>5300</v>
      </c>
      <c r="B5237" s="1">
        <v>45984</v>
      </c>
      <c r="C5237" s="1">
        <v>45986</v>
      </c>
      <c r="D5237">
        <v>2025</v>
      </c>
      <c r="E5237" t="s">
        <v>2026</v>
      </c>
      <c r="F5237" t="s">
        <v>2260</v>
      </c>
      <c r="G5237" t="s">
        <v>112</v>
      </c>
      <c r="H5237" t="s">
        <v>50</v>
      </c>
      <c r="I5237" t="s">
        <v>24</v>
      </c>
      <c r="J5237" t="s">
        <v>43</v>
      </c>
      <c r="K5237" t="s">
        <v>53</v>
      </c>
      <c r="L5237" t="s">
        <v>27</v>
      </c>
      <c r="M5237">
        <v>2</v>
      </c>
      <c r="N5237" s="2">
        <v>48</v>
      </c>
      <c r="O5237" s="3">
        <v>3345</v>
      </c>
      <c r="P5237">
        <v>1</v>
      </c>
      <c r="Q5237">
        <v>3</v>
      </c>
      <c r="R5237" t="s">
        <v>165</v>
      </c>
      <c r="S5237">
        <v>1</v>
      </c>
    </row>
    <row r="5238" spans="1:19" ht="16.5" x14ac:dyDescent="0.3">
      <c r="A5238" t="s">
        <v>5301</v>
      </c>
      <c r="B5238" s="1">
        <v>45984</v>
      </c>
      <c r="C5238" s="1">
        <v>45990</v>
      </c>
      <c r="D5238">
        <v>2025</v>
      </c>
      <c r="E5238" t="s">
        <v>2026</v>
      </c>
      <c r="F5238" t="s">
        <v>2260</v>
      </c>
      <c r="G5238" t="s">
        <v>112</v>
      </c>
      <c r="H5238" t="s">
        <v>52</v>
      </c>
      <c r="I5238" t="s">
        <v>31</v>
      </c>
      <c r="J5238" t="s">
        <v>25</v>
      </c>
      <c r="K5238" t="s">
        <v>32</v>
      </c>
      <c r="L5238" t="s">
        <v>44</v>
      </c>
      <c r="M5238">
        <v>6</v>
      </c>
      <c r="N5238" s="2"/>
      <c r="O5238" s="3">
        <v>7219</v>
      </c>
      <c r="P5238">
        <v>0</v>
      </c>
      <c r="Q5238">
        <v>5</v>
      </c>
      <c r="R5238" t="s">
        <v>28</v>
      </c>
      <c r="S5238">
        <v>1</v>
      </c>
    </row>
    <row r="5239" spans="1:19" ht="16.5" x14ac:dyDescent="0.3">
      <c r="A5239" t="s">
        <v>5302</v>
      </c>
      <c r="B5239" s="1">
        <v>45984</v>
      </c>
      <c r="C5239" s="1">
        <v>45994</v>
      </c>
      <c r="D5239">
        <v>2025</v>
      </c>
      <c r="E5239" t="s">
        <v>2026</v>
      </c>
      <c r="F5239" t="s">
        <v>2260</v>
      </c>
      <c r="G5239" t="s">
        <v>112</v>
      </c>
      <c r="H5239" t="s">
        <v>35</v>
      </c>
      <c r="I5239" t="s">
        <v>40</v>
      </c>
      <c r="J5239" t="s">
        <v>25</v>
      </c>
      <c r="K5239" t="s">
        <v>32</v>
      </c>
      <c r="L5239" t="s">
        <v>44</v>
      </c>
      <c r="M5239">
        <v>10</v>
      </c>
      <c r="N5239" s="2"/>
      <c r="O5239" s="3">
        <v>6383</v>
      </c>
      <c r="P5239">
        <v>0</v>
      </c>
      <c r="Q5239">
        <v>4</v>
      </c>
      <c r="R5239" t="s">
        <v>33</v>
      </c>
      <c r="S5239">
        <v>1</v>
      </c>
    </row>
    <row r="5240" spans="1:19" ht="16.5" x14ac:dyDescent="0.3">
      <c r="A5240" t="s">
        <v>5303</v>
      </c>
      <c r="B5240" s="1">
        <v>45984</v>
      </c>
      <c r="C5240" s="1">
        <v>45986</v>
      </c>
      <c r="D5240">
        <v>2025</v>
      </c>
      <c r="E5240" t="s">
        <v>2026</v>
      </c>
      <c r="F5240" t="s">
        <v>2260</v>
      </c>
      <c r="G5240" t="s">
        <v>112</v>
      </c>
      <c r="H5240" t="s">
        <v>50</v>
      </c>
      <c r="I5240" t="s">
        <v>24</v>
      </c>
      <c r="J5240" t="s">
        <v>25</v>
      </c>
      <c r="K5240" t="s">
        <v>53</v>
      </c>
      <c r="L5240" t="s">
        <v>44</v>
      </c>
      <c r="M5240">
        <v>2</v>
      </c>
      <c r="N5240" s="2">
        <v>66</v>
      </c>
      <c r="O5240" s="3">
        <v>3621</v>
      </c>
      <c r="P5240">
        <v>0</v>
      </c>
      <c r="Q5240">
        <v>5</v>
      </c>
      <c r="R5240" t="s">
        <v>33</v>
      </c>
      <c r="S5240">
        <v>1</v>
      </c>
    </row>
    <row r="5241" spans="1:19" ht="16.5" x14ac:dyDescent="0.3">
      <c r="A5241" t="s">
        <v>5304</v>
      </c>
      <c r="B5241" s="1">
        <v>45984</v>
      </c>
      <c r="C5241" s="1">
        <v>45986</v>
      </c>
      <c r="D5241">
        <v>2025</v>
      </c>
      <c r="E5241" t="s">
        <v>2026</v>
      </c>
      <c r="F5241" t="s">
        <v>2260</v>
      </c>
      <c r="G5241" t="s">
        <v>112</v>
      </c>
      <c r="H5241" t="s">
        <v>23</v>
      </c>
      <c r="I5241" t="s">
        <v>40</v>
      </c>
      <c r="J5241" t="s">
        <v>25</v>
      </c>
      <c r="K5241" t="s">
        <v>36</v>
      </c>
      <c r="L5241" t="s">
        <v>37</v>
      </c>
      <c r="M5241">
        <v>2</v>
      </c>
      <c r="N5241" s="2"/>
      <c r="O5241" s="3">
        <v>1723</v>
      </c>
      <c r="P5241">
        <v>0</v>
      </c>
      <c r="Q5241">
        <v>5</v>
      </c>
      <c r="R5241" t="s">
        <v>28</v>
      </c>
      <c r="S5241">
        <v>1</v>
      </c>
    </row>
    <row r="5242" spans="1:19" ht="16.5" x14ac:dyDescent="0.3">
      <c r="A5242" t="s">
        <v>5305</v>
      </c>
      <c r="B5242" s="1">
        <v>45984</v>
      </c>
      <c r="C5242" s="1">
        <v>45989</v>
      </c>
      <c r="D5242">
        <v>2025</v>
      </c>
      <c r="E5242" t="s">
        <v>2026</v>
      </c>
      <c r="F5242" t="s">
        <v>2260</v>
      </c>
      <c r="G5242" t="s">
        <v>112</v>
      </c>
      <c r="H5242" t="s">
        <v>23</v>
      </c>
      <c r="I5242" t="s">
        <v>24</v>
      </c>
      <c r="J5242" t="s">
        <v>43</v>
      </c>
      <c r="K5242" t="s">
        <v>53</v>
      </c>
      <c r="L5242" t="s">
        <v>44</v>
      </c>
      <c r="M5242">
        <v>5</v>
      </c>
      <c r="N5242" s="2">
        <v>47</v>
      </c>
      <c r="O5242" s="3">
        <v>4478</v>
      </c>
      <c r="P5242">
        <v>0</v>
      </c>
      <c r="Q5242">
        <v>5</v>
      </c>
      <c r="R5242" t="s">
        <v>28</v>
      </c>
      <c r="S5242">
        <v>1</v>
      </c>
    </row>
    <row r="5243" spans="1:19" ht="16.5" x14ac:dyDescent="0.3">
      <c r="A5243" t="s">
        <v>5306</v>
      </c>
      <c r="B5243" s="1">
        <v>45984</v>
      </c>
      <c r="C5243" s="1">
        <v>45986</v>
      </c>
      <c r="D5243">
        <v>2025</v>
      </c>
      <c r="E5243" t="s">
        <v>2026</v>
      </c>
      <c r="F5243" t="s">
        <v>2260</v>
      </c>
      <c r="G5243" t="s">
        <v>112</v>
      </c>
      <c r="H5243" t="s">
        <v>35</v>
      </c>
      <c r="I5243" t="s">
        <v>24</v>
      </c>
      <c r="J5243" t="s">
        <v>25</v>
      </c>
      <c r="K5243" t="s">
        <v>36</v>
      </c>
      <c r="L5243" t="s">
        <v>44</v>
      </c>
      <c r="M5243">
        <v>2</v>
      </c>
      <c r="N5243" s="2">
        <v>48</v>
      </c>
      <c r="O5243" s="3">
        <v>1827</v>
      </c>
      <c r="P5243">
        <v>0</v>
      </c>
      <c r="Q5243">
        <v>4</v>
      </c>
      <c r="R5243" t="s">
        <v>28</v>
      </c>
      <c r="S5243">
        <v>1</v>
      </c>
    </row>
    <row r="5244" spans="1:19" ht="16.5" x14ac:dyDescent="0.3">
      <c r="A5244" t="s">
        <v>5307</v>
      </c>
      <c r="B5244" s="1">
        <v>45985</v>
      </c>
      <c r="C5244" s="1">
        <v>45986</v>
      </c>
      <c r="D5244">
        <v>2025</v>
      </c>
      <c r="E5244" t="s">
        <v>2026</v>
      </c>
      <c r="F5244" t="s">
        <v>2260</v>
      </c>
      <c r="G5244" t="s">
        <v>22</v>
      </c>
      <c r="H5244" t="s">
        <v>50</v>
      </c>
      <c r="I5244" t="s">
        <v>24</v>
      </c>
      <c r="J5244" t="s">
        <v>25</v>
      </c>
      <c r="K5244" t="s">
        <v>53</v>
      </c>
      <c r="L5244" t="s">
        <v>37</v>
      </c>
      <c r="M5244">
        <v>1</v>
      </c>
      <c r="N5244" s="2">
        <v>25</v>
      </c>
      <c r="O5244" s="3">
        <v>2031</v>
      </c>
      <c r="P5244">
        <v>1</v>
      </c>
      <c r="Q5244">
        <v>4</v>
      </c>
      <c r="R5244" t="s">
        <v>33</v>
      </c>
      <c r="S5244">
        <v>1</v>
      </c>
    </row>
    <row r="5245" spans="1:19" ht="16.5" x14ac:dyDescent="0.3">
      <c r="A5245" t="s">
        <v>5308</v>
      </c>
      <c r="B5245" s="1">
        <v>45985</v>
      </c>
      <c r="C5245" s="1">
        <v>45989</v>
      </c>
      <c r="D5245">
        <v>2025</v>
      </c>
      <c r="E5245" t="s">
        <v>2026</v>
      </c>
      <c r="F5245" t="s">
        <v>2260</v>
      </c>
      <c r="G5245" t="s">
        <v>22</v>
      </c>
      <c r="H5245" t="s">
        <v>39</v>
      </c>
      <c r="I5245" t="s">
        <v>24</v>
      </c>
      <c r="J5245" t="s">
        <v>43</v>
      </c>
      <c r="K5245" t="s">
        <v>41</v>
      </c>
      <c r="L5245" t="s">
        <v>44</v>
      </c>
      <c r="M5245">
        <v>4</v>
      </c>
      <c r="N5245" s="2">
        <v>56</v>
      </c>
      <c r="O5245" s="3">
        <v>3088</v>
      </c>
      <c r="P5245">
        <v>1</v>
      </c>
      <c r="Q5245">
        <v>4</v>
      </c>
      <c r="R5245" t="s">
        <v>33</v>
      </c>
      <c r="S5245">
        <v>1</v>
      </c>
    </row>
    <row r="5246" spans="1:19" ht="16.5" x14ac:dyDescent="0.3">
      <c r="A5246" t="s">
        <v>5309</v>
      </c>
      <c r="B5246" s="1">
        <v>45985</v>
      </c>
      <c r="C5246" s="1">
        <v>45989</v>
      </c>
      <c r="D5246">
        <v>2025</v>
      </c>
      <c r="E5246" t="s">
        <v>2026</v>
      </c>
      <c r="F5246" t="s">
        <v>2260</v>
      </c>
      <c r="G5246" t="s">
        <v>22</v>
      </c>
      <c r="H5246" t="s">
        <v>35</v>
      </c>
      <c r="I5246" t="s">
        <v>24</v>
      </c>
      <c r="J5246" t="s">
        <v>25</v>
      </c>
      <c r="K5246" t="s">
        <v>32</v>
      </c>
      <c r="L5246" t="s">
        <v>44</v>
      </c>
      <c r="M5246">
        <v>4</v>
      </c>
      <c r="N5246" s="2">
        <v>71</v>
      </c>
      <c r="O5246" s="3">
        <v>3508</v>
      </c>
      <c r="P5246">
        <v>0</v>
      </c>
      <c r="Q5246">
        <v>5</v>
      </c>
      <c r="R5246" t="s">
        <v>33</v>
      </c>
      <c r="S5246">
        <v>1</v>
      </c>
    </row>
    <row r="5247" spans="1:19" ht="16.5" x14ac:dyDescent="0.3">
      <c r="A5247" t="s">
        <v>5310</v>
      </c>
      <c r="B5247" s="1">
        <v>45985</v>
      </c>
      <c r="C5247" s="1">
        <v>45997</v>
      </c>
      <c r="D5247">
        <v>2025</v>
      </c>
      <c r="E5247" t="s">
        <v>2026</v>
      </c>
      <c r="F5247" t="s">
        <v>2260</v>
      </c>
      <c r="G5247" t="s">
        <v>22</v>
      </c>
      <c r="H5247" t="s">
        <v>30</v>
      </c>
      <c r="I5247" t="s">
        <v>40</v>
      </c>
      <c r="J5247" t="s">
        <v>43</v>
      </c>
      <c r="K5247" t="s">
        <v>36</v>
      </c>
      <c r="L5247" t="s">
        <v>37</v>
      </c>
      <c r="M5247">
        <v>12</v>
      </c>
      <c r="N5247" s="2"/>
      <c r="O5247" s="3">
        <v>11338</v>
      </c>
      <c r="P5247">
        <v>0</v>
      </c>
      <c r="Q5247">
        <v>4</v>
      </c>
      <c r="R5247" t="s">
        <v>33</v>
      </c>
      <c r="S5247">
        <v>1</v>
      </c>
    </row>
    <row r="5248" spans="1:19" ht="16.5" x14ac:dyDescent="0.3">
      <c r="A5248" t="s">
        <v>5311</v>
      </c>
      <c r="B5248" s="1">
        <v>45985</v>
      </c>
      <c r="C5248" s="1">
        <v>45988</v>
      </c>
      <c r="D5248">
        <v>2025</v>
      </c>
      <c r="E5248" t="s">
        <v>2026</v>
      </c>
      <c r="F5248" t="s">
        <v>2260</v>
      </c>
      <c r="G5248" t="s">
        <v>22</v>
      </c>
      <c r="H5248" t="s">
        <v>30</v>
      </c>
      <c r="I5248" t="s">
        <v>40</v>
      </c>
      <c r="J5248" t="s">
        <v>43</v>
      </c>
      <c r="K5248" t="s">
        <v>32</v>
      </c>
      <c r="L5248" t="s">
        <v>44</v>
      </c>
      <c r="M5248">
        <v>3</v>
      </c>
      <c r="N5248" s="2"/>
      <c r="O5248" s="3">
        <v>3630</v>
      </c>
      <c r="P5248">
        <v>0</v>
      </c>
      <c r="Q5248">
        <v>4</v>
      </c>
      <c r="R5248" t="s">
        <v>33</v>
      </c>
      <c r="S5248">
        <v>1</v>
      </c>
    </row>
    <row r="5249" spans="1:19" ht="16.5" x14ac:dyDescent="0.3">
      <c r="A5249" t="s">
        <v>5312</v>
      </c>
      <c r="B5249" s="1">
        <v>45985</v>
      </c>
      <c r="C5249" s="1">
        <v>45988</v>
      </c>
      <c r="D5249">
        <v>2025</v>
      </c>
      <c r="E5249" t="s">
        <v>2026</v>
      </c>
      <c r="F5249" t="s">
        <v>2260</v>
      </c>
      <c r="G5249" t="s">
        <v>22</v>
      </c>
      <c r="H5249" t="s">
        <v>23</v>
      </c>
      <c r="I5249" t="s">
        <v>24</v>
      </c>
      <c r="J5249" t="s">
        <v>25</v>
      </c>
      <c r="K5249" t="s">
        <v>53</v>
      </c>
      <c r="L5249" t="s">
        <v>27</v>
      </c>
      <c r="M5249">
        <v>3</v>
      </c>
      <c r="N5249" s="2">
        <v>28</v>
      </c>
      <c r="O5249" s="3">
        <v>2653</v>
      </c>
      <c r="P5249">
        <v>1</v>
      </c>
      <c r="Q5249">
        <v>3</v>
      </c>
      <c r="R5249" t="s">
        <v>33</v>
      </c>
      <c r="S5249">
        <v>1</v>
      </c>
    </row>
    <row r="5250" spans="1:19" ht="16.5" x14ac:dyDescent="0.3">
      <c r="A5250" t="s">
        <v>5313</v>
      </c>
      <c r="B5250" s="1">
        <v>45985</v>
      </c>
      <c r="C5250" s="1">
        <v>45987</v>
      </c>
      <c r="D5250">
        <v>2025</v>
      </c>
      <c r="E5250" t="s">
        <v>2026</v>
      </c>
      <c r="F5250" t="s">
        <v>2260</v>
      </c>
      <c r="G5250" t="s">
        <v>22</v>
      </c>
      <c r="H5250" t="s">
        <v>35</v>
      </c>
      <c r="I5250" t="s">
        <v>31</v>
      </c>
      <c r="J5250" t="s">
        <v>25</v>
      </c>
      <c r="K5250" t="s">
        <v>36</v>
      </c>
      <c r="L5250" t="s">
        <v>27</v>
      </c>
      <c r="M5250">
        <v>2</v>
      </c>
      <c r="N5250" s="2"/>
      <c r="O5250" s="3">
        <v>2694</v>
      </c>
      <c r="P5250">
        <v>1</v>
      </c>
      <c r="Q5250">
        <v>3</v>
      </c>
      <c r="R5250" t="s">
        <v>33</v>
      </c>
      <c r="S5250">
        <v>1</v>
      </c>
    </row>
    <row r="5251" spans="1:19" ht="16.5" x14ac:dyDescent="0.3">
      <c r="A5251" t="s">
        <v>5314</v>
      </c>
      <c r="B5251" s="1">
        <v>45985</v>
      </c>
      <c r="C5251" s="1">
        <v>45989</v>
      </c>
      <c r="D5251">
        <v>2025</v>
      </c>
      <c r="E5251" t="s">
        <v>2026</v>
      </c>
      <c r="F5251" t="s">
        <v>2260</v>
      </c>
      <c r="G5251" t="s">
        <v>22</v>
      </c>
      <c r="H5251" t="s">
        <v>35</v>
      </c>
      <c r="I5251" t="s">
        <v>24</v>
      </c>
      <c r="J5251" t="s">
        <v>25</v>
      </c>
      <c r="K5251" t="s">
        <v>36</v>
      </c>
      <c r="L5251" t="s">
        <v>27</v>
      </c>
      <c r="M5251">
        <v>4</v>
      </c>
      <c r="N5251" s="2">
        <v>21</v>
      </c>
      <c r="O5251" s="3">
        <v>3489</v>
      </c>
      <c r="P5251">
        <v>0</v>
      </c>
      <c r="Q5251">
        <v>3</v>
      </c>
      <c r="R5251" t="s">
        <v>28</v>
      </c>
      <c r="S5251">
        <v>1</v>
      </c>
    </row>
    <row r="5252" spans="1:19" ht="16.5" x14ac:dyDescent="0.3">
      <c r="A5252" t="s">
        <v>5315</v>
      </c>
      <c r="B5252" s="1">
        <v>45985</v>
      </c>
      <c r="C5252" s="1">
        <v>46000</v>
      </c>
      <c r="D5252">
        <v>2025</v>
      </c>
      <c r="E5252" t="s">
        <v>2026</v>
      </c>
      <c r="F5252" t="s">
        <v>2260</v>
      </c>
      <c r="G5252" t="s">
        <v>22</v>
      </c>
      <c r="H5252" t="s">
        <v>50</v>
      </c>
      <c r="I5252" t="s">
        <v>24</v>
      </c>
      <c r="J5252" t="s">
        <v>43</v>
      </c>
      <c r="K5252" t="s">
        <v>32</v>
      </c>
      <c r="L5252" t="s">
        <v>27</v>
      </c>
      <c r="M5252">
        <v>15</v>
      </c>
      <c r="N5252" s="2">
        <v>64</v>
      </c>
      <c r="O5252" s="3">
        <v>23483</v>
      </c>
      <c r="P5252">
        <v>0</v>
      </c>
      <c r="Q5252">
        <v>3</v>
      </c>
      <c r="R5252" t="s">
        <v>28</v>
      </c>
      <c r="S5252">
        <v>1</v>
      </c>
    </row>
    <row r="5253" spans="1:19" ht="16.5" x14ac:dyDescent="0.3">
      <c r="A5253" t="s">
        <v>5316</v>
      </c>
      <c r="B5253" s="1">
        <v>45986</v>
      </c>
      <c r="C5253" s="1">
        <v>45988</v>
      </c>
      <c r="D5253">
        <v>2025</v>
      </c>
      <c r="E5253" t="s">
        <v>2026</v>
      </c>
      <c r="F5253" t="s">
        <v>2260</v>
      </c>
      <c r="G5253" t="s">
        <v>56</v>
      </c>
      <c r="H5253" t="s">
        <v>23</v>
      </c>
      <c r="I5253" t="s">
        <v>40</v>
      </c>
      <c r="J5253" t="s">
        <v>25</v>
      </c>
      <c r="K5253" t="s">
        <v>26</v>
      </c>
      <c r="L5253" t="s">
        <v>27</v>
      </c>
      <c r="M5253">
        <v>2</v>
      </c>
      <c r="N5253" s="2"/>
      <c r="O5253" s="3">
        <v>2356</v>
      </c>
      <c r="P5253">
        <v>1</v>
      </c>
      <c r="Q5253">
        <v>5</v>
      </c>
      <c r="R5253" t="s">
        <v>33</v>
      </c>
      <c r="S5253">
        <v>1</v>
      </c>
    </row>
    <row r="5254" spans="1:19" ht="16.5" x14ac:dyDescent="0.3">
      <c r="A5254" t="s">
        <v>5317</v>
      </c>
      <c r="B5254" s="1">
        <v>45986</v>
      </c>
      <c r="C5254" s="1">
        <v>45989</v>
      </c>
      <c r="D5254">
        <v>2025</v>
      </c>
      <c r="E5254" t="s">
        <v>2026</v>
      </c>
      <c r="F5254" t="s">
        <v>2260</v>
      </c>
      <c r="G5254" t="s">
        <v>56</v>
      </c>
      <c r="H5254" t="s">
        <v>23</v>
      </c>
      <c r="I5254" t="s">
        <v>24</v>
      </c>
      <c r="J5254" t="s">
        <v>43</v>
      </c>
      <c r="K5254" t="s">
        <v>26</v>
      </c>
      <c r="L5254" t="s">
        <v>27</v>
      </c>
      <c r="M5254">
        <v>3</v>
      </c>
      <c r="N5254" s="2">
        <v>30</v>
      </c>
      <c r="O5254" s="3">
        <v>2957</v>
      </c>
      <c r="P5254">
        <v>0</v>
      </c>
      <c r="Q5254">
        <v>5</v>
      </c>
      <c r="R5254" t="s">
        <v>33</v>
      </c>
      <c r="S5254">
        <v>1</v>
      </c>
    </row>
    <row r="5255" spans="1:19" ht="16.5" x14ac:dyDescent="0.3">
      <c r="A5255" t="s">
        <v>5318</v>
      </c>
      <c r="B5255" s="1">
        <v>45986</v>
      </c>
      <c r="C5255" s="1">
        <v>45987</v>
      </c>
      <c r="D5255">
        <v>2025</v>
      </c>
      <c r="E5255" t="s">
        <v>2026</v>
      </c>
      <c r="F5255" t="s">
        <v>2260</v>
      </c>
      <c r="G5255" t="s">
        <v>56</v>
      </c>
      <c r="H5255" t="s">
        <v>52</v>
      </c>
      <c r="I5255" t="s">
        <v>40</v>
      </c>
      <c r="J5255" t="s">
        <v>25</v>
      </c>
      <c r="K5255" t="s">
        <v>26</v>
      </c>
      <c r="L5255" t="s">
        <v>27</v>
      </c>
      <c r="M5255">
        <v>1</v>
      </c>
      <c r="N5255" s="2"/>
      <c r="O5255" s="3">
        <v>1827</v>
      </c>
      <c r="P5255">
        <v>0</v>
      </c>
      <c r="Q5255">
        <v>5</v>
      </c>
      <c r="R5255" t="s">
        <v>59</v>
      </c>
      <c r="S5255">
        <v>1</v>
      </c>
    </row>
    <row r="5256" spans="1:19" ht="16.5" x14ac:dyDescent="0.3">
      <c r="A5256" t="s">
        <v>5319</v>
      </c>
      <c r="B5256" s="1">
        <v>45986</v>
      </c>
      <c r="C5256" s="1">
        <v>45989</v>
      </c>
      <c r="D5256">
        <v>2025</v>
      </c>
      <c r="E5256" t="s">
        <v>2026</v>
      </c>
      <c r="F5256" t="s">
        <v>2260</v>
      </c>
      <c r="G5256" t="s">
        <v>56</v>
      </c>
      <c r="H5256" t="s">
        <v>39</v>
      </c>
      <c r="I5256" t="s">
        <v>40</v>
      </c>
      <c r="J5256" t="s">
        <v>43</v>
      </c>
      <c r="K5256" t="s">
        <v>41</v>
      </c>
      <c r="L5256" t="s">
        <v>44</v>
      </c>
      <c r="M5256">
        <v>3</v>
      </c>
      <c r="N5256" s="2"/>
      <c r="O5256" s="3">
        <v>2779</v>
      </c>
      <c r="P5256">
        <v>0</v>
      </c>
      <c r="Q5256">
        <v>5</v>
      </c>
      <c r="R5256" t="s">
        <v>33</v>
      </c>
      <c r="S5256">
        <v>1</v>
      </c>
    </row>
    <row r="5257" spans="1:19" ht="16.5" x14ac:dyDescent="0.3">
      <c r="A5257" t="s">
        <v>5320</v>
      </c>
      <c r="B5257" s="1">
        <v>45986</v>
      </c>
      <c r="C5257" s="1">
        <v>45988</v>
      </c>
      <c r="D5257">
        <v>2025</v>
      </c>
      <c r="E5257" t="s">
        <v>2026</v>
      </c>
      <c r="F5257" t="s">
        <v>2260</v>
      </c>
      <c r="G5257" t="s">
        <v>56</v>
      </c>
      <c r="H5257" t="s">
        <v>50</v>
      </c>
      <c r="I5257" t="s">
        <v>24</v>
      </c>
      <c r="J5257" t="s">
        <v>25</v>
      </c>
      <c r="K5257" t="s">
        <v>53</v>
      </c>
      <c r="L5257" t="s">
        <v>44</v>
      </c>
      <c r="M5257">
        <v>2</v>
      </c>
      <c r="N5257" s="2">
        <v>96</v>
      </c>
      <c r="O5257" s="3">
        <v>2959</v>
      </c>
      <c r="P5257">
        <v>0</v>
      </c>
      <c r="Q5257">
        <v>4</v>
      </c>
      <c r="R5257" t="s">
        <v>28</v>
      </c>
      <c r="S5257">
        <v>1</v>
      </c>
    </row>
    <row r="5258" spans="1:19" ht="16.5" x14ac:dyDescent="0.3">
      <c r="A5258" t="s">
        <v>5321</v>
      </c>
      <c r="B5258" s="1">
        <v>45986</v>
      </c>
      <c r="C5258" s="1">
        <v>45990</v>
      </c>
      <c r="D5258">
        <v>2025</v>
      </c>
      <c r="E5258" t="s">
        <v>2026</v>
      </c>
      <c r="F5258" t="s">
        <v>2260</v>
      </c>
      <c r="G5258" t="s">
        <v>56</v>
      </c>
      <c r="H5258" t="s">
        <v>52</v>
      </c>
      <c r="I5258" t="s">
        <v>40</v>
      </c>
      <c r="J5258" t="s">
        <v>25</v>
      </c>
      <c r="K5258" t="s">
        <v>32</v>
      </c>
      <c r="L5258" t="s">
        <v>27</v>
      </c>
      <c r="M5258">
        <v>4</v>
      </c>
      <c r="N5258" s="2"/>
      <c r="O5258" s="3">
        <v>5166</v>
      </c>
      <c r="P5258">
        <v>0</v>
      </c>
      <c r="Q5258">
        <v>5</v>
      </c>
      <c r="R5258" t="s">
        <v>28</v>
      </c>
      <c r="S5258">
        <v>1</v>
      </c>
    </row>
    <row r="5259" spans="1:19" ht="16.5" x14ac:dyDescent="0.3">
      <c r="A5259" t="s">
        <v>5322</v>
      </c>
      <c r="B5259" s="1">
        <v>45986</v>
      </c>
      <c r="C5259" s="1">
        <v>45989</v>
      </c>
      <c r="D5259">
        <v>2025</v>
      </c>
      <c r="E5259" t="s">
        <v>2026</v>
      </c>
      <c r="F5259" t="s">
        <v>2260</v>
      </c>
      <c r="G5259" t="s">
        <v>56</v>
      </c>
      <c r="H5259" t="s">
        <v>23</v>
      </c>
      <c r="I5259" t="s">
        <v>24</v>
      </c>
      <c r="J5259" t="s">
        <v>43</v>
      </c>
      <c r="K5259" t="s">
        <v>53</v>
      </c>
      <c r="L5259" t="s">
        <v>27</v>
      </c>
      <c r="M5259">
        <v>3</v>
      </c>
      <c r="N5259" s="2">
        <v>89</v>
      </c>
      <c r="O5259" s="3">
        <v>2985</v>
      </c>
      <c r="P5259">
        <v>0</v>
      </c>
      <c r="Q5259">
        <v>4</v>
      </c>
      <c r="R5259" t="s">
        <v>33</v>
      </c>
      <c r="S5259">
        <v>1</v>
      </c>
    </row>
    <row r="5260" spans="1:19" ht="16.5" x14ac:dyDescent="0.3">
      <c r="A5260" t="s">
        <v>5323</v>
      </c>
      <c r="B5260" s="1">
        <v>45987</v>
      </c>
      <c r="C5260" s="1">
        <v>45991</v>
      </c>
      <c r="D5260">
        <v>2025</v>
      </c>
      <c r="E5260" t="s">
        <v>2026</v>
      </c>
      <c r="F5260" t="s">
        <v>2260</v>
      </c>
      <c r="G5260" t="s">
        <v>70</v>
      </c>
      <c r="H5260" t="s">
        <v>50</v>
      </c>
      <c r="I5260" t="s">
        <v>31</v>
      </c>
      <c r="J5260" t="s">
        <v>25</v>
      </c>
      <c r="K5260" t="s">
        <v>53</v>
      </c>
      <c r="L5260" t="s">
        <v>27</v>
      </c>
      <c r="M5260">
        <v>4</v>
      </c>
      <c r="N5260" s="2"/>
      <c r="O5260" s="3">
        <v>4900</v>
      </c>
      <c r="P5260">
        <v>0</v>
      </c>
      <c r="Q5260">
        <v>4</v>
      </c>
      <c r="R5260" t="s">
        <v>28</v>
      </c>
      <c r="S5260">
        <v>1</v>
      </c>
    </row>
    <row r="5261" spans="1:19" ht="16.5" x14ac:dyDescent="0.3">
      <c r="A5261" t="s">
        <v>5324</v>
      </c>
      <c r="B5261" s="1">
        <v>45987</v>
      </c>
      <c r="C5261" s="1">
        <v>45998</v>
      </c>
      <c r="D5261">
        <v>2025</v>
      </c>
      <c r="E5261" t="s">
        <v>2026</v>
      </c>
      <c r="F5261" t="s">
        <v>2260</v>
      </c>
      <c r="G5261" t="s">
        <v>70</v>
      </c>
      <c r="H5261" t="s">
        <v>23</v>
      </c>
      <c r="I5261" t="s">
        <v>24</v>
      </c>
      <c r="J5261" t="s">
        <v>25</v>
      </c>
      <c r="K5261" t="s">
        <v>32</v>
      </c>
      <c r="L5261" t="s">
        <v>44</v>
      </c>
      <c r="M5261">
        <v>11</v>
      </c>
      <c r="N5261" s="2">
        <v>29</v>
      </c>
      <c r="O5261" s="3">
        <v>8945</v>
      </c>
      <c r="P5261">
        <v>0</v>
      </c>
      <c r="Q5261">
        <v>4</v>
      </c>
      <c r="R5261" t="s">
        <v>33</v>
      </c>
      <c r="S5261">
        <v>1</v>
      </c>
    </row>
    <row r="5262" spans="1:19" ht="16.5" x14ac:dyDescent="0.3">
      <c r="A5262" t="s">
        <v>5325</v>
      </c>
      <c r="B5262" s="1">
        <v>45987</v>
      </c>
      <c r="C5262" s="1">
        <v>45992</v>
      </c>
      <c r="D5262">
        <v>2025</v>
      </c>
      <c r="E5262" t="s">
        <v>2026</v>
      </c>
      <c r="F5262" t="s">
        <v>2260</v>
      </c>
      <c r="G5262" t="s">
        <v>70</v>
      </c>
      <c r="H5262" t="s">
        <v>30</v>
      </c>
      <c r="I5262" t="s">
        <v>40</v>
      </c>
      <c r="J5262" t="s">
        <v>43</v>
      </c>
      <c r="K5262" t="s">
        <v>53</v>
      </c>
      <c r="L5262" t="s">
        <v>37</v>
      </c>
      <c r="M5262">
        <v>5</v>
      </c>
      <c r="N5262" s="2"/>
      <c r="O5262" s="3">
        <v>4369</v>
      </c>
      <c r="P5262">
        <v>0</v>
      </c>
      <c r="Q5262">
        <v>4</v>
      </c>
      <c r="R5262" t="s">
        <v>165</v>
      </c>
      <c r="S5262">
        <v>1</v>
      </c>
    </row>
    <row r="5263" spans="1:19" ht="16.5" x14ac:dyDescent="0.3">
      <c r="A5263" t="s">
        <v>5326</v>
      </c>
      <c r="B5263" s="1">
        <v>45987</v>
      </c>
      <c r="C5263" s="1">
        <v>45992</v>
      </c>
      <c r="D5263">
        <v>2025</v>
      </c>
      <c r="E5263" t="s">
        <v>2026</v>
      </c>
      <c r="F5263" t="s">
        <v>2260</v>
      </c>
      <c r="G5263" t="s">
        <v>70</v>
      </c>
      <c r="H5263" t="s">
        <v>23</v>
      </c>
      <c r="I5263" t="s">
        <v>31</v>
      </c>
      <c r="J5263" t="s">
        <v>25</v>
      </c>
      <c r="K5263" t="s">
        <v>26</v>
      </c>
      <c r="L5263" t="s">
        <v>27</v>
      </c>
      <c r="M5263">
        <v>5</v>
      </c>
      <c r="N5263" s="2"/>
      <c r="O5263" s="3">
        <v>2125</v>
      </c>
      <c r="P5263">
        <v>0</v>
      </c>
      <c r="Q5263">
        <v>5</v>
      </c>
      <c r="R5263" t="s">
        <v>33</v>
      </c>
      <c r="S5263">
        <v>1</v>
      </c>
    </row>
    <row r="5264" spans="1:19" ht="16.5" x14ac:dyDescent="0.3">
      <c r="A5264" t="s">
        <v>5327</v>
      </c>
      <c r="B5264" s="1">
        <v>45987</v>
      </c>
      <c r="C5264" s="1">
        <v>45992</v>
      </c>
      <c r="D5264">
        <v>2025</v>
      </c>
      <c r="E5264" t="s">
        <v>2026</v>
      </c>
      <c r="F5264" t="s">
        <v>2260</v>
      </c>
      <c r="G5264" t="s">
        <v>70</v>
      </c>
      <c r="H5264" t="s">
        <v>30</v>
      </c>
      <c r="I5264" t="s">
        <v>40</v>
      </c>
      <c r="J5264" t="s">
        <v>25</v>
      </c>
      <c r="K5264" t="s">
        <v>32</v>
      </c>
      <c r="L5264" t="s">
        <v>44</v>
      </c>
      <c r="M5264">
        <v>5</v>
      </c>
      <c r="N5264" s="2"/>
      <c r="O5264" s="3">
        <v>6954</v>
      </c>
      <c r="P5264">
        <v>0</v>
      </c>
      <c r="Q5264">
        <v>3</v>
      </c>
      <c r="R5264" t="s">
        <v>33</v>
      </c>
      <c r="S5264">
        <v>1</v>
      </c>
    </row>
    <row r="5265" spans="1:19" ht="16.5" x14ac:dyDescent="0.3">
      <c r="A5265" t="s">
        <v>5328</v>
      </c>
      <c r="B5265" s="1">
        <v>45987</v>
      </c>
      <c r="C5265" s="1">
        <v>45992</v>
      </c>
      <c r="D5265">
        <v>2025</v>
      </c>
      <c r="E5265" t="s">
        <v>2026</v>
      </c>
      <c r="F5265" t="s">
        <v>2260</v>
      </c>
      <c r="G5265" t="s">
        <v>70</v>
      </c>
      <c r="H5265" t="s">
        <v>35</v>
      </c>
      <c r="I5265" t="s">
        <v>24</v>
      </c>
      <c r="J5265" t="s">
        <v>25</v>
      </c>
      <c r="K5265" t="s">
        <v>36</v>
      </c>
      <c r="L5265" t="s">
        <v>27</v>
      </c>
      <c r="M5265">
        <v>5</v>
      </c>
      <c r="N5265" s="2">
        <v>74</v>
      </c>
      <c r="O5265" s="3">
        <v>4038</v>
      </c>
      <c r="P5265">
        <v>0</v>
      </c>
      <c r="Q5265">
        <v>5</v>
      </c>
      <c r="R5265" t="s">
        <v>33</v>
      </c>
      <c r="S5265">
        <v>1</v>
      </c>
    </row>
    <row r="5266" spans="1:19" ht="16.5" x14ac:dyDescent="0.3">
      <c r="A5266" t="s">
        <v>5329</v>
      </c>
      <c r="B5266" s="1">
        <v>45987</v>
      </c>
      <c r="C5266" s="1">
        <v>45989</v>
      </c>
      <c r="D5266">
        <v>2025</v>
      </c>
      <c r="E5266" t="s">
        <v>2026</v>
      </c>
      <c r="F5266" t="s">
        <v>2260</v>
      </c>
      <c r="G5266" t="s">
        <v>70</v>
      </c>
      <c r="H5266" t="s">
        <v>35</v>
      </c>
      <c r="I5266" t="s">
        <v>24</v>
      </c>
      <c r="J5266" t="s">
        <v>25</v>
      </c>
      <c r="K5266" t="s">
        <v>36</v>
      </c>
      <c r="L5266" t="s">
        <v>27</v>
      </c>
      <c r="M5266">
        <v>2</v>
      </c>
      <c r="N5266" s="2">
        <v>35</v>
      </c>
      <c r="O5266" s="3">
        <v>2258</v>
      </c>
      <c r="P5266">
        <v>0</v>
      </c>
      <c r="Q5266">
        <v>4</v>
      </c>
      <c r="R5266" t="s">
        <v>33</v>
      </c>
      <c r="S5266">
        <v>1</v>
      </c>
    </row>
    <row r="5267" spans="1:19" ht="16.5" x14ac:dyDescent="0.3">
      <c r="A5267" t="s">
        <v>5330</v>
      </c>
      <c r="B5267" s="1">
        <v>45987</v>
      </c>
      <c r="C5267" s="1">
        <v>45992</v>
      </c>
      <c r="D5267">
        <v>2025</v>
      </c>
      <c r="E5267" t="s">
        <v>2026</v>
      </c>
      <c r="F5267" t="s">
        <v>2260</v>
      </c>
      <c r="G5267" t="s">
        <v>70</v>
      </c>
      <c r="H5267" t="s">
        <v>50</v>
      </c>
      <c r="I5267" t="s">
        <v>24</v>
      </c>
      <c r="J5267" t="s">
        <v>25</v>
      </c>
      <c r="K5267" t="s">
        <v>26</v>
      </c>
      <c r="L5267" t="s">
        <v>27</v>
      </c>
      <c r="M5267">
        <v>5</v>
      </c>
      <c r="N5267" s="2">
        <v>51</v>
      </c>
      <c r="O5267" s="3">
        <v>7172</v>
      </c>
      <c r="P5267">
        <v>0</v>
      </c>
      <c r="Q5267">
        <v>5</v>
      </c>
      <c r="R5267" t="s">
        <v>33</v>
      </c>
      <c r="S5267">
        <v>1</v>
      </c>
    </row>
    <row r="5268" spans="1:19" ht="16.5" x14ac:dyDescent="0.3">
      <c r="A5268" t="s">
        <v>5331</v>
      </c>
      <c r="B5268" s="1">
        <v>45988</v>
      </c>
      <c r="C5268" s="1">
        <v>45989</v>
      </c>
      <c r="D5268">
        <v>2025</v>
      </c>
      <c r="E5268" t="s">
        <v>2026</v>
      </c>
      <c r="F5268" t="s">
        <v>2260</v>
      </c>
      <c r="G5268" t="s">
        <v>78</v>
      </c>
      <c r="H5268" t="s">
        <v>35</v>
      </c>
      <c r="I5268" t="s">
        <v>31</v>
      </c>
      <c r="J5268" t="s">
        <v>25</v>
      </c>
      <c r="K5268" t="s">
        <v>32</v>
      </c>
      <c r="L5268" t="s">
        <v>27</v>
      </c>
      <c r="M5268">
        <v>1</v>
      </c>
      <c r="N5268" s="2"/>
      <c r="O5268" s="3">
        <v>1360</v>
      </c>
      <c r="P5268">
        <v>0</v>
      </c>
      <c r="Q5268">
        <v>5</v>
      </c>
      <c r="R5268" t="s">
        <v>28</v>
      </c>
      <c r="S5268">
        <v>1</v>
      </c>
    </row>
    <row r="5269" spans="1:19" ht="16.5" x14ac:dyDescent="0.3">
      <c r="A5269" t="s">
        <v>5332</v>
      </c>
      <c r="B5269" s="1">
        <v>45988</v>
      </c>
      <c r="C5269" s="1">
        <v>45996</v>
      </c>
      <c r="D5269">
        <v>2025</v>
      </c>
      <c r="E5269" t="s">
        <v>2026</v>
      </c>
      <c r="F5269" t="s">
        <v>2260</v>
      </c>
      <c r="G5269" t="s">
        <v>78</v>
      </c>
      <c r="H5269" t="s">
        <v>30</v>
      </c>
      <c r="I5269" t="s">
        <v>40</v>
      </c>
      <c r="J5269" t="s">
        <v>25</v>
      </c>
      <c r="K5269" t="s">
        <v>26</v>
      </c>
      <c r="L5269" t="s">
        <v>44</v>
      </c>
      <c r="M5269">
        <v>8</v>
      </c>
      <c r="N5269" s="2"/>
      <c r="O5269" s="3">
        <v>10143</v>
      </c>
      <c r="P5269">
        <v>0</v>
      </c>
      <c r="Q5269">
        <v>3</v>
      </c>
      <c r="R5269" t="s">
        <v>33</v>
      </c>
      <c r="S5269">
        <v>1</v>
      </c>
    </row>
    <row r="5270" spans="1:19" ht="16.5" x14ac:dyDescent="0.3">
      <c r="A5270" t="s">
        <v>5333</v>
      </c>
      <c r="B5270" s="1">
        <v>45988</v>
      </c>
      <c r="C5270" s="1">
        <v>45992</v>
      </c>
      <c r="D5270">
        <v>2025</v>
      </c>
      <c r="E5270" t="s">
        <v>2026</v>
      </c>
      <c r="F5270" t="s">
        <v>2260</v>
      </c>
      <c r="G5270" t="s">
        <v>78</v>
      </c>
      <c r="H5270" t="s">
        <v>30</v>
      </c>
      <c r="I5270" t="s">
        <v>40</v>
      </c>
      <c r="J5270" t="s">
        <v>25</v>
      </c>
      <c r="K5270" t="s">
        <v>36</v>
      </c>
      <c r="L5270" t="s">
        <v>44</v>
      </c>
      <c r="M5270">
        <v>4</v>
      </c>
      <c r="N5270" s="2"/>
      <c r="O5270" s="3">
        <v>4262</v>
      </c>
      <c r="P5270">
        <v>1</v>
      </c>
      <c r="Q5270">
        <v>4</v>
      </c>
      <c r="R5270" t="s">
        <v>33</v>
      </c>
      <c r="S5270">
        <v>1</v>
      </c>
    </row>
    <row r="5271" spans="1:19" ht="16.5" x14ac:dyDescent="0.3">
      <c r="A5271" t="s">
        <v>5334</v>
      </c>
      <c r="B5271" s="1">
        <v>45988</v>
      </c>
      <c r="C5271" s="1">
        <v>46002</v>
      </c>
      <c r="D5271">
        <v>2025</v>
      </c>
      <c r="E5271" t="s">
        <v>2026</v>
      </c>
      <c r="F5271" t="s">
        <v>2260</v>
      </c>
      <c r="G5271" t="s">
        <v>78</v>
      </c>
      <c r="H5271" t="s">
        <v>50</v>
      </c>
      <c r="I5271" t="s">
        <v>24</v>
      </c>
      <c r="J5271" t="s">
        <v>43</v>
      </c>
      <c r="K5271" t="s">
        <v>26</v>
      </c>
      <c r="L5271" t="s">
        <v>37</v>
      </c>
      <c r="M5271">
        <v>14</v>
      </c>
      <c r="N5271" s="2">
        <v>37</v>
      </c>
      <c r="O5271" s="3">
        <v>16218</v>
      </c>
      <c r="P5271">
        <v>0</v>
      </c>
      <c r="Q5271">
        <v>4</v>
      </c>
      <c r="R5271" t="s">
        <v>28</v>
      </c>
      <c r="S5271">
        <v>1</v>
      </c>
    </row>
    <row r="5272" spans="1:19" ht="16.5" x14ac:dyDescent="0.3">
      <c r="A5272" t="s">
        <v>5335</v>
      </c>
      <c r="B5272" s="1">
        <v>45988</v>
      </c>
      <c r="C5272" s="1">
        <v>45994</v>
      </c>
      <c r="D5272">
        <v>2025</v>
      </c>
      <c r="E5272" t="s">
        <v>2026</v>
      </c>
      <c r="F5272" t="s">
        <v>2260</v>
      </c>
      <c r="G5272" t="s">
        <v>78</v>
      </c>
      <c r="H5272" t="s">
        <v>30</v>
      </c>
      <c r="I5272" t="s">
        <v>40</v>
      </c>
      <c r="J5272" t="s">
        <v>43</v>
      </c>
      <c r="K5272" t="s">
        <v>53</v>
      </c>
      <c r="L5272" t="s">
        <v>27</v>
      </c>
      <c r="M5272">
        <v>6</v>
      </c>
      <c r="N5272" s="2"/>
      <c r="O5272" s="3">
        <v>6524</v>
      </c>
      <c r="P5272">
        <v>0</v>
      </c>
      <c r="Q5272">
        <v>4</v>
      </c>
      <c r="R5272" t="s">
        <v>33</v>
      </c>
      <c r="S5272">
        <v>1</v>
      </c>
    </row>
    <row r="5273" spans="1:19" ht="16.5" x14ac:dyDescent="0.3">
      <c r="A5273" t="s">
        <v>5336</v>
      </c>
      <c r="B5273" s="1">
        <v>45988</v>
      </c>
      <c r="C5273" s="1">
        <v>45991</v>
      </c>
      <c r="D5273">
        <v>2025</v>
      </c>
      <c r="E5273" t="s">
        <v>2026</v>
      </c>
      <c r="F5273" t="s">
        <v>2260</v>
      </c>
      <c r="G5273" t="s">
        <v>78</v>
      </c>
      <c r="H5273" t="s">
        <v>35</v>
      </c>
      <c r="I5273" t="s">
        <v>31</v>
      </c>
      <c r="J5273" t="s">
        <v>25</v>
      </c>
      <c r="K5273" t="s">
        <v>32</v>
      </c>
      <c r="L5273" t="s">
        <v>44</v>
      </c>
      <c r="M5273">
        <v>3</v>
      </c>
      <c r="N5273" s="2"/>
      <c r="O5273" s="3">
        <v>3916</v>
      </c>
      <c r="P5273">
        <v>0</v>
      </c>
      <c r="Q5273">
        <v>4</v>
      </c>
      <c r="R5273" t="s">
        <v>28</v>
      </c>
      <c r="S5273">
        <v>1</v>
      </c>
    </row>
    <row r="5274" spans="1:19" ht="16.5" x14ac:dyDescent="0.3">
      <c r="A5274" t="s">
        <v>5337</v>
      </c>
      <c r="B5274" s="1">
        <v>45988</v>
      </c>
      <c r="C5274" s="1">
        <v>45990</v>
      </c>
      <c r="D5274">
        <v>2025</v>
      </c>
      <c r="E5274" t="s">
        <v>2026</v>
      </c>
      <c r="F5274" t="s">
        <v>2260</v>
      </c>
      <c r="G5274" t="s">
        <v>78</v>
      </c>
      <c r="H5274" t="s">
        <v>39</v>
      </c>
      <c r="I5274" t="s">
        <v>40</v>
      </c>
      <c r="J5274" t="s">
        <v>25</v>
      </c>
      <c r="K5274" t="s">
        <v>41</v>
      </c>
      <c r="L5274" t="s">
        <v>27</v>
      </c>
      <c r="M5274">
        <v>2</v>
      </c>
      <c r="N5274" s="2"/>
      <c r="O5274" s="3">
        <v>2278</v>
      </c>
      <c r="P5274">
        <v>0</v>
      </c>
      <c r="Q5274">
        <v>4</v>
      </c>
      <c r="R5274" t="s">
        <v>28</v>
      </c>
      <c r="S5274">
        <v>1</v>
      </c>
    </row>
    <row r="5275" spans="1:19" ht="16.5" x14ac:dyDescent="0.3">
      <c r="A5275" t="s">
        <v>5338</v>
      </c>
      <c r="B5275" s="1">
        <v>45989</v>
      </c>
      <c r="C5275" s="1">
        <v>45990</v>
      </c>
      <c r="D5275">
        <v>2025</v>
      </c>
      <c r="E5275" t="s">
        <v>2026</v>
      </c>
      <c r="F5275" t="s">
        <v>2260</v>
      </c>
      <c r="G5275" t="s">
        <v>83</v>
      </c>
      <c r="H5275" t="s">
        <v>50</v>
      </c>
      <c r="I5275" t="s">
        <v>40</v>
      </c>
      <c r="J5275" t="s">
        <v>43</v>
      </c>
      <c r="K5275" t="s">
        <v>36</v>
      </c>
      <c r="L5275" t="s">
        <v>37</v>
      </c>
      <c r="M5275">
        <v>1</v>
      </c>
      <c r="N5275" s="2"/>
      <c r="O5275" s="3">
        <v>1391</v>
      </c>
      <c r="P5275">
        <v>0</v>
      </c>
      <c r="Q5275">
        <v>4</v>
      </c>
      <c r="R5275" t="s">
        <v>33</v>
      </c>
      <c r="S5275">
        <v>1</v>
      </c>
    </row>
    <row r="5276" spans="1:19" ht="16.5" x14ac:dyDescent="0.3">
      <c r="A5276" t="s">
        <v>5339</v>
      </c>
      <c r="B5276" s="1">
        <v>45989</v>
      </c>
      <c r="C5276" s="1">
        <v>45992</v>
      </c>
      <c r="D5276">
        <v>2025</v>
      </c>
      <c r="E5276" t="s">
        <v>2026</v>
      </c>
      <c r="F5276" t="s">
        <v>2260</v>
      </c>
      <c r="G5276" t="s">
        <v>83</v>
      </c>
      <c r="H5276" t="s">
        <v>30</v>
      </c>
      <c r="I5276" t="s">
        <v>40</v>
      </c>
      <c r="J5276" t="s">
        <v>43</v>
      </c>
      <c r="K5276" t="s">
        <v>53</v>
      </c>
      <c r="L5276" t="s">
        <v>27</v>
      </c>
      <c r="M5276">
        <v>3</v>
      </c>
      <c r="N5276" s="2"/>
      <c r="O5276" s="3">
        <v>4183</v>
      </c>
      <c r="P5276">
        <v>1</v>
      </c>
      <c r="Q5276">
        <v>2</v>
      </c>
      <c r="R5276" t="s">
        <v>33</v>
      </c>
      <c r="S5276">
        <v>1</v>
      </c>
    </row>
    <row r="5277" spans="1:19" ht="16.5" x14ac:dyDescent="0.3">
      <c r="A5277" t="s">
        <v>5340</v>
      </c>
      <c r="B5277" s="1">
        <v>45989</v>
      </c>
      <c r="C5277" s="1">
        <v>45991</v>
      </c>
      <c r="D5277">
        <v>2025</v>
      </c>
      <c r="E5277" t="s">
        <v>2026</v>
      </c>
      <c r="F5277" t="s">
        <v>2260</v>
      </c>
      <c r="G5277" t="s">
        <v>83</v>
      </c>
      <c r="H5277" t="s">
        <v>23</v>
      </c>
      <c r="I5277" t="s">
        <v>24</v>
      </c>
      <c r="J5277" t="s">
        <v>25</v>
      </c>
      <c r="K5277" t="s">
        <v>32</v>
      </c>
      <c r="L5277" t="s">
        <v>44</v>
      </c>
      <c r="M5277">
        <v>2</v>
      </c>
      <c r="N5277" s="2">
        <v>41</v>
      </c>
      <c r="O5277" s="3">
        <v>2623</v>
      </c>
      <c r="P5277">
        <v>0</v>
      </c>
      <c r="Q5277">
        <v>3</v>
      </c>
      <c r="R5277" t="s">
        <v>28</v>
      </c>
      <c r="S5277">
        <v>1</v>
      </c>
    </row>
    <row r="5278" spans="1:19" ht="16.5" x14ac:dyDescent="0.3">
      <c r="A5278" t="s">
        <v>5341</v>
      </c>
      <c r="B5278" s="1">
        <v>45989</v>
      </c>
      <c r="C5278" s="1">
        <v>45992</v>
      </c>
      <c r="D5278">
        <v>2025</v>
      </c>
      <c r="E5278" t="s">
        <v>2026</v>
      </c>
      <c r="F5278" t="s">
        <v>2260</v>
      </c>
      <c r="G5278" t="s">
        <v>83</v>
      </c>
      <c r="H5278" t="s">
        <v>30</v>
      </c>
      <c r="I5278" t="s">
        <v>40</v>
      </c>
      <c r="J5278" t="s">
        <v>25</v>
      </c>
      <c r="K5278" t="s">
        <v>53</v>
      </c>
      <c r="L5278" t="s">
        <v>27</v>
      </c>
      <c r="M5278">
        <v>3</v>
      </c>
      <c r="N5278" s="2"/>
      <c r="O5278" s="3">
        <v>3854</v>
      </c>
      <c r="P5278">
        <v>0</v>
      </c>
      <c r="Q5278">
        <v>5</v>
      </c>
      <c r="R5278" t="s">
        <v>33</v>
      </c>
      <c r="S5278">
        <v>1</v>
      </c>
    </row>
    <row r="5279" spans="1:19" ht="16.5" x14ac:dyDescent="0.3">
      <c r="A5279" t="s">
        <v>5342</v>
      </c>
      <c r="B5279" s="1">
        <v>45989</v>
      </c>
      <c r="C5279" s="1">
        <v>45992</v>
      </c>
      <c r="D5279">
        <v>2025</v>
      </c>
      <c r="E5279" t="s">
        <v>2026</v>
      </c>
      <c r="F5279" t="s">
        <v>2260</v>
      </c>
      <c r="G5279" t="s">
        <v>83</v>
      </c>
      <c r="H5279" t="s">
        <v>30</v>
      </c>
      <c r="I5279" t="s">
        <v>40</v>
      </c>
      <c r="J5279" t="s">
        <v>25</v>
      </c>
      <c r="K5279" t="s">
        <v>26</v>
      </c>
      <c r="L5279" t="s">
        <v>44</v>
      </c>
      <c r="M5279">
        <v>3</v>
      </c>
      <c r="N5279" s="2"/>
      <c r="O5279" s="3">
        <v>4830</v>
      </c>
      <c r="P5279">
        <v>0</v>
      </c>
      <c r="Q5279">
        <v>4</v>
      </c>
      <c r="R5279" t="s">
        <v>165</v>
      </c>
      <c r="S5279">
        <v>1</v>
      </c>
    </row>
    <row r="5280" spans="1:19" ht="16.5" x14ac:dyDescent="0.3">
      <c r="A5280" t="s">
        <v>5343</v>
      </c>
      <c r="B5280" s="1">
        <v>45989</v>
      </c>
      <c r="C5280" s="1">
        <v>45994</v>
      </c>
      <c r="D5280">
        <v>2025</v>
      </c>
      <c r="E5280" t="s">
        <v>2026</v>
      </c>
      <c r="F5280" t="s">
        <v>2260</v>
      </c>
      <c r="G5280" t="s">
        <v>83</v>
      </c>
      <c r="H5280" t="s">
        <v>39</v>
      </c>
      <c r="I5280" t="s">
        <v>24</v>
      </c>
      <c r="J5280" t="s">
        <v>43</v>
      </c>
      <c r="K5280" t="s">
        <v>41</v>
      </c>
      <c r="L5280" t="s">
        <v>37</v>
      </c>
      <c r="M5280">
        <v>5</v>
      </c>
      <c r="N5280" s="2">
        <v>64</v>
      </c>
      <c r="O5280" s="3">
        <v>3349</v>
      </c>
      <c r="P5280">
        <v>0</v>
      </c>
      <c r="Q5280">
        <v>5</v>
      </c>
      <c r="R5280" t="s">
        <v>33</v>
      </c>
      <c r="S5280">
        <v>1</v>
      </c>
    </row>
    <row r="5281" spans="1:19" ht="16.5" x14ac:dyDescent="0.3">
      <c r="A5281" t="s">
        <v>5344</v>
      </c>
      <c r="B5281" s="1">
        <v>45989</v>
      </c>
      <c r="C5281" s="1">
        <v>45991</v>
      </c>
      <c r="D5281">
        <v>2025</v>
      </c>
      <c r="E5281" t="s">
        <v>2026</v>
      </c>
      <c r="F5281" t="s">
        <v>2260</v>
      </c>
      <c r="G5281" t="s">
        <v>83</v>
      </c>
      <c r="H5281" t="s">
        <v>35</v>
      </c>
      <c r="I5281" t="s">
        <v>24</v>
      </c>
      <c r="J5281" t="s">
        <v>25</v>
      </c>
      <c r="K5281" t="s">
        <v>32</v>
      </c>
      <c r="L5281" t="s">
        <v>27</v>
      </c>
      <c r="M5281">
        <v>2</v>
      </c>
      <c r="N5281" s="2">
        <v>78</v>
      </c>
      <c r="O5281" s="3">
        <v>1149</v>
      </c>
      <c r="P5281">
        <v>0</v>
      </c>
      <c r="Q5281">
        <v>5</v>
      </c>
      <c r="R5281" t="s">
        <v>165</v>
      </c>
      <c r="S5281">
        <v>1</v>
      </c>
    </row>
    <row r="5282" spans="1:19" ht="16.5" x14ac:dyDescent="0.3">
      <c r="A5282" t="s">
        <v>5345</v>
      </c>
      <c r="B5282" s="1">
        <v>45989</v>
      </c>
      <c r="C5282" s="1">
        <v>46002</v>
      </c>
      <c r="D5282">
        <v>2025</v>
      </c>
      <c r="E5282" t="s">
        <v>2026</v>
      </c>
      <c r="F5282" t="s">
        <v>2260</v>
      </c>
      <c r="G5282" t="s">
        <v>83</v>
      </c>
      <c r="H5282" t="s">
        <v>23</v>
      </c>
      <c r="I5282" t="s">
        <v>24</v>
      </c>
      <c r="J5282" t="s">
        <v>43</v>
      </c>
      <c r="K5282" t="s">
        <v>26</v>
      </c>
      <c r="L5282" t="s">
        <v>44</v>
      </c>
      <c r="M5282">
        <v>13</v>
      </c>
      <c r="N5282" s="2">
        <v>20</v>
      </c>
      <c r="O5282" s="3">
        <v>6464</v>
      </c>
      <c r="P5282">
        <v>1</v>
      </c>
      <c r="Q5282">
        <v>3</v>
      </c>
      <c r="R5282" t="s">
        <v>33</v>
      </c>
      <c r="S5282">
        <v>1</v>
      </c>
    </row>
    <row r="5283" spans="1:19" ht="16.5" x14ac:dyDescent="0.3">
      <c r="A5283" t="s">
        <v>5346</v>
      </c>
      <c r="B5283" s="1">
        <v>45989</v>
      </c>
      <c r="C5283" s="1">
        <v>45993</v>
      </c>
      <c r="D5283">
        <v>2025</v>
      </c>
      <c r="E5283" t="s">
        <v>2026</v>
      </c>
      <c r="F5283" t="s">
        <v>2260</v>
      </c>
      <c r="G5283" t="s">
        <v>83</v>
      </c>
      <c r="H5283" t="s">
        <v>52</v>
      </c>
      <c r="I5283" t="s">
        <v>40</v>
      </c>
      <c r="J5283" t="s">
        <v>25</v>
      </c>
      <c r="K5283" t="s">
        <v>32</v>
      </c>
      <c r="L5283" t="s">
        <v>44</v>
      </c>
      <c r="M5283">
        <v>4</v>
      </c>
      <c r="N5283" s="2"/>
      <c r="O5283" s="3">
        <v>4475</v>
      </c>
      <c r="P5283">
        <v>0</v>
      </c>
      <c r="Q5283">
        <v>3</v>
      </c>
      <c r="R5283" t="s">
        <v>28</v>
      </c>
      <c r="S5283">
        <v>1</v>
      </c>
    </row>
    <row r="5284" spans="1:19" ht="16.5" x14ac:dyDescent="0.3">
      <c r="A5284" t="s">
        <v>5347</v>
      </c>
      <c r="B5284" s="1">
        <v>45989</v>
      </c>
      <c r="C5284" s="1">
        <v>45991</v>
      </c>
      <c r="D5284">
        <v>2025</v>
      </c>
      <c r="E5284" t="s">
        <v>2026</v>
      </c>
      <c r="F5284" t="s">
        <v>2260</v>
      </c>
      <c r="G5284" t="s">
        <v>83</v>
      </c>
      <c r="H5284" t="s">
        <v>23</v>
      </c>
      <c r="I5284" t="s">
        <v>31</v>
      </c>
      <c r="J5284" t="s">
        <v>25</v>
      </c>
      <c r="K5284" t="s">
        <v>26</v>
      </c>
      <c r="L5284" t="s">
        <v>44</v>
      </c>
      <c r="M5284">
        <v>2</v>
      </c>
      <c r="N5284" s="2"/>
      <c r="O5284" s="3">
        <v>1831</v>
      </c>
      <c r="P5284">
        <v>1</v>
      </c>
      <c r="Q5284">
        <v>4</v>
      </c>
      <c r="R5284" t="s">
        <v>33</v>
      </c>
      <c r="S5284">
        <v>1</v>
      </c>
    </row>
    <row r="5285" spans="1:19" ht="16.5" x14ac:dyDescent="0.3">
      <c r="A5285" t="s">
        <v>5348</v>
      </c>
      <c r="B5285" s="1">
        <v>45989</v>
      </c>
      <c r="C5285" s="1">
        <v>45991</v>
      </c>
      <c r="D5285">
        <v>2025</v>
      </c>
      <c r="E5285" t="s">
        <v>2026</v>
      </c>
      <c r="F5285" t="s">
        <v>2260</v>
      </c>
      <c r="G5285" t="s">
        <v>83</v>
      </c>
      <c r="H5285" t="s">
        <v>52</v>
      </c>
      <c r="I5285" t="s">
        <v>40</v>
      </c>
      <c r="J5285" t="s">
        <v>43</v>
      </c>
      <c r="K5285" t="s">
        <v>26</v>
      </c>
      <c r="L5285" t="s">
        <v>44</v>
      </c>
      <c r="M5285">
        <v>2</v>
      </c>
      <c r="N5285" s="2"/>
      <c r="O5285" s="3">
        <v>2835</v>
      </c>
      <c r="P5285">
        <v>0</v>
      </c>
      <c r="Q5285">
        <v>5</v>
      </c>
      <c r="R5285" t="s">
        <v>28</v>
      </c>
      <c r="S5285">
        <v>1</v>
      </c>
    </row>
    <row r="5286" spans="1:19" ht="16.5" x14ac:dyDescent="0.3">
      <c r="A5286" t="s">
        <v>5349</v>
      </c>
      <c r="B5286" s="1">
        <v>45989</v>
      </c>
      <c r="C5286" s="1">
        <v>45992</v>
      </c>
      <c r="D5286">
        <v>2025</v>
      </c>
      <c r="E5286" t="s">
        <v>2026</v>
      </c>
      <c r="F5286" t="s">
        <v>2260</v>
      </c>
      <c r="G5286" t="s">
        <v>83</v>
      </c>
      <c r="H5286" t="s">
        <v>30</v>
      </c>
      <c r="I5286" t="s">
        <v>40</v>
      </c>
      <c r="J5286" t="s">
        <v>25</v>
      </c>
      <c r="K5286" t="s">
        <v>36</v>
      </c>
      <c r="L5286" t="s">
        <v>37</v>
      </c>
      <c r="M5286">
        <v>3</v>
      </c>
      <c r="N5286" s="2"/>
      <c r="O5286" s="3">
        <v>3591</v>
      </c>
      <c r="P5286">
        <v>0</v>
      </c>
      <c r="Q5286">
        <v>4</v>
      </c>
      <c r="R5286" t="s">
        <v>28</v>
      </c>
      <c r="S5286">
        <v>1</v>
      </c>
    </row>
    <row r="5287" spans="1:19" ht="16.5" x14ac:dyDescent="0.3">
      <c r="A5287" t="s">
        <v>5350</v>
      </c>
      <c r="B5287" s="1">
        <v>45990</v>
      </c>
      <c r="C5287" s="1">
        <v>45995</v>
      </c>
      <c r="D5287">
        <v>2025</v>
      </c>
      <c r="E5287" t="s">
        <v>2026</v>
      </c>
      <c r="F5287" t="s">
        <v>2260</v>
      </c>
      <c r="G5287" t="s">
        <v>102</v>
      </c>
      <c r="H5287" t="s">
        <v>30</v>
      </c>
      <c r="I5287" t="s">
        <v>40</v>
      </c>
      <c r="J5287" t="s">
        <v>43</v>
      </c>
      <c r="K5287" t="s">
        <v>32</v>
      </c>
      <c r="L5287" t="s">
        <v>37</v>
      </c>
      <c r="M5287">
        <v>5</v>
      </c>
      <c r="N5287" s="2"/>
      <c r="O5287" s="3">
        <v>5629</v>
      </c>
      <c r="P5287">
        <v>0</v>
      </c>
      <c r="Q5287">
        <v>5</v>
      </c>
      <c r="R5287" t="s">
        <v>33</v>
      </c>
      <c r="S5287">
        <v>1</v>
      </c>
    </row>
    <row r="5288" spans="1:19" ht="16.5" x14ac:dyDescent="0.3">
      <c r="A5288" t="s">
        <v>5351</v>
      </c>
      <c r="B5288" s="1">
        <v>45990</v>
      </c>
      <c r="C5288" s="1">
        <v>45994</v>
      </c>
      <c r="D5288">
        <v>2025</v>
      </c>
      <c r="E5288" t="s">
        <v>2026</v>
      </c>
      <c r="F5288" t="s">
        <v>2260</v>
      </c>
      <c r="G5288" t="s">
        <v>102</v>
      </c>
      <c r="H5288" t="s">
        <v>30</v>
      </c>
      <c r="I5288" t="s">
        <v>24</v>
      </c>
      <c r="J5288" t="s">
        <v>25</v>
      </c>
      <c r="K5288" t="s">
        <v>53</v>
      </c>
      <c r="L5288" t="s">
        <v>27</v>
      </c>
      <c r="M5288">
        <v>4</v>
      </c>
      <c r="N5288" s="2">
        <v>64</v>
      </c>
      <c r="O5288" s="3">
        <v>4613</v>
      </c>
      <c r="P5288">
        <v>0</v>
      </c>
      <c r="Q5288">
        <v>5</v>
      </c>
      <c r="R5288" t="s">
        <v>59</v>
      </c>
      <c r="S5288">
        <v>1</v>
      </c>
    </row>
    <row r="5289" spans="1:19" ht="16.5" x14ac:dyDescent="0.3">
      <c r="A5289" t="s">
        <v>5352</v>
      </c>
      <c r="B5289" s="1">
        <v>45990</v>
      </c>
      <c r="C5289" s="1">
        <v>45992</v>
      </c>
      <c r="D5289">
        <v>2025</v>
      </c>
      <c r="E5289" t="s">
        <v>2026</v>
      </c>
      <c r="F5289" t="s">
        <v>2260</v>
      </c>
      <c r="G5289" t="s">
        <v>102</v>
      </c>
      <c r="H5289" t="s">
        <v>23</v>
      </c>
      <c r="I5289" t="s">
        <v>24</v>
      </c>
      <c r="J5289" t="s">
        <v>43</v>
      </c>
      <c r="K5289" t="s">
        <v>36</v>
      </c>
      <c r="L5289" t="s">
        <v>44</v>
      </c>
      <c r="M5289">
        <v>2</v>
      </c>
      <c r="N5289" s="2">
        <v>56</v>
      </c>
      <c r="O5289" s="3">
        <v>1942</v>
      </c>
      <c r="P5289">
        <v>0</v>
      </c>
      <c r="Q5289">
        <v>4</v>
      </c>
      <c r="R5289" t="s">
        <v>165</v>
      </c>
      <c r="S5289">
        <v>1</v>
      </c>
    </row>
    <row r="5290" spans="1:19" ht="16.5" x14ac:dyDescent="0.3">
      <c r="A5290" t="s">
        <v>5353</v>
      </c>
      <c r="B5290" s="1">
        <v>45990</v>
      </c>
      <c r="C5290" s="1">
        <v>45994</v>
      </c>
      <c r="D5290">
        <v>2025</v>
      </c>
      <c r="E5290" t="s">
        <v>2026</v>
      </c>
      <c r="F5290" t="s">
        <v>2260</v>
      </c>
      <c r="G5290" t="s">
        <v>102</v>
      </c>
      <c r="H5290" t="s">
        <v>23</v>
      </c>
      <c r="I5290" t="s">
        <v>24</v>
      </c>
      <c r="J5290" t="s">
        <v>43</v>
      </c>
      <c r="K5290" t="s">
        <v>32</v>
      </c>
      <c r="L5290" t="s">
        <v>44</v>
      </c>
      <c r="M5290">
        <v>4</v>
      </c>
      <c r="N5290" s="2">
        <v>50</v>
      </c>
      <c r="O5290" s="3">
        <v>2664</v>
      </c>
      <c r="P5290">
        <v>1</v>
      </c>
      <c r="Q5290">
        <v>4</v>
      </c>
      <c r="R5290" t="s">
        <v>33</v>
      </c>
      <c r="S5290">
        <v>1</v>
      </c>
    </row>
    <row r="5291" spans="1:19" ht="16.5" x14ac:dyDescent="0.3">
      <c r="A5291" t="s">
        <v>5354</v>
      </c>
      <c r="B5291" s="1">
        <v>45990</v>
      </c>
      <c r="C5291" s="1">
        <v>45991</v>
      </c>
      <c r="D5291">
        <v>2025</v>
      </c>
      <c r="E5291" t="s">
        <v>2026</v>
      </c>
      <c r="F5291" t="s">
        <v>2260</v>
      </c>
      <c r="G5291" t="s">
        <v>102</v>
      </c>
      <c r="H5291" t="s">
        <v>35</v>
      </c>
      <c r="I5291" t="s">
        <v>40</v>
      </c>
      <c r="J5291" t="s">
        <v>25</v>
      </c>
      <c r="K5291" t="s">
        <v>32</v>
      </c>
      <c r="L5291" t="s">
        <v>37</v>
      </c>
      <c r="M5291">
        <v>1</v>
      </c>
      <c r="N5291" s="2"/>
      <c r="O5291" s="3">
        <v>1380</v>
      </c>
      <c r="P5291">
        <v>0</v>
      </c>
      <c r="Q5291">
        <v>5</v>
      </c>
      <c r="R5291" t="s">
        <v>33</v>
      </c>
      <c r="S5291">
        <v>1</v>
      </c>
    </row>
    <row r="5292" spans="1:19" ht="16.5" x14ac:dyDescent="0.3">
      <c r="A5292" t="s">
        <v>5355</v>
      </c>
      <c r="B5292" s="1">
        <v>45990</v>
      </c>
      <c r="C5292" s="1">
        <v>45991</v>
      </c>
      <c r="D5292">
        <v>2025</v>
      </c>
      <c r="E5292" t="s">
        <v>2026</v>
      </c>
      <c r="F5292" t="s">
        <v>2260</v>
      </c>
      <c r="G5292" t="s">
        <v>102</v>
      </c>
      <c r="H5292" t="s">
        <v>39</v>
      </c>
      <c r="I5292" t="s">
        <v>40</v>
      </c>
      <c r="J5292" t="s">
        <v>43</v>
      </c>
      <c r="K5292" t="s">
        <v>41</v>
      </c>
      <c r="L5292" t="s">
        <v>27</v>
      </c>
      <c r="M5292">
        <v>1</v>
      </c>
      <c r="N5292" s="2"/>
      <c r="O5292" s="3">
        <v>1306</v>
      </c>
      <c r="P5292">
        <v>0</v>
      </c>
      <c r="Q5292">
        <v>3</v>
      </c>
      <c r="R5292" t="s">
        <v>33</v>
      </c>
      <c r="S5292">
        <v>1</v>
      </c>
    </row>
    <row r="5293" spans="1:19" ht="16.5" x14ac:dyDescent="0.3">
      <c r="A5293" t="s">
        <v>5356</v>
      </c>
      <c r="B5293" s="1">
        <v>45991</v>
      </c>
      <c r="C5293" s="1">
        <v>45996</v>
      </c>
      <c r="D5293">
        <v>2025</v>
      </c>
      <c r="E5293" t="s">
        <v>2026</v>
      </c>
      <c r="F5293" t="s">
        <v>2260</v>
      </c>
      <c r="G5293" t="s">
        <v>112</v>
      </c>
      <c r="H5293" t="s">
        <v>23</v>
      </c>
      <c r="I5293" t="s">
        <v>24</v>
      </c>
      <c r="J5293" t="s">
        <v>25</v>
      </c>
      <c r="K5293" t="s">
        <v>26</v>
      </c>
      <c r="L5293" t="s">
        <v>27</v>
      </c>
      <c r="M5293">
        <v>5</v>
      </c>
      <c r="N5293" s="2">
        <v>47</v>
      </c>
      <c r="O5293" s="3">
        <v>3820</v>
      </c>
      <c r="P5293">
        <v>0</v>
      </c>
      <c r="Q5293">
        <v>3</v>
      </c>
      <c r="R5293" t="s">
        <v>28</v>
      </c>
      <c r="S5293">
        <v>1</v>
      </c>
    </row>
    <row r="5294" spans="1:19" ht="16.5" x14ac:dyDescent="0.3">
      <c r="A5294" t="s">
        <v>5357</v>
      </c>
      <c r="B5294" s="1">
        <v>45991</v>
      </c>
      <c r="C5294" s="1">
        <v>45992</v>
      </c>
      <c r="D5294">
        <v>2025</v>
      </c>
      <c r="E5294" t="s">
        <v>2026</v>
      </c>
      <c r="F5294" t="s">
        <v>2260</v>
      </c>
      <c r="G5294" t="s">
        <v>112</v>
      </c>
      <c r="H5294" t="s">
        <v>52</v>
      </c>
      <c r="I5294" t="s">
        <v>40</v>
      </c>
      <c r="J5294" t="s">
        <v>43</v>
      </c>
      <c r="K5294" t="s">
        <v>53</v>
      </c>
      <c r="L5294" t="s">
        <v>44</v>
      </c>
      <c r="M5294">
        <v>1</v>
      </c>
      <c r="N5294" s="2"/>
      <c r="O5294" s="3">
        <v>2016</v>
      </c>
      <c r="P5294">
        <v>0</v>
      </c>
      <c r="Q5294">
        <v>4</v>
      </c>
      <c r="R5294" t="s">
        <v>33</v>
      </c>
      <c r="S5294">
        <v>1</v>
      </c>
    </row>
    <row r="5295" spans="1:19" ht="16.5" x14ac:dyDescent="0.3">
      <c r="A5295" t="s">
        <v>5358</v>
      </c>
      <c r="B5295" s="1">
        <v>45991</v>
      </c>
      <c r="C5295" s="1">
        <v>45993</v>
      </c>
      <c r="D5295">
        <v>2025</v>
      </c>
      <c r="E5295" t="s">
        <v>2026</v>
      </c>
      <c r="F5295" t="s">
        <v>2260</v>
      </c>
      <c r="G5295" t="s">
        <v>112</v>
      </c>
      <c r="H5295" t="s">
        <v>35</v>
      </c>
      <c r="I5295" t="s">
        <v>31</v>
      </c>
      <c r="J5295" t="s">
        <v>25</v>
      </c>
      <c r="K5295" t="s">
        <v>36</v>
      </c>
      <c r="L5295" t="s">
        <v>37</v>
      </c>
      <c r="M5295">
        <v>2</v>
      </c>
      <c r="N5295" s="2"/>
      <c r="O5295" s="3">
        <v>2071</v>
      </c>
      <c r="P5295">
        <v>0</v>
      </c>
      <c r="Q5295">
        <v>4</v>
      </c>
      <c r="R5295" t="s">
        <v>33</v>
      </c>
      <c r="S5295">
        <v>1</v>
      </c>
    </row>
    <row r="5296" spans="1:19" ht="16.5" x14ac:dyDescent="0.3">
      <c r="A5296" t="s">
        <v>5359</v>
      </c>
      <c r="B5296" s="1">
        <v>45991</v>
      </c>
      <c r="C5296" s="1">
        <v>46004</v>
      </c>
      <c r="D5296">
        <v>2025</v>
      </c>
      <c r="E5296" t="s">
        <v>2026</v>
      </c>
      <c r="F5296" t="s">
        <v>2260</v>
      </c>
      <c r="G5296" t="s">
        <v>112</v>
      </c>
      <c r="H5296" t="s">
        <v>23</v>
      </c>
      <c r="I5296" t="s">
        <v>24</v>
      </c>
      <c r="J5296" t="s">
        <v>25</v>
      </c>
      <c r="K5296" t="s">
        <v>53</v>
      </c>
      <c r="L5296" t="s">
        <v>27</v>
      </c>
      <c r="M5296">
        <v>13</v>
      </c>
      <c r="N5296" s="2">
        <v>47</v>
      </c>
      <c r="O5296" s="3">
        <v>9075</v>
      </c>
      <c r="P5296">
        <v>0</v>
      </c>
      <c r="Q5296">
        <v>4</v>
      </c>
      <c r="R5296" t="s">
        <v>33</v>
      </c>
      <c r="S5296">
        <v>1</v>
      </c>
    </row>
    <row r="5297" spans="1:19" ht="16.5" x14ac:dyDescent="0.3">
      <c r="A5297" t="s">
        <v>5360</v>
      </c>
      <c r="B5297" s="1">
        <v>45991</v>
      </c>
      <c r="C5297" s="1">
        <v>45995</v>
      </c>
      <c r="D5297">
        <v>2025</v>
      </c>
      <c r="E5297" t="s">
        <v>2026</v>
      </c>
      <c r="F5297" t="s">
        <v>2260</v>
      </c>
      <c r="G5297" t="s">
        <v>112</v>
      </c>
      <c r="H5297" t="s">
        <v>52</v>
      </c>
      <c r="I5297" t="s">
        <v>40</v>
      </c>
      <c r="J5297" t="s">
        <v>25</v>
      </c>
      <c r="K5297" t="s">
        <v>53</v>
      </c>
      <c r="L5297" t="s">
        <v>27</v>
      </c>
      <c r="M5297">
        <v>4</v>
      </c>
      <c r="N5297" s="2"/>
      <c r="O5297" s="3">
        <v>4825</v>
      </c>
      <c r="P5297">
        <v>0</v>
      </c>
      <c r="Q5297">
        <v>5</v>
      </c>
      <c r="R5297" t="s">
        <v>28</v>
      </c>
      <c r="S5297">
        <v>1</v>
      </c>
    </row>
    <row r="5298" spans="1:19" ht="16.5" x14ac:dyDescent="0.3">
      <c r="A5298" t="s">
        <v>5361</v>
      </c>
      <c r="B5298" s="1">
        <v>45992</v>
      </c>
      <c r="C5298" s="1">
        <v>45995</v>
      </c>
      <c r="D5298">
        <v>2025</v>
      </c>
      <c r="E5298" t="s">
        <v>2026</v>
      </c>
      <c r="F5298" t="s">
        <v>2496</v>
      </c>
      <c r="G5298" t="s">
        <v>22</v>
      </c>
      <c r="H5298" t="s">
        <v>39</v>
      </c>
      <c r="I5298" t="s">
        <v>24</v>
      </c>
      <c r="J5298" t="s">
        <v>25</v>
      </c>
      <c r="K5298" t="s">
        <v>41</v>
      </c>
      <c r="L5298" t="s">
        <v>44</v>
      </c>
      <c r="M5298">
        <v>3</v>
      </c>
      <c r="N5298" s="2">
        <v>54</v>
      </c>
      <c r="O5298" s="3">
        <v>2564</v>
      </c>
      <c r="P5298">
        <v>0</v>
      </c>
      <c r="Q5298">
        <v>4</v>
      </c>
      <c r="R5298" t="s">
        <v>33</v>
      </c>
      <c r="S5298">
        <v>1</v>
      </c>
    </row>
    <row r="5299" spans="1:19" ht="16.5" x14ac:dyDescent="0.3">
      <c r="A5299" t="s">
        <v>5362</v>
      </c>
      <c r="B5299" s="1">
        <v>45992</v>
      </c>
      <c r="C5299" s="1">
        <v>45995</v>
      </c>
      <c r="D5299">
        <v>2025</v>
      </c>
      <c r="E5299" t="s">
        <v>2026</v>
      </c>
      <c r="F5299" t="s">
        <v>2496</v>
      </c>
      <c r="G5299" t="s">
        <v>22</v>
      </c>
      <c r="H5299" t="s">
        <v>23</v>
      </c>
      <c r="I5299" t="s">
        <v>24</v>
      </c>
      <c r="J5299" t="s">
        <v>25</v>
      </c>
      <c r="K5299" t="s">
        <v>26</v>
      </c>
      <c r="L5299" t="s">
        <v>27</v>
      </c>
      <c r="M5299">
        <v>3</v>
      </c>
      <c r="N5299" s="2">
        <v>73</v>
      </c>
      <c r="O5299" s="3">
        <v>3079</v>
      </c>
      <c r="P5299">
        <v>0</v>
      </c>
      <c r="Q5299">
        <v>4</v>
      </c>
      <c r="R5299" t="s">
        <v>33</v>
      </c>
      <c r="S5299">
        <v>1</v>
      </c>
    </row>
    <row r="5300" spans="1:19" ht="16.5" x14ac:dyDescent="0.3">
      <c r="A5300" t="s">
        <v>5363</v>
      </c>
      <c r="B5300" s="1">
        <v>45992</v>
      </c>
      <c r="C5300" s="1">
        <v>45995</v>
      </c>
      <c r="D5300">
        <v>2025</v>
      </c>
      <c r="E5300" t="s">
        <v>2026</v>
      </c>
      <c r="F5300" t="s">
        <v>2496</v>
      </c>
      <c r="G5300" t="s">
        <v>22</v>
      </c>
      <c r="H5300" t="s">
        <v>52</v>
      </c>
      <c r="I5300" t="s">
        <v>40</v>
      </c>
      <c r="J5300" t="s">
        <v>25</v>
      </c>
      <c r="K5300" t="s">
        <v>53</v>
      </c>
      <c r="L5300" t="s">
        <v>44</v>
      </c>
      <c r="M5300">
        <v>3</v>
      </c>
      <c r="N5300" s="2"/>
      <c r="O5300" s="3">
        <v>4420</v>
      </c>
      <c r="P5300">
        <v>0</v>
      </c>
      <c r="Q5300">
        <v>5</v>
      </c>
      <c r="R5300" t="s">
        <v>33</v>
      </c>
      <c r="S5300">
        <v>1</v>
      </c>
    </row>
    <row r="5301" spans="1:19" ht="16.5" x14ac:dyDescent="0.3">
      <c r="A5301" t="s">
        <v>5364</v>
      </c>
      <c r="B5301" s="1">
        <v>45992</v>
      </c>
      <c r="C5301" s="1">
        <v>46002</v>
      </c>
      <c r="D5301">
        <v>2025</v>
      </c>
      <c r="E5301" t="s">
        <v>2026</v>
      </c>
      <c r="F5301" t="s">
        <v>2496</v>
      </c>
      <c r="G5301" t="s">
        <v>22</v>
      </c>
      <c r="H5301" t="s">
        <v>30</v>
      </c>
      <c r="I5301" t="s">
        <v>40</v>
      </c>
      <c r="J5301" t="s">
        <v>43</v>
      </c>
      <c r="K5301" t="s">
        <v>26</v>
      </c>
      <c r="L5301" t="s">
        <v>44</v>
      </c>
      <c r="M5301">
        <v>10</v>
      </c>
      <c r="N5301" s="2"/>
      <c r="O5301" s="3">
        <v>10416</v>
      </c>
      <c r="P5301">
        <v>0</v>
      </c>
      <c r="Q5301">
        <v>4</v>
      </c>
      <c r="R5301" t="s">
        <v>28</v>
      </c>
      <c r="S5301">
        <v>1</v>
      </c>
    </row>
    <row r="5302" spans="1:19" ht="16.5" x14ac:dyDescent="0.3">
      <c r="A5302" t="s">
        <v>5365</v>
      </c>
      <c r="B5302" s="1">
        <v>45992</v>
      </c>
      <c r="C5302" s="1">
        <v>45994</v>
      </c>
      <c r="D5302">
        <v>2025</v>
      </c>
      <c r="E5302" t="s">
        <v>2026</v>
      </c>
      <c r="F5302" t="s">
        <v>2496</v>
      </c>
      <c r="G5302" t="s">
        <v>22</v>
      </c>
      <c r="H5302" t="s">
        <v>39</v>
      </c>
      <c r="I5302" t="s">
        <v>24</v>
      </c>
      <c r="J5302" t="s">
        <v>25</v>
      </c>
      <c r="K5302" t="s">
        <v>41</v>
      </c>
      <c r="L5302" t="s">
        <v>27</v>
      </c>
      <c r="M5302">
        <v>2</v>
      </c>
      <c r="N5302" s="2">
        <v>17</v>
      </c>
      <c r="O5302" s="3">
        <v>1997</v>
      </c>
      <c r="P5302">
        <v>0</v>
      </c>
      <c r="Q5302">
        <v>5</v>
      </c>
      <c r="R5302" t="s">
        <v>28</v>
      </c>
      <c r="S5302">
        <v>1</v>
      </c>
    </row>
    <row r="5303" spans="1:19" ht="16.5" x14ac:dyDescent="0.3">
      <c r="A5303" t="s">
        <v>5366</v>
      </c>
      <c r="B5303" s="1">
        <v>45992</v>
      </c>
      <c r="C5303" s="1">
        <v>45996</v>
      </c>
      <c r="D5303">
        <v>2025</v>
      </c>
      <c r="E5303" t="s">
        <v>2026</v>
      </c>
      <c r="F5303" t="s">
        <v>2496</v>
      </c>
      <c r="G5303" t="s">
        <v>22</v>
      </c>
      <c r="H5303" t="s">
        <v>23</v>
      </c>
      <c r="I5303" t="s">
        <v>40</v>
      </c>
      <c r="J5303" t="s">
        <v>43</v>
      </c>
      <c r="K5303" t="s">
        <v>36</v>
      </c>
      <c r="L5303" t="s">
        <v>27</v>
      </c>
      <c r="M5303">
        <v>4</v>
      </c>
      <c r="N5303" s="2"/>
      <c r="O5303" s="3">
        <v>3965</v>
      </c>
      <c r="P5303">
        <v>0</v>
      </c>
      <c r="Q5303">
        <v>5</v>
      </c>
      <c r="R5303" t="s">
        <v>33</v>
      </c>
      <c r="S5303">
        <v>1</v>
      </c>
    </row>
    <row r="5304" spans="1:19" ht="16.5" x14ac:dyDescent="0.3">
      <c r="A5304" t="s">
        <v>5367</v>
      </c>
      <c r="B5304" s="1">
        <v>45992</v>
      </c>
      <c r="C5304" s="1">
        <v>45995</v>
      </c>
      <c r="D5304">
        <v>2025</v>
      </c>
      <c r="E5304" t="s">
        <v>2026</v>
      </c>
      <c r="F5304" t="s">
        <v>2496</v>
      </c>
      <c r="G5304" t="s">
        <v>22</v>
      </c>
      <c r="H5304" t="s">
        <v>30</v>
      </c>
      <c r="I5304" t="s">
        <v>40</v>
      </c>
      <c r="J5304" t="s">
        <v>43</v>
      </c>
      <c r="K5304" t="s">
        <v>53</v>
      </c>
      <c r="L5304" t="s">
        <v>27</v>
      </c>
      <c r="M5304">
        <v>3</v>
      </c>
      <c r="N5304" s="2"/>
      <c r="O5304" s="3">
        <v>5213</v>
      </c>
      <c r="P5304">
        <v>0</v>
      </c>
      <c r="Q5304">
        <v>4</v>
      </c>
      <c r="R5304" t="s">
        <v>33</v>
      </c>
      <c r="S5304">
        <v>1</v>
      </c>
    </row>
    <row r="5305" spans="1:19" ht="16.5" x14ac:dyDescent="0.3">
      <c r="A5305" t="s">
        <v>5368</v>
      </c>
      <c r="B5305" s="1">
        <v>45992</v>
      </c>
      <c r="C5305" s="1">
        <v>45994</v>
      </c>
      <c r="D5305">
        <v>2025</v>
      </c>
      <c r="E5305" t="s">
        <v>2026</v>
      </c>
      <c r="F5305" t="s">
        <v>2496</v>
      </c>
      <c r="G5305" t="s">
        <v>22</v>
      </c>
      <c r="H5305" t="s">
        <v>35</v>
      </c>
      <c r="I5305" t="s">
        <v>24</v>
      </c>
      <c r="J5305" t="s">
        <v>25</v>
      </c>
      <c r="K5305" t="s">
        <v>36</v>
      </c>
      <c r="L5305" t="s">
        <v>44</v>
      </c>
      <c r="M5305">
        <v>2</v>
      </c>
      <c r="N5305" s="2">
        <v>70</v>
      </c>
      <c r="O5305" s="3">
        <v>2556</v>
      </c>
      <c r="P5305">
        <v>0</v>
      </c>
      <c r="Q5305">
        <v>5</v>
      </c>
      <c r="R5305" t="s">
        <v>28</v>
      </c>
      <c r="S5305">
        <v>1</v>
      </c>
    </row>
    <row r="5306" spans="1:19" ht="16.5" x14ac:dyDescent="0.3">
      <c r="A5306" t="s">
        <v>5369</v>
      </c>
      <c r="B5306" s="1">
        <v>45993</v>
      </c>
      <c r="C5306" s="1">
        <v>45996</v>
      </c>
      <c r="D5306">
        <v>2025</v>
      </c>
      <c r="E5306" t="s">
        <v>2026</v>
      </c>
      <c r="F5306" t="s">
        <v>2496</v>
      </c>
      <c r="G5306" t="s">
        <v>56</v>
      </c>
      <c r="H5306" t="s">
        <v>30</v>
      </c>
      <c r="I5306" t="s">
        <v>40</v>
      </c>
      <c r="J5306" t="s">
        <v>43</v>
      </c>
      <c r="K5306" t="s">
        <v>26</v>
      </c>
      <c r="L5306" t="s">
        <v>44</v>
      </c>
      <c r="M5306">
        <v>3</v>
      </c>
      <c r="N5306" s="2"/>
      <c r="O5306" s="3">
        <v>2663</v>
      </c>
      <c r="P5306">
        <v>0</v>
      </c>
      <c r="Q5306">
        <v>5</v>
      </c>
      <c r="R5306" t="s">
        <v>33</v>
      </c>
      <c r="S5306">
        <v>1</v>
      </c>
    </row>
    <row r="5307" spans="1:19" ht="16.5" x14ac:dyDescent="0.3">
      <c r="A5307" t="s">
        <v>5370</v>
      </c>
      <c r="B5307" s="1">
        <v>45993</v>
      </c>
      <c r="C5307" s="1">
        <v>45996</v>
      </c>
      <c r="D5307">
        <v>2025</v>
      </c>
      <c r="E5307" t="s">
        <v>2026</v>
      </c>
      <c r="F5307" t="s">
        <v>2496</v>
      </c>
      <c r="G5307" t="s">
        <v>56</v>
      </c>
      <c r="H5307" t="s">
        <v>50</v>
      </c>
      <c r="I5307" t="s">
        <v>24</v>
      </c>
      <c r="J5307" t="s">
        <v>43</v>
      </c>
      <c r="K5307" t="s">
        <v>53</v>
      </c>
      <c r="L5307" t="s">
        <v>27</v>
      </c>
      <c r="M5307">
        <v>3</v>
      </c>
      <c r="N5307" s="2">
        <v>95</v>
      </c>
      <c r="O5307" s="3">
        <v>4521</v>
      </c>
      <c r="P5307">
        <v>0</v>
      </c>
      <c r="Q5307">
        <v>3</v>
      </c>
      <c r="R5307" t="s">
        <v>33</v>
      </c>
      <c r="S5307">
        <v>1</v>
      </c>
    </row>
    <row r="5308" spans="1:19" ht="16.5" x14ac:dyDescent="0.3">
      <c r="A5308" t="s">
        <v>5371</v>
      </c>
      <c r="B5308" s="1">
        <v>45993</v>
      </c>
      <c r="C5308" s="1">
        <v>46002</v>
      </c>
      <c r="D5308">
        <v>2025</v>
      </c>
      <c r="E5308" t="s">
        <v>2026</v>
      </c>
      <c r="F5308" t="s">
        <v>2496</v>
      </c>
      <c r="G5308" t="s">
        <v>56</v>
      </c>
      <c r="H5308" t="s">
        <v>23</v>
      </c>
      <c r="I5308" t="s">
        <v>31</v>
      </c>
      <c r="J5308" t="s">
        <v>25</v>
      </c>
      <c r="K5308" t="s">
        <v>26</v>
      </c>
      <c r="L5308" t="s">
        <v>44</v>
      </c>
      <c r="M5308">
        <v>9</v>
      </c>
      <c r="N5308" s="2"/>
      <c r="O5308" s="3">
        <v>7215</v>
      </c>
      <c r="P5308">
        <v>0</v>
      </c>
      <c r="Q5308">
        <v>5</v>
      </c>
      <c r="R5308" t="s">
        <v>33</v>
      </c>
      <c r="S5308">
        <v>1</v>
      </c>
    </row>
    <row r="5309" spans="1:19" ht="16.5" x14ac:dyDescent="0.3">
      <c r="A5309" t="s">
        <v>5372</v>
      </c>
      <c r="B5309" s="1">
        <v>45993</v>
      </c>
      <c r="C5309" s="1">
        <v>46004</v>
      </c>
      <c r="D5309">
        <v>2025</v>
      </c>
      <c r="E5309" t="s">
        <v>2026</v>
      </c>
      <c r="F5309" t="s">
        <v>2496</v>
      </c>
      <c r="G5309" t="s">
        <v>56</v>
      </c>
      <c r="H5309" t="s">
        <v>23</v>
      </c>
      <c r="I5309" t="s">
        <v>24</v>
      </c>
      <c r="J5309" t="s">
        <v>25</v>
      </c>
      <c r="K5309" t="s">
        <v>53</v>
      </c>
      <c r="L5309" t="s">
        <v>37</v>
      </c>
      <c r="M5309">
        <v>11</v>
      </c>
      <c r="N5309" s="2">
        <v>129</v>
      </c>
      <c r="O5309" s="3">
        <v>8665</v>
      </c>
      <c r="P5309">
        <v>0</v>
      </c>
      <c r="Q5309">
        <v>4</v>
      </c>
      <c r="R5309" t="s">
        <v>33</v>
      </c>
      <c r="S5309">
        <v>1</v>
      </c>
    </row>
    <row r="5310" spans="1:19" ht="16.5" x14ac:dyDescent="0.3">
      <c r="A5310" t="s">
        <v>5373</v>
      </c>
      <c r="B5310" s="1">
        <v>45993</v>
      </c>
      <c r="C5310" s="1">
        <v>45994</v>
      </c>
      <c r="D5310">
        <v>2025</v>
      </c>
      <c r="E5310" t="s">
        <v>2026</v>
      </c>
      <c r="F5310" t="s">
        <v>2496</v>
      </c>
      <c r="G5310" t="s">
        <v>56</v>
      </c>
      <c r="H5310" t="s">
        <v>39</v>
      </c>
      <c r="I5310" t="s">
        <v>31</v>
      </c>
      <c r="J5310" t="s">
        <v>25</v>
      </c>
      <c r="K5310" t="s">
        <v>41</v>
      </c>
      <c r="L5310" t="s">
        <v>37</v>
      </c>
      <c r="M5310">
        <v>1</v>
      </c>
      <c r="N5310" s="2"/>
      <c r="O5310" s="3">
        <v>1438</v>
      </c>
      <c r="P5310">
        <v>0</v>
      </c>
      <c r="Q5310">
        <v>4</v>
      </c>
      <c r="R5310" t="s">
        <v>28</v>
      </c>
      <c r="S5310">
        <v>1</v>
      </c>
    </row>
    <row r="5311" spans="1:19" ht="16.5" x14ac:dyDescent="0.3">
      <c r="A5311" t="s">
        <v>5374</v>
      </c>
      <c r="B5311" s="1">
        <v>45993</v>
      </c>
      <c r="C5311" s="1">
        <v>46004</v>
      </c>
      <c r="D5311">
        <v>2025</v>
      </c>
      <c r="E5311" t="s">
        <v>2026</v>
      </c>
      <c r="F5311" t="s">
        <v>2496</v>
      </c>
      <c r="G5311" t="s">
        <v>56</v>
      </c>
      <c r="H5311" t="s">
        <v>23</v>
      </c>
      <c r="I5311" t="s">
        <v>40</v>
      </c>
      <c r="J5311" t="s">
        <v>25</v>
      </c>
      <c r="K5311" t="s">
        <v>53</v>
      </c>
      <c r="L5311" t="s">
        <v>44</v>
      </c>
      <c r="M5311">
        <v>11</v>
      </c>
      <c r="N5311" s="2"/>
      <c r="O5311" s="3">
        <v>7773</v>
      </c>
      <c r="P5311">
        <v>0</v>
      </c>
      <c r="Q5311">
        <v>4</v>
      </c>
      <c r="R5311" t="s">
        <v>33</v>
      </c>
      <c r="S5311">
        <v>1</v>
      </c>
    </row>
    <row r="5312" spans="1:19" ht="16.5" x14ac:dyDescent="0.3">
      <c r="A5312" t="s">
        <v>5375</v>
      </c>
      <c r="B5312" s="1">
        <v>45993</v>
      </c>
      <c r="C5312" s="1">
        <v>46001</v>
      </c>
      <c r="D5312">
        <v>2025</v>
      </c>
      <c r="E5312" t="s">
        <v>2026</v>
      </c>
      <c r="F5312" t="s">
        <v>2496</v>
      </c>
      <c r="G5312" t="s">
        <v>56</v>
      </c>
      <c r="H5312" t="s">
        <v>23</v>
      </c>
      <c r="I5312" t="s">
        <v>40</v>
      </c>
      <c r="J5312" t="s">
        <v>25</v>
      </c>
      <c r="K5312" t="s">
        <v>53</v>
      </c>
      <c r="L5312" t="s">
        <v>44</v>
      </c>
      <c r="M5312">
        <v>8</v>
      </c>
      <c r="N5312" s="2"/>
      <c r="O5312" s="3">
        <v>6664</v>
      </c>
      <c r="P5312">
        <v>0</v>
      </c>
      <c r="Q5312">
        <v>5</v>
      </c>
      <c r="R5312" t="s">
        <v>28</v>
      </c>
      <c r="S5312">
        <v>1</v>
      </c>
    </row>
    <row r="5313" spans="1:19" ht="16.5" x14ac:dyDescent="0.3">
      <c r="A5313" t="s">
        <v>5376</v>
      </c>
      <c r="B5313" s="1">
        <v>45993</v>
      </c>
      <c r="C5313" s="1">
        <v>45995</v>
      </c>
      <c r="D5313">
        <v>2025</v>
      </c>
      <c r="E5313" t="s">
        <v>2026</v>
      </c>
      <c r="F5313" t="s">
        <v>2496</v>
      </c>
      <c r="G5313" t="s">
        <v>56</v>
      </c>
      <c r="H5313" t="s">
        <v>23</v>
      </c>
      <c r="I5313" t="s">
        <v>40</v>
      </c>
      <c r="J5313" t="s">
        <v>25</v>
      </c>
      <c r="K5313" t="s">
        <v>53</v>
      </c>
      <c r="L5313" t="s">
        <v>27</v>
      </c>
      <c r="M5313">
        <v>2</v>
      </c>
      <c r="N5313" s="2"/>
      <c r="O5313" s="3">
        <v>1633</v>
      </c>
      <c r="P5313">
        <v>0</v>
      </c>
      <c r="Q5313">
        <v>5</v>
      </c>
      <c r="R5313" t="s">
        <v>33</v>
      </c>
      <c r="S5313">
        <v>1</v>
      </c>
    </row>
    <row r="5314" spans="1:19" ht="16.5" x14ac:dyDescent="0.3">
      <c r="A5314" t="s">
        <v>5377</v>
      </c>
      <c r="B5314" s="1">
        <v>45993</v>
      </c>
      <c r="C5314" s="1">
        <v>46000</v>
      </c>
      <c r="D5314">
        <v>2025</v>
      </c>
      <c r="E5314" t="s">
        <v>2026</v>
      </c>
      <c r="F5314" t="s">
        <v>2496</v>
      </c>
      <c r="G5314" t="s">
        <v>56</v>
      </c>
      <c r="H5314" t="s">
        <v>39</v>
      </c>
      <c r="I5314" t="s">
        <v>24</v>
      </c>
      <c r="J5314" t="s">
        <v>25</v>
      </c>
      <c r="K5314" t="s">
        <v>41</v>
      </c>
      <c r="L5314" t="s">
        <v>44</v>
      </c>
      <c r="M5314">
        <v>7</v>
      </c>
      <c r="N5314" s="2">
        <v>61</v>
      </c>
      <c r="O5314" s="3">
        <v>5553</v>
      </c>
      <c r="P5314">
        <v>0</v>
      </c>
      <c r="Q5314">
        <v>4</v>
      </c>
      <c r="R5314" t="s">
        <v>33</v>
      </c>
      <c r="S5314">
        <v>1</v>
      </c>
    </row>
    <row r="5315" spans="1:19" ht="16.5" x14ac:dyDescent="0.3">
      <c r="A5315" t="s">
        <v>5378</v>
      </c>
      <c r="B5315" s="1">
        <v>45993</v>
      </c>
      <c r="C5315" s="1">
        <v>45998</v>
      </c>
      <c r="D5315">
        <v>2025</v>
      </c>
      <c r="E5315" t="s">
        <v>2026</v>
      </c>
      <c r="F5315" t="s">
        <v>2496</v>
      </c>
      <c r="G5315" t="s">
        <v>56</v>
      </c>
      <c r="H5315" t="s">
        <v>23</v>
      </c>
      <c r="I5315" t="s">
        <v>40</v>
      </c>
      <c r="J5315" t="s">
        <v>25</v>
      </c>
      <c r="K5315" t="s">
        <v>26</v>
      </c>
      <c r="L5315" t="s">
        <v>37</v>
      </c>
      <c r="M5315">
        <v>5</v>
      </c>
      <c r="N5315" s="2"/>
      <c r="O5315" s="3">
        <v>4163</v>
      </c>
      <c r="P5315">
        <v>0</v>
      </c>
      <c r="Q5315">
        <v>4</v>
      </c>
      <c r="R5315" t="s">
        <v>33</v>
      </c>
      <c r="S5315">
        <v>1</v>
      </c>
    </row>
    <row r="5316" spans="1:19" ht="16.5" x14ac:dyDescent="0.3">
      <c r="A5316" t="s">
        <v>5379</v>
      </c>
      <c r="B5316" s="1">
        <v>45993</v>
      </c>
      <c r="C5316" s="1">
        <v>45994</v>
      </c>
      <c r="D5316">
        <v>2025</v>
      </c>
      <c r="E5316" t="s">
        <v>2026</v>
      </c>
      <c r="F5316" t="s">
        <v>2496</v>
      </c>
      <c r="G5316" t="s">
        <v>56</v>
      </c>
      <c r="H5316" t="s">
        <v>23</v>
      </c>
      <c r="I5316" t="s">
        <v>24</v>
      </c>
      <c r="J5316" t="s">
        <v>43</v>
      </c>
      <c r="K5316" t="s">
        <v>26</v>
      </c>
      <c r="L5316" t="s">
        <v>37</v>
      </c>
      <c r="M5316">
        <v>1</v>
      </c>
      <c r="N5316" s="2">
        <v>34</v>
      </c>
      <c r="O5316" s="3">
        <v>1581</v>
      </c>
      <c r="P5316">
        <v>0</v>
      </c>
      <c r="Q5316">
        <v>4</v>
      </c>
      <c r="R5316" t="s">
        <v>59</v>
      </c>
      <c r="S5316">
        <v>1</v>
      </c>
    </row>
    <row r="5317" spans="1:19" ht="16.5" x14ac:dyDescent="0.3">
      <c r="A5317" t="s">
        <v>5380</v>
      </c>
      <c r="B5317" s="1">
        <v>45993</v>
      </c>
      <c r="C5317" s="1">
        <v>45997</v>
      </c>
      <c r="D5317">
        <v>2025</v>
      </c>
      <c r="E5317" t="s">
        <v>2026</v>
      </c>
      <c r="F5317" t="s">
        <v>2496</v>
      </c>
      <c r="G5317" t="s">
        <v>56</v>
      </c>
      <c r="H5317" t="s">
        <v>52</v>
      </c>
      <c r="I5317" t="s">
        <v>40</v>
      </c>
      <c r="J5317" t="s">
        <v>25</v>
      </c>
      <c r="K5317" t="s">
        <v>26</v>
      </c>
      <c r="L5317" t="s">
        <v>37</v>
      </c>
      <c r="M5317">
        <v>4</v>
      </c>
      <c r="N5317" s="2"/>
      <c r="O5317" s="3">
        <v>4802</v>
      </c>
      <c r="P5317">
        <v>0</v>
      </c>
      <c r="Q5317">
        <v>5</v>
      </c>
      <c r="R5317" t="s">
        <v>33</v>
      </c>
      <c r="S5317">
        <v>1</v>
      </c>
    </row>
    <row r="5318" spans="1:19" ht="16.5" x14ac:dyDescent="0.3">
      <c r="A5318" t="s">
        <v>5381</v>
      </c>
      <c r="B5318" s="1">
        <v>45993</v>
      </c>
      <c r="C5318" s="1">
        <v>45995</v>
      </c>
      <c r="D5318">
        <v>2025</v>
      </c>
      <c r="E5318" t="s">
        <v>2026</v>
      </c>
      <c r="F5318" t="s">
        <v>2496</v>
      </c>
      <c r="G5318" t="s">
        <v>56</v>
      </c>
      <c r="H5318" t="s">
        <v>23</v>
      </c>
      <c r="I5318" t="s">
        <v>40</v>
      </c>
      <c r="J5318" t="s">
        <v>25</v>
      </c>
      <c r="K5318" t="s">
        <v>26</v>
      </c>
      <c r="L5318" t="s">
        <v>37</v>
      </c>
      <c r="M5318">
        <v>2</v>
      </c>
      <c r="N5318" s="2"/>
      <c r="O5318" s="3">
        <v>1736</v>
      </c>
      <c r="P5318">
        <v>0</v>
      </c>
      <c r="Q5318">
        <v>5</v>
      </c>
      <c r="R5318" t="s">
        <v>33</v>
      </c>
      <c r="S5318">
        <v>1</v>
      </c>
    </row>
    <row r="5319" spans="1:19" ht="16.5" x14ac:dyDescent="0.3">
      <c r="A5319" t="s">
        <v>5382</v>
      </c>
      <c r="B5319" s="1">
        <v>45994</v>
      </c>
      <c r="C5319" s="1">
        <v>45997</v>
      </c>
      <c r="D5319">
        <v>2025</v>
      </c>
      <c r="E5319" t="s">
        <v>2026</v>
      </c>
      <c r="F5319" t="s">
        <v>2496</v>
      </c>
      <c r="G5319" t="s">
        <v>70</v>
      </c>
      <c r="H5319" t="s">
        <v>30</v>
      </c>
      <c r="I5319" t="s">
        <v>24</v>
      </c>
      <c r="J5319" t="s">
        <v>25</v>
      </c>
      <c r="K5319" t="s">
        <v>53</v>
      </c>
      <c r="L5319" t="s">
        <v>27</v>
      </c>
      <c r="M5319">
        <v>3</v>
      </c>
      <c r="N5319" s="2">
        <v>72</v>
      </c>
      <c r="O5319" s="3">
        <v>4918</v>
      </c>
      <c r="P5319">
        <v>1</v>
      </c>
      <c r="Q5319">
        <v>4</v>
      </c>
      <c r="R5319" t="s">
        <v>33</v>
      </c>
      <c r="S5319">
        <v>1</v>
      </c>
    </row>
    <row r="5320" spans="1:19" ht="16.5" x14ac:dyDescent="0.3">
      <c r="A5320" t="s">
        <v>5383</v>
      </c>
      <c r="B5320" s="1">
        <v>45994</v>
      </c>
      <c r="C5320" s="1">
        <v>45998</v>
      </c>
      <c r="D5320">
        <v>2025</v>
      </c>
      <c r="E5320" t="s">
        <v>2026</v>
      </c>
      <c r="F5320" t="s">
        <v>2496</v>
      </c>
      <c r="G5320" t="s">
        <v>70</v>
      </c>
      <c r="H5320" t="s">
        <v>30</v>
      </c>
      <c r="I5320" t="s">
        <v>40</v>
      </c>
      <c r="J5320" t="s">
        <v>25</v>
      </c>
      <c r="K5320" t="s">
        <v>32</v>
      </c>
      <c r="L5320" t="s">
        <v>27</v>
      </c>
      <c r="M5320">
        <v>4</v>
      </c>
      <c r="N5320" s="2"/>
      <c r="O5320" s="3">
        <v>6035</v>
      </c>
      <c r="P5320">
        <v>0</v>
      </c>
      <c r="Q5320">
        <v>4</v>
      </c>
      <c r="R5320" t="s">
        <v>33</v>
      </c>
      <c r="S5320">
        <v>1</v>
      </c>
    </row>
    <row r="5321" spans="1:19" ht="16.5" x14ac:dyDescent="0.3">
      <c r="A5321" t="s">
        <v>5384</v>
      </c>
      <c r="B5321" s="1">
        <v>45994</v>
      </c>
      <c r="C5321" s="1">
        <v>45995</v>
      </c>
      <c r="D5321">
        <v>2025</v>
      </c>
      <c r="E5321" t="s">
        <v>2026</v>
      </c>
      <c r="F5321" t="s">
        <v>2496</v>
      </c>
      <c r="G5321" t="s">
        <v>70</v>
      </c>
      <c r="H5321" t="s">
        <v>52</v>
      </c>
      <c r="I5321" t="s">
        <v>24</v>
      </c>
      <c r="J5321" t="s">
        <v>43</v>
      </c>
      <c r="K5321" t="s">
        <v>32</v>
      </c>
      <c r="L5321" t="s">
        <v>27</v>
      </c>
      <c r="M5321">
        <v>1</v>
      </c>
      <c r="N5321" s="2">
        <v>46</v>
      </c>
      <c r="O5321" s="3">
        <v>2098</v>
      </c>
      <c r="P5321">
        <v>0</v>
      </c>
      <c r="Q5321">
        <v>4</v>
      </c>
      <c r="R5321" t="s">
        <v>28</v>
      </c>
      <c r="S5321">
        <v>1</v>
      </c>
    </row>
    <row r="5322" spans="1:19" ht="16.5" x14ac:dyDescent="0.3">
      <c r="A5322" t="s">
        <v>5385</v>
      </c>
      <c r="B5322" s="1">
        <v>45994</v>
      </c>
      <c r="C5322" s="1">
        <v>45996</v>
      </c>
      <c r="D5322">
        <v>2025</v>
      </c>
      <c r="E5322" t="s">
        <v>2026</v>
      </c>
      <c r="F5322" t="s">
        <v>2496</v>
      </c>
      <c r="G5322" t="s">
        <v>70</v>
      </c>
      <c r="H5322" t="s">
        <v>35</v>
      </c>
      <c r="I5322" t="s">
        <v>40</v>
      </c>
      <c r="J5322" t="s">
        <v>25</v>
      </c>
      <c r="K5322" t="s">
        <v>36</v>
      </c>
      <c r="L5322" t="s">
        <v>27</v>
      </c>
      <c r="M5322">
        <v>2</v>
      </c>
      <c r="N5322" s="2"/>
      <c r="O5322" s="3">
        <v>1587</v>
      </c>
      <c r="P5322">
        <v>0</v>
      </c>
      <c r="Q5322">
        <v>4</v>
      </c>
      <c r="R5322" t="s">
        <v>33</v>
      </c>
      <c r="S5322">
        <v>1</v>
      </c>
    </row>
    <row r="5323" spans="1:19" ht="16.5" x14ac:dyDescent="0.3">
      <c r="A5323" t="s">
        <v>5386</v>
      </c>
      <c r="B5323" s="1">
        <v>45994</v>
      </c>
      <c r="C5323" s="1">
        <v>45998</v>
      </c>
      <c r="D5323">
        <v>2025</v>
      </c>
      <c r="E5323" t="s">
        <v>2026</v>
      </c>
      <c r="F5323" t="s">
        <v>2496</v>
      </c>
      <c r="G5323" t="s">
        <v>70</v>
      </c>
      <c r="H5323" t="s">
        <v>39</v>
      </c>
      <c r="I5323" t="s">
        <v>24</v>
      </c>
      <c r="J5323" t="s">
        <v>43</v>
      </c>
      <c r="K5323" t="s">
        <v>41</v>
      </c>
      <c r="L5323" t="s">
        <v>27</v>
      </c>
      <c r="M5323">
        <v>4</v>
      </c>
      <c r="N5323" s="2">
        <v>138</v>
      </c>
      <c r="O5323" s="3">
        <v>3270</v>
      </c>
      <c r="P5323">
        <v>0</v>
      </c>
      <c r="Q5323">
        <v>3</v>
      </c>
      <c r="R5323" t="s">
        <v>33</v>
      </c>
      <c r="S5323">
        <v>1</v>
      </c>
    </row>
    <row r="5324" spans="1:19" ht="16.5" x14ac:dyDescent="0.3">
      <c r="A5324" t="s">
        <v>5387</v>
      </c>
      <c r="B5324" s="1">
        <v>45994</v>
      </c>
      <c r="C5324" s="1">
        <v>45995</v>
      </c>
      <c r="D5324">
        <v>2025</v>
      </c>
      <c r="E5324" t="s">
        <v>2026</v>
      </c>
      <c r="F5324" t="s">
        <v>2496</v>
      </c>
      <c r="G5324" t="s">
        <v>70</v>
      </c>
      <c r="H5324" t="s">
        <v>30</v>
      </c>
      <c r="I5324" t="s">
        <v>24</v>
      </c>
      <c r="J5324" t="s">
        <v>43</v>
      </c>
      <c r="K5324" t="s">
        <v>53</v>
      </c>
      <c r="L5324" t="s">
        <v>27</v>
      </c>
      <c r="M5324">
        <v>1</v>
      </c>
      <c r="N5324" s="2">
        <v>186</v>
      </c>
      <c r="O5324" s="3">
        <v>1579</v>
      </c>
      <c r="P5324">
        <v>0</v>
      </c>
      <c r="Q5324">
        <v>2</v>
      </c>
      <c r="R5324" t="s">
        <v>33</v>
      </c>
      <c r="S5324">
        <v>1</v>
      </c>
    </row>
    <row r="5325" spans="1:19" ht="16.5" x14ac:dyDescent="0.3">
      <c r="A5325" t="s">
        <v>5388</v>
      </c>
      <c r="B5325" s="1">
        <v>45994</v>
      </c>
      <c r="C5325" s="1">
        <v>45999</v>
      </c>
      <c r="D5325">
        <v>2025</v>
      </c>
      <c r="E5325" t="s">
        <v>2026</v>
      </c>
      <c r="F5325" t="s">
        <v>2496</v>
      </c>
      <c r="G5325" t="s">
        <v>70</v>
      </c>
      <c r="H5325" t="s">
        <v>30</v>
      </c>
      <c r="I5325" t="s">
        <v>40</v>
      </c>
      <c r="J5325" t="s">
        <v>43</v>
      </c>
      <c r="K5325" t="s">
        <v>53</v>
      </c>
      <c r="L5325" t="s">
        <v>44</v>
      </c>
      <c r="M5325">
        <v>5</v>
      </c>
      <c r="N5325" s="2"/>
      <c r="O5325" s="3">
        <v>6870</v>
      </c>
      <c r="P5325">
        <v>0</v>
      </c>
      <c r="Q5325">
        <v>5</v>
      </c>
      <c r="R5325" t="s">
        <v>33</v>
      </c>
      <c r="S5325">
        <v>1</v>
      </c>
    </row>
    <row r="5326" spans="1:19" ht="16.5" x14ac:dyDescent="0.3">
      <c r="A5326" t="s">
        <v>5389</v>
      </c>
      <c r="B5326" s="1">
        <v>45994</v>
      </c>
      <c r="C5326" s="1">
        <v>46003</v>
      </c>
      <c r="D5326">
        <v>2025</v>
      </c>
      <c r="E5326" t="s">
        <v>2026</v>
      </c>
      <c r="F5326" t="s">
        <v>2496</v>
      </c>
      <c r="G5326" t="s">
        <v>70</v>
      </c>
      <c r="H5326" t="s">
        <v>50</v>
      </c>
      <c r="I5326" t="s">
        <v>24</v>
      </c>
      <c r="J5326" t="s">
        <v>43</v>
      </c>
      <c r="K5326" t="s">
        <v>26</v>
      </c>
      <c r="L5326" t="s">
        <v>44</v>
      </c>
      <c r="M5326">
        <v>9</v>
      </c>
      <c r="N5326" s="2">
        <v>39</v>
      </c>
      <c r="O5326" s="3">
        <v>10124</v>
      </c>
      <c r="P5326">
        <v>0</v>
      </c>
      <c r="Q5326">
        <v>4</v>
      </c>
      <c r="R5326" t="s">
        <v>33</v>
      </c>
      <c r="S5326">
        <v>1</v>
      </c>
    </row>
    <row r="5327" spans="1:19" ht="16.5" x14ac:dyDescent="0.3">
      <c r="A5327" t="s">
        <v>5390</v>
      </c>
      <c r="B5327" s="1">
        <v>45995</v>
      </c>
      <c r="C5327" s="1">
        <v>45998</v>
      </c>
      <c r="D5327">
        <v>2025</v>
      </c>
      <c r="E5327" t="s">
        <v>2026</v>
      </c>
      <c r="F5327" t="s">
        <v>2496</v>
      </c>
      <c r="G5327" t="s">
        <v>78</v>
      </c>
      <c r="H5327" t="s">
        <v>35</v>
      </c>
      <c r="I5327" t="s">
        <v>31</v>
      </c>
      <c r="J5327" t="s">
        <v>25</v>
      </c>
      <c r="K5327" t="s">
        <v>36</v>
      </c>
      <c r="L5327" t="s">
        <v>27</v>
      </c>
      <c r="M5327">
        <v>3</v>
      </c>
      <c r="N5327" s="2"/>
      <c r="O5327" s="3">
        <v>2553</v>
      </c>
      <c r="P5327">
        <v>0</v>
      </c>
      <c r="Q5327">
        <v>4</v>
      </c>
      <c r="R5327" t="s">
        <v>28</v>
      </c>
      <c r="S5327">
        <v>1</v>
      </c>
    </row>
    <row r="5328" spans="1:19" ht="16.5" x14ac:dyDescent="0.3">
      <c r="A5328" t="s">
        <v>5391</v>
      </c>
      <c r="B5328" s="1">
        <v>45995</v>
      </c>
      <c r="C5328" s="1">
        <v>46003</v>
      </c>
      <c r="D5328">
        <v>2025</v>
      </c>
      <c r="E5328" t="s">
        <v>2026</v>
      </c>
      <c r="F5328" t="s">
        <v>2496</v>
      </c>
      <c r="G5328" t="s">
        <v>78</v>
      </c>
      <c r="H5328" t="s">
        <v>23</v>
      </c>
      <c r="I5328" t="s">
        <v>24</v>
      </c>
      <c r="J5328" t="s">
        <v>43</v>
      </c>
      <c r="K5328" t="s">
        <v>26</v>
      </c>
      <c r="L5328" t="s">
        <v>44</v>
      </c>
      <c r="M5328">
        <v>8</v>
      </c>
      <c r="N5328" s="2">
        <v>54</v>
      </c>
      <c r="O5328" s="3">
        <v>5694</v>
      </c>
      <c r="P5328">
        <v>1</v>
      </c>
      <c r="Q5328">
        <v>4</v>
      </c>
      <c r="R5328" t="s">
        <v>33</v>
      </c>
      <c r="S5328">
        <v>1</v>
      </c>
    </row>
    <row r="5329" spans="1:19" ht="16.5" x14ac:dyDescent="0.3">
      <c r="A5329" t="s">
        <v>5392</v>
      </c>
      <c r="B5329" s="1">
        <v>45995</v>
      </c>
      <c r="C5329" s="1">
        <v>45996</v>
      </c>
      <c r="D5329">
        <v>2025</v>
      </c>
      <c r="E5329" t="s">
        <v>2026</v>
      </c>
      <c r="F5329" t="s">
        <v>2496</v>
      </c>
      <c r="G5329" t="s">
        <v>78</v>
      </c>
      <c r="H5329" t="s">
        <v>23</v>
      </c>
      <c r="I5329" t="s">
        <v>24</v>
      </c>
      <c r="J5329" t="s">
        <v>43</v>
      </c>
      <c r="K5329" t="s">
        <v>53</v>
      </c>
      <c r="L5329" t="s">
        <v>27</v>
      </c>
      <c r="M5329">
        <v>1</v>
      </c>
      <c r="N5329" s="2">
        <v>62</v>
      </c>
      <c r="O5329" s="3">
        <v>1266</v>
      </c>
      <c r="P5329">
        <v>0</v>
      </c>
      <c r="Q5329">
        <v>5</v>
      </c>
      <c r="R5329" t="s">
        <v>28</v>
      </c>
      <c r="S5329">
        <v>1</v>
      </c>
    </row>
    <row r="5330" spans="1:19" ht="16.5" x14ac:dyDescent="0.3">
      <c r="A5330" t="s">
        <v>5393</v>
      </c>
      <c r="B5330" s="1">
        <v>45995</v>
      </c>
      <c r="C5330" s="1">
        <v>46000</v>
      </c>
      <c r="D5330">
        <v>2025</v>
      </c>
      <c r="E5330" t="s">
        <v>2026</v>
      </c>
      <c r="F5330" t="s">
        <v>2496</v>
      </c>
      <c r="G5330" t="s">
        <v>78</v>
      </c>
      <c r="H5330" t="s">
        <v>23</v>
      </c>
      <c r="I5330" t="s">
        <v>40</v>
      </c>
      <c r="J5330" t="s">
        <v>43</v>
      </c>
      <c r="K5330" t="s">
        <v>53</v>
      </c>
      <c r="L5330" t="s">
        <v>44</v>
      </c>
      <c r="M5330">
        <v>5</v>
      </c>
      <c r="N5330" s="2"/>
      <c r="O5330" s="3">
        <v>3839</v>
      </c>
      <c r="P5330">
        <v>0</v>
      </c>
      <c r="Q5330">
        <v>4</v>
      </c>
      <c r="R5330" t="s">
        <v>33</v>
      </c>
      <c r="S5330">
        <v>1</v>
      </c>
    </row>
    <row r="5331" spans="1:19" ht="16.5" x14ac:dyDescent="0.3">
      <c r="A5331" t="s">
        <v>5394</v>
      </c>
      <c r="B5331" s="1">
        <v>45995</v>
      </c>
      <c r="C5331" s="1">
        <v>46001</v>
      </c>
      <c r="D5331">
        <v>2025</v>
      </c>
      <c r="E5331" t="s">
        <v>2026</v>
      </c>
      <c r="F5331" t="s">
        <v>2496</v>
      </c>
      <c r="G5331" t="s">
        <v>78</v>
      </c>
      <c r="H5331" t="s">
        <v>23</v>
      </c>
      <c r="I5331" t="s">
        <v>24</v>
      </c>
      <c r="J5331" t="s">
        <v>43</v>
      </c>
      <c r="K5331" t="s">
        <v>32</v>
      </c>
      <c r="L5331" t="s">
        <v>44</v>
      </c>
      <c r="M5331">
        <v>6</v>
      </c>
      <c r="N5331" s="2">
        <v>72</v>
      </c>
      <c r="O5331" s="3">
        <v>4420</v>
      </c>
      <c r="P5331">
        <v>0</v>
      </c>
      <c r="Q5331">
        <v>4</v>
      </c>
      <c r="R5331" t="s">
        <v>28</v>
      </c>
      <c r="S5331">
        <v>1</v>
      </c>
    </row>
    <row r="5332" spans="1:19" ht="16.5" x14ac:dyDescent="0.3">
      <c r="A5332" t="s">
        <v>5395</v>
      </c>
      <c r="B5332" s="1">
        <v>45995</v>
      </c>
      <c r="C5332" s="1">
        <v>45996</v>
      </c>
      <c r="D5332">
        <v>2025</v>
      </c>
      <c r="E5332" t="s">
        <v>2026</v>
      </c>
      <c r="F5332" t="s">
        <v>2496</v>
      </c>
      <c r="G5332" t="s">
        <v>78</v>
      </c>
      <c r="H5332" t="s">
        <v>52</v>
      </c>
      <c r="I5332" t="s">
        <v>40</v>
      </c>
      <c r="J5332" t="s">
        <v>25</v>
      </c>
      <c r="K5332" t="s">
        <v>53</v>
      </c>
      <c r="L5332" t="s">
        <v>44</v>
      </c>
      <c r="M5332">
        <v>1</v>
      </c>
      <c r="N5332" s="2"/>
      <c r="O5332" s="3">
        <v>1801</v>
      </c>
      <c r="P5332">
        <v>0</v>
      </c>
      <c r="Q5332">
        <v>4</v>
      </c>
      <c r="R5332" t="s">
        <v>33</v>
      </c>
      <c r="S5332">
        <v>1</v>
      </c>
    </row>
    <row r="5333" spans="1:19" ht="16.5" x14ac:dyDescent="0.3">
      <c r="A5333" t="s">
        <v>5396</v>
      </c>
      <c r="B5333" s="1">
        <v>45995</v>
      </c>
      <c r="C5333" s="1">
        <v>45998</v>
      </c>
      <c r="D5333">
        <v>2025</v>
      </c>
      <c r="E5333" t="s">
        <v>2026</v>
      </c>
      <c r="F5333" t="s">
        <v>2496</v>
      </c>
      <c r="G5333" t="s">
        <v>78</v>
      </c>
      <c r="H5333" t="s">
        <v>23</v>
      </c>
      <c r="I5333" t="s">
        <v>24</v>
      </c>
      <c r="J5333" t="s">
        <v>25</v>
      </c>
      <c r="K5333" t="s">
        <v>36</v>
      </c>
      <c r="L5333" t="s">
        <v>27</v>
      </c>
      <c r="M5333">
        <v>3</v>
      </c>
      <c r="N5333" s="2">
        <v>67</v>
      </c>
      <c r="O5333" s="3">
        <v>2452</v>
      </c>
      <c r="P5333">
        <v>0</v>
      </c>
      <c r="Q5333">
        <v>4</v>
      </c>
      <c r="R5333" t="s">
        <v>28</v>
      </c>
      <c r="S5333">
        <v>1</v>
      </c>
    </row>
    <row r="5334" spans="1:19" ht="16.5" x14ac:dyDescent="0.3">
      <c r="A5334" t="s">
        <v>5397</v>
      </c>
      <c r="B5334" s="1">
        <v>45995</v>
      </c>
      <c r="C5334" s="1">
        <v>45996</v>
      </c>
      <c r="D5334">
        <v>2025</v>
      </c>
      <c r="E5334" t="s">
        <v>2026</v>
      </c>
      <c r="F5334" t="s">
        <v>2496</v>
      </c>
      <c r="G5334" t="s">
        <v>78</v>
      </c>
      <c r="H5334" t="s">
        <v>35</v>
      </c>
      <c r="I5334" t="s">
        <v>40</v>
      </c>
      <c r="J5334" t="s">
        <v>25</v>
      </c>
      <c r="K5334" t="s">
        <v>32</v>
      </c>
      <c r="L5334" t="s">
        <v>44</v>
      </c>
      <c r="M5334">
        <v>1</v>
      </c>
      <c r="N5334" s="2"/>
      <c r="O5334" s="3">
        <v>1486</v>
      </c>
      <c r="P5334">
        <v>0</v>
      </c>
      <c r="Q5334">
        <v>2</v>
      </c>
      <c r="R5334" t="s">
        <v>33</v>
      </c>
      <c r="S5334">
        <v>1</v>
      </c>
    </row>
    <row r="5335" spans="1:19" ht="16.5" x14ac:dyDescent="0.3">
      <c r="A5335" t="s">
        <v>5398</v>
      </c>
      <c r="B5335" s="1">
        <v>45995</v>
      </c>
      <c r="C5335" s="1">
        <v>45998</v>
      </c>
      <c r="D5335">
        <v>2025</v>
      </c>
      <c r="E5335" t="s">
        <v>2026</v>
      </c>
      <c r="F5335" t="s">
        <v>2496</v>
      </c>
      <c r="G5335" t="s">
        <v>78</v>
      </c>
      <c r="H5335" t="s">
        <v>35</v>
      </c>
      <c r="I5335" t="s">
        <v>24</v>
      </c>
      <c r="J5335" t="s">
        <v>25</v>
      </c>
      <c r="K5335" t="s">
        <v>32</v>
      </c>
      <c r="L5335" t="s">
        <v>37</v>
      </c>
      <c r="M5335">
        <v>3</v>
      </c>
      <c r="N5335" s="2">
        <v>15</v>
      </c>
      <c r="O5335" s="3">
        <v>3137</v>
      </c>
      <c r="P5335">
        <v>0</v>
      </c>
      <c r="Q5335">
        <v>5</v>
      </c>
      <c r="R5335" t="s">
        <v>28</v>
      </c>
      <c r="S5335">
        <v>1</v>
      </c>
    </row>
    <row r="5336" spans="1:19" ht="16.5" x14ac:dyDescent="0.3">
      <c r="A5336" t="s">
        <v>5399</v>
      </c>
      <c r="B5336" s="1">
        <v>45995</v>
      </c>
      <c r="C5336" s="1">
        <v>45996</v>
      </c>
      <c r="D5336">
        <v>2025</v>
      </c>
      <c r="E5336" t="s">
        <v>2026</v>
      </c>
      <c r="F5336" t="s">
        <v>2496</v>
      </c>
      <c r="G5336" t="s">
        <v>78</v>
      </c>
      <c r="H5336" t="s">
        <v>30</v>
      </c>
      <c r="I5336" t="s">
        <v>40</v>
      </c>
      <c r="J5336" t="s">
        <v>25</v>
      </c>
      <c r="K5336" t="s">
        <v>32</v>
      </c>
      <c r="L5336" t="s">
        <v>27</v>
      </c>
      <c r="M5336">
        <v>1</v>
      </c>
      <c r="N5336" s="2"/>
      <c r="O5336" s="3">
        <v>2061</v>
      </c>
      <c r="P5336">
        <v>0</v>
      </c>
      <c r="Q5336">
        <v>4</v>
      </c>
      <c r="R5336" t="s">
        <v>33</v>
      </c>
      <c r="S5336">
        <v>1</v>
      </c>
    </row>
    <row r="5337" spans="1:19" ht="16.5" x14ac:dyDescent="0.3">
      <c r="A5337" t="s">
        <v>5400</v>
      </c>
      <c r="B5337" s="1">
        <v>45995</v>
      </c>
      <c r="C5337" s="1">
        <v>45999</v>
      </c>
      <c r="D5337">
        <v>2025</v>
      </c>
      <c r="E5337" t="s">
        <v>2026</v>
      </c>
      <c r="F5337" t="s">
        <v>2496</v>
      </c>
      <c r="G5337" t="s">
        <v>78</v>
      </c>
      <c r="H5337" t="s">
        <v>23</v>
      </c>
      <c r="I5337" t="s">
        <v>24</v>
      </c>
      <c r="J5337" t="s">
        <v>43</v>
      </c>
      <c r="K5337" t="s">
        <v>26</v>
      </c>
      <c r="L5337" t="s">
        <v>44</v>
      </c>
      <c r="M5337">
        <v>4</v>
      </c>
      <c r="N5337" s="2">
        <v>53</v>
      </c>
      <c r="O5337" s="3">
        <v>3604</v>
      </c>
      <c r="P5337">
        <v>0</v>
      </c>
      <c r="Q5337">
        <v>5</v>
      </c>
      <c r="R5337" t="s">
        <v>33</v>
      </c>
      <c r="S5337">
        <v>1</v>
      </c>
    </row>
    <row r="5338" spans="1:19" ht="16.5" x14ac:dyDescent="0.3">
      <c r="A5338" t="s">
        <v>5401</v>
      </c>
      <c r="B5338" s="1">
        <v>45995</v>
      </c>
      <c r="C5338" s="1">
        <v>45998</v>
      </c>
      <c r="D5338">
        <v>2025</v>
      </c>
      <c r="E5338" t="s">
        <v>2026</v>
      </c>
      <c r="F5338" t="s">
        <v>2496</v>
      </c>
      <c r="G5338" t="s">
        <v>78</v>
      </c>
      <c r="H5338" t="s">
        <v>35</v>
      </c>
      <c r="I5338" t="s">
        <v>40</v>
      </c>
      <c r="J5338" t="s">
        <v>25</v>
      </c>
      <c r="K5338" t="s">
        <v>36</v>
      </c>
      <c r="L5338" t="s">
        <v>44</v>
      </c>
      <c r="M5338">
        <v>3</v>
      </c>
      <c r="N5338" s="2"/>
      <c r="O5338" s="3">
        <v>2940</v>
      </c>
      <c r="P5338">
        <v>0</v>
      </c>
      <c r="Q5338">
        <v>4</v>
      </c>
      <c r="R5338" t="s">
        <v>28</v>
      </c>
      <c r="S5338">
        <v>1</v>
      </c>
    </row>
    <row r="5339" spans="1:19" ht="16.5" x14ac:dyDescent="0.3">
      <c r="A5339" t="s">
        <v>5402</v>
      </c>
      <c r="B5339" s="1">
        <v>45995</v>
      </c>
      <c r="C5339" s="1">
        <v>45996</v>
      </c>
      <c r="D5339">
        <v>2025</v>
      </c>
      <c r="E5339" t="s">
        <v>2026</v>
      </c>
      <c r="F5339" t="s">
        <v>2496</v>
      </c>
      <c r="G5339" t="s">
        <v>78</v>
      </c>
      <c r="H5339" t="s">
        <v>30</v>
      </c>
      <c r="I5339" t="s">
        <v>40</v>
      </c>
      <c r="J5339" t="s">
        <v>43</v>
      </c>
      <c r="K5339" t="s">
        <v>26</v>
      </c>
      <c r="L5339" t="s">
        <v>27</v>
      </c>
      <c r="M5339">
        <v>1</v>
      </c>
      <c r="N5339" s="2"/>
      <c r="O5339" s="3">
        <v>1846</v>
      </c>
      <c r="P5339">
        <v>0</v>
      </c>
      <c r="Q5339">
        <v>4</v>
      </c>
      <c r="R5339" t="s">
        <v>28</v>
      </c>
      <c r="S5339">
        <v>1</v>
      </c>
    </row>
    <row r="5340" spans="1:19" ht="16.5" x14ac:dyDescent="0.3">
      <c r="A5340" t="s">
        <v>5403</v>
      </c>
      <c r="B5340" s="1">
        <v>45996</v>
      </c>
      <c r="C5340" s="1">
        <v>45998</v>
      </c>
      <c r="D5340">
        <v>2025</v>
      </c>
      <c r="E5340" t="s">
        <v>2026</v>
      </c>
      <c r="F5340" t="s">
        <v>2496</v>
      </c>
      <c r="G5340" t="s">
        <v>83</v>
      </c>
      <c r="H5340" t="s">
        <v>30</v>
      </c>
      <c r="I5340" t="s">
        <v>40</v>
      </c>
      <c r="J5340" t="s">
        <v>25</v>
      </c>
      <c r="K5340" t="s">
        <v>32</v>
      </c>
      <c r="L5340" t="s">
        <v>37</v>
      </c>
      <c r="M5340">
        <v>2</v>
      </c>
      <c r="N5340" s="2"/>
      <c r="O5340" s="3">
        <v>2350</v>
      </c>
      <c r="P5340">
        <v>0</v>
      </c>
      <c r="Q5340">
        <v>4</v>
      </c>
      <c r="R5340" t="s">
        <v>33</v>
      </c>
      <c r="S5340">
        <v>1</v>
      </c>
    </row>
    <row r="5341" spans="1:19" ht="16.5" x14ac:dyDescent="0.3">
      <c r="A5341" t="s">
        <v>5404</v>
      </c>
      <c r="B5341" s="1">
        <v>45996</v>
      </c>
      <c r="C5341" s="1">
        <v>46000</v>
      </c>
      <c r="D5341">
        <v>2025</v>
      </c>
      <c r="E5341" t="s">
        <v>2026</v>
      </c>
      <c r="F5341" t="s">
        <v>2496</v>
      </c>
      <c r="G5341" t="s">
        <v>83</v>
      </c>
      <c r="H5341" t="s">
        <v>35</v>
      </c>
      <c r="I5341" t="s">
        <v>24</v>
      </c>
      <c r="J5341" t="s">
        <v>25</v>
      </c>
      <c r="K5341" t="s">
        <v>32</v>
      </c>
      <c r="L5341" t="s">
        <v>44</v>
      </c>
      <c r="M5341">
        <v>4</v>
      </c>
      <c r="N5341" s="2">
        <v>61</v>
      </c>
      <c r="O5341" s="3">
        <v>3168</v>
      </c>
      <c r="P5341">
        <v>0</v>
      </c>
      <c r="Q5341">
        <v>4</v>
      </c>
      <c r="R5341" t="s">
        <v>33</v>
      </c>
      <c r="S5341">
        <v>1</v>
      </c>
    </row>
    <row r="5342" spans="1:19" ht="16.5" x14ac:dyDescent="0.3">
      <c r="A5342" t="s">
        <v>5405</v>
      </c>
      <c r="B5342" s="1">
        <v>45996</v>
      </c>
      <c r="C5342" s="1">
        <v>45998</v>
      </c>
      <c r="D5342">
        <v>2025</v>
      </c>
      <c r="E5342" t="s">
        <v>2026</v>
      </c>
      <c r="F5342" t="s">
        <v>2496</v>
      </c>
      <c r="G5342" t="s">
        <v>83</v>
      </c>
      <c r="H5342" t="s">
        <v>35</v>
      </c>
      <c r="I5342" t="s">
        <v>40</v>
      </c>
      <c r="J5342" t="s">
        <v>25</v>
      </c>
      <c r="K5342" t="s">
        <v>32</v>
      </c>
      <c r="L5342" t="s">
        <v>44</v>
      </c>
      <c r="M5342">
        <v>2</v>
      </c>
      <c r="N5342" s="2"/>
      <c r="O5342" s="3">
        <v>2219</v>
      </c>
      <c r="P5342">
        <v>0</v>
      </c>
      <c r="Q5342">
        <v>3</v>
      </c>
      <c r="R5342" t="s">
        <v>33</v>
      </c>
      <c r="S5342">
        <v>1</v>
      </c>
    </row>
    <row r="5343" spans="1:19" ht="16.5" x14ac:dyDescent="0.3">
      <c r="A5343" t="s">
        <v>5406</v>
      </c>
      <c r="B5343" s="1">
        <v>45996</v>
      </c>
      <c r="C5343" s="1">
        <v>46001</v>
      </c>
      <c r="D5343">
        <v>2025</v>
      </c>
      <c r="E5343" t="s">
        <v>2026</v>
      </c>
      <c r="F5343" t="s">
        <v>2496</v>
      </c>
      <c r="G5343" t="s">
        <v>83</v>
      </c>
      <c r="H5343" t="s">
        <v>30</v>
      </c>
      <c r="I5343" t="s">
        <v>40</v>
      </c>
      <c r="J5343" t="s">
        <v>43</v>
      </c>
      <c r="K5343" t="s">
        <v>32</v>
      </c>
      <c r="L5343" t="s">
        <v>44</v>
      </c>
      <c r="M5343">
        <v>5</v>
      </c>
      <c r="N5343" s="2"/>
      <c r="O5343" s="3">
        <v>5728</v>
      </c>
      <c r="P5343">
        <v>0</v>
      </c>
      <c r="Q5343">
        <v>4</v>
      </c>
      <c r="R5343" t="s">
        <v>33</v>
      </c>
      <c r="S5343">
        <v>1</v>
      </c>
    </row>
    <row r="5344" spans="1:19" ht="16.5" x14ac:dyDescent="0.3">
      <c r="A5344" t="s">
        <v>5407</v>
      </c>
      <c r="B5344" s="1">
        <v>45996</v>
      </c>
      <c r="C5344" s="1">
        <v>45997</v>
      </c>
      <c r="D5344">
        <v>2025</v>
      </c>
      <c r="E5344" t="s">
        <v>2026</v>
      </c>
      <c r="F5344" t="s">
        <v>2496</v>
      </c>
      <c r="G5344" t="s">
        <v>83</v>
      </c>
      <c r="H5344" t="s">
        <v>39</v>
      </c>
      <c r="I5344" t="s">
        <v>24</v>
      </c>
      <c r="J5344" t="s">
        <v>43</v>
      </c>
      <c r="K5344" t="s">
        <v>41</v>
      </c>
      <c r="L5344" t="s">
        <v>44</v>
      </c>
      <c r="M5344">
        <v>1</v>
      </c>
      <c r="N5344" s="2">
        <v>73</v>
      </c>
      <c r="O5344" s="3">
        <v>1575</v>
      </c>
      <c r="P5344">
        <v>1</v>
      </c>
      <c r="Q5344">
        <v>3</v>
      </c>
      <c r="R5344" t="s">
        <v>28</v>
      </c>
      <c r="S5344">
        <v>1</v>
      </c>
    </row>
    <row r="5345" spans="1:19" ht="16.5" x14ac:dyDescent="0.3">
      <c r="A5345" t="s">
        <v>5408</v>
      </c>
      <c r="B5345" s="1">
        <v>45996</v>
      </c>
      <c r="C5345" s="1">
        <v>46000</v>
      </c>
      <c r="D5345">
        <v>2025</v>
      </c>
      <c r="E5345" t="s">
        <v>2026</v>
      </c>
      <c r="F5345" t="s">
        <v>2496</v>
      </c>
      <c r="G5345" t="s">
        <v>83</v>
      </c>
      <c r="H5345" t="s">
        <v>35</v>
      </c>
      <c r="I5345" t="s">
        <v>24</v>
      </c>
      <c r="J5345" t="s">
        <v>25</v>
      </c>
      <c r="K5345" t="s">
        <v>36</v>
      </c>
      <c r="L5345" t="s">
        <v>44</v>
      </c>
      <c r="M5345">
        <v>4</v>
      </c>
      <c r="N5345" s="2">
        <v>19</v>
      </c>
      <c r="O5345" s="3">
        <v>2858</v>
      </c>
      <c r="P5345">
        <v>0</v>
      </c>
      <c r="Q5345">
        <v>4</v>
      </c>
      <c r="R5345" t="s">
        <v>33</v>
      </c>
      <c r="S5345">
        <v>1</v>
      </c>
    </row>
    <row r="5346" spans="1:19" ht="16.5" x14ac:dyDescent="0.3">
      <c r="A5346" t="s">
        <v>5409</v>
      </c>
      <c r="B5346" s="1">
        <v>45996</v>
      </c>
      <c r="C5346" s="1">
        <v>45999</v>
      </c>
      <c r="D5346">
        <v>2025</v>
      </c>
      <c r="E5346" t="s">
        <v>2026</v>
      </c>
      <c r="F5346" t="s">
        <v>2496</v>
      </c>
      <c r="G5346" t="s">
        <v>83</v>
      </c>
      <c r="H5346" t="s">
        <v>23</v>
      </c>
      <c r="I5346" t="s">
        <v>31</v>
      </c>
      <c r="J5346" t="s">
        <v>25</v>
      </c>
      <c r="K5346" t="s">
        <v>32</v>
      </c>
      <c r="L5346" t="s">
        <v>27</v>
      </c>
      <c r="M5346">
        <v>3</v>
      </c>
      <c r="N5346" s="2"/>
      <c r="O5346" s="3">
        <v>2567</v>
      </c>
      <c r="P5346">
        <v>0</v>
      </c>
      <c r="Q5346">
        <v>4</v>
      </c>
      <c r="R5346" t="s">
        <v>33</v>
      </c>
      <c r="S5346">
        <v>1</v>
      </c>
    </row>
    <row r="5347" spans="1:19" ht="16.5" x14ac:dyDescent="0.3">
      <c r="A5347" t="s">
        <v>5410</v>
      </c>
      <c r="B5347" s="1">
        <v>45996</v>
      </c>
      <c r="C5347" s="1">
        <v>46000</v>
      </c>
      <c r="D5347">
        <v>2025</v>
      </c>
      <c r="E5347" t="s">
        <v>2026</v>
      </c>
      <c r="F5347" t="s">
        <v>2496</v>
      </c>
      <c r="G5347" t="s">
        <v>83</v>
      </c>
      <c r="H5347" t="s">
        <v>39</v>
      </c>
      <c r="I5347" t="s">
        <v>24</v>
      </c>
      <c r="J5347" t="s">
        <v>25</v>
      </c>
      <c r="K5347" t="s">
        <v>41</v>
      </c>
      <c r="L5347" t="s">
        <v>44</v>
      </c>
      <c r="M5347">
        <v>4</v>
      </c>
      <c r="N5347" s="2">
        <v>232</v>
      </c>
      <c r="O5347" s="3">
        <v>3218</v>
      </c>
      <c r="P5347">
        <v>0</v>
      </c>
      <c r="Q5347">
        <v>3</v>
      </c>
      <c r="R5347" t="s">
        <v>28</v>
      </c>
      <c r="S5347">
        <v>1</v>
      </c>
    </row>
    <row r="5348" spans="1:19" ht="16.5" x14ac:dyDescent="0.3">
      <c r="A5348" t="s">
        <v>5411</v>
      </c>
      <c r="B5348" s="1">
        <v>45996</v>
      </c>
      <c r="C5348" s="1">
        <v>46004</v>
      </c>
      <c r="D5348">
        <v>2025</v>
      </c>
      <c r="E5348" t="s">
        <v>2026</v>
      </c>
      <c r="F5348" t="s">
        <v>2496</v>
      </c>
      <c r="G5348" t="s">
        <v>83</v>
      </c>
      <c r="H5348" t="s">
        <v>50</v>
      </c>
      <c r="I5348" t="s">
        <v>24</v>
      </c>
      <c r="J5348" t="s">
        <v>43</v>
      </c>
      <c r="K5348" t="s">
        <v>26</v>
      </c>
      <c r="L5348" t="s">
        <v>44</v>
      </c>
      <c r="M5348">
        <v>8</v>
      </c>
      <c r="N5348" s="2">
        <v>64</v>
      </c>
      <c r="O5348" s="3">
        <v>9704</v>
      </c>
      <c r="P5348">
        <v>0</v>
      </c>
      <c r="Q5348">
        <v>4</v>
      </c>
      <c r="R5348" t="s">
        <v>33</v>
      </c>
      <c r="S5348">
        <v>1</v>
      </c>
    </row>
    <row r="5349" spans="1:19" ht="16.5" x14ac:dyDescent="0.3">
      <c r="A5349" t="s">
        <v>5412</v>
      </c>
      <c r="B5349" s="1">
        <v>45996</v>
      </c>
      <c r="C5349" s="1">
        <v>45998</v>
      </c>
      <c r="D5349">
        <v>2025</v>
      </c>
      <c r="E5349" t="s">
        <v>2026</v>
      </c>
      <c r="F5349" t="s">
        <v>2496</v>
      </c>
      <c r="G5349" t="s">
        <v>83</v>
      </c>
      <c r="H5349" t="s">
        <v>52</v>
      </c>
      <c r="I5349" t="s">
        <v>40</v>
      </c>
      <c r="J5349" t="s">
        <v>25</v>
      </c>
      <c r="K5349" t="s">
        <v>26</v>
      </c>
      <c r="L5349" t="s">
        <v>44</v>
      </c>
      <c r="M5349">
        <v>2</v>
      </c>
      <c r="N5349" s="2"/>
      <c r="O5349" s="3">
        <v>2813</v>
      </c>
      <c r="P5349">
        <v>0</v>
      </c>
      <c r="Q5349">
        <v>4</v>
      </c>
      <c r="R5349" t="s">
        <v>33</v>
      </c>
      <c r="S5349">
        <v>1</v>
      </c>
    </row>
    <row r="5350" spans="1:19" ht="16.5" x14ac:dyDescent="0.3">
      <c r="A5350" t="s">
        <v>5413</v>
      </c>
      <c r="B5350" s="1">
        <v>45996</v>
      </c>
      <c r="C5350" s="1">
        <v>46005</v>
      </c>
      <c r="D5350">
        <v>2025</v>
      </c>
      <c r="E5350" t="s">
        <v>2026</v>
      </c>
      <c r="F5350" t="s">
        <v>2496</v>
      </c>
      <c r="G5350" t="s">
        <v>83</v>
      </c>
      <c r="H5350" t="s">
        <v>23</v>
      </c>
      <c r="I5350" t="s">
        <v>40</v>
      </c>
      <c r="J5350" t="s">
        <v>25</v>
      </c>
      <c r="K5350" t="s">
        <v>26</v>
      </c>
      <c r="L5350" t="s">
        <v>27</v>
      </c>
      <c r="M5350">
        <v>9</v>
      </c>
      <c r="N5350" s="2"/>
      <c r="O5350" s="3">
        <v>6611</v>
      </c>
      <c r="P5350">
        <v>0</v>
      </c>
      <c r="Q5350">
        <v>5</v>
      </c>
      <c r="R5350" t="s">
        <v>28</v>
      </c>
      <c r="S5350">
        <v>1</v>
      </c>
    </row>
    <row r="5351" spans="1:19" ht="16.5" x14ac:dyDescent="0.3">
      <c r="A5351" t="s">
        <v>5414</v>
      </c>
      <c r="B5351" s="1">
        <v>45996</v>
      </c>
      <c r="C5351" s="1">
        <v>46001</v>
      </c>
      <c r="D5351">
        <v>2025</v>
      </c>
      <c r="E5351" t="s">
        <v>2026</v>
      </c>
      <c r="F5351" t="s">
        <v>2496</v>
      </c>
      <c r="G5351" t="s">
        <v>83</v>
      </c>
      <c r="H5351" t="s">
        <v>39</v>
      </c>
      <c r="I5351" t="s">
        <v>24</v>
      </c>
      <c r="J5351" t="s">
        <v>25</v>
      </c>
      <c r="K5351" t="s">
        <v>41</v>
      </c>
      <c r="L5351" t="s">
        <v>44</v>
      </c>
      <c r="M5351">
        <v>5</v>
      </c>
      <c r="N5351" s="2">
        <v>60</v>
      </c>
      <c r="O5351" s="3">
        <v>3952</v>
      </c>
      <c r="P5351">
        <v>0</v>
      </c>
      <c r="Q5351">
        <v>5</v>
      </c>
      <c r="R5351" t="s">
        <v>28</v>
      </c>
      <c r="S5351">
        <v>1</v>
      </c>
    </row>
    <row r="5352" spans="1:19" ht="16.5" x14ac:dyDescent="0.3">
      <c r="A5352" t="s">
        <v>5415</v>
      </c>
      <c r="B5352" s="1">
        <v>45996</v>
      </c>
      <c r="C5352" s="1">
        <v>46002</v>
      </c>
      <c r="D5352">
        <v>2025</v>
      </c>
      <c r="E5352" t="s">
        <v>2026</v>
      </c>
      <c r="F5352" t="s">
        <v>2496</v>
      </c>
      <c r="G5352" t="s">
        <v>83</v>
      </c>
      <c r="H5352" t="s">
        <v>23</v>
      </c>
      <c r="I5352" t="s">
        <v>24</v>
      </c>
      <c r="J5352" t="s">
        <v>25</v>
      </c>
      <c r="K5352" t="s">
        <v>26</v>
      </c>
      <c r="L5352" t="s">
        <v>44</v>
      </c>
      <c r="M5352">
        <v>6</v>
      </c>
      <c r="N5352" s="2">
        <v>34</v>
      </c>
      <c r="O5352" s="3">
        <v>5455</v>
      </c>
      <c r="P5352">
        <v>1</v>
      </c>
      <c r="Q5352">
        <v>3</v>
      </c>
      <c r="R5352" t="s">
        <v>28</v>
      </c>
      <c r="S5352">
        <v>1</v>
      </c>
    </row>
    <row r="5353" spans="1:19" ht="16.5" x14ac:dyDescent="0.3">
      <c r="A5353" t="s">
        <v>5416</v>
      </c>
      <c r="B5353" s="1">
        <v>45996</v>
      </c>
      <c r="C5353" s="1">
        <v>45998</v>
      </c>
      <c r="D5353">
        <v>2025</v>
      </c>
      <c r="E5353" t="s">
        <v>2026</v>
      </c>
      <c r="F5353" t="s">
        <v>2496</v>
      </c>
      <c r="G5353" t="s">
        <v>83</v>
      </c>
      <c r="H5353" t="s">
        <v>35</v>
      </c>
      <c r="I5353" t="s">
        <v>24</v>
      </c>
      <c r="J5353" t="s">
        <v>25</v>
      </c>
      <c r="K5353" t="s">
        <v>32</v>
      </c>
      <c r="L5353" t="s">
        <v>44</v>
      </c>
      <c r="M5353">
        <v>2</v>
      </c>
      <c r="N5353" s="2">
        <v>27</v>
      </c>
      <c r="O5353" s="3">
        <v>1499</v>
      </c>
      <c r="P5353">
        <v>0</v>
      </c>
      <c r="Q5353">
        <v>5</v>
      </c>
      <c r="R5353" t="s">
        <v>33</v>
      </c>
      <c r="S5353">
        <v>1</v>
      </c>
    </row>
    <row r="5354" spans="1:19" ht="16.5" x14ac:dyDescent="0.3">
      <c r="A5354" t="s">
        <v>5417</v>
      </c>
      <c r="B5354" s="1">
        <v>45996</v>
      </c>
      <c r="C5354" s="1">
        <v>45998</v>
      </c>
      <c r="D5354">
        <v>2025</v>
      </c>
      <c r="E5354" t="s">
        <v>2026</v>
      </c>
      <c r="F5354" t="s">
        <v>2496</v>
      </c>
      <c r="G5354" t="s">
        <v>83</v>
      </c>
      <c r="H5354" t="s">
        <v>52</v>
      </c>
      <c r="I5354" t="s">
        <v>40</v>
      </c>
      <c r="J5354" t="s">
        <v>43</v>
      </c>
      <c r="K5354" t="s">
        <v>32</v>
      </c>
      <c r="L5354" t="s">
        <v>27</v>
      </c>
      <c r="M5354">
        <v>2</v>
      </c>
      <c r="N5354" s="2"/>
      <c r="O5354" s="3">
        <v>2318</v>
      </c>
      <c r="P5354">
        <v>0</v>
      </c>
      <c r="Q5354">
        <v>3</v>
      </c>
      <c r="R5354" t="s">
        <v>33</v>
      </c>
      <c r="S5354">
        <v>1</v>
      </c>
    </row>
    <row r="5355" spans="1:19" ht="16.5" x14ac:dyDescent="0.3">
      <c r="A5355" t="s">
        <v>5418</v>
      </c>
      <c r="B5355" s="1">
        <v>45996</v>
      </c>
      <c r="C5355" s="1">
        <v>45999</v>
      </c>
      <c r="D5355">
        <v>2025</v>
      </c>
      <c r="E5355" t="s">
        <v>2026</v>
      </c>
      <c r="F5355" t="s">
        <v>2496</v>
      </c>
      <c r="G5355" t="s">
        <v>83</v>
      </c>
      <c r="H5355" t="s">
        <v>50</v>
      </c>
      <c r="I5355" t="s">
        <v>24</v>
      </c>
      <c r="J5355" t="s">
        <v>25</v>
      </c>
      <c r="K5355" t="s">
        <v>26</v>
      </c>
      <c r="L5355" t="s">
        <v>37</v>
      </c>
      <c r="M5355">
        <v>3</v>
      </c>
      <c r="N5355" s="2">
        <v>56</v>
      </c>
      <c r="O5355" s="3">
        <v>4692</v>
      </c>
      <c r="P5355">
        <v>0</v>
      </c>
      <c r="Q5355">
        <v>4</v>
      </c>
      <c r="R5355" t="s">
        <v>33</v>
      </c>
      <c r="S5355">
        <v>1</v>
      </c>
    </row>
    <row r="5356" spans="1:19" ht="16.5" x14ac:dyDescent="0.3">
      <c r="A5356" t="s">
        <v>5419</v>
      </c>
      <c r="B5356" s="1">
        <v>45997</v>
      </c>
      <c r="C5356" s="1">
        <v>45999</v>
      </c>
      <c r="D5356">
        <v>2025</v>
      </c>
      <c r="E5356" t="s">
        <v>2026</v>
      </c>
      <c r="F5356" t="s">
        <v>2496</v>
      </c>
      <c r="G5356" t="s">
        <v>102</v>
      </c>
      <c r="H5356" t="s">
        <v>35</v>
      </c>
      <c r="I5356" t="s">
        <v>40</v>
      </c>
      <c r="J5356" t="s">
        <v>25</v>
      </c>
      <c r="K5356" t="s">
        <v>36</v>
      </c>
      <c r="L5356" t="s">
        <v>44</v>
      </c>
      <c r="M5356">
        <v>2</v>
      </c>
      <c r="N5356" s="2"/>
      <c r="O5356" s="3">
        <v>2121</v>
      </c>
      <c r="P5356">
        <v>0</v>
      </c>
      <c r="Q5356">
        <v>5</v>
      </c>
      <c r="R5356" t="s">
        <v>33</v>
      </c>
      <c r="S5356">
        <v>1</v>
      </c>
    </row>
    <row r="5357" spans="1:19" ht="16.5" x14ac:dyDescent="0.3">
      <c r="A5357" t="s">
        <v>5420</v>
      </c>
      <c r="B5357" s="1">
        <v>45997</v>
      </c>
      <c r="C5357" s="1">
        <v>46000</v>
      </c>
      <c r="D5357">
        <v>2025</v>
      </c>
      <c r="E5357" t="s">
        <v>2026</v>
      </c>
      <c r="F5357" t="s">
        <v>2496</v>
      </c>
      <c r="G5357" t="s">
        <v>102</v>
      </c>
      <c r="H5357" t="s">
        <v>39</v>
      </c>
      <c r="I5357" t="s">
        <v>24</v>
      </c>
      <c r="J5357" t="s">
        <v>43</v>
      </c>
      <c r="K5357" t="s">
        <v>41</v>
      </c>
      <c r="L5357" t="s">
        <v>27</v>
      </c>
      <c r="M5357">
        <v>3</v>
      </c>
      <c r="N5357" s="2">
        <v>122</v>
      </c>
      <c r="O5357" s="3">
        <v>2942</v>
      </c>
      <c r="P5357">
        <v>0</v>
      </c>
      <c r="Q5357">
        <v>4</v>
      </c>
      <c r="R5357" t="s">
        <v>28</v>
      </c>
      <c r="S5357">
        <v>1</v>
      </c>
    </row>
    <row r="5358" spans="1:19" ht="16.5" x14ac:dyDescent="0.3">
      <c r="A5358" t="s">
        <v>5421</v>
      </c>
      <c r="B5358" s="1">
        <v>45997</v>
      </c>
      <c r="C5358" s="1">
        <v>46005</v>
      </c>
      <c r="D5358">
        <v>2025</v>
      </c>
      <c r="E5358" t="s">
        <v>2026</v>
      </c>
      <c r="F5358" t="s">
        <v>2496</v>
      </c>
      <c r="G5358" t="s">
        <v>102</v>
      </c>
      <c r="H5358" t="s">
        <v>23</v>
      </c>
      <c r="I5358" t="s">
        <v>24</v>
      </c>
      <c r="J5358" t="s">
        <v>25</v>
      </c>
      <c r="K5358" t="s">
        <v>32</v>
      </c>
      <c r="L5358" t="s">
        <v>37</v>
      </c>
      <c r="M5358">
        <v>8</v>
      </c>
      <c r="N5358" s="2">
        <v>25</v>
      </c>
      <c r="O5358" s="3">
        <v>5420</v>
      </c>
      <c r="P5358">
        <v>0</v>
      </c>
      <c r="Q5358">
        <v>4</v>
      </c>
      <c r="R5358" t="s">
        <v>28</v>
      </c>
      <c r="S5358">
        <v>1</v>
      </c>
    </row>
    <row r="5359" spans="1:19" ht="16.5" x14ac:dyDescent="0.3">
      <c r="A5359" t="s">
        <v>5422</v>
      </c>
      <c r="B5359" s="1">
        <v>45997</v>
      </c>
      <c r="C5359" s="1">
        <v>46002</v>
      </c>
      <c r="D5359">
        <v>2025</v>
      </c>
      <c r="E5359" t="s">
        <v>2026</v>
      </c>
      <c r="F5359" t="s">
        <v>2496</v>
      </c>
      <c r="G5359" t="s">
        <v>102</v>
      </c>
      <c r="H5359" t="s">
        <v>39</v>
      </c>
      <c r="I5359" t="s">
        <v>24</v>
      </c>
      <c r="J5359" t="s">
        <v>43</v>
      </c>
      <c r="K5359" t="s">
        <v>41</v>
      </c>
      <c r="L5359" t="s">
        <v>27</v>
      </c>
      <c r="M5359">
        <v>5</v>
      </c>
      <c r="N5359" s="2">
        <v>27</v>
      </c>
      <c r="O5359" s="3">
        <v>3997</v>
      </c>
      <c r="P5359">
        <v>0</v>
      </c>
      <c r="Q5359">
        <v>4</v>
      </c>
      <c r="R5359" t="s">
        <v>33</v>
      </c>
      <c r="S5359">
        <v>1</v>
      </c>
    </row>
    <row r="5360" spans="1:19" ht="16.5" x14ac:dyDescent="0.3">
      <c r="A5360" t="s">
        <v>5423</v>
      </c>
      <c r="B5360" s="1">
        <v>45998</v>
      </c>
      <c r="C5360" s="1">
        <v>46007</v>
      </c>
      <c r="D5360">
        <v>2025</v>
      </c>
      <c r="E5360" t="s">
        <v>2026</v>
      </c>
      <c r="F5360" t="s">
        <v>2496</v>
      </c>
      <c r="G5360" t="s">
        <v>112</v>
      </c>
      <c r="H5360" t="s">
        <v>23</v>
      </c>
      <c r="I5360" t="s">
        <v>24</v>
      </c>
      <c r="J5360" t="s">
        <v>25</v>
      </c>
      <c r="K5360" t="s">
        <v>26</v>
      </c>
      <c r="L5360" t="s">
        <v>37</v>
      </c>
      <c r="M5360">
        <v>9</v>
      </c>
      <c r="N5360" s="2">
        <v>30</v>
      </c>
      <c r="O5360" s="3">
        <v>6343</v>
      </c>
      <c r="P5360">
        <v>0</v>
      </c>
      <c r="Q5360">
        <v>5</v>
      </c>
      <c r="R5360" t="s">
        <v>28</v>
      </c>
      <c r="S5360">
        <v>1</v>
      </c>
    </row>
    <row r="5361" spans="1:19" ht="16.5" x14ac:dyDescent="0.3">
      <c r="A5361" t="s">
        <v>5424</v>
      </c>
      <c r="B5361" s="1">
        <v>45998</v>
      </c>
      <c r="C5361" s="1">
        <v>46002</v>
      </c>
      <c r="D5361">
        <v>2025</v>
      </c>
      <c r="E5361" t="s">
        <v>2026</v>
      </c>
      <c r="F5361" t="s">
        <v>2496</v>
      </c>
      <c r="G5361" t="s">
        <v>112</v>
      </c>
      <c r="H5361" t="s">
        <v>30</v>
      </c>
      <c r="I5361" t="s">
        <v>40</v>
      </c>
      <c r="J5361" t="s">
        <v>43</v>
      </c>
      <c r="K5361" t="s">
        <v>53</v>
      </c>
      <c r="L5361" t="s">
        <v>44</v>
      </c>
      <c r="M5361">
        <v>4</v>
      </c>
      <c r="N5361" s="2"/>
      <c r="O5361" s="3">
        <v>5150</v>
      </c>
      <c r="P5361">
        <v>1</v>
      </c>
      <c r="Q5361">
        <v>4</v>
      </c>
      <c r="R5361" t="s">
        <v>28</v>
      </c>
      <c r="S5361">
        <v>1</v>
      </c>
    </row>
    <row r="5362" spans="1:19" ht="16.5" x14ac:dyDescent="0.3">
      <c r="A5362" t="s">
        <v>5425</v>
      </c>
      <c r="B5362" s="1">
        <v>45998</v>
      </c>
      <c r="C5362" s="1">
        <v>46004</v>
      </c>
      <c r="D5362">
        <v>2025</v>
      </c>
      <c r="E5362" t="s">
        <v>2026</v>
      </c>
      <c r="F5362" t="s">
        <v>2496</v>
      </c>
      <c r="G5362" t="s">
        <v>112</v>
      </c>
      <c r="H5362" t="s">
        <v>39</v>
      </c>
      <c r="I5362" t="s">
        <v>24</v>
      </c>
      <c r="J5362" t="s">
        <v>25</v>
      </c>
      <c r="K5362" t="s">
        <v>41</v>
      </c>
      <c r="L5362" t="s">
        <v>37</v>
      </c>
      <c r="M5362">
        <v>6</v>
      </c>
      <c r="N5362" s="2">
        <v>26</v>
      </c>
      <c r="O5362" s="3">
        <v>3805</v>
      </c>
      <c r="P5362">
        <v>0</v>
      </c>
      <c r="Q5362">
        <v>4</v>
      </c>
      <c r="R5362" t="s">
        <v>28</v>
      </c>
      <c r="S5362">
        <v>1</v>
      </c>
    </row>
    <row r="5363" spans="1:19" ht="16.5" x14ac:dyDescent="0.3">
      <c r="A5363" t="s">
        <v>5426</v>
      </c>
      <c r="B5363" s="1">
        <v>45998</v>
      </c>
      <c r="C5363" s="1">
        <v>46006</v>
      </c>
      <c r="D5363">
        <v>2025</v>
      </c>
      <c r="E5363" t="s">
        <v>2026</v>
      </c>
      <c r="F5363" t="s">
        <v>2496</v>
      </c>
      <c r="G5363" t="s">
        <v>112</v>
      </c>
      <c r="H5363" t="s">
        <v>50</v>
      </c>
      <c r="I5363" t="s">
        <v>24</v>
      </c>
      <c r="J5363" t="s">
        <v>25</v>
      </c>
      <c r="K5363" t="s">
        <v>26</v>
      </c>
      <c r="L5363" t="s">
        <v>37</v>
      </c>
      <c r="M5363">
        <v>8</v>
      </c>
      <c r="N5363" s="2">
        <v>98</v>
      </c>
      <c r="O5363" s="3">
        <v>8670</v>
      </c>
      <c r="P5363">
        <v>0</v>
      </c>
      <c r="Q5363">
        <v>4</v>
      </c>
      <c r="R5363" t="s">
        <v>165</v>
      </c>
      <c r="S5363">
        <v>1</v>
      </c>
    </row>
    <row r="5364" spans="1:19" ht="16.5" x14ac:dyDescent="0.3">
      <c r="A5364" t="s">
        <v>5427</v>
      </c>
      <c r="B5364" s="1">
        <v>45998</v>
      </c>
      <c r="C5364" s="1">
        <v>46000</v>
      </c>
      <c r="D5364">
        <v>2025</v>
      </c>
      <c r="E5364" t="s">
        <v>2026</v>
      </c>
      <c r="F5364" t="s">
        <v>2496</v>
      </c>
      <c r="G5364" t="s">
        <v>112</v>
      </c>
      <c r="H5364" t="s">
        <v>52</v>
      </c>
      <c r="I5364" t="s">
        <v>40</v>
      </c>
      <c r="J5364" t="s">
        <v>43</v>
      </c>
      <c r="K5364" t="s">
        <v>36</v>
      </c>
      <c r="L5364" t="s">
        <v>27</v>
      </c>
      <c r="M5364">
        <v>2</v>
      </c>
      <c r="N5364" s="2"/>
      <c r="O5364" s="3">
        <v>2816</v>
      </c>
      <c r="P5364">
        <v>0</v>
      </c>
      <c r="Q5364">
        <v>4</v>
      </c>
      <c r="R5364" t="s">
        <v>28</v>
      </c>
      <c r="S5364">
        <v>1</v>
      </c>
    </row>
    <row r="5365" spans="1:19" ht="16.5" x14ac:dyDescent="0.3">
      <c r="A5365" t="s">
        <v>5428</v>
      </c>
      <c r="B5365" s="1">
        <v>45998</v>
      </c>
      <c r="C5365" s="1">
        <v>46000</v>
      </c>
      <c r="D5365">
        <v>2025</v>
      </c>
      <c r="E5365" t="s">
        <v>2026</v>
      </c>
      <c r="F5365" t="s">
        <v>2496</v>
      </c>
      <c r="G5365" t="s">
        <v>112</v>
      </c>
      <c r="H5365" t="s">
        <v>50</v>
      </c>
      <c r="I5365" t="s">
        <v>24</v>
      </c>
      <c r="J5365" t="s">
        <v>43</v>
      </c>
      <c r="K5365" t="s">
        <v>26</v>
      </c>
      <c r="L5365" t="s">
        <v>44</v>
      </c>
      <c r="M5365">
        <v>2</v>
      </c>
      <c r="N5365" s="2">
        <v>78</v>
      </c>
      <c r="O5365" s="3">
        <v>2694</v>
      </c>
      <c r="P5365">
        <v>0</v>
      </c>
      <c r="Q5365">
        <v>4</v>
      </c>
      <c r="R5365" t="s">
        <v>33</v>
      </c>
      <c r="S5365">
        <v>1</v>
      </c>
    </row>
    <row r="5366" spans="1:19" ht="16.5" x14ac:dyDescent="0.3">
      <c r="A5366" t="s">
        <v>5429</v>
      </c>
      <c r="B5366" s="1">
        <v>45998</v>
      </c>
      <c r="C5366" s="1">
        <v>46001</v>
      </c>
      <c r="D5366">
        <v>2025</v>
      </c>
      <c r="E5366" t="s">
        <v>2026</v>
      </c>
      <c r="F5366" t="s">
        <v>2496</v>
      </c>
      <c r="G5366" t="s">
        <v>112</v>
      </c>
      <c r="H5366" t="s">
        <v>39</v>
      </c>
      <c r="I5366" t="s">
        <v>24</v>
      </c>
      <c r="J5366" t="s">
        <v>43</v>
      </c>
      <c r="K5366" t="s">
        <v>41</v>
      </c>
      <c r="L5366" t="s">
        <v>44</v>
      </c>
      <c r="M5366">
        <v>3</v>
      </c>
      <c r="N5366" s="2">
        <v>31</v>
      </c>
      <c r="O5366" s="3">
        <v>1722</v>
      </c>
      <c r="P5366">
        <v>0</v>
      </c>
      <c r="Q5366">
        <v>4</v>
      </c>
      <c r="R5366" t="s">
        <v>33</v>
      </c>
      <c r="S5366">
        <v>1</v>
      </c>
    </row>
    <row r="5367" spans="1:19" ht="16.5" x14ac:dyDescent="0.3">
      <c r="A5367" t="s">
        <v>5430</v>
      </c>
      <c r="B5367" s="1">
        <v>45999</v>
      </c>
      <c r="C5367" s="1">
        <v>46006</v>
      </c>
      <c r="D5367">
        <v>2025</v>
      </c>
      <c r="E5367" t="s">
        <v>2026</v>
      </c>
      <c r="F5367" t="s">
        <v>2496</v>
      </c>
      <c r="G5367" t="s">
        <v>22</v>
      </c>
      <c r="H5367" t="s">
        <v>23</v>
      </c>
      <c r="I5367" t="s">
        <v>31</v>
      </c>
      <c r="J5367" t="s">
        <v>25</v>
      </c>
      <c r="K5367" t="s">
        <v>53</v>
      </c>
      <c r="L5367" t="s">
        <v>37</v>
      </c>
      <c r="M5367">
        <v>7</v>
      </c>
      <c r="N5367" s="2"/>
      <c r="O5367" s="3">
        <v>5196</v>
      </c>
      <c r="P5367">
        <v>0</v>
      </c>
      <c r="Q5367">
        <v>4</v>
      </c>
      <c r="R5367" t="s">
        <v>33</v>
      </c>
      <c r="S5367">
        <v>1</v>
      </c>
    </row>
    <row r="5368" spans="1:19" ht="16.5" x14ac:dyDescent="0.3">
      <c r="A5368" t="s">
        <v>5431</v>
      </c>
      <c r="B5368" s="1">
        <v>45999</v>
      </c>
      <c r="C5368" s="1">
        <v>46000</v>
      </c>
      <c r="D5368">
        <v>2025</v>
      </c>
      <c r="E5368" t="s">
        <v>2026</v>
      </c>
      <c r="F5368" t="s">
        <v>2496</v>
      </c>
      <c r="G5368" t="s">
        <v>22</v>
      </c>
      <c r="H5368" t="s">
        <v>30</v>
      </c>
      <c r="I5368" t="s">
        <v>40</v>
      </c>
      <c r="J5368" t="s">
        <v>43</v>
      </c>
      <c r="K5368" t="s">
        <v>36</v>
      </c>
      <c r="L5368" t="s">
        <v>44</v>
      </c>
      <c r="M5368">
        <v>1</v>
      </c>
      <c r="N5368" s="2"/>
      <c r="O5368" s="3">
        <v>1639</v>
      </c>
      <c r="P5368">
        <v>0</v>
      </c>
      <c r="Q5368">
        <v>4</v>
      </c>
      <c r="R5368" t="s">
        <v>33</v>
      </c>
      <c r="S5368">
        <v>1</v>
      </c>
    </row>
    <row r="5369" spans="1:19" ht="16.5" x14ac:dyDescent="0.3">
      <c r="A5369" t="s">
        <v>5432</v>
      </c>
      <c r="B5369" s="1">
        <v>45999</v>
      </c>
      <c r="C5369" s="1">
        <v>46002</v>
      </c>
      <c r="D5369">
        <v>2025</v>
      </c>
      <c r="E5369" t="s">
        <v>2026</v>
      </c>
      <c r="F5369" t="s">
        <v>2496</v>
      </c>
      <c r="G5369" t="s">
        <v>22</v>
      </c>
      <c r="H5369" t="s">
        <v>23</v>
      </c>
      <c r="I5369" t="s">
        <v>31</v>
      </c>
      <c r="J5369" t="s">
        <v>43</v>
      </c>
      <c r="K5369" t="s">
        <v>32</v>
      </c>
      <c r="L5369" t="s">
        <v>27</v>
      </c>
      <c r="M5369">
        <v>3</v>
      </c>
      <c r="N5369" s="2"/>
      <c r="O5369" s="3">
        <v>2434</v>
      </c>
      <c r="P5369">
        <v>0</v>
      </c>
      <c r="Q5369">
        <v>5</v>
      </c>
      <c r="R5369" t="s">
        <v>28</v>
      </c>
      <c r="S5369">
        <v>1</v>
      </c>
    </row>
    <row r="5370" spans="1:19" ht="16.5" x14ac:dyDescent="0.3">
      <c r="A5370" t="s">
        <v>5433</v>
      </c>
      <c r="B5370" s="1">
        <v>45999</v>
      </c>
      <c r="C5370" s="1">
        <v>46013</v>
      </c>
      <c r="D5370">
        <v>2025</v>
      </c>
      <c r="E5370" t="s">
        <v>2026</v>
      </c>
      <c r="F5370" t="s">
        <v>2496</v>
      </c>
      <c r="G5370" t="s">
        <v>22</v>
      </c>
      <c r="H5370" t="s">
        <v>30</v>
      </c>
      <c r="I5370" t="s">
        <v>40</v>
      </c>
      <c r="J5370" t="s">
        <v>43</v>
      </c>
      <c r="K5370" t="s">
        <v>26</v>
      </c>
      <c r="L5370" t="s">
        <v>27</v>
      </c>
      <c r="M5370">
        <v>14</v>
      </c>
      <c r="N5370" s="2"/>
      <c r="O5370" s="3">
        <v>14341</v>
      </c>
      <c r="P5370">
        <v>0</v>
      </c>
      <c r="Q5370">
        <v>4</v>
      </c>
      <c r="R5370" t="s">
        <v>28</v>
      </c>
      <c r="S5370">
        <v>1</v>
      </c>
    </row>
    <row r="5371" spans="1:19" ht="16.5" x14ac:dyDescent="0.3">
      <c r="A5371" t="s">
        <v>5434</v>
      </c>
      <c r="B5371" s="1">
        <v>45999</v>
      </c>
      <c r="C5371" s="1">
        <v>46002</v>
      </c>
      <c r="D5371">
        <v>2025</v>
      </c>
      <c r="E5371" t="s">
        <v>2026</v>
      </c>
      <c r="F5371" t="s">
        <v>2496</v>
      </c>
      <c r="G5371" t="s">
        <v>22</v>
      </c>
      <c r="H5371" t="s">
        <v>50</v>
      </c>
      <c r="I5371" t="s">
        <v>24</v>
      </c>
      <c r="J5371" t="s">
        <v>25</v>
      </c>
      <c r="K5371" t="s">
        <v>36</v>
      </c>
      <c r="L5371" t="s">
        <v>44</v>
      </c>
      <c r="M5371">
        <v>3</v>
      </c>
      <c r="N5371" s="2">
        <v>52</v>
      </c>
      <c r="O5371" s="3">
        <v>2991</v>
      </c>
      <c r="P5371">
        <v>0</v>
      </c>
      <c r="Q5371">
        <v>5</v>
      </c>
      <c r="R5371" t="s">
        <v>28</v>
      </c>
      <c r="S5371">
        <v>1</v>
      </c>
    </row>
    <row r="5372" spans="1:19" ht="16.5" x14ac:dyDescent="0.3">
      <c r="A5372" t="s">
        <v>5435</v>
      </c>
      <c r="B5372" s="1">
        <v>45999</v>
      </c>
      <c r="C5372" s="1">
        <v>46002</v>
      </c>
      <c r="D5372">
        <v>2025</v>
      </c>
      <c r="E5372" t="s">
        <v>2026</v>
      </c>
      <c r="F5372" t="s">
        <v>2496</v>
      </c>
      <c r="G5372" t="s">
        <v>22</v>
      </c>
      <c r="H5372" t="s">
        <v>23</v>
      </c>
      <c r="I5372" t="s">
        <v>24</v>
      </c>
      <c r="J5372" t="s">
        <v>43</v>
      </c>
      <c r="K5372" t="s">
        <v>26</v>
      </c>
      <c r="L5372" t="s">
        <v>27</v>
      </c>
      <c r="M5372">
        <v>3</v>
      </c>
      <c r="N5372" s="2">
        <v>30</v>
      </c>
      <c r="O5372" s="3">
        <v>2929</v>
      </c>
      <c r="P5372">
        <v>0</v>
      </c>
      <c r="Q5372">
        <v>4</v>
      </c>
      <c r="R5372" t="s">
        <v>59</v>
      </c>
      <c r="S5372">
        <v>1</v>
      </c>
    </row>
    <row r="5373" spans="1:19" ht="16.5" x14ac:dyDescent="0.3">
      <c r="A5373" t="s">
        <v>5436</v>
      </c>
      <c r="B5373" s="1">
        <v>45999</v>
      </c>
      <c r="C5373" s="1">
        <v>46015</v>
      </c>
      <c r="D5373">
        <v>2025</v>
      </c>
      <c r="E5373" t="s">
        <v>2026</v>
      </c>
      <c r="F5373" t="s">
        <v>2496</v>
      </c>
      <c r="G5373" t="s">
        <v>22</v>
      </c>
      <c r="H5373" t="s">
        <v>39</v>
      </c>
      <c r="I5373" t="s">
        <v>24</v>
      </c>
      <c r="J5373" t="s">
        <v>25</v>
      </c>
      <c r="K5373" t="s">
        <v>41</v>
      </c>
      <c r="L5373" t="s">
        <v>44</v>
      </c>
      <c r="M5373">
        <v>16</v>
      </c>
      <c r="N5373" s="2">
        <v>102</v>
      </c>
      <c r="O5373" s="3">
        <v>11623</v>
      </c>
      <c r="P5373">
        <v>0</v>
      </c>
      <c r="Q5373">
        <v>4</v>
      </c>
      <c r="R5373" t="s">
        <v>33</v>
      </c>
      <c r="S5373">
        <v>1</v>
      </c>
    </row>
    <row r="5374" spans="1:19" ht="16.5" x14ac:dyDescent="0.3">
      <c r="A5374" t="s">
        <v>5437</v>
      </c>
      <c r="B5374" s="1">
        <v>45999</v>
      </c>
      <c r="C5374" s="1">
        <v>46002</v>
      </c>
      <c r="D5374">
        <v>2025</v>
      </c>
      <c r="E5374" t="s">
        <v>2026</v>
      </c>
      <c r="F5374" t="s">
        <v>2496</v>
      </c>
      <c r="G5374" t="s">
        <v>22</v>
      </c>
      <c r="H5374" t="s">
        <v>50</v>
      </c>
      <c r="I5374" t="s">
        <v>40</v>
      </c>
      <c r="J5374" t="s">
        <v>25</v>
      </c>
      <c r="K5374" t="s">
        <v>26</v>
      </c>
      <c r="L5374" t="s">
        <v>44</v>
      </c>
      <c r="M5374">
        <v>3</v>
      </c>
      <c r="N5374" s="2"/>
      <c r="O5374" s="3">
        <v>4329</v>
      </c>
      <c r="P5374">
        <v>0</v>
      </c>
      <c r="Q5374">
        <v>2</v>
      </c>
      <c r="R5374" t="s">
        <v>33</v>
      </c>
      <c r="S5374">
        <v>1</v>
      </c>
    </row>
    <row r="5375" spans="1:19" ht="16.5" x14ac:dyDescent="0.3">
      <c r="A5375" t="s">
        <v>5438</v>
      </c>
      <c r="B5375" s="1">
        <v>45999</v>
      </c>
      <c r="C5375" s="1">
        <v>46007</v>
      </c>
      <c r="D5375">
        <v>2025</v>
      </c>
      <c r="E5375" t="s">
        <v>2026</v>
      </c>
      <c r="F5375" t="s">
        <v>2496</v>
      </c>
      <c r="G5375" t="s">
        <v>22</v>
      </c>
      <c r="H5375" t="s">
        <v>30</v>
      </c>
      <c r="I5375" t="s">
        <v>40</v>
      </c>
      <c r="J5375" t="s">
        <v>25</v>
      </c>
      <c r="K5375" t="s">
        <v>32</v>
      </c>
      <c r="L5375" t="s">
        <v>37</v>
      </c>
      <c r="M5375">
        <v>8</v>
      </c>
      <c r="N5375" s="2"/>
      <c r="O5375" s="3">
        <v>10332</v>
      </c>
      <c r="P5375">
        <v>0</v>
      </c>
      <c r="Q5375">
        <v>3</v>
      </c>
      <c r="R5375" t="s">
        <v>28</v>
      </c>
      <c r="S5375">
        <v>1</v>
      </c>
    </row>
    <row r="5376" spans="1:19" ht="16.5" x14ac:dyDescent="0.3">
      <c r="A5376" t="s">
        <v>5439</v>
      </c>
      <c r="B5376" s="1">
        <v>45999</v>
      </c>
      <c r="C5376" s="1">
        <v>46005</v>
      </c>
      <c r="D5376">
        <v>2025</v>
      </c>
      <c r="E5376" t="s">
        <v>2026</v>
      </c>
      <c r="F5376" t="s">
        <v>2496</v>
      </c>
      <c r="G5376" t="s">
        <v>22</v>
      </c>
      <c r="H5376" t="s">
        <v>23</v>
      </c>
      <c r="I5376" t="s">
        <v>24</v>
      </c>
      <c r="J5376" t="s">
        <v>43</v>
      </c>
      <c r="K5376" t="s">
        <v>32</v>
      </c>
      <c r="L5376" t="s">
        <v>44</v>
      </c>
      <c r="M5376">
        <v>6</v>
      </c>
      <c r="N5376" s="2">
        <v>107</v>
      </c>
      <c r="O5376" s="3">
        <v>5143</v>
      </c>
      <c r="P5376">
        <v>0</v>
      </c>
      <c r="Q5376">
        <v>4</v>
      </c>
      <c r="R5376" t="s">
        <v>33</v>
      </c>
      <c r="S5376">
        <v>1</v>
      </c>
    </row>
    <row r="5377" spans="1:19" ht="16.5" x14ac:dyDescent="0.3">
      <c r="A5377" t="s">
        <v>5440</v>
      </c>
      <c r="B5377" s="1">
        <v>46000</v>
      </c>
      <c r="C5377" s="1">
        <v>46012</v>
      </c>
      <c r="D5377">
        <v>2025</v>
      </c>
      <c r="E5377" t="s">
        <v>2026</v>
      </c>
      <c r="F5377" t="s">
        <v>2496</v>
      </c>
      <c r="G5377" t="s">
        <v>56</v>
      </c>
      <c r="H5377" t="s">
        <v>35</v>
      </c>
      <c r="I5377" t="s">
        <v>24</v>
      </c>
      <c r="J5377" t="s">
        <v>25</v>
      </c>
      <c r="K5377" t="s">
        <v>32</v>
      </c>
      <c r="L5377" t="s">
        <v>37</v>
      </c>
      <c r="M5377">
        <v>12</v>
      </c>
      <c r="N5377" s="2">
        <v>110</v>
      </c>
      <c r="O5377" s="3">
        <v>9328</v>
      </c>
      <c r="P5377">
        <v>0</v>
      </c>
      <c r="Q5377">
        <v>3</v>
      </c>
      <c r="R5377" t="s">
        <v>28</v>
      </c>
      <c r="S5377">
        <v>1</v>
      </c>
    </row>
    <row r="5378" spans="1:19" ht="16.5" x14ac:dyDescent="0.3">
      <c r="A5378" t="s">
        <v>5441</v>
      </c>
      <c r="B5378" s="1">
        <v>46000</v>
      </c>
      <c r="C5378" s="1">
        <v>46006</v>
      </c>
      <c r="D5378">
        <v>2025</v>
      </c>
      <c r="E5378" t="s">
        <v>2026</v>
      </c>
      <c r="F5378" t="s">
        <v>2496</v>
      </c>
      <c r="G5378" t="s">
        <v>56</v>
      </c>
      <c r="H5378" t="s">
        <v>30</v>
      </c>
      <c r="I5378" t="s">
        <v>40</v>
      </c>
      <c r="J5378" t="s">
        <v>43</v>
      </c>
      <c r="K5378" t="s">
        <v>36</v>
      </c>
      <c r="L5378" t="s">
        <v>27</v>
      </c>
      <c r="M5378">
        <v>6</v>
      </c>
      <c r="N5378" s="2"/>
      <c r="O5378" s="3">
        <v>7858</v>
      </c>
      <c r="P5378">
        <v>0</v>
      </c>
      <c r="Q5378">
        <v>5</v>
      </c>
      <c r="R5378" t="s">
        <v>33</v>
      </c>
      <c r="S5378">
        <v>1</v>
      </c>
    </row>
    <row r="5379" spans="1:19" ht="16.5" x14ac:dyDescent="0.3">
      <c r="A5379" t="s">
        <v>5442</v>
      </c>
      <c r="B5379" s="1">
        <v>46000</v>
      </c>
      <c r="C5379" s="1">
        <v>46005</v>
      </c>
      <c r="D5379">
        <v>2025</v>
      </c>
      <c r="E5379" t="s">
        <v>2026</v>
      </c>
      <c r="F5379" t="s">
        <v>2496</v>
      </c>
      <c r="G5379" t="s">
        <v>56</v>
      </c>
      <c r="H5379" t="s">
        <v>30</v>
      </c>
      <c r="I5379" t="s">
        <v>40</v>
      </c>
      <c r="J5379" t="s">
        <v>43</v>
      </c>
      <c r="K5379" t="s">
        <v>53</v>
      </c>
      <c r="L5379" t="s">
        <v>44</v>
      </c>
      <c r="M5379">
        <v>5</v>
      </c>
      <c r="N5379" s="2"/>
      <c r="O5379" s="3">
        <v>7655</v>
      </c>
      <c r="P5379">
        <v>0</v>
      </c>
      <c r="Q5379">
        <v>4</v>
      </c>
      <c r="R5379" t="s">
        <v>33</v>
      </c>
      <c r="S5379">
        <v>1</v>
      </c>
    </row>
    <row r="5380" spans="1:19" ht="16.5" x14ac:dyDescent="0.3">
      <c r="A5380" t="s">
        <v>5443</v>
      </c>
      <c r="B5380" s="1">
        <v>46000</v>
      </c>
      <c r="C5380" s="1">
        <v>46001</v>
      </c>
      <c r="D5380">
        <v>2025</v>
      </c>
      <c r="E5380" t="s">
        <v>2026</v>
      </c>
      <c r="F5380" t="s">
        <v>2496</v>
      </c>
      <c r="G5380" t="s">
        <v>56</v>
      </c>
      <c r="H5380" t="s">
        <v>39</v>
      </c>
      <c r="I5380" t="s">
        <v>31</v>
      </c>
      <c r="J5380" t="s">
        <v>43</v>
      </c>
      <c r="K5380" t="s">
        <v>41</v>
      </c>
      <c r="L5380" t="s">
        <v>44</v>
      </c>
      <c r="M5380">
        <v>1</v>
      </c>
      <c r="N5380" s="2"/>
      <c r="O5380" s="3">
        <v>1679</v>
      </c>
      <c r="P5380">
        <v>0</v>
      </c>
      <c r="Q5380">
        <v>4</v>
      </c>
      <c r="R5380" t="s">
        <v>33</v>
      </c>
      <c r="S5380">
        <v>1</v>
      </c>
    </row>
    <row r="5381" spans="1:19" ht="16.5" x14ac:dyDescent="0.3">
      <c r="A5381" t="s">
        <v>5444</v>
      </c>
      <c r="B5381" s="1">
        <v>46000</v>
      </c>
      <c r="C5381" s="1">
        <v>46010</v>
      </c>
      <c r="D5381">
        <v>2025</v>
      </c>
      <c r="E5381" t="s">
        <v>2026</v>
      </c>
      <c r="F5381" t="s">
        <v>2496</v>
      </c>
      <c r="G5381" t="s">
        <v>56</v>
      </c>
      <c r="H5381" t="s">
        <v>39</v>
      </c>
      <c r="I5381" t="s">
        <v>24</v>
      </c>
      <c r="J5381" t="s">
        <v>25</v>
      </c>
      <c r="K5381" t="s">
        <v>41</v>
      </c>
      <c r="L5381" t="s">
        <v>27</v>
      </c>
      <c r="M5381">
        <v>10</v>
      </c>
      <c r="N5381" s="2">
        <v>94</v>
      </c>
      <c r="O5381" s="3">
        <v>6432</v>
      </c>
      <c r="P5381">
        <v>0</v>
      </c>
      <c r="Q5381">
        <v>2</v>
      </c>
      <c r="R5381" t="s">
        <v>33</v>
      </c>
      <c r="S5381">
        <v>1</v>
      </c>
    </row>
    <row r="5382" spans="1:19" ht="16.5" x14ac:dyDescent="0.3">
      <c r="A5382" t="s">
        <v>5445</v>
      </c>
      <c r="B5382" s="1">
        <v>46000</v>
      </c>
      <c r="C5382" s="1">
        <v>46002</v>
      </c>
      <c r="D5382">
        <v>2025</v>
      </c>
      <c r="E5382" t="s">
        <v>2026</v>
      </c>
      <c r="F5382" t="s">
        <v>2496</v>
      </c>
      <c r="G5382" t="s">
        <v>56</v>
      </c>
      <c r="H5382" t="s">
        <v>52</v>
      </c>
      <c r="I5382" t="s">
        <v>40</v>
      </c>
      <c r="J5382" t="s">
        <v>25</v>
      </c>
      <c r="K5382" t="s">
        <v>32</v>
      </c>
      <c r="L5382" t="s">
        <v>44</v>
      </c>
      <c r="M5382">
        <v>2</v>
      </c>
      <c r="N5382" s="2"/>
      <c r="O5382" s="3">
        <v>2900</v>
      </c>
      <c r="P5382">
        <v>0</v>
      </c>
      <c r="Q5382">
        <v>5</v>
      </c>
      <c r="R5382" t="s">
        <v>28</v>
      </c>
      <c r="S5382">
        <v>1</v>
      </c>
    </row>
    <row r="5383" spans="1:19" ht="16.5" x14ac:dyDescent="0.3">
      <c r="A5383" t="s">
        <v>5446</v>
      </c>
      <c r="B5383" s="1">
        <v>46000</v>
      </c>
      <c r="C5383" s="1">
        <v>46002</v>
      </c>
      <c r="D5383">
        <v>2025</v>
      </c>
      <c r="E5383" t="s">
        <v>2026</v>
      </c>
      <c r="F5383" t="s">
        <v>2496</v>
      </c>
      <c r="G5383" t="s">
        <v>56</v>
      </c>
      <c r="H5383" t="s">
        <v>39</v>
      </c>
      <c r="I5383" t="s">
        <v>40</v>
      </c>
      <c r="J5383" t="s">
        <v>43</v>
      </c>
      <c r="K5383" t="s">
        <v>41</v>
      </c>
      <c r="L5383" t="s">
        <v>37</v>
      </c>
      <c r="M5383">
        <v>2</v>
      </c>
      <c r="N5383" s="2"/>
      <c r="O5383" s="3">
        <v>2396</v>
      </c>
      <c r="P5383">
        <v>0</v>
      </c>
      <c r="Q5383">
        <v>5</v>
      </c>
      <c r="R5383" t="s">
        <v>33</v>
      </c>
      <c r="S5383">
        <v>1</v>
      </c>
    </row>
    <row r="5384" spans="1:19" ht="16.5" x14ac:dyDescent="0.3">
      <c r="A5384" t="s">
        <v>5447</v>
      </c>
      <c r="B5384" s="1">
        <v>46000</v>
      </c>
      <c r="C5384" s="1">
        <v>46005</v>
      </c>
      <c r="D5384">
        <v>2025</v>
      </c>
      <c r="E5384" t="s">
        <v>2026</v>
      </c>
      <c r="F5384" t="s">
        <v>2496</v>
      </c>
      <c r="G5384" t="s">
        <v>56</v>
      </c>
      <c r="H5384" t="s">
        <v>23</v>
      </c>
      <c r="I5384" t="s">
        <v>24</v>
      </c>
      <c r="J5384" t="s">
        <v>43</v>
      </c>
      <c r="K5384" t="s">
        <v>53</v>
      </c>
      <c r="L5384" t="s">
        <v>27</v>
      </c>
      <c r="M5384">
        <v>5</v>
      </c>
      <c r="N5384" s="2">
        <v>34</v>
      </c>
      <c r="O5384" s="3">
        <v>4191</v>
      </c>
      <c r="P5384">
        <v>0</v>
      </c>
      <c r="Q5384">
        <v>3</v>
      </c>
      <c r="R5384" t="s">
        <v>33</v>
      </c>
      <c r="S5384">
        <v>1</v>
      </c>
    </row>
    <row r="5385" spans="1:19" ht="16.5" x14ac:dyDescent="0.3">
      <c r="A5385" t="s">
        <v>5448</v>
      </c>
      <c r="B5385" s="1">
        <v>46000</v>
      </c>
      <c r="C5385" s="1">
        <v>46011</v>
      </c>
      <c r="D5385">
        <v>2025</v>
      </c>
      <c r="E5385" t="s">
        <v>2026</v>
      </c>
      <c r="F5385" t="s">
        <v>2496</v>
      </c>
      <c r="G5385" t="s">
        <v>56</v>
      </c>
      <c r="H5385" t="s">
        <v>23</v>
      </c>
      <c r="I5385" t="s">
        <v>24</v>
      </c>
      <c r="J5385" t="s">
        <v>25</v>
      </c>
      <c r="K5385" t="s">
        <v>53</v>
      </c>
      <c r="L5385" t="s">
        <v>44</v>
      </c>
      <c r="M5385">
        <v>11</v>
      </c>
      <c r="N5385" s="2">
        <v>32</v>
      </c>
      <c r="O5385" s="3">
        <v>8712</v>
      </c>
      <c r="P5385">
        <v>0</v>
      </c>
      <c r="Q5385">
        <v>2</v>
      </c>
      <c r="R5385" t="s">
        <v>33</v>
      </c>
      <c r="S5385">
        <v>1</v>
      </c>
    </row>
    <row r="5386" spans="1:19" ht="16.5" x14ac:dyDescent="0.3">
      <c r="A5386" t="s">
        <v>5449</v>
      </c>
      <c r="B5386" s="1">
        <v>46000</v>
      </c>
      <c r="C5386" s="1">
        <v>46001</v>
      </c>
      <c r="D5386">
        <v>2025</v>
      </c>
      <c r="E5386" t="s">
        <v>2026</v>
      </c>
      <c r="F5386" t="s">
        <v>2496</v>
      </c>
      <c r="G5386" t="s">
        <v>56</v>
      </c>
      <c r="H5386" t="s">
        <v>39</v>
      </c>
      <c r="I5386" t="s">
        <v>40</v>
      </c>
      <c r="J5386" t="s">
        <v>43</v>
      </c>
      <c r="K5386" t="s">
        <v>41</v>
      </c>
      <c r="L5386" t="s">
        <v>27</v>
      </c>
      <c r="M5386">
        <v>1</v>
      </c>
      <c r="N5386" s="2"/>
      <c r="O5386" s="3">
        <v>1864</v>
      </c>
      <c r="P5386">
        <v>0</v>
      </c>
      <c r="Q5386">
        <v>4</v>
      </c>
      <c r="R5386" t="s">
        <v>28</v>
      </c>
      <c r="S5386">
        <v>1</v>
      </c>
    </row>
    <row r="5387" spans="1:19" ht="16.5" x14ac:dyDescent="0.3">
      <c r="A5387" t="s">
        <v>5450</v>
      </c>
      <c r="B5387" s="1">
        <v>46000</v>
      </c>
      <c r="C5387" s="1">
        <v>46008</v>
      </c>
      <c r="D5387">
        <v>2025</v>
      </c>
      <c r="E5387" t="s">
        <v>2026</v>
      </c>
      <c r="F5387" t="s">
        <v>2496</v>
      </c>
      <c r="G5387" t="s">
        <v>56</v>
      </c>
      <c r="H5387" t="s">
        <v>23</v>
      </c>
      <c r="I5387" t="s">
        <v>24</v>
      </c>
      <c r="J5387" t="s">
        <v>43</v>
      </c>
      <c r="K5387" t="s">
        <v>26</v>
      </c>
      <c r="L5387" t="s">
        <v>44</v>
      </c>
      <c r="M5387">
        <v>8</v>
      </c>
      <c r="N5387" s="2">
        <v>129</v>
      </c>
      <c r="O5387" s="3">
        <v>5570</v>
      </c>
      <c r="P5387">
        <v>0</v>
      </c>
      <c r="Q5387">
        <v>3</v>
      </c>
      <c r="R5387" t="s">
        <v>59</v>
      </c>
      <c r="S5387">
        <v>1</v>
      </c>
    </row>
    <row r="5388" spans="1:19" ht="16.5" x14ac:dyDescent="0.3">
      <c r="A5388" t="s">
        <v>5451</v>
      </c>
      <c r="B5388" s="1">
        <v>46000</v>
      </c>
      <c r="C5388" s="1">
        <v>46014</v>
      </c>
      <c r="D5388">
        <v>2025</v>
      </c>
      <c r="E5388" t="s">
        <v>2026</v>
      </c>
      <c r="F5388" t="s">
        <v>2496</v>
      </c>
      <c r="G5388" t="s">
        <v>56</v>
      </c>
      <c r="H5388" t="s">
        <v>50</v>
      </c>
      <c r="I5388" t="s">
        <v>40</v>
      </c>
      <c r="J5388" t="s">
        <v>25</v>
      </c>
      <c r="K5388" t="s">
        <v>26</v>
      </c>
      <c r="L5388" t="s">
        <v>27</v>
      </c>
      <c r="M5388">
        <v>14</v>
      </c>
      <c r="N5388" s="2"/>
      <c r="O5388" s="3">
        <v>18138</v>
      </c>
      <c r="P5388">
        <v>0</v>
      </c>
      <c r="Q5388">
        <v>4</v>
      </c>
      <c r="R5388" t="s">
        <v>33</v>
      </c>
      <c r="S5388">
        <v>1</v>
      </c>
    </row>
    <row r="5389" spans="1:19" ht="16.5" x14ac:dyDescent="0.3">
      <c r="A5389" t="s">
        <v>5452</v>
      </c>
      <c r="B5389" s="1">
        <v>46001</v>
      </c>
      <c r="C5389" s="1">
        <v>46005</v>
      </c>
      <c r="D5389">
        <v>2025</v>
      </c>
      <c r="E5389" t="s">
        <v>2026</v>
      </c>
      <c r="F5389" t="s">
        <v>2496</v>
      </c>
      <c r="G5389" t="s">
        <v>70</v>
      </c>
      <c r="H5389" t="s">
        <v>30</v>
      </c>
      <c r="I5389" t="s">
        <v>40</v>
      </c>
      <c r="J5389" t="s">
        <v>25</v>
      </c>
      <c r="K5389" t="s">
        <v>53</v>
      </c>
      <c r="L5389" t="s">
        <v>44</v>
      </c>
      <c r="M5389">
        <v>4</v>
      </c>
      <c r="N5389" s="2"/>
      <c r="O5389" s="3">
        <v>3869</v>
      </c>
      <c r="P5389">
        <v>0</v>
      </c>
      <c r="Q5389">
        <v>4</v>
      </c>
      <c r="R5389" t="s">
        <v>33</v>
      </c>
      <c r="S5389">
        <v>1</v>
      </c>
    </row>
    <row r="5390" spans="1:19" ht="16.5" x14ac:dyDescent="0.3">
      <c r="A5390" t="s">
        <v>5453</v>
      </c>
      <c r="B5390" s="1">
        <v>46001</v>
      </c>
      <c r="C5390" s="1">
        <v>46014</v>
      </c>
      <c r="D5390">
        <v>2025</v>
      </c>
      <c r="E5390" t="s">
        <v>2026</v>
      </c>
      <c r="F5390" t="s">
        <v>2496</v>
      </c>
      <c r="G5390" t="s">
        <v>70</v>
      </c>
      <c r="H5390" t="s">
        <v>52</v>
      </c>
      <c r="I5390" t="s">
        <v>24</v>
      </c>
      <c r="J5390" t="s">
        <v>25</v>
      </c>
      <c r="K5390" t="s">
        <v>26</v>
      </c>
      <c r="L5390" t="s">
        <v>27</v>
      </c>
      <c r="M5390">
        <v>13</v>
      </c>
      <c r="N5390" s="2">
        <v>80</v>
      </c>
      <c r="O5390" s="3">
        <v>11131</v>
      </c>
      <c r="P5390">
        <v>0</v>
      </c>
      <c r="Q5390">
        <v>4</v>
      </c>
      <c r="R5390" t="s">
        <v>28</v>
      </c>
      <c r="S5390">
        <v>1</v>
      </c>
    </row>
    <row r="5391" spans="1:19" ht="16.5" x14ac:dyDescent="0.3">
      <c r="A5391" t="s">
        <v>5454</v>
      </c>
      <c r="B5391" s="1">
        <v>46001</v>
      </c>
      <c r="C5391" s="1">
        <v>46007</v>
      </c>
      <c r="D5391">
        <v>2025</v>
      </c>
      <c r="E5391" t="s">
        <v>2026</v>
      </c>
      <c r="F5391" t="s">
        <v>2496</v>
      </c>
      <c r="G5391" t="s">
        <v>70</v>
      </c>
      <c r="H5391" t="s">
        <v>50</v>
      </c>
      <c r="I5391" t="s">
        <v>24</v>
      </c>
      <c r="J5391" t="s">
        <v>25</v>
      </c>
      <c r="K5391" t="s">
        <v>53</v>
      </c>
      <c r="L5391" t="s">
        <v>37</v>
      </c>
      <c r="M5391">
        <v>6</v>
      </c>
      <c r="N5391" s="2">
        <v>73</v>
      </c>
      <c r="O5391" s="3">
        <v>8541</v>
      </c>
      <c r="P5391">
        <v>0</v>
      </c>
      <c r="Q5391">
        <v>4</v>
      </c>
      <c r="R5391" t="s">
        <v>33</v>
      </c>
      <c r="S5391">
        <v>1</v>
      </c>
    </row>
    <row r="5392" spans="1:19" ht="16.5" x14ac:dyDescent="0.3">
      <c r="A5392" t="s">
        <v>5455</v>
      </c>
      <c r="B5392" s="1">
        <v>46001</v>
      </c>
      <c r="C5392" s="1">
        <v>46006</v>
      </c>
      <c r="D5392">
        <v>2025</v>
      </c>
      <c r="E5392" t="s">
        <v>2026</v>
      </c>
      <c r="F5392" t="s">
        <v>2496</v>
      </c>
      <c r="G5392" t="s">
        <v>70</v>
      </c>
      <c r="H5392" t="s">
        <v>23</v>
      </c>
      <c r="I5392" t="s">
        <v>31</v>
      </c>
      <c r="J5392" t="s">
        <v>25</v>
      </c>
      <c r="K5392" t="s">
        <v>32</v>
      </c>
      <c r="L5392" t="s">
        <v>27</v>
      </c>
      <c r="M5392">
        <v>5</v>
      </c>
      <c r="N5392" s="2"/>
      <c r="O5392" s="3">
        <v>4687</v>
      </c>
      <c r="P5392">
        <v>0</v>
      </c>
      <c r="Q5392">
        <v>3</v>
      </c>
      <c r="R5392" t="s">
        <v>28</v>
      </c>
      <c r="S5392">
        <v>1</v>
      </c>
    </row>
    <row r="5393" spans="1:19" ht="16.5" x14ac:dyDescent="0.3">
      <c r="A5393" t="s">
        <v>5456</v>
      </c>
      <c r="B5393" s="1">
        <v>46001</v>
      </c>
      <c r="C5393" s="1">
        <v>46003</v>
      </c>
      <c r="D5393">
        <v>2025</v>
      </c>
      <c r="E5393" t="s">
        <v>2026</v>
      </c>
      <c r="F5393" t="s">
        <v>2496</v>
      </c>
      <c r="G5393" t="s">
        <v>70</v>
      </c>
      <c r="H5393" t="s">
        <v>39</v>
      </c>
      <c r="I5393" t="s">
        <v>24</v>
      </c>
      <c r="J5393" t="s">
        <v>43</v>
      </c>
      <c r="K5393" t="s">
        <v>41</v>
      </c>
      <c r="L5393" t="s">
        <v>27</v>
      </c>
      <c r="M5393">
        <v>2</v>
      </c>
      <c r="N5393" s="2">
        <v>122</v>
      </c>
      <c r="O5393" s="3">
        <v>1685</v>
      </c>
      <c r="P5393">
        <v>0</v>
      </c>
      <c r="Q5393">
        <v>3</v>
      </c>
      <c r="R5393" t="s">
        <v>28</v>
      </c>
      <c r="S5393">
        <v>1</v>
      </c>
    </row>
    <row r="5394" spans="1:19" ht="16.5" x14ac:dyDescent="0.3">
      <c r="A5394" t="s">
        <v>5457</v>
      </c>
      <c r="B5394" s="1">
        <v>46001</v>
      </c>
      <c r="C5394" s="1">
        <v>46002</v>
      </c>
      <c r="D5394">
        <v>2025</v>
      </c>
      <c r="E5394" t="s">
        <v>2026</v>
      </c>
      <c r="F5394" t="s">
        <v>2496</v>
      </c>
      <c r="G5394" t="s">
        <v>70</v>
      </c>
      <c r="H5394" t="s">
        <v>52</v>
      </c>
      <c r="I5394" t="s">
        <v>24</v>
      </c>
      <c r="J5394" t="s">
        <v>43</v>
      </c>
      <c r="K5394" t="s">
        <v>36</v>
      </c>
      <c r="L5394" t="s">
        <v>37</v>
      </c>
      <c r="M5394">
        <v>1</v>
      </c>
      <c r="N5394" s="2">
        <v>19</v>
      </c>
      <c r="O5394" s="3">
        <v>1946</v>
      </c>
      <c r="P5394">
        <v>0</v>
      </c>
      <c r="Q5394">
        <v>4</v>
      </c>
      <c r="R5394" t="s">
        <v>33</v>
      </c>
      <c r="S5394">
        <v>1</v>
      </c>
    </row>
    <row r="5395" spans="1:19" ht="16.5" x14ac:dyDescent="0.3">
      <c r="A5395" t="s">
        <v>5458</v>
      </c>
      <c r="B5395" s="1">
        <v>46001</v>
      </c>
      <c r="C5395" s="1">
        <v>46011</v>
      </c>
      <c r="D5395">
        <v>2025</v>
      </c>
      <c r="E5395" t="s">
        <v>2026</v>
      </c>
      <c r="F5395" t="s">
        <v>2496</v>
      </c>
      <c r="G5395" t="s">
        <v>70</v>
      </c>
      <c r="H5395" t="s">
        <v>50</v>
      </c>
      <c r="I5395" t="s">
        <v>24</v>
      </c>
      <c r="J5395" t="s">
        <v>43</v>
      </c>
      <c r="K5395" t="s">
        <v>26</v>
      </c>
      <c r="L5395" t="s">
        <v>44</v>
      </c>
      <c r="M5395">
        <v>10</v>
      </c>
      <c r="N5395" s="2">
        <v>197</v>
      </c>
      <c r="O5395" s="3">
        <v>8763</v>
      </c>
      <c r="P5395">
        <v>0</v>
      </c>
      <c r="Q5395">
        <v>3</v>
      </c>
      <c r="R5395" t="s">
        <v>28</v>
      </c>
      <c r="S5395">
        <v>1</v>
      </c>
    </row>
    <row r="5396" spans="1:19" ht="16.5" x14ac:dyDescent="0.3">
      <c r="A5396" t="s">
        <v>5459</v>
      </c>
      <c r="B5396" s="1">
        <v>46002</v>
      </c>
      <c r="C5396" s="1">
        <v>46008</v>
      </c>
      <c r="D5396">
        <v>2025</v>
      </c>
      <c r="E5396" t="s">
        <v>2026</v>
      </c>
      <c r="F5396" t="s">
        <v>2496</v>
      </c>
      <c r="G5396" t="s">
        <v>78</v>
      </c>
      <c r="H5396" t="s">
        <v>30</v>
      </c>
      <c r="I5396" t="s">
        <v>24</v>
      </c>
      <c r="J5396" t="s">
        <v>43</v>
      </c>
      <c r="K5396" t="s">
        <v>36</v>
      </c>
      <c r="L5396" t="s">
        <v>37</v>
      </c>
      <c r="M5396">
        <v>6</v>
      </c>
      <c r="N5396" s="2">
        <v>111</v>
      </c>
      <c r="O5396" s="3">
        <v>5964</v>
      </c>
      <c r="P5396">
        <v>0</v>
      </c>
      <c r="Q5396">
        <v>3</v>
      </c>
      <c r="R5396" t="s">
        <v>33</v>
      </c>
      <c r="S5396">
        <v>1</v>
      </c>
    </row>
    <row r="5397" spans="1:19" ht="16.5" x14ac:dyDescent="0.3">
      <c r="A5397" t="s">
        <v>5460</v>
      </c>
      <c r="B5397" s="1">
        <v>46002</v>
      </c>
      <c r="C5397" s="1">
        <v>46005</v>
      </c>
      <c r="D5397">
        <v>2025</v>
      </c>
      <c r="E5397" t="s">
        <v>2026</v>
      </c>
      <c r="F5397" t="s">
        <v>2496</v>
      </c>
      <c r="G5397" t="s">
        <v>78</v>
      </c>
      <c r="H5397" t="s">
        <v>52</v>
      </c>
      <c r="I5397" t="s">
        <v>31</v>
      </c>
      <c r="J5397" t="s">
        <v>43</v>
      </c>
      <c r="K5397" t="s">
        <v>36</v>
      </c>
      <c r="L5397" t="s">
        <v>44</v>
      </c>
      <c r="M5397">
        <v>3</v>
      </c>
      <c r="N5397" s="2"/>
      <c r="O5397" s="3">
        <v>3809</v>
      </c>
      <c r="P5397">
        <v>0</v>
      </c>
      <c r="Q5397">
        <v>5</v>
      </c>
      <c r="R5397" t="s">
        <v>33</v>
      </c>
      <c r="S5397">
        <v>1</v>
      </c>
    </row>
    <row r="5398" spans="1:19" ht="16.5" x14ac:dyDescent="0.3">
      <c r="A5398" t="s">
        <v>5461</v>
      </c>
      <c r="B5398" s="1">
        <v>46002</v>
      </c>
      <c r="C5398" s="1">
        <v>46014</v>
      </c>
      <c r="D5398">
        <v>2025</v>
      </c>
      <c r="E5398" t="s">
        <v>2026</v>
      </c>
      <c r="F5398" t="s">
        <v>2496</v>
      </c>
      <c r="G5398" t="s">
        <v>78</v>
      </c>
      <c r="H5398" t="s">
        <v>52</v>
      </c>
      <c r="I5398" t="s">
        <v>40</v>
      </c>
      <c r="J5398" t="s">
        <v>43</v>
      </c>
      <c r="K5398" t="s">
        <v>26</v>
      </c>
      <c r="L5398" t="s">
        <v>27</v>
      </c>
      <c r="M5398">
        <v>12</v>
      </c>
      <c r="N5398" s="2"/>
      <c r="O5398" s="3">
        <v>16930</v>
      </c>
      <c r="P5398">
        <v>0</v>
      </c>
      <c r="Q5398">
        <v>3</v>
      </c>
      <c r="R5398" t="s">
        <v>33</v>
      </c>
      <c r="S5398">
        <v>1</v>
      </c>
    </row>
    <row r="5399" spans="1:19" ht="16.5" x14ac:dyDescent="0.3">
      <c r="A5399" t="s">
        <v>5462</v>
      </c>
      <c r="B5399" s="1">
        <v>46003</v>
      </c>
      <c r="C5399" s="1">
        <v>46007</v>
      </c>
      <c r="D5399">
        <v>2025</v>
      </c>
      <c r="E5399" t="s">
        <v>2026</v>
      </c>
      <c r="F5399" t="s">
        <v>2496</v>
      </c>
      <c r="G5399" t="s">
        <v>83</v>
      </c>
      <c r="H5399" t="s">
        <v>23</v>
      </c>
      <c r="I5399" t="s">
        <v>24</v>
      </c>
      <c r="J5399" t="s">
        <v>43</v>
      </c>
      <c r="K5399" t="s">
        <v>53</v>
      </c>
      <c r="L5399" t="s">
        <v>27</v>
      </c>
      <c r="M5399">
        <v>4</v>
      </c>
      <c r="N5399" s="2">
        <v>204</v>
      </c>
      <c r="O5399" s="3">
        <v>2849</v>
      </c>
      <c r="P5399">
        <v>0</v>
      </c>
      <c r="Q5399">
        <v>4</v>
      </c>
      <c r="R5399" t="s">
        <v>33</v>
      </c>
      <c r="S5399">
        <v>1</v>
      </c>
    </row>
    <row r="5400" spans="1:19" ht="16.5" x14ac:dyDescent="0.3">
      <c r="A5400" t="s">
        <v>5463</v>
      </c>
      <c r="B5400" s="1">
        <v>46003</v>
      </c>
      <c r="C5400" s="1">
        <v>46015</v>
      </c>
      <c r="D5400">
        <v>2025</v>
      </c>
      <c r="E5400" t="s">
        <v>2026</v>
      </c>
      <c r="F5400" t="s">
        <v>2496</v>
      </c>
      <c r="G5400" t="s">
        <v>83</v>
      </c>
      <c r="H5400" t="s">
        <v>23</v>
      </c>
      <c r="I5400" t="s">
        <v>24</v>
      </c>
      <c r="J5400" t="s">
        <v>43</v>
      </c>
      <c r="K5400" t="s">
        <v>26</v>
      </c>
      <c r="L5400" t="s">
        <v>27</v>
      </c>
      <c r="M5400">
        <v>12</v>
      </c>
      <c r="N5400" s="2">
        <v>83</v>
      </c>
      <c r="O5400" s="3">
        <v>8767</v>
      </c>
      <c r="P5400">
        <v>0</v>
      </c>
      <c r="Q5400">
        <v>4</v>
      </c>
      <c r="R5400" t="s">
        <v>33</v>
      </c>
      <c r="S5400">
        <v>1</v>
      </c>
    </row>
    <row r="5401" spans="1:19" ht="16.5" x14ac:dyDescent="0.3">
      <c r="A5401" t="s">
        <v>5464</v>
      </c>
      <c r="B5401" s="1">
        <v>46003</v>
      </c>
      <c r="C5401" s="1">
        <v>46007</v>
      </c>
      <c r="D5401">
        <v>2025</v>
      </c>
      <c r="E5401" t="s">
        <v>2026</v>
      </c>
      <c r="F5401" t="s">
        <v>2496</v>
      </c>
      <c r="G5401" t="s">
        <v>83</v>
      </c>
      <c r="H5401" t="s">
        <v>23</v>
      </c>
      <c r="I5401" t="s">
        <v>24</v>
      </c>
      <c r="J5401" t="s">
        <v>43</v>
      </c>
      <c r="K5401" t="s">
        <v>26</v>
      </c>
      <c r="L5401" t="s">
        <v>27</v>
      </c>
      <c r="M5401">
        <v>4</v>
      </c>
      <c r="N5401" s="2">
        <v>127</v>
      </c>
      <c r="O5401" s="3">
        <v>4149</v>
      </c>
      <c r="P5401">
        <v>0</v>
      </c>
      <c r="Q5401">
        <v>4</v>
      </c>
      <c r="R5401" t="s">
        <v>33</v>
      </c>
      <c r="S5401">
        <v>1</v>
      </c>
    </row>
    <row r="5402" spans="1:19" ht="16.5" x14ac:dyDescent="0.3">
      <c r="A5402" t="s">
        <v>5465</v>
      </c>
      <c r="B5402" s="1">
        <v>46003</v>
      </c>
      <c r="C5402" s="1">
        <v>46005</v>
      </c>
      <c r="D5402">
        <v>2025</v>
      </c>
      <c r="E5402" t="s">
        <v>2026</v>
      </c>
      <c r="F5402" t="s">
        <v>2496</v>
      </c>
      <c r="G5402" t="s">
        <v>83</v>
      </c>
      <c r="H5402" t="s">
        <v>30</v>
      </c>
      <c r="I5402" t="s">
        <v>31</v>
      </c>
      <c r="J5402" t="s">
        <v>25</v>
      </c>
      <c r="K5402" t="s">
        <v>36</v>
      </c>
      <c r="L5402" t="s">
        <v>27</v>
      </c>
      <c r="M5402">
        <v>2</v>
      </c>
      <c r="N5402" s="2"/>
      <c r="O5402" s="3">
        <v>2665</v>
      </c>
      <c r="P5402">
        <v>0</v>
      </c>
      <c r="Q5402">
        <v>5</v>
      </c>
      <c r="R5402" t="s">
        <v>28</v>
      </c>
      <c r="S5402">
        <v>1</v>
      </c>
    </row>
    <row r="5403" spans="1:19" ht="16.5" x14ac:dyDescent="0.3">
      <c r="A5403" t="s">
        <v>5466</v>
      </c>
      <c r="B5403" s="1">
        <v>46003</v>
      </c>
      <c r="C5403" s="1">
        <v>46004</v>
      </c>
      <c r="D5403">
        <v>2025</v>
      </c>
      <c r="E5403" t="s">
        <v>2026</v>
      </c>
      <c r="F5403" t="s">
        <v>2496</v>
      </c>
      <c r="G5403" t="s">
        <v>83</v>
      </c>
      <c r="H5403" t="s">
        <v>30</v>
      </c>
      <c r="I5403" t="s">
        <v>24</v>
      </c>
      <c r="J5403" t="s">
        <v>25</v>
      </c>
      <c r="K5403" t="s">
        <v>26</v>
      </c>
      <c r="L5403" t="s">
        <v>44</v>
      </c>
      <c r="M5403">
        <v>1</v>
      </c>
      <c r="N5403" s="2">
        <v>42</v>
      </c>
      <c r="O5403" s="3">
        <v>1758</v>
      </c>
      <c r="P5403">
        <v>0</v>
      </c>
      <c r="Q5403">
        <v>5</v>
      </c>
      <c r="R5403" t="s">
        <v>28</v>
      </c>
      <c r="S5403">
        <v>1</v>
      </c>
    </row>
    <row r="5404" spans="1:19" ht="16.5" x14ac:dyDescent="0.3">
      <c r="A5404" t="s">
        <v>5467</v>
      </c>
      <c r="B5404" s="1">
        <v>46003</v>
      </c>
      <c r="C5404" s="1">
        <v>46012</v>
      </c>
      <c r="D5404">
        <v>2025</v>
      </c>
      <c r="E5404" t="s">
        <v>2026</v>
      </c>
      <c r="F5404" t="s">
        <v>2496</v>
      </c>
      <c r="G5404" t="s">
        <v>83</v>
      </c>
      <c r="H5404" t="s">
        <v>23</v>
      </c>
      <c r="I5404" t="s">
        <v>24</v>
      </c>
      <c r="J5404" t="s">
        <v>43</v>
      </c>
      <c r="K5404" t="s">
        <v>36</v>
      </c>
      <c r="L5404" t="s">
        <v>27</v>
      </c>
      <c r="M5404">
        <v>9</v>
      </c>
      <c r="N5404" s="2">
        <v>70</v>
      </c>
      <c r="O5404" s="3">
        <v>5668</v>
      </c>
      <c r="P5404">
        <v>0</v>
      </c>
      <c r="Q5404">
        <v>3</v>
      </c>
      <c r="R5404" t="s">
        <v>33</v>
      </c>
      <c r="S5404">
        <v>1</v>
      </c>
    </row>
    <row r="5405" spans="1:19" ht="16.5" x14ac:dyDescent="0.3">
      <c r="A5405" t="s">
        <v>5468</v>
      </c>
      <c r="B5405" s="1">
        <v>46004</v>
      </c>
      <c r="C5405" s="1">
        <v>46010</v>
      </c>
      <c r="D5405">
        <v>2025</v>
      </c>
      <c r="E5405" t="s">
        <v>2026</v>
      </c>
      <c r="F5405" t="s">
        <v>2496</v>
      </c>
      <c r="G5405" t="s">
        <v>102</v>
      </c>
      <c r="H5405" t="s">
        <v>52</v>
      </c>
      <c r="I5405" t="s">
        <v>24</v>
      </c>
      <c r="J5405" t="s">
        <v>43</v>
      </c>
      <c r="K5405" t="s">
        <v>32</v>
      </c>
      <c r="L5405" t="s">
        <v>37</v>
      </c>
      <c r="M5405">
        <v>6</v>
      </c>
      <c r="N5405" s="2">
        <v>31</v>
      </c>
      <c r="O5405" s="3">
        <v>6020</v>
      </c>
      <c r="P5405">
        <v>0</v>
      </c>
      <c r="Q5405">
        <v>4</v>
      </c>
      <c r="R5405" t="s">
        <v>33</v>
      </c>
      <c r="S5405">
        <v>1</v>
      </c>
    </row>
    <row r="5406" spans="1:19" ht="16.5" x14ac:dyDescent="0.3">
      <c r="A5406" t="s">
        <v>5469</v>
      </c>
      <c r="B5406" s="1">
        <v>46004</v>
      </c>
      <c r="C5406" s="1">
        <v>46006</v>
      </c>
      <c r="D5406">
        <v>2025</v>
      </c>
      <c r="E5406" t="s">
        <v>2026</v>
      </c>
      <c r="F5406" t="s">
        <v>2496</v>
      </c>
      <c r="G5406" t="s">
        <v>102</v>
      </c>
      <c r="H5406" t="s">
        <v>52</v>
      </c>
      <c r="I5406" t="s">
        <v>40</v>
      </c>
      <c r="J5406" t="s">
        <v>43</v>
      </c>
      <c r="K5406" t="s">
        <v>26</v>
      </c>
      <c r="L5406" t="s">
        <v>27</v>
      </c>
      <c r="M5406">
        <v>2</v>
      </c>
      <c r="N5406" s="2"/>
      <c r="O5406" s="3">
        <v>2301</v>
      </c>
      <c r="P5406">
        <v>1</v>
      </c>
      <c r="Q5406">
        <v>4</v>
      </c>
      <c r="R5406" t="s">
        <v>28</v>
      </c>
      <c r="S5406">
        <v>1</v>
      </c>
    </row>
    <row r="5407" spans="1:19" ht="16.5" x14ac:dyDescent="0.3">
      <c r="A5407" t="s">
        <v>5470</v>
      </c>
      <c r="B5407" s="1">
        <v>46004</v>
      </c>
      <c r="C5407" s="1">
        <v>46006</v>
      </c>
      <c r="D5407">
        <v>2025</v>
      </c>
      <c r="E5407" t="s">
        <v>2026</v>
      </c>
      <c r="F5407" t="s">
        <v>2496</v>
      </c>
      <c r="G5407" t="s">
        <v>102</v>
      </c>
      <c r="H5407" t="s">
        <v>52</v>
      </c>
      <c r="I5407" t="s">
        <v>24</v>
      </c>
      <c r="J5407" t="s">
        <v>43</v>
      </c>
      <c r="K5407" t="s">
        <v>53</v>
      </c>
      <c r="L5407" t="s">
        <v>27</v>
      </c>
      <c r="M5407">
        <v>2</v>
      </c>
      <c r="N5407" s="2">
        <v>94</v>
      </c>
      <c r="O5407" s="3">
        <v>2446</v>
      </c>
      <c r="P5407">
        <v>0</v>
      </c>
      <c r="Q5407">
        <v>3</v>
      </c>
      <c r="R5407" t="s">
        <v>33</v>
      </c>
      <c r="S5407">
        <v>1</v>
      </c>
    </row>
    <row r="5408" spans="1:19" ht="16.5" x14ac:dyDescent="0.3">
      <c r="A5408" t="s">
        <v>5471</v>
      </c>
      <c r="B5408" s="1">
        <v>46004</v>
      </c>
      <c r="C5408" s="1">
        <v>46008</v>
      </c>
      <c r="D5408">
        <v>2025</v>
      </c>
      <c r="E5408" t="s">
        <v>2026</v>
      </c>
      <c r="F5408" t="s">
        <v>2496</v>
      </c>
      <c r="G5408" t="s">
        <v>102</v>
      </c>
      <c r="H5408" t="s">
        <v>23</v>
      </c>
      <c r="I5408" t="s">
        <v>24</v>
      </c>
      <c r="J5408" t="s">
        <v>43</v>
      </c>
      <c r="K5408" t="s">
        <v>32</v>
      </c>
      <c r="L5408" t="s">
        <v>44</v>
      </c>
      <c r="M5408">
        <v>4</v>
      </c>
      <c r="N5408" s="2">
        <v>54</v>
      </c>
      <c r="O5408" s="3">
        <v>3794</v>
      </c>
      <c r="P5408">
        <v>0</v>
      </c>
      <c r="Q5408">
        <v>5</v>
      </c>
      <c r="R5408" t="s">
        <v>33</v>
      </c>
      <c r="S5408">
        <v>1</v>
      </c>
    </row>
    <row r="5409" spans="1:19" ht="16.5" x14ac:dyDescent="0.3">
      <c r="A5409" t="s">
        <v>5472</v>
      </c>
      <c r="B5409" s="1">
        <v>46004</v>
      </c>
      <c r="C5409" s="1">
        <v>46007</v>
      </c>
      <c r="D5409">
        <v>2025</v>
      </c>
      <c r="E5409" t="s">
        <v>2026</v>
      </c>
      <c r="F5409" t="s">
        <v>2496</v>
      </c>
      <c r="G5409" t="s">
        <v>102</v>
      </c>
      <c r="H5409" t="s">
        <v>30</v>
      </c>
      <c r="I5409" t="s">
        <v>24</v>
      </c>
      <c r="J5409" t="s">
        <v>43</v>
      </c>
      <c r="K5409" t="s">
        <v>53</v>
      </c>
      <c r="L5409" t="s">
        <v>27</v>
      </c>
      <c r="M5409">
        <v>3</v>
      </c>
      <c r="N5409" s="2">
        <v>189</v>
      </c>
      <c r="O5409" s="3">
        <v>4940</v>
      </c>
      <c r="P5409">
        <v>0</v>
      </c>
      <c r="Q5409">
        <v>2</v>
      </c>
      <c r="R5409" t="s">
        <v>33</v>
      </c>
      <c r="S5409">
        <v>1</v>
      </c>
    </row>
    <row r="5410" spans="1:19" ht="16.5" x14ac:dyDescent="0.3">
      <c r="A5410" t="s">
        <v>5473</v>
      </c>
      <c r="B5410" s="1">
        <v>46004</v>
      </c>
      <c r="C5410" s="1">
        <v>46010</v>
      </c>
      <c r="D5410">
        <v>2025</v>
      </c>
      <c r="E5410" t="s">
        <v>2026</v>
      </c>
      <c r="F5410" t="s">
        <v>2496</v>
      </c>
      <c r="G5410" t="s">
        <v>102</v>
      </c>
      <c r="H5410" t="s">
        <v>50</v>
      </c>
      <c r="I5410" t="s">
        <v>24</v>
      </c>
      <c r="J5410" t="s">
        <v>43</v>
      </c>
      <c r="K5410" t="s">
        <v>53</v>
      </c>
      <c r="L5410" t="s">
        <v>27</v>
      </c>
      <c r="M5410">
        <v>6</v>
      </c>
      <c r="N5410" s="2">
        <v>14</v>
      </c>
      <c r="O5410" s="3">
        <v>8910</v>
      </c>
      <c r="P5410">
        <v>0</v>
      </c>
      <c r="Q5410">
        <v>5</v>
      </c>
      <c r="R5410" t="s">
        <v>28</v>
      </c>
      <c r="S5410">
        <v>1</v>
      </c>
    </row>
    <row r="5411" spans="1:19" ht="16.5" x14ac:dyDescent="0.3">
      <c r="A5411" t="s">
        <v>5474</v>
      </c>
      <c r="B5411" s="1">
        <v>46004</v>
      </c>
      <c r="C5411" s="1">
        <v>46007</v>
      </c>
      <c r="D5411">
        <v>2025</v>
      </c>
      <c r="E5411" t="s">
        <v>2026</v>
      </c>
      <c r="F5411" t="s">
        <v>2496</v>
      </c>
      <c r="G5411" t="s">
        <v>102</v>
      </c>
      <c r="H5411" t="s">
        <v>23</v>
      </c>
      <c r="I5411" t="s">
        <v>40</v>
      </c>
      <c r="J5411" t="s">
        <v>43</v>
      </c>
      <c r="K5411" t="s">
        <v>32</v>
      </c>
      <c r="L5411" t="s">
        <v>44</v>
      </c>
      <c r="M5411">
        <v>3</v>
      </c>
      <c r="N5411" s="2"/>
      <c r="O5411" s="3">
        <v>2584</v>
      </c>
      <c r="P5411">
        <v>0</v>
      </c>
      <c r="Q5411">
        <v>4</v>
      </c>
      <c r="R5411" t="s">
        <v>28</v>
      </c>
      <c r="S5411">
        <v>1</v>
      </c>
    </row>
    <row r="5412" spans="1:19" ht="16.5" x14ac:dyDescent="0.3">
      <c r="A5412" t="s">
        <v>5475</v>
      </c>
      <c r="B5412" s="1">
        <v>46004</v>
      </c>
      <c r="C5412" s="1">
        <v>46012</v>
      </c>
      <c r="D5412">
        <v>2025</v>
      </c>
      <c r="E5412" t="s">
        <v>2026</v>
      </c>
      <c r="F5412" t="s">
        <v>2496</v>
      </c>
      <c r="G5412" t="s">
        <v>102</v>
      </c>
      <c r="H5412" t="s">
        <v>23</v>
      </c>
      <c r="I5412" t="s">
        <v>24</v>
      </c>
      <c r="J5412" t="s">
        <v>25</v>
      </c>
      <c r="K5412" t="s">
        <v>26</v>
      </c>
      <c r="L5412" t="s">
        <v>27</v>
      </c>
      <c r="M5412">
        <v>8</v>
      </c>
      <c r="N5412" s="2">
        <v>126</v>
      </c>
      <c r="O5412" s="3">
        <v>6342</v>
      </c>
      <c r="P5412">
        <v>1</v>
      </c>
      <c r="Q5412">
        <v>3</v>
      </c>
      <c r="R5412" t="s">
        <v>33</v>
      </c>
      <c r="S5412">
        <v>1</v>
      </c>
    </row>
    <row r="5413" spans="1:19" ht="16.5" x14ac:dyDescent="0.3">
      <c r="A5413" t="s">
        <v>5476</v>
      </c>
      <c r="B5413" s="1">
        <v>46004</v>
      </c>
      <c r="C5413" s="1">
        <v>46007</v>
      </c>
      <c r="D5413">
        <v>2025</v>
      </c>
      <c r="E5413" t="s">
        <v>2026</v>
      </c>
      <c r="F5413" t="s">
        <v>2496</v>
      </c>
      <c r="G5413" t="s">
        <v>102</v>
      </c>
      <c r="H5413" t="s">
        <v>39</v>
      </c>
      <c r="I5413" t="s">
        <v>24</v>
      </c>
      <c r="J5413" t="s">
        <v>43</v>
      </c>
      <c r="K5413" t="s">
        <v>41</v>
      </c>
      <c r="L5413" t="s">
        <v>27</v>
      </c>
      <c r="M5413">
        <v>3</v>
      </c>
      <c r="N5413" s="2">
        <v>146</v>
      </c>
      <c r="O5413" s="3">
        <v>2489</v>
      </c>
      <c r="P5413">
        <v>0</v>
      </c>
      <c r="Q5413">
        <v>4</v>
      </c>
      <c r="R5413" t="s">
        <v>59</v>
      </c>
      <c r="S5413">
        <v>1</v>
      </c>
    </row>
    <row r="5414" spans="1:19" ht="16.5" x14ac:dyDescent="0.3">
      <c r="A5414" t="s">
        <v>5477</v>
      </c>
      <c r="B5414" s="1">
        <v>46004</v>
      </c>
      <c r="C5414" s="1">
        <v>46005</v>
      </c>
      <c r="D5414">
        <v>2025</v>
      </c>
      <c r="E5414" t="s">
        <v>2026</v>
      </c>
      <c r="F5414" t="s">
        <v>2496</v>
      </c>
      <c r="G5414" t="s">
        <v>102</v>
      </c>
      <c r="H5414" t="s">
        <v>23</v>
      </c>
      <c r="I5414" t="s">
        <v>24</v>
      </c>
      <c r="J5414" t="s">
        <v>43</v>
      </c>
      <c r="K5414" t="s">
        <v>32</v>
      </c>
      <c r="L5414" t="s">
        <v>44</v>
      </c>
      <c r="M5414">
        <v>1</v>
      </c>
      <c r="N5414" s="2">
        <v>25</v>
      </c>
      <c r="O5414" s="3">
        <v>1619</v>
      </c>
      <c r="P5414">
        <v>0</v>
      </c>
      <c r="Q5414">
        <v>5</v>
      </c>
      <c r="R5414" t="s">
        <v>59</v>
      </c>
      <c r="S5414">
        <v>1</v>
      </c>
    </row>
    <row r="5415" spans="1:19" ht="16.5" x14ac:dyDescent="0.3">
      <c r="A5415" t="s">
        <v>5478</v>
      </c>
      <c r="B5415" s="1">
        <v>46004</v>
      </c>
      <c r="C5415" s="1">
        <v>46008</v>
      </c>
      <c r="D5415">
        <v>2025</v>
      </c>
      <c r="E5415" t="s">
        <v>2026</v>
      </c>
      <c r="F5415" t="s">
        <v>2496</v>
      </c>
      <c r="G5415" t="s">
        <v>102</v>
      </c>
      <c r="H5415" t="s">
        <v>23</v>
      </c>
      <c r="I5415" t="s">
        <v>24</v>
      </c>
      <c r="J5415" t="s">
        <v>43</v>
      </c>
      <c r="K5415" t="s">
        <v>26</v>
      </c>
      <c r="L5415" t="s">
        <v>27</v>
      </c>
      <c r="M5415">
        <v>4</v>
      </c>
      <c r="N5415" s="2">
        <v>67</v>
      </c>
      <c r="O5415" s="3">
        <v>3325</v>
      </c>
      <c r="P5415">
        <v>0</v>
      </c>
      <c r="Q5415">
        <v>3</v>
      </c>
      <c r="R5415" t="s">
        <v>33</v>
      </c>
      <c r="S5415">
        <v>1</v>
      </c>
    </row>
    <row r="5416" spans="1:19" ht="16.5" x14ac:dyDescent="0.3">
      <c r="A5416" t="s">
        <v>5479</v>
      </c>
      <c r="B5416" s="1">
        <v>46004</v>
      </c>
      <c r="C5416" s="1">
        <v>46005</v>
      </c>
      <c r="D5416">
        <v>2025</v>
      </c>
      <c r="E5416" t="s">
        <v>2026</v>
      </c>
      <c r="F5416" t="s">
        <v>2496</v>
      </c>
      <c r="G5416" t="s">
        <v>102</v>
      </c>
      <c r="H5416" t="s">
        <v>39</v>
      </c>
      <c r="I5416" t="s">
        <v>24</v>
      </c>
      <c r="J5416" t="s">
        <v>25</v>
      </c>
      <c r="K5416" t="s">
        <v>41</v>
      </c>
      <c r="L5416" t="s">
        <v>27</v>
      </c>
      <c r="M5416">
        <v>1</v>
      </c>
      <c r="N5416" s="2">
        <v>108</v>
      </c>
      <c r="O5416" s="3">
        <v>1356</v>
      </c>
      <c r="P5416">
        <v>0</v>
      </c>
      <c r="Q5416">
        <v>4</v>
      </c>
      <c r="R5416" t="s">
        <v>33</v>
      </c>
      <c r="S5416">
        <v>1</v>
      </c>
    </row>
    <row r="5417" spans="1:19" ht="16.5" x14ac:dyDescent="0.3">
      <c r="A5417" t="s">
        <v>5480</v>
      </c>
      <c r="B5417" s="1">
        <v>46004</v>
      </c>
      <c r="C5417" s="1">
        <v>46007</v>
      </c>
      <c r="D5417">
        <v>2025</v>
      </c>
      <c r="E5417" t="s">
        <v>2026</v>
      </c>
      <c r="F5417" t="s">
        <v>2496</v>
      </c>
      <c r="G5417" t="s">
        <v>102</v>
      </c>
      <c r="H5417" t="s">
        <v>23</v>
      </c>
      <c r="I5417" t="s">
        <v>24</v>
      </c>
      <c r="J5417" t="s">
        <v>43</v>
      </c>
      <c r="K5417" t="s">
        <v>26</v>
      </c>
      <c r="L5417" t="s">
        <v>44</v>
      </c>
      <c r="M5417">
        <v>3</v>
      </c>
      <c r="N5417" s="2">
        <v>76</v>
      </c>
      <c r="O5417" s="3">
        <v>2790</v>
      </c>
      <c r="P5417">
        <v>0</v>
      </c>
      <c r="Q5417">
        <v>4</v>
      </c>
      <c r="R5417" t="s">
        <v>28</v>
      </c>
      <c r="S5417">
        <v>1</v>
      </c>
    </row>
    <row r="5418" spans="1:19" ht="16.5" x14ac:dyDescent="0.3">
      <c r="A5418" t="s">
        <v>5481</v>
      </c>
      <c r="B5418" s="1">
        <v>46004</v>
      </c>
      <c r="C5418" s="1">
        <v>46012</v>
      </c>
      <c r="D5418">
        <v>2025</v>
      </c>
      <c r="E5418" t="s">
        <v>2026</v>
      </c>
      <c r="F5418" t="s">
        <v>2496</v>
      </c>
      <c r="G5418" t="s">
        <v>102</v>
      </c>
      <c r="H5418" t="s">
        <v>23</v>
      </c>
      <c r="I5418" t="s">
        <v>40</v>
      </c>
      <c r="J5418" t="s">
        <v>43</v>
      </c>
      <c r="K5418" t="s">
        <v>53</v>
      </c>
      <c r="L5418" t="s">
        <v>27</v>
      </c>
      <c r="M5418">
        <v>8</v>
      </c>
      <c r="N5418" s="2"/>
      <c r="O5418" s="3">
        <v>5539</v>
      </c>
      <c r="P5418">
        <v>0</v>
      </c>
      <c r="Q5418">
        <v>4</v>
      </c>
      <c r="R5418" t="s">
        <v>33</v>
      </c>
      <c r="S5418">
        <v>1</v>
      </c>
    </row>
    <row r="5419" spans="1:19" ht="16.5" x14ac:dyDescent="0.3">
      <c r="A5419" t="s">
        <v>5482</v>
      </c>
      <c r="B5419" s="1">
        <v>46005</v>
      </c>
      <c r="C5419" s="1">
        <v>46014</v>
      </c>
      <c r="D5419">
        <v>2025</v>
      </c>
      <c r="E5419" t="s">
        <v>2026</v>
      </c>
      <c r="F5419" t="s">
        <v>2496</v>
      </c>
      <c r="G5419" t="s">
        <v>112</v>
      </c>
      <c r="H5419" t="s">
        <v>30</v>
      </c>
      <c r="I5419" t="s">
        <v>40</v>
      </c>
      <c r="J5419" t="s">
        <v>25</v>
      </c>
      <c r="K5419" t="s">
        <v>53</v>
      </c>
      <c r="L5419" t="s">
        <v>44</v>
      </c>
      <c r="M5419">
        <v>9</v>
      </c>
      <c r="N5419" s="2"/>
      <c r="O5419" s="3">
        <v>7345</v>
      </c>
      <c r="P5419">
        <v>0</v>
      </c>
      <c r="Q5419">
        <v>5</v>
      </c>
      <c r="R5419" t="s">
        <v>33</v>
      </c>
      <c r="S5419">
        <v>1</v>
      </c>
    </row>
    <row r="5420" spans="1:19" ht="16.5" x14ac:dyDescent="0.3">
      <c r="A5420" t="s">
        <v>5483</v>
      </c>
      <c r="B5420" s="1">
        <v>46005</v>
      </c>
      <c r="C5420" s="1">
        <v>46006</v>
      </c>
      <c r="D5420">
        <v>2025</v>
      </c>
      <c r="E5420" t="s">
        <v>2026</v>
      </c>
      <c r="F5420" t="s">
        <v>2496</v>
      </c>
      <c r="G5420" t="s">
        <v>112</v>
      </c>
      <c r="H5420" t="s">
        <v>35</v>
      </c>
      <c r="I5420" t="s">
        <v>24</v>
      </c>
      <c r="J5420" t="s">
        <v>25</v>
      </c>
      <c r="K5420" t="s">
        <v>32</v>
      </c>
      <c r="L5420" t="s">
        <v>27</v>
      </c>
      <c r="M5420">
        <v>1</v>
      </c>
      <c r="N5420" s="2">
        <v>66</v>
      </c>
      <c r="O5420" s="3">
        <v>1032</v>
      </c>
      <c r="P5420">
        <v>0</v>
      </c>
      <c r="Q5420">
        <v>5</v>
      </c>
      <c r="R5420" t="s">
        <v>33</v>
      </c>
      <c r="S5420">
        <v>1</v>
      </c>
    </row>
    <row r="5421" spans="1:19" ht="16.5" x14ac:dyDescent="0.3">
      <c r="A5421" t="s">
        <v>5484</v>
      </c>
      <c r="B5421" s="1">
        <v>46005</v>
      </c>
      <c r="C5421" s="1">
        <v>46007</v>
      </c>
      <c r="D5421">
        <v>2025</v>
      </c>
      <c r="E5421" t="s">
        <v>2026</v>
      </c>
      <c r="F5421" t="s">
        <v>2496</v>
      </c>
      <c r="G5421" t="s">
        <v>112</v>
      </c>
      <c r="H5421" t="s">
        <v>39</v>
      </c>
      <c r="I5421" t="s">
        <v>24</v>
      </c>
      <c r="J5421" t="s">
        <v>25</v>
      </c>
      <c r="K5421" t="s">
        <v>41</v>
      </c>
      <c r="L5421" t="s">
        <v>44</v>
      </c>
      <c r="M5421">
        <v>2</v>
      </c>
      <c r="N5421" s="2">
        <v>131</v>
      </c>
      <c r="O5421" s="3">
        <v>2020</v>
      </c>
      <c r="P5421">
        <v>0</v>
      </c>
      <c r="Q5421">
        <v>3</v>
      </c>
      <c r="R5421" t="s">
        <v>33</v>
      </c>
      <c r="S5421">
        <v>1</v>
      </c>
    </row>
    <row r="5422" spans="1:19" ht="16.5" x14ac:dyDescent="0.3">
      <c r="A5422" t="s">
        <v>5485</v>
      </c>
      <c r="B5422" s="1">
        <v>46005</v>
      </c>
      <c r="C5422" s="1">
        <v>46007</v>
      </c>
      <c r="D5422">
        <v>2025</v>
      </c>
      <c r="E5422" t="s">
        <v>2026</v>
      </c>
      <c r="F5422" t="s">
        <v>2496</v>
      </c>
      <c r="G5422" t="s">
        <v>112</v>
      </c>
      <c r="H5422" t="s">
        <v>23</v>
      </c>
      <c r="I5422" t="s">
        <v>24</v>
      </c>
      <c r="J5422" t="s">
        <v>43</v>
      </c>
      <c r="K5422" t="s">
        <v>26</v>
      </c>
      <c r="L5422" t="s">
        <v>44</v>
      </c>
      <c r="M5422">
        <v>2</v>
      </c>
      <c r="N5422" s="2">
        <v>46</v>
      </c>
      <c r="O5422" s="3">
        <v>2301</v>
      </c>
      <c r="P5422">
        <v>0</v>
      </c>
      <c r="Q5422">
        <v>5</v>
      </c>
      <c r="R5422" t="s">
        <v>28</v>
      </c>
      <c r="S5422">
        <v>1</v>
      </c>
    </row>
    <row r="5423" spans="1:19" ht="16.5" x14ac:dyDescent="0.3">
      <c r="A5423" t="s">
        <v>5486</v>
      </c>
      <c r="B5423" s="1">
        <v>46005</v>
      </c>
      <c r="C5423" s="1">
        <v>46009</v>
      </c>
      <c r="D5423">
        <v>2025</v>
      </c>
      <c r="E5423" t="s">
        <v>2026</v>
      </c>
      <c r="F5423" t="s">
        <v>2496</v>
      </c>
      <c r="G5423" t="s">
        <v>112</v>
      </c>
      <c r="H5423" t="s">
        <v>23</v>
      </c>
      <c r="I5423" t="s">
        <v>24</v>
      </c>
      <c r="J5423" t="s">
        <v>43</v>
      </c>
      <c r="K5423" t="s">
        <v>36</v>
      </c>
      <c r="L5423" t="s">
        <v>27</v>
      </c>
      <c r="M5423">
        <v>4</v>
      </c>
      <c r="N5423" s="2">
        <v>52</v>
      </c>
      <c r="O5423" s="3">
        <v>3587</v>
      </c>
      <c r="P5423">
        <v>0</v>
      </c>
      <c r="Q5423">
        <v>4</v>
      </c>
      <c r="R5423" t="s">
        <v>28</v>
      </c>
      <c r="S5423">
        <v>1</v>
      </c>
    </row>
    <row r="5424" spans="1:19" ht="16.5" x14ac:dyDescent="0.3">
      <c r="A5424" t="s">
        <v>5487</v>
      </c>
      <c r="B5424" s="1">
        <v>46005</v>
      </c>
      <c r="C5424" s="1">
        <v>46018</v>
      </c>
      <c r="D5424">
        <v>2025</v>
      </c>
      <c r="E5424" t="s">
        <v>2026</v>
      </c>
      <c r="F5424" t="s">
        <v>2496</v>
      </c>
      <c r="G5424" t="s">
        <v>112</v>
      </c>
      <c r="H5424" t="s">
        <v>23</v>
      </c>
      <c r="I5424" t="s">
        <v>40</v>
      </c>
      <c r="J5424" t="s">
        <v>25</v>
      </c>
      <c r="K5424" t="s">
        <v>26</v>
      </c>
      <c r="L5424" t="s">
        <v>27</v>
      </c>
      <c r="M5424">
        <v>13</v>
      </c>
      <c r="N5424" s="2"/>
      <c r="O5424" s="3">
        <v>10625</v>
      </c>
      <c r="P5424">
        <v>0</v>
      </c>
      <c r="Q5424">
        <v>4</v>
      </c>
      <c r="R5424" t="s">
        <v>28</v>
      </c>
      <c r="S5424">
        <v>1</v>
      </c>
    </row>
    <row r="5425" spans="1:19" ht="16.5" x14ac:dyDescent="0.3">
      <c r="A5425" t="s">
        <v>5488</v>
      </c>
      <c r="B5425" s="1">
        <v>46005</v>
      </c>
      <c r="C5425" s="1">
        <v>46007</v>
      </c>
      <c r="D5425">
        <v>2025</v>
      </c>
      <c r="E5425" t="s">
        <v>2026</v>
      </c>
      <c r="F5425" t="s">
        <v>2496</v>
      </c>
      <c r="G5425" t="s">
        <v>112</v>
      </c>
      <c r="H5425" t="s">
        <v>23</v>
      </c>
      <c r="I5425" t="s">
        <v>40</v>
      </c>
      <c r="J5425" t="s">
        <v>43</v>
      </c>
      <c r="K5425" t="s">
        <v>53</v>
      </c>
      <c r="L5425" t="s">
        <v>44</v>
      </c>
      <c r="M5425">
        <v>2</v>
      </c>
      <c r="N5425" s="2"/>
      <c r="O5425" s="3">
        <v>2088</v>
      </c>
      <c r="P5425">
        <v>0</v>
      </c>
      <c r="Q5425">
        <v>4</v>
      </c>
      <c r="R5425" t="s">
        <v>33</v>
      </c>
      <c r="S5425">
        <v>1</v>
      </c>
    </row>
    <row r="5426" spans="1:19" ht="16.5" x14ac:dyDescent="0.3">
      <c r="A5426" t="s">
        <v>5489</v>
      </c>
      <c r="B5426" s="1">
        <v>46005</v>
      </c>
      <c r="C5426" s="1">
        <v>46013</v>
      </c>
      <c r="D5426">
        <v>2025</v>
      </c>
      <c r="E5426" t="s">
        <v>2026</v>
      </c>
      <c r="F5426" t="s">
        <v>2496</v>
      </c>
      <c r="G5426" t="s">
        <v>112</v>
      </c>
      <c r="H5426" t="s">
        <v>23</v>
      </c>
      <c r="I5426" t="s">
        <v>24</v>
      </c>
      <c r="J5426" t="s">
        <v>43</v>
      </c>
      <c r="K5426" t="s">
        <v>26</v>
      </c>
      <c r="L5426" t="s">
        <v>44</v>
      </c>
      <c r="M5426">
        <v>8</v>
      </c>
      <c r="N5426" s="2">
        <v>132</v>
      </c>
      <c r="O5426" s="3">
        <v>5254</v>
      </c>
      <c r="P5426">
        <v>0</v>
      </c>
      <c r="Q5426">
        <v>3</v>
      </c>
      <c r="R5426" t="s">
        <v>28</v>
      </c>
      <c r="S5426">
        <v>1</v>
      </c>
    </row>
    <row r="5427" spans="1:19" ht="16.5" x14ac:dyDescent="0.3">
      <c r="A5427" t="s">
        <v>5490</v>
      </c>
      <c r="B5427" s="1">
        <v>46005</v>
      </c>
      <c r="C5427" s="1">
        <v>46006</v>
      </c>
      <c r="D5427">
        <v>2025</v>
      </c>
      <c r="E5427" t="s">
        <v>2026</v>
      </c>
      <c r="F5427" t="s">
        <v>2496</v>
      </c>
      <c r="G5427" t="s">
        <v>112</v>
      </c>
      <c r="H5427" t="s">
        <v>50</v>
      </c>
      <c r="I5427" t="s">
        <v>24</v>
      </c>
      <c r="J5427" t="s">
        <v>43</v>
      </c>
      <c r="K5427" t="s">
        <v>53</v>
      </c>
      <c r="L5427" t="s">
        <v>44</v>
      </c>
      <c r="M5427">
        <v>1</v>
      </c>
      <c r="N5427" s="2">
        <v>15</v>
      </c>
      <c r="O5427" s="3">
        <v>2139</v>
      </c>
      <c r="P5427">
        <v>0</v>
      </c>
      <c r="Q5427">
        <v>4</v>
      </c>
      <c r="R5427" t="s">
        <v>33</v>
      </c>
      <c r="S5427">
        <v>1</v>
      </c>
    </row>
    <row r="5428" spans="1:19" ht="16.5" x14ac:dyDescent="0.3">
      <c r="A5428" t="s">
        <v>5491</v>
      </c>
      <c r="B5428" s="1">
        <v>46005</v>
      </c>
      <c r="C5428" s="1">
        <v>46012</v>
      </c>
      <c r="D5428">
        <v>2025</v>
      </c>
      <c r="E5428" t="s">
        <v>2026</v>
      </c>
      <c r="F5428" t="s">
        <v>2496</v>
      </c>
      <c r="G5428" t="s">
        <v>112</v>
      </c>
      <c r="H5428" t="s">
        <v>23</v>
      </c>
      <c r="I5428" t="s">
        <v>24</v>
      </c>
      <c r="J5428" t="s">
        <v>43</v>
      </c>
      <c r="K5428" t="s">
        <v>26</v>
      </c>
      <c r="L5428" t="s">
        <v>44</v>
      </c>
      <c r="M5428">
        <v>7</v>
      </c>
      <c r="N5428" s="2">
        <v>93</v>
      </c>
      <c r="O5428" s="3">
        <v>4274</v>
      </c>
      <c r="P5428">
        <v>1</v>
      </c>
      <c r="Q5428">
        <v>3</v>
      </c>
      <c r="R5428" t="s">
        <v>33</v>
      </c>
      <c r="S5428">
        <v>1</v>
      </c>
    </row>
    <row r="5429" spans="1:19" ht="16.5" x14ac:dyDescent="0.3">
      <c r="A5429" t="s">
        <v>5492</v>
      </c>
      <c r="B5429" s="1">
        <v>46005</v>
      </c>
      <c r="C5429" s="1">
        <v>46007</v>
      </c>
      <c r="D5429">
        <v>2025</v>
      </c>
      <c r="E5429" t="s">
        <v>2026</v>
      </c>
      <c r="F5429" t="s">
        <v>2496</v>
      </c>
      <c r="G5429" t="s">
        <v>112</v>
      </c>
      <c r="H5429" t="s">
        <v>52</v>
      </c>
      <c r="I5429" t="s">
        <v>40</v>
      </c>
      <c r="J5429" t="s">
        <v>43</v>
      </c>
      <c r="K5429" t="s">
        <v>32</v>
      </c>
      <c r="L5429" t="s">
        <v>27</v>
      </c>
      <c r="M5429">
        <v>2</v>
      </c>
      <c r="N5429" s="2"/>
      <c r="O5429" s="3">
        <v>3111</v>
      </c>
      <c r="P5429">
        <v>0</v>
      </c>
      <c r="Q5429">
        <v>4</v>
      </c>
      <c r="R5429" t="s">
        <v>33</v>
      </c>
      <c r="S5429">
        <v>1</v>
      </c>
    </row>
    <row r="5430" spans="1:19" ht="16.5" x14ac:dyDescent="0.3">
      <c r="A5430" t="s">
        <v>5493</v>
      </c>
      <c r="B5430" s="1">
        <v>46005</v>
      </c>
      <c r="C5430" s="1">
        <v>46011</v>
      </c>
      <c r="D5430">
        <v>2025</v>
      </c>
      <c r="E5430" t="s">
        <v>2026</v>
      </c>
      <c r="F5430" t="s">
        <v>2496</v>
      </c>
      <c r="G5430" t="s">
        <v>112</v>
      </c>
      <c r="H5430" t="s">
        <v>23</v>
      </c>
      <c r="I5430" t="s">
        <v>24</v>
      </c>
      <c r="J5430" t="s">
        <v>25</v>
      </c>
      <c r="K5430" t="s">
        <v>26</v>
      </c>
      <c r="L5430" t="s">
        <v>44</v>
      </c>
      <c r="M5430">
        <v>6</v>
      </c>
      <c r="N5430" s="2">
        <v>124</v>
      </c>
      <c r="O5430" s="3">
        <v>4387</v>
      </c>
      <c r="P5430">
        <v>0</v>
      </c>
      <c r="Q5430">
        <v>4</v>
      </c>
      <c r="R5430" t="s">
        <v>28</v>
      </c>
      <c r="S5430">
        <v>1</v>
      </c>
    </row>
    <row r="5431" spans="1:19" ht="16.5" x14ac:dyDescent="0.3">
      <c r="A5431" t="s">
        <v>5494</v>
      </c>
      <c r="B5431" s="1">
        <v>46005</v>
      </c>
      <c r="C5431" s="1">
        <v>46008</v>
      </c>
      <c r="D5431">
        <v>2025</v>
      </c>
      <c r="E5431" t="s">
        <v>2026</v>
      </c>
      <c r="F5431" t="s">
        <v>2496</v>
      </c>
      <c r="G5431" t="s">
        <v>112</v>
      </c>
      <c r="H5431" t="s">
        <v>30</v>
      </c>
      <c r="I5431" t="s">
        <v>40</v>
      </c>
      <c r="J5431" t="s">
        <v>25</v>
      </c>
      <c r="K5431" t="s">
        <v>53</v>
      </c>
      <c r="L5431" t="s">
        <v>37</v>
      </c>
      <c r="M5431">
        <v>3</v>
      </c>
      <c r="N5431" s="2"/>
      <c r="O5431" s="3">
        <v>2996</v>
      </c>
      <c r="P5431">
        <v>0</v>
      </c>
      <c r="Q5431">
        <v>3</v>
      </c>
      <c r="R5431" t="s">
        <v>28</v>
      </c>
      <c r="S5431">
        <v>1</v>
      </c>
    </row>
    <row r="5432" spans="1:19" ht="16.5" x14ac:dyDescent="0.3">
      <c r="A5432" t="s">
        <v>5495</v>
      </c>
      <c r="B5432" s="1">
        <v>46006</v>
      </c>
      <c r="C5432" s="1">
        <v>46012</v>
      </c>
      <c r="D5432">
        <v>2025</v>
      </c>
      <c r="E5432" t="s">
        <v>2026</v>
      </c>
      <c r="F5432" t="s">
        <v>2496</v>
      </c>
      <c r="G5432" t="s">
        <v>22</v>
      </c>
      <c r="H5432" t="s">
        <v>23</v>
      </c>
      <c r="I5432" t="s">
        <v>40</v>
      </c>
      <c r="J5432" t="s">
        <v>43</v>
      </c>
      <c r="K5432" t="s">
        <v>26</v>
      </c>
      <c r="L5432" t="s">
        <v>37</v>
      </c>
      <c r="M5432">
        <v>6</v>
      </c>
      <c r="N5432" s="2"/>
      <c r="O5432" s="3">
        <v>4764</v>
      </c>
      <c r="P5432">
        <v>1</v>
      </c>
      <c r="Q5432">
        <v>3</v>
      </c>
      <c r="R5432" t="s">
        <v>33</v>
      </c>
      <c r="S5432">
        <v>1</v>
      </c>
    </row>
    <row r="5433" spans="1:19" ht="16.5" x14ac:dyDescent="0.3">
      <c r="A5433" t="s">
        <v>5496</v>
      </c>
      <c r="B5433" s="1">
        <v>46006</v>
      </c>
      <c r="C5433" s="1">
        <v>46007</v>
      </c>
      <c r="D5433">
        <v>2025</v>
      </c>
      <c r="E5433" t="s">
        <v>2026</v>
      </c>
      <c r="F5433" t="s">
        <v>2496</v>
      </c>
      <c r="G5433" t="s">
        <v>22</v>
      </c>
      <c r="H5433" t="s">
        <v>52</v>
      </c>
      <c r="I5433" t="s">
        <v>40</v>
      </c>
      <c r="J5433" t="s">
        <v>25</v>
      </c>
      <c r="K5433" t="s">
        <v>53</v>
      </c>
      <c r="L5433" t="s">
        <v>27</v>
      </c>
      <c r="M5433">
        <v>1</v>
      </c>
      <c r="N5433" s="2"/>
      <c r="O5433" s="3">
        <v>2051</v>
      </c>
      <c r="P5433">
        <v>0</v>
      </c>
      <c r="Q5433">
        <v>4</v>
      </c>
      <c r="R5433" t="s">
        <v>33</v>
      </c>
      <c r="S5433">
        <v>1</v>
      </c>
    </row>
    <row r="5434" spans="1:19" ht="16.5" x14ac:dyDescent="0.3">
      <c r="A5434" t="s">
        <v>5497</v>
      </c>
      <c r="B5434" s="1">
        <v>46006</v>
      </c>
      <c r="C5434" s="1">
        <v>46007</v>
      </c>
      <c r="D5434">
        <v>2025</v>
      </c>
      <c r="E5434" t="s">
        <v>2026</v>
      </c>
      <c r="F5434" t="s">
        <v>2496</v>
      </c>
      <c r="G5434" t="s">
        <v>22</v>
      </c>
      <c r="H5434" t="s">
        <v>39</v>
      </c>
      <c r="I5434" t="s">
        <v>24</v>
      </c>
      <c r="J5434" t="s">
        <v>43</v>
      </c>
      <c r="K5434" t="s">
        <v>41</v>
      </c>
      <c r="L5434" t="s">
        <v>27</v>
      </c>
      <c r="M5434">
        <v>1</v>
      </c>
      <c r="N5434" s="2">
        <v>70</v>
      </c>
      <c r="O5434" s="3">
        <v>1351</v>
      </c>
      <c r="P5434">
        <v>0</v>
      </c>
      <c r="Q5434">
        <v>4</v>
      </c>
      <c r="R5434" t="s">
        <v>28</v>
      </c>
      <c r="S5434">
        <v>1</v>
      </c>
    </row>
    <row r="5435" spans="1:19" ht="16.5" x14ac:dyDescent="0.3">
      <c r="A5435" t="s">
        <v>5498</v>
      </c>
      <c r="B5435" s="1">
        <v>46006</v>
      </c>
      <c r="C5435" s="1">
        <v>46013</v>
      </c>
      <c r="D5435">
        <v>2025</v>
      </c>
      <c r="E5435" t="s">
        <v>2026</v>
      </c>
      <c r="F5435" t="s">
        <v>2496</v>
      </c>
      <c r="G5435" t="s">
        <v>22</v>
      </c>
      <c r="H5435" t="s">
        <v>23</v>
      </c>
      <c r="I5435" t="s">
        <v>31</v>
      </c>
      <c r="J5435" t="s">
        <v>43</v>
      </c>
      <c r="K5435" t="s">
        <v>36</v>
      </c>
      <c r="L5435" t="s">
        <v>44</v>
      </c>
      <c r="M5435">
        <v>7</v>
      </c>
      <c r="N5435" s="2"/>
      <c r="O5435" s="3">
        <v>5275</v>
      </c>
      <c r="P5435">
        <v>0</v>
      </c>
      <c r="Q5435">
        <v>4</v>
      </c>
      <c r="R5435" t="s">
        <v>28</v>
      </c>
      <c r="S5435">
        <v>1</v>
      </c>
    </row>
    <row r="5436" spans="1:19" ht="16.5" x14ac:dyDescent="0.3">
      <c r="A5436" t="s">
        <v>5499</v>
      </c>
      <c r="B5436" s="1">
        <v>46006</v>
      </c>
      <c r="C5436" s="1">
        <v>46015</v>
      </c>
      <c r="D5436">
        <v>2025</v>
      </c>
      <c r="E5436" t="s">
        <v>2026</v>
      </c>
      <c r="F5436" t="s">
        <v>2496</v>
      </c>
      <c r="G5436" t="s">
        <v>22</v>
      </c>
      <c r="H5436" t="s">
        <v>23</v>
      </c>
      <c r="I5436" t="s">
        <v>24</v>
      </c>
      <c r="J5436" t="s">
        <v>25</v>
      </c>
      <c r="K5436" t="s">
        <v>26</v>
      </c>
      <c r="L5436" t="s">
        <v>27</v>
      </c>
      <c r="M5436">
        <v>9</v>
      </c>
      <c r="N5436" s="2">
        <v>42</v>
      </c>
      <c r="O5436" s="3">
        <v>7056</v>
      </c>
      <c r="P5436">
        <v>0</v>
      </c>
      <c r="Q5436">
        <v>4</v>
      </c>
      <c r="R5436" t="s">
        <v>33</v>
      </c>
      <c r="S5436">
        <v>1</v>
      </c>
    </row>
    <row r="5437" spans="1:19" ht="16.5" x14ac:dyDescent="0.3">
      <c r="A5437" t="s">
        <v>5500</v>
      </c>
      <c r="B5437" s="1">
        <v>46006</v>
      </c>
      <c r="C5437" s="1">
        <v>46014</v>
      </c>
      <c r="D5437">
        <v>2025</v>
      </c>
      <c r="E5437" t="s">
        <v>2026</v>
      </c>
      <c r="F5437" t="s">
        <v>2496</v>
      </c>
      <c r="G5437" t="s">
        <v>22</v>
      </c>
      <c r="H5437" t="s">
        <v>52</v>
      </c>
      <c r="I5437" t="s">
        <v>40</v>
      </c>
      <c r="J5437" t="s">
        <v>43</v>
      </c>
      <c r="K5437" t="s">
        <v>26</v>
      </c>
      <c r="L5437" t="s">
        <v>27</v>
      </c>
      <c r="M5437">
        <v>8</v>
      </c>
      <c r="N5437" s="2"/>
      <c r="O5437" s="3">
        <v>7103</v>
      </c>
      <c r="P5437">
        <v>1</v>
      </c>
      <c r="Q5437">
        <v>5</v>
      </c>
      <c r="R5437" t="s">
        <v>33</v>
      </c>
      <c r="S5437">
        <v>1</v>
      </c>
    </row>
    <row r="5438" spans="1:19" ht="16.5" x14ac:dyDescent="0.3">
      <c r="A5438" t="s">
        <v>5501</v>
      </c>
      <c r="B5438" s="1">
        <v>46006</v>
      </c>
      <c r="C5438" s="1">
        <v>46013</v>
      </c>
      <c r="D5438">
        <v>2025</v>
      </c>
      <c r="E5438" t="s">
        <v>2026</v>
      </c>
      <c r="F5438" t="s">
        <v>2496</v>
      </c>
      <c r="G5438" t="s">
        <v>22</v>
      </c>
      <c r="H5438" t="s">
        <v>35</v>
      </c>
      <c r="I5438" t="s">
        <v>24</v>
      </c>
      <c r="J5438" t="s">
        <v>25</v>
      </c>
      <c r="K5438" t="s">
        <v>36</v>
      </c>
      <c r="L5438" t="s">
        <v>44</v>
      </c>
      <c r="M5438">
        <v>7</v>
      </c>
      <c r="N5438" s="2">
        <v>26</v>
      </c>
      <c r="O5438" s="3">
        <v>4491</v>
      </c>
      <c r="P5438">
        <v>0</v>
      </c>
      <c r="Q5438">
        <v>5</v>
      </c>
      <c r="R5438" t="s">
        <v>28</v>
      </c>
      <c r="S5438">
        <v>1</v>
      </c>
    </row>
    <row r="5439" spans="1:19" ht="16.5" x14ac:dyDescent="0.3">
      <c r="A5439" t="s">
        <v>5502</v>
      </c>
      <c r="B5439" s="1">
        <v>46006</v>
      </c>
      <c r="C5439" s="1">
        <v>46007</v>
      </c>
      <c r="D5439">
        <v>2025</v>
      </c>
      <c r="E5439" t="s">
        <v>2026</v>
      </c>
      <c r="F5439" t="s">
        <v>2496</v>
      </c>
      <c r="G5439" t="s">
        <v>22</v>
      </c>
      <c r="H5439" t="s">
        <v>39</v>
      </c>
      <c r="I5439" t="s">
        <v>40</v>
      </c>
      <c r="J5439" t="s">
        <v>43</v>
      </c>
      <c r="K5439" t="s">
        <v>41</v>
      </c>
      <c r="L5439" t="s">
        <v>44</v>
      </c>
      <c r="M5439">
        <v>1</v>
      </c>
      <c r="N5439" s="2"/>
      <c r="O5439" s="3">
        <v>1180</v>
      </c>
      <c r="P5439">
        <v>0</v>
      </c>
      <c r="Q5439">
        <v>4</v>
      </c>
      <c r="R5439" t="s">
        <v>59</v>
      </c>
      <c r="S5439">
        <v>1</v>
      </c>
    </row>
    <row r="5440" spans="1:19" ht="16.5" x14ac:dyDescent="0.3">
      <c r="A5440" t="s">
        <v>5503</v>
      </c>
      <c r="B5440" s="1">
        <v>46006</v>
      </c>
      <c r="C5440" s="1">
        <v>46007</v>
      </c>
      <c r="D5440">
        <v>2025</v>
      </c>
      <c r="E5440" t="s">
        <v>2026</v>
      </c>
      <c r="F5440" t="s">
        <v>2496</v>
      </c>
      <c r="G5440" t="s">
        <v>22</v>
      </c>
      <c r="H5440" t="s">
        <v>35</v>
      </c>
      <c r="I5440" t="s">
        <v>31</v>
      </c>
      <c r="J5440" t="s">
        <v>25</v>
      </c>
      <c r="K5440" t="s">
        <v>36</v>
      </c>
      <c r="L5440" t="s">
        <v>27</v>
      </c>
      <c r="M5440">
        <v>1</v>
      </c>
      <c r="N5440" s="2"/>
      <c r="O5440" s="3">
        <v>1446</v>
      </c>
      <c r="P5440">
        <v>0</v>
      </c>
      <c r="Q5440">
        <v>5</v>
      </c>
      <c r="R5440" t="s">
        <v>33</v>
      </c>
      <c r="S5440">
        <v>1</v>
      </c>
    </row>
    <row r="5441" spans="1:19" ht="16.5" x14ac:dyDescent="0.3">
      <c r="A5441" t="s">
        <v>5504</v>
      </c>
      <c r="B5441" s="1">
        <v>46006</v>
      </c>
      <c r="C5441" s="1">
        <v>46012</v>
      </c>
      <c r="D5441">
        <v>2025</v>
      </c>
      <c r="E5441" t="s">
        <v>2026</v>
      </c>
      <c r="F5441" t="s">
        <v>2496</v>
      </c>
      <c r="G5441" t="s">
        <v>22</v>
      </c>
      <c r="H5441" t="s">
        <v>52</v>
      </c>
      <c r="I5441" t="s">
        <v>40</v>
      </c>
      <c r="J5441" t="s">
        <v>25</v>
      </c>
      <c r="K5441" t="s">
        <v>26</v>
      </c>
      <c r="L5441" t="s">
        <v>27</v>
      </c>
      <c r="M5441">
        <v>6</v>
      </c>
      <c r="N5441" s="2"/>
      <c r="O5441" s="3">
        <v>6276</v>
      </c>
      <c r="P5441">
        <v>0</v>
      </c>
      <c r="Q5441">
        <v>4</v>
      </c>
      <c r="R5441" t="s">
        <v>33</v>
      </c>
      <c r="S5441">
        <v>1</v>
      </c>
    </row>
    <row r="5442" spans="1:19" ht="16.5" x14ac:dyDescent="0.3">
      <c r="A5442" t="s">
        <v>5505</v>
      </c>
      <c r="B5442" s="1">
        <v>46007</v>
      </c>
      <c r="C5442" s="1">
        <v>46015</v>
      </c>
      <c r="D5442">
        <v>2025</v>
      </c>
      <c r="E5442" t="s">
        <v>2026</v>
      </c>
      <c r="F5442" t="s">
        <v>2496</v>
      </c>
      <c r="G5442" t="s">
        <v>56</v>
      </c>
      <c r="H5442" t="s">
        <v>50</v>
      </c>
      <c r="I5442" t="s">
        <v>24</v>
      </c>
      <c r="J5442" t="s">
        <v>43</v>
      </c>
      <c r="K5442" t="s">
        <v>53</v>
      </c>
      <c r="L5442" t="s">
        <v>27</v>
      </c>
      <c r="M5442">
        <v>8</v>
      </c>
      <c r="N5442" s="2">
        <v>26</v>
      </c>
      <c r="O5442" s="3">
        <v>8781</v>
      </c>
      <c r="P5442">
        <v>0</v>
      </c>
      <c r="Q5442">
        <v>4</v>
      </c>
      <c r="R5442" t="s">
        <v>33</v>
      </c>
      <c r="S5442">
        <v>1</v>
      </c>
    </row>
    <row r="5443" spans="1:19" ht="16.5" x14ac:dyDescent="0.3">
      <c r="A5443" t="s">
        <v>5506</v>
      </c>
      <c r="B5443" s="1">
        <v>46007</v>
      </c>
      <c r="C5443" s="1">
        <v>46009</v>
      </c>
      <c r="D5443">
        <v>2025</v>
      </c>
      <c r="E5443" t="s">
        <v>2026</v>
      </c>
      <c r="F5443" t="s">
        <v>2496</v>
      </c>
      <c r="G5443" t="s">
        <v>56</v>
      </c>
      <c r="H5443" t="s">
        <v>52</v>
      </c>
      <c r="I5443" t="s">
        <v>40</v>
      </c>
      <c r="J5443" t="s">
        <v>25</v>
      </c>
      <c r="K5443" t="s">
        <v>32</v>
      </c>
      <c r="L5443" t="s">
        <v>44</v>
      </c>
      <c r="M5443">
        <v>2</v>
      </c>
      <c r="N5443" s="2"/>
      <c r="O5443" s="3">
        <v>2367</v>
      </c>
      <c r="P5443">
        <v>0</v>
      </c>
      <c r="Q5443">
        <v>4</v>
      </c>
      <c r="R5443" t="s">
        <v>28</v>
      </c>
      <c r="S5443">
        <v>1</v>
      </c>
    </row>
    <row r="5444" spans="1:19" ht="16.5" x14ac:dyDescent="0.3">
      <c r="A5444" t="s">
        <v>5507</v>
      </c>
      <c r="B5444" s="1">
        <v>46007</v>
      </c>
      <c r="C5444" s="1">
        <v>46009</v>
      </c>
      <c r="D5444">
        <v>2025</v>
      </c>
      <c r="E5444" t="s">
        <v>2026</v>
      </c>
      <c r="F5444" t="s">
        <v>2496</v>
      </c>
      <c r="G5444" t="s">
        <v>56</v>
      </c>
      <c r="H5444" t="s">
        <v>23</v>
      </c>
      <c r="I5444" t="s">
        <v>40</v>
      </c>
      <c r="J5444" t="s">
        <v>43</v>
      </c>
      <c r="K5444" t="s">
        <v>36</v>
      </c>
      <c r="L5444" t="s">
        <v>27</v>
      </c>
      <c r="M5444">
        <v>2</v>
      </c>
      <c r="N5444" s="2"/>
      <c r="O5444" s="3">
        <v>1957</v>
      </c>
      <c r="P5444">
        <v>0</v>
      </c>
      <c r="Q5444">
        <v>4</v>
      </c>
      <c r="R5444" t="s">
        <v>33</v>
      </c>
      <c r="S5444">
        <v>1</v>
      </c>
    </row>
    <row r="5445" spans="1:19" ht="16.5" x14ac:dyDescent="0.3">
      <c r="A5445" t="s">
        <v>5508</v>
      </c>
      <c r="B5445" s="1">
        <v>46007</v>
      </c>
      <c r="C5445" s="1">
        <v>46018</v>
      </c>
      <c r="D5445">
        <v>2025</v>
      </c>
      <c r="E5445" t="s">
        <v>2026</v>
      </c>
      <c r="F5445" t="s">
        <v>2496</v>
      </c>
      <c r="G5445" t="s">
        <v>56</v>
      </c>
      <c r="H5445" t="s">
        <v>23</v>
      </c>
      <c r="I5445" t="s">
        <v>24</v>
      </c>
      <c r="J5445" t="s">
        <v>25</v>
      </c>
      <c r="K5445" t="s">
        <v>26</v>
      </c>
      <c r="L5445" t="s">
        <v>44</v>
      </c>
      <c r="M5445">
        <v>11</v>
      </c>
      <c r="N5445" s="2">
        <v>98</v>
      </c>
      <c r="O5445" s="3">
        <v>7568</v>
      </c>
      <c r="P5445">
        <v>0</v>
      </c>
      <c r="Q5445">
        <v>4</v>
      </c>
      <c r="R5445" t="s">
        <v>33</v>
      </c>
      <c r="S5445">
        <v>1</v>
      </c>
    </row>
    <row r="5446" spans="1:19" ht="16.5" x14ac:dyDescent="0.3">
      <c r="A5446" t="s">
        <v>5509</v>
      </c>
      <c r="B5446" s="1">
        <v>46007</v>
      </c>
      <c r="C5446" s="1">
        <v>46009</v>
      </c>
      <c r="D5446">
        <v>2025</v>
      </c>
      <c r="E5446" t="s">
        <v>2026</v>
      </c>
      <c r="F5446" t="s">
        <v>2496</v>
      </c>
      <c r="G5446" t="s">
        <v>56</v>
      </c>
      <c r="H5446" t="s">
        <v>30</v>
      </c>
      <c r="I5446" t="s">
        <v>40</v>
      </c>
      <c r="J5446" t="s">
        <v>43</v>
      </c>
      <c r="K5446" t="s">
        <v>32</v>
      </c>
      <c r="L5446" t="s">
        <v>27</v>
      </c>
      <c r="M5446">
        <v>2</v>
      </c>
      <c r="N5446" s="2"/>
      <c r="O5446" s="3">
        <v>3850</v>
      </c>
      <c r="P5446">
        <v>0</v>
      </c>
      <c r="Q5446">
        <v>5</v>
      </c>
      <c r="R5446" t="s">
        <v>28</v>
      </c>
      <c r="S5446">
        <v>1</v>
      </c>
    </row>
    <row r="5447" spans="1:19" ht="16.5" x14ac:dyDescent="0.3">
      <c r="A5447" t="s">
        <v>5510</v>
      </c>
      <c r="B5447" s="1">
        <v>46007</v>
      </c>
      <c r="C5447" s="1">
        <v>46009</v>
      </c>
      <c r="D5447">
        <v>2025</v>
      </c>
      <c r="E5447" t="s">
        <v>2026</v>
      </c>
      <c r="F5447" t="s">
        <v>2496</v>
      </c>
      <c r="G5447" t="s">
        <v>56</v>
      </c>
      <c r="H5447" t="s">
        <v>35</v>
      </c>
      <c r="I5447" t="s">
        <v>24</v>
      </c>
      <c r="J5447" t="s">
        <v>25</v>
      </c>
      <c r="K5447" t="s">
        <v>36</v>
      </c>
      <c r="L5447" t="s">
        <v>27</v>
      </c>
      <c r="M5447">
        <v>2</v>
      </c>
      <c r="N5447" s="2">
        <v>58</v>
      </c>
      <c r="O5447" s="3">
        <v>1996</v>
      </c>
      <c r="P5447">
        <v>0</v>
      </c>
      <c r="Q5447">
        <v>4</v>
      </c>
      <c r="R5447" t="s">
        <v>33</v>
      </c>
      <c r="S5447">
        <v>1</v>
      </c>
    </row>
    <row r="5448" spans="1:19" ht="16.5" x14ac:dyDescent="0.3">
      <c r="A5448" t="s">
        <v>5511</v>
      </c>
      <c r="B5448" s="1">
        <v>46007</v>
      </c>
      <c r="C5448" s="1">
        <v>46020</v>
      </c>
      <c r="D5448">
        <v>2025</v>
      </c>
      <c r="E5448" t="s">
        <v>2026</v>
      </c>
      <c r="F5448" t="s">
        <v>2496</v>
      </c>
      <c r="G5448" t="s">
        <v>56</v>
      </c>
      <c r="H5448" t="s">
        <v>39</v>
      </c>
      <c r="I5448" t="s">
        <v>24</v>
      </c>
      <c r="J5448" t="s">
        <v>25</v>
      </c>
      <c r="K5448" t="s">
        <v>41</v>
      </c>
      <c r="L5448" t="s">
        <v>44</v>
      </c>
      <c r="M5448">
        <v>13</v>
      </c>
      <c r="N5448" s="2">
        <v>112</v>
      </c>
      <c r="O5448" s="3">
        <v>9862</v>
      </c>
      <c r="P5448">
        <v>0</v>
      </c>
      <c r="Q5448">
        <v>2</v>
      </c>
      <c r="R5448" t="s">
        <v>33</v>
      </c>
      <c r="S5448">
        <v>1</v>
      </c>
    </row>
    <row r="5449" spans="1:19" ht="16.5" x14ac:dyDescent="0.3">
      <c r="A5449" t="s">
        <v>5512</v>
      </c>
      <c r="B5449" s="1">
        <v>46007</v>
      </c>
      <c r="C5449" s="1">
        <v>46010</v>
      </c>
      <c r="D5449">
        <v>2025</v>
      </c>
      <c r="E5449" t="s">
        <v>2026</v>
      </c>
      <c r="F5449" t="s">
        <v>2496</v>
      </c>
      <c r="G5449" t="s">
        <v>56</v>
      </c>
      <c r="H5449" t="s">
        <v>23</v>
      </c>
      <c r="I5449" t="s">
        <v>40</v>
      </c>
      <c r="J5449" t="s">
        <v>43</v>
      </c>
      <c r="K5449" t="s">
        <v>32</v>
      </c>
      <c r="L5449" t="s">
        <v>27</v>
      </c>
      <c r="M5449">
        <v>3</v>
      </c>
      <c r="N5449" s="2"/>
      <c r="O5449" s="3">
        <v>3499</v>
      </c>
      <c r="P5449">
        <v>0</v>
      </c>
      <c r="Q5449">
        <v>4</v>
      </c>
      <c r="R5449" t="s">
        <v>28</v>
      </c>
      <c r="S5449">
        <v>1</v>
      </c>
    </row>
    <row r="5450" spans="1:19" ht="16.5" x14ac:dyDescent="0.3">
      <c r="A5450" t="s">
        <v>5513</v>
      </c>
      <c r="B5450" s="1">
        <v>46008</v>
      </c>
      <c r="C5450" s="1">
        <v>46013</v>
      </c>
      <c r="D5450">
        <v>2025</v>
      </c>
      <c r="E5450" t="s">
        <v>2026</v>
      </c>
      <c r="F5450" t="s">
        <v>2496</v>
      </c>
      <c r="G5450" t="s">
        <v>70</v>
      </c>
      <c r="H5450" t="s">
        <v>50</v>
      </c>
      <c r="I5450" t="s">
        <v>24</v>
      </c>
      <c r="J5450" t="s">
        <v>43</v>
      </c>
      <c r="K5450" t="s">
        <v>32</v>
      </c>
      <c r="L5450" t="s">
        <v>27</v>
      </c>
      <c r="M5450">
        <v>5</v>
      </c>
      <c r="N5450" s="2">
        <v>200</v>
      </c>
      <c r="O5450" s="3">
        <v>7302</v>
      </c>
      <c r="P5450">
        <v>0</v>
      </c>
      <c r="Q5450">
        <v>3</v>
      </c>
      <c r="R5450" t="s">
        <v>28</v>
      </c>
      <c r="S5450">
        <v>1</v>
      </c>
    </row>
    <row r="5451" spans="1:19" ht="16.5" x14ac:dyDescent="0.3">
      <c r="A5451" t="s">
        <v>5514</v>
      </c>
      <c r="B5451" s="1">
        <v>46008</v>
      </c>
      <c r="C5451" s="1">
        <v>46013</v>
      </c>
      <c r="D5451">
        <v>2025</v>
      </c>
      <c r="E5451" t="s">
        <v>2026</v>
      </c>
      <c r="F5451" t="s">
        <v>2496</v>
      </c>
      <c r="G5451" t="s">
        <v>70</v>
      </c>
      <c r="H5451" t="s">
        <v>23</v>
      </c>
      <c r="I5451" t="s">
        <v>31</v>
      </c>
      <c r="J5451" t="s">
        <v>25</v>
      </c>
      <c r="K5451" t="s">
        <v>32</v>
      </c>
      <c r="L5451" t="s">
        <v>44</v>
      </c>
      <c r="M5451">
        <v>5</v>
      </c>
      <c r="N5451" s="2"/>
      <c r="O5451" s="3">
        <v>3444</v>
      </c>
      <c r="P5451">
        <v>0</v>
      </c>
      <c r="Q5451">
        <v>5</v>
      </c>
      <c r="R5451" t="s">
        <v>33</v>
      </c>
      <c r="S5451">
        <v>1</v>
      </c>
    </row>
    <row r="5452" spans="1:19" ht="16.5" x14ac:dyDescent="0.3">
      <c r="A5452" t="s">
        <v>5515</v>
      </c>
      <c r="B5452" s="1">
        <v>46008</v>
      </c>
      <c r="C5452" s="1">
        <v>46013</v>
      </c>
      <c r="D5452">
        <v>2025</v>
      </c>
      <c r="E5452" t="s">
        <v>2026</v>
      </c>
      <c r="F5452" t="s">
        <v>2496</v>
      </c>
      <c r="G5452" t="s">
        <v>70</v>
      </c>
      <c r="H5452" t="s">
        <v>52</v>
      </c>
      <c r="I5452" t="s">
        <v>40</v>
      </c>
      <c r="J5452" t="s">
        <v>43</v>
      </c>
      <c r="K5452" t="s">
        <v>26</v>
      </c>
      <c r="L5452" t="s">
        <v>27</v>
      </c>
      <c r="M5452">
        <v>5</v>
      </c>
      <c r="N5452" s="2"/>
      <c r="O5452" s="3">
        <v>5121</v>
      </c>
      <c r="P5452">
        <v>0</v>
      </c>
      <c r="Q5452">
        <v>4</v>
      </c>
      <c r="R5452" t="s">
        <v>28</v>
      </c>
      <c r="S5452">
        <v>1</v>
      </c>
    </row>
    <row r="5453" spans="1:19" ht="16.5" x14ac:dyDescent="0.3">
      <c r="A5453" t="s">
        <v>5516</v>
      </c>
      <c r="B5453" s="1">
        <v>46008</v>
      </c>
      <c r="C5453" s="1">
        <v>46009</v>
      </c>
      <c r="D5453">
        <v>2025</v>
      </c>
      <c r="E5453" t="s">
        <v>2026</v>
      </c>
      <c r="F5453" t="s">
        <v>2496</v>
      </c>
      <c r="G5453" t="s">
        <v>70</v>
      </c>
      <c r="H5453" t="s">
        <v>39</v>
      </c>
      <c r="I5453" t="s">
        <v>24</v>
      </c>
      <c r="J5453" t="s">
        <v>25</v>
      </c>
      <c r="K5453" t="s">
        <v>41</v>
      </c>
      <c r="L5453" t="s">
        <v>27</v>
      </c>
      <c r="M5453">
        <v>1</v>
      </c>
      <c r="N5453" s="2">
        <v>30</v>
      </c>
      <c r="O5453" s="3">
        <v>1161</v>
      </c>
      <c r="P5453">
        <v>0</v>
      </c>
      <c r="Q5453">
        <v>4</v>
      </c>
      <c r="R5453" t="s">
        <v>28</v>
      </c>
      <c r="S5453">
        <v>1</v>
      </c>
    </row>
    <row r="5454" spans="1:19" ht="16.5" x14ac:dyDescent="0.3">
      <c r="A5454" t="s">
        <v>5517</v>
      </c>
      <c r="B5454" s="1">
        <v>46008</v>
      </c>
      <c r="C5454" s="1">
        <v>46009</v>
      </c>
      <c r="D5454">
        <v>2025</v>
      </c>
      <c r="E5454" t="s">
        <v>2026</v>
      </c>
      <c r="F5454" t="s">
        <v>2496</v>
      </c>
      <c r="G5454" t="s">
        <v>70</v>
      </c>
      <c r="H5454" t="s">
        <v>35</v>
      </c>
      <c r="I5454" t="s">
        <v>24</v>
      </c>
      <c r="J5454" t="s">
        <v>25</v>
      </c>
      <c r="K5454" t="s">
        <v>32</v>
      </c>
      <c r="L5454" t="s">
        <v>44</v>
      </c>
      <c r="M5454">
        <v>1</v>
      </c>
      <c r="N5454" s="2">
        <v>39</v>
      </c>
      <c r="O5454" s="3">
        <v>1983</v>
      </c>
      <c r="P5454">
        <v>0</v>
      </c>
      <c r="Q5454">
        <v>5</v>
      </c>
      <c r="R5454" t="s">
        <v>33</v>
      </c>
      <c r="S5454">
        <v>1</v>
      </c>
    </row>
    <row r="5455" spans="1:19" ht="16.5" x14ac:dyDescent="0.3">
      <c r="A5455" t="s">
        <v>5518</v>
      </c>
      <c r="B5455" s="1">
        <v>46009</v>
      </c>
      <c r="C5455" s="1">
        <v>46013</v>
      </c>
      <c r="D5455">
        <v>2025</v>
      </c>
      <c r="E5455" t="s">
        <v>2026</v>
      </c>
      <c r="F5455" t="s">
        <v>2496</v>
      </c>
      <c r="G5455" t="s">
        <v>78</v>
      </c>
      <c r="H5455" t="s">
        <v>30</v>
      </c>
      <c r="I5455" t="s">
        <v>40</v>
      </c>
      <c r="J5455" t="s">
        <v>43</v>
      </c>
      <c r="K5455" t="s">
        <v>26</v>
      </c>
      <c r="L5455" t="s">
        <v>27</v>
      </c>
      <c r="M5455">
        <v>4</v>
      </c>
      <c r="N5455" s="2"/>
      <c r="O5455" s="3">
        <v>4401</v>
      </c>
      <c r="P5455">
        <v>0</v>
      </c>
      <c r="Q5455">
        <v>4</v>
      </c>
      <c r="R5455" t="s">
        <v>33</v>
      </c>
      <c r="S5455">
        <v>1</v>
      </c>
    </row>
    <row r="5456" spans="1:19" ht="16.5" x14ac:dyDescent="0.3">
      <c r="A5456" t="s">
        <v>5519</v>
      </c>
      <c r="B5456" s="1">
        <v>46009</v>
      </c>
      <c r="C5456" s="1">
        <v>46012</v>
      </c>
      <c r="D5456">
        <v>2025</v>
      </c>
      <c r="E5456" t="s">
        <v>2026</v>
      </c>
      <c r="F5456" t="s">
        <v>2496</v>
      </c>
      <c r="G5456" t="s">
        <v>78</v>
      </c>
      <c r="H5456" t="s">
        <v>52</v>
      </c>
      <c r="I5456" t="s">
        <v>40</v>
      </c>
      <c r="J5456" t="s">
        <v>25</v>
      </c>
      <c r="K5456" t="s">
        <v>32</v>
      </c>
      <c r="L5456" t="s">
        <v>27</v>
      </c>
      <c r="M5456">
        <v>3</v>
      </c>
      <c r="N5456" s="2"/>
      <c r="O5456" s="3">
        <v>3469</v>
      </c>
      <c r="P5456">
        <v>0</v>
      </c>
      <c r="Q5456">
        <v>5</v>
      </c>
      <c r="R5456" t="s">
        <v>165</v>
      </c>
      <c r="S5456">
        <v>1</v>
      </c>
    </row>
    <row r="5457" spans="1:19" ht="16.5" x14ac:dyDescent="0.3">
      <c r="A5457" t="s">
        <v>5520</v>
      </c>
      <c r="B5457" s="1">
        <v>46009</v>
      </c>
      <c r="C5457" s="1">
        <v>46014</v>
      </c>
      <c r="D5457">
        <v>2025</v>
      </c>
      <c r="E5457" t="s">
        <v>2026</v>
      </c>
      <c r="F5457" t="s">
        <v>2496</v>
      </c>
      <c r="G5457" t="s">
        <v>78</v>
      </c>
      <c r="H5457" t="s">
        <v>50</v>
      </c>
      <c r="I5457" t="s">
        <v>40</v>
      </c>
      <c r="J5457" t="s">
        <v>25</v>
      </c>
      <c r="K5457" t="s">
        <v>32</v>
      </c>
      <c r="L5457" t="s">
        <v>27</v>
      </c>
      <c r="M5457">
        <v>5</v>
      </c>
      <c r="N5457" s="2"/>
      <c r="O5457" s="3">
        <v>6507</v>
      </c>
      <c r="P5457">
        <v>0</v>
      </c>
      <c r="Q5457">
        <v>4</v>
      </c>
      <c r="R5457" t="s">
        <v>28</v>
      </c>
      <c r="S5457">
        <v>1</v>
      </c>
    </row>
    <row r="5458" spans="1:19" ht="16.5" x14ac:dyDescent="0.3">
      <c r="A5458" t="s">
        <v>5521</v>
      </c>
      <c r="B5458" s="1">
        <v>46009</v>
      </c>
      <c r="C5458" s="1">
        <v>46014</v>
      </c>
      <c r="D5458">
        <v>2025</v>
      </c>
      <c r="E5458" t="s">
        <v>2026</v>
      </c>
      <c r="F5458" t="s">
        <v>2496</v>
      </c>
      <c r="G5458" t="s">
        <v>78</v>
      </c>
      <c r="H5458" t="s">
        <v>23</v>
      </c>
      <c r="I5458" t="s">
        <v>24</v>
      </c>
      <c r="J5458" t="s">
        <v>43</v>
      </c>
      <c r="K5458" t="s">
        <v>32</v>
      </c>
      <c r="L5458" t="s">
        <v>27</v>
      </c>
      <c r="M5458">
        <v>5</v>
      </c>
      <c r="N5458" s="2">
        <v>36</v>
      </c>
      <c r="O5458" s="3">
        <v>4686</v>
      </c>
      <c r="P5458">
        <v>0</v>
      </c>
      <c r="Q5458">
        <v>5</v>
      </c>
      <c r="R5458" t="s">
        <v>33</v>
      </c>
      <c r="S5458">
        <v>1</v>
      </c>
    </row>
    <row r="5459" spans="1:19" ht="16.5" x14ac:dyDescent="0.3">
      <c r="A5459" t="s">
        <v>5522</v>
      </c>
      <c r="B5459" s="1">
        <v>46009</v>
      </c>
      <c r="C5459" s="1">
        <v>46010</v>
      </c>
      <c r="D5459">
        <v>2025</v>
      </c>
      <c r="E5459" t="s">
        <v>2026</v>
      </c>
      <c r="F5459" t="s">
        <v>2496</v>
      </c>
      <c r="G5459" t="s">
        <v>78</v>
      </c>
      <c r="H5459" t="s">
        <v>35</v>
      </c>
      <c r="I5459" t="s">
        <v>31</v>
      </c>
      <c r="J5459" t="s">
        <v>25</v>
      </c>
      <c r="K5459" t="s">
        <v>32</v>
      </c>
      <c r="L5459" t="s">
        <v>37</v>
      </c>
      <c r="M5459">
        <v>1</v>
      </c>
      <c r="N5459" s="2"/>
      <c r="O5459" s="3">
        <v>1638</v>
      </c>
      <c r="P5459">
        <v>1</v>
      </c>
      <c r="Q5459">
        <v>4</v>
      </c>
      <c r="R5459" t="s">
        <v>28</v>
      </c>
      <c r="S5459">
        <v>1</v>
      </c>
    </row>
    <row r="5460" spans="1:19" ht="16.5" x14ac:dyDescent="0.3">
      <c r="A5460" t="s">
        <v>5523</v>
      </c>
      <c r="B5460" s="1">
        <v>46009</v>
      </c>
      <c r="C5460" s="1">
        <v>46014</v>
      </c>
      <c r="D5460">
        <v>2025</v>
      </c>
      <c r="E5460" t="s">
        <v>2026</v>
      </c>
      <c r="F5460" t="s">
        <v>2496</v>
      </c>
      <c r="G5460" t="s">
        <v>78</v>
      </c>
      <c r="H5460" t="s">
        <v>23</v>
      </c>
      <c r="I5460" t="s">
        <v>24</v>
      </c>
      <c r="J5460" t="s">
        <v>43</v>
      </c>
      <c r="K5460" t="s">
        <v>53</v>
      </c>
      <c r="L5460" t="s">
        <v>44</v>
      </c>
      <c r="M5460">
        <v>5</v>
      </c>
      <c r="N5460" s="2">
        <v>100</v>
      </c>
      <c r="O5460" s="3">
        <v>4678</v>
      </c>
      <c r="P5460">
        <v>0</v>
      </c>
      <c r="Q5460">
        <v>4</v>
      </c>
      <c r="R5460" t="s">
        <v>33</v>
      </c>
      <c r="S5460">
        <v>1</v>
      </c>
    </row>
    <row r="5461" spans="1:19" ht="16.5" x14ac:dyDescent="0.3">
      <c r="A5461" t="s">
        <v>5524</v>
      </c>
      <c r="B5461" s="1">
        <v>46009</v>
      </c>
      <c r="C5461" s="1">
        <v>46010</v>
      </c>
      <c r="D5461">
        <v>2025</v>
      </c>
      <c r="E5461" t="s">
        <v>2026</v>
      </c>
      <c r="F5461" t="s">
        <v>2496</v>
      </c>
      <c r="G5461" t="s">
        <v>78</v>
      </c>
      <c r="H5461" t="s">
        <v>39</v>
      </c>
      <c r="I5461" t="s">
        <v>24</v>
      </c>
      <c r="J5461" t="s">
        <v>25</v>
      </c>
      <c r="K5461" t="s">
        <v>41</v>
      </c>
      <c r="L5461" t="s">
        <v>27</v>
      </c>
      <c r="M5461">
        <v>1</v>
      </c>
      <c r="N5461" s="2">
        <v>49</v>
      </c>
      <c r="O5461" s="3">
        <v>1545</v>
      </c>
      <c r="P5461">
        <v>0</v>
      </c>
      <c r="Q5461">
        <v>4</v>
      </c>
      <c r="R5461" t="s">
        <v>59</v>
      </c>
      <c r="S5461">
        <v>1</v>
      </c>
    </row>
    <row r="5462" spans="1:19" ht="16.5" x14ac:dyDescent="0.3">
      <c r="A5462" t="s">
        <v>5525</v>
      </c>
      <c r="B5462" s="1">
        <v>46009</v>
      </c>
      <c r="C5462" s="1">
        <v>46012</v>
      </c>
      <c r="D5462">
        <v>2025</v>
      </c>
      <c r="E5462" t="s">
        <v>2026</v>
      </c>
      <c r="F5462" t="s">
        <v>2496</v>
      </c>
      <c r="G5462" t="s">
        <v>78</v>
      </c>
      <c r="H5462" t="s">
        <v>39</v>
      </c>
      <c r="I5462" t="s">
        <v>31</v>
      </c>
      <c r="J5462" t="s">
        <v>43</v>
      </c>
      <c r="K5462" t="s">
        <v>41</v>
      </c>
      <c r="L5462" t="s">
        <v>27</v>
      </c>
      <c r="M5462">
        <v>3</v>
      </c>
      <c r="N5462" s="2"/>
      <c r="O5462" s="3">
        <v>2693</v>
      </c>
      <c r="P5462">
        <v>0</v>
      </c>
      <c r="Q5462">
        <v>5</v>
      </c>
      <c r="R5462" t="s">
        <v>28</v>
      </c>
      <c r="S5462">
        <v>1</v>
      </c>
    </row>
    <row r="5463" spans="1:19" ht="16.5" x14ac:dyDescent="0.3">
      <c r="A5463" t="s">
        <v>5526</v>
      </c>
      <c r="B5463" s="1">
        <v>46010</v>
      </c>
      <c r="C5463" s="1">
        <v>46031</v>
      </c>
      <c r="D5463">
        <v>2025</v>
      </c>
      <c r="E5463" t="s">
        <v>2026</v>
      </c>
      <c r="F5463" t="s">
        <v>2496</v>
      </c>
      <c r="G5463" t="s">
        <v>83</v>
      </c>
      <c r="H5463" t="s">
        <v>23</v>
      </c>
      <c r="I5463" t="s">
        <v>24</v>
      </c>
      <c r="J5463" t="s">
        <v>43</v>
      </c>
      <c r="K5463" t="s">
        <v>26</v>
      </c>
      <c r="L5463" t="s">
        <v>27</v>
      </c>
      <c r="M5463">
        <v>21</v>
      </c>
      <c r="N5463" s="2">
        <v>25</v>
      </c>
      <c r="O5463" s="3">
        <v>13416</v>
      </c>
      <c r="P5463">
        <v>0</v>
      </c>
      <c r="Q5463">
        <v>5</v>
      </c>
      <c r="R5463" t="s">
        <v>28</v>
      </c>
      <c r="S5463">
        <v>1</v>
      </c>
    </row>
    <row r="5464" spans="1:19" ht="16.5" x14ac:dyDescent="0.3">
      <c r="A5464" t="s">
        <v>5527</v>
      </c>
      <c r="B5464" s="1">
        <v>46010</v>
      </c>
      <c r="C5464" s="1">
        <v>46019</v>
      </c>
      <c r="D5464">
        <v>2025</v>
      </c>
      <c r="E5464" t="s">
        <v>2026</v>
      </c>
      <c r="F5464" t="s">
        <v>2496</v>
      </c>
      <c r="G5464" t="s">
        <v>83</v>
      </c>
      <c r="H5464" t="s">
        <v>23</v>
      </c>
      <c r="I5464" t="s">
        <v>24</v>
      </c>
      <c r="J5464" t="s">
        <v>43</v>
      </c>
      <c r="K5464" t="s">
        <v>26</v>
      </c>
      <c r="L5464" t="s">
        <v>27</v>
      </c>
      <c r="M5464">
        <v>9</v>
      </c>
      <c r="N5464" s="2">
        <v>119</v>
      </c>
      <c r="O5464" s="3">
        <v>7181</v>
      </c>
      <c r="P5464">
        <v>0</v>
      </c>
      <c r="Q5464">
        <v>4</v>
      </c>
      <c r="R5464" t="s">
        <v>33</v>
      </c>
      <c r="S5464">
        <v>1</v>
      </c>
    </row>
    <row r="5465" spans="1:19" ht="16.5" x14ac:dyDescent="0.3">
      <c r="A5465" t="s">
        <v>5528</v>
      </c>
      <c r="B5465" s="1">
        <v>46010</v>
      </c>
      <c r="C5465" s="1">
        <v>46016</v>
      </c>
      <c r="D5465">
        <v>2025</v>
      </c>
      <c r="E5465" t="s">
        <v>2026</v>
      </c>
      <c r="F5465" t="s">
        <v>2496</v>
      </c>
      <c r="G5465" t="s">
        <v>83</v>
      </c>
      <c r="H5465" t="s">
        <v>39</v>
      </c>
      <c r="I5465" t="s">
        <v>24</v>
      </c>
      <c r="J5465" t="s">
        <v>25</v>
      </c>
      <c r="K5465" t="s">
        <v>41</v>
      </c>
      <c r="L5465" t="s">
        <v>27</v>
      </c>
      <c r="M5465">
        <v>6</v>
      </c>
      <c r="N5465" s="2">
        <v>18</v>
      </c>
      <c r="O5465" s="3">
        <v>4095</v>
      </c>
      <c r="P5465">
        <v>0</v>
      </c>
      <c r="Q5465">
        <v>4</v>
      </c>
      <c r="R5465" t="s">
        <v>28</v>
      </c>
      <c r="S5465">
        <v>1</v>
      </c>
    </row>
    <row r="5466" spans="1:19" ht="16.5" x14ac:dyDescent="0.3">
      <c r="A5466" t="s">
        <v>5529</v>
      </c>
      <c r="B5466" s="1">
        <v>46010</v>
      </c>
      <c r="C5466" s="1">
        <v>46012</v>
      </c>
      <c r="D5466">
        <v>2025</v>
      </c>
      <c r="E5466" t="s">
        <v>2026</v>
      </c>
      <c r="F5466" t="s">
        <v>2496</v>
      </c>
      <c r="G5466" t="s">
        <v>83</v>
      </c>
      <c r="H5466" t="s">
        <v>23</v>
      </c>
      <c r="I5466" t="s">
        <v>24</v>
      </c>
      <c r="J5466" t="s">
        <v>43</v>
      </c>
      <c r="K5466" t="s">
        <v>26</v>
      </c>
      <c r="L5466" t="s">
        <v>44</v>
      </c>
      <c r="M5466">
        <v>2</v>
      </c>
      <c r="N5466" s="2">
        <v>204</v>
      </c>
      <c r="O5466" s="3">
        <v>2046</v>
      </c>
      <c r="P5466">
        <v>0</v>
      </c>
      <c r="Q5466">
        <v>4</v>
      </c>
      <c r="R5466" t="s">
        <v>33</v>
      </c>
      <c r="S5466">
        <v>1</v>
      </c>
    </row>
    <row r="5467" spans="1:19" ht="16.5" x14ac:dyDescent="0.3">
      <c r="A5467" t="s">
        <v>5530</v>
      </c>
      <c r="B5467" s="1">
        <v>46010</v>
      </c>
      <c r="C5467" s="1">
        <v>46013</v>
      </c>
      <c r="D5467">
        <v>2025</v>
      </c>
      <c r="E5467" t="s">
        <v>2026</v>
      </c>
      <c r="F5467" t="s">
        <v>2496</v>
      </c>
      <c r="G5467" t="s">
        <v>83</v>
      </c>
      <c r="H5467" t="s">
        <v>39</v>
      </c>
      <c r="I5467" t="s">
        <v>24</v>
      </c>
      <c r="J5467" t="s">
        <v>25</v>
      </c>
      <c r="K5467" t="s">
        <v>41</v>
      </c>
      <c r="L5467" t="s">
        <v>37</v>
      </c>
      <c r="M5467">
        <v>3</v>
      </c>
      <c r="N5467" s="2">
        <v>110</v>
      </c>
      <c r="O5467" s="3">
        <v>2905</v>
      </c>
      <c r="P5467">
        <v>0</v>
      </c>
      <c r="Q5467">
        <v>3</v>
      </c>
      <c r="R5467" t="s">
        <v>33</v>
      </c>
      <c r="S5467">
        <v>1</v>
      </c>
    </row>
    <row r="5468" spans="1:19" ht="16.5" x14ac:dyDescent="0.3">
      <c r="A5468" t="s">
        <v>5531</v>
      </c>
      <c r="B5468" s="1">
        <v>46010</v>
      </c>
      <c r="C5468" s="1">
        <v>46015</v>
      </c>
      <c r="D5468">
        <v>2025</v>
      </c>
      <c r="E5468" t="s">
        <v>2026</v>
      </c>
      <c r="F5468" t="s">
        <v>2496</v>
      </c>
      <c r="G5468" t="s">
        <v>83</v>
      </c>
      <c r="H5468" t="s">
        <v>39</v>
      </c>
      <c r="I5468" t="s">
        <v>24</v>
      </c>
      <c r="J5468" t="s">
        <v>43</v>
      </c>
      <c r="K5468" t="s">
        <v>41</v>
      </c>
      <c r="L5468" t="s">
        <v>27</v>
      </c>
      <c r="M5468">
        <v>5</v>
      </c>
      <c r="N5468" s="2">
        <v>101</v>
      </c>
      <c r="O5468" s="3">
        <v>3667</v>
      </c>
      <c r="P5468">
        <v>0</v>
      </c>
      <c r="Q5468">
        <v>3</v>
      </c>
      <c r="R5468" t="s">
        <v>33</v>
      </c>
      <c r="S5468">
        <v>1</v>
      </c>
    </row>
    <row r="5469" spans="1:19" ht="16.5" x14ac:dyDescent="0.3">
      <c r="A5469" t="s">
        <v>5532</v>
      </c>
      <c r="B5469" s="1">
        <v>46011</v>
      </c>
      <c r="C5469" s="1">
        <v>46016</v>
      </c>
      <c r="D5469">
        <v>2025</v>
      </c>
      <c r="E5469" t="s">
        <v>2026</v>
      </c>
      <c r="F5469" t="s">
        <v>2496</v>
      </c>
      <c r="G5469" t="s">
        <v>102</v>
      </c>
      <c r="H5469" t="s">
        <v>23</v>
      </c>
      <c r="I5469" t="s">
        <v>24</v>
      </c>
      <c r="J5469" t="s">
        <v>25</v>
      </c>
      <c r="K5469" t="s">
        <v>26</v>
      </c>
      <c r="L5469" t="s">
        <v>44</v>
      </c>
      <c r="M5469">
        <v>5</v>
      </c>
      <c r="N5469" s="2">
        <v>37</v>
      </c>
      <c r="O5469" s="3">
        <v>3770</v>
      </c>
      <c r="P5469">
        <v>0</v>
      </c>
      <c r="Q5469">
        <v>4</v>
      </c>
      <c r="R5469" t="s">
        <v>28</v>
      </c>
      <c r="S5469">
        <v>1</v>
      </c>
    </row>
    <row r="5470" spans="1:19" ht="16.5" x14ac:dyDescent="0.3">
      <c r="A5470" t="s">
        <v>5533</v>
      </c>
      <c r="B5470" s="1">
        <v>46011</v>
      </c>
      <c r="C5470" s="1">
        <v>46012</v>
      </c>
      <c r="D5470">
        <v>2025</v>
      </c>
      <c r="E5470" t="s">
        <v>2026</v>
      </c>
      <c r="F5470" t="s">
        <v>2496</v>
      </c>
      <c r="G5470" t="s">
        <v>102</v>
      </c>
      <c r="H5470" t="s">
        <v>39</v>
      </c>
      <c r="I5470" t="s">
        <v>24</v>
      </c>
      <c r="J5470" t="s">
        <v>25</v>
      </c>
      <c r="K5470" t="s">
        <v>41</v>
      </c>
      <c r="L5470" t="s">
        <v>44</v>
      </c>
      <c r="M5470">
        <v>1</v>
      </c>
      <c r="N5470" s="2">
        <v>62</v>
      </c>
      <c r="O5470" s="3">
        <v>1627</v>
      </c>
      <c r="P5470">
        <v>0</v>
      </c>
      <c r="Q5470">
        <v>5</v>
      </c>
      <c r="R5470" t="s">
        <v>33</v>
      </c>
      <c r="S5470">
        <v>1</v>
      </c>
    </row>
    <row r="5471" spans="1:19" ht="16.5" x14ac:dyDescent="0.3">
      <c r="A5471" t="s">
        <v>5534</v>
      </c>
      <c r="B5471" s="1">
        <v>46011</v>
      </c>
      <c r="C5471" s="1">
        <v>46012</v>
      </c>
      <c r="D5471">
        <v>2025</v>
      </c>
      <c r="E5471" t="s">
        <v>2026</v>
      </c>
      <c r="F5471" t="s">
        <v>2496</v>
      </c>
      <c r="G5471" t="s">
        <v>102</v>
      </c>
      <c r="H5471" t="s">
        <v>39</v>
      </c>
      <c r="I5471" t="s">
        <v>24</v>
      </c>
      <c r="J5471" t="s">
        <v>25</v>
      </c>
      <c r="K5471" t="s">
        <v>41</v>
      </c>
      <c r="L5471" t="s">
        <v>44</v>
      </c>
      <c r="M5471">
        <v>1</v>
      </c>
      <c r="N5471" s="2">
        <v>41</v>
      </c>
      <c r="O5471" s="3">
        <v>1553</v>
      </c>
      <c r="P5471">
        <v>0</v>
      </c>
      <c r="Q5471">
        <v>4</v>
      </c>
      <c r="R5471" t="s">
        <v>28</v>
      </c>
      <c r="S5471">
        <v>1</v>
      </c>
    </row>
    <row r="5472" spans="1:19" ht="16.5" x14ac:dyDescent="0.3">
      <c r="A5472" t="s">
        <v>5535</v>
      </c>
      <c r="B5472" s="1">
        <v>46011</v>
      </c>
      <c r="C5472" s="1">
        <v>46017</v>
      </c>
      <c r="D5472">
        <v>2025</v>
      </c>
      <c r="E5472" t="s">
        <v>2026</v>
      </c>
      <c r="F5472" t="s">
        <v>2496</v>
      </c>
      <c r="G5472" t="s">
        <v>102</v>
      </c>
      <c r="H5472" t="s">
        <v>23</v>
      </c>
      <c r="I5472" t="s">
        <v>24</v>
      </c>
      <c r="J5472" t="s">
        <v>43</v>
      </c>
      <c r="K5472" t="s">
        <v>53</v>
      </c>
      <c r="L5472" t="s">
        <v>44</v>
      </c>
      <c r="M5472">
        <v>6</v>
      </c>
      <c r="N5472" s="2">
        <v>97</v>
      </c>
      <c r="O5472" s="3">
        <v>5174</v>
      </c>
      <c r="P5472">
        <v>1</v>
      </c>
      <c r="Q5472">
        <v>4</v>
      </c>
      <c r="R5472" t="s">
        <v>28</v>
      </c>
      <c r="S5472">
        <v>1</v>
      </c>
    </row>
    <row r="5473" spans="1:19" ht="16.5" x14ac:dyDescent="0.3">
      <c r="A5473" t="s">
        <v>5536</v>
      </c>
      <c r="B5473" s="1">
        <v>46011</v>
      </c>
      <c r="C5473" s="1">
        <v>46021</v>
      </c>
      <c r="D5473">
        <v>2025</v>
      </c>
      <c r="E5473" t="s">
        <v>2026</v>
      </c>
      <c r="F5473" t="s">
        <v>2496</v>
      </c>
      <c r="G5473" t="s">
        <v>102</v>
      </c>
      <c r="H5473" t="s">
        <v>23</v>
      </c>
      <c r="I5473" t="s">
        <v>31</v>
      </c>
      <c r="J5473" t="s">
        <v>43</v>
      </c>
      <c r="K5473" t="s">
        <v>53</v>
      </c>
      <c r="L5473" t="s">
        <v>44</v>
      </c>
      <c r="M5473">
        <v>10</v>
      </c>
      <c r="N5473" s="2"/>
      <c r="O5473" s="3">
        <v>6901</v>
      </c>
      <c r="P5473">
        <v>0</v>
      </c>
      <c r="Q5473">
        <v>4</v>
      </c>
      <c r="R5473" t="s">
        <v>28</v>
      </c>
      <c r="S5473">
        <v>1</v>
      </c>
    </row>
    <row r="5474" spans="1:19" ht="16.5" x14ac:dyDescent="0.3">
      <c r="A5474" t="s">
        <v>5537</v>
      </c>
      <c r="B5474" s="1">
        <v>46011</v>
      </c>
      <c r="C5474" s="1">
        <v>46014</v>
      </c>
      <c r="D5474">
        <v>2025</v>
      </c>
      <c r="E5474" t="s">
        <v>2026</v>
      </c>
      <c r="F5474" t="s">
        <v>2496</v>
      </c>
      <c r="G5474" t="s">
        <v>102</v>
      </c>
      <c r="H5474" t="s">
        <v>30</v>
      </c>
      <c r="I5474" t="s">
        <v>31</v>
      </c>
      <c r="J5474" t="s">
        <v>25</v>
      </c>
      <c r="K5474" t="s">
        <v>36</v>
      </c>
      <c r="L5474" t="s">
        <v>37</v>
      </c>
      <c r="M5474">
        <v>3</v>
      </c>
      <c r="N5474" s="2"/>
      <c r="O5474" s="3">
        <v>4309</v>
      </c>
      <c r="P5474">
        <v>0</v>
      </c>
      <c r="Q5474">
        <v>4</v>
      </c>
      <c r="R5474" t="s">
        <v>28</v>
      </c>
      <c r="S5474">
        <v>1</v>
      </c>
    </row>
    <row r="5475" spans="1:19" ht="16.5" x14ac:dyDescent="0.3">
      <c r="A5475" t="s">
        <v>5538</v>
      </c>
      <c r="B5475" s="1">
        <v>46011</v>
      </c>
      <c r="C5475" s="1">
        <v>46015</v>
      </c>
      <c r="D5475">
        <v>2025</v>
      </c>
      <c r="E5475" t="s">
        <v>2026</v>
      </c>
      <c r="F5475" t="s">
        <v>2496</v>
      </c>
      <c r="G5475" t="s">
        <v>102</v>
      </c>
      <c r="H5475" t="s">
        <v>23</v>
      </c>
      <c r="I5475" t="s">
        <v>24</v>
      </c>
      <c r="J5475" t="s">
        <v>43</v>
      </c>
      <c r="K5475" t="s">
        <v>53</v>
      </c>
      <c r="L5475" t="s">
        <v>44</v>
      </c>
      <c r="M5475">
        <v>4</v>
      </c>
      <c r="N5475" s="2">
        <v>50</v>
      </c>
      <c r="O5475" s="3">
        <v>2927</v>
      </c>
      <c r="P5475">
        <v>0</v>
      </c>
      <c r="Q5475">
        <v>5</v>
      </c>
      <c r="R5475" t="s">
        <v>28</v>
      </c>
      <c r="S5475">
        <v>1</v>
      </c>
    </row>
    <row r="5476" spans="1:19" ht="16.5" x14ac:dyDescent="0.3">
      <c r="A5476" t="s">
        <v>5539</v>
      </c>
      <c r="B5476" s="1">
        <v>46011</v>
      </c>
      <c r="C5476" s="1">
        <v>46016</v>
      </c>
      <c r="D5476">
        <v>2025</v>
      </c>
      <c r="E5476" t="s">
        <v>2026</v>
      </c>
      <c r="F5476" t="s">
        <v>2496</v>
      </c>
      <c r="G5476" t="s">
        <v>102</v>
      </c>
      <c r="H5476" t="s">
        <v>23</v>
      </c>
      <c r="I5476" t="s">
        <v>24</v>
      </c>
      <c r="J5476" t="s">
        <v>25</v>
      </c>
      <c r="K5476" t="s">
        <v>26</v>
      </c>
      <c r="L5476" t="s">
        <v>44</v>
      </c>
      <c r="M5476">
        <v>5</v>
      </c>
      <c r="N5476" s="2">
        <v>66</v>
      </c>
      <c r="O5476" s="3">
        <v>4258</v>
      </c>
      <c r="P5476">
        <v>1</v>
      </c>
      <c r="Q5476">
        <v>3</v>
      </c>
      <c r="R5476" t="s">
        <v>33</v>
      </c>
      <c r="S5476">
        <v>1</v>
      </c>
    </row>
    <row r="5477" spans="1:19" ht="16.5" x14ac:dyDescent="0.3">
      <c r="A5477" t="s">
        <v>5540</v>
      </c>
      <c r="B5477" s="1">
        <v>46011</v>
      </c>
      <c r="C5477" s="1">
        <v>46019</v>
      </c>
      <c r="D5477">
        <v>2025</v>
      </c>
      <c r="E5477" t="s">
        <v>2026</v>
      </c>
      <c r="F5477" t="s">
        <v>2496</v>
      </c>
      <c r="G5477" t="s">
        <v>102</v>
      </c>
      <c r="H5477" t="s">
        <v>30</v>
      </c>
      <c r="I5477" t="s">
        <v>24</v>
      </c>
      <c r="J5477" t="s">
        <v>43</v>
      </c>
      <c r="K5477" t="s">
        <v>53</v>
      </c>
      <c r="L5477" t="s">
        <v>44</v>
      </c>
      <c r="M5477">
        <v>8</v>
      </c>
      <c r="N5477" s="2">
        <v>102</v>
      </c>
      <c r="O5477" s="3">
        <v>7481</v>
      </c>
      <c r="P5477">
        <v>0</v>
      </c>
      <c r="Q5477">
        <v>3</v>
      </c>
      <c r="R5477" t="s">
        <v>33</v>
      </c>
      <c r="S5477">
        <v>1</v>
      </c>
    </row>
    <row r="5478" spans="1:19" ht="16.5" x14ac:dyDescent="0.3">
      <c r="A5478" t="s">
        <v>5541</v>
      </c>
      <c r="B5478" s="1">
        <v>46011</v>
      </c>
      <c r="C5478" s="1">
        <v>46014</v>
      </c>
      <c r="D5478">
        <v>2025</v>
      </c>
      <c r="E5478" t="s">
        <v>2026</v>
      </c>
      <c r="F5478" t="s">
        <v>2496</v>
      </c>
      <c r="G5478" t="s">
        <v>102</v>
      </c>
      <c r="H5478" t="s">
        <v>23</v>
      </c>
      <c r="I5478" t="s">
        <v>40</v>
      </c>
      <c r="J5478" t="s">
        <v>43</v>
      </c>
      <c r="K5478" t="s">
        <v>53</v>
      </c>
      <c r="L5478" t="s">
        <v>44</v>
      </c>
      <c r="M5478">
        <v>3</v>
      </c>
      <c r="N5478" s="2"/>
      <c r="O5478" s="3">
        <v>2297</v>
      </c>
      <c r="P5478">
        <v>0</v>
      </c>
      <c r="Q5478">
        <v>4</v>
      </c>
      <c r="R5478" t="s">
        <v>28</v>
      </c>
      <c r="S5478">
        <v>1</v>
      </c>
    </row>
    <row r="5479" spans="1:19" ht="16.5" x14ac:dyDescent="0.3">
      <c r="A5479" t="s">
        <v>5542</v>
      </c>
      <c r="B5479" s="1">
        <v>46011</v>
      </c>
      <c r="C5479" s="1">
        <v>46019</v>
      </c>
      <c r="D5479">
        <v>2025</v>
      </c>
      <c r="E5479" t="s">
        <v>2026</v>
      </c>
      <c r="F5479" t="s">
        <v>2496</v>
      </c>
      <c r="G5479" t="s">
        <v>102</v>
      </c>
      <c r="H5479" t="s">
        <v>50</v>
      </c>
      <c r="I5479" t="s">
        <v>24</v>
      </c>
      <c r="J5479" t="s">
        <v>25</v>
      </c>
      <c r="K5479" t="s">
        <v>53</v>
      </c>
      <c r="L5479" t="s">
        <v>44</v>
      </c>
      <c r="M5479">
        <v>8</v>
      </c>
      <c r="N5479" s="2">
        <v>141</v>
      </c>
      <c r="O5479" s="3">
        <v>10767</v>
      </c>
      <c r="P5479">
        <v>0</v>
      </c>
      <c r="Q5479">
        <v>3</v>
      </c>
      <c r="R5479" t="s">
        <v>33</v>
      </c>
      <c r="S5479">
        <v>1</v>
      </c>
    </row>
    <row r="5480" spans="1:19" ht="16.5" x14ac:dyDescent="0.3">
      <c r="A5480" t="s">
        <v>5543</v>
      </c>
      <c r="B5480" s="1">
        <v>46011</v>
      </c>
      <c r="C5480" s="1">
        <v>46012</v>
      </c>
      <c r="D5480">
        <v>2025</v>
      </c>
      <c r="E5480" t="s">
        <v>2026</v>
      </c>
      <c r="F5480" t="s">
        <v>2496</v>
      </c>
      <c r="G5480" t="s">
        <v>102</v>
      </c>
      <c r="H5480" t="s">
        <v>39</v>
      </c>
      <c r="I5480" t="s">
        <v>24</v>
      </c>
      <c r="J5480" t="s">
        <v>43</v>
      </c>
      <c r="K5480" t="s">
        <v>41</v>
      </c>
      <c r="L5480" t="s">
        <v>44</v>
      </c>
      <c r="M5480">
        <v>1</v>
      </c>
      <c r="N5480" s="2">
        <v>23</v>
      </c>
      <c r="O5480" s="3">
        <v>1220</v>
      </c>
      <c r="P5480">
        <v>0</v>
      </c>
      <c r="Q5480">
        <v>5</v>
      </c>
      <c r="R5480" t="s">
        <v>33</v>
      </c>
      <c r="S5480">
        <v>1</v>
      </c>
    </row>
    <row r="5481" spans="1:19" ht="16.5" x14ac:dyDescent="0.3">
      <c r="A5481" t="s">
        <v>5544</v>
      </c>
      <c r="B5481" s="1">
        <v>46011</v>
      </c>
      <c r="C5481" s="1">
        <v>46014</v>
      </c>
      <c r="D5481">
        <v>2025</v>
      </c>
      <c r="E5481" t="s">
        <v>2026</v>
      </c>
      <c r="F5481" t="s">
        <v>2496</v>
      </c>
      <c r="G5481" t="s">
        <v>102</v>
      </c>
      <c r="H5481" t="s">
        <v>23</v>
      </c>
      <c r="I5481" t="s">
        <v>24</v>
      </c>
      <c r="J5481" t="s">
        <v>25</v>
      </c>
      <c r="K5481" t="s">
        <v>53</v>
      </c>
      <c r="L5481" t="s">
        <v>44</v>
      </c>
      <c r="M5481">
        <v>3</v>
      </c>
      <c r="N5481" s="2">
        <v>31</v>
      </c>
      <c r="O5481" s="3">
        <v>2599</v>
      </c>
      <c r="P5481">
        <v>1</v>
      </c>
      <c r="Q5481">
        <v>3</v>
      </c>
      <c r="R5481" t="s">
        <v>33</v>
      </c>
      <c r="S5481">
        <v>1</v>
      </c>
    </row>
    <row r="5482" spans="1:19" ht="16.5" x14ac:dyDescent="0.3">
      <c r="A5482" t="s">
        <v>5545</v>
      </c>
      <c r="B5482" s="1">
        <v>46011</v>
      </c>
      <c r="C5482" s="1">
        <v>46016</v>
      </c>
      <c r="D5482">
        <v>2025</v>
      </c>
      <c r="E5482" t="s">
        <v>2026</v>
      </c>
      <c r="F5482" t="s">
        <v>2496</v>
      </c>
      <c r="G5482" t="s">
        <v>102</v>
      </c>
      <c r="H5482" t="s">
        <v>50</v>
      </c>
      <c r="I5482" t="s">
        <v>24</v>
      </c>
      <c r="J5482" t="s">
        <v>43</v>
      </c>
      <c r="K5482" t="s">
        <v>36</v>
      </c>
      <c r="L5482" t="s">
        <v>44</v>
      </c>
      <c r="M5482">
        <v>5</v>
      </c>
      <c r="N5482" s="2">
        <v>49</v>
      </c>
      <c r="O5482" s="3">
        <v>5412</v>
      </c>
      <c r="P5482">
        <v>0</v>
      </c>
      <c r="Q5482">
        <v>4</v>
      </c>
      <c r="R5482" t="s">
        <v>28</v>
      </c>
      <c r="S5482">
        <v>1</v>
      </c>
    </row>
    <row r="5483" spans="1:19" ht="16.5" x14ac:dyDescent="0.3">
      <c r="A5483" t="s">
        <v>5546</v>
      </c>
      <c r="B5483" s="1">
        <v>46011</v>
      </c>
      <c r="C5483" s="1">
        <v>46015</v>
      </c>
      <c r="D5483">
        <v>2025</v>
      </c>
      <c r="E5483" t="s">
        <v>2026</v>
      </c>
      <c r="F5483" t="s">
        <v>2496</v>
      </c>
      <c r="G5483" t="s">
        <v>102</v>
      </c>
      <c r="H5483" t="s">
        <v>50</v>
      </c>
      <c r="I5483" t="s">
        <v>24</v>
      </c>
      <c r="J5483" t="s">
        <v>25</v>
      </c>
      <c r="K5483" t="s">
        <v>32</v>
      </c>
      <c r="L5483" t="s">
        <v>27</v>
      </c>
      <c r="M5483">
        <v>4</v>
      </c>
      <c r="N5483" s="2">
        <v>108</v>
      </c>
      <c r="O5483" s="3">
        <v>7259</v>
      </c>
      <c r="P5483">
        <v>0</v>
      </c>
      <c r="Q5483">
        <v>2</v>
      </c>
      <c r="R5483" t="s">
        <v>33</v>
      </c>
      <c r="S5483">
        <v>1</v>
      </c>
    </row>
    <row r="5484" spans="1:19" ht="16.5" x14ac:dyDescent="0.3">
      <c r="A5484" t="s">
        <v>5547</v>
      </c>
      <c r="B5484" s="1">
        <v>46011</v>
      </c>
      <c r="C5484" s="1">
        <v>46015</v>
      </c>
      <c r="D5484">
        <v>2025</v>
      </c>
      <c r="E5484" t="s">
        <v>2026</v>
      </c>
      <c r="F5484" t="s">
        <v>2496</v>
      </c>
      <c r="G5484" t="s">
        <v>102</v>
      </c>
      <c r="H5484" t="s">
        <v>50</v>
      </c>
      <c r="I5484" t="s">
        <v>24</v>
      </c>
      <c r="J5484" t="s">
        <v>25</v>
      </c>
      <c r="K5484" t="s">
        <v>26</v>
      </c>
      <c r="L5484" t="s">
        <v>27</v>
      </c>
      <c r="M5484">
        <v>4</v>
      </c>
      <c r="N5484" s="2">
        <v>144</v>
      </c>
      <c r="O5484" s="3">
        <v>4517</v>
      </c>
      <c r="P5484">
        <v>0</v>
      </c>
      <c r="Q5484">
        <v>3</v>
      </c>
      <c r="R5484" t="s">
        <v>28</v>
      </c>
      <c r="S5484">
        <v>1</v>
      </c>
    </row>
    <row r="5485" spans="1:19" ht="16.5" x14ac:dyDescent="0.3">
      <c r="A5485" t="s">
        <v>5548</v>
      </c>
      <c r="B5485" s="1">
        <v>46011</v>
      </c>
      <c r="C5485" s="1">
        <v>46014</v>
      </c>
      <c r="D5485">
        <v>2025</v>
      </c>
      <c r="E5485" t="s">
        <v>2026</v>
      </c>
      <c r="F5485" t="s">
        <v>2496</v>
      </c>
      <c r="G5485" t="s">
        <v>102</v>
      </c>
      <c r="H5485" t="s">
        <v>23</v>
      </c>
      <c r="I5485" t="s">
        <v>24</v>
      </c>
      <c r="J5485" t="s">
        <v>43</v>
      </c>
      <c r="K5485" t="s">
        <v>32</v>
      </c>
      <c r="L5485" t="s">
        <v>27</v>
      </c>
      <c r="M5485">
        <v>3</v>
      </c>
      <c r="N5485" s="2">
        <v>60</v>
      </c>
      <c r="O5485" s="3">
        <v>3208</v>
      </c>
      <c r="P5485">
        <v>0</v>
      </c>
      <c r="Q5485">
        <v>4</v>
      </c>
      <c r="R5485" t="s">
        <v>33</v>
      </c>
      <c r="S5485">
        <v>1</v>
      </c>
    </row>
    <row r="5486" spans="1:19" ht="16.5" x14ac:dyDescent="0.3">
      <c r="A5486" t="s">
        <v>5549</v>
      </c>
      <c r="B5486" s="1">
        <v>46011</v>
      </c>
      <c r="C5486" s="1">
        <v>46014</v>
      </c>
      <c r="D5486">
        <v>2025</v>
      </c>
      <c r="E5486" t="s">
        <v>2026</v>
      </c>
      <c r="F5486" t="s">
        <v>2496</v>
      </c>
      <c r="G5486" t="s">
        <v>102</v>
      </c>
      <c r="H5486" t="s">
        <v>39</v>
      </c>
      <c r="I5486" t="s">
        <v>24</v>
      </c>
      <c r="J5486" t="s">
        <v>43</v>
      </c>
      <c r="K5486" t="s">
        <v>41</v>
      </c>
      <c r="L5486" t="s">
        <v>44</v>
      </c>
      <c r="M5486">
        <v>3</v>
      </c>
      <c r="N5486" s="2">
        <v>97</v>
      </c>
      <c r="O5486" s="3">
        <v>2887</v>
      </c>
      <c r="P5486">
        <v>1</v>
      </c>
      <c r="Q5486">
        <v>4</v>
      </c>
      <c r="R5486" t="s">
        <v>33</v>
      </c>
      <c r="S5486">
        <v>1</v>
      </c>
    </row>
    <row r="5487" spans="1:19" ht="16.5" x14ac:dyDescent="0.3">
      <c r="A5487" t="s">
        <v>5550</v>
      </c>
      <c r="B5487" s="1">
        <v>46011</v>
      </c>
      <c r="C5487" s="1">
        <v>46017</v>
      </c>
      <c r="D5487">
        <v>2025</v>
      </c>
      <c r="E5487" t="s">
        <v>2026</v>
      </c>
      <c r="F5487" t="s">
        <v>2496</v>
      </c>
      <c r="G5487" t="s">
        <v>102</v>
      </c>
      <c r="H5487" t="s">
        <v>23</v>
      </c>
      <c r="I5487" t="s">
        <v>24</v>
      </c>
      <c r="J5487" t="s">
        <v>25</v>
      </c>
      <c r="K5487" t="s">
        <v>53</v>
      </c>
      <c r="L5487" t="s">
        <v>44</v>
      </c>
      <c r="M5487">
        <v>6</v>
      </c>
      <c r="N5487" s="2">
        <v>51</v>
      </c>
      <c r="O5487" s="3">
        <v>4017</v>
      </c>
      <c r="P5487">
        <v>0</v>
      </c>
      <c r="Q5487">
        <v>4</v>
      </c>
      <c r="R5487" t="s">
        <v>33</v>
      </c>
      <c r="S5487">
        <v>1</v>
      </c>
    </row>
    <row r="5488" spans="1:19" ht="16.5" x14ac:dyDescent="0.3">
      <c r="A5488" t="s">
        <v>5551</v>
      </c>
      <c r="B5488" s="1">
        <v>46011</v>
      </c>
      <c r="C5488" s="1">
        <v>46015</v>
      </c>
      <c r="D5488">
        <v>2025</v>
      </c>
      <c r="E5488" t="s">
        <v>2026</v>
      </c>
      <c r="F5488" t="s">
        <v>2496</v>
      </c>
      <c r="G5488" t="s">
        <v>102</v>
      </c>
      <c r="H5488" t="s">
        <v>30</v>
      </c>
      <c r="I5488" t="s">
        <v>40</v>
      </c>
      <c r="J5488" t="s">
        <v>43</v>
      </c>
      <c r="K5488" t="s">
        <v>32</v>
      </c>
      <c r="L5488" t="s">
        <v>44</v>
      </c>
      <c r="M5488">
        <v>4</v>
      </c>
      <c r="N5488" s="2"/>
      <c r="O5488" s="3">
        <v>5733</v>
      </c>
      <c r="P5488">
        <v>0</v>
      </c>
      <c r="Q5488">
        <v>4</v>
      </c>
      <c r="R5488" t="s">
        <v>33</v>
      </c>
      <c r="S5488">
        <v>1</v>
      </c>
    </row>
    <row r="5489" spans="1:19" ht="16.5" x14ac:dyDescent="0.3">
      <c r="A5489" t="s">
        <v>5552</v>
      </c>
      <c r="B5489" s="1">
        <v>46012</v>
      </c>
      <c r="C5489" s="1">
        <v>46016</v>
      </c>
      <c r="D5489">
        <v>2025</v>
      </c>
      <c r="E5489" t="s">
        <v>2026</v>
      </c>
      <c r="F5489" t="s">
        <v>2496</v>
      </c>
      <c r="G5489" t="s">
        <v>112</v>
      </c>
      <c r="H5489" t="s">
        <v>39</v>
      </c>
      <c r="I5489" t="s">
        <v>24</v>
      </c>
      <c r="J5489" t="s">
        <v>25</v>
      </c>
      <c r="K5489" t="s">
        <v>41</v>
      </c>
      <c r="L5489" t="s">
        <v>37</v>
      </c>
      <c r="M5489">
        <v>4</v>
      </c>
      <c r="N5489" s="2">
        <v>110</v>
      </c>
      <c r="O5489" s="3">
        <v>3171</v>
      </c>
      <c r="P5489">
        <v>0</v>
      </c>
      <c r="Q5489">
        <v>3</v>
      </c>
      <c r="R5489" t="s">
        <v>28</v>
      </c>
      <c r="S5489">
        <v>1</v>
      </c>
    </row>
    <row r="5490" spans="1:19" ht="16.5" x14ac:dyDescent="0.3">
      <c r="A5490" t="s">
        <v>5553</v>
      </c>
      <c r="B5490" s="1">
        <v>46012</v>
      </c>
      <c r="C5490" s="1">
        <v>46021</v>
      </c>
      <c r="D5490">
        <v>2025</v>
      </c>
      <c r="E5490" t="s">
        <v>2026</v>
      </c>
      <c r="F5490" t="s">
        <v>2496</v>
      </c>
      <c r="G5490" t="s">
        <v>112</v>
      </c>
      <c r="H5490" t="s">
        <v>23</v>
      </c>
      <c r="I5490" t="s">
        <v>24</v>
      </c>
      <c r="J5490" t="s">
        <v>43</v>
      </c>
      <c r="K5490" t="s">
        <v>26</v>
      </c>
      <c r="L5490" t="s">
        <v>27</v>
      </c>
      <c r="M5490">
        <v>9</v>
      </c>
      <c r="N5490" s="2">
        <v>26</v>
      </c>
      <c r="O5490" s="3">
        <v>7302</v>
      </c>
      <c r="P5490">
        <v>1</v>
      </c>
      <c r="Q5490">
        <v>4</v>
      </c>
      <c r="R5490" t="s">
        <v>33</v>
      </c>
      <c r="S5490">
        <v>1</v>
      </c>
    </row>
    <row r="5491" spans="1:19" ht="16.5" x14ac:dyDescent="0.3">
      <c r="A5491" t="s">
        <v>5554</v>
      </c>
      <c r="B5491" s="1">
        <v>46012</v>
      </c>
      <c r="C5491" s="1">
        <v>46017</v>
      </c>
      <c r="D5491">
        <v>2025</v>
      </c>
      <c r="E5491" t="s">
        <v>2026</v>
      </c>
      <c r="F5491" t="s">
        <v>2496</v>
      </c>
      <c r="G5491" t="s">
        <v>112</v>
      </c>
      <c r="H5491" t="s">
        <v>23</v>
      </c>
      <c r="I5491" t="s">
        <v>24</v>
      </c>
      <c r="J5491" t="s">
        <v>43</v>
      </c>
      <c r="K5491" t="s">
        <v>32</v>
      </c>
      <c r="L5491" t="s">
        <v>37</v>
      </c>
      <c r="M5491">
        <v>5</v>
      </c>
      <c r="N5491" s="2">
        <v>72</v>
      </c>
      <c r="O5491" s="3">
        <v>3452</v>
      </c>
      <c r="P5491">
        <v>0</v>
      </c>
      <c r="Q5491">
        <v>4</v>
      </c>
      <c r="R5491" t="s">
        <v>33</v>
      </c>
      <c r="S5491">
        <v>1</v>
      </c>
    </row>
    <row r="5492" spans="1:19" ht="16.5" x14ac:dyDescent="0.3">
      <c r="A5492" t="s">
        <v>5555</v>
      </c>
      <c r="B5492" s="1">
        <v>46012</v>
      </c>
      <c r="C5492" s="1">
        <v>46013</v>
      </c>
      <c r="D5492">
        <v>2025</v>
      </c>
      <c r="E5492" t="s">
        <v>2026</v>
      </c>
      <c r="F5492" t="s">
        <v>2496</v>
      </c>
      <c r="G5492" t="s">
        <v>112</v>
      </c>
      <c r="H5492" t="s">
        <v>52</v>
      </c>
      <c r="I5492" t="s">
        <v>40</v>
      </c>
      <c r="J5492" t="s">
        <v>25</v>
      </c>
      <c r="K5492" t="s">
        <v>26</v>
      </c>
      <c r="L5492" t="s">
        <v>44</v>
      </c>
      <c r="M5492">
        <v>1</v>
      </c>
      <c r="N5492" s="2"/>
      <c r="O5492" s="3">
        <v>2237</v>
      </c>
      <c r="P5492">
        <v>0</v>
      </c>
      <c r="Q5492">
        <v>3</v>
      </c>
      <c r="R5492" t="s">
        <v>28</v>
      </c>
      <c r="S5492">
        <v>1</v>
      </c>
    </row>
    <row r="5493" spans="1:19" ht="16.5" x14ac:dyDescent="0.3">
      <c r="A5493" t="s">
        <v>5556</v>
      </c>
      <c r="B5493" s="1">
        <v>46012</v>
      </c>
      <c r="C5493" s="1">
        <v>46013</v>
      </c>
      <c r="D5493">
        <v>2025</v>
      </c>
      <c r="E5493" t="s">
        <v>2026</v>
      </c>
      <c r="F5493" t="s">
        <v>2496</v>
      </c>
      <c r="G5493" t="s">
        <v>112</v>
      </c>
      <c r="H5493" t="s">
        <v>52</v>
      </c>
      <c r="I5493" t="s">
        <v>40</v>
      </c>
      <c r="J5493" t="s">
        <v>43</v>
      </c>
      <c r="K5493" t="s">
        <v>36</v>
      </c>
      <c r="L5493" t="s">
        <v>44</v>
      </c>
      <c r="M5493">
        <v>1</v>
      </c>
      <c r="N5493" s="2"/>
      <c r="O5493" s="3">
        <v>2278</v>
      </c>
      <c r="P5493">
        <v>0</v>
      </c>
      <c r="Q5493">
        <v>4</v>
      </c>
      <c r="R5493" t="s">
        <v>33</v>
      </c>
      <c r="S5493">
        <v>1</v>
      </c>
    </row>
    <row r="5494" spans="1:19" ht="16.5" x14ac:dyDescent="0.3">
      <c r="A5494" t="s">
        <v>5557</v>
      </c>
      <c r="B5494" s="1">
        <v>46012</v>
      </c>
      <c r="C5494" s="1">
        <v>46016</v>
      </c>
      <c r="D5494">
        <v>2025</v>
      </c>
      <c r="E5494" t="s">
        <v>2026</v>
      </c>
      <c r="F5494" t="s">
        <v>2496</v>
      </c>
      <c r="G5494" t="s">
        <v>112</v>
      </c>
      <c r="H5494" t="s">
        <v>39</v>
      </c>
      <c r="I5494" t="s">
        <v>24</v>
      </c>
      <c r="J5494" t="s">
        <v>25</v>
      </c>
      <c r="K5494" t="s">
        <v>41</v>
      </c>
      <c r="L5494" t="s">
        <v>44</v>
      </c>
      <c r="M5494">
        <v>4</v>
      </c>
      <c r="N5494" s="2">
        <v>21</v>
      </c>
      <c r="O5494" s="3">
        <v>3425</v>
      </c>
      <c r="P5494">
        <v>0</v>
      </c>
      <c r="Q5494">
        <v>5</v>
      </c>
      <c r="R5494" t="s">
        <v>33</v>
      </c>
      <c r="S5494">
        <v>1</v>
      </c>
    </row>
    <row r="5495" spans="1:19" ht="16.5" x14ac:dyDescent="0.3">
      <c r="A5495" t="s">
        <v>5558</v>
      </c>
      <c r="B5495" s="1">
        <v>46012</v>
      </c>
      <c r="C5495" s="1">
        <v>46013</v>
      </c>
      <c r="D5495">
        <v>2025</v>
      </c>
      <c r="E5495" t="s">
        <v>2026</v>
      </c>
      <c r="F5495" t="s">
        <v>2496</v>
      </c>
      <c r="G5495" t="s">
        <v>112</v>
      </c>
      <c r="H5495" t="s">
        <v>30</v>
      </c>
      <c r="I5495" t="s">
        <v>40</v>
      </c>
      <c r="J5495" t="s">
        <v>43</v>
      </c>
      <c r="K5495" t="s">
        <v>53</v>
      </c>
      <c r="L5495" t="s">
        <v>44</v>
      </c>
      <c r="M5495">
        <v>1</v>
      </c>
      <c r="N5495" s="2"/>
      <c r="O5495" s="3">
        <v>1427</v>
      </c>
      <c r="P5495">
        <v>0</v>
      </c>
      <c r="Q5495">
        <v>5</v>
      </c>
      <c r="R5495" t="s">
        <v>33</v>
      </c>
      <c r="S5495">
        <v>1</v>
      </c>
    </row>
    <row r="5496" spans="1:19" ht="16.5" x14ac:dyDescent="0.3">
      <c r="A5496" t="s">
        <v>5559</v>
      </c>
      <c r="B5496" s="1">
        <v>46012</v>
      </c>
      <c r="C5496" s="1">
        <v>46015</v>
      </c>
      <c r="D5496">
        <v>2025</v>
      </c>
      <c r="E5496" t="s">
        <v>2026</v>
      </c>
      <c r="F5496" t="s">
        <v>2496</v>
      </c>
      <c r="G5496" t="s">
        <v>112</v>
      </c>
      <c r="H5496" t="s">
        <v>52</v>
      </c>
      <c r="I5496" t="s">
        <v>40</v>
      </c>
      <c r="J5496" t="s">
        <v>25</v>
      </c>
      <c r="K5496" t="s">
        <v>53</v>
      </c>
      <c r="L5496" t="s">
        <v>44</v>
      </c>
      <c r="M5496">
        <v>3</v>
      </c>
      <c r="N5496" s="2"/>
      <c r="O5496" s="3">
        <v>2657</v>
      </c>
      <c r="P5496">
        <v>0</v>
      </c>
      <c r="Q5496">
        <v>5</v>
      </c>
      <c r="R5496" t="s">
        <v>33</v>
      </c>
      <c r="S5496">
        <v>1</v>
      </c>
    </row>
    <row r="5497" spans="1:19" ht="16.5" x14ac:dyDescent="0.3">
      <c r="A5497" t="s">
        <v>5560</v>
      </c>
      <c r="B5497" s="1">
        <v>46012</v>
      </c>
      <c r="C5497" s="1">
        <v>46014</v>
      </c>
      <c r="D5497">
        <v>2025</v>
      </c>
      <c r="E5497" t="s">
        <v>2026</v>
      </c>
      <c r="F5497" t="s">
        <v>2496</v>
      </c>
      <c r="G5497" t="s">
        <v>112</v>
      </c>
      <c r="H5497" t="s">
        <v>30</v>
      </c>
      <c r="I5497" t="s">
        <v>31</v>
      </c>
      <c r="J5497" t="s">
        <v>25</v>
      </c>
      <c r="K5497" t="s">
        <v>26</v>
      </c>
      <c r="L5497" t="s">
        <v>44</v>
      </c>
      <c r="M5497">
        <v>2</v>
      </c>
      <c r="N5497" s="2"/>
      <c r="O5497" s="3">
        <v>3197</v>
      </c>
      <c r="P5497">
        <v>0</v>
      </c>
      <c r="Q5497">
        <v>5</v>
      </c>
      <c r="R5497" t="s">
        <v>33</v>
      </c>
      <c r="S5497">
        <v>1</v>
      </c>
    </row>
    <row r="5498" spans="1:19" ht="16.5" x14ac:dyDescent="0.3">
      <c r="A5498" t="s">
        <v>5561</v>
      </c>
      <c r="B5498" s="1">
        <v>46012</v>
      </c>
      <c r="C5498" s="1">
        <v>46014</v>
      </c>
      <c r="D5498">
        <v>2025</v>
      </c>
      <c r="E5498" t="s">
        <v>2026</v>
      </c>
      <c r="F5498" t="s">
        <v>2496</v>
      </c>
      <c r="G5498" t="s">
        <v>112</v>
      </c>
      <c r="H5498" t="s">
        <v>50</v>
      </c>
      <c r="I5498" t="s">
        <v>40</v>
      </c>
      <c r="J5498" t="s">
        <v>43</v>
      </c>
      <c r="K5498" t="s">
        <v>53</v>
      </c>
      <c r="L5498" t="s">
        <v>44</v>
      </c>
      <c r="M5498">
        <v>2</v>
      </c>
      <c r="N5498" s="2"/>
      <c r="O5498" s="3">
        <v>2980</v>
      </c>
      <c r="P5498">
        <v>0</v>
      </c>
      <c r="Q5498">
        <v>4</v>
      </c>
      <c r="R5498" t="s">
        <v>28</v>
      </c>
      <c r="S5498">
        <v>1</v>
      </c>
    </row>
    <row r="5499" spans="1:19" ht="16.5" x14ac:dyDescent="0.3">
      <c r="A5499" t="s">
        <v>5562</v>
      </c>
      <c r="B5499" s="1">
        <v>46013</v>
      </c>
      <c r="C5499" s="1">
        <v>46015</v>
      </c>
      <c r="D5499">
        <v>2025</v>
      </c>
      <c r="E5499" t="s">
        <v>2026</v>
      </c>
      <c r="F5499" t="s">
        <v>2496</v>
      </c>
      <c r="G5499" t="s">
        <v>22</v>
      </c>
      <c r="H5499" t="s">
        <v>39</v>
      </c>
      <c r="I5499" t="s">
        <v>40</v>
      </c>
      <c r="J5499" t="s">
        <v>25</v>
      </c>
      <c r="K5499" t="s">
        <v>41</v>
      </c>
      <c r="L5499" t="s">
        <v>27</v>
      </c>
      <c r="M5499">
        <v>2</v>
      </c>
      <c r="N5499" s="2"/>
      <c r="O5499" s="3">
        <v>1671</v>
      </c>
      <c r="P5499">
        <v>0</v>
      </c>
      <c r="Q5499">
        <v>5</v>
      </c>
      <c r="R5499" t="s">
        <v>33</v>
      </c>
      <c r="S5499">
        <v>1</v>
      </c>
    </row>
    <row r="5500" spans="1:19" ht="16.5" x14ac:dyDescent="0.3">
      <c r="A5500" t="s">
        <v>5563</v>
      </c>
      <c r="B5500" s="1">
        <v>46013</v>
      </c>
      <c r="C5500" s="1">
        <v>46017</v>
      </c>
      <c r="D5500">
        <v>2025</v>
      </c>
      <c r="E5500" t="s">
        <v>2026</v>
      </c>
      <c r="F5500" t="s">
        <v>2496</v>
      </c>
      <c r="G5500" t="s">
        <v>22</v>
      </c>
      <c r="H5500" t="s">
        <v>50</v>
      </c>
      <c r="I5500" t="s">
        <v>40</v>
      </c>
      <c r="J5500" t="s">
        <v>25</v>
      </c>
      <c r="K5500" t="s">
        <v>26</v>
      </c>
      <c r="L5500" t="s">
        <v>27</v>
      </c>
      <c r="M5500">
        <v>4</v>
      </c>
      <c r="N5500" s="2"/>
      <c r="O5500" s="3">
        <v>6255</v>
      </c>
      <c r="P5500">
        <v>0</v>
      </c>
      <c r="Q5500">
        <v>5</v>
      </c>
      <c r="R5500" t="s">
        <v>28</v>
      </c>
      <c r="S5500">
        <v>1</v>
      </c>
    </row>
    <row r="5501" spans="1:19" ht="16.5" x14ac:dyDescent="0.3">
      <c r="A5501" t="s">
        <v>5564</v>
      </c>
      <c r="B5501" s="1">
        <v>46013</v>
      </c>
      <c r="C5501" s="1">
        <v>46018</v>
      </c>
      <c r="D5501">
        <v>2025</v>
      </c>
      <c r="E5501" t="s">
        <v>2026</v>
      </c>
      <c r="F5501" t="s">
        <v>2496</v>
      </c>
      <c r="G5501" t="s">
        <v>22</v>
      </c>
      <c r="H5501" t="s">
        <v>39</v>
      </c>
      <c r="I5501" t="s">
        <v>24</v>
      </c>
      <c r="J5501" t="s">
        <v>25</v>
      </c>
      <c r="K5501" t="s">
        <v>41</v>
      </c>
      <c r="L5501" t="s">
        <v>44</v>
      </c>
      <c r="M5501">
        <v>5</v>
      </c>
      <c r="N5501" s="2">
        <v>26</v>
      </c>
      <c r="O5501" s="3">
        <v>5222</v>
      </c>
      <c r="P5501">
        <v>0</v>
      </c>
      <c r="Q5501">
        <v>4</v>
      </c>
      <c r="R5501" t="s">
        <v>28</v>
      </c>
      <c r="S5501">
        <v>1</v>
      </c>
    </row>
    <row r="5502" spans="1:19" ht="16.5" x14ac:dyDescent="0.3">
      <c r="A5502" t="s">
        <v>5565</v>
      </c>
      <c r="B5502" s="1">
        <v>46013</v>
      </c>
      <c r="C5502" s="1">
        <v>46022</v>
      </c>
      <c r="D5502">
        <v>2025</v>
      </c>
      <c r="E5502" t="s">
        <v>2026</v>
      </c>
      <c r="F5502" t="s">
        <v>2496</v>
      </c>
      <c r="G5502" t="s">
        <v>22</v>
      </c>
      <c r="H5502" t="s">
        <v>50</v>
      </c>
      <c r="I5502" t="s">
        <v>40</v>
      </c>
      <c r="J5502" t="s">
        <v>25</v>
      </c>
      <c r="K5502" t="s">
        <v>26</v>
      </c>
      <c r="L5502" t="s">
        <v>27</v>
      </c>
      <c r="M5502">
        <v>9</v>
      </c>
      <c r="N5502" s="2"/>
      <c r="O5502" s="3">
        <v>10620</v>
      </c>
      <c r="P5502">
        <v>1</v>
      </c>
      <c r="Q5502">
        <v>5</v>
      </c>
      <c r="R5502" t="s">
        <v>33</v>
      </c>
      <c r="S5502">
        <v>1</v>
      </c>
    </row>
    <row r="5503" spans="1:19" ht="16.5" x14ac:dyDescent="0.3">
      <c r="A5503" t="s">
        <v>5566</v>
      </c>
      <c r="B5503" s="1">
        <v>46013</v>
      </c>
      <c r="C5503" s="1">
        <v>46015</v>
      </c>
      <c r="D5503">
        <v>2025</v>
      </c>
      <c r="E5503" t="s">
        <v>2026</v>
      </c>
      <c r="F5503" t="s">
        <v>2496</v>
      </c>
      <c r="G5503" t="s">
        <v>22</v>
      </c>
      <c r="H5503" t="s">
        <v>35</v>
      </c>
      <c r="I5503" t="s">
        <v>40</v>
      </c>
      <c r="J5503" t="s">
        <v>25</v>
      </c>
      <c r="K5503" t="s">
        <v>36</v>
      </c>
      <c r="L5503" t="s">
        <v>27</v>
      </c>
      <c r="M5503">
        <v>2</v>
      </c>
      <c r="N5503" s="2"/>
      <c r="O5503" s="3">
        <v>2080</v>
      </c>
      <c r="P5503">
        <v>0</v>
      </c>
      <c r="Q5503">
        <v>4</v>
      </c>
      <c r="R5503" t="s">
        <v>33</v>
      </c>
      <c r="S5503">
        <v>1</v>
      </c>
    </row>
    <row r="5504" spans="1:19" ht="16.5" x14ac:dyDescent="0.3">
      <c r="A5504" t="s">
        <v>5567</v>
      </c>
      <c r="B5504" s="1">
        <v>46013</v>
      </c>
      <c r="C5504" s="1">
        <v>46015</v>
      </c>
      <c r="D5504">
        <v>2025</v>
      </c>
      <c r="E5504" t="s">
        <v>2026</v>
      </c>
      <c r="F5504" t="s">
        <v>2496</v>
      </c>
      <c r="G5504" t="s">
        <v>22</v>
      </c>
      <c r="H5504" t="s">
        <v>35</v>
      </c>
      <c r="I5504" t="s">
        <v>24</v>
      </c>
      <c r="J5504" t="s">
        <v>25</v>
      </c>
      <c r="K5504" t="s">
        <v>36</v>
      </c>
      <c r="L5504" t="s">
        <v>27</v>
      </c>
      <c r="M5504">
        <v>2</v>
      </c>
      <c r="N5504" s="2">
        <v>43</v>
      </c>
      <c r="O5504" s="3">
        <v>2357</v>
      </c>
      <c r="P5504">
        <v>1</v>
      </c>
      <c r="Q5504">
        <v>4</v>
      </c>
      <c r="R5504" t="s">
        <v>28</v>
      </c>
      <c r="S5504">
        <v>1</v>
      </c>
    </row>
    <row r="5505" spans="1:19" ht="16.5" x14ac:dyDescent="0.3">
      <c r="A5505" t="s">
        <v>5568</v>
      </c>
      <c r="B5505" s="1">
        <v>46013</v>
      </c>
      <c r="C5505" s="1">
        <v>46014</v>
      </c>
      <c r="D5505">
        <v>2025</v>
      </c>
      <c r="E5505" t="s">
        <v>2026</v>
      </c>
      <c r="F5505" t="s">
        <v>2496</v>
      </c>
      <c r="G5505" t="s">
        <v>22</v>
      </c>
      <c r="H5505" t="s">
        <v>39</v>
      </c>
      <c r="I5505" t="s">
        <v>40</v>
      </c>
      <c r="J5505" t="s">
        <v>43</v>
      </c>
      <c r="K5505" t="s">
        <v>41</v>
      </c>
      <c r="L5505" t="s">
        <v>27</v>
      </c>
      <c r="M5505">
        <v>1</v>
      </c>
      <c r="N5505" s="2"/>
      <c r="O5505" s="3">
        <v>1166</v>
      </c>
      <c r="P5505">
        <v>0</v>
      </c>
      <c r="Q5505">
        <v>5</v>
      </c>
      <c r="R5505" t="s">
        <v>33</v>
      </c>
      <c r="S5505">
        <v>1</v>
      </c>
    </row>
    <row r="5506" spans="1:19" ht="16.5" x14ac:dyDescent="0.3">
      <c r="A5506" t="s">
        <v>5569</v>
      </c>
      <c r="B5506" s="1">
        <v>46013</v>
      </c>
      <c r="C5506" s="1">
        <v>46030</v>
      </c>
      <c r="D5506">
        <v>2025</v>
      </c>
      <c r="E5506" t="s">
        <v>2026</v>
      </c>
      <c r="F5506" t="s">
        <v>2496</v>
      </c>
      <c r="G5506" t="s">
        <v>22</v>
      </c>
      <c r="H5506" t="s">
        <v>23</v>
      </c>
      <c r="I5506" t="s">
        <v>24</v>
      </c>
      <c r="J5506" t="s">
        <v>43</v>
      </c>
      <c r="K5506" t="s">
        <v>26</v>
      </c>
      <c r="L5506" t="s">
        <v>27</v>
      </c>
      <c r="M5506">
        <v>17</v>
      </c>
      <c r="N5506" s="2">
        <v>56</v>
      </c>
      <c r="O5506" s="3">
        <v>11670</v>
      </c>
      <c r="P5506">
        <v>1</v>
      </c>
      <c r="Q5506">
        <v>4</v>
      </c>
      <c r="R5506" t="s">
        <v>33</v>
      </c>
      <c r="S5506">
        <v>1</v>
      </c>
    </row>
    <row r="5507" spans="1:19" ht="16.5" x14ac:dyDescent="0.3">
      <c r="A5507" t="s">
        <v>5570</v>
      </c>
      <c r="B5507" s="1">
        <v>46013</v>
      </c>
      <c r="C5507" s="1">
        <v>46024</v>
      </c>
      <c r="D5507">
        <v>2025</v>
      </c>
      <c r="E5507" t="s">
        <v>2026</v>
      </c>
      <c r="F5507" t="s">
        <v>2496</v>
      </c>
      <c r="G5507" t="s">
        <v>22</v>
      </c>
      <c r="H5507" t="s">
        <v>50</v>
      </c>
      <c r="I5507" t="s">
        <v>40</v>
      </c>
      <c r="J5507" t="s">
        <v>25</v>
      </c>
      <c r="K5507" t="s">
        <v>53</v>
      </c>
      <c r="L5507" t="s">
        <v>27</v>
      </c>
      <c r="M5507">
        <v>11</v>
      </c>
      <c r="N5507" s="2"/>
      <c r="O5507" s="3">
        <v>9096</v>
      </c>
      <c r="P5507">
        <v>0</v>
      </c>
      <c r="Q5507">
        <v>5</v>
      </c>
      <c r="R5507" t="s">
        <v>28</v>
      </c>
      <c r="S5507">
        <v>1</v>
      </c>
    </row>
    <row r="5508" spans="1:19" ht="16.5" x14ac:dyDescent="0.3">
      <c r="A5508" t="s">
        <v>5571</v>
      </c>
      <c r="B5508" s="1">
        <v>46013</v>
      </c>
      <c r="C5508" s="1">
        <v>46018</v>
      </c>
      <c r="D5508">
        <v>2025</v>
      </c>
      <c r="E5508" t="s">
        <v>2026</v>
      </c>
      <c r="F5508" t="s">
        <v>2496</v>
      </c>
      <c r="G5508" t="s">
        <v>22</v>
      </c>
      <c r="H5508" t="s">
        <v>52</v>
      </c>
      <c r="I5508" t="s">
        <v>24</v>
      </c>
      <c r="J5508" t="s">
        <v>43</v>
      </c>
      <c r="K5508" t="s">
        <v>26</v>
      </c>
      <c r="L5508" t="s">
        <v>44</v>
      </c>
      <c r="M5508">
        <v>5</v>
      </c>
      <c r="N5508" s="2">
        <v>58</v>
      </c>
      <c r="O5508" s="3">
        <v>5889</v>
      </c>
      <c r="P5508">
        <v>0</v>
      </c>
      <c r="Q5508">
        <v>5</v>
      </c>
      <c r="R5508" t="s">
        <v>33</v>
      </c>
      <c r="S5508">
        <v>1</v>
      </c>
    </row>
    <row r="5509" spans="1:19" ht="16.5" x14ac:dyDescent="0.3">
      <c r="A5509" t="s">
        <v>5572</v>
      </c>
      <c r="B5509" s="1">
        <v>46013</v>
      </c>
      <c r="C5509" s="1">
        <v>46016</v>
      </c>
      <c r="D5509">
        <v>2025</v>
      </c>
      <c r="E5509" t="s">
        <v>2026</v>
      </c>
      <c r="F5509" t="s">
        <v>2496</v>
      </c>
      <c r="G5509" t="s">
        <v>22</v>
      </c>
      <c r="H5509" t="s">
        <v>52</v>
      </c>
      <c r="I5509" t="s">
        <v>40</v>
      </c>
      <c r="J5509" t="s">
        <v>43</v>
      </c>
      <c r="K5509" t="s">
        <v>26</v>
      </c>
      <c r="L5509" t="s">
        <v>44</v>
      </c>
      <c r="M5509">
        <v>3</v>
      </c>
      <c r="N5509" s="2"/>
      <c r="O5509" s="3">
        <v>4140</v>
      </c>
      <c r="P5509">
        <v>0</v>
      </c>
      <c r="Q5509">
        <v>3</v>
      </c>
      <c r="R5509" t="s">
        <v>33</v>
      </c>
      <c r="S5509">
        <v>1</v>
      </c>
    </row>
    <row r="5510" spans="1:19" ht="16.5" x14ac:dyDescent="0.3">
      <c r="A5510" t="s">
        <v>5573</v>
      </c>
      <c r="B5510" s="1">
        <v>46014</v>
      </c>
      <c r="C5510" s="1">
        <v>46020</v>
      </c>
      <c r="D5510">
        <v>2025</v>
      </c>
      <c r="E5510" t="s">
        <v>2026</v>
      </c>
      <c r="F5510" t="s">
        <v>2496</v>
      </c>
      <c r="G5510" t="s">
        <v>56</v>
      </c>
      <c r="H5510" t="s">
        <v>23</v>
      </c>
      <c r="I5510" t="s">
        <v>24</v>
      </c>
      <c r="J5510" t="s">
        <v>43</v>
      </c>
      <c r="K5510" t="s">
        <v>53</v>
      </c>
      <c r="L5510" t="s">
        <v>27</v>
      </c>
      <c r="M5510">
        <v>6</v>
      </c>
      <c r="N5510" s="2">
        <v>151</v>
      </c>
      <c r="O5510" s="3">
        <v>5103</v>
      </c>
      <c r="P5510">
        <v>0</v>
      </c>
      <c r="Q5510">
        <v>4</v>
      </c>
      <c r="R5510" t="s">
        <v>28</v>
      </c>
      <c r="S5510">
        <v>1</v>
      </c>
    </row>
    <row r="5511" spans="1:19" ht="16.5" x14ac:dyDescent="0.3">
      <c r="A5511" t="s">
        <v>5574</v>
      </c>
      <c r="B5511" s="1">
        <v>46014</v>
      </c>
      <c r="C5511" s="1">
        <v>46016</v>
      </c>
      <c r="D5511">
        <v>2025</v>
      </c>
      <c r="E5511" t="s">
        <v>2026</v>
      </c>
      <c r="F5511" t="s">
        <v>2496</v>
      </c>
      <c r="G5511" t="s">
        <v>56</v>
      </c>
      <c r="H5511" t="s">
        <v>35</v>
      </c>
      <c r="I5511" t="s">
        <v>24</v>
      </c>
      <c r="J5511" t="s">
        <v>25</v>
      </c>
      <c r="K5511" t="s">
        <v>36</v>
      </c>
      <c r="L5511" t="s">
        <v>44</v>
      </c>
      <c r="M5511">
        <v>2</v>
      </c>
      <c r="N5511" s="2">
        <v>24</v>
      </c>
      <c r="O5511" s="3">
        <v>2298</v>
      </c>
      <c r="P5511">
        <v>0</v>
      </c>
      <c r="Q5511">
        <v>4</v>
      </c>
      <c r="R5511" t="s">
        <v>59</v>
      </c>
      <c r="S5511">
        <v>1</v>
      </c>
    </row>
    <row r="5512" spans="1:19" ht="16.5" x14ac:dyDescent="0.3">
      <c r="A5512" t="s">
        <v>5575</v>
      </c>
      <c r="B5512" s="1">
        <v>46014</v>
      </c>
      <c r="C5512" s="1">
        <v>46018</v>
      </c>
      <c r="D5512">
        <v>2025</v>
      </c>
      <c r="E5512" t="s">
        <v>2026</v>
      </c>
      <c r="F5512" t="s">
        <v>2496</v>
      </c>
      <c r="G5512" t="s">
        <v>56</v>
      </c>
      <c r="H5512" t="s">
        <v>52</v>
      </c>
      <c r="I5512" t="s">
        <v>40</v>
      </c>
      <c r="J5512" t="s">
        <v>25</v>
      </c>
      <c r="K5512" t="s">
        <v>26</v>
      </c>
      <c r="L5512" t="s">
        <v>44</v>
      </c>
      <c r="M5512">
        <v>4</v>
      </c>
      <c r="N5512" s="2"/>
      <c r="O5512" s="3">
        <v>3711</v>
      </c>
      <c r="P5512">
        <v>0</v>
      </c>
      <c r="Q5512">
        <v>5</v>
      </c>
      <c r="R5512" t="s">
        <v>33</v>
      </c>
      <c r="S5512">
        <v>1</v>
      </c>
    </row>
    <row r="5513" spans="1:19" ht="16.5" x14ac:dyDescent="0.3">
      <c r="A5513" t="s">
        <v>5576</v>
      </c>
      <c r="B5513" s="1">
        <v>46014</v>
      </c>
      <c r="C5513" s="1">
        <v>46032</v>
      </c>
      <c r="D5513">
        <v>2025</v>
      </c>
      <c r="E5513" t="s">
        <v>2026</v>
      </c>
      <c r="F5513" t="s">
        <v>2496</v>
      </c>
      <c r="G5513" t="s">
        <v>56</v>
      </c>
      <c r="H5513" t="s">
        <v>23</v>
      </c>
      <c r="I5513" t="s">
        <v>24</v>
      </c>
      <c r="J5513" t="s">
        <v>25</v>
      </c>
      <c r="K5513" t="s">
        <v>26</v>
      </c>
      <c r="L5513" t="s">
        <v>27</v>
      </c>
      <c r="M5513">
        <v>18</v>
      </c>
      <c r="N5513" s="2">
        <v>42</v>
      </c>
      <c r="O5513" s="3">
        <v>15328</v>
      </c>
      <c r="P5513">
        <v>0</v>
      </c>
      <c r="Q5513">
        <v>4</v>
      </c>
      <c r="R5513" t="s">
        <v>28</v>
      </c>
      <c r="S5513">
        <v>1</v>
      </c>
    </row>
    <row r="5514" spans="1:19" ht="16.5" x14ac:dyDescent="0.3">
      <c r="A5514" t="s">
        <v>5577</v>
      </c>
      <c r="B5514" s="1">
        <v>46014</v>
      </c>
      <c r="C5514" s="1">
        <v>46016</v>
      </c>
      <c r="D5514">
        <v>2025</v>
      </c>
      <c r="E5514" t="s">
        <v>2026</v>
      </c>
      <c r="F5514" t="s">
        <v>2496</v>
      </c>
      <c r="G5514" t="s">
        <v>56</v>
      </c>
      <c r="H5514" t="s">
        <v>23</v>
      </c>
      <c r="I5514" t="s">
        <v>40</v>
      </c>
      <c r="J5514" t="s">
        <v>43</v>
      </c>
      <c r="K5514" t="s">
        <v>26</v>
      </c>
      <c r="L5514" t="s">
        <v>27</v>
      </c>
      <c r="M5514">
        <v>2</v>
      </c>
      <c r="N5514" s="2"/>
      <c r="O5514" s="3">
        <v>2045</v>
      </c>
      <c r="P5514">
        <v>0</v>
      </c>
      <c r="Q5514">
        <v>3</v>
      </c>
      <c r="R5514" t="s">
        <v>33</v>
      </c>
      <c r="S5514">
        <v>1</v>
      </c>
    </row>
    <row r="5515" spans="1:19" ht="16.5" x14ac:dyDescent="0.3">
      <c r="A5515" t="s">
        <v>5578</v>
      </c>
      <c r="B5515" s="1">
        <v>46014</v>
      </c>
      <c r="C5515" s="1">
        <v>46019</v>
      </c>
      <c r="D5515">
        <v>2025</v>
      </c>
      <c r="E5515" t="s">
        <v>2026</v>
      </c>
      <c r="F5515" t="s">
        <v>2496</v>
      </c>
      <c r="G5515" t="s">
        <v>56</v>
      </c>
      <c r="H5515" t="s">
        <v>50</v>
      </c>
      <c r="I5515" t="s">
        <v>24</v>
      </c>
      <c r="J5515" t="s">
        <v>25</v>
      </c>
      <c r="K5515" t="s">
        <v>32</v>
      </c>
      <c r="L5515" t="s">
        <v>27</v>
      </c>
      <c r="M5515">
        <v>5</v>
      </c>
      <c r="N5515" s="2">
        <v>20</v>
      </c>
      <c r="O5515" s="3">
        <v>6705</v>
      </c>
      <c r="P5515">
        <v>0</v>
      </c>
      <c r="Q5515">
        <v>3</v>
      </c>
      <c r="R5515" t="s">
        <v>33</v>
      </c>
      <c r="S5515">
        <v>1</v>
      </c>
    </row>
    <row r="5516" spans="1:19" ht="16.5" x14ac:dyDescent="0.3">
      <c r="A5516" t="s">
        <v>5579</v>
      </c>
      <c r="B5516" s="1">
        <v>46014</v>
      </c>
      <c r="C5516" s="1">
        <v>46020</v>
      </c>
      <c r="D5516">
        <v>2025</v>
      </c>
      <c r="E5516" t="s">
        <v>2026</v>
      </c>
      <c r="F5516" t="s">
        <v>2496</v>
      </c>
      <c r="G5516" t="s">
        <v>56</v>
      </c>
      <c r="H5516" t="s">
        <v>23</v>
      </c>
      <c r="I5516" t="s">
        <v>31</v>
      </c>
      <c r="J5516" t="s">
        <v>43</v>
      </c>
      <c r="K5516" t="s">
        <v>26</v>
      </c>
      <c r="L5516" t="s">
        <v>27</v>
      </c>
      <c r="M5516">
        <v>6</v>
      </c>
      <c r="N5516" s="2"/>
      <c r="O5516" s="3">
        <v>3583</v>
      </c>
      <c r="P5516">
        <v>0</v>
      </c>
      <c r="Q5516">
        <v>4</v>
      </c>
      <c r="R5516" t="s">
        <v>33</v>
      </c>
      <c r="S5516">
        <v>1</v>
      </c>
    </row>
    <row r="5517" spans="1:19" ht="16.5" x14ac:dyDescent="0.3">
      <c r="A5517" t="s">
        <v>5580</v>
      </c>
      <c r="B5517" s="1">
        <v>46014</v>
      </c>
      <c r="C5517" s="1">
        <v>46018</v>
      </c>
      <c r="D5517">
        <v>2025</v>
      </c>
      <c r="E5517" t="s">
        <v>2026</v>
      </c>
      <c r="F5517" t="s">
        <v>2496</v>
      </c>
      <c r="G5517" t="s">
        <v>56</v>
      </c>
      <c r="H5517" t="s">
        <v>35</v>
      </c>
      <c r="I5517" t="s">
        <v>24</v>
      </c>
      <c r="J5517" t="s">
        <v>25</v>
      </c>
      <c r="K5517" t="s">
        <v>32</v>
      </c>
      <c r="L5517" t="s">
        <v>44</v>
      </c>
      <c r="M5517">
        <v>4</v>
      </c>
      <c r="N5517" s="2">
        <v>66</v>
      </c>
      <c r="O5517" s="3">
        <v>3226</v>
      </c>
      <c r="P5517">
        <v>1</v>
      </c>
      <c r="Q5517">
        <v>3</v>
      </c>
      <c r="R5517" t="s">
        <v>33</v>
      </c>
      <c r="S5517">
        <v>1</v>
      </c>
    </row>
    <row r="5518" spans="1:19" ht="16.5" x14ac:dyDescent="0.3">
      <c r="A5518" t="s">
        <v>5581</v>
      </c>
      <c r="B5518" s="1">
        <v>46014</v>
      </c>
      <c r="C5518" s="1">
        <v>46015</v>
      </c>
      <c r="D5518">
        <v>2025</v>
      </c>
      <c r="E5518" t="s">
        <v>2026</v>
      </c>
      <c r="F5518" t="s">
        <v>2496</v>
      </c>
      <c r="G5518" t="s">
        <v>56</v>
      </c>
      <c r="H5518" t="s">
        <v>35</v>
      </c>
      <c r="I5518" t="s">
        <v>24</v>
      </c>
      <c r="J5518" t="s">
        <v>25</v>
      </c>
      <c r="K5518" t="s">
        <v>32</v>
      </c>
      <c r="L5518" t="s">
        <v>27</v>
      </c>
      <c r="M5518">
        <v>1</v>
      </c>
      <c r="N5518" s="2">
        <v>69</v>
      </c>
      <c r="O5518" s="3">
        <v>1241</v>
      </c>
      <c r="P5518">
        <v>0</v>
      </c>
      <c r="Q5518">
        <v>4</v>
      </c>
      <c r="R5518" t="s">
        <v>33</v>
      </c>
      <c r="S5518">
        <v>1</v>
      </c>
    </row>
    <row r="5519" spans="1:19" ht="16.5" x14ac:dyDescent="0.3">
      <c r="A5519" t="s">
        <v>5582</v>
      </c>
      <c r="B5519" s="1">
        <v>46014</v>
      </c>
      <c r="C5519" s="1">
        <v>46023</v>
      </c>
      <c r="D5519">
        <v>2025</v>
      </c>
      <c r="E5519" t="s">
        <v>2026</v>
      </c>
      <c r="F5519" t="s">
        <v>2496</v>
      </c>
      <c r="G5519" t="s">
        <v>56</v>
      </c>
      <c r="H5519" t="s">
        <v>30</v>
      </c>
      <c r="I5519" t="s">
        <v>40</v>
      </c>
      <c r="J5519" t="s">
        <v>43</v>
      </c>
      <c r="K5519" t="s">
        <v>26</v>
      </c>
      <c r="L5519" t="s">
        <v>27</v>
      </c>
      <c r="M5519">
        <v>9</v>
      </c>
      <c r="N5519" s="2"/>
      <c r="O5519" s="3">
        <v>9092</v>
      </c>
      <c r="P5519">
        <v>0</v>
      </c>
      <c r="Q5519">
        <v>4</v>
      </c>
      <c r="R5519" t="s">
        <v>28</v>
      </c>
      <c r="S5519">
        <v>1</v>
      </c>
    </row>
    <row r="5520" spans="1:19" ht="16.5" x14ac:dyDescent="0.3">
      <c r="A5520" t="s">
        <v>5583</v>
      </c>
      <c r="B5520" s="1">
        <v>46014</v>
      </c>
      <c r="C5520" s="1">
        <v>46018</v>
      </c>
      <c r="D5520">
        <v>2025</v>
      </c>
      <c r="E5520" t="s">
        <v>2026</v>
      </c>
      <c r="F5520" t="s">
        <v>2496</v>
      </c>
      <c r="G5520" t="s">
        <v>56</v>
      </c>
      <c r="H5520" t="s">
        <v>39</v>
      </c>
      <c r="I5520" t="s">
        <v>24</v>
      </c>
      <c r="J5520" t="s">
        <v>25</v>
      </c>
      <c r="K5520" t="s">
        <v>41</v>
      </c>
      <c r="L5520" t="s">
        <v>44</v>
      </c>
      <c r="M5520">
        <v>4</v>
      </c>
      <c r="N5520" s="2">
        <v>95</v>
      </c>
      <c r="O5520" s="3">
        <v>3073</v>
      </c>
      <c r="P5520">
        <v>0</v>
      </c>
      <c r="Q5520">
        <v>4</v>
      </c>
      <c r="R5520" t="s">
        <v>33</v>
      </c>
      <c r="S5520">
        <v>1</v>
      </c>
    </row>
    <row r="5521" spans="1:19" ht="16.5" x14ac:dyDescent="0.3">
      <c r="A5521" t="s">
        <v>5584</v>
      </c>
      <c r="B5521" s="1">
        <v>46014</v>
      </c>
      <c r="C5521" s="1">
        <v>46017</v>
      </c>
      <c r="D5521">
        <v>2025</v>
      </c>
      <c r="E5521" t="s">
        <v>2026</v>
      </c>
      <c r="F5521" t="s">
        <v>2496</v>
      </c>
      <c r="G5521" t="s">
        <v>56</v>
      </c>
      <c r="H5521" t="s">
        <v>23</v>
      </c>
      <c r="I5521" t="s">
        <v>40</v>
      </c>
      <c r="J5521" t="s">
        <v>25</v>
      </c>
      <c r="K5521" t="s">
        <v>36</v>
      </c>
      <c r="L5521" t="s">
        <v>27</v>
      </c>
      <c r="M5521">
        <v>3</v>
      </c>
      <c r="N5521" s="2"/>
      <c r="O5521" s="3">
        <v>2092</v>
      </c>
      <c r="P5521">
        <v>0</v>
      </c>
      <c r="Q5521">
        <v>4</v>
      </c>
      <c r="R5521" t="s">
        <v>33</v>
      </c>
      <c r="S5521">
        <v>1</v>
      </c>
    </row>
    <row r="5522" spans="1:19" ht="16.5" x14ac:dyDescent="0.3">
      <c r="A5522" t="s">
        <v>5585</v>
      </c>
      <c r="B5522" s="1">
        <v>46015</v>
      </c>
      <c r="C5522" s="1">
        <v>46020</v>
      </c>
      <c r="D5522">
        <v>2025</v>
      </c>
      <c r="E5522" t="s">
        <v>2026</v>
      </c>
      <c r="F5522" t="s">
        <v>2496</v>
      </c>
      <c r="G5522" t="s">
        <v>70</v>
      </c>
      <c r="H5522" t="s">
        <v>30</v>
      </c>
      <c r="I5522" t="s">
        <v>40</v>
      </c>
      <c r="J5522" t="s">
        <v>25</v>
      </c>
      <c r="K5522" t="s">
        <v>53</v>
      </c>
      <c r="L5522" t="s">
        <v>27</v>
      </c>
      <c r="M5522">
        <v>5</v>
      </c>
      <c r="N5522" s="2"/>
      <c r="O5522" s="3">
        <v>5739</v>
      </c>
      <c r="P5522">
        <v>0</v>
      </c>
      <c r="Q5522">
        <v>4</v>
      </c>
      <c r="R5522" t="s">
        <v>33</v>
      </c>
      <c r="S5522">
        <v>1</v>
      </c>
    </row>
    <row r="5523" spans="1:19" ht="16.5" x14ac:dyDescent="0.3">
      <c r="A5523" t="s">
        <v>5586</v>
      </c>
      <c r="B5523" s="1">
        <v>46015</v>
      </c>
      <c r="C5523" s="1">
        <v>46017</v>
      </c>
      <c r="D5523">
        <v>2025</v>
      </c>
      <c r="E5523" t="s">
        <v>2026</v>
      </c>
      <c r="F5523" t="s">
        <v>2496</v>
      </c>
      <c r="G5523" t="s">
        <v>70</v>
      </c>
      <c r="H5523" t="s">
        <v>39</v>
      </c>
      <c r="I5523" t="s">
        <v>24</v>
      </c>
      <c r="J5523" t="s">
        <v>25</v>
      </c>
      <c r="K5523" t="s">
        <v>41</v>
      </c>
      <c r="L5523" t="s">
        <v>27</v>
      </c>
      <c r="M5523">
        <v>2</v>
      </c>
      <c r="N5523" s="2">
        <v>20</v>
      </c>
      <c r="O5523" s="3">
        <v>2204</v>
      </c>
      <c r="P5523">
        <v>0</v>
      </c>
      <c r="Q5523">
        <v>4</v>
      </c>
      <c r="R5523" t="s">
        <v>33</v>
      </c>
      <c r="S5523">
        <v>1</v>
      </c>
    </row>
    <row r="5524" spans="1:19" ht="16.5" x14ac:dyDescent="0.3">
      <c r="A5524" t="s">
        <v>5587</v>
      </c>
      <c r="B5524" s="1">
        <v>46015</v>
      </c>
      <c r="C5524" s="1">
        <v>46020</v>
      </c>
      <c r="D5524">
        <v>2025</v>
      </c>
      <c r="E5524" t="s">
        <v>2026</v>
      </c>
      <c r="F5524" t="s">
        <v>2496</v>
      </c>
      <c r="G5524" t="s">
        <v>70</v>
      </c>
      <c r="H5524" t="s">
        <v>39</v>
      </c>
      <c r="I5524" t="s">
        <v>24</v>
      </c>
      <c r="J5524" t="s">
        <v>43</v>
      </c>
      <c r="K5524" t="s">
        <v>41</v>
      </c>
      <c r="L5524" t="s">
        <v>27</v>
      </c>
      <c r="M5524">
        <v>5</v>
      </c>
      <c r="N5524" s="2">
        <v>43</v>
      </c>
      <c r="O5524" s="3">
        <v>2857</v>
      </c>
      <c r="P5524">
        <v>0</v>
      </c>
      <c r="Q5524">
        <v>5</v>
      </c>
      <c r="R5524" t="s">
        <v>28</v>
      </c>
      <c r="S5524">
        <v>1</v>
      </c>
    </row>
    <row r="5525" spans="1:19" ht="16.5" x14ac:dyDescent="0.3">
      <c r="A5525" t="s">
        <v>5588</v>
      </c>
      <c r="B5525" s="1">
        <v>46015</v>
      </c>
      <c r="C5525" s="1">
        <v>46016</v>
      </c>
      <c r="D5525">
        <v>2025</v>
      </c>
      <c r="E5525" t="s">
        <v>2026</v>
      </c>
      <c r="F5525" t="s">
        <v>2496</v>
      </c>
      <c r="G5525" t="s">
        <v>70</v>
      </c>
      <c r="H5525" t="s">
        <v>35</v>
      </c>
      <c r="I5525" t="s">
        <v>24</v>
      </c>
      <c r="J5525" t="s">
        <v>25</v>
      </c>
      <c r="K5525" t="s">
        <v>36</v>
      </c>
      <c r="L5525" t="s">
        <v>27</v>
      </c>
      <c r="M5525">
        <v>1</v>
      </c>
      <c r="N5525" s="2">
        <v>17</v>
      </c>
      <c r="O5525" s="3">
        <v>1613</v>
      </c>
      <c r="P5525">
        <v>0</v>
      </c>
      <c r="Q5525">
        <v>5</v>
      </c>
      <c r="R5525" t="s">
        <v>33</v>
      </c>
      <c r="S5525">
        <v>1</v>
      </c>
    </row>
    <row r="5526" spans="1:19" ht="16.5" x14ac:dyDescent="0.3">
      <c r="A5526" t="s">
        <v>5589</v>
      </c>
      <c r="B5526" s="1">
        <v>46015</v>
      </c>
      <c r="C5526" s="1">
        <v>46021</v>
      </c>
      <c r="D5526">
        <v>2025</v>
      </c>
      <c r="E5526" t="s">
        <v>2026</v>
      </c>
      <c r="F5526" t="s">
        <v>2496</v>
      </c>
      <c r="G5526" t="s">
        <v>70</v>
      </c>
      <c r="H5526" t="s">
        <v>35</v>
      </c>
      <c r="I5526" t="s">
        <v>24</v>
      </c>
      <c r="J5526" t="s">
        <v>25</v>
      </c>
      <c r="K5526" t="s">
        <v>32</v>
      </c>
      <c r="L5526" t="s">
        <v>27</v>
      </c>
      <c r="M5526">
        <v>6</v>
      </c>
      <c r="N5526" s="2">
        <v>42</v>
      </c>
      <c r="O5526" s="3">
        <v>4789</v>
      </c>
      <c r="P5526">
        <v>0</v>
      </c>
      <c r="Q5526">
        <v>3</v>
      </c>
      <c r="R5526" t="s">
        <v>59</v>
      </c>
      <c r="S5526">
        <v>1</v>
      </c>
    </row>
    <row r="5527" spans="1:19" ht="16.5" x14ac:dyDescent="0.3">
      <c r="A5527" t="s">
        <v>5590</v>
      </c>
      <c r="B5527" s="1">
        <v>46015</v>
      </c>
      <c r="C5527" s="1">
        <v>46019</v>
      </c>
      <c r="D5527">
        <v>2025</v>
      </c>
      <c r="E5527" t="s">
        <v>2026</v>
      </c>
      <c r="F5527" t="s">
        <v>2496</v>
      </c>
      <c r="G5527" t="s">
        <v>70</v>
      </c>
      <c r="H5527" t="s">
        <v>30</v>
      </c>
      <c r="I5527" t="s">
        <v>31</v>
      </c>
      <c r="J5527" t="s">
        <v>25</v>
      </c>
      <c r="K5527" t="s">
        <v>26</v>
      </c>
      <c r="L5527" t="s">
        <v>44</v>
      </c>
      <c r="M5527">
        <v>4</v>
      </c>
      <c r="N5527" s="2"/>
      <c r="O5527" s="3">
        <v>4860</v>
      </c>
      <c r="P5527">
        <v>0</v>
      </c>
      <c r="Q5527">
        <v>5</v>
      </c>
      <c r="R5527" t="s">
        <v>33</v>
      </c>
      <c r="S5527">
        <v>1</v>
      </c>
    </row>
    <row r="5528" spans="1:19" ht="16.5" x14ac:dyDescent="0.3">
      <c r="A5528" t="s">
        <v>5591</v>
      </c>
      <c r="B5528" s="1">
        <v>46016</v>
      </c>
      <c r="C5528" s="1">
        <v>46017</v>
      </c>
      <c r="D5528">
        <v>2025</v>
      </c>
      <c r="E5528" t="s">
        <v>2026</v>
      </c>
      <c r="F5528" t="s">
        <v>2496</v>
      </c>
      <c r="G5528" t="s">
        <v>78</v>
      </c>
      <c r="H5528" t="s">
        <v>52</v>
      </c>
      <c r="I5528" t="s">
        <v>40</v>
      </c>
      <c r="J5528" t="s">
        <v>43</v>
      </c>
      <c r="K5528" t="s">
        <v>53</v>
      </c>
      <c r="L5528" t="s">
        <v>44</v>
      </c>
      <c r="M5528">
        <v>1</v>
      </c>
      <c r="N5528" s="2"/>
      <c r="O5528" s="3">
        <v>1727</v>
      </c>
      <c r="P5528">
        <v>0</v>
      </c>
      <c r="Q5528">
        <v>4</v>
      </c>
      <c r="R5528" t="s">
        <v>33</v>
      </c>
      <c r="S5528">
        <v>1</v>
      </c>
    </row>
    <row r="5529" spans="1:19" ht="16.5" x14ac:dyDescent="0.3">
      <c r="A5529" t="s">
        <v>5592</v>
      </c>
      <c r="B5529" s="1">
        <v>46016</v>
      </c>
      <c r="C5529" s="1">
        <v>46018</v>
      </c>
      <c r="D5529">
        <v>2025</v>
      </c>
      <c r="E5529" t="s">
        <v>2026</v>
      </c>
      <c r="F5529" t="s">
        <v>2496</v>
      </c>
      <c r="G5529" t="s">
        <v>78</v>
      </c>
      <c r="H5529" t="s">
        <v>50</v>
      </c>
      <c r="I5529" t="s">
        <v>40</v>
      </c>
      <c r="J5529" t="s">
        <v>25</v>
      </c>
      <c r="K5529" t="s">
        <v>26</v>
      </c>
      <c r="L5529" t="s">
        <v>44</v>
      </c>
      <c r="M5529">
        <v>2</v>
      </c>
      <c r="N5529" s="2"/>
      <c r="O5529" s="3">
        <v>2422</v>
      </c>
      <c r="P5529">
        <v>0</v>
      </c>
      <c r="Q5529">
        <v>4</v>
      </c>
      <c r="R5529" t="s">
        <v>28</v>
      </c>
      <c r="S5529">
        <v>1</v>
      </c>
    </row>
    <row r="5530" spans="1:19" ht="16.5" x14ac:dyDescent="0.3">
      <c r="A5530" t="s">
        <v>5593</v>
      </c>
      <c r="B5530" s="1">
        <v>46016</v>
      </c>
      <c r="C5530" s="1">
        <v>46023</v>
      </c>
      <c r="D5530">
        <v>2025</v>
      </c>
      <c r="E5530" t="s">
        <v>2026</v>
      </c>
      <c r="F5530" t="s">
        <v>2496</v>
      </c>
      <c r="G5530" t="s">
        <v>78</v>
      </c>
      <c r="H5530" t="s">
        <v>23</v>
      </c>
      <c r="I5530" t="s">
        <v>24</v>
      </c>
      <c r="J5530" t="s">
        <v>43</v>
      </c>
      <c r="K5530" t="s">
        <v>32</v>
      </c>
      <c r="L5530" t="s">
        <v>37</v>
      </c>
      <c r="M5530">
        <v>7</v>
      </c>
      <c r="N5530" s="2">
        <v>42</v>
      </c>
      <c r="O5530" s="3">
        <v>5093</v>
      </c>
      <c r="P5530">
        <v>0</v>
      </c>
      <c r="Q5530">
        <v>5</v>
      </c>
      <c r="R5530" t="s">
        <v>33</v>
      </c>
      <c r="S5530">
        <v>1</v>
      </c>
    </row>
    <row r="5531" spans="1:19" ht="16.5" x14ac:dyDescent="0.3">
      <c r="A5531" t="s">
        <v>5594</v>
      </c>
      <c r="B5531" s="1">
        <v>46016</v>
      </c>
      <c r="C5531" s="1">
        <v>46021</v>
      </c>
      <c r="D5531">
        <v>2025</v>
      </c>
      <c r="E5531" t="s">
        <v>2026</v>
      </c>
      <c r="F5531" t="s">
        <v>2496</v>
      </c>
      <c r="G5531" t="s">
        <v>78</v>
      </c>
      <c r="H5531" t="s">
        <v>30</v>
      </c>
      <c r="I5531" t="s">
        <v>24</v>
      </c>
      <c r="J5531" t="s">
        <v>25</v>
      </c>
      <c r="K5531" t="s">
        <v>36</v>
      </c>
      <c r="L5531" t="s">
        <v>27</v>
      </c>
      <c r="M5531">
        <v>5</v>
      </c>
      <c r="N5531" s="2">
        <v>94</v>
      </c>
      <c r="O5531" s="3">
        <v>6063</v>
      </c>
      <c r="P5531">
        <v>0</v>
      </c>
      <c r="Q5531">
        <v>4</v>
      </c>
      <c r="R5531" t="s">
        <v>33</v>
      </c>
      <c r="S5531">
        <v>1</v>
      </c>
    </row>
    <row r="5532" spans="1:19" ht="16.5" x14ac:dyDescent="0.3">
      <c r="A5532" t="s">
        <v>5595</v>
      </c>
      <c r="B5532" s="1">
        <v>46016</v>
      </c>
      <c r="C5532" s="1">
        <v>46024</v>
      </c>
      <c r="D5532">
        <v>2025</v>
      </c>
      <c r="E5532" t="s">
        <v>2026</v>
      </c>
      <c r="F5532" t="s">
        <v>2496</v>
      </c>
      <c r="G5532" t="s">
        <v>78</v>
      </c>
      <c r="H5532" t="s">
        <v>50</v>
      </c>
      <c r="I5532" t="s">
        <v>24</v>
      </c>
      <c r="J5532" t="s">
        <v>43</v>
      </c>
      <c r="K5532" t="s">
        <v>53</v>
      </c>
      <c r="L5532" t="s">
        <v>27</v>
      </c>
      <c r="M5532">
        <v>8</v>
      </c>
      <c r="N5532" s="2">
        <v>85</v>
      </c>
      <c r="O5532" s="3">
        <v>9178</v>
      </c>
      <c r="P5532">
        <v>0</v>
      </c>
      <c r="Q5532">
        <v>5</v>
      </c>
      <c r="R5532" t="s">
        <v>33</v>
      </c>
      <c r="S5532">
        <v>1</v>
      </c>
    </row>
    <row r="5533" spans="1:19" ht="16.5" x14ac:dyDescent="0.3">
      <c r="A5533" t="s">
        <v>5596</v>
      </c>
      <c r="B5533" s="1">
        <v>46016</v>
      </c>
      <c r="C5533" s="1">
        <v>46021</v>
      </c>
      <c r="D5533">
        <v>2025</v>
      </c>
      <c r="E5533" t="s">
        <v>2026</v>
      </c>
      <c r="F5533" t="s">
        <v>2496</v>
      </c>
      <c r="G5533" t="s">
        <v>78</v>
      </c>
      <c r="H5533" t="s">
        <v>52</v>
      </c>
      <c r="I5533" t="s">
        <v>40</v>
      </c>
      <c r="J5533" t="s">
        <v>25</v>
      </c>
      <c r="K5533" t="s">
        <v>53</v>
      </c>
      <c r="L5533" t="s">
        <v>44</v>
      </c>
      <c r="M5533">
        <v>5</v>
      </c>
      <c r="N5533" s="2"/>
      <c r="O5533" s="3">
        <v>5147</v>
      </c>
      <c r="P5533">
        <v>0</v>
      </c>
      <c r="Q5533">
        <v>5</v>
      </c>
      <c r="R5533" t="s">
        <v>33</v>
      </c>
      <c r="S5533">
        <v>1</v>
      </c>
    </row>
    <row r="5534" spans="1:19" ht="16.5" x14ac:dyDescent="0.3">
      <c r="A5534" t="s">
        <v>5597</v>
      </c>
      <c r="B5534" s="1">
        <v>46016</v>
      </c>
      <c r="C5534" s="1">
        <v>46027</v>
      </c>
      <c r="D5534">
        <v>2025</v>
      </c>
      <c r="E5534" t="s">
        <v>2026</v>
      </c>
      <c r="F5534" t="s">
        <v>2496</v>
      </c>
      <c r="G5534" t="s">
        <v>78</v>
      </c>
      <c r="H5534" t="s">
        <v>50</v>
      </c>
      <c r="I5534" t="s">
        <v>24</v>
      </c>
      <c r="J5534" t="s">
        <v>25</v>
      </c>
      <c r="K5534" t="s">
        <v>26</v>
      </c>
      <c r="L5534" t="s">
        <v>27</v>
      </c>
      <c r="M5534">
        <v>11</v>
      </c>
      <c r="N5534" s="2">
        <v>52</v>
      </c>
      <c r="O5534" s="3">
        <v>14035</v>
      </c>
      <c r="P5534">
        <v>1</v>
      </c>
      <c r="Q5534">
        <v>3</v>
      </c>
      <c r="R5534" t="s">
        <v>33</v>
      </c>
      <c r="S5534">
        <v>1</v>
      </c>
    </row>
    <row r="5535" spans="1:19" ht="16.5" x14ac:dyDescent="0.3">
      <c r="A5535" t="s">
        <v>5598</v>
      </c>
      <c r="B5535" s="1">
        <v>46016</v>
      </c>
      <c r="C5535" s="1">
        <v>46020</v>
      </c>
      <c r="D5535">
        <v>2025</v>
      </c>
      <c r="E5535" t="s">
        <v>2026</v>
      </c>
      <c r="F5535" t="s">
        <v>2496</v>
      </c>
      <c r="G5535" t="s">
        <v>78</v>
      </c>
      <c r="H5535" t="s">
        <v>50</v>
      </c>
      <c r="I5535" t="s">
        <v>24</v>
      </c>
      <c r="J5535" t="s">
        <v>43</v>
      </c>
      <c r="K5535" t="s">
        <v>36</v>
      </c>
      <c r="L5535" t="s">
        <v>37</v>
      </c>
      <c r="M5535">
        <v>4</v>
      </c>
      <c r="N5535" s="2">
        <v>94</v>
      </c>
      <c r="O5535" s="3">
        <v>3647</v>
      </c>
      <c r="P5535">
        <v>0</v>
      </c>
      <c r="Q5535">
        <v>5</v>
      </c>
      <c r="R5535" t="s">
        <v>28</v>
      </c>
      <c r="S5535">
        <v>1</v>
      </c>
    </row>
    <row r="5536" spans="1:19" ht="16.5" x14ac:dyDescent="0.3">
      <c r="A5536" t="s">
        <v>5599</v>
      </c>
      <c r="B5536" s="1">
        <v>46016</v>
      </c>
      <c r="C5536" s="1">
        <v>46018</v>
      </c>
      <c r="D5536">
        <v>2025</v>
      </c>
      <c r="E5536" t="s">
        <v>2026</v>
      </c>
      <c r="F5536" t="s">
        <v>2496</v>
      </c>
      <c r="G5536" t="s">
        <v>78</v>
      </c>
      <c r="H5536" t="s">
        <v>50</v>
      </c>
      <c r="I5536" t="s">
        <v>40</v>
      </c>
      <c r="J5536" t="s">
        <v>25</v>
      </c>
      <c r="K5536" t="s">
        <v>32</v>
      </c>
      <c r="L5536" t="s">
        <v>44</v>
      </c>
      <c r="M5536">
        <v>2</v>
      </c>
      <c r="N5536" s="2"/>
      <c r="O5536" s="3">
        <v>3320</v>
      </c>
      <c r="P5536">
        <v>0</v>
      </c>
      <c r="Q5536">
        <v>4</v>
      </c>
      <c r="R5536" t="s">
        <v>33</v>
      </c>
      <c r="S5536">
        <v>1</v>
      </c>
    </row>
    <row r="5537" spans="1:19" ht="16.5" x14ac:dyDescent="0.3">
      <c r="A5537" t="s">
        <v>5600</v>
      </c>
      <c r="B5537" s="1">
        <v>46017</v>
      </c>
      <c r="C5537" s="1">
        <v>46028</v>
      </c>
      <c r="D5537">
        <v>2025</v>
      </c>
      <c r="E5537" t="s">
        <v>2026</v>
      </c>
      <c r="F5537" t="s">
        <v>2496</v>
      </c>
      <c r="G5537" t="s">
        <v>83</v>
      </c>
      <c r="H5537" t="s">
        <v>52</v>
      </c>
      <c r="I5537" t="s">
        <v>24</v>
      </c>
      <c r="J5537" t="s">
        <v>43</v>
      </c>
      <c r="K5537" t="s">
        <v>26</v>
      </c>
      <c r="L5537" t="s">
        <v>27</v>
      </c>
      <c r="M5537">
        <v>11</v>
      </c>
      <c r="N5537" s="2">
        <v>95</v>
      </c>
      <c r="O5537" s="3">
        <v>9202</v>
      </c>
      <c r="P5537">
        <v>0</v>
      </c>
      <c r="Q5537">
        <v>3</v>
      </c>
      <c r="R5537" t="s">
        <v>33</v>
      </c>
      <c r="S5537">
        <v>1</v>
      </c>
    </row>
    <row r="5538" spans="1:19" ht="16.5" x14ac:dyDescent="0.3">
      <c r="A5538" t="s">
        <v>5601</v>
      </c>
      <c r="B5538" s="1">
        <v>46017</v>
      </c>
      <c r="C5538" s="1">
        <v>46024</v>
      </c>
      <c r="D5538">
        <v>2025</v>
      </c>
      <c r="E5538" t="s">
        <v>2026</v>
      </c>
      <c r="F5538" t="s">
        <v>2496</v>
      </c>
      <c r="G5538" t="s">
        <v>83</v>
      </c>
      <c r="H5538" t="s">
        <v>23</v>
      </c>
      <c r="I5538" t="s">
        <v>24</v>
      </c>
      <c r="J5538" t="s">
        <v>25</v>
      </c>
      <c r="K5538" t="s">
        <v>26</v>
      </c>
      <c r="L5538" t="s">
        <v>27</v>
      </c>
      <c r="M5538">
        <v>7</v>
      </c>
      <c r="N5538" s="2">
        <v>112</v>
      </c>
      <c r="O5538" s="3">
        <v>5193</v>
      </c>
      <c r="P5538">
        <v>0</v>
      </c>
      <c r="Q5538">
        <v>4</v>
      </c>
      <c r="R5538" t="s">
        <v>33</v>
      </c>
      <c r="S5538">
        <v>1</v>
      </c>
    </row>
    <row r="5539" spans="1:19" ht="16.5" x14ac:dyDescent="0.3">
      <c r="A5539" t="s">
        <v>5602</v>
      </c>
      <c r="B5539" s="1">
        <v>46017</v>
      </c>
      <c r="C5539" s="1">
        <v>46019</v>
      </c>
      <c r="D5539">
        <v>2025</v>
      </c>
      <c r="E5539" t="s">
        <v>2026</v>
      </c>
      <c r="F5539" t="s">
        <v>2496</v>
      </c>
      <c r="G5539" t="s">
        <v>83</v>
      </c>
      <c r="H5539" t="s">
        <v>39</v>
      </c>
      <c r="I5539" t="s">
        <v>24</v>
      </c>
      <c r="J5539" t="s">
        <v>43</v>
      </c>
      <c r="K5539" t="s">
        <v>41</v>
      </c>
      <c r="L5539" t="s">
        <v>44</v>
      </c>
      <c r="M5539">
        <v>2</v>
      </c>
      <c r="N5539" s="2">
        <v>220</v>
      </c>
      <c r="O5539" s="3">
        <v>2302</v>
      </c>
      <c r="P5539">
        <v>0</v>
      </c>
      <c r="Q5539">
        <v>5</v>
      </c>
      <c r="R5539" t="s">
        <v>33</v>
      </c>
      <c r="S5539">
        <v>1</v>
      </c>
    </row>
    <row r="5540" spans="1:19" ht="16.5" x14ac:dyDescent="0.3">
      <c r="A5540" t="s">
        <v>5603</v>
      </c>
      <c r="B5540" s="1">
        <v>46017</v>
      </c>
      <c r="C5540" s="1">
        <v>46021</v>
      </c>
      <c r="D5540">
        <v>2025</v>
      </c>
      <c r="E5540" t="s">
        <v>2026</v>
      </c>
      <c r="F5540" t="s">
        <v>2496</v>
      </c>
      <c r="G5540" t="s">
        <v>83</v>
      </c>
      <c r="H5540" t="s">
        <v>23</v>
      </c>
      <c r="I5540" t="s">
        <v>24</v>
      </c>
      <c r="J5540" t="s">
        <v>25</v>
      </c>
      <c r="K5540" t="s">
        <v>53</v>
      </c>
      <c r="L5540" t="s">
        <v>27</v>
      </c>
      <c r="M5540">
        <v>4</v>
      </c>
      <c r="N5540" s="2">
        <v>32</v>
      </c>
      <c r="O5540" s="3">
        <v>3613</v>
      </c>
      <c r="P5540">
        <v>0</v>
      </c>
      <c r="Q5540">
        <v>4</v>
      </c>
      <c r="R5540" t="s">
        <v>33</v>
      </c>
      <c r="S5540">
        <v>1</v>
      </c>
    </row>
    <row r="5541" spans="1:19" ht="16.5" x14ac:dyDescent="0.3">
      <c r="A5541" t="s">
        <v>5604</v>
      </c>
      <c r="B5541" s="1">
        <v>46017</v>
      </c>
      <c r="C5541" s="1">
        <v>46022</v>
      </c>
      <c r="D5541">
        <v>2025</v>
      </c>
      <c r="E5541" t="s">
        <v>2026</v>
      </c>
      <c r="F5541" t="s">
        <v>2496</v>
      </c>
      <c r="G5541" t="s">
        <v>83</v>
      </c>
      <c r="H5541" t="s">
        <v>39</v>
      </c>
      <c r="I5541" t="s">
        <v>24</v>
      </c>
      <c r="J5541" t="s">
        <v>25</v>
      </c>
      <c r="K5541" t="s">
        <v>41</v>
      </c>
      <c r="L5541" t="s">
        <v>44</v>
      </c>
      <c r="M5541">
        <v>5</v>
      </c>
      <c r="N5541" s="2">
        <v>50</v>
      </c>
      <c r="O5541" s="3">
        <v>4943</v>
      </c>
      <c r="P5541">
        <v>0</v>
      </c>
      <c r="Q5541">
        <v>5</v>
      </c>
      <c r="R5541" t="s">
        <v>33</v>
      </c>
      <c r="S5541">
        <v>1</v>
      </c>
    </row>
    <row r="5542" spans="1:19" ht="16.5" x14ac:dyDescent="0.3">
      <c r="A5542" t="s">
        <v>5605</v>
      </c>
      <c r="B5542" s="1">
        <v>46017</v>
      </c>
      <c r="C5542" s="1">
        <v>46020</v>
      </c>
      <c r="D5542">
        <v>2025</v>
      </c>
      <c r="E5542" t="s">
        <v>2026</v>
      </c>
      <c r="F5542" t="s">
        <v>2496</v>
      </c>
      <c r="G5542" t="s">
        <v>83</v>
      </c>
      <c r="H5542" t="s">
        <v>23</v>
      </c>
      <c r="I5542" t="s">
        <v>24</v>
      </c>
      <c r="J5542" t="s">
        <v>43</v>
      </c>
      <c r="K5542" t="s">
        <v>26</v>
      </c>
      <c r="L5542" t="s">
        <v>37</v>
      </c>
      <c r="M5542">
        <v>3</v>
      </c>
      <c r="N5542" s="2">
        <v>143</v>
      </c>
      <c r="O5542" s="3">
        <v>2000</v>
      </c>
      <c r="P5542">
        <v>0</v>
      </c>
      <c r="Q5542">
        <v>4</v>
      </c>
      <c r="R5542" t="s">
        <v>33</v>
      </c>
      <c r="S5542">
        <v>1</v>
      </c>
    </row>
    <row r="5543" spans="1:19" ht="16.5" x14ac:dyDescent="0.3">
      <c r="A5543" t="s">
        <v>5606</v>
      </c>
      <c r="B5543" s="1">
        <v>46017</v>
      </c>
      <c r="C5543" s="1">
        <v>46024</v>
      </c>
      <c r="D5543">
        <v>2025</v>
      </c>
      <c r="E5543" t="s">
        <v>2026</v>
      </c>
      <c r="F5543" t="s">
        <v>2496</v>
      </c>
      <c r="G5543" t="s">
        <v>83</v>
      </c>
      <c r="H5543" t="s">
        <v>23</v>
      </c>
      <c r="I5543" t="s">
        <v>24</v>
      </c>
      <c r="J5543" t="s">
        <v>25</v>
      </c>
      <c r="K5543" t="s">
        <v>26</v>
      </c>
      <c r="L5543" t="s">
        <v>44</v>
      </c>
      <c r="M5543">
        <v>7</v>
      </c>
      <c r="N5543" s="2">
        <v>86</v>
      </c>
      <c r="O5543" s="3">
        <v>7210</v>
      </c>
      <c r="P5543">
        <v>0</v>
      </c>
      <c r="Q5543">
        <v>4</v>
      </c>
      <c r="R5543" t="s">
        <v>28</v>
      </c>
      <c r="S5543">
        <v>1</v>
      </c>
    </row>
    <row r="5544" spans="1:19" ht="16.5" x14ac:dyDescent="0.3">
      <c r="A5544" t="s">
        <v>5607</v>
      </c>
      <c r="B5544" s="1">
        <v>46017</v>
      </c>
      <c r="C5544" s="1">
        <v>46023</v>
      </c>
      <c r="D5544">
        <v>2025</v>
      </c>
      <c r="E5544" t="s">
        <v>2026</v>
      </c>
      <c r="F5544" t="s">
        <v>2496</v>
      </c>
      <c r="G5544" t="s">
        <v>83</v>
      </c>
      <c r="H5544" t="s">
        <v>23</v>
      </c>
      <c r="I5544" t="s">
        <v>24</v>
      </c>
      <c r="J5544" t="s">
        <v>25</v>
      </c>
      <c r="K5544" t="s">
        <v>53</v>
      </c>
      <c r="L5544" t="s">
        <v>27</v>
      </c>
      <c r="M5544">
        <v>6</v>
      </c>
      <c r="N5544" s="2">
        <v>72</v>
      </c>
      <c r="O5544" s="3">
        <v>5092</v>
      </c>
      <c r="P5544">
        <v>0</v>
      </c>
      <c r="Q5544">
        <v>4</v>
      </c>
      <c r="R5544" t="s">
        <v>33</v>
      </c>
      <c r="S5544">
        <v>1</v>
      </c>
    </row>
    <row r="5545" spans="1:19" ht="16.5" x14ac:dyDescent="0.3">
      <c r="A5545" t="s">
        <v>5608</v>
      </c>
      <c r="B5545" s="1">
        <v>46017</v>
      </c>
      <c r="C5545" s="1">
        <v>46020</v>
      </c>
      <c r="D5545">
        <v>2025</v>
      </c>
      <c r="E5545" t="s">
        <v>2026</v>
      </c>
      <c r="F5545" t="s">
        <v>2496</v>
      </c>
      <c r="G5545" t="s">
        <v>83</v>
      </c>
      <c r="H5545" t="s">
        <v>23</v>
      </c>
      <c r="I5545" t="s">
        <v>40</v>
      </c>
      <c r="J5545" t="s">
        <v>43</v>
      </c>
      <c r="K5545" t="s">
        <v>32</v>
      </c>
      <c r="L5545" t="s">
        <v>44</v>
      </c>
      <c r="M5545">
        <v>3</v>
      </c>
      <c r="N5545" s="2"/>
      <c r="O5545" s="3">
        <v>2892</v>
      </c>
      <c r="P5545">
        <v>0</v>
      </c>
      <c r="Q5545">
        <v>5</v>
      </c>
      <c r="R5545" t="s">
        <v>33</v>
      </c>
      <c r="S5545">
        <v>1</v>
      </c>
    </row>
    <row r="5546" spans="1:19" ht="16.5" x14ac:dyDescent="0.3">
      <c r="A5546" t="s">
        <v>5609</v>
      </c>
      <c r="B5546" s="1">
        <v>46017</v>
      </c>
      <c r="C5546" s="1">
        <v>46019</v>
      </c>
      <c r="D5546">
        <v>2025</v>
      </c>
      <c r="E5546" t="s">
        <v>2026</v>
      </c>
      <c r="F5546" t="s">
        <v>2496</v>
      </c>
      <c r="G5546" t="s">
        <v>83</v>
      </c>
      <c r="H5546" t="s">
        <v>30</v>
      </c>
      <c r="I5546" t="s">
        <v>31</v>
      </c>
      <c r="J5546" t="s">
        <v>25</v>
      </c>
      <c r="K5546" t="s">
        <v>36</v>
      </c>
      <c r="L5546" t="s">
        <v>44</v>
      </c>
      <c r="M5546">
        <v>2</v>
      </c>
      <c r="N5546" s="2"/>
      <c r="O5546" s="3">
        <v>3116</v>
      </c>
      <c r="P5546">
        <v>0</v>
      </c>
      <c r="Q5546">
        <v>5</v>
      </c>
      <c r="R5546" t="s">
        <v>28</v>
      </c>
      <c r="S5546">
        <v>1</v>
      </c>
    </row>
    <row r="5547" spans="1:19" ht="16.5" x14ac:dyDescent="0.3">
      <c r="A5547" t="s">
        <v>5610</v>
      </c>
      <c r="B5547" s="1">
        <v>46017</v>
      </c>
      <c r="C5547" s="1">
        <v>46021</v>
      </c>
      <c r="D5547">
        <v>2025</v>
      </c>
      <c r="E5547" t="s">
        <v>2026</v>
      </c>
      <c r="F5547" t="s">
        <v>2496</v>
      </c>
      <c r="G5547" t="s">
        <v>83</v>
      </c>
      <c r="H5547" t="s">
        <v>52</v>
      </c>
      <c r="I5547" t="s">
        <v>40</v>
      </c>
      <c r="J5547" t="s">
        <v>25</v>
      </c>
      <c r="K5547" t="s">
        <v>53</v>
      </c>
      <c r="L5547" t="s">
        <v>44</v>
      </c>
      <c r="M5547">
        <v>4</v>
      </c>
      <c r="N5547" s="2"/>
      <c r="O5547" s="3">
        <v>3327</v>
      </c>
      <c r="P5547">
        <v>0</v>
      </c>
      <c r="Q5547">
        <v>5</v>
      </c>
      <c r="R5547" t="s">
        <v>28</v>
      </c>
      <c r="S5547">
        <v>1</v>
      </c>
    </row>
    <row r="5548" spans="1:19" ht="16.5" x14ac:dyDescent="0.3">
      <c r="A5548" t="s">
        <v>5611</v>
      </c>
      <c r="B5548" s="1">
        <v>46017</v>
      </c>
      <c r="C5548" s="1">
        <v>46019</v>
      </c>
      <c r="D5548">
        <v>2025</v>
      </c>
      <c r="E5548" t="s">
        <v>2026</v>
      </c>
      <c r="F5548" t="s">
        <v>2496</v>
      </c>
      <c r="G5548" t="s">
        <v>83</v>
      </c>
      <c r="H5548" t="s">
        <v>52</v>
      </c>
      <c r="I5548" t="s">
        <v>40</v>
      </c>
      <c r="J5548" t="s">
        <v>43</v>
      </c>
      <c r="K5548" t="s">
        <v>53</v>
      </c>
      <c r="L5548" t="s">
        <v>44</v>
      </c>
      <c r="M5548">
        <v>2</v>
      </c>
      <c r="N5548" s="2"/>
      <c r="O5548" s="3">
        <v>2599</v>
      </c>
      <c r="P5548">
        <v>0</v>
      </c>
      <c r="Q5548">
        <v>4</v>
      </c>
      <c r="R5548" t="s">
        <v>28</v>
      </c>
      <c r="S5548">
        <v>1</v>
      </c>
    </row>
    <row r="5549" spans="1:19" ht="16.5" x14ac:dyDescent="0.3">
      <c r="A5549" t="s">
        <v>5612</v>
      </c>
      <c r="B5549" s="1">
        <v>46017</v>
      </c>
      <c r="C5549" s="1">
        <v>46024</v>
      </c>
      <c r="D5549">
        <v>2025</v>
      </c>
      <c r="E5549" t="s">
        <v>2026</v>
      </c>
      <c r="F5549" t="s">
        <v>2496</v>
      </c>
      <c r="G5549" t="s">
        <v>83</v>
      </c>
      <c r="H5549" t="s">
        <v>50</v>
      </c>
      <c r="I5549" t="s">
        <v>24</v>
      </c>
      <c r="J5549" t="s">
        <v>43</v>
      </c>
      <c r="K5549" t="s">
        <v>26</v>
      </c>
      <c r="L5549" t="s">
        <v>27</v>
      </c>
      <c r="M5549">
        <v>7</v>
      </c>
      <c r="N5549" s="2">
        <v>44</v>
      </c>
      <c r="O5549" s="3">
        <v>10103</v>
      </c>
      <c r="P5549">
        <v>0</v>
      </c>
      <c r="Q5549">
        <v>4</v>
      </c>
      <c r="R5549" t="s">
        <v>28</v>
      </c>
      <c r="S5549">
        <v>1</v>
      </c>
    </row>
    <row r="5550" spans="1:19" ht="16.5" x14ac:dyDescent="0.3">
      <c r="A5550" t="s">
        <v>5613</v>
      </c>
      <c r="B5550" s="1">
        <v>46017</v>
      </c>
      <c r="C5550" s="1">
        <v>46025</v>
      </c>
      <c r="D5550">
        <v>2025</v>
      </c>
      <c r="E5550" t="s">
        <v>2026</v>
      </c>
      <c r="F5550" t="s">
        <v>2496</v>
      </c>
      <c r="G5550" t="s">
        <v>83</v>
      </c>
      <c r="H5550" t="s">
        <v>50</v>
      </c>
      <c r="I5550" t="s">
        <v>24</v>
      </c>
      <c r="J5550" t="s">
        <v>43</v>
      </c>
      <c r="K5550" t="s">
        <v>26</v>
      </c>
      <c r="L5550" t="s">
        <v>37</v>
      </c>
      <c r="M5550">
        <v>8</v>
      </c>
      <c r="N5550" s="2">
        <v>85</v>
      </c>
      <c r="O5550" s="3">
        <v>9630</v>
      </c>
      <c r="P5550">
        <v>0</v>
      </c>
      <c r="Q5550">
        <v>4</v>
      </c>
      <c r="R5550" t="s">
        <v>33</v>
      </c>
      <c r="S5550">
        <v>1</v>
      </c>
    </row>
    <row r="5551" spans="1:19" ht="16.5" x14ac:dyDescent="0.3">
      <c r="A5551" t="s">
        <v>5614</v>
      </c>
      <c r="B5551" s="1">
        <v>46018</v>
      </c>
      <c r="C5551" s="1">
        <v>46024</v>
      </c>
      <c r="D5551">
        <v>2025</v>
      </c>
      <c r="E5551" t="s">
        <v>2026</v>
      </c>
      <c r="F5551" t="s">
        <v>2496</v>
      </c>
      <c r="G5551" t="s">
        <v>102</v>
      </c>
      <c r="H5551" t="s">
        <v>52</v>
      </c>
      <c r="I5551" t="s">
        <v>24</v>
      </c>
      <c r="J5551" t="s">
        <v>25</v>
      </c>
      <c r="K5551" t="s">
        <v>32</v>
      </c>
      <c r="L5551" t="s">
        <v>44</v>
      </c>
      <c r="M5551">
        <v>6</v>
      </c>
      <c r="N5551" s="2">
        <v>75</v>
      </c>
      <c r="O5551" s="3">
        <v>6628</v>
      </c>
      <c r="P5551">
        <v>0</v>
      </c>
      <c r="Q5551">
        <v>4</v>
      </c>
      <c r="R5551" t="s">
        <v>28</v>
      </c>
      <c r="S5551">
        <v>1</v>
      </c>
    </row>
    <row r="5552" spans="1:19" ht="16.5" x14ac:dyDescent="0.3">
      <c r="A5552" t="s">
        <v>5615</v>
      </c>
      <c r="B5552" s="1">
        <v>46018</v>
      </c>
      <c r="C5552" s="1">
        <v>46024</v>
      </c>
      <c r="D5552">
        <v>2025</v>
      </c>
      <c r="E5552" t="s">
        <v>2026</v>
      </c>
      <c r="F5552" t="s">
        <v>2496</v>
      </c>
      <c r="G5552" t="s">
        <v>102</v>
      </c>
      <c r="H5552" t="s">
        <v>39</v>
      </c>
      <c r="I5552" t="s">
        <v>40</v>
      </c>
      <c r="J5552" t="s">
        <v>25</v>
      </c>
      <c r="K5552" t="s">
        <v>41</v>
      </c>
      <c r="L5552" t="s">
        <v>44</v>
      </c>
      <c r="M5552">
        <v>6</v>
      </c>
      <c r="N5552" s="2"/>
      <c r="O5552" s="3">
        <v>4227</v>
      </c>
      <c r="P5552">
        <v>0</v>
      </c>
      <c r="Q5552">
        <v>4</v>
      </c>
      <c r="R5552" t="s">
        <v>28</v>
      </c>
      <c r="S5552">
        <v>1</v>
      </c>
    </row>
    <row r="5553" spans="1:19" ht="16.5" x14ac:dyDescent="0.3">
      <c r="A5553" t="s">
        <v>5616</v>
      </c>
      <c r="B5553" s="1">
        <v>46018</v>
      </c>
      <c r="C5553" s="1">
        <v>46022</v>
      </c>
      <c r="D5553">
        <v>2025</v>
      </c>
      <c r="E5553" t="s">
        <v>2026</v>
      </c>
      <c r="F5553" t="s">
        <v>2496</v>
      </c>
      <c r="G5553" t="s">
        <v>102</v>
      </c>
      <c r="H5553" t="s">
        <v>23</v>
      </c>
      <c r="I5553" t="s">
        <v>40</v>
      </c>
      <c r="J5553" t="s">
        <v>43</v>
      </c>
      <c r="K5553" t="s">
        <v>26</v>
      </c>
      <c r="L5553" t="s">
        <v>44</v>
      </c>
      <c r="M5553">
        <v>4</v>
      </c>
      <c r="N5553" s="2"/>
      <c r="O5553" s="3">
        <v>3441</v>
      </c>
      <c r="P5553">
        <v>1</v>
      </c>
      <c r="Q5553">
        <v>4</v>
      </c>
      <c r="R5553" t="s">
        <v>33</v>
      </c>
      <c r="S5553">
        <v>1</v>
      </c>
    </row>
    <row r="5554" spans="1:19" ht="16.5" x14ac:dyDescent="0.3">
      <c r="A5554" t="s">
        <v>5617</v>
      </c>
      <c r="B5554" s="1">
        <v>46018</v>
      </c>
      <c r="C5554" s="1">
        <v>46020</v>
      </c>
      <c r="D5554">
        <v>2025</v>
      </c>
      <c r="E5554" t="s">
        <v>2026</v>
      </c>
      <c r="F5554" t="s">
        <v>2496</v>
      </c>
      <c r="G5554" t="s">
        <v>102</v>
      </c>
      <c r="H5554" t="s">
        <v>35</v>
      </c>
      <c r="I5554" t="s">
        <v>24</v>
      </c>
      <c r="J5554" t="s">
        <v>25</v>
      </c>
      <c r="K5554" t="s">
        <v>32</v>
      </c>
      <c r="L5554" t="s">
        <v>37</v>
      </c>
      <c r="M5554">
        <v>2</v>
      </c>
      <c r="N5554" s="2">
        <v>67</v>
      </c>
      <c r="O5554" s="3">
        <v>2293</v>
      </c>
      <c r="P5554">
        <v>0</v>
      </c>
      <c r="Q5554">
        <v>4</v>
      </c>
      <c r="R5554" t="s">
        <v>165</v>
      </c>
      <c r="S5554">
        <v>1</v>
      </c>
    </row>
    <row r="5555" spans="1:19" ht="16.5" x14ac:dyDescent="0.3">
      <c r="A5555" t="s">
        <v>5618</v>
      </c>
      <c r="B5555" s="1">
        <v>46018</v>
      </c>
      <c r="C5555" s="1">
        <v>46019</v>
      </c>
      <c r="D5555">
        <v>2025</v>
      </c>
      <c r="E5555" t="s">
        <v>2026</v>
      </c>
      <c r="F5555" t="s">
        <v>2496</v>
      </c>
      <c r="G5555" t="s">
        <v>102</v>
      </c>
      <c r="H5555" t="s">
        <v>39</v>
      </c>
      <c r="I5555" t="s">
        <v>40</v>
      </c>
      <c r="J5555" t="s">
        <v>43</v>
      </c>
      <c r="K5555" t="s">
        <v>41</v>
      </c>
      <c r="L5555" t="s">
        <v>37</v>
      </c>
      <c r="M5555">
        <v>1</v>
      </c>
      <c r="N5555" s="2"/>
      <c r="O5555" s="3">
        <v>1253</v>
      </c>
      <c r="P5555">
        <v>0</v>
      </c>
      <c r="Q5555">
        <v>5</v>
      </c>
      <c r="R5555" t="s">
        <v>33</v>
      </c>
      <c r="S5555">
        <v>1</v>
      </c>
    </row>
    <row r="5556" spans="1:19" ht="16.5" x14ac:dyDescent="0.3">
      <c r="A5556" t="s">
        <v>5619</v>
      </c>
      <c r="B5556" s="1">
        <v>46018</v>
      </c>
      <c r="C5556" s="1">
        <v>46019</v>
      </c>
      <c r="D5556">
        <v>2025</v>
      </c>
      <c r="E5556" t="s">
        <v>2026</v>
      </c>
      <c r="F5556" t="s">
        <v>2496</v>
      </c>
      <c r="G5556" t="s">
        <v>102</v>
      </c>
      <c r="H5556" t="s">
        <v>35</v>
      </c>
      <c r="I5556" t="s">
        <v>24</v>
      </c>
      <c r="J5556" t="s">
        <v>25</v>
      </c>
      <c r="K5556" t="s">
        <v>36</v>
      </c>
      <c r="L5556" t="s">
        <v>44</v>
      </c>
      <c r="M5556">
        <v>1</v>
      </c>
      <c r="N5556" s="2">
        <v>39</v>
      </c>
      <c r="O5556" s="3">
        <v>1352</v>
      </c>
      <c r="P5556">
        <v>0</v>
      </c>
      <c r="Q5556">
        <v>4</v>
      </c>
      <c r="R5556" t="s">
        <v>33</v>
      </c>
      <c r="S5556">
        <v>1</v>
      </c>
    </row>
    <row r="5557" spans="1:19" ht="16.5" x14ac:dyDescent="0.3">
      <c r="A5557" t="s">
        <v>5620</v>
      </c>
      <c r="B5557" s="1">
        <v>46018</v>
      </c>
      <c r="C5557" s="1">
        <v>46022</v>
      </c>
      <c r="D5557">
        <v>2025</v>
      </c>
      <c r="E5557" t="s">
        <v>2026</v>
      </c>
      <c r="F5557" t="s">
        <v>2496</v>
      </c>
      <c r="G5557" t="s">
        <v>102</v>
      </c>
      <c r="H5557" t="s">
        <v>52</v>
      </c>
      <c r="I5557" t="s">
        <v>40</v>
      </c>
      <c r="J5557" t="s">
        <v>25</v>
      </c>
      <c r="K5557" t="s">
        <v>26</v>
      </c>
      <c r="L5557" t="s">
        <v>37</v>
      </c>
      <c r="M5557">
        <v>4</v>
      </c>
      <c r="N5557" s="2"/>
      <c r="O5557" s="3">
        <v>4558</v>
      </c>
      <c r="P5557">
        <v>0</v>
      </c>
      <c r="Q5557">
        <v>4</v>
      </c>
      <c r="R5557" t="s">
        <v>59</v>
      </c>
      <c r="S5557">
        <v>1</v>
      </c>
    </row>
    <row r="5558" spans="1:19" ht="16.5" x14ac:dyDescent="0.3">
      <c r="A5558" t="s">
        <v>5621</v>
      </c>
      <c r="B5558" s="1">
        <v>46018</v>
      </c>
      <c r="C5558" s="1">
        <v>46029</v>
      </c>
      <c r="D5558">
        <v>2025</v>
      </c>
      <c r="E5558" t="s">
        <v>2026</v>
      </c>
      <c r="F5558" t="s">
        <v>2496</v>
      </c>
      <c r="G5558" t="s">
        <v>102</v>
      </c>
      <c r="H5558" t="s">
        <v>23</v>
      </c>
      <c r="I5558" t="s">
        <v>24</v>
      </c>
      <c r="J5558" t="s">
        <v>25</v>
      </c>
      <c r="K5558" t="s">
        <v>53</v>
      </c>
      <c r="L5558" t="s">
        <v>44</v>
      </c>
      <c r="M5558">
        <v>11</v>
      </c>
      <c r="N5558" s="2">
        <v>89</v>
      </c>
      <c r="O5558" s="3">
        <v>5988</v>
      </c>
      <c r="P5558">
        <v>0</v>
      </c>
      <c r="Q5558">
        <v>4</v>
      </c>
      <c r="R5558" t="s">
        <v>33</v>
      </c>
      <c r="S5558">
        <v>1</v>
      </c>
    </row>
    <row r="5559" spans="1:19" ht="16.5" x14ac:dyDescent="0.3">
      <c r="A5559" t="s">
        <v>5622</v>
      </c>
      <c r="B5559" s="1">
        <v>46018</v>
      </c>
      <c r="C5559" s="1">
        <v>46020</v>
      </c>
      <c r="D5559">
        <v>2025</v>
      </c>
      <c r="E5559" t="s">
        <v>2026</v>
      </c>
      <c r="F5559" t="s">
        <v>2496</v>
      </c>
      <c r="G5559" t="s">
        <v>102</v>
      </c>
      <c r="H5559" t="s">
        <v>23</v>
      </c>
      <c r="I5559" t="s">
        <v>40</v>
      </c>
      <c r="J5559" t="s">
        <v>43</v>
      </c>
      <c r="K5559" t="s">
        <v>36</v>
      </c>
      <c r="L5559" t="s">
        <v>44</v>
      </c>
      <c r="M5559">
        <v>2</v>
      </c>
      <c r="N5559" s="2"/>
      <c r="O5559" s="3">
        <v>1936</v>
      </c>
      <c r="P5559">
        <v>0</v>
      </c>
      <c r="Q5559">
        <v>3</v>
      </c>
      <c r="R5559" t="s">
        <v>33</v>
      </c>
      <c r="S5559">
        <v>1</v>
      </c>
    </row>
    <row r="5560" spans="1:19" ht="16.5" x14ac:dyDescent="0.3">
      <c r="A5560" t="s">
        <v>5623</v>
      </c>
      <c r="B5560" s="1">
        <v>46019</v>
      </c>
      <c r="C5560" s="1">
        <v>46022</v>
      </c>
      <c r="D5560">
        <v>2025</v>
      </c>
      <c r="E5560" t="s">
        <v>2026</v>
      </c>
      <c r="F5560" t="s">
        <v>2496</v>
      </c>
      <c r="G5560" t="s">
        <v>112</v>
      </c>
      <c r="H5560" t="s">
        <v>39</v>
      </c>
      <c r="I5560" t="s">
        <v>24</v>
      </c>
      <c r="J5560" t="s">
        <v>43</v>
      </c>
      <c r="K5560" t="s">
        <v>41</v>
      </c>
      <c r="L5560" t="s">
        <v>44</v>
      </c>
      <c r="M5560">
        <v>3</v>
      </c>
      <c r="N5560" s="2">
        <v>79</v>
      </c>
      <c r="O5560" s="3">
        <v>2440</v>
      </c>
      <c r="P5560">
        <v>0</v>
      </c>
      <c r="Q5560">
        <v>3</v>
      </c>
      <c r="R5560" t="s">
        <v>33</v>
      </c>
      <c r="S5560">
        <v>1</v>
      </c>
    </row>
    <row r="5561" spans="1:19" ht="16.5" x14ac:dyDescent="0.3">
      <c r="A5561" t="s">
        <v>5624</v>
      </c>
      <c r="B5561" s="1">
        <v>46019</v>
      </c>
      <c r="C5561" s="1">
        <v>46020</v>
      </c>
      <c r="D5561">
        <v>2025</v>
      </c>
      <c r="E5561" t="s">
        <v>2026</v>
      </c>
      <c r="F5561" t="s">
        <v>2496</v>
      </c>
      <c r="G5561" t="s">
        <v>112</v>
      </c>
      <c r="H5561" t="s">
        <v>35</v>
      </c>
      <c r="I5561" t="s">
        <v>40</v>
      </c>
      <c r="J5561" t="s">
        <v>25</v>
      </c>
      <c r="K5561" t="s">
        <v>32</v>
      </c>
      <c r="L5561" t="s">
        <v>37</v>
      </c>
      <c r="M5561">
        <v>1</v>
      </c>
      <c r="N5561" s="2"/>
      <c r="O5561" s="3">
        <v>1434</v>
      </c>
      <c r="P5561">
        <v>0</v>
      </c>
      <c r="Q5561">
        <v>3</v>
      </c>
      <c r="R5561" t="s">
        <v>33</v>
      </c>
      <c r="S5561">
        <v>1</v>
      </c>
    </row>
    <row r="5562" spans="1:19" ht="16.5" x14ac:dyDescent="0.3">
      <c r="A5562" t="s">
        <v>5625</v>
      </c>
      <c r="B5562" s="1">
        <v>46019</v>
      </c>
      <c r="C5562" s="1">
        <v>46021</v>
      </c>
      <c r="D5562">
        <v>2025</v>
      </c>
      <c r="E5562" t="s">
        <v>2026</v>
      </c>
      <c r="F5562" t="s">
        <v>2496</v>
      </c>
      <c r="G5562" t="s">
        <v>112</v>
      </c>
      <c r="H5562" t="s">
        <v>39</v>
      </c>
      <c r="I5562" t="s">
        <v>24</v>
      </c>
      <c r="J5562" t="s">
        <v>25</v>
      </c>
      <c r="K5562" t="s">
        <v>41</v>
      </c>
      <c r="L5562" t="s">
        <v>44</v>
      </c>
      <c r="M5562">
        <v>2</v>
      </c>
      <c r="N5562" s="2">
        <v>28</v>
      </c>
      <c r="O5562" s="3">
        <v>1808</v>
      </c>
      <c r="P5562">
        <v>0</v>
      </c>
      <c r="Q5562">
        <v>4</v>
      </c>
      <c r="R5562" t="s">
        <v>33</v>
      </c>
      <c r="S5562">
        <v>1</v>
      </c>
    </row>
    <row r="5563" spans="1:19" ht="16.5" x14ac:dyDescent="0.3">
      <c r="A5563" t="s">
        <v>5626</v>
      </c>
      <c r="B5563" s="1">
        <v>46019</v>
      </c>
      <c r="C5563" s="1">
        <v>46028</v>
      </c>
      <c r="D5563">
        <v>2025</v>
      </c>
      <c r="E5563" t="s">
        <v>2026</v>
      </c>
      <c r="F5563" t="s">
        <v>2496</v>
      </c>
      <c r="G5563" t="s">
        <v>112</v>
      </c>
      <c r="H5563" t="s">
        <v>50</v>
      </c>
      <c r="I5563" t="s">
        <v>40</v>
      </c>
      <c r="J5563" t="s">
        <v>43</v>
      </c>
      <c r="K5563" t="s">
        <v>53</v>
      </c>
      <c r="L5563" t="s">
        <v>27</v>
      </c>
      <c r="M5563">
        <v>9</v>
      </c>
      <c r="N5563" s="2"/>
      <c r="O5563" s="3">
        <v>9460</v>
      </c>
      <c r="P5563">
        <v>0</v>
      </c>
      <c r="Q5563">
        <v>4</v>
      </c>
      <c r="R5563" t="s">
        <v>33</v>
      </c>
      <c r="S5563">
        <v>1</v>
      </c>
    </row>
    <row r="5564" spans="1:19" ht="16.5" x14ac:dyDescent="0.3">
      <c r="A5564" t="s">
        <v>5627</v>
      </c>
      <c r="B5564" s="1">
        <v>46019</v>
      </c>
      <c r="C5564" s="1">
        <v>46035</v>
      </c>
      <c r="D5564">
        <v>2025</v>
      </c>
      <c r="E5564" t="s">
        <v>2026</v>
      </c>
      <c r="F5564" t="s">
        <v>2496</v>
      </c>
      <c r="G5564" t="s">
        <v>112</v>
      </c>
      <c r="H5564" t="s">
        <v>23</v>
      </c>
      <c r="I5564" t="s">
        <v>24</v>
      </c>
      <c r="J5564" t="s">
        <v>43</v>
      </c>
      <c r="K5564" t="s">
        <v>53</v>
      </c>
      <c r="L5564" t="s">
        <v>44</v>
      </c>
      <c r="M5564">
        <v>16</v>
      </c>
      <c r="N5564" s="2">
        <v>44</v>
      </c>
      <c r="O5564" s="3">
        <v>10094</v>
      </c>
      <c r="P5564">
        <v>1</v>
      </c>
      <c r="Q5564">
        <v>3</v>
      </c>
      <c r="R5564" t="s">
        <v>33</v>
      </c>
      <c r="S5564">
        <v>1</v>
      </c>
    </row>
    <row r="5565" spans="1:19" ht="16.5" x14ac:dyDescent="0.3">
      <c r="A5565" t="s">
        <v>5628</v>
      </c>
      <c r="B5565" s="1">
        <v>46019</v>
      </c>
      <c r="C5565" s="1">
        <v>46025</v>
      </c>
      <c r="D5565">
        <v>2025</v>
      </c>
      <c r="E5565" t="s">
        <v>2026</v>
      </c>
      <c r="F5565" t="s">
        <v>2496</v>
      </c>
      <c r="G5565" t="s">
        <v>112</v>
      </c>
      <c r="H5565" t="s">
        <v>52</v>
      </c>
      <c r="I5565" t="s">
        <v>40</v>
      </c>
      <c r="J5565" t="s">
        <v>43</v>
      </c>
      <c r="K5565" t="s">
        <v>36</v>
      </c>
      <c r="L5565" t="s">
        <v>44</v>
      </c>
      <c r="M5565">
        <v>6</v>
      </c>
      <c r="N5565" s="2"/>
      <c r="O5565" s="3">
        <v>4068</v>
      </c>
      <c r="P5565">
        <v>0</v>
      </c>
      <c r="Q5565">
        <v>5</v>
      </c>
      <c r="R5565" t="s">
        <v>33</v>
      </c>
      <c r="S5565">
        <v>1</v>
      </c>
    </row>
    <row r="5566" spans="1:19" ht="16.5" x14ac:dyDescent="0.3">
      <c r="A5566" t="s">
        <v>5629</v>
      </c>
      <c r="B5566" s="1">
        <v>46019</v>
      </c>
      <c r="C5566" s="1">
        <v>46029</v>
      </c>
      <c r="D5566">
        <v>2025</v>
      </c>
      <c r="E5566" t="s">
        <v>2026</v>
      </c>
      <c r="F5566" t="s">
        <v>2496</v>
      </c>
      <c r="G5566" t="s">
        <v>112</v>
      </c>
      <c r="H5566" t="s">
        <v>30</v>
      </c>
      <c r="I5566" t="s">
        <v>40</v>
      </c>
      <c r="J5566" t="s">
        <v>25</v>
      </c>
      <c r="K5566" t="s">
        <v>26</v>
      </c>
      <c r="L5566" t="s">
        <v>44</v>
      </c>
      <c r="M5566">
        <v>10</v>
      </c>
      <c r="N5566" s="2"/>
      <c r="O5566" s="3">
        <v>10398</v>
      </c>
      <c r="P5566">
        <v>0</v>
      </c>
      <c r="Q5566">
        <v>5</v>
      </c>
      <c r="R5566" t="s">
        <v>28</v>
      </c>
      <c r="S5566">
        <v>1</v>
      </c>
    </row>
    <row r="5567" spans="1:19" ht="16.5" x14ac:dyDescent="0.3">
      <c r="A5567" t="s">
        <v>5630</v>
      </c>
      <c r="B5567" s="1">
        <v>46019</v>
      </c>
      <c r="C5567" s="1">
        <v>46028</v>
      </c>
      <c r="D5567">
        <v>2025</v>
      </c>
      <c r="E5567" t="s">
        <v>2026</v>
      </c>
      <c r="F5567" t="s">
        <v>2496</v>
      </c>
      <c r="G5567" t="s">
        <v>112</v>
      </c>
      <c r="H5567" t="s">
        <v>52</v>
      </c>
      <c r="I5567" t="s">
        <v>40</v>
      </c>
      <c r="J5567" t="s">
        <v>25</v>
      </c>
      <c r="K5567" t="s">
        <v>26</v>
      </c>
      <c r="L5567" t="s">
        <v>44</v>
      </c>
      <c r="M5567">
        <v>9</v>
      </c>
      <c r="N5567" s="2"/>
      <c r="O5567" s="3">
        <v>6026</v>
      </c>
      <c r="P5567">
        <v>1</v>
      </c>
      <c r="Q5567">
        <v>3</v>
      </c>
      <c r="R5567" t="s">
        <v>28</v>
      </c>
      <c r="S5567">
        <v>1</v>
      </c>
    </row>
    <row r="5568" spans="1:19" ht="16.5" x14ac:dyDescent="0.3">
      <c r="A5568" t="s">
        <v>5631</v>
      </c>
      <c r="B5568" s="1">
        <v>46020</v>
      </c>
      <c r="C5568" s="1">
        <v>46026</v>
      </c>
      <c r="D5568">
        <v>2025</v>
      </c>
      <c r="E5568" t="s">
        <v>2026</v>
      </c>
      <c r="F5568" t="s">
        <v>2496</v>
      </c>
      <c r="G5568" t="s">
        <v>22</v>
      </c>
      <c r="H5568" t="s">
        <v>39</v>
      </c>
      <c r="I5568" t="s">
        <v>40</v>
      </c>
      <c r="J5568" t="s">
        <v>25</v>
      </c>
      <c r="K5568" t="s">
        <v>41</v>
      </c>
      <c r="L5568" t="s">
        <v>27</v>
      </c>
      <c r="M5568">
        <v>6</v>
      </c>
      <c r="N5568" s="2"/>
      <c r="O5568" s="3">
        <v>5386</v>
      </c>
      <c r="P5568">
        <v>1</v>
      </c>
      <c r="Q5568">
        <v>4</v>
      </c>
      <c r="R5568" t="s">
        <v>28</v>
      </c>
      <c r="S5568">
        <v>1</v>
      </c>
    </row>
    <row r="5569" spans="1:19" ht="16.5" x14ac:dyDescent="0.3">
      <c r="A5569" t="s">
        <v>5632</v>
      </c>
      <c r="B5569" s="1">
        <v>46020</v>
      </c>
      <c r="C5569" s="1">
        <v>46035</v>
      </c>
      <c r="D5569">
        <v>2025</v>
      </c>
      <c r="E5569" t="s">
        <v>2026</v>
      </c>
      <c r="F5569" t="s">
        <v>2496</v>
      </c>
      <c r="G5569" t="s">
        <v>22</v>
      </c>
      <c r="H5569" t="s">
        <v>23</v>
      </c>
      <c r="I5569" t="s">
        <v>24</v>
      </c>
      <c r="J5569" t="s">
        <v>43</v>
      </c>
      <c r="K5569" t="s">
        <v>26</v>
      </c>
      <c r="L5569" t="s">
        <v>27</v>
      </c>
      <c r="M5569">
        <v>15</v>
      </c>
      <c r="N5569" s="2">
        <v>60</v>
      </c>
      <c r="O5569" s="3">
        <v>9004</v>
      </c>
      <c r="P5569">
        <v>0</v>
      </c>
      <c r="Q5569">
        <v>4</v>
      </c>
      <c r="R5569" t="s">
        <v>165</v>
      </c>
      <c r="S5569">
        <v>1</v>
      </c>
    </row>
    <row r="5570" spans="1:19" ht="16.5" x14ac:dyDescent="0.3">
      <c r="A5570" t="s">
        <v>5633</v>
      </c>
      <c r="B5570" s="1">
        <v>46020</v>
      </c>
      <c r="C5570" s="1">
        <v>46029</v>
      </c>
      <c r="D5570">
        <v>2025</v>
      </c>
      <c r="E5570" t="s">
        <v>2026</v>
      </c>
      <c r="F5570" t="s">
        <v>2496</v>
      </c>
      <c r="G5570" t="s">
        <v>22</v>
      </c>
      <c r="H5570" t="s">
        <v>23</v>
      </c>
      <c r="I5570" t="s">
        <v>24</v>
      </c>
      <c r="J5570" t="s">
        <v>25</v>
      </c>
      <c r="K5570" t="s">
        <v>36</v>
      </c>
      <c r="L5570" t="s">
        <v>44</v>
      </c>
      <c r="M5570">
        <v>9</v>
      </c>
      <c r="N5570" s="2">
        <v>159</v>
      </c>
      <c r="O5570" s="3">
        <v>5655</v>
      </c>
      <c r="P5570">
        <v>1</v>
      </c>
      <c r="Q5570">
        <v>3</v>
      </c>
      <c r="R5570" t="s">
        <v>33</v>
      </c>
      <c r="S5570">
        <v>1</v>
      </c>
    </row>
    <row r="5571" spans="1:19" ht="16.5" x14ac:dyDescent="0.3">
      <c r="A5571" t="s">
        <v>5634</v>
      </c>
      <c r="B5571" s="1">
        <v>46020</v>
      </c>
      <c r="C5571" s="1">
        <v>46030</v>
      </c>
      <c r="D5571">
        <v>2025</v>
      </c>
      <c r="E5571" t="s">
        <v>2026</v>
      </c>
      <c r="F5571" t="s">
        <v>2496</v>
      </c>
      <c r="G5571" t="s">
        <v>22</v>
      </c>
      <c r="H5571" t="s">
        <v>50</v>
      </c>
      <c r="I5571" t="s">
        <v>24</v>
      </c>
      <c r="J5571" t="s">
        <v>43</v>
      </c>
      <c r="K5571" t="s">
        <v>53</v>
      </c>
      <c r="L5571" t="s">
        <v>37</v>
      </c>
      <c r="M5571">
        <v>10</v>
      </c>
      <c r="N5571" s="2">
        <v>30</v>
      </c>
      <c r="O5571" s="3">
        <v>14809</v>
      </c>
      <c r="P5571">
        <v>0</v>
      </c>
      <c r="Q5571">
        <v>4</v>
      </c>
      <c r="R5571" t="s">
        <v>28</v>
      </c>
      <c r="S5571">
        <v>1</v>
      </c>
    </row>
    <row r="5572" spans="1:19" ht="16.5" x14ac:dyDescent="0.3">
      <c r="A5572" t="s">
        <v>5635</v>
      </c>
      <c r="B5572" s="1">
        <v>46020</v>
      </c>
      <c r="C5572" s="1">
        <v>46027</v>
      </c>
      <c r="D5572">
        <v>2025</v>
      </c>
      <c r="E5572" t="s">
        <v>2026</v>
      </c>
      <c r="F5572" t="s">
        <v>2496</v>
      </c>
      <c r="G5572" t="s">
        <v>22</v>
      </c>
      <c r="H5572" t="s">
        <v>35</v>
      </c>
      <c r="I5572" t="s">
        <v>24</v>
      </c>
      <c r="J5572" t="s">
        <v>25</v>
      </c>
      <c r="K5572" t="s">
        <v>32</v>
      </c>
      <c r="L5572" t="s">
        <v>44</v>
      </c>
      <c r="M5572">
        <v>7</v>
      </c>
      <c r="N5572" s="2">
        <v>77</v>
      </c>
      <c r="O5572" s="3">
        <v>5871</v>
      </c>
      <c r="P5572">
        <v>0</v>
      </c>
      <c r="Q5572">
        <v>4</v>
      </c>
      <c r="R5572" t="s">
        <v>33</v>
      </c>
      <c r="S5572">
        <v>1</v>
      </c>
    </row>
    <row r="5573" spans="1:19" ht="16.5" x14ac:dyDescent="0.3">
      <c r="A5573" t="s">
        <v>5636</v>
      </c>
      <c r="B5573" s="1">
        <v>46020</v>
      </c>
      <c r="C5573" s="1">
        <v>46022</v>
      </c>
      <c r="D5573">
        <v>2025</v>
      </c>
      <c r="E5573" t="s">
        <v>2026</v>
      </c>
      <c r="F5573" t="s">
        <v>2496</v>
      </c>
      <c r="G5573" t="s">
        <v>22</v>
      </c>
      <c r="H5573" t="s">
        <v>52</v>
      </c>
      <c r="I5573" t="s">
        <v>24</v>
      </c>
      <c r="J5573" t="s">
        <v>43</v>
      </c>
      <c r="K5573" t="s">
        <v>53</v>
      </c>
      <c r="L5573" t="s">
        <v>27</v>
      </c>
      <c r="M5573">
        <v>2</v>
      </c>
      <c r="N5573" s="2">
        <v>45</v>
      </c>
      <c r="O5573" s="3">
        <v>3284</v>
      </c>
      <c r="P5573">
        <v>0</v>
      </c>
      <c r="Q5573">
        <v>4</v>
      </c>
      <c r="R5573" t="s">
        <v>33</v>
      </c>
      <c r="S5573">
        <v>1</v>
      </c>
    </row>
    <row r="5574" spans="1:19" ht="16.5" x14ac:dyDescent="0.3">
      <c r="A5574" t="s">
        <v>5637</v>
      </c>
      <c r="B5574" s="1">
        <v>46020</v>
      </c>
      <c r="C5574" s="1">
        <v>46030</v>
      </c>
      <c r="D5574">
        <v>2025</v>
      </c>
      <c r="E5574" t="s">
        <v>2026</v>
      </c>
      <c r="F5574" t="s">
        <v>2496</v>
      </c>
      <c r="G5574" t="s">
        <v>22</v>
      </c>
      <c r="H5574" t="s">
        <v>52</v>
      </c>
      <c r="I5574" t="s">
        <v>40</v>
      </c>
      <c r="J5574" t="s">
        <v>25</v>
      </c>
      <c r="K5574" t="s">
        <v>32</v>
      </c>
      <c r="L5574" t="s">
        <v>44</v>
      </c>
      <c r="M5574">
        <v>10</v>
      </c>
      <c r="N5574" s="2"/>
      <c r="O5574" s="3">
        <v>5872</v>
      </c>
      <c r="P5574">
        <v>0</v>
      </c>
      <c r="Q5574">
        <v>5</v>
      </c>
      <c r="R5574" t="s">
        <v>33</v>
      </c>
      <c r="S5574">
        <v>1</v>
      </c>
    </row>
    <row r="5575" spans="1:19" ht="16.5" x14ac:dyDescent="0.3">
      <c r="A5575" t="s">
        <v>5638</v>
      </c>
      <c r="B5575" s="1">
        <v>46021</v>
      </c>
      <c r="C5575" s="1">
        <v>46027</v>
      </c>
      <c r="D5575">
        <v>2025</v>
      </c>
      <c r="E5575" t="s">
        <v>2026</v>
      </c>
      <c r="F5575" t="s">
        <v>2496</v>
      </c>
      <c r="G5575" t="s">
        <v>56</v>
      </c>
      <c r="H5575" t="s">
        <v>23</v>
      </c>
      <c r="I5575" t="s">
        <v>40</v>
      </c>
      <c r="J5575" t="s">
        <v>25</v>
      </c>
      <c r="K5575" t="s">
        <v>36</v>
      </c>
      <c r="L5575" t="s">
        <v>27</v>
      </c>
      <c r="M5575">
        <v>6</v>
      </c>
      <c r="N5575" s="2"/>
      <c r="O5575" s="3">
        <v>3851</v>
      </c>
      <c r="P5575">
        <v>0</v>
      </c>
      <c r="Q5575">
        <v>5</v>
      </c>
      <c r="R5575" t="s">
        <v>33</v>
      </c>
      <c r="S5575">
        <v>1</v>
      </c>
    </row>
    <row r="5576" spans="1:19" ht="16.5" x14ac:dyDescent="0.3">
      <c r="A5576" t="s">
        <v>5639</v>
      </c>
      <c r="B5576" s="1">
        <v>46021</v>
      </c>
      <c r="C5576" s="1">
        <v>46023</v>
      </c>
      <c r="D5576">
        <v>2025</v>
      </c>
      <c r="E5576" t="s">
        <v>2026</v>
      </c>
      <c r="F5576" t="s">
        <v>2496</v>
      </c>
      <c r="G5576" t="s">
        <v>56</v>
      </c>
      <c r="H5576" t="s">
        <v>39</v>
      </c>
      <c r="I5576" t="s">
        <v>24</v>
      </c>
      <c r="J5576" t="s">
        <v>25</v>
      </c>
      <c r="K5576" t="s">
        <v>41</v>
      </c>
      <c r="L5576" t="s">
        <v>44</v>
      </c>
      <c r="M5576">
        <v>2</v>
      </c>
      <c r="N5576" s="2">
        <v>39</v>
      </c>
      <c r="O5576" s="3">
        <v>1995</v>
      </c>
      <c r="P5576">
        <v>0</v>
      </c>
      <c r="Q5576">
        <v>5</v>
      </c>
      <c r="R5576" t="s">
        <v>33</v>
      </c>
      <c r="S5576">
        <v>1</v>
      </c>
    </row>
    <row r="5577" spans="1:19" ht="16.5" x14ac:dyDescent="0.3">
      <c r="A5577" t="s">
        <v>5640</v>
      </c>
      <c r="B5577" s="1">
        <v>46021</v>
      </c>
      <c r="C5577" s="1">
        <v>46024</v>
      </c>
      <c r="D5577">
        <v>2025</v>
      </c>
      <c r="E5577" t="s">
        <v>2026</v>
      </c>
      <c r="F5577" t="s">
        <v>2496</v>
      </c>
      <c r="G5577" t="s">
        <v>56</v>
      </c>
      <c r="H5577" t="s">
        <v>39</v>
      </c>
      <c r="I5577" t="s">
        <v>31</v>
      </c>
      <c r="J5577" t="s">
        <v>25</v>
      </c>
      <c r="K5577" t="s">
        <v>41</v>
      </c>
      <c r="L5577" t="s">
        <v>44</v>
      </c>
      <c r="M5577">
        <v>3</v>
      </c>
      <c r="N5577" s="2"/>
      <c r="O5577" s="3">
        <v>2612</v>
      </c>
      <c r="P5577">
        <v>1</v>
      </c>
      <c r="Q5577">
        <v>4</v>
      </c>
      <c r="R5577" t="s">
        <v>28</v>
      </c>
      <c r="S5577">
        <v>1</v>
      </c>
    </row>
    <row r="5578" spans="1:19" ht="16.5" x14ac:dyDescent="0.3">
      <c r="A5578" t="s">
        <v>5641</v>
      </c>
      <c r="B5578" s="1">
        <v>46021</v>
      </c>
      <c r="C5578" s="1">
        <v>46037</v>
      </c>
      <c r="D5578">
        <v>2025</v>
      </c>
      <c r="E5578" t="s">
        <v>2026</v>
      </c>
      <c r="F5578" t="s">
        <v>2496</v>
      </c>
      <c r="G5578" t="s">
        <v>56</v>
      </c>
      <c r="H5578" t="s">
        <v>23</v>
      </c>
      <c r="I5578" t="s">
        <v>24</v>
      </c>
      <c r="J5578" t="s">
        <v>25</v>
      </c>
      <c r="K5578" t="s">
        <v>26</v>
      </c>
      <c r="L5578" t="s">
        <v>44</v>
      </c>
      <c r="M5578">
        <v>16</v>
      </c>
      <c r="N5578" s="2">
        <v>58</v>
      </c>
      <c r="O5578" s="3">
        <v>10488</v>
      </c>
      <c r="P5578">
        <v>0</v>
      </c>
      <c r="Q5578">
        <v>4</v>
      </c>
      <c r="R5578" t="s">
        <v>28</v>
      </c>
      <c r="S5578">
        <v>1</v>
      </c>
    </row>
    <row r="5579" spans="1:19" ht="16.5" x14ac:dyDescent="0.3">
      <c r="A5579" t="s">
        <v>5642</v>
      </c>
      <c r="B5579" s="1">
        <v>46021</v>
      </c>
      <c r="C5579" s="1">
        <v>46024</v>
      </c>
      <c r="D5579">
        <v>2025</v>
      </c>
      <c r="E5579" t="s">
        <v>2026</v>
      </c>
      <c r="F5579" t="s">
        <v>2496</v>
      </c>
      <c r="G5579" t="s">
        <v>56</v>
      </c>
      <c r="H5579" t="s">
        <v>39</v>
      </c>
      <c r="I5579" t="s">
        <v>24</v>
      </c>
      <c r="J5579" t="s">
        <v>43</v>
      </c>
      <c r="K5579" t="s">
        <v>41</v>
      </c>
      <c r="L5579" t="s">
        <v>44</v>
      </c>
      <c r="M5579">
        <v>3</v>
      </c>
      <c r="N5579" s="2">
        <v>71</v>
      </c>
      <c r="O5579" s="3">
        <v>2469</v>
      </c>
      <c r="P5579">
        <v>0</v>
      </c>
      <c r="Q5579">
        <v>4</v>
      </c>
      <c r="R5579" t="s">
        <v>59</v>
      </c>
      <c r="S5579">
        <v>1</v>
      </c>
    </row>
    <row r="5580" spans="1:19" ht="16.5" x14ac:dyDescent="0.3">
      <c r="A5580" t="s">
        <v>5643</v>
      </c>
      <c r="B5580" s="1">
        <v>46021</v>
      </c>
      <c r="C5580" s="1">
        <v>46022</v>
      </c>
      <c r="D5580">
        <v>2025</v>
      </c>
      <c r="E5580" t="s">
        <v>2026</v>
      </c>
      <c r="F5580" t="s">
        <v>2496</v>
      </c>
      <c r="G5580" t="s">
        <v>56</v>
      </c>
      <c r="H5580" t="s">
        <v>52</v>
      </c>
      <c r="I5580" t="s">
        <v>40</v>
      </c>
      <c r="J5580" t="s">
        <v>25</v>
      </c>
      <c r="K5580" t="s">
        <v>36</v>
      </c>
      <c r="L5580" t="s">
        <v>44</v>
      </c>
      <c r="M5580">
        <v>1</v>
      </c>
      <c r="N5580" s="2"/>
      <c r="O5580" s="3">
        <v>2005</v>
      </c>
      <c r="P5580">
        <v>1</v>
      </c>
      <c r="Q5580">
        <v>3</v>
      </c>
      <c r="R5580" t="s">
        <v>28</v>
      </c>
      <c r="S5580">
        <v>1</v>
      </c>
    </row>
    <row r="5581" spans="1:19" ht="16.5" x14ac:dyDescent="0.3">
      <c r="A5581" t="s">
        <v>5644</v>
      </c>
      <c r="B5581" s="1">
        <v>46021</v>
      </c>
      <c r="C5581" s="1">
        <v>46025</v>
      </c>
      <c r="D5581">
        <v>2025</v>
      </c>
      <c r="E5581" t="s">
        <v>2026</v>
      </c>
      <c r="F5581" t="s">
        <v>2496</v>
      </c>
      <c r="G5581" t="s">
        <v>56</v>
      </c>
      <c r="H5581" t="s">
        <v>35</v>
      </c>
      <c r="I5581" t="s">
        <v>24</v>
      </c>
      <c r="J5581" t="s">
        <v>25</v>
      </c>
      <c r="K5581" t="s">
        <v>36</v>
      </c>
      <c r="L5581" t="s">
        <v>44</v>
      </c>
      <c r="M5581">
        <v>4</v>
      </c>
      <c r="N5581" s="2">
        <v>64</v>
      </c>
      <c r="O5581" s="3">
        <v>3657</v>
      </c>
      <c r="P5581">
        <v>0</v>
      </c>
      <c r="Q5581">
        <v>3</v>
      </c>
      <c r="R5581" t="s">
        <v>33</v>
      </c>
      <c r="S5581">
        <v>1</v>
      </c>
    </row>
    <row r="5582" spans="1:19" ht="16.5" x14ac:dyDescent="0.3">
      <c r="A5582" t="s">
        <v>5645</v>
      </c>
      <c r="B5582" s="1">
        <v>46021</v>
      </c>
      <c r="C5582" s="1">
        <v>46022</v>
      </c>
      <c r="D5582">
        <v>2025</v>
      </c>
      <c r="E5582" t="s">
        <v>2026</v>
      </c>
      <c r="F5582" t="s">
        <v>2496</v>
      </c>
      <c r="G5582" t="s">
        <v>56</v>
      </c>
      <c r="H5582" t="s">
        <v>30</v>
      </c>
      <c r="I5582" t="s">
        <v>40</v>
      </c>
      <c r="J5582" t="s">
        <v>25</v>
      </c>
      <c r="K5582" t="s">
        <v>53</v>
      </c>
      <c r="L5582" t="s">
        <v>27</v>
      </c>
      <c r="M5582">
        <v>1</v>
      </c>
      <c r="N5582" s="2"/>
      <c r="O5582" s="3">
        <v>1281</v>
      </c>
      <c r="P5582">
        <v>0</v>
      </c>
      <c r="Q5582">
        <v>5</v>
      </c>
      <c r="R5582" t="s">
        <v>28</v>
      </c>
      <c r="S5582">
        <v>1</v>
      </c>
    </row>
    <row r="5583" spans="1:19" ht="16.5" x14ac:dyDescent="0.3">
      <c r="A5583" t="s">
        <v>5646</v>
      </c>
      <c r="B5583" s="1">
        <v>46021</v>
      </c>
      <c r="C5583" s="1">
        <v>46026</v>
      </c>
      <c r="D5583">
        <v>2025</v>
      </c>
      <c r="E5583" t="s">
        <v>2026</v>
      </c>
      <c r="F5583" t="s">
        <v>2496</v>
      </c>
      <c r="G5583" t="s">
        <v>56</v>
      </c>
      <c r="H5583" t="s">
        <v>52</v>
      </c>
      <c r="I5583" t="s">
        <v>40</v>
      </c>
      <c r="J5583" t="s">
        <v>43</v>
      </c>
      <c r="K5583" t="s">
        <v>53</v>
      </c>
      <c r="L5583" t="s">
        <v>44</v>
      </c>
      <c r="M5583">
        <v>5</v>
      </c>
      <c r="N5583" s="2"/>
      <c r="O5583" s="3">
        <v>6610</v>
      </c>
      <c r="P5583">
        <v>0</v>
      </c>
      <c r="Q5583">
        <v>5</v>
      </c>
      <c r="R5583" t="s">
        <v>33</v>
      </c>
      <c r="S5583">
        <v>1</v>
      </c>
    </row>
    <row r="5584" spans="1:19" ht="16.5" x14ac:dyDescent="0.3">
      <c r="A5584" t="s">
        <v>5647</v>
      </c>
      <c r="B5584" s="1">
        <v>46021</v>
      </c>
      <c r="C5584" s="1">
        <v>46024</v>
      </c>
      <c r="D5584">
        <v>2025</v>
      </c>
      <c r="E5584" t="s">
        <v>2026</v>
      </c>
      <c r="F5584" t="s">
        <v>2496</v>
      </c>
      <c r="G5584" t="s">
        <v>56</v>
      </c>
      <c r="H5584" t="s">
        <v>39</v>
      </c>
      <c r="I5584" t="s">
        <v>40</v>
      </c>
      <c r="J5584" t="s">
        <v>43</v>
      </c>
      <c r="K5584" t="s">
        <v>41</v>
      </c>
      <c r="L5584" t="s">
        <v>44</v>
      </c>
      <c r="M5584">
        <v>3</v>
      </c>
      <c r="N5584" s="2"/>
      <c r="O5584" s="3">
        <v>2269</v>
      </c>
      <c r="P5584">
        <v>0</v>
      </c>
      <c r="Q5584">
        <v>4</v>
      </c>
      <c r="R5584" t="s">
        <v>33</v>
      </c>
      <c r="S5584">
        <v>1</v>
      </c>
    </row>
    <row r="5585" spans="1:19" ht="16.5" x14ac:dyDescent="0.3">
      <c r="A5585" t="s">
        <v>5648</v>
      </c>
      <c r="B5585" s="1">
        <v>46021</v>
      </c>
      <c r="C5585" s="1">
        <v>46026</v>
      </c>
      <c r="D5585">
        <v>2025</v>
      </c>
      <c r="E5585" t="s">
        <v>2026</v>
      </c>
      <c r="F5585" t="s">
        <v>2496</v>
      </c>
      <c r="G5585" t="s">
        <v>56</v>
      </c>
      <c r="H5585" t="s">
        <v>35</v>
      </c>
      <c r="I5585" t="s">
        <v>24</v>
      </c>
      <c r="J5585" t="s">
        <v>25</v>
      </c>
      <c r="K5585" t="s">
        <v>32</v>
      </c>
      <c r="L5585" t="s">
        <v>44</v>
      </c>
      <c r="M5585">
        <v>5</v>
      </c>
      <c r="N5585" s="2">
        <v>72</v>
      </c>
      <c r="O5585" s="3">
        <v>4312</v>
      </c>
      <c r="P5585">
        <v>0</v>
      </c>
      <c r="Q5585">
        <v>3</v>
      </c>
      <c r="R5585" t="s">
        <v>28</v>
      </c>
      <c r="S5585">
        <v>1</v>
      </c>
    </row>
    <row r="5586" spans="1:19" ht="16.5" x14ac:dyDescent="0.3">
      <c r="A5586" t="s">
        <v>5649</v>
      </c>
      <c r="B5586" s="1">
        <v>46021</v>
      </c>
      <c r="C5586" s="1">
        <v>46032</v>
      </c>
      <c r="D5586">
        <v>2025</v>
      </c>
      <c r="E5586" t="s">
        <v>2026</v>
      </c>
      <c r="F5586" t="s">
        <v>2496</v>
      </c>
      <c r="G5586" t="s">
        <v>56</v>
      </c>
      <c r="H5586" t="s">
        <v>50</v>
      </c>
      <c r="I5586" t="s">
        <v>24</v>
      </c>
      <c r="J5586" t="s">
        <v>25</v>
      </c>
      <c r="K5586" t="s">
        <v>36</v>
      </c>
      <c r="L5586" t="s">
        <v>44</v>
      </c>
      <c r="M5586">
        <v>11</v>
      </c>
      <c r="N5586" s="2">
        <v>17</v>
      </c>
      <c r="O5586" s="3">
        <v>15417</v>
      </c>
      <c r="P5586">
        <v>0</v>
      </c>
      <c r="Q5586">
        <v>4</v>
      </c>
      <c r="R5586" t="s">
        <v>33</v>
      </c>
      <c r="S5586">
        <v>1</v>
      </c>
    </row>
    <row r="5587" spans="1:19" ht="16.5" x14ac:dyDescent="0.3">
      <c r="A5587" t="s">
        <v>5650</v>
      </c>
      <c r="B5587" s="1">
        <v>46021</v>
      </c>
      <c r="C5587" s="1">
        <v>46029</v>
      </c>
      <c r="D5587">
        <v>2025</v>
      </c>
      <c r="E5587" t="s">
        <v>2026</v>
      </c>
      <c r="F5587" t="s">
        <v>2496</v>
      </c>
      <c r="G5587" t="s">
        <v>56</v>
      </c>
      <c r="H5587" t="s">
        <v>30</v>
      </c>
      <c r="I5587" t="s">
        <v>40</v>
      </c>
      <c r="J5587" t="s">
        <v>43</v>
      </c>
      <c r="K5587" t="s">
        <v>32</v>
      </c>
      <c r="L5587" t="s">
        <v>27</v>
      </c>
      <c r="M5587">
        <v>8</v>
      </c>
      <c r="N5587" s="2"/>
      <c r="O5587" s="3">
        <v>8738</v>
      </c>
      <c r="P5587">
        <v>0</v>
      </c>
      <c r="Q5587">
        <v>4</v>
      </c>
      <c r="R5587" t="s">
        <v>33</v>
      </c>
      <c r="S5587">
        <v>1</v>
      </c>
    </row>
    <row r="5588" spans="1:19" ht="16.5" x14ac:dyDescent="0.3">
      <c r="A5588" t="s">
        <v>5651</v>
      </c>
      <c r="B5588" s="1">
        <v>46022</v>
      </c>
      <c r="C5588" s="1">
        <v>46027</v>
      </c>
      <c r="D5588">
        <v>2025</v>
      </c>
      <c r="E5588" t="s">
        <v>2026</v>
      </c>
      <c r="F5588" t="s">
        <v>2496</v>
      </c>
      <c r="G5588" t="s">
        <v>70</v>
      </c>
      <c r="H5588" t="s">
        <v>50</v>
      </c>
      <c r="I5588" t="s">
        <v>24</v>
      </c>
      <c r="J5588" t="s">
        <v>25</v>
      </c>
      <c r="K5588" t="s">
        <v>26</v>
      </c>
      <c r="L5588" t="s">
        <v>27</v>
      </c>
      <c r="M5588">
        <v>5</v>
      </c>
      <c r="N5588" s="2">
        <v>111</v>
      </c>
      <c r="O5588" s="3">
        <v>7349</v>
      </c>
      <c r="P5588">
        <v>0</v>
      </c>
      <c r="Q5588">
        <v>3</v>
      </c>
      <c r="R5588" t="s">
        <v>28</v>
      </c>
      <c r="S5588">
        <v>1</v>
      </c>
    </row>
    <row r="5589" spans="1:19" ht="16.5" x14ac:dyDescent="0.3">
      <c r="A5589" t="s">
        <v>5652</v>
      </c>
      <c r="B5589" s="1">
        <v>46022</v>
      </c>
      <c r="C5589" s="1">
        <v>46033</v>
      </c>
      <c r="D5589">
        <v>2025</v>
      </c>
      <c r="E5589" t="s">
        <v>2026</v>
      </c>
      <c r="F5589" t="s">
        <v>2496</v>
      </c>
      <c r="G5589" t="s">
        <v>70</v>
      </c>
      <c r="H5589" t="s">
        <v>50</v>
      </c>
      <c r="I5589" t="s">
        <v>24</v>
      </c>
      <c r="J5589" t="s">
        <v>25</v>
      </c>
      <c r="K5589" t="s">
        <v>26</v>
      </c>
      <c r="L5589" t="s">
        <v>44</v>
      </c>
      <c r="M5589">
        <v>11</v>
      </c>
      <c r="N5589" s="2">
        <v>56</v>
      </c>
      <c r="O5589" s="3">
        <v>16187</v>
      </c>
      <c r="P5589">
        <v>1</v>
      </c>
      <c r="Q5589">
        <v>4</v>
      </c>
      <c r="R5589" t="s">
        <v>28</v>
      </c>
      <c r="S5589">
        <v>1</v>
      </c>
    </row>
    <row r="5590" spans="1:19" ht="16.5" x14ac:dyDescent="0.3">
      <c r="A5590" t="s">
        <v>5653</v>
      </c>
      <c r="B5590" s="1">
        <v>46022</v>
      </c>
      <c r="C5590" s="1">
        <v>46031</v>
      </c>
      <c r="D5590">
        <v>2025</v>
      </c>
      <c r="E5590" t="s">
        <v>2026</v>
      </c>
      <c r="F5590" t="s">
        <v>2496</v>
      </c>
      <c r="G5590" t="s">
        <v>70</v>
      </c>
      <c r="H5590" t="s">
        <v>30</v>
      </c>
      <c r="I5590" t="s">
        <v>40</v>
      </c>
      <c r="J5590" t="s">
        <v>43</v>
      </c>
      <c r="K5590" t="s">
        <v>32</v>
      </c>
      <c r="L5590" t="s">
        <v>27</v>
      </c>
      <c r="M5590">
        <v>9</v>
      </c>
      <c r="N5590" s="2"/>
      <c r="O5590" s="3">
        <v>6128</v>
      </c>
      <c r="P5590">
        <v>1</v>
      </c>
      <c r="Q5590">
        <v>3</v>
      </c>
      <c r="R5590" t="s">
        <v>59</v>
      </c>
      <c r="S5590">
        <v>1</v>
      </c>
    </row>
    <row r="5591" spans="1:19" ht="16.5" x14ac:dyDescent="0.3">
      <c r="A5591" t="s">
        <v>5654</v>
      </c>
      <c r="B5591" s="1">
        <v>46022</v>
      </c>
      <c r="C5591" s="1">
        <v>46026</v>
      </c>
      <c r="D5591">
        <v>2025</v>
      </c>
      <c r="E5591" t="s">
        <v>2026</v>
      </c>
      <c r="F5591" t="s">
        <v>2496</v>
      </c>
      <c r="G5591" t="s">
        <v>70</v>
      </c>
      <c r="H5591" t="s">
        <v>30</v>
      </c>
      <c r="I5591" t="s">
        <v>40</v>
      </c>
      <c r="J5591" t="s">
        <v>25</v>
      </c>
      <c r="K5591" t="s">
        <v>26</v>
      </c>
      <c r="L5591" t="s">
        <v>27</v>
      </c>
      <c r="M5591">
        <v>4</v>
      </c>
      <c r="N5591" s="2"/>
      <c r="O5591" s="3">
        <v>4913</v>
      </c>
      <c r="P5591">
        <v>1</v>
      </c>
      <c r="Q5591">
        <v>3</v>
      </c>
      <c r="R5591" t="s">
        <v>33</v>
      </c>
      <c r="S5591">
        <v>1</v>
      </c>
    </row>
    <row r="5592" spans="1:19" ht="16.5" x14ac:dyDescent="0.3">
      <c r="A5592" t="s">
        <v>5655</v>
      </c>
      <c r="B5592" s="1">
        <v>46022</v>
      </c>
      <c r="C5592" s="1">
        <v>46024</v>
      </c>
      <c r="D5592">
        <v>2025</v>
      </c>
      <c r="E5592" t="s">
        <v>2026</v>
      </c>
      <c r="F5592" t="s">
        <v>2496</v>
      </c>
      <c r="G5592" t="s">
        <v>70</v>
      </c>
      <c r="H5592" t="s">
        <v>35</v>
      </c>
      <c r="I5592" t="s">
        <v>40</v>
      </c>
      <c r="J5592" t="s">
        <v>25</v>
      </c>
      <c r="K5592" t="s">
        <v>32</v>
      </c>
      <c r="L5592" t="s">
        <v>44</v>
      </c>
      <c r="M5592">
        <v>2</v>
      </c>
      <c r="N5592" s="2"/>
      <c r="O5592" s="3">
        <v>2137</v>
      </c>
      <c r="P5592">
        <v>1</v>
      </c>
      <c r="Q5592">
        <v>5</v>
      </c>
      <c r="R5592" t="s">
        <v>33</v>
      </c>
      <c r="S5592">
        <v>1</v>
      </c>
    </row>
    <row r="5593" spans="1:19" ht="16.5" x14ac:dyDescent="0.3">
      <c r="A5593" t="s">
        <v>5656</v>
      </c>
      <c r="B5593" s="1">
        <v>46022</v>
      </c>
      <c r="C5593" s="1">
        <v>46035</v>
      </c>
      <c r="D5593">
        <v>2025</v>
      </c>
      <c r="E5593" t="s">
        <v>2026</v>
      </c>
      <c r="F5593" t="s">
        <v>2496</v>
      </c>
      <c r="G5593" t="s">
        <v>70</v>
      </c>
      <c r="H5593" t="s">
        <v>23</v>
      </c>
      <c r="I5593" t="s">
        <v>31</v>
      </c>
      <c r="J5593" t="s">
        <v>43</v>
      </c>
      <c r="K5593" t="s">
        <v>53</v>
      </c>
      <c r="L5593" t="s">
        <v>44</v>
      </c>
      <c r="M5593">
        <v>13</v>
      </c>
      <c r="N5593" s="2"/>
      <c r="O5593" s="3">
        <v>6892</v>
      </c>
      <c r="P5593">
        <v>0</v>
      </c>
      <c r="Q5593">
        <v>3</v>
      </c>
      <c r="R5593" t="s">
        <v>28</v>
      </c>
      <c r="S5593">
        <v>1</v>
      </c>
    </row>
    <row r="5594" spans="1:19" ht="16.5" x14ac:dyDescent="0.3">
      <c r="A5594" t="s">
        <v>5657</v>
      </c>
      <c r="B5594" s="1">
        <v>46022</v>
      </c>
      <c r="C5594" s="1">
        <v>46025</v>
      </c>
      <c r="D5594">
        <v>2025</v>
      </c>
      <c r="E5594" t="s">
        <v>2026</v>
      </c>
      <c r="F5594" t="s">
        <v>2496</v>
      </c>
      <c r="G5594" t="s">
        <v>70</v>
      </c>
      <c r="H5594" t="s">
        <v>39</v>
      </c>
      <c r="I5594" t="s">
        <v>24</v>
      </c>
      <c r="J5594" t="s">
        <v>43</v>
      </c>
      <c r="K5594" t="s">
        <v>41</v>
      </c>
      <c r="L5594" t="s">
        <v>37</v>
      </c>
      <c r="M5594">
        <v>3</v>
      </c>
      <c r="N5594" s="2">
        <v>53</v>
      </c>
      <c r="O5594" s="3">
        <v>2186</v>
      </c>
      <c r="P5594">
        <v>1</v>
      </c>
      <c r="Q5594">
        <v>5</v>
      </c>
      <c r="R5594" t="s">
        <v>59</v>
      </c>
      <c r="S5594">
        <v>1</v>
      </c>
    </row>
    <row r="5595" spans="1:19" ht="16.5" x14ac:dyDescent="0.3">
      <c r="A5595" t="s">
        <v>5658</v>
      </c>
      <c r="B5595" s="1">
        <v>46022</v>
      </c>
      <c r="C5595" s="1">
        <v>46023</v>
      </c>
      <c r="D5595">
        <v>2025</v>
      </c>
      <c r="E5595" t="s">
        <v>2026</v>
      </c>
      <c r="F5595" t="s">
        <v>2496</v>
      </c>
      <c r="G5595" t="s">
        <v>70</v>
      </c>
      <c r="H5595" t="s">
        <v>35</v>
      </c>
      <c r="I5595" t="s">
        <v>40</v>
      </c>
      <c r="J5595" t="s">
        <v>25</v>
      </c>
      <c r="K5595" t="s">
        <v>36</v>
      </c>
      <c r="L5595" t="s">
        <v>27</v>
      </c>
      <c r="M5595">
        <v>1</v>
      </c>
      <c r="N5595" s="2"/>
      <c r="O5595" s="3">
        <v>1320</v>
      </c>
      <c r="P5595">
        <v>0</v>
      </c>
      <c r="Q5595">
        <v>4</v>
      </c>
      <c r="R5595" t="s">
        <v>33</v>
      </c>
      <c r="S5595">
        <v>1</v>
      </c>
    </row>
    <row r="5596" spans="1:19" ht="16.5" x14ac:dyDescent="0.3">
      <c r="A5596" t="s">
        <v>5659</v>
      </c>
      <c r="B5596" s="1">
        <v>46022</v>
      </c>
      <c r="C5596" s="1">
        <v>46029</v>
      </c>
      <c r="D5596">
        <v>2025</v>
      </c>
      <c r="E5596" t="s">
        <v>2026</v>
      </c>
      <c r="F5596" t="s">
        <v>2496</v>
      </c>
      <c r="G5596" t="s">
        <v>70</v>
      </c>
      <c r="H5596" t="s">
        <v>50</v>
      </c>
      <c r="I5596" t="s">
        <v>24</v>
      </c>
      <c r="J5596" t="s">
        <v>43</v>
      </c>
      <c r="K5596" t="s">
        <v>32</v>
      </c>
      <c r="L5596" t="s">
        <v>44</v>
      </c>
      <c r="M5596">
        <v>7</v>
      </c>
      <c r="N5596" s="2">
        <v>184</v>
      </c>
      <c r="O5596" s="3">
        <v>7875</v>
      </c>
      <c r="P5596">
        <v>0</v>
      </c>
      <c r="Q5596">
        <v>4</v>
      </c>
      <c r="R5596" t="s">
        <v>28</v>
      </c>
      <c r="S5596">
        <v>1</v>
      </c>
    </row>
    <row r="5597" spans="1:19" ht="16.5" x14ac:dyDescent="0.3">
      <c r="A5597" t="s">
        <v>5660</v>
      </c>
      <c r="B5597" s="1">
        <v>46022</v>
      </c>
      <c r="C5597" s="1">
        <v>46032</v>
      </c>
      <c r="D5597">
        <v>2025</v>
      </c>
      <c r="E5597" t="s">
        <v>2026</v>
      </c>
      <c r="F5597" t="s">
        <v>2496</v>
      </c>
      <c r="G5597" t="s">
        <v>70</v>
      </c>
      <c r="H5597" t="s">
        <v>50</v>
      </c>
      <c r="I5597" t="s">
        <v>24</v>
      </c>
      <c r="J5597" t="s">
        <v>25</v>
      </c>
      <c r="K5597" t="s">
        <v>53</v>
      </c>
      <c r="L5597" t="s">
        <v>37</v>
      </c>
      <c r="M5597">
        <v>10</v>
      </c>
      <c r="N5597" s="2">
        <v>109</v>
      </c>
      <c r="O5597" s="3">
        <v>14601</v>
      </c>
      <c r="P5597">
        <v>0</v>
      </c>
      <c r="Q5597">
        <v>4</v>
      </c>
      <c r="R5597" t="s">
        <v>33</v>
      </c>
      <c r="S5597">
        <v>1</v>
      </c>
    </row>
    <row r="5598" spans="1:19" ht="16.5" x14ac:dyDescent="0.3">
      <c r="A5598" t="s">
        <v>5661</v>
      </c>
      <c r="B5598" s="1">
        <v>46022</v>
      </c>
      <c r="C5598" s="1">
        <v>46027</v>
      </c>
      <c r="D5598">
        <v>2025</v>
      </c>
      <c r="E5598" t="s">
        <v>2026</v>
      </c>
      <c r="F5598" t="s">
        <v>2496</v>
      </c>
      <c r="G5598" t="s">
        <v>70</v>
      </c>
      <c r="H5598" t="s">
        <v>39</v>
      </c>
      <c r="I5598" t="s">
        <v>40</v>
      </c>
      <c r="J5598" t="s">
        <v>25</v>
      </c>
      <c r="K5598" t="s">
        <v>41</v>
      </c>
      <c r="L5598" t="s">
        <v>44</v>
      </c>
      <c r="M5598">
        <v>5</v>
      </c>
      <c r="N5598" s="2"/>
      <c r="O5598" s="3">
        <v>3112</v>
      </c>
      <c r="P5598">
        <v>0</v>
      </c>
      <c r="Q5598">
        <v>5</v>
      </c>
      <c r="R5598" t="s">
        <v>28</v>
      </c>
      <c r="S5598">
        <v>1</v>
      </c>
    </row>
    <row r="5599" spans="1:19" ht="16.5" x14ac:dyDescent="0.3">
      <c r="A5599" t="s">
        <v>5662</v>
      </c>
      <c r="B5599" s="1">
        <v>46022</v>
      </c>
      <c r="C5599" s="1">
        <v>46032</v>
      </c>
      <c r="D5599">
        <v>2025</v>
      </c>
      <c r="E5599" t="s">
        <v>2026</v>
      </c>
      <c r="F5599" t="s">
        <v>2496</v>
      </c>
      <c r="G5599" t="s">
        <v>70</v>
      </c>
      <c r="H5599" t="s">
        <v>50</v>
      </c>
      <c r="I5599" t="s">
        <v>31</v>
      </c>
      <c r="J5599" t="s">
        <v>25</v>
      </c>
      <c r="K5599" t="s">
        <v>26</v>
      </c>
      <c r="L5599" t="s">
        <v>44</v>
      </c>
      <c r="M5599">
        <v>10</v>
      </c>
      <c r="N5599" s="2"/>
      <c r="O5599" s="3">
        <v>11045</v>
      </c>
      <c r="P5599">
        <v>0</v>
      </c>
      <c r="Q5599">
        <v>3</v>
      </c>
      <c r="R5599" t="s">
        <v>33</v>
      </c>
      <c r="S5599">
        <v>1</v>
      </c>
    </row>
    <row r="5600" spans="1:19" ht="16.5" x14ac:dyDescent="0.3">
      <c r="A5600" t="s">
        <v>5663</v>
      </c>
      <c r="B5600" s="1">
        <v>46022</v>
      </c>
      <c r="C5600" s="1">
        <v>46026</v>
      </c>
      <c r="D5600">
        <v>2025</v>
      </c>
      <c r="E5600" t="s">
        <v>2026</v>
      </c>
      <c r="F5600" t="s">
        <v>2496</v>
      </c>
      <c r="G5600" t="s">
        <v>70</v>
      </c>
      <c r="H5600" t="s">
        <v>23</v>
      </c>
      <c r="I5600" t="s">
        <v>24</v>
      </c>
      <c r="J5600" t="s">
        <v>25</v>
      </c>
      <c r="K5600" t="s">
        <v>53</v>
      </c>
      <c r="L5600" t="s">
        <v>27</v>
      </c>
      <c r="M5600">
        <v>4</v>
      </c>
      <c r="N5600" s="2">
        <v>42</v>
      </c>
      <c r="O5600" s="3">
        <v>2823</v>
      </c>
      <c r="P5600">
        <v>0</v>
      </c>
      <c r="Q5600">
        <v>4</v>
      </c>
      <c r="R5600" t="s">
        <v>33</v>
      </c>
      <c r="S5600">
        <v>1</v>
      </c>
    </row>
    <row r="5601" spans="1:19" ht="16.5" x14ac:dyDescent="0.3">
      <c r="A5601" t="s">
        <v>5664</v>
      </c>
      <c r="B5601" s="1">
        <v>46022</v>
      </c>
      <c r="C5601" s="1">
        <v>46033</v>
      </c>
      <c r="D5601">
        <v>2025</v>
      </c>
      <c r="E5601" t="s">
        <v>2026</v>
      </c>
      <c r="F5601" t="s">
        <v>2496</v>
      </c>
      <c r="G5601" t="s">
        <v>70</v>
      </c>
      <c r="H5601" t="s">
        <v>23</v>
      </c>
      <c r="I5601" t="s">
        <v>24</v>
      </c>
      <c r="J5601" t="s">
        <v>25</v>
      </c>
      <c r="K5601" t="s">
        <v>32</v>
      </c>
      <c r="L5601" t="s">
        <v>44</v>
      </c>
      <c r="M5601">
        <v>11</v>
      </c>
      <c r="N5601" s="2">
        <v>139</v>
      </c>
      <c r="O5601" s="3">
        <v>7745</v>
      </c>
      <c r="P5601">
        <v>0</v>
      </c>
      <c r="Q5601">
        <v>3</v>
      </c>
      <c r="R5601" t="s">
        <v>33</v>
      </c>
      <c r="S5601">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53"/>
  <sheetViews>
    <sheetView showGridLines="0" workbookViewId="0"/>
  </sheetViews>
  <sheetFormatPr defaultRowHeight="15" x14ac:dyDescent="0.3"/>
  <cols>
    <col min="1" max="1" width="2.625" customWidth="1"/>
    <col min="2" max="2" width="29.875" customWidth="1"/>
    <col min="3" max="3" width="94.875" customWidth="1"/>
  </cols>
  <sheetData>
    <row r="2" spans="2:3" ht="33.950000000000003" customHeight="1" x14ac:dyDescent="0.3">
      <c r="B2" s="9" t="s">
        <v>5665</v>
      </c>
      <c r="C2" s="10"/>
    </row>
    <row r="3" spans="2:3" ht="16.5" x14ac:dyDescent="0.3">
      <c r="B3" s="4" t="s">
        <v>5666</v>
      </c>
    </row>
    <row r="5" spans="2:3" ht="16.5" x14ac:dyDescent="0.3">
      <c r="B5" s="5" t="s">
        <v>5667</v>
      </c>
      <c r="C5" s="6"/>
    </row>
    <row r="6" spans="2:3" ht="45" customHeight="1" x14ac:dyDescent="0.3">
      <c r="B6" s="7" t="s">
        <v>5668</v>
      </c>
      <c r="C6" s="8" t="s">
        <v>5669</v>
      </c>
    </row>
    <row r="8" spans="2:3" ht="16.5" x14ac:dyDescent="0.3">
      <c r="B8" s="5" t="s">
        <v>5670</v>
      </c>
      <c r="C8" s="6"/>
    </row>
    <row r="9" spans="2:3" ht="15.95" customHeight="1" x14ac:dyDescent="0.3">
      <c r="B9" s="7" t="s">
        <v>20</v>
      </c>
      <c r="C9" s="8" t="s">
        <v>5671</v>
      </c>
    </row>
    <row r="10" spans="2:3" ht="15.95" customHeight="1" x14ac:dyDescent="0.3">
      <c r="B10" s="7" t="s">
        <v>836</v>
      </c>
      <c r="C10" s="8" t="s">
        <v>5672</v>
      </c>
    </row>
    <row r="11" spans="2:3" ht="15.95" customHeight="1" x14ac:dyDescent="0.3">
      <c r="B11" s="7" t="s">
        <v>1445</v>
      </c>
      <c r="C11" s="8" t="s">
        <v>5673</v>
      </c>
    </row>
    <row r="12" spans="2:3" ht="15.95" customHeight="1" x14ac:dyDescent="0.3">
      <c r="B12" s="7" t="s">
        <v>2026</v>
      </c>
      <c r="C12" s="8" t="s">
        <v>5674</v>
      </c>
    </row>
    <row r="13" spans="2:3" ht="15.95" customHeight="1" x14ac:dyDescent="0.3">
      <c r="B13" s="7" t="s">
        <v>5675</v>
      </c>
      <c r="C13" s="8" t="s">
        <v>5676</v>
      </c>
    </row>
    <row r="15" spans="2:3" ht="16.5" x14ac:dyDescent="0.3">
      <c r="B15" s="5" t="s">
        <v>5677</v>
      </c>
      <c r="C15" s="6"/>
    </row>
    <row r="16" spans="2:3" ht="15.95" customHeight="1" x14ac:dyDescent="0.3">
      <c r="B16" s="7" t="s">
        <v>5678</v>
      </c>
      <c r="C16" s="8" t="s">
        <v>5679</v>
      </c>
    </row>
    <row r="17" spans="2:3" ht="30" customHeight="1" x14ac:dyDescent="0.3">
      <c r="B17" s="7" t="s">
        <v>5680</v>
      </c>
      <c r="C17" s="8" t="s">
        <v>5681</v>
      </c>
    </row>
    <row r="18" spans="2:3" ht="30" customHeight="1" x14ac:dyDescent="0.3">
      <c r="B18" s="7" t="s">
        <v>5682</v>
      </c>
      <c r="C18" s="8" t="s">
        <v>5683</v>
      </c>
    </row>
    <row r="19" spans="2:3" ht="15.95" customHeight="1" x14ac:dyDescent="0.3">
      <c r="B19" s="7" t="s">
        <v>5684</v>
      </c>
      <c r="C19" s="8" t="s">
        <v>5685</v>
      </c>
    </row>
    <row r="20" spans="2:3" ht="15.95" customHeight="1" x14ac:dyDescent="0.3">
      <c r="B20" s="7" t="s">
        <v>5686</v>
      </c>
      <c r="C20" s="8" t="s">
        <v>5687</v>
      </c>
    </row>
    <row r="21" spans="2:3" ht="15.95" customHeight="1" x14ac:dyDescent="0.3">
      <c r="B21" s="7" t="s">
        <v>5688</v>
      </c>
      <c r="C21" s="8" t="s">
        <v>5689</v>
      </c>
    </row>
    <row r="23" spans="2:3" ht="16.5" x14ac:dyDescent="0.3">
      <c r="B23" s="5" t="s">
        <v>5690</v>
      </c>
      <c r="C23" s="6"/>
    </row>
    <row r="24" spans="2:3" ht="15.95" customHeight="1" x14ac:dyDescent="0.3">
      <c r="B24" s="7" t="s">
        <v>5691</v>
      </c>
      <c r="C24" s="8" t="s">
        <v>5692</v>
      </c>
    </row>
    <row r="25" spans="2:3" ht="15.95" customHeight="1" x14ac:dyDescent="0.3">
      <c r="B25" s="7" t="s">
        <v>5693</v>
      </c>
      <c r="C25" s="8" t="s">
        <v>5694</v>
      </c>
    </row>
    <row r="26" spans="2:3" ht="15.95" customHeight="1" x14ac:dyDescent="0.3">
      <c r="B26" s="7" t="s">
        <v>5695</v>
      </c>
      <c r="C26" s="8" t="s">
        <v>5696</v>
      </c>
    </row>
    <row r="27" spans="2:3" ht="15.95" customHeight="1" x14ac:dyDescent="0.3">
      <c r="B27" s="7" t="s">
        <v>5697</v>
      </c>
      <c r="C27" s="8" t="s">
        <v>5698</v>
      </c>
    </row>
    <row r="29" spans="2:3" ht="16.5" x14ac:dyDescent="0.3">
      <c r="B29" s="5" t="s">
        <v>5699</v>
      </c>
      <c r="C29" s="6"/>
    </row>
    <row r="30" spans="2:3" ht="15.95" customHeight="1" x14ac:dyDescent="0.3">
      <c r="B30" s="7" t="s">
        <v>5700</v>
      </c>
      <c r="C30" s="8" t="s">
        <v>5701</v>
      </c>
    </row>
    <row r="31" spans="2:3" ht="15.95" customHeight="1" x14ac:dyDescent="0.3">
      <c r="B31" s="7" t="s">
        <v>5702</v>
      </c>
      <c r="C31" s="8" t="s">
        <v>5703</v>
      </c>
    </row>
    <row r="32" spans="2:3" ht="15.95" customHeight="1" x14ac:dyDescent="0.3">
      <c r="B32" s="7" t="s">
        <v>0</v>
      </c>
      <c r="C32" s="8" t="s">
        <v>5704</v>
      </c>
    </row>
    <row r="33" spans="2:3" ht="15.95" customHeight="1" x14ac:dyDescent="0.3">
      <c r="B33" s="7" t="s">
        <v>5705</v>
      </c>
      <c r="C33" s="8" t="s">
        <v>5706</v>
      </c>
    </row>
    <row r="34" spans="2:3" ht="15.95" customHeight="1" x14ac:dyDescent="0.3">
      <c r="B34" s="7" t="s">
        <v>6</v>
      </c>
      <c r="C34" s="8" t="s">
        <v>5707</v>
      </c>
    </row>
    <row r="35" spans="2:3" ht="15.95" customHeight="1" x14ac:dyDescent="0.3">
      <c r="B35" s="7" t="s">
        <v>7</v>
      </c>
      <c r="C35" s="8" t="s">
        <v>5708</v>
      </c>
    </row>
    <row r="36" spans="2:3" ht="15.95" customHeight="1" x14ac:dyDescent="0.3">
      <c r="B36" s="7" t="s">
        <v>8</v>
      </c>
      <c r="C36" s="8" t="s">
        <v>5709</v>
      </c>
    </row>
    <row r="37" spans="2:3" ht="15.95" customHeight="1" x14ac:dyDescent="0.3">
      <c r="B37" s="7" t="s">
        <v>5710</v>
      </c>
      <c r="C37" s="8" t="s">
        <v>5711</v>
      </c>
    </row>
    <row r="38" spans="2:3" ht="15.95" customHeight="1" x14ac:dyDescent="0.3">
      <c r="B38" s="7" t="s">
        <v>11</v>
      </c>
      <c r="C38" s="8" t="s">
        <v>5712</v>
      </c>
    </row>
    <row r="39" spans="2:3" ht="15.95" customHeight="1" x14ac:dyDescent="0.3">
      <c r="B39" s="7" t="s">
        <v>12</v>
      </c>
      <c r="C39" s="8" t="s">
        <v>5713</v>
      </c>
    </row>
    <row r="40" spans="2:3" ht="15.95" customHeight="1" x14ac:dyDescent="0.3">
      <c r="B40" s="7" t="s">
        <v>13</v>
      </c>
      <c r="C40" s="8" t="s">
        <v>5714</v>
      </c>
    </row>
    <row r="41" spans="2:3" ht="15.95" customHeight="1" x14ac:dyDescent="0.3">
      <c r="B41" s="7" t="s">
        <v>14</v>
      </c>
      <c r="C41" s="8" t="s">
        <v>5715</v>
      </c>
    </row>
    <row r="42" spans="2:3" ht="15.95" customHeight="1" x14ac:dyDescent="0.3">
      <c r="B42" s="7" t="s">
        <v>15</v>
      </c>
      <c r="C42" s="8" t="s">
        <v>5716</v>
      </c>
    </row>
    <row r="43" spans="2:3" ht="15.95" customHeight="1" x14ac:dyDescent="0.3">
      <c r="B43" s="7" t="s">
        <v>16</v>
      </c>
      <c r="C43" s="8" t="s">
        <v>5717</v>
      </c>
    </row>
    <row r="44" spans="2:3" ht="15.95" customHeight="1" x14ac:dyDescent="0.3">
      <c r="B44" s="7" t="s">
        <v>17</v>
      </c>
      <c r="C44" s="8" t="s">
        <v>5718</v>
      </c>
    </row>
    <row r="45" spans="2:3" ht="15.95" customHeight="1" x14ac:dyDescent="0.3">
      <c r="B45" s="7" t="s">
        <v>18</v>
      </c>
      <c r="C45" s="8" t="s">
        <v>5719</v>
      </c>
    </row>
    <row r="46" spans="2:3" ht="30" customHeight="1" x14ac:dyDescent="0.3">
      <c r="B46" s="7" t="s">
        <v>5720</v>
      </c>
      <c r="C46" s="8" t="s">
        <v>5721</v>
      </c>
    </row>
    <row r="48" spans="2:3" ht="16.5" x14ac:dyDescent="0.3">
      <c r="B48" s="5" t="s">
        <v>5722</v>
      </c>
      <c r="C48" s="6"/>
    </row>
    <row r="49" spans="2:3" ht="15.95" customHeight="1" x14ac:dyDescent="0.3">
      <c r="B49" s="7" t="s">
        <v>5723</v>
      </c>
      <c r="C49" s="8" t="s">
        <v>5724</v>
      </c>
    </row>
    <row r="50" spans="2:3" ht="15.95" customHeight="1" x14ac:dyDescent="0.3">
      <c r="B50" s="7" t="s">
        <v>5725</v>
      </c>
      <c r="C50" s="8" t="s">
        <v>5726</v>
      </c>
    </row>
    <row r="51" spans="2:3" ht="15.95" customHeight="1" x14ac:dyDescent="0.3">
      <c r="B51" s="7" t="s">
        <v>5727</v>
      </c>
      <c r="C51" s="8" t="s">
        <v>5728</v>
      </c>
    </row>
    <row r="52" spans="2:3" ht="15.95" customHeight="1" x14ac:dyDescent="0.3">
      <c r="B52" s="7" t="s">
        <v>5729</v>
      </c>
      <c r="C52" s="8" t="s">
        <v>5730</v>
      </c>
    </row>
    <row r="53" spans="2:3" ht="15.95" customHeight="1" x14ac:dyDescent="0.3">
      <c r="B53" s="7" t="s">
        <v>5731</v>
      </c>
      <c r="C53" s="8" t="s">
        <v>5732</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vt:lpstr>
      <vt:lpstr>Data</vt:lpstr>
      <vt:lpstr>About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Abdulsalam</dc:creator>
  <cp:lastModifiedBy>Ahmed Abdulsalam</cp:lastModifiedBy>
  <dcterms:created xsi:type="dcterms:W3CDTF">2026-10-14T18:05:40Z</dcterms:created>
  <dcterms:modified xsi:type="dcterms:W3CDTF">2026-10-14T18:06:00Z</dcterms:modified>
</cp:coreProperties>
</file>